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ABC15F71-D0E4-4B40-ACBC-8F4498003045}" xr6:coauthVersionLast="47" xr6:coauthVersionMax="47" xr10:uidLastSave="{00000000-0000-0000-0000-000000000000}"/>
  <bookViews>
    <workbookView xWindow="-108" yWindow="-108" windowWidth="23256" windowHeight="13176" firstSheet="4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" i="10" l="1"/>
  <c r="AI5" i="10"/>
  <c r="AH6" i="10"/>
  <c r="AI6" i="10"/>
  <c r="AH7" i="10"/>
  <c r="AI7" i="10"/>
  <c r="AH8" i="10"/>
  <c r="AI8" i="10"/>
  <c r="AH9" i="10"/>
  <c r="AI9" i="10"/>
  <c r="AH10" i="10"/>
  <c r="AI10" i="10"/>
  <c r="AH11" i="10"/>
  <c r="AI11" i="10"/>
  <c r="AH12" i="10"/>
  <c r="AI12" i="10"/>
  <c r="AH13" i="10"/>
  <c r="AI13" i="10"/>
  <c r="AH14" i="10"/>
  <c r="AI14" i="10"/>
  <c r="AH15" i="10"/>
  <c r="AI15" i="10"/>
  <c r="AH16" i="10"/>
  <c r="AI16" i="10"/>
  <c r="AH17" i="10"/>
  <c r="AI17" i="10"/>
  <c r="AH18" i="10"/>
  <c r="AI18" i="10"/>
  <c r="AH19" i="10"/>
  <c r="AI19" i="10"/>
  <c r="AH20" i="10"/>
  <c r="AI20" i="10"/>
  <c r="AH21" i="10"/>
  <c r="AI21" i="10"/>
  <c r="AH22" i="10"/>
  <c r="AI22" i="10"/>
  <c r="AH23" i="10"/>
  <c r="AI23" i="10"/>
  <c r="AH24" i="10"/>
  <c r="AI24" i="10"/>
  <c r="AH25" i="10"/>
  <c r="AI25" i="10"/>
  <c r="AH26" i="10"/>
  <c r="AI26" i="10"/>
  <c r="AH27" i="10"/>
  <c r="AI27" i="10"/>
  <c r="AH28" i="10"/>
  <c r="AI28" i="10"/>
  <c r="AH29" i="10"/>
  <c r="AI29" i="10"/>
  <c r="AH30" i="10"/>
  <c r="AI30" i="10"/>
  <c r="AH31" i="10"/>
  <c r="AI31" i="10"/>
  <c r="AH32" i="10"/>
  <c r="AI32" i="10"/>
  <c r="AH33" i="10"/>
  <c r="AI33" i="10"/>
  <c r="AH34" i="10"/>
  <c r="AI34" i="10"/>
  <c r="AH35" i="10"/>
  <c r="AI35" i="10"/>
  <c r="AH36" i="10"/>
  <c r="AI36" i="10"/>
  <c r="AH37" i="10"/>
  <c r="AI37" i="10"/>
  <c r="AH38" i="10"/>
  <c r="AI38" i="10"/>
  <c r="AH39" i="10"/>
  <c r="AI39" i="10"/>
  <c r="AH40" i="10"/>
  <c r="AI40" i="10"/>
  <c r="AH41" i="10"/>
  <c r="AI41" i="10"/>
  <c r="AH42" i="10"/>
  <c r="AI42" i="10"/>
  <c r="AH43" i="10"/>
  <c r="AI43" i="10"/>
  <c r="AH44" i="10"/>
  <c r="AI44" i="10"/>
  <c r="AH45" i="10"/>
  <c r="AI45" i="10"/>
  <c r="AH46" i="10"/>
  <c r="AI46" i="10"/>
  <c r="AH47" i="10"/>
  <c r="AI47" i="10"/>
  <c r="AH48" i="10"/>
  <c r="AI48" i="10"/>
  <c r="AH49" i="10"/>
  <c r="AI49" i="10"/>
  <c r="AH50" i="10"/>
  <c r="AI50" i="10"/>
  <c r="AH51" i="10"/>
  <c r="AI51" i="10"/>
  <c r="AH52" i="10"/>
  <c r="AI52" i="10"/>
  <c r="AH53" i="10"/>
  <c r="AI53" i="10"/>
  <c r="AH54" i="10"/>
  <c r="AI54" i="10"/>
  <c r="AH55" i="10"/>
  <c r="AI55" i="10"/>
  <c r="AH56" i="10"/>
  <c r="AI56" i="10"/>
  <c r="AH57" i="10"/>
  <c r="AI57" i="10"/>
  <c r="AH58" i="10"/>
  <c r="AI58" i="10"/>
  <c r="AH59" i="10"/>
  <c r="AI59" i="10"/>
  <c r="AH60" i="10"/>
  <c r="AI60" i="10"/>
  <c r="AH61" i="10"/>
  <c r="AI61" i="10"/>
  <c r="AH62" i="10"/>
  <c r="AI62" i="10"/>
  <c r="AH63" i="10"/>
  <c r="AI63" i="10"/>
  <c r="AH64" i="10"/>
  <c r="AI64" i="10"/>
  <c r="AH65" i="10"/>
  <c r="AI65" i="10"/>
  <c r="AH66" i="10"/>
  <c r="AI66" i="10"/>
  <c r="AH67" i="10"/>
  <c r="AI67" i="10"/>
  <c r="AH68" i="10"/>
  <c r="AI68" i="10"/>
  <c r="AH69" i="10"/>
  <c r="AI69" i="10"/>
  <c r="AH70" i="10"/>
  <c r="AI70" i="10"/>
  <c r="AH71" i="10"/>
  <c r="AI71" i="10"/>
  <c r="AH72" i="10"/>
  <c r="AI72" i="10"/>
  <c r="AH73" i="10"/>
  <c r="AI73" i="10"/>
  <c r="AH74" i="10"/>
  <c r="AI74" i="10"/>
  <c r="AH75" i="10"/>
  <c r="AI75" i="10"/>
  <c r="AH76" i="10"/>
  <c r="AI76" i="10"/>
  <c r="AH77" i="10"/>
  <c r="AI77" i="10"/>
  <c r="AH78" i="10"/>
  <c r="AI78" i="10"/>
  <c r="AH79" i="10"/>
  <c r="AI79" i="10"/>
  <c r="AH80" i="10"/>
  <c r="AI80" i="10"/>
  <c r="AH81" i="10"/>
  <c r="AI81" i="10"/>
  <c r="AH82" i="10"/>
  <c r="AI82" i="10"/>
  <c r="AH83" i="10"/>
  <c r="AI83" i="10"/>
  <c r="AH84" i="10"/>
  <c r="AI84" i="10"/>
  <c r="AH85" i="10"/>
  <c r="AI85" i="10"/>
  <c r="AH86" i="10"/>
  <c r="AI86" i="10"/>
  <c r="AH87" i="10"/>
  <c r="AI87" i="10"/>
  <c r="AH88" i="10"/>
  <c r="AI88" i="10"/>
  <c r="AH89" i="10"/>
  <c r="AI89" i="10"/>
  <c r="AH90" i="10"/>
  <c r="AI90" i="10"/>
  <c r="AH91" i="10"/>
  <c r="AI91" i="10"/>
  <c r="AH92" i="10"/>
  <c r="AI92" i="10"/>
  <c r="AH93" i="10"/>
  <c r="AI93" i="10"/>
  <c r="AH94" i="10"/>
  <c r="AI94" i="10"/>
  <c r="AH95" i="10"/>
  <c r="AI95" i="10"/>
  <c r="AH96" i="10"/>
  <c r="AI96" i="10"/>
  <c r="AH97" i="10"/>
  <c r="AI97" i="10"/>
  <c r="AH98" i="10"/>
  <c r="AI98" i="10"/>
  <c r="AH99" i="10"/>
  <c r="AI99" i="10"/>
  <c r="AH100" i="10"/>
  <c r="AI100" i="10"/>
  <c r="AH101" i="10"/>
  <c r="AI101" i="10"/>
  <c r="AH102" i="10"/>
  <c r="AI102" i="10"/>
  <c r="AH103" i="10"/>
  <c r="AI103" i="10"/>
  <c r="AH104" i="10"/>
  <c r="AI104" i="10"/>
  <c r="AH105" i="10"/>
  <c r="AI105" i="10"/>
  <c r="AH106" i="10"/>
  <c r="AI106" i="10"/>
  <c r="AH107" i="10"/>
  <c r="AI107" i="10"/>
  <c r="AH108" i="10"/>
  <c r="AI108" i="10"/>
  <c r="AH109" i="10"/>
  <c r="AI109" i="10"/>
  <c r="AH110" i="10"/>
  <c r="AI110" i="10"/>
  <c r="AH111" i="10"/>
  <c r="AI111" i="10"/>
  <c r="AH112" i="10"/>
  <c r="AI112" i="10"/>
  <c r="AH113" i="10"/>
  <c r="AI113" i="10"/>
  <c r="AH114" i="10"/>
  <c r="AI114" i="10"/>
  <c r="AH115" i="10"/>
  <c r="AI115" i="10"/>
  <c r="AH116" i="10"/>
  <c r="AI116" i="10"/>
  <c r="AH117" i="10"/>
  <c r="AI117" i="10"/>
  <c r="AH118" i="10"/>
  <c r="AI118" i="10"/>
  <c r="AH119" i="10"/>
  <c r="AI119" i="10"/>
  <c r="AH120" i="10"/>
  <c r="AI120" i="10"/>
  <c r="AH121" i="10"/>
  <c r="AI121" i="10"/>
  <c r="AH122" i="10"/>
  <c r="AI122" i="10"/>
  <c r="AH123" i="10"/>
  <c r="AI123" i="10"/>
  <c r="AH124" i="10"/>
  <c r="AI124" i="10"/>
  <c r="AH125" i="10"/>
  <c r="AI125" i="10"/>
  <c r="AH126" i="10"/>
  <c r="AI126" i="10"/>
  <c r="AH127" i="10"/>
  <c r="AI127" i="10"/>
  <c r="AH128" i="10"/>
  <c r="AI128" i="10"/>
  <c r="AH129" i="10"/>
  <c r="AI129" i="10"/>
  <c r="AH130" i="10"/>
  <c r="AI130" i="10"/>
  <c r="AH131" i="10"/>
  <c r="AI131" i="10"/>
  <c r="AH132" i="10"/>
  <c r="AI132" i="10"/>
  <c r="AH133" i="10"/>
  <c r="AI133" i="10"/>
  <c r="AH134" i="10"/>
  <c r="AI134" i="10"/>
  <c r="AH135" i="10"/>
  <c r="AI135" i="10"/>
  <c r="AH136" i="10"/>
  <c r="AI136" i="10"/>
  <c r="AH137" i="10"/>
  <c r="AI137" i="10"/>
  <c r="AH138" i="10"/>
  <c r="AI138" i="10"/>
  <c r="AH139" i="10"/>
  <c r="AI139" i="10"/>
  <c r="AH140" i="10"/>
  <c r="AI140" i="10"/>
  <c r="AH141" i="10"/>
  <c r="AI141" i="10"/>
  <c r="AH142" i="10"/>
  <c r="AI142" i="10"/>
  <c r="AH143" i="10"/>
  <c r="AI143" i="10"/>
  <c r="AH144" i="10"/>
  <c r="AI144" i="10"/>
  <c r="AH145" i="10"/>
  <c r="AI145" i="10"/>
  <c r="AH146" i="10"/>
  <c r="AI146" i="10"/>
  <c r="AH147" i="10"/>
  <c r="AI147" i="10"/>
  <c r="AH148" i="10"/>
  <c r="AI148" i="10"/>
  <c r="AH149" i="10"/>
  <c r="AI149" i="10"/>
  <c r="AH150" i="10"/>
  <c r="AI150" i="10"/>
  <c r="AH151" i="10"/>
  <c r="AI151" i="10"/>
  <c r="AH152" i="10"/>
  <c r="AI152" i="10"/>
  <c r="AH153" i="10"/>
  <c r="AI153" i="10"/>
  <c r="AH154" i="10"/>
  <c r="AI154" i="10"/>
  <c r="AH155" i="10"/>
  <c r="AI155" i="10"/>
  <c r="AH156" i="10"/>
  <c r="AI156" i="10"/>
  <c r="AH157" i="10"/>
  <c r="AI157" i="10"/>
  <c r="AH158" i="10"/>
  <c r="AI158" i="10"/>
  <c r="AH159" i="10"/>
  <c r="AI159" i="10"/>
  <c r="AH160" i="10"/>
  <c r="AI160" i="10"/>
  <c r="AH161" i="10"/>
  <c r="AI161" i="10"/>
  <c r="AH162" i="10"/>
  <c r="AI162" i="10"/>
  <c r="AH163" i="10"/>
  <c r="AI163" i="10"/>
  <c r="AH164" i="10"/>
  <c r="AI164" i="10"/>
  <c r="AH165" i="10"/>
  <c r="AI165" i="10"/>
  <c r="AH166" i="10"/>
  <c r="AI166" i="10"/>
  <c r="AH167" i="10"/>
  <c r="AI167" i="10"/>
  <c r="AH168" i="10"/>
  <c r="AI168" i="10"/>
  <c r="AH169" i="10"/>
  <c r="AI169" i="10"/>
  <c r="AH170" i="10"/>
  <c r="AI170" i="10"/>
  <c r="AH171" i="10"/>
  <c r="AI171" i="10"/>
  <c r="AH172" i="10"/>
  <c r="AI172" i="10"/>
  <c r="AH173" i="10"/>
  <c r="AI173" i="10"/>
  <c r="AH174" i="10"/>
  <c r="AI174" i="10"/>
  <c r="AH175" i="10"/>
  <c r="AI175" i="10"/>
  <c r="AH176" i="10"/>
  <c r="AI176" i="10"/>
  <c r="AH177" i="10"/>
  <c r="AI177" i="10"/>
  <c r="AH178" i="10"/>
  <c r="AI178" i="10"/>
  <c r="AH179" i="10"/>
  <c r="AI179" i="10"/>
  <c r="AH180" i="10"/>
  <c r="AI180" i="10"/>
  <c r="AH181" i="10"/>
  <c r="AI181" i="10"/>
  <c r="AH182" i="10"/>
  <c r="AI182" i="10"/>
  <c r="AH183" i="10"/>
  <c r="AI183" i="10"/>
  <c r="AH184" i="10"/>
  <c r="AI184" i="10"/>
  <c r="AH185" i="10"/>
  <c r="AI185" i="10"/>
  <c r="AH186" i="10"/>
  <c r="AI186" i="10"/>
  <c r="AH187" i="10"/>
  <c r="AI187" i="10"/>
  <c r="AH188" i="10"/>
  <c r="AI188" i="10"/>
  <c r="AH189" i="10"/>
  <c r="AI189" i="10"/>
  <c r="AH190" i="10"/>
  <c r="AI190" i="10"/>
  <c r="AH191" i="10"/>
  <c r="AI191" i="10"/>
  <c r="AH192" i="10"/>
  <c r="AI192" i="10"/>
  <c r="AH193" i="10"/>
  <c r="AI193" i="10"/>
  <c r="AH194" i="10"/>
  <c r="AI194" i="10"/>
  <c r="AH195" i="10"/>
  <c r="AI195" i="10"/>
  <c r="AH196" i="10"/>
  <c r="AI196" i="10"/>
  <c r="AH197" i="10"/>
  <c r="AI197" i="10"/>
  <c r="AH198" i="10"/>
  <c r="AI198" i="10"/>
  <c r="AH199" i="10"/>
  <c r="AI199" i="10"/>
  <c r="AH200" i="10"/>
  <c r="AI200" i="10"/>
  <c r="AH201" i="10"/>
  <c r="AI201" i="10"/>
  <c r="AH202" i="10"/>
  <c r="AI202" i="10"/>
  <c r="AH203" i="10"/>
  <c r="AI203" i="10"/>
  <c r="AH204" i="10"/>
  <c r="AI204" i="10"/>
  <c r="AH205" i="10"/>
  <c r="AI205" i="10"/>
  <c r="AH206" i="10"/>
  <c r="AI206" i="10"/>
  <c r="AH207" i="10"/>
  <c r="AI207" i="10"/>
  <c r="AH208" i="10"/>
  <c r="AI208" i="10"/>
  <c r="AH209" i="10"/>
  <c r="AI209" i="10"/>
  <c r="AH210" i="10"/>
  <c r="AI210" i="10"/>
  <c r="AH211" i="10"/>
  <c r="AI211" i="10"/>
  <c r="AH212" i="10"/>
  <c r="AI212" i="10"/>
  <c r="AH213" i="10"/>
  <c r="AI213" i="10"/>
  <c r="AH214" i="10"/>
  <c r="AI214" i="10"/>
  <c r="AH215" i="10"/>
  <c r="AI215" i="10"/>
  <c r="AH216" i="10"/>
  <c r="AI216" i="10"/>
  <c r="AH217" i="10"/>
  <c r="AI217" i="10"/>
  <c r="AH218" i="10"/>
  <c r="AI218" i="10"/>
  <c r="AH219" i="10"/>
  <c r="AI219" i="10"/>
  <c r="AH220" i="10"/>
  <c r="AI220" i="10"/>
  <c r="AH221" i="10"/>
  <c r="AI221" i="10"/>
  <c r="AH222" i="10"/>
  <c r="AI222" i="10"/>
  <c r="AH223" i="10"/>
  <c r="AI223" i="10"/>
  <c r="AH224" i="10"/>
  <c r="AI224" i="10"/>
  <c r="AH225" i="10"/>
  <c r="AI225" i="10"/>
  <c r="AH226" i="10"/>
  <c r="AI226" i="10"/>
  <c r="AH227" i="10"/>
  <c r="AI227" i="10"/>
  <c r="AH228" i="10"/>
  <c r="AI228" i="10"/>
  <c r="AH229" i="10"/>
  <c r="AI229" i="10"/>
  <c r="AH230" i="10"/>
  <c r="AI230" i="10"/>
  <c r="AH231" i="10"/>
  <c r="AI231" i="10"/>
  <c r="AH232" i="10"/>
  <c r="AI232" i="10"/>
  <c r="AH233" i="10"/>
  <c r="AI233" i="10"/>
  <c r="AH234" i="10"/>
  <c r="AI234" i="10"/>
  <c r="AH235" i="10"/>
  <c r="AI235" i="10"/>
  <c r="AH236" i="10"/>
  <c r="AI236" i="10"/>
  <c r="AH237" i="10"/>
  <c r="AI237" i="10"/>
  <c r="AH238" i="10"/>
  <c r="AI238" i="10"/>
  <c r="AH239" i="10"/>
  <c r="AI239" i="10"/>
  <c r="AH240" i="10"/>
  <c r="AI240" i="10"/>
  <c r="AH241" i="10"/>
  <c r="AI241" i="10"/>
  <c r="AH242" i="10"/>
  <c r="AI242" i="10"/>
  <c r="AH243" i="10"/>
  <c r="AI243" i="10"/>
  <c r="AH244" i="10"/>
  <c r="AI244" i="10"/>
  <c r="AH245" i="10"/>
  <c r="AI245" i="10"/>
  <c r="AH246" i="10"/>
  <c r="AI246" i="10"/>
  <c r="AH247" i="10"/>
  <c r="AI247" i="10"/>
  <c r="AH248" i="10"/>
  <c r="AI248" i="10"/>
  <c r="AH249" i="10"/>
  <c r="AI249" i="10"/>
  <c r="AH250" i="10"/>
  <c r="AI250" i="10"/>
  <c r="AH251" i="10"/>
  <c r="AI251" i="10"/>
  <c r="AH252" i="10"/>
  <c r="AI252" i="10"/>
  <c r="AH253" i="10"/>
  <c r="AI253" i="10"/>
  <c r="AH254" i="10"/>
  <c r="AI254" i="10"/>
  <c r="AH255" i="10"/>
  <c r="AI255" i="10"/>
  <c r="AH256" i="10"/>
  <c r="AI256" i="10"/>
  <c r="AH257" i="10"/>
  <c r="AI257" i="10"/>
  <c r="AH258" i="10"/>
  <c r="AI258" i="10"/>
  <c r="AH259" i="10"/>
  <c r="AI259" i="10"/>
  <c r="AH260" i="10"/>
  <c r="AI260" i="10"/>
  <c r="AH261" i="10"/>
  <c r="AI261" i="10"/>
  <c r="AH262" i="10"/>
  <c r="AI262" i="10"/>
  <c r="AH263" i="10"/>
  <c r="AI263" i="10"/>
  <c r="AH264" i="10"/>
  <c r="AI264" i="10"/>
  <c r="AH265" i="10"/>
  <c r="AI265" i="10"/>
  <c r="AH266" i="10"/>
  <c r="AI266" i="10"/>
  <c r="AH267" i="10"/>
  <c r="AI267" i="10"/>
  <c r="AH268" i="10"/>
  <c r="AI268" i="10"/>
  <c r="AH269" i="10"/>
  <c r="AI269" i="10"/>
  <c r="AH270" i="10"/>
  <c r="AI270" i="10"/>
  <c r="AH271" i="10"/>
  <c r="AI271" i="10"/>
  <c r="AH272" i="10"/>
  <c r="AI272" i="10"/>
  <c r="AH273" i="10"/>
  <c r="AI273" i="10"/>
  <c r="AH274" i="10"/>
  <c r="AI274" i="10"/>
  <c r="AH275" i="10"/>
  <c r="AI275" i="10"/>
  <c r="AH276" i="10"/>
  <c r="AI276" i="10"/>
  <c r="AH277" i="10"/>
  <c r="AI277" i="10"/>
  <c r="AH278" i="10"/>
  <c r="AI278" i="10"/>
  <c r="AH279" i="10"/>
  <c r="AI279" i="10"/>
  <c r="AH280" i="10"/>
  <c r="AI280" i="10"/>
  <c r="AH281" i="10"/>
  <c r="AI281" i="10"/>
  <c r="AH282" i="10"/>
  <c r="AI282" i="10"/>
  <c r="AH283" i="10"/>
  <c r="AI283" i="10"/>
  <c r="AH284" i="10"/>
  <c r="AI284" i="10"/>
  <c r="AH285" i="10"/>
  <c r="AI285" i="10"/>
  <c r="AH286" i="10"/>
  <c r="AI286" i="10"/>
  <c r="AH287" i="10"/>
  <c r="AI287" i="10"/>
  <c r="AH288" i="10"/>
  <c r="AI288" i="10"/>
  <c r="AH289" i="10"/>
  <c r="AI289" i="10"/>
  <c r="AH290" i="10"/>
  <c r="AI290" i="10"/>
  <c r="AH291" i="10"/>
  <c r="AI291" i="10"/>
  <c r="AH292" i="10"/>
  <c r="AI292" i="10"/>
  <c r="AH293" i="10"/>
  <c r="AI293" i="10"/>
  <c r="AH294" i="10"/>
  <c r="AI294" i="10"/>
  <c r="AH295" i="10"/>
  <c r="AI295" i="10"/>
  <c r="AH296" i="10"/>
  <c r="AI296" i="10"/>
  <c r="AH297" i="10"/>
  <c r="AI297" i="10"/>
  <c r="AH298" i="10"/>
  <c r="AI298" i="10"/>
  <c r="AH299" i="10"/>
  <c r="AI299" i="10"/>
  <c r="AH300" i="10"/>
  <c r="AI300" i="10"/>
  <c r="AH301" i="10"/>
  <c r="AI301" i="10"/>
  <c r="AH302" i="10"/>
  <c r="AI302" i="10"/>
  <c r="AH303" i="10"/>
  <c r="AI303" i="10"/>
  <c r="AH304" i="10"/>
  <c r="AI304" i="10"/>
  <c r="AH305" i="10"/>
  <c r="AI305" i="10"/>
  <c r="AH306" i="10"/>
  <c r="AI306" i="10"/>
  <c r="AH307" i="10"/>
  <c r="AI307" i="10"/>
  <c r="AH308" i="10"/>
  <c r="AI308" i="10"/>
  <c r="AH309" i="10"/>
  <c r="AI309" i="10"/>
  <c r="AH310" i="10"/>
  <c r="AI310" i="10"/>
  <c r="AH311" i="10"/>
  <c r="AI311" i="10"/>
  <c r="AH312" i="10"/>
  <c r="AI312" i="10"/>
  <c r="AH313" i="10"/>
  <c r="AI313" i="10"/>
  <c r="AH314" i="10"/>
  <c r="AI314" i="10"/>
  <c r="AH315" i="10"/>
  <c r="AI315" i="10"/>
  <c r="AH316" i="10"/>
  <c r="AI316" i="10"/>
  <c r="AH317" i="10"/>
  <c r="AI317" i="10"/>
  <c r="AH318" i="10"/>
  <c r="AI318" i="10"/>
  <c r="AH319" i="10"/>
  <c r="AI319" i="10"/>
  <c r="AH320" i="10"/>
  <c r="AI320" i="10"/>
  <c r="AH321" i="10"/>
  <c r="AI321" i="10"/>
  <c r="AH322" i="10"/>
  <c r="AI322" i="10"/>
  <c r="AH323" i="10"/>
  <c r="AI323" i="10"/>
  <c r="AH324" i="10"/>
  <c r="AI324" i="10"/>
  <c r="AH325" i="10"/>
  <c r="AI325" i="10"/>
  <c r="AH326" i="10"/>
  <c r="AI326" i="10"/>
  <c r="AH327" i="10"/>
  <c r="AI327" i="10"/>
  <c r="AH328" i="10"/>
  <c r="AI328" i="10"/>
  <c r="AH329" i="10"/>
  <c r="AI329" i="10"/>
  <c r="AH330" i="10"/>
  <c r="AI330" i="10"/>
  <c r="AH331" i="10"/>
  <c r="AI331" i="10"/>
  <c r="AH332" i="10"/>
  <c r="AI332" i="10"/>
  <c r="AH333" i="10"/>
  <c r="AI333" i="10"/>
  <c r="AH334" i="10"/>
  <c r="AI334" i="10"/>
  <c r="AH335" i="10"/>
  <c r="AI335" i="10"/>
  <c r="AH336" i="10"/>
  <c r="AI336" i="10"/>
  <c r="AH337" i="10"/>
  <c r="AI337" i="10"/>
  <c r="AH338" i="10"/>
  <c r="AI338" i="10"/>
  <c r="AH339" i="10"/>
  <c r="AI339" i="10"/>
  <c r="AH340" i="10"/>
  <c r="AI340" i="10"/>
  <c r="AH341" i="10"/>
  <c r="AI341" i="10"/>
  <c r="AH342" i="10"/>
  <c r="AI342" i="10"/>
  <c r="AH343" i="10"/>
  <c r="AI343" i="10"/>
  <c r="AH344" i="10"/>
  <c r="AI344" i="10"/>
  <c r="AH345" i="10"/>
  <c r="AI345" i="10"/>
  <c r="AH346" i="10"/>
  <c r="AI346" i="10"/>
  <c r="AH347" i="10"/>
  <c r="AI347" i="10"/>
  <c r="AH348" i="10"/>
  <c r="AI348" i="10"/>
  <c r="AH349" i="10"/>
  <c r="AI349" i="10"/>
  <c r="AH350" i="10"/>
  <c r="AI350" i="10"/>
  <c r="AH351" i="10"/>
  <c r="AI351" i="10"/>
  <c r="AH352" i="10"/>
  <c r="AI352" i="10"/>
  <c r="AH353" i="10"/>
  <c r="AI353" i="10"/>
  <c r="AH354" i="10"/>
  <c r="AI354" i="10"/>
  <c r="AH355" i="10"/>
  <c r="AI355" i="10"/>
  <c r="AH356" i="10"/>
  <c r="AI356" i="10"/>
  <c r="AH357" i="10"/>
  <c r="AI357" i="10"/>
  <c r="AH358" i="10"/>
  <c r="AI358" i="10"/>
  <c r="AH359" i="10"/>
  <c r="AI359" i="10"/>
  <c r="AH360" i="10"/>
  <c r="AI360" i="10"/>
  <c r="AH361" i="10"/>
  <c r="AI361" i="10"/>
  <c r="AH362" i="10"/>
  <c r="AI362" i="10"/>
  <c r="AH363" i="10"/>
  <c r="AI363" i="10"/>
  <c r="AH364" i="10"/>
  <c r="AI364" i="10"/>
  <c r="AH365" i="10"/>
  <c r="AI365" i="10"/>
  <c r="AH366" i="10"/>
  <c r="AI366" i="10"/>
  <c r="AH367" i="10"/>
  <c r="AI367" i="10"/>
  <c r="AH368" i="10"/>
  <c r="AI368" i="10"/>
  <c r="AH369" i="10"/>
  <c r="AI369" i="10"/>
  <c r="AH370" i="10"/>
  <c r="AI370" i="10"/>
  <c r="AH371" i="10"/>
  <c r="AI371" i="10"/>
  <c r="AH372" i="10"/>
  <c r="AI372" i="10"/>
  <c r="AH373" i="10"/>
  <c r="AI373" i="10"/>
  <c r="AH374" i="10"/>
  <c r="AI374" i="10"/>
  <c r="AH375" i="10"/>
  <c r="AI375" i="10"/>
  <c r="AH376" i="10"/>
  <c r="AI376" i="10"/>
  <c r="AH377" i="10"/>
  <c r="AI377" i="10"/>
  <c r="AH378" i="10"/>
  <c r="AI378" i="10"/>
  <c r="AH379" i="10"/>
  <c r="AI379" i="10"/>
  <c r="AH380" i="10"/>
  <c r="AI380" i="10"/>
  <c r="AH381" i="10"/>
  <c r="AI381" i="10"/>
  <c r="AH382" i="10"/>
  <c r="AI382" i="10"/>
  <c r="AH383" i="10"/>
  <c r="AI383" i="10"/>
  <c r="AH384" i="10"/>
  <c r="AI384" i="10"/>
  <c r="AH385" i="10"/>
  <c r="AI385" i="10"/>
  <c r="AH386" i="10"/>
  <c r="AI386" i="10"/>
  <c r="AH387" i="10"/>
  <c r="AI387" i="10"/>
  <c r="AH388" i="10"/>
  <c r="AI388" i="10"/>
  <c r="AH389" i="10"/>
  <c r="AI389" i="10"/>
  <c r="AH390" i="10"/>
  <c r="AI390" i="10"/>
  <c r="AH391" i="10"/>
  <c r="AI391" i="10"/>
  <c r="AH392" i="10"/>
  <c r="AI392" i="10"/>
  <c r="AH393" i="10"/>
  <c r="AI393" i="10"/>
  <c r="AH394" i="10"/>
  <c r="AI394" i="10"/>
  <c r="AH395" i="10"/>
  <c r="AI395" i="10"/>
  <c r="AH396" i="10"/>
  <c r="AI396" i="10"/>
  <c r="AH397" i="10"/>
  <c r="AI397" i="10"/>
  <c r="AH398" i="10"/>
  <c r="AI398" i="10"/>
  <c r="AH399" i="10"/>
  <c r="AI399" i="10"/>
  <c r="AH400" i="10"/>
  <c r="AI400" i="10"/>
  <c r="AH2" i="11"/>
  <c r="D48" i="24"/>
  <c r="C49" i="24"/>
  <c r="D49" i="24" s="1"/>
  <c r="D43" i="24"/>
  <c r="C44" i="24"/>
  <c r="D44" i="24" s="1"/>
  <c r="AD3" i="25"/>
  <c r="AD5" i="25"/>
  <c r="D38" i="24"/>
  <c r="C39" i="24"/>
  <c r="D39" i="24" s="1"/>
  <c r="D33" i="24"/>
  <c r="C34" i="24"/>
  <c r="C35" i="24" s="1"/>
  <c r="D28" i="24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C50" i="24" l="1"/>
  <c r="C51" i="24" s="1"/>
  <c r="C45" i="24"/>
  <c r="AD6" i="25"/>
  <c r="AD4" i="25"/>
  <c r="C40" i="24"/>
  <c r="D34" i="24"/>
  <c r="D35" i="24"/>
  <c r="C36" i="24"/>
  <c r="D36" i="24" s="1"/>
  <c r="X4" i="25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50" i="24" l="1"/>
  <c r="D51" i="24"/>
  <c r="D45" i="24"/>
  <c r="C46" i="24"/>
  <c r="D46" i="24" s="1"/>
  <c r="D40" i="24"/>
  <c r="C41" i="24"/>
  <c r="D41" i="24" s="1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0" i="2"/>
  <c r="J346" i="2"/>
  <c r="J338" i="2"/>
  <c r="J314" i="2"/>
  <c r="J298" i="2"/>
  <c r="J290" i="2"/>
  <c r="J274" i="2"/>
  <c r="J258" i="2"/>
  <c r="J250" i="2"/>
  <c r="A368" i="9"/>
  <c r="AH128" i="21"/>
  <c r="J369" i="2"/>
  <c r="J353" i="2"/>
  <c r="H369" i="11"/>
  <c r="Y368" i="10"/>
  <c r="AH305" i="21"/>
  <c r="C367" i="9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6" i="14" l="1"/>
  <c r="F30" i="14"/>
  <c r="F29" i="14"/>
  <c r="F28" i="14"/>
  <c r="F27" i="14"/>
  <c r="F24" i="14"/>
  <c r="F25" i="14"/>
  <c r="F23" i="14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D30" i="14" s="1"/>
  <c r="AC2" i="21"/>
  <c r="D25" i="14" s="1"/>
  <c r="U2" i="21"/>
  <c r="D17" i="14" s="1"/>
  <c r="M2" i="21"/>
  <c r="D9" i="14" s="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E12" i="14" s="1"/>
  <c r="G12" i="14" s="1"/>
  <c r="AA2" i="10"/>
  <c r="C23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0" i="14"/>
  <c r="AG2" i="11"/>
  <c r="B29" i="14" s="1"/>
  <c r="R2" i="11"/>
  <c r="B14" i="14" s="1"/>
  <c r="E14" i="14" s="1"/>
  <c r="G14" i="14" s="1"/>
  <c r="AB2" i="11"/>
  <c r="B24" i="14" s="1"/>
  <c r="E24" i="14" s="1"/>
  <c r="G24" i="14" s="1"/>
  <c r="V2" i="11"/>
  <c r="B18" i="14" s="1"/>
  <c r="Q2" i="11"/>
  <c r="B13" i="14" s="1"/>
  <c r="E13" i="14" s="1"/>
  <c r="G13" i="14" s="1"/>
  <c r="AA2" i="11"/>
  <c r="B23" i="14" s="1"/>
  <c r="E23" i="14" s="1"/>
  <c r="G23" i="14" s="1"/>
  <c r="AC2" i="11"/>
  <c r="B25" i="14" s="1"/>
  <c r="E25" i="14" s="1"/>
  <c r="G25" i="14" s="1"/>
  <c r="U2" i="11"/>
  <c r="B17" i="14" s="1"/>
  <c r="E17" i="14" s="1"/>
  <c r="G17" i="14" s="1"/>
  <c r="AE2" i="11"/>
  <c r="AF2" i="11"/>
  <c r="B28" i="14" s="1"/>
  <c r="E28" i="14" s="1"/>
  <c r="G28" i="14" s="1"/>
  <c r="X2" i="11"/>
  <c r="B20" i="14" s="1"/>
  <c r="E20" i="14" s="1"/>
  <c r="G20" i="14" s="1"/>
  <c r="AD2" i="11"/>
  <c r="B26" i="14" s="1"/>
  <c r="Y2" i="11"/>
  <c r="B21" i="14" s="1"/>
  <c r="E21" i="14" s="1"/>
  <c r="G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30" i="14" l="1"/>
  <c r="G30" i="14" s="1"/>
  <c r="E22" i="14"/>
  <c r="G22" i="14" s="1"/>
  <c r="B27" i="14"/>
  <c r="E27" i="14" s="1"/>
  <c r="G27" i="14" s="1"/>
  <c r="E29" i="14"/>
  <c r="G29" i="14" s="1"/>
  <c r="E26" i="14"/>
  <c r="G26" i="14" s="1"/>
  <c r="E18" i="14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<sst xmlns="http://schemas.openxmlformats.org/spreadsheetml/2006/main" count="4057" uniqueCount="1208">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</sst>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  <c:pt idx="25">
                  <c:v>8.4183673469387751E-2</c:v>
                </c:pt>
                <c:pt idx="26">
                  <c:v>0.10714285714285714</c:v>
                </c:pt>
                <c:pt idx="27">
                  <c:v>9.6938775510204078E-2</c:v>
                </c:pt>
                <c:pt idx="28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  <c:pt idx="22">
                  <c:v>30</c:v>
                </c:pt>
                <c:pt idx="23">
                  <c:v>25</c:v>
                </c:pt>
                <c:pt idx="24">
                  <c:v>24</c:v>
                </c:pt>
                <c:pt idx="25">
                  <c:v>25</c:v>
                </c:pt>
                <c:pt idx="26">
                  <c:v>34</c:v>
                </c:pt>
                <c:pt idx="27">
                  <c:v>31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36</c:v>
                </c:pt>
                <c:pt idx="23">
                  <c:v>30</c:v>
                </c:pt>
                <c:pt idx="24">
                  <c:v>30</c:v>
                </c:pt>
                <c:pt idx="25">
                  <c:v>33</c:v>
                </c:pt>
                <c:pt idx="26">
                  <c:v>42</c:v>
                </c:pt>
                <c:pt idx="27">
                  <c:v>38</c:v>
                </c:pt>
                <c:pt idx="2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  <c:pt idx="22">
                  <c:v>9.1836734693877556E-2</c:v>
                </c:pt>
                <c:pt idx="23">
                  <c:v>7.6530612244897961E-2</c:v>
                </c:pt>
                <c:pt idx="24">
                  <c:v>7.6530612244897961E-2</c:v>
                </c:pt>
                <c:pt idx="25">
                  <c:v>8.4183673469387751E-2</c:v>
                </c:pt>
                <c:pt idx="26">
                  <c:v>0.10714285714285714</c:v>
                </c:pt>
                <c:pt idx="27">
                  <c:v>9.6938775510204078E-2</c:v>
                </c:pt>
                <c:pt idx="28">
                  <c:v>0.10714285714285714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27</c:v>
                </c:pt>
                <c:pt idx="23">
                  <c:v>22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24</c:v>
                </c:pt>
                <c:pt idx="28">
                  <c:v>30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17</c:v>
                </c:pt>
                <c:pt idx="27">
                  <c:v>14</c:v>
                </c:pt>
                <c:pt idx="28">
                  <c:v>12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0.12735849056603774</c:v>
                      </c:pt>
                      <c:pt idx="23">
                        <c:v>0.10377358490566038</c:v>
                      </c:pt>
                      <c:pt idx="24">
                        <c:v>0.10849056603773585</c:v>
                      </c:pt>
                      <c:pt idx="25">
                        <c:v>0.11792452830188679</c:v>
                      </c:pt>
                      <c:pt idx="26">
                        <c:v>0.11792452830188679</c:v>
                      </c:pt>
                      <c:pt idx="27">
                        <c:v>0.11320754716981132</c:v>
                      </c:pt>
                      <c:pt idx="28">
                        <c:v>0.14150943396226415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0.05</c:v>
                      </c:pt>
                      <c:pt idx="23">
                        <c:v>4.4444444444444446E-2</c:v>
                      </c:pt>
                      <c:pt idx="24">
                        <c:v>3.888888888888889E-2</c:v>
                      </c:pt>
                      <c:pt idx="25">
                        <c:v>4.4444444444444446E-2</c:v>
                      </c:pt>
                      <c:pt idx="26" formatCode="0.00%">
                        <c:v>9.4444444444444442E-2</c:v>
                      </c:pt>
                      <c:pt idx="27" formatCode="0.00%">
                        <c:v>7.7777777777777779E-2</c:v>
                      </c:pt>
                      <c:pt idx="28" formatCode="0.00%">
                        <c:v>6.6666666666666666E-2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0.12735849056603774</c:v>
                </c:pt>
                <c:pt idx="23">
                  <c:v>0.10377358490566038</c:v>
                </c:pt>
                <c:pt idx="24">
                  <c:v>0.10849056603773585</c:v>
                </c:pt>
                <c:pt idx="25">
                  <c:v>0.11792452830188679</c:v>
                </c:pt>
                <c:pt idx="26">
                  <c:v>0.11792452830188679</c:v>
                </c:pt>
                <c:pt idx="27">
                  <c:v>0.11320754716981132</c:v>
                </c:pt>
                <c:pt idx="28">
                  <c:v>0.14150943396226415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4.4444444444444446E-2</c:v>
                </c:pt>
                <c:pt idx="24">
                  <c:v>3.888888888888889E-2</c:v>
                </c:pt>
                <c:pt idx="25">
                  <c:v>4.4444444444444446E-2</c:v>
                </c:pt>
                <c:pt idx="26" formatCode="0.00%">
                  <c:v>9.4444444444444442E-2</c:v>
                </c:pt>
                <c:pt idx="27" formatCode="0.00%">
                  <c:v>7.7777777777777779E-2</c:v>
                </c:pt>
                <c:pt idx="28" formatCode="0.00%">
                  <c:v>6.6666666666666666E-2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27</c:v>
                      </c:pt>
                      <c:pt idx="23">
                        <c:v>22</c:v>
                      </c:pt>
                      <c:pt idx="24">
                        <c:v>23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24</c:v>
                      </c:pt>
                      <c:pt idx="28">
                        <c:v>30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9</c:v>
                      </c:pt>
                      <c:pt idx="23">
                        <c:v>8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17</c:v>
                      </c:pt>
                      <c:pt idx="27">
                        <c:v>14</c:v>
                      </c:pt>
                      <c:pt idx="28">
                        <c:v>12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O676"/>
  <sheetViews>
    <sheetView zoomScale="84" zoomScaleNormal="84" workbookViewId="0">
      <pane xSplit="10" ySplit="4" topLeftCell="AM5" activePane="bottomRight" state="frozen"/>
      <selection pane="topRight" activeCell="M1" sqref="M1"/>
      <selection pane="bottomLeft" activeCell="A5" sqref="A5"/>
      <selection pane="bottomRight" activeCell="AM3" sqref="AM3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9.6000000000000002E-2</v>
      </c>
      <c r="AH1" s="4">
        <f t="shared" si="0"/>
        <v>0.08</v>
      </c>
      <c r="AI1" s="4">
        <f t="shared" si="0"/>
        <v>0.08</v>
      </c>
      <c r="AJ1" s="4">
        <f t="shared" si="0"/>
        <v>8.7999999999999995E-2</v>
      </c>
      <c r="AK1" s="4">
        <f t="shared" si="0"/>
        <v>0.11081794195250659</v>
      </c>
      <c r="AL1" s="4">
        <f t="shared" si="0"/>
        <v>0.10026385224274406</v>
      </c>
      <c r="AM1" s="4">
        <f t="shared" ref="AM1:AN1" si="1">(AM3)/(AM2+AM3)</f>
        <v>0.11081794195250659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339</v>
      </c>
      <c r="AH2" s="10">
        <f>COUNTIF(AH5:AH379, "")</f>
        <v>345</v>
      </c>
      <c r="AI2" s="10">
        <f t="shared" ref="AI2:AM2" si="4">COUNTIF(AI5:AI379, "")</f>
        <v>345</v>
      </c>
      <c r="AJ2" s="10">
        <f t="shared" si="4"/>
        <v>342</v>
      </c>
      <c r="AK2" s="10">
        <f t="shared" si="4"/>
        <v>337</v>
      </c>
      <c r="AL2" s="10">
        <f t="shared" si="4"/>
        <v>341</v>
      </c>
      <c r="AM2" s="10">
        <f t="shared" si="4"/>
        <v>337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36</v>
      </c>
      <c r="AH3" s="14">
        <f t="shared" si="5"/>
        <v>30</v>
      </c>
      <c r="AI3" s="14">
        <f t="shared" si="5"/>
        <v>30</v>
      </c>
      <c r="AJ3" s="14">
        <f t="shared" si="5"/>
        <v>33</v>
      </c>
      <c r="AK3" s="14">
        <f t="shared" si="5"/>
        <v>42</v>
      </c>
      <c r="AL3" s="14">
        <f t="shared" si="5"/>
        <v>38</v>
      </c>
      <c r="AM3" s="14">
        <f t="shared" ref="AM3:AN3" si="6">COUNTIF(AM4:AM447, "apagado")</f>
        <v>42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1170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hidden="1" thickTop="1" thickBot="1" x14ac:dyDescent="0.35">
      <c r="A5" s="51" t="s">
        <v>26</v>
      </c>
      <c r="B5" s="51" t="s">
        <v>1015</v>
      </c>
      <c r="C5" s="51" t="s">
        <v>1171</v>
      </c>
      <c r="D5" s="51" t="s">
        <v>33</v>
      </c>
      <c r="E5" s="51" t="s">
        <v>19</v>
      </c>
      <c r="F5" s="51" t="s">
        <v>1163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hidden="1" thickBot="1" x14ac:dyDescent="0.35">
      <c r="A6" s="51" t="s">
        <v>26</v>
      </c>
      <c r="B6" s="51" t="s">
        <v>1016</v>
      </c>
      <c r="C6" s="51" t="s">
        <v>1171</v>
      </c>
      <c r="D6" s="51" t="s">
        <v>34</v>
      </c>
      <c r="E6" s="51" t="s">
        <v>19</v>
      </c>
      <c r="F6" s="51" t="s">
        <v>1163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hidden="1" thickBot="1" x14ac:dyDescent="0.35">
      <c r="A7" s="51" t="s">
        <v>26</v>
      </c>
      <c r="B7" s="51" t="s">
        <v>1017</v>
      </c>
      <c r="C7" s="51" t="s">
        <v>1171</v>
      </c>
      <c r="D7" s="51" t="s">
        <v>27</v>
      </c>
      <c r="E7" s="51" t="s">
        <v>19</v>
      </c>
      <c r="F7" s="51" t="s">
        <v>1164</v>
      </c>
      <c r="G7" s="51" t="s">
        <v>635</v>
      </c>
      <c r="H7" s="53">
        <f t="shared" si="10"/>
        <v>19</v>
      </c>
      <c r="I7" s="17">
        <f t="shared" si="8"/>
        <v>11</v>
      </c>
      <c r="J7" s="18">
        <f t="shared" si="9"/>
        <v>0.6333333333333333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 t="s">
        <v>1010</v>
      </c>
      <c r="AJ7" s="27" t="s">
        <v>1010</v>
      </c>
      <c r="AK7" s="8" t="s">
        <v>1010</v>
      </c>
      <c r="AL7" s="8"/>
      <c r="AM7" s="27"/>
      <c r="AN7" s="27"/>
      <c r="AO7" s="27"/>
    </row>
    <row r="8" spans="1:41" ht="15" hidden="1" thickBot="1" x14ac:dyDescent="0.35">
      <c r="A8" s="51" t="s">
        <v>26</v>
      </c>
      <c r="B8" s="51" t="s">
        <v>1018</v>
      </c>
      <c r="C8" s="51" t="s">
        <v>1171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hidden="1" thickBot="1" x14ac:dyDescent="0.35">
      <c r="A9" s="51" t="s">
        <v>26</v>
      </c>
      <c r="B9" s="51" t="s">
        <v>1019</v>
      </c>
      <c r="C9" s="51" t="s">
        <v>1171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hidden="1" thickBot="1" x14ac:dyDescent="0.35">
      <c r="A10" s="51" t="s">
        <v>26</v>
      </c>
      <c r="B10" s="51" t="s">
        <v>1020</v>
      </c>
      <c r="C10" s="51" t="s">
        <v>1171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20</v>
      </c>
      <c r="I10" s="17">
        <f t="shared" si="8"/>
        <v>9</v>
      </c>
      <c r="J10" s="18">
        <f t="shared" si="9"/>
        <v>0.68965517241379315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 t="s">
        <v>1010</v>
      </c>
      <c r="AH10" s="8" t="s">
        <v>1010</v>
      </c>
      <c r="AI10" s="8" t="s">
        <v>1010</v>
      </c>
      <c r="AJ10" s="27" t="s">
        <v>1010</v>
      </c>
      <c r="AK10" s="8" t="s">
        <v>1010</v>
      </c>
      <c r="AL10" s="8" t="s">
        <v>1010</v>
      </c>
      <c r="AM10" s="27" t="s">
        <v>1010</v>
      </c>
      <c r="AN10" s="27"/>
      <c r="AO10" s="27"/>
    </row>
    <row r="11" spans="1:41" ht="15" hidden="1" thickBot="1" x14ac:dyDescent="0.35">
      <c r="A11" s="51" t="s">
        <v>26</v>
      </c>
      <c r="B11" s="51" t="s">
        <v>29</v>
      </c>
      <c r="C11" s="51" t="s">
        <v>1171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hidden="1" thickBot="1" x14ac:dyDescent="0.35">
      <c r="A12" s="51" t="s">
        <v>26</v>
      </c>
      <c r="B12" s="51" t="s">
        <v>31</v>
      </c>
      <c r="C12" s="51" t="s">
        <v>1171</v>
      </c>
      <c r="D12" s="51" t="s">
        <v>32</v>
      </c>
      <c r="E12" s="51" t="s">
        <v>19</v>
      </c>
      <c r="F12" s="51" t="s">
        <v>1164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hidden="1" thickBot="1" x14ac:dyDescent="0.35">
      <c r="A13" s="51" t="s">
        <v>26</v>
      </c>
      <c r="B13" s="51" t="s">
        <v>35</v>
      </c>
      <c r="C13" s="51" t="s">
        <v>1171</v>
      </c>
      <c r="D13" s="51" t="s">
        <v>36</v>
      </c>
      <c r="E13" s="51" t="s">
        <v>19</v>
      </c>
      <c r="F13" s="51" t="s">
        <v>1164</v>
      </c>
      <c r="G13" s="51" t="s">
        <v>633</v>
      </c>
      <c r="H13" s="53">
        <f t="shared" si="10"/>
        <v>20</v>
      </c>
      <c r="I13" s="17">
        <f t="shared" si="8"/>
        <v>9</v>
      </c>
      <c r="J13" s="18">
        <f t="shared" si="9"/>
        <v>0.68965517241379315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 t="s">
        <v>1010</v>
      </c>
      <c r="AH13" s="8" t="s">
        <v>1010</v>
      </c>
      <c r="AI13" s="8" t="s">
        <v>1010</v>
      </c>
      <c r="AJ13" s="27" t="s">
        <v>1010</v>
      </c>
      <c r="AK13" s="8" t="s">
        <v>1010</v>
      </c>
      <c r="AL13" s="8" t="s">
        <v>1010</v>
      </c>
      <c r="AM13" s="27" t="s">
        <v>1010</v>
      </c>
      <c r="AN13" s="27"/>
      <c r="AO13" s="27"/>
    </row>
    <row r="14" spans="1:41" ht="15" hidden="1" thickBot="1" x14ac:dyDescent="0.35">
      <c r="A14" s="51" t="s">
        <v>26</v>
      </c>
      <c r="B14" s="51" t="s">
        <v>37</v>
      </c>
      <c r="C14" s="51" t="s">
        <v>1171</v>
      </c>
      <c r="D14" s="51" t="s">
        <v>38</v>
      </c>
      <c r="E14" s="51" t="s">
        <v>15</v>
      </c>
      <c r="F14" s="51" t="s">
        <v>1164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hidden="1" thickBot="1" x14ac:dyDescent="0.35">
      <c r="A15" s="51" t="s">
        <v>41</v>
      </c>
      <c r="B15" s="51" t="s">
        <v>1022</v>
      </c>
      <c r="C15" s="51" t="s">
        <v>1172</v>
      </c>
      <c r="D15" s="51" t="s">
        <v>42</v>
      </c>
      <c r="E15" s="51" t="s">
        <v>19</v>
      </c>
      <c r="F15" s="51" t="s">
        <v>1163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hidden="1" thickBot="1" x14ac:dyDescent="0.35">
      <c r="A16" s="51" t="s">
        <v>43</v>
      </c>
      <c r="B16" s="51" t="s">
        <v>1023</v>
      </c>
      <c r="C16" s="51" t="s">
        <v>1171</v>
      </c>
      <c r="D16" s="51" t="s">
        <v>44</v>
      </c>
      <c r="E16" s="51" t="s">
        <v>15</v>
      </c>
      <c r="F16" s="51" t="s">
        <v>1163</v>
      </c>
      <c r="G16" s="51" t="s">
        <v>641</v>
      </c>
      <c r="H16" s="53">
        <f t="shared" si="10"/>
        <v>24</v>
      </c>
      <c r="I16" s="17">
        <f t="shared" si="8"/>
        <v>6</v>
      </c>
      <c r="J16" s="18">
        <f t="shared" si="9"/>
        <v>0.8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 t="s">
        <v>1010</v>
      </c>
      <c r="AK16" s="8" t="s">
        <v>1010</v>
      </c>
      <c r="AL16" s="8"/>
      <c r="AM16" s="27"/>
      <c r="AN16" s="27"/>
      <c r="AO16" s="27"/>
    </row>
    <row r="17" spans="1:41" ht="15" hidden="1" thickBot="1" x14ac:dyDescent="0.35">
      <c r="A17" s="51" t="s">
        <v>52</v>
      </c>
      <c r="B17" s="51" t="s">
        <v>1024</v>
      </c>
      <c r="C17" s="51" t="s">
        <v>1171</v>
      </c>
      <c r="D17" s="51" t="s">
        <v>1194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hidden="1" thickBot="1" x14ac:dyDescent="0.35">
      <c r="A18" s="51" t="s">
        <v>52</v>
      </c>
      <c r="B18" s="51" t="s">
        <v>1025</v>
      </c>
      <c r="C18" s="51" t="s">
        <v>1171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hidden="1" thickBot="1" x14ac:dyDescent="0.35">
      <c r="A19" s="51" t="s">
        <v>52</v>
      </c>
      <c r="B19" s="51" t="s">
        <v>1026</v>
      </c>
      <c r="C19" s="51" t="s">
        <v>1171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hidden="1" thickBot="1" x14ac:dyDescent="0.35">
      <c r="A20" s="51" t="s">
        <v>52</v>
      </c>
      <c r="B20" s="51" t="s">
        <v>1027</v>
      </c>
      <c r="C20" s="51" t="s">
        <v>1171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hidden="1" thickBot="1" x14ac:dyDescent="0.35">
      <c r="A21" s="51" t="s">
        <v>52</v>
      </c>
      <c r="B21" s="51" t="s">
        <v>1028</v>
      </c>
      <c r="C21" s="51" t="s">
        <v>1171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hidden="1" thickBot="1" x14ac:dyDescent="0.35">
      <c r="A22" s="51" t="s">
        <v>52</v>
      </c>
      <c r="B22" s="51" t="s">
        <v>1029</v>
      </c>
      <c r="C22" s="51" t="s">
        <v>1171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hidden="1" thickBot="1" x14ac:dyDescent="0.35">
      <c r="A23" s="51" t="s">
        <v>52</v>
      </c>
      <c r="B23" s="51" t="s">
        <v>1030</v>
      </c>
      <c r="C23" s="51" t="s">
        <v>1171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hidden="1" thickBot="1" x14ac:dyDescent="0.35">
      <c r="A24" s="51" t="s">
        <v>52</v>
      </c>
      <c r="B24" s="51" t="s">
        <v>48</v>
      </c>
      <c r="C24" s="51" t="s">
        <v>1171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hidden="1" thickBot="1" x14ac:dyDescent="0.35">
      <c r="A25" s="51" t="s">
        <v>52</v>
      </c>
      <c r="B25" s="51" t="s">
        <v>50</v>
      </c>
      <c r="C25" s="51" t="s">
        <v>1171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hidden="1" thickBot="1" x14ac:dyDescent="0.35">
      <c r="A26" s="51" t="s">
        <v>52</v>
      </c>
      <c r="B26" s="51" t="s">
        <v>53</v>
      </c>
      <c r="C26" s="51" t="s">
        <v>1171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hidden="1" thickBot="1" x14ac:dyDescent="0.35">
      <c r="A27" s="51" t="s">
        <v>52</v>
      </c>
      <c r="B27" s="51" t="s">
        <v>55</v>
      </c>
      <c r="C27" s="51" t="s">
        <v>1171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hidden="1" thickBot="1" x14ac:dyDescent="0.35">
      <c r="A28" s="51" t="s">
        <v>52</v>
      </c>
      <c r="B28" s="51" t="s">
        <v>57</v>
      </c>
      <c r="C28" s="51" t="s">
        <v>1171</v>
      </c>
      <c r="D28" s="51" t="s">
        <v>58</v>
      </c>
      <c r="E28" s="51" t="s">
        <v>15</v>
      </c>
      <c r="F28" s="51" t="s">
        <v>1163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hidden="1" thickBot="1" x14ac:dyDescent="0.35">
      <c r="A29" s="51" t="s">
        <v>52</v>
      </c>
      <c r="B29" s="51" t="s">
        <v>60</v>
      </c>
      <c r="C29" s="51" t="s">
        <v>1171</v>
      </c>
      <c r="D29" s="51" t="s">
        <v>61</v>
      </c>
      <c r="E29" s="51" t="s">
        <v>15</v>
      </c>
      <c r="F29" s="51" t="s">
        <v>1164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hidden="1" thickBot="1" x14ac:dyDescent="0.35">
      <c r="A30" s="51" t="s">
        <v>52</v>
      </c>
      <c r="B30" s="51" t="s">
        <v>62</v>
      </c>
      <c r="C30" s="51" t="s">
        <v>1171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hidden="1" thickBot="1" x14ac:dyDescent="0.35">
      <c r="A31" s="51" t="s">
        <v>52</v>
      </c>
      <c r="B31" s="51" t="s">
        <v>1031</v>
      </c>
      <c r="C31" s="51" t="s">
        <v>1171</v>
      </c>
      <c r="D31" s="51" t="s">
        <v>157</v>
      </c>
      <c r="E31" s="51" t="s">
        <v>46</v>
      </c>
      <c r="F31" s="51" t="s">
        <v>28</v>
      </c>
      <c r="G31" s="51" t="s">
        <v>1167</v>
      </c>
      <c r="H31" s="53">
        <f t="shared" si="10"/>
        <v>13</v>
      </c>
      <c r="I31" s="17">
        <f t="shared" si="8"/>
        <v>16</v>
      </c>
      <c r="J31" s="18">
        <f t="shared" si="9"/>
        <v>0.44827586206896552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 t="s">
        <v>1010</v>
      </c>
      <c r="AH31" s="8"/>
      <c r="AI31" s="8"/>
      <c r="AJ31" s="27"/>
      <c r="AK31" s="8"/>
      <c r="AL31" s="8"/>
      <c r="AM31" s="27" t="s">
        <v>1010</v>
      </c>
      <c r="AN31" s="27"/>
      <c r="AO31" s="27"/>
    </row>
    <row r="32" spans="1:41" ht="15" hidden="1" thickBot="1" x14ac:dyDescent="0.35">
      <c r="A32" s="51" t="s">
        <v>52</v>
      </c>
      <c r="B32" s="51" t="s">
        <v>65</v>
      </c>
      <c r="C32" s="51" t="s">
        <v>1171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hidden="1" thickBot="1" x14ac:dyDescent="0.35">
      <c r="A33" s="51" t="s">
        <v>52</v>
      </c>
      <c r="B33" s="51" t="s">
        <v>67</v>
      </c>
      <c r="C33" s="51" t="s">
        <v>1171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hidden="1" thickBot="1" x14ac:dyDescent="0.35">
      <c r="A34" s="51" t="s">
        <v>52</v>
      </c>
      <c r="B34" s="51" t="s">
        <v>69</v>
      </c>
      <c r="C34" s="51" t="s">
        <v>1171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1</v>
      </c>
      <c r="I34" s="17">
        <f t="shared" si="8"/>
        <v>28</v>
      </c>
      <c r="J34" s="18">
        <f t="shared" si="9"/>
        <v>3.4482758620689655E-2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 t="s">
        <v>1010</v>
      </c>
      <c r="AH34" s="8" t="s">
        <v>1010</v>
      </c>
      <c r="AI34" s="8" t="s">
        <v>1010</v>
      </c>
      <c r="AJ34" s="27" t="s">
        <v>1010</v>
      </c>
      <c r="AK34" s="8" t="s">
        <v>1010</v>
      </c>
      <c r="AL34" s="8" t="s">
        <v>1010</v>
      </c>
      <c r="AM34" s="27" t="s">
        <v>1010</v>
      </c>
      <c r="AN34" s="27"/>
      <c r="AO34" s="27"/>
    </row>
    <row r="35" spans="1:41" ht="15" hidden="1" thickBot="1" x14ac:dyDescent="0.35">
      <c r="A35" s="51" t="s">
        <v>52</v>
      </c>
      <c r="B35" s="51" t="s">
        <v>1032</v>
      </c>
      <c r="C35" s="51" t="s">
        <v>1171</v>
      </c>
      <c r="D35" s="51" t="s">
        <v>1033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hidden="1" thickBot="1" x14ac:dyDescent="0.35">
      <c r="A36" s="51" t="s">
        <v>52</v>
      </c>
      <c r="B36" s="51" t="s">
        <v>1034</v>
      </c>
      <c r="C36" s="51" t="s">
        <v>1171</v>
      </c>
      <c r="D36" s="51" t="s">
        <v>1191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hidden="1" thickBot="1" x14ac:dyDescent="0.35">
      <c r="A37" s="51" t="s">
        <v>52</v>
      </c>
      <c r="B37" s="51" t="s">
        <v>71</v>
      </c>
      <c r="C37" s="51" t="s">
        <v>1171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hidden="1" thickBot="1" x14ac:dyDescent="0.35">
      <c r="A38" s="51" t="s">
        <v>52</v>
      </c>
      <c r="B38" s="51" t="s">
        <v>74</v>
      </c>
      <c r="C38" s="51" t="s">
        <v>1171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hidden="1" thickBot="1" x14ac:dyDescent="0.35">
      <c r="A39" s="51" t="s">
        <v>52</v>
      </c>
      <c r="B39" s="51" t="s">
        <v>76</v>
      </c>
      <c r="C39" s="51" t="s">
        <v>1171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hidden="1" thickBot="1" x14ac:dyDescent="0.35">
      <c r="A40" s="51" t="s">
        <v>52</v>
      </c>
      <c r="B40" s="51" t="s">
        <v>78</v>
      </c>
      <c r="C40" s="51" t="s">
        <v>1171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hidden="1" thickBot="1" x14ac:dyDescent="0.35">
      <c r="A41" s="51" t="s">
        <v>52</v>
      </c>
      <c r="B41" s="51" t="s">
        <v>80</v>
      </c>
      <c r="C41" s="51" t="s">
        <v>1171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hidden="1" thickBot="1" x14ac:dyDescent="0.35">
      <c r="A42" s="51" t="s">
        <v>52</v>
      </c>
      <c r="B42" s="51" t="s">
        <v>82</v>
      </c>
      <c r="C42" s="51" t="s">
        <v>1171</v>
      </c>
      <c r="D42" s="51" t="s">
        <v>1190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hidden="1" thickBot="1" x14ac:dyDescent="0.35">
      <c r="A43" s="51" t="s">
        <v>52</v>
      </c>
      <c r="B43" s="51" t="s">
        <v>83</v>
      </c>
      <c r="C43" s="51" t="s">
        <v>1171</v>
      </c>
      <c r="D43" s="51" t="s">
        <v>1189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hidden="1" thickBot="1" x14ac:dyDescent="0.35">
      <c r="A44" s="51" t="s">
        <v>52</v>
      </c>
      <c r="B44" s="51" t="s">
        <v>84</v>
      </c>
      <c r="C44" s="51" t="s">
        <v>1171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hidden="1" thickBot="1" x14ac:dyDescent="0.35">
      <c r="A45" s="51" t="s">
        <v>52</v>
      </c>
      <c r="B45" s="51" t="s">
        <v>86</v>
      </c>
      <c r="C45" s="51" t="s">
        <v>1171</v>
      </c>
      <c r="D45" s="51" t="s">
        <v>1188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hidden="1" thickBot="1" x14ac:dyDescent="0.35">
      <c r="A46" s="51" t="s">
        <v>52</v>
      </c>
      <c r="B46" s="51" t="s">
        <v>87</v>
      </c>
      <c r="C46" s="51" t="s">
        <v>1171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hidden="1" thickBot="1" x14ac:dyDescent="0.35">
      <c r="A47" s="51" t="s">
        <v>52</v>
      </c>
      <c r="B47" s="51" t="s">
        <v>91</v>
      </c>
      <c r="C47" s="51" t="s">
        <v>1171</v>
      </c>
      <c r="D47" s="51" t="s">
        <v>1192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hidden="1" thickBot="1" x14ac:dyDescent="0.35">
      <c r="A48" s="51" t="s">
        <v>52</v>
      </c>
      <c r="B48" s="51" t="s">
        <v>92</v>
      </c>
      <c r="C48" s="51" t="s">
        <v>1171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hidden="1" thickBot="1" x14ac:dyDescent="0.35">
      <c r="A49" s="51" t="s">
        <v>52</v>
      </c>
      <c r="B49" s="51" t="s">
        <v>94</v>
      </c>
      <c r="C49" s="51" t="s">
        <v>1171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hidden="1" thickBot="1" x14ac:dyDescent="0.35">
      <c r="A50" s="51"/>
      <c r="B50" s="51" t="s">
        <v>96</v>
      </c>
      <c r="C50" s="51" t="s">
        <v>1171</v>
      </c>
      <c r="D50" s="51" t="s">
        <v>97</v>
      </c>
      <c r="E50" s="51" t="s">
        <v>19</v>
      </c>
      <c r="F50" s="51" t="s">
        <v>1164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hidden="1" thickBot="1" x14ac:dyDescent="0.35">
      <c r="A51" s="51" t="s">
        <v>52</v>
      </c>
      <c r="B51" s="51" t="s">
        <v>98</v>
      </c>
      <c r="C51" s="51" t="s">
        <v>1171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hidden="1" thickBot="1" x14ac:dyDescent="0.35">
      <c r="A52" s="51" t="s">
        <v>52</v>
      </c>
      <c r="B52" s="51" t="s">
        <v>100</v>
      </c>
      <c r="C52" s="51" t="s">
        <v>1171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hidden="1" thickBot="1" x14ac:dyDescent="0.35">
      <c r="A53" s="51" t="s">
        <v>101</v>
      </c>
      <c r="B53" s="51" t="s">
        <v>102</v>
      </c>
      <c r="C53" s="51" t="s">
        <v>1171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hidden="1" thickBot="1" x14ac:dyDescent="0.35">
      <c r="A54" s="51" t="s">
        <v>52</v>
      </c>
      <c r="B54" s="51" t="s">
        <v>104</v>
      </c>
      <c r="C54" s="51" t="s">
        <v>1171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hidden="1" thickBot="1" x14ac:dyDescent="0.35">
      <c r="A55" s="51" t="s">
        <v>52</v>
      </c>
      <c r="B55" s="51" t="s">
        <v>106</v>
      </c>
      <c r="C55" s="51" t="s">
        <v>1171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hidden="1" thickBot="1" x14ac:dyDescent="0.35">
      <c r="A56" s="51" t="s">
        <v>52</v>
      </c>
      <c r="B56" s="51" t="s">
        <v>108</v>
      </c>
      <c r="C56" s="51" t="s">
        <v>1171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hidden="1" thickBot="1" x14ac:dyDescent="0.35">
      <c r="A57" s="51" t="s">
        <v>52</v>
      </c>
      <c r="B57" s="51" t="s">
        <v>110</v>
      </c>
      <c r="C57" s="51" t="s">
        <v>1171</v>
      </c>
      <c r="D57" s="51" t="s">
        <v>1193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hidden="1" thickBot="1" x14ac:dyDescent="0.35">
      <c r="A58" s="51" t="s">
        <v>52</v>
      </c>
      <c r="B58" s="51" t="s">
        <v>111</v>
      </c>
      <c r="C58" s="51" t="s">
        <v>1171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hidden="1" thickBot="1" x14ac:dyDescent="0.35">
      <c r="A59" s="51" t="s">
        <v>52</v>
      </c>
      <c r="B59" s="51" t="s">
        <v>113</v>
      </c>
      <c r="C59" s="51" t="s">
        <v>1171</v>
      </c>
      <c r="D59" s="51" t="s">
        <v>1195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hidden="1" thickBot="1" x14ac:dyDescent="0.35">
      <c r="A60" s="51" t="s">
        <v>52</v>
      </c>
      <c r="B60" s="51" t="s">
        <v>114</v>
      </c>
      <c r="C60" s="51" t="s">
        <v>1171</v>
      </c>
      <c r="D60" s="51" t="s">
        <v>1196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hidden="1" thickBot="1" x14ac:dyDescent="0.35">
      <c r="A61" s="51" t="s">
        <v>52</v>
      </c>
      <c r="B61" s="51" t="s">
        <v>115</v>
      </c>
      <c r="C61" s="51" t="s">
        <v>1171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hidden="1" thickBot="1" x14ac:dyDescent="0.35">
      <c r="A62" s="51" t="s">
        <v>52</v>
      </c>
      <c r="B62" s="51" t="s">
        <v>117</v>
      </c>
      <c r="C62" s="51" t="s">
        <v>1171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hidden="1" thickBot="1" x14ac:dyDescent="0.35">
      <c r="A63" s="51" t="s">
        <v>52</v>
      </c>
      <c r="B63" s="51" t="s">
        <v>119</v>
      </c>
      <c r="C63" s="51" t="s">
        <v>1171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hidden="1" thickBot="1" x14ac:dyDescent="0.35">
      <c r="A64" s="51" t="s">
        <v>52</v>
      </c>
      <c r="B64" s="51" t="s">
        <v>121</v>
      </c>
      <c r="C64" s="51" t="s">
        <v>1171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hidden="1" thickBot="1" x14ac:dyDescent="0.35">
      <c r="A65" s="51" t="s">
        <v>52</v>
      </c>
      <c r="B65" s="51" t="s">
        <v>123</v>
      </c>
      <c r="C65" s="51" t="s">
        <v>1171</v>
      </c>
      <c r="D65" s="51" t="s">
        <v>1197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hidden="1" thickBot="1" x14ac:dyDescent="0.35">
      <c r="A66" s="51" t="s">
        <v>52</v>
      </c>
      <c r="B66" s="51" t="s">
        <v>124</v>
      </c>
      <c r="C66" s="51" t="s">
        <v>1171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hidden="1" thickBot="1" x14ac:dyDescent="0.35">
      <c r="A67" s="51" t="s">
        <v>52</v>
      </c>
      <c r="B67" s="51" t="s">
        <v>126</v>
      </c>
      <c r="C67" s="51" t="s">
        <v>1171</v>
      </c>
      <c r="D67" s="51" t="s">
        <v>1177</v>
      </c>
      <c r="E67" s="51" t="s">
        <v>19</v>
      </c>
      <c r="F67" s="51" t="s">
        <v>28</v>
      </c>
      <c r="G67" s="51" t="s">
        <v>674</v>
      </c>
      <c r="H67" s="53">
        <f t="shared" si="10"/>
        <v>1</v>
      </c>
      <c r="I67" s="17">
        <f t="shared" si="8"/>
        <v>28</v>
      </c>
      <c r="J67" s="18">
        <f t="shared" si="9"/>
        <v>3.4482758620689655E-2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 t="s">
        <v>1010</v>
      </c>
      <c r="AH67" s="8" t="s">
        <v>1010</v>
      </c>
      <c r="AI67" s="8" t="s">
        <v>1010</v>
      </c>
      <c r="AJ67" s="27" t="s">
        <v>1010</v>
      </c>
      <c r="AK67" s="8" t="s">
        <v>1010</v>
      </c>
      <c r="AL67" s="8" t="s">
        <v>1010</v>
      </c>
      <c r="AM67" s="27" t="s">
        <v>1010</v>
      </c>
      <c r="AN67" s="27"/>
      <c r="AO67" s="27"/>
    </row>
    <row r="68" spans="1:41" ht="15" hidden="1" thickBot="1" x14ac:dyDescent="0.35">
      <c r="A68" s="51" t="s">
        <v>52</v>
      </c>
      <c r="B68" s="51" t="s">
        <v>127</v>
      </c>
      <c r="C68" s="51" t="s">
        <v>1171</v>
      </c>
      <c r="D68" s="51" t="s">
        <v>1178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hidden="1" thickBot="1" x14ac:dyDescent="0.35">
      <c r="A69" s="51" t="s">
        <v>52</v>
      </c>
      <c r="B69" s="51" t="s">
        <v>128</v>
      </c>
      <c r="C69" s="51" t="s">
        <v>1171</v>
      </c>
      <c r="D69" s="51" t="s">
        <v>1179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hidden="1" thickBot="1" x14ac:dyDescent="0.35">
      <c r="A70" s="51" t="s">
        <v>52</v>
      </c>
      <c r="B70" s="51" t="s">
        <v>130</v>
      </c>
      <c r="C70" s="51" t="s">
        <v>1171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hidden="1" thickBot="1" x14ac:dyDescent="0.35">
      <c r="A71" s="51" t="s">
        <v>52</v>
      </c>
      <c r="B71" s="51" t="s">
        <v>132</v>
      </c>
      <c r="C71" s="51" t="s">
        <v>1171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hidden="1" thickBot="1" x14ac:dyDescent="0.35">
      <c r="A72" s="51" t="s">
        <v>52</v>
      </c>
      <c r="B72" s="51" t="s">
        <v>134</v>
      </c>
      <c r="C72" s="51" t="s">
        <v>1171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hidden="1" thickBot="1" x14ac:dyDescent="0.35">
      <c r="A73" s="51" t="s">
        <v>52</v>
      </c>
      <c r="B73" s="51" t="s">
        <v>136</v>
      </c>
      <c r="C73" s="51" t="s">
        <v>1171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hidden="1" thickBot="1" x14ac:dyDescent="0.35">
      <c r="A74" s="51" t="s">
        <v>52</v>
      </c>
      <c r="B74" s="51" t="s">
        <v>138</v>
      </c>
      <c r="C74" s="51" t="s">
        <v>1171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hidden="1" thickBot="1" x14ac:dyDescent="0.35">
      <c r="A75" s="51" t="s">
        <v>52</v>
      </c>
      <c r="B75" s="51" t="s">
        <v>140</v>
      </c>
      <c r="C75" s="51" t="s">
        <v>1171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hidden="1" thickBot="1" x14ac:dyDescent="0.35">
      <c r="A76" s="51" t="s">
        <v>52</v>
      </c>
      <c r="B76" s="51" t="s">
        <v>142</v>
      </c>
      <c r="C76" s="51" t="s">
        <v>1171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26</v>
      </c>
      <c r="I76" s="17">
        <f t="shared" si="11"/>
        <v>3</v>
      </c>
      <c r="J76" s="18">
        <f t="shared" si="12"/>
        <v>0.89655172413793105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 t="s">
        <v>1010</v>
      </c>
      <c r="AM76" s="27" t="s">
        <v>1010</v>
      </c>
      <c r="AN76" s="27"/>
      <c r="AO76" s="27"/>
    </row>
    <row r="77" spans="1:41" ht="15" hidden="1" thickBot="1" x14ac:dyDescent="0.35">
      <c r="A77" s="51" t="s">
        <v>52</v>
      </c>
      <c r="B77" s="51" t="s">
        <v>144</v>
      </c>
      <c r="C77" s="51" t="s">
        <v>1171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hidden="1" thickBot="1" x14ac:dyDescent="0.35">
      <c r="A78" s="51" t="s">
        <v>52</v>
      </c>
      <c r="B78" s="51" t="s">
        <v>145</v>
      </c>
      <c r="C78" s="51" t="s">
        <v>1171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hidden="1" thickBot="1" x14ac:dyDescent="0.35">
      <c r="A79" s="51" t="s">
        <v>52</v>
      </c>
      <c r="B79" s="51" t="s">
        <v>146</v>
      </c>
      <c r="C79" s="51" t="s">
        <v>1171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21</v>
      </c>
      <c r="I79" s="17">
        <f t="shared" si="11"/>
        <v>8</v>
      </c>
      <c r="J79" s="18">
        <f t="shared" si="12"/>
        <v>0.72413793103448276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 t="s">
        <v>1010</v>
      </c>
      <c r="AH79" s="8" t="s">
        <v>1010</v>
      </c>
      <c r="AI79" s="8"/>
      <c r="AJ79" s="27"/>
      <c r="AK79" s="8"/>
      <c r="AL79" s="8" t="s">
        <v>1010</v>
      </c>
      <c r="AM79" s="27" t="s">
        <v>1010</v>
      </c>
      <c r="AN79" s="27"/>
      <c r="AO79" s="27"/>
    </row>
    <row r="80" spans="1:41" ht="15" hidden="1" thickBot="1" x14ac:dyDescent="0.35">
      <c r="A80" s="51" t="s">
        <v>52</v>
      </c>
      <c r="B80" s="51" t="s">
        <v>148</v>
      </c>
      <c r="C80" s="51" t="s">
        <v>1171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hidden="1" thickBot="1" x14ac:dyDescent="0.35">
      <c r="A81" s="51" t="s">
        <v>52</v>
      </c>
      <c r="B81" s="51" t="s">
        <v>150</v>
      </c>
      <c r="C81" s="51" t="s">
        <v>1171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hidden="1" thickBot="1" x14ac:dyDescent="0.35">
      <c r="A82" s="51" t="s">
        <v>52</v>
      </c>
      <c r="B82" s="51" t="s">
        <v>153</v>
      </c>
      <c r="C82" s="51" t="s">
        <v>1171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hidden="1" thickBot="1" x14ac:dyDescent="0.35">
      <c r="A83" s="51" t="s">
        <v>52</v>
      </c>
      <c r="B83" s="51" t="s">
        <v>1035</v>
      </c>
      <c r="C83" s="51" t="s">
        <v>1171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hidden="1" thickBot="1" x14ac:dyDescent="0.35">
      <c r="A84" s="51" t="s">
        <v>52</v>
      </c>
      <c r="B84" s="51" t="s">
        <v>1036</v>
      </c>
      <c r="C84" s="51" t="s">
        <v>1171</v>
      </c>
      <c r="D84" s="51" t="s">
        <v>1198</v>
      </c>
      <c r="E84" s="51" t="s">
        <v>15</v>
      </c>
      <c r="F84" s="51" t="s">
        <v>1164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hidden="1" thickBot="1" x14ac:dyDescent="0.35">
      <c r="A85" s="51" t="s">
        <v>52</v>
      </c>
      <c r="B85" s="51" t="s">
        <v>1037</v>
      </c>
      <c r="C85" s="51" t="s">
        <v>1171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hidden="1" thickBot="1" x14ac:dyDescent="0.35">
      <c r="A86" s="51" t="s">
        <v>52</v>
      </c>
      <c r="B86" s="51" t="s">
        <v>155</v>
      </c>
      <c r="C86" s="51" t="s">
        <v>1171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hidden="1" thickBot="1" x14ac:dyDescent="0.35">
      <c r="A87" s="51" t="s">
        <v>52</v>
      </c>
      <c r="B87" s="51" t="s">
        <v>158</v>
      </c>
      <c r="C87" s="51" t="s">
        <v>1171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13</v>
      </c>
      <c r="I87" s="17">
        <f t="shared" si="11"/>
        <v>16</v>
      </c>
      <c r="J87" s="18">
        <f t="shared" si="12"/>
        <v>0.44827586206896552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 t="s">
        <v>1010</v>
      </c>
      <c r="AH87" s="8"/>
      <c r="AI87" s="8"/>
      <c r="AJ87" s="27"/>
      <c r="AK87" s="8"/>
      <c r="AL87" s="8"/>
      <c r="AM87" s="27" t="s">
        <v>1010</v>
      </c>
      <c r="AN87" s="27"/>
      <c r="AO87" s="27"/>
    </row>
    <row r="88" spans="1:41" ht="15" hidden="1" thickBot="1" x14ac:dyDescent="0.35">
      <c r="A88" s="51" t="s">
        <v>52</v>
      </c>
      <c r="B88" s="51" t="s">
        <v>159</v>
      </c>
      <c r="C88" s="51" t="s">
        <v>1171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hidden="1" thickBot="1" x14ac:dyDescent="0.35">
      <c r="A89" s="51" t="s">
        <v>52</v>
      </c>
      <c r="B89" s="51" t="s">
        <v>161</v>
      </c>
      <c r="C89" s="51" t="s">
        <v>1171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hidden="1" thickBot="1" x14ac:dyDescent="0.35">
      <c r="A90" s="51" t="s">
        <v>52</v>
      </c>
      <c r="B90" s="51" t="s">
        <v>162</v>
      </c>
      <c r="C90" s="51" t="s">
        <v>1171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hidden="1" customHeight="1" thickBot="1" x14ac:dyDescent="0.35">
      <c r="A91" s="51" t="s">
        <v>52</v>
      </c>
      <c r="B91" s="51" t="s">
        <v>164</v>
      </c>
      <c r="C91" s="51" t="s">
        <v>1171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hidden="1" thickBot="1" x14ac:dyDescent="0.35">
      <c r="A92" s="51" t="s">
        <v>52</v>
      </c>
      <c r="B92" s="51" t="s">
        <v>166</v>
      </c>
      <c r="C92" s="51" t="s">
        <v>1171</v>
      </c>
      <c r="D92" s="51" t="s">
        <v>167</v>
      </c>
      <c r="E92" s="51" t="s">
        <v>19</v>
      </c>
      <c r="F92" s="51" t="s">
        <v>1163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hidden="1" thickBot="1" x14ac:dyDescent="0.35">
      <c r="A93" s="51" t="s">
        <v>168</v>
      </c>
      <c r="B93" s="51" t="s">
        <v>169</v>
      </c>
      <c r="C93" s="51" t="s">
        <v>1171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hidden="1" thickBot="1" x14ac:dyDescent="0.35">
      <c r="A94" s="51" t="s">
        <v>171</v>
      </c>
      <c r="B94" s="51" t="s">
        <v>172</v>
      </c>
      <c r="C94" s="51" t="s">
        <v>1171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hidden="1" thickBot="1" x14ac:dyDescent="0.35">
      <c r="A95" s="51" t="s">
        <v>171</v>
      </c>
      <c r="B95" s="51" t="s">
        <v>174</v>
      </c>
      <c r="C95" s="51" t="s">
        <v>1171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hidden="1" thickBot="1" x14ac:dyDescent="0.35">
      <c r="A96" s="51" t="s">
        <v>171</v>
      </c>
      <c r="B96" s="51" t="s">
        <v>176</v>
      </c>
      <c r="C96" s="51" t="s">
        <v>1171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9</v>
      </c>
      <c r="I96" s="17">
        <f t="shared" si="11"/>
        <v>20</v>
      </c>
      <c r="J96" s="18">
        <f t="shared" si="12"/>
        <v>0.31034482758620691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 t="s">
        <v>1010</v>
      </c>
      <c r="AH96" s="8" t="s">
        <v>1010</v>
      </c>
      <c r="AI96" s="8" t="s">
        <v>1010</v>
      </c>
      <c r="AJ96" s="27" t="s">
        <v>1010</v>
      </c>
      <c r="AK96" s="8" t="s">
        <v>1010</v>
      </c>
      <c r="AL96" s="8" t="s">
        <v>1010</v>
      </c>
      <c r="AM96" s="27" t="s">
        <v>1010</v>
      </c>
      <c r="AN96" s="27"/>
      <c r="AO96" s="27"/>
    </row>
    <row r="97" spans="1:41" ht="15" hidden="1" thickBot="1" x14ac:dyDescent="0.35">
      <c r="A97" s="51" t="s">
        <v>181</v>
      </c>
      <c r="B97" s="51" t="s">
        <v>1038</v>
      </c>
      <c r="C97" s="51" t="s">
        <v>1172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28</v>
      </c>
      <c r="I97" s="17">
        <f t="shared" si="11"/>
        <v>2</v>
      </c>
      <c r="J97" s="18">
        <f t="shared" si="12"/>
        <v>0.93333333333333335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 t="s">
        <v>1010</v>
      </c>
      <c r="AM97" s="27"/>
      <c r="AN97" s="27"/>
      <c r="AO97" s="27"/>
    </row>
    <row r="98" spans="1:41" ht="15" hidden="1" thickBot="1" x14ac:dyDescent="0.35">
      <c r="A98" s="51" t="s">
        <v>178</v>
      </c>
      <c r="B98" s="51" t="s">
        <v>179</v>
      </c>
      <c r="C98" s="51" t="s">
        <v>1172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hidden="1" thickBot="1" x14ac:dyDescent="0.35">
      <c r="A99" s="51" t="s">
        <v>181</v>
      </c>
      <c r="B99" s="51" t="s">
        <v>182</v>
      </c>
      <c r="C99" s="51" t="s">
        <v>1172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hidden="1" thickBot="1" x14ac:dyDescent="0.35">
      <c r="A100" s="51" t="s">
        <v>187</v>
      </c>
      <c r="B100" s="51" t="s">
        <v>1039</v>
      </c>
      <c r="C100" s="51" t="s">
        <v>1171</v>
      </c>
      <c r="D100" s="51" t="s">
        <v>188</v>
      </c>
      <c r="E100" s="51" t="s">
        <v>73</v>
      </c>
      <c r="F100" s="51" t="s">
        <v>1164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hidden="1" thickBot="1" x14ac:dyDescent="0.35">
      <c r="A101" s="51" t="s">
        <v>187</v>
      </c>
      <c r="B101" s="51" t="s">
        <v>1040</v>
      </c>
      <c r="C101" s="51" t="s">
        <v>1171</v>
      </c>
      <c r="D101" s="51" t="s">
        <v>188</v>
      </c>
      <c r="E101" s="51" t="s">
        <v>73</v>
      </c>
      <c r="F101" s="51" t="s">
        <v>1164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hidden="1" thickBot="1" x14ac:dyDescent="0.35">
      <c r="A102" s="51" t="s">
        <v>187</v>
      </c>
      <c r="B102" s="51" t="s">
        <v>1041</v>
      </c>
      <c r="C102" s="51" t="s">
        <v>1171</v>
      </c>
      <c r="D102" s="51" t="s">
        <v>1042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hidden="1" thickBot="1" x14ac:dyDescent="0.35">
      <c r="A103" s="51" t="s">
        <v>187</v>
      </c>
      <c r="B103" s="51" t="s">
        <v>1043</v>
      </c>
      <c r="C103" s="51" t="s">
        <v>1171</v>
      </c>
      <c r="D103" s="51" t="s">
        <v>1042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hidden="1" thickBot="1" x14ac:dyDescent="0.35">
      <c r="A104" s="51" t="s">
        <v>187</v>
      </c>
      <c r="B104" s="51" t="s">
        <v>185</v>
      </c>
      <c r="C104" s="51" t="s">
        <v>1171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hidden="1" customHeight="1" thickBot="1" x14ac:dyDescent="0.35">
      <c r="A105" s="51" t="s">
        <v>189</v>
      </c>
      <c r="B105" s="51" t="s">
        <v>1044</v>
      </c>
      <c r="C105" s="51" t="s">
        <v>1172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hidden="1" thickBot="1" x14ac:dyDescent="0.35">
      <c r="A106" s="51" t="s">
        <v>189</v>
      </c>
      <c r="B106" s="51" t="s">
        <v>1045</v>
      </c>
      <c r="C106" s="51" t="s">
        <v>1172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1046</v>
      </c>
      <c r="C107" s="51" t="s">
        <v>1172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26</v>
      </c>
      <c r="I107" s="17">
        <f t="shared" si="11"/>
        <v>3</v>
      </c>
      <c r="J107" s="18">
        <f t="shared" si="12"/>
        <v>0.89655172413793105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 t="s">
        <v>1010</v>
      </c>
      <c r="AK107" s="8" t="s">
        <v>1010</v>
      </c>
      <c r="AL107" s="8" t="s">
        <v>1010</v>
      </c>
      <c r="AM107" s="27" t="s">
        <v>1010</v>
      </c>
      <c r="AN107" s="27"/>
      <c r="AO107" s="27"/>
    </row>
    <row r="108" spans="1:41" ht="15" hidden="1" thickBot="1" x14ac:dyDescent="0.35">
      <c r="A108" s="51" t="s">
        <v>189</v>
      </c>
      <c r="B108" s="51" t="s">
        <v>1047</v>
      </c>
      <c r="C108" s="51" t="s">
        <v>1172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hidden="1" thickBot="1" x14ac:dyDescent="0.35">
      <c r="A109" s="51" t="s">
        <v>194</v>
      </c>
      <c r="B109" s="51" t="s">
        <v>196</v>
      </c>
      <c r="C109" s="51" t="s">
        <v>1172</v>
      </c>
      <c r="D109" s="51" t="s">
        <v>1048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hidden="1" thickBot="1" x14ac:dyDescent="0.35">
      <c r="A110" s="51" t="s">
        <v>194</v>
      </c>
      <c r="B110" s="51" t="s">
        <v>197</v>
      </c>
      <c r="C110" s="51" t="s">
        <v>1172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hidden="1" thickBot="1" x14ac:dyDescent="0.35">
      <c r="A111" s="51" t="s">
        <v>199</v>
      </c>
      <c r="B111" s="51" t="s">
        <v>200</v>
      </c>
      <c r="C111" s="51" t="s">
        <v>1172</v>
      </c>
      <c r="D111" s="51" t="s">
        <v>201</v>
      </c>
      <c r="E111" s="51" t="s">
        <v>19</v>
      </c>
      <c r="F111" s="51" t="s">
        <v>1164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hidden="1" thickBot="1" x14ac:dyDescent="0.35">
      <c r="A112" s="51" t="s">
        <v>202</v>
      </c>
      <c r="B112" s="51" t="s">
        <v>203</v>
      </c>
      <c r="C112" s="51" t="s">
        <v>1172</v>
      </c>
      <c r="D112" s="51" t="s">
        <v>204</v>
      </c>
      <c r="E112" s="51" t="s">
        <v>15</v>
      </c>
      <c r="F112" s="51" t="s">
        <v>1164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1172</v>
      </c>
      <c r="D113" s="51" t="s">
        <v>206</v>
      </c>
      <c r="E113" s="51" t="s">
        <v>19</v>
      </c>
      <c r="F113" s="51" t="s">
        <v>1163</v>
      </c>
      <c r="G113" s="51" t="s">
        <v>734</v>
      </c>
      <c r="H113" s="53">
        <f t="shared" si="13"/>
        <v>24</v>
      </c>
      <c r="I113" s="17">
        <f t="shared" si="11"/>
        <v>5</v>
      </c>
      <c r="J113" s="18">
        <f t="shared" si="12"/>
        <v>0.82758620689655171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 t="s">
        <v>1010</v>
      </c>
      <c r="AJ113" s="27" t="s">
        <v>1010</v>
      </c>
      <c r="AK113" s="8" t="s">
        <v>1010</v>
      </c>
      <c r="AL113" s="8" t="s">
        <v>1010</v>
      </c>
      <c r="AM113" s="27" t="s">
        <v>1010</v>
      </c>
      <c r="AN113" s="27"/>
      <c r="AO113" s="27"/>
    </row>
    <row r="114" spans="1:41" ht="15" hidden="1" thickBot="1" x14ac:dyDescent="0.35">
      <c r="A114" s="51" t="s">
        <v>194</v>
      </c>
      <c r="B114" s="51" t="s">
        <v>207</v>
      </c>
      <c r="C114" s="51" t="s">
        <v>1172</v>
      </c>
      <c r="D114" s="51" t="s">
        <v>208</v>
      </c>
      <c r="E114" s="51" t="s">
        <v>19</v>
      </c>
      <c r="F114" s="51" t="s">
        <v>1163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hidden="1" thickBot="1" x14ac:dyDescent="0.35">
      <c r="A115" s="51" t="s">
        <v>194</v>
      </c>
      <c r="B115" s="51" t="s">
        <v>209</v>
      </c>
      <c r="C115" s="51" t="s">
        <v>1172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hidden="1" thickBot="1" x14ac:dyDescent="0.35">
      <c r="A116" s="51" t="s">
        <v>194</v>
      </c>
      <c r="B116" s="51" t="s">
        <v>1049</v>
      </c>
      <c r="C116" s="51" t="s">
        <v>1172</v>
      </c>
      <c r="D116" s="51" t="s">
        <v>195</v>
      </c>
      <c r="E116" s="51" t="s">
        <v>15</v>
      </c>
      <c r="F116" s="51" t="s">
        <v>1164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hidden="1" thickBot="1" x14ac:dyDescent="0.35">
      <c r="A117" s="51" t="s">
        <v>194</v>
      </c>
      <c r="B117" s="51" t="s">
        <v>211</v>
      </c>
      <c r="C117" s="51" t="s">
        <v>1172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hidden="1" thickBot="1" x14ac:dyDescent="0.35">
      <c r="A118" s="51" t="s">
        <v>194</v>
      </c>
      <c r="B118" s="51" t="s">
        <v>213</v>
      </c>
      <c r="C118" s="51" t="s">
        <v>1172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hidden="1" thickBot="1" x14ac:dyDescent="0.35">
      <c r="A119" s="51" t="s">
        <v>194</v>
      </c>
      <c r="B119" s="51" t="s">
        <v>214</v>
      </c>
      <c r="C119" s="51" t="s">
        <v>1172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hidden="1" thickBot="1" x14ac:dyDescent="0.35">
      <c r="A120" s="51" t="s">
        <v>194</v>
      </c>
      <c r="B120" s="51" t="s">
        <v>216</v>
      </c>
      <c r="C120" s="51" t="s">
        <v>1172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hidden="1" thickBot="1" x14ac:dyDescent="0.35">
      <c r="A121" s="51" t="s">
        <v>217</v>
      </c>
      <c r="B121" s="51" t="s">
        <v>1050</v>
      </c>
      <c r="C121" s="51" t="s">
        <v>1172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hidden="1" thickBot="1" x14ac:dyDescent="0.35">
      <c r="A122" s="51" t="s">
        <v>217</v>
      </c>
      <c r="B122" s="51" t="s">
        <v>1051</v>
      </c>
      <c r="C122" s="51" t="s">
        <v>1172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hidden="1" thickBot="1" x14ac:dyDescent="0.35">
      <c r="A123" s="51" t="s">
        <v>220</v>
      </c>
      <c r="B123" s="51" t="s">
        <v>1052</v>
      </c>
      <c r="C123" s="51" t="s">
        <v>1172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hidden="1" thickBot="1" x14ac:dyDescent="0.35">
      <c r="A124" s="51" t="s">
        <v>222</v>
      </c>
      <c r="B124" s="51" t="s">
        <v>223</v>
      </c>
      <c r="C124" s="51" t="s">
        <v>1171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hidden="1" thickBot="1" x14ac:dyDescent="0.35">
      <c r="A125" s="51" t="s">
        <v>222</v>
      </c>
      <c r="B125" s="51" t="s">
        <v>227</v>
      </c>
      <c r="C125" s="51" t="s">
        <v>1171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hidden="1" thickBot="1" x14ac:dyDescent="0.35">
      <c r="A126" s="51" t="s">
        <v>222</v>
      </c>
      <c r="B126" s="51" t="s">
        <v>229</v>
      </c>
      <c r="C126" s="51" t="s">
        <v>1171</v>
      </c>
      <c r="D126" s="51" t="s">
        <v>230</v>
      </c>
      <c r="E126" s="51" t="s">
        <v>73</v>
      </c>
      <c r="F126" s="51" t="s">
        <v>1164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hidden="1" thickBot="1" x14ac:dyDescent="0.35">
      <c r="A127" s="51" t="s">
        <v>222</v>
      </c>
      <c r="B127" s="51" t="s">
        <v>231</v>
      </c>
      <c r="C127" s="51" t="s">
        <v>1171</v>
      </c>
      <c r="D127" s="51" t="s">
        <v>230</v>
      </c>
      <c r="E127" s="51" t="s">
        <v>73</v>
      </c>
      <c r="F127" s="51" t="s">
        <v>1164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hidden="1" thickBot="1" x14ac:dyDescent="0.35">
      <c r="A128" s="51" t="s">
        <v>222</v>
      </c>
      <c r="B128" s="51" t="s">
        <v>1053</v>
      </c>
      <c r="C128" s="51" t="s">
        <v>1171</v>
      </c>
      <c r="D128" s="51" t="s">
        <v>247</v>
      </c>
      <c r="E128" s="51" t="s">
        <v>73</v>
      </c>
      <c r="F128" s="51" t="s">
        <v>1164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hidden="1" thickBot="1" x14ac:dyDescent="0.35">
      <c r="A129" s="51" t="s">
        <v>222</v>
      </c>
      <c r="B129" s="51" t="s">
        <v>1054</v>
      </c>
      <c r="C129" s="51" t="s">
        <v>1171</v>
      </c>
      <c r="D129" s="51" t="s">
        <v>247</v>
      </c>
      <c r="E129" s="51" t="s">
        <v>73</v>
      </c>
      <c r="F129" s="51" t="s">
        <v>1164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hidden="1" thickBot="1" x14ac:dyDescent="0.35">
      <c r="A130" s="51" t="s">
        <v>222</v>
      </c>
      <c r="B130" s="51" t="s">
        <v>1055</v>
      </c>
      <c r="C130" s="51" t="s">
        <v>1171</v>
      </c>
      <c r="D130" s="51" t="s">
        <v>248</v>
      </c>
      <c r="E130" s="51" t="s">
        <v>73</v>
      </c>
      <c r="F130" s="51" t="s">
        <v>1164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hidden="1" thickBot="1" x14ac:dyDescent="0.35">
      <c r="A131" s="51" t="s">
        <v>222</v>
      </c>
      <c r="B131" s="51" t="s">
        <v>1056</v>
      </c>
      <c r="C131" s="51" t="s">
        <v>1171</v>
      </c>
      <c r="D131" s="51" t="s">
        <v>248</v>
      </c>
      <c r="E131" s="51" t="s">
        <v>73</v>
      </c>
      <c r="F131" s="51" t="s">
        <v>1164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hidden="1" thickBot="1" x14ac:dyDescent="0.35">
      <c r="A132" s="51" t="s">
        <v>232</v>
      </c>
      <c r="B132" s="51" t="s">
        <v>233</v>
      </c>
      <c r="C132" s="51" t="s">
        <v>1171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hidden="1" thickBot="1" x14ac:dyDescent="0.35">
      <c r="A133" s="51" t="s">
        <v>171</v>
      </c>
      <c r="B133" s="51" t="s">
        <v>235</v>
      </c>
      <c r="C133" s="51" t="s">
        <v>1171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hidden="1" thickBot="1" x14ac:dyDescent="0.35">
      <c r="A134" s="51" t="s">
        <v>222</v>
      </c>
      <c r="B134" s="51" t="s">
        <v>237</v>
      </c>
      <c r="C134" s="51" t="s">
        <v>1171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1</v>
      </c>
      <c r="I134" s="17">
        <f t="shared" si="14"/>
        <v>28</v>
      </c>
      <c r="J134" s="18">
        <f t="shared" si="15"/>
        <v>3.4482758620689655E-2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 t="s">
        <v>1010</v>
      </c>
      <c r="AH134" s="8" t="s">
        <v>1010</v>
      </c>
      <c r="AI134" s="8" t="s">
        <v>1010</v>
      </c>
      <c r="AJ134" s="27" t="s">
        <v>1010</v>
      </c>
      <c r="AK134" s="8" t="s">
        <v>1010</v>
      </c>
      <c r="AL134" s="8" t="s">
        <v>1010</v>
      </c>
      <c r="AM134" s="27" t="s">
        <v>1010</v>
      </c>
      <c r="AN134" s="27"/>
      <c r="AO134" s="27"/>
    </row>
    <row r="135" spans="1:41" ht="15" hidden="1" thickBot="1" x14ac:dyDescent="0.35">
      <c r="A135" s="51" t="s">
        <v>222</v>
      </c>
      <c r="B135" s="51" t="s">
        <v>239</v>
      </c>
      <c r="C135" s="51" t="s">
        <v>1171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hidden="1" thickBot="1" x14ac:dyDescent="0.35">
      <c r="A136" s="51" t="s">
        <v>222</v>
      </c>
      <c r="B136" s="51" t="s">
        <v>241</v>
      </c>
      <c r="C136" s="51" t="s">
        <v>1171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hidden="1" thickBot="1" x14ac:dyDescent="0.35">
      <c r="A137" s="51" t="s">
        <v>222</v>
      </c>
      <c r="B137" s="51" t="s">
        <v>243</v>
      </c>
      <c r="C137" s="51" t="s">
        <v>1171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26</v>
      </c>
      <c r="I137" s="17">
        <f t="shared" si="14"/>
        <v>3</v>
      </c>
      <c r="J137" s="18">
        <f t="shared" si="15"/>
        <v>0.89655172413793105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 t="s">
        <v>1010</v>
      </c>
      <c r="AL137" s="8" t="s">
        <v>1010</v>
      </c>
      <c r="AM137" s="27" t="s">
        <v>1010</v>
      </c>
      <c r="AN137" s="27"/>
      <c r="AO137" s="27"/>
    </row>
    <row r="138" spans="1:41" ht="15" hidden="1" thickBot="1" x14ac:dyDescent="0.35">
      <c r="A138" s="51" t="s">
        <v>222</v>
      </c>
      <c r="B138" s="51" t="s">
        <v>1057</v>
      </c>
      <c r="C138" s="51" t="s">
        <v>1171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hidden="1" thickBot="1" x14ac:dyDescent="0.35">
      <c r="A139" s="51" t="s">
        <v>222</v>
      </c>
      <c r="B139" s="51" t="s">
        <v>1058</v>
      </c>
      <c r="C139" s="51" t="s">
        <v>1171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hidden="1" thickBot="1" x14ac:dyDescent="0.35">
      <c r="A140" s="51" t="s">
        <v>222</v>
      </c>
      <c r="B140" s="51" t="s">
        <v>245</v>
      </c>
      <c r="C140" s="51" t="s">
        <v>1171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hidden="1" thickBot="1" x14ac:dyDescent="0.35">
      <c r="A141" s="51" t="s">
        <v>101</v>
      </c>
      <c r="B141" s="51" t="s">
        <v>249</v>
      </c>
      <c r="C141" s="51" t="s">
        <v>1171</v>
      </c>
      <c r="D141" s="51" t="s">
        <v>250</v>
      </c>
      <c r="E141" s="51" t="s">
        <v>15</v>
      </c>
      <c r="F141" s="51" t="s">
        <v>1164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hidden="1" thickBot="1" x14ac:dyDescent="0.35">
      <c r="A142" s="51" t="s">
        <v>101</v>
      </c>
      <c r="B142" s="51" t="s">
        <v>251</v>
      </c>
      <c r="C142" s="51" t="s">
        <v>1171</v>
      </c>
      <c r="D142" s="51" t="s">
        <v>252</v>
      </c>
      <c r="E142" s="51" t="s">
        <v>15</v>
      </c>
      <c r="F142" s="51" t="s">
        <v>1164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hidden="1" thickBot="1" x14ac:dyDescent="0.35">
      <c r="A143" s="51" t="s">
        <v>101</v>
      </c>
      <c r="B143" s="51" t="s">
        <v>253</v>
      </c>
      <c r="C143" s="51" t="s">
        <v>1171</v>
      </c>
      <c r="D143" s="51" t="s">
        <v>254</v>
      </c>
      <c r="E143" s="51" t="s">
        <v>15</v>
      </c>
      <c r="F143" s="51" t="s">
        <v>1164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hidden="1" thickBot="1" x14ac:dyDescent="0.35">
      <c r="A144" s="51" t="s">
        <v>171</v>
      </c>
      <c r="B144" s="51" t="s">
        <v>1059</v>
      </c>
      <c r="C144" s="51" t="s">
        <v>1171</v>
      </c>
      <c r="D144" s="51" t="s">
        <v>1199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hidden="1" thickBot="1" x14ac:dyDescent="0.35">
      <c r="A145" s="51" t="s">
        <v>171</v>
      </c>
      <c r="B145" s="51" t="s">
        <v>255</v>
      </c>
      <c r="C145" s="51" t="s">
        <v>1171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hidden="1" thickBot="1" x14ac:dyDescent="0.35">
      <c r="A146" s="51" t="s">
        <v>257</v>
      </c>
      <c r="B146" s="51" t="s">
        <v>258</v>
      </c>
      <c r="C146" s="51" t="s">
        <v>1171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hidden="1" thickBot="1" x14ac:dyDescent="0.35">
      <c r="A147" s="51" t="s">
        <v>257</v>
      </c>
      <c r="B147" s="51" t="s">
        <v>260</v>
      </c>
      <c r="C147" s="51" t="s">
        <v>1171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hidden="1" thickBot="1" x14ac:dyDescent="0.35">
      <c r="A148" s="51" t="s">
        <v>261</v>
      </c>
      <c r="B148" s="51" t="s">
        <v>1060</v>
      </c>
      <c r="C148" s="51" t="s">
        <v>1172</v>
      </c>
      <c r="D148" s="51" t="s">
        <v>262</v>
      </c>
      <c r="E148" s="51" t="s">
        <v>15</v>
      </c>
      <c r="F148" s="51" t="s">
        <v>1163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hidden="1" thickBot="1" x14ac:dyDescent="0.35">
      <c r="A149" s="51" t="s">
        <v>261</v>
      </c>
      <c r="B149" s="51" t="s">
        <v>263</v>
      </c>
      <c r="C149" s="51" t="s">
        <v>1172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hidden="1" thickBot="1" x14ac:dyDescent="0.35">
      <c r="A150" s="51" t="s">
        <v>261</v>
      </c>
      <c r="B150" s="51" t="s">
        <v>265</v>
      </c>
      <c r="C150" s="51" t="s">
        <v>1172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hidden="1" thickBot="1" x14ac:dyDescent="0.35">
      <c r="A151" s="51" t="s">
        <v>271</v>
      </c>
      <c r="B151" s="51" t="s">
        <v>1061</v>
      </c>
      <c r="C151" s="51" t="s">
        <v>1171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hidden="1" thickBot="1" x14ac:dyDescent="0.35">
      <c r="A152" s="51" t="s">
        <v>271</v>
      </c>
      <c r="B152" s="51" t="s">
        <v>1062</v>
      </c>
      <c r="C152" s="51" t="s">
        <v>1171</v>
      </c>
      <c r="D152" s="51" t="s">
        <v>1200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hidden="1" thickBot="1" x14ac:dyDescent="0.35">
      <c r="A153" s="51" t="s">
        <v>271</v>
      </c>
      <c r="B153" s="51" t="s">
        <v>1063</v>
      </c>
      <c r="C153" s="51" t="s">
        <v>1171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hidden="1" thickBot="1" x14ac:dyDescent="0.35">
      <c r="A154" s="51" t="s">
        <v>271</v>
      </c>
      <c r="B154" s="51" t="s">
        <v>1064</v>
      </c>
      <c r="C154" s="51" t="s">
        <v>1171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hidden="1" thickBot="1" x14ac:dyDescent="0.35">
      <c r="A155" s="51" t="s">
        <v>271</v>
      </c>
      <c r="B155" s="51" t="s">
        <v>1065</v>
      </c>
      <c r="C155" s="51" t="s">
        <v>1171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hidden="1" thickBot="1" x14ac:dyDescent="0.35">
      <c r="A156" s="51" t="s">
        <v>271</v>
      </c>
      <c r="B156" s="51" t="s">
        <v>1066</v>
      </c>
      <c r="C156" s="51" t="s">
        <v>1171</v>
      </c>
      <c r="D156" s="51" t="s">
        <v>267</v>
      </c>
      <c r="E156" s="51" t="s">
        <v>46</v>
      </c>
      <c r="F156" s="51" t="s">
        <v>1163</v>
      </c>
      <c r="G156" s="51" t="s">
        <v>770</v>
      </c>
      <c r="H156" s="53">
        <f t="shared" si="16"/>
        <v>1</v>
      </c>
      <c r="I156" s="17">
        <f t="shared" si="14"/>
        <v>28</v>
      </c>
      <c r="J156" s="18">
        <f t="shared" si="15"/>
        <v>3.4482758620689655E-2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 t="s">
        <v>1010</v>
      </c>
      <c r="AH156" s="8" t="s">
        <v>1010</v>
      </c>
      <c r="AI156" s="8" t="s">
        <v>1010</v>
      </c>
      <c r="AJ156" s="27" t="s">
        <v>1010</v>
      </c>
      <c r="AK156" s="8" t="s">
        <v>1010</v>
      </c>
      <c r="AL156" s="8" t="s">
        <v>1010</v>
      </c>
      <c r="AM156" s="27" t="s">
        <v>1010</v>
      </c>
      <c r="AN156" s="27"/>
      <c r="AO156" s="27"/>
    </row>
    <row r="157" spans="1:41" ht="15" hidden="1" thickBot="1" x14ac:dyDescent="0.35">
      <c r="A157" s="51" t="s">
        <v>268</v>
      </c>
      <c r="B157" s="51" t="s">
        <v>269</v>
      </c>
      <c r="C157" s="51" t="s">
        <v>1171</v>
      </c>
      <c r="D157" s="51" t="s">
        <v>270</v>
      </c>
      <c r="E157" s="51" t="s">
        <v>19</v>
      </c>
      <c r="F157" s="51" t="s">
        <v>1163</v>
      </c>
      <c r="G157" s="51" t="s">
        <v>771</v>
      </c>
      <c r="H157" s="53">
        <f t="shared" si="16"/>
        <v>10</v>
      </c>
      <c r="I157" s="17">
        <f t="shared" si="14"/>
        <v>19</v>
      </c>
      <c r="J157" s="18">
        <f t="shared" si="15"/>
        <v>0.34482758620689657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 t="s">
        <v>1010</v>
      </c>
      <c r="AH157" s="8" t="s">
        <v>1010</v>
      </c>
      <c r="AI157" s="8" t="s">
        <v>1010</v>
      </c>
      <c r="AJ157" s="27" t="s">
        <v>1010</v>
      </c>
      <c r="AK157" s="8" t="s">
        <v>1010</v>
      </c>
      <c r="AL157" s="8" t="s">
        <v>1010</v>
      </c>
      <c r="AM157" s="27" t="s">
        <v>1010</v>
      </c>
      <c r="AN157" s="27"/>
      <c r="AO157" s="27"/>
    </row>
    <row r="158" spans="1:41" ht="15" hidden="1" thickBot="1" x14ac:dyDescent="0.35">
      <c r="A158" s="51" t="s">
        <v>271</v>
      </c>
      <c r="B158" s="51" t="s">
        <v>272</v>
      </c>
      <c r="C158" s="51" t="s">
        <v>1171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2</v>
      </c>
      <c r="I158" s="17">
        <f t="shared" si="14"/>
        <v>27</v>
      </c>
      <c r="J158" s="18">
        <f t="shared" si="15"/>
        <v>6.8965517241379309E-2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 t="s">
        <v>1010</v>
      </c>
      <c r="AH158" s="8" t="s">
        <v>1010</v>
      </c>
      <c r="AI158" s="8" t="s">
        <v>1010</v>
      </c>
      <c r="AJ158" s="27" t="s">
        <v>1010</v>
      </c>
      <c r="AK158" s="8" t="s">
        <v>1010</v>
      </c>
      <c r="AL158" s="8" t="s">
        <v>1010</v>
      </c>
      <c r="AM158" s="27" t="s">
        <v>1010</v>
      </c>
      <c r="AN158" s="27"/>
      <c r="AO158" s="27"/>
    </row>
    <row r="159" spans="1:41" ht="15" hidden="1" thickBot="1" x14ac:dyDescent="0.35">
      <c r="A159" s="51" t="s">
        <v>271</v>
      </c>
      <c r="B159" s="51" t="s">
        <v>274</v>
      </c>
      <c r="C159" s="51" t="s">
        <v>1171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hidden="1" thickBot="1" x14ac:dyDescent="0.35">
      <c r="A160" s="51" t="s">
        <v>268</v>
      </c>
      <c r="B160" s="51" t="s">
        <v>277</v>
      </c>
      <c r="C160" s="51" t="s">
        <v>1171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hidden="1" thickBot="1" x14ac:dyDescent="0.35">
      <c r="A161" s="51" t="s">
        <v>271</v>
      </c>
      <c r="B161" s="51" t="s">
        <v>279</v>
      </c>
      <c r="C161" s="51" t="s">
        <v>1171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hidden="1" thickBot="1" x14ac:dyDescent="0.35">
      <c r="A162" s="51" t="s">
        <v>271</v>
      </c>
      <c r="B162" s="51" t="s">
        <v>281</v>
      </c>
      <c r="C162" s="51" t="s">
        <v>1171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25</v>
      </c>
      <c r="I162" s="17">
        <f t="shared" si="14"/>
        <v>5</v>
      </c>
      <c r="J162" s="18">
        <f t="shared" si="15"/>
        <v>0.83333333333333337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 t="s">
        <v>1010</v>
      </c>
      <c r="AK162" s="8" t="s">
        <v>1010</v>
      </c>
      <c r="AL162" s="8"/>
      <c r="AM162" s="27"/>
      <c r="AN162" s="27"/>
      <c r="AO162" s="27"/>
    </row>
    <row r="163" spans="1:41" ht="15" hidden="1" thickBot="1" x14ac:dyDescent="0.35">
      <c r="A163" s="51" t="s">
        <v>271</v>
      </c>
      <c r="B163" s="51" t="s">
        <v>284</v>
      </c>
      <c r="C163" s="51" t="s">
        <v>1171</v>
      </c>
      <c r="D163" s="51" t="s">
        <v>285</v>
      </c>
      <c r="E163" s="51" t="s">
        <v>19</v>
      </c>
      <c r="F163" s="51" t="s">
        <v>1163</v>
      </c>
      <c r="G163" s="51" t="s">
        <v>780</v>
      </c>
      <c r="H163" s="53">
        <f t="shared" si="16"/>
        <v>2</v>
      </c>
      <c r="I163" s="17">
        <f t="shared" si="14"/>
        <v>27</v>
      </c>
      <c r="J163" s="18">
        <f t="shared" si="15"/>
        <v>6.8965517241379309E-2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 t="s">
        <v>1010</v>
      </c>
      <c r="AH163" s="8" t="s">
        <v>1010</v>
      </c>
      <c r="AI163" s="8" t="s">
        <v>1010</v>
      </c>
      <c r="AJ163" s="27" t="s">
        <v>1010</v>
      </c>
      <c r="AK163" s="8" t="s">
        <v>1010</v>
      </c>
      <c r="AL163" s="8" t="s">
        <v>1010</v>
      </c>
      <c r="AM163" s="27" t="s">
        <v>1010</v>
      </c>
      <c r="AN163" s="27"/>
      <c r="AO163" s="27"/>
    </row>
    <row r="164" spans="1:41" ht="15" hidden="1" thickBot="1" x14ac:dyDescent="0.35">
      <c r="A164" s="51" t="s">
        <v>271</v>
      </c>
      <c r="B164" s="51" t="s">
        <v>287</v>
      </c>
      <c r="C164" s="51" t="s">
        <v>1171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hidden="1" thickBot="1" x14ac:dyDescent="0.35">
      <c r="A165" s="51" t="s">
        <v>291</v>
      </c>
      <c r="B165" s="51" t="s">
        <v>1067</v>
      </c>
      <c r="C165" s="51" t="s">
        <v>1171</v>
      </c>
      <c r="D165" s="51" t="s">
        <v>1201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1172</v>
      </c>
      <c r="D166" s="51" t="s">
        <v>290</v>
      </c>
      <c r="E166" s="51" t="s">
        <v>15</v>
      </c>
      <c r="F166" s="51" t="s">
        <v>28</v>
      </c>
      <c r="G166" s="51" t="s">
        <v>1176</v>
      </c>
      <c r="H166" s="53">
        <f t="shared" si="16"/>
        <v>3</v>
      </c>
      <c r="I166" s="17">
        <f t="shared" si="14"/>
        <v>26</v>
      </c>
      <c r="J166" s="18">
        <f t="shared" si="15"/>
        <v>0.10344827586206896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 t="s">
        <v>1010</v>
      </c>
      <c r="AH166" s="8"/>
      <c r="AI166" s="8" t="s">
        <v>1010</v>
      </c>
      <c r="AJ166" s="27"/>
      <c r="AK166" s="8" t="s">
        <v>1010</v>
      </c>
      <c r="AL166" s="8" t="s">
        <v>1010</v>
      </c>
      <c r="AM166" s="27" t="s">
        <v>1010</v>
      </c>
      <c r="AN166" s="27"/>
      <c r="AO166" s="27"/>
    </row>
    <row r="167" spans="1:41" ht="15" hidden="1" thickBot="1" x14ac:dyDescent="0.35">
      <c r="A167" s="51" t="s">
        <v>291</v>
      </c>
      <c r="B167" s="51" t="s">
        <v>292</v>
      </c>
      <c r="C167" s="51" t="s">
        <v>1172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hidden="1" thickBot="1" x14ac:dyDescent="0.35">
      <c r="A168" s="51" t="s">
        <v>12</v>
      </c>
      <c r="B168" s="99" t="s">
        <v>13</v>
      </c>
      <c r="C168" s="51" t="s">
        <v>1172</v>
      </c>
      <c r="D168" s="51" t="s">
        <v>14</v>
      </c>
      <c r="E168" s="51" t="s">
        <v>15</v>
      </c>
      <c r="F168" s="51" t="s">
        <v>1163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hidden="1" thickBot="1" x14ac:dyDescent="0.35">
      <c r="A169" s="51" t="s">
        <v>382</v>
      </c>
      <c r="B169" s="51" t="s">
        <v>1068</v>
      </c>
      <c r="C169" s="51" t="s">
        <v>1172</v>
      </c>
      <c r="D169" s="51" t="s">
        <v>1069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hidden="1" thickBot="1" x14ac:dyDescent="0.35">
      <c r="A170" s="51" t="s">
        <v>1070</v>
      </c>
      <c r="B170" s="51" t="s">
        <v>1071</v>
      </c>
      <c r="C170" s="51" t="s">
        <v>1172</v>
      </c>
      <c r="D170" s="51" t="s">
        <v>1069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hidden="1" thickBot="1" x14ac:dyDescent="0.35">
      <c r="A171" s="51" t="s">
        <v>17</v>
      </c>
      <c r="B171" s="99" t="s">
        <v>18</v>
      </c>
      <c r="C171" s="51" t="s">
        <v>1172</v>
      </c>
      <c r="D171" s="51" t="s">
        <v>1202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hidden="1" thickBot="1" x14ac:dyDescent="0.35">
      <c r="A172" s="51" t="s">
        <v>17</v>
      </c>
      <c r="B172" s="99" t="s">
        <v>21</v>
      </c>
      <c r="C172" s="51" t="s">
        <v>1172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hidden="1" thickBot="1" x14ac:dyDescent="0.35">
      <c r="A173" s="51" t="s">
        <v>17</v>
      </c>
      <c r="B173" s="99" t="s">
        <v>23</v>
      </c>
      <c r="C173" s="51" t="s">
        <v>1172</v>
      </c>
      <c r="D173" s="51" t="s">
        <v>621</v>
      </c>
      <c r="E173" s="51" t="s">
        <v>15</v>
      </c>
      <c r="F173" s="51" t="s">
        <v>1164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hidden="1" thickBot="1" x14ac:dyDescent="0.35">
      <c r="A174" s="51" t="s">
        <v>17</v>
      </c>
      <c r="B174" s="99" t="s">
        <v>24</v>
      </c>
      <c r="C174" s="51" t="s">
        <v>1172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hidden="1" thickBot="1" x14ac:dyDescent="0.35">
      <c r="A175" s="51" t="s">
        <v>294</v>
      </c>
      <c r="B175" s="51" t="s">
        <v>1072</v>
      </c>
      <c r="C175" s="51" t="s">
        <v>1171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hidden="1" thickBot="1" x14ac:dyDescent="0.35">
      <c r="A176" s="51" t="s">
        <v>298</v>
      </c>
      <c r="B176" s="51" t="s">
        <v>1073</v>
      </c>
      <c r="C176" s="51" t="s">
        <v>1171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hidden="1" thickBot="1" x14ac:dyDescent="0.35">
      <c r="A177" s="51" t="s">
        <v>298</v>
      </c>
      <c r="B177" s="51" t="s">
        <v>1074</v>
      </c>
      <c r="C177" s="51" t="s">
        <v>1171</v>
      </c>
      <c r="D177" s="51" t="s">
        <v>302</v>
      </c>
      <c r="E177" s="51" t="s">
        <v>19</v>
      </c>
      <c r="F177" s="51" t="s">
        <v>1163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hidden="1" thickBot="1" x14ac:dyDescent="0.35">
      <c r="A178" s="51" t="s">
        <v>271</v>
      </c>
      <c r="B178" s="51" t="s">
        <v>296</v>
      </c>
      <c r="C178" s="51" t="s">
        <v>1171</v>
      </c>
      <c r="D178" s="51" t="s">
        <v>297</v>
      </c>
      <c r="E178" s="51" t="s">
        <v>73</v>
      </c>
      <c r="F178" s="51" t="s">
        <v>28</v>
      </c>
      <c r="G178" s="51" t="s">
        <v>1168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hidden="1" thickBot="1" x14ac:dyDescent="0.35">
      <c r="A179" s="51" t="s">
        <v>294</v>
      </c>
      <c r="B179" s="51" t="s">
        <v>300</v>
      </c>
      <c r="C179" s="51" t="s">
        <v>1171</v>
      </c>
      <c r="D179" s="51" t="s">
        <v>301</v>
      </c>
      <c r="E179" s="51" t="s">
        <v>19</v>
      </c>
      <c r="F179" s="51" t="s">
        <v>1163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hidden="1" thickBot="1" x14ac:dyDescent="0.35">
      <c r="A180" s="51" t="s">
        <v>298</v>
      </c>
      <c r="B180" s="51" t="s">
        <v>303</v>
      </c>
      <c r="C180" s="51" t="s">
        <v>1171</v>
      </c>
      <c r="D180" s="51" t="s">
        <v>304</v>
      </c>
      <c r="E180" s="51" t="s">
        <v>15</v>
      </c>
      <c r="F180" s="51" t="s">
        <v>1163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hidden="1" thickBot="1" x14ac:dyDescent="0.35">
      <c r="A181" s="51" t="s">
        <v>305</v>
      </c>
      <c r="B181" s="51" t="s">
        <v>306</v>
      </c>
      <c r="C181" s="51" t="s">
        <v>1171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hidden="1" thickBot="1" x14ac:dyDescent="0.35">
      <c r="A182" s="51" t="s">
        <v>305</v>
      </c>
      <c r="B182" s="51" t="s">
        <v>308</v>
      </c>
      <c r="C182" s="51" t="s">
        <v>1171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hidden="1" thickBot="1" x14ac:dyDescent="0.35">
      <c r="A183" s="51" t="s">
        <v>305</v>
      </c>
      <c r="B183" s="51" t="s">
        <v>310</v>
      </c>
      <c r="C183" s="51" t="s">
        <v>1171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hidden="1" thickBot="1" x14ac:dyDescent="0.35">
      <c r="A184" s="51" t="s">
        <v>305</v>
      </c>
      <c r="B184" s="51" t="s">
        <v>312</v>
      </c>
      <c r="C184" s="51" t="s">
        <v>1171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hidden="1" thickBot="1" x14ac:dyDescent="0.35">
      <c r="A185" s="51" t="s">
        <v>314</v>
      </c>
      <c r="B185" s="51" t="s">
        <v>1075</v>
      </c>
      <c r="C185" s="51" t="s">
        <v>1171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hidden="1" thickBot="1" x14ac:dyDescent="0.35">
      <c r="A186" s="51" t="s">
        <v>314</v>
      </c>
      <c r="B186" s="51" t="s">
        <v>315</v>
      </c>
      <c r="C186" s="51" t="s">
        <v>1171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hidden="1" thickBot="1" x14ac:dyDescent="0.35">
      <c r="A187" s="51" t="s">
        <v>314</v>
      </c>
      <c r="B187" s="51" t="s">
        <v>318</v>
      </c>
      <c r="C187" s="51" t="s">
        <v>1171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hidden="1" thickBot="1" x14ac:dyDescent="0.35">
      <c r="A188" s="51" t="s">
        <v>314</v>
      </c>
      <c r="B188" s="51" t="s">
        <v>320</v>
      </c>
      <c r="C188" s="51" t="s">
        <v>1171</v>
      </c>
      <c r="D188" s="51" t="s">
        <v>321</v>
      </c>
      <c r="E188" s="51" t="s">
        <v>19</v>
      </c>
      <c r="F188" s="51" t="s">
        <v>1164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hidden="1" thickBot="1" x14ac:dyDescent="0.35">
      <c r="A189" s="51" t="s">
        <v>314</v>
      </c>
      <c r="B189" s="51" t="s">
        <v>322</v>
      </c>
      <c r="C189" s="51" t="s">
        <v>1171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hidden="1" thickBot="1" x14ac:dyDescent="0.35">
      <c r="A190" s="51" t="s">
        <v>324</v>
      </c>
      <c r="B190" s="51" t="s">
        <v>325</v>
      </c>
      <c r="C190" s="51" t="s">
        <v>1171</v>
      </c>
      <c r="D190" s="51" t="s">
        <v>326</v>
      </c>
      <c r="E190" s="51" t="s">
        <v>19</v>
      </c>
      <c r="F190" s="51" t="s">
        <v>20</v>
      </c>
      <c r="G190" s="51" t="s">
        <v>1169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hidden="1" thickBot="1" x14ac:dyDescent="0.35">
      <c r="A191" s="51" t="s">
        <v>52</v>
      </c>
      <c r="B191" s="51" t="s">
        <v>327</v>
      </c>
      <c r="C191" s="51" t="s">
        <v>1171</v>
      </c>
      <c r="D191" s="51" t="s">
        <v>328</v>
      </c>
      <c r="E191" s="51" t="s">
        <v>19</v>
      </c>
      <c r="F191" s="51" t="s">
        <v>1163</v>
      </c>
      <c r="G191" s="51" t="s">
        <v>803</v>
      </c>
      <c r="H191" s="53">
        <f t="shared" si="16"/>
        <v>24</v>
      </c>
      <c r="I191" s="17">
        <f t="shared" si="14"/>
        <v>5</v>
      </c>
      <c r="J191" s="18">
        <f t="shared" si="15"/>
        <v>0.82758620689655171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 t="s">
        <v>1010</v>
      </c>
      <c r="AM191" s="27" t="s">
        <v>1010</v>
      </c>
      <c r="AN191" s="27"/>
      <c r="AO191" s="27"/>
    </row>
    <row r="192" spans="1:41" ht="15" hidden="1" thickBot="1" x14ac:dyDescent="0.35">
      <c r="A192" s="51" t="s">
        <v>314</v>
      </c>
      <c r="B192" s="51" t="s">
        <v>329</v>
      </c>
      <c r="C192" s="51" t="s">
        <v>1171</v>
      </c>
      <c r="D192" s="51" t="s">
        <v>330</v>
      </c>
      <c r="E192" s="51" t="s">
        <v>19</v>
      </c>
      <c r="F192" s="51" t="s">
        <v>1163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hidden="1" thickBot="1" x14ac:dyDescent="0.35">
      <c r="A193" s="51" t="s">
        <v>314</v>
      </c>
      <c r="B193" s="51" t="s">
        <v>331</v>
      </c>
      <c r="C193" s="51" t="s">
        <v>1171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hidden="1" thickBot="1" x14ac:dyDescent="0.35">
      <c r="A194" s="51" t="s">
        <v>335</v>
      </c>
      <c r="B194" s="51" t="s">
        <v>333</v>
      </c>
      <c r="C194" s="51" t="s">
        <v>1172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hidden="1" thickBot="1" x14ac:dyDescent="0.35">
      <c r="A195" s="51" t="s">
        <v>335</v>
      </c>
      <c r="B195" s="51" t="s">
        <v>336</v>
      </c>
      <c r="C195" s="51" t="s">
        <v>1172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hidden="1" thickBot="1" x14ac:dyDescent="0.35">
      <c r="A196" s="51" t="s">
        <v>335</v>
      </c>
      <c r="B196" s="51" t="s">
        <v>338</v>
      </c>
      <c r="C196" s="51" t="s">
        <v>1172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hidden="1" thickBot="1" x14ac:dyDescent="0.35">
      <c r="A197" s="51" t="s">
        <v>335</v>
      </c>
      <c r="B197" s="51" t="s">
        <v>339</v>
      </c>
      <c r="C197" s="51" t="s">
        <v>1172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hidden="1" thickBot="1" x14ac:dyDescent="0.35">
      <c r="A198" s="51" t="s">
        <v>335</v>
      </c>
      <c r="B198" s="51" t="s">
        <v>341</v>
      </c>
      <c r="C198" s="51" t="s">
        <v>1172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hidden="1" thickBot="1" x14ac:dyDescent="0.35">
      <c r="A199" s="51" t="s">
        <v>41</v>
      </c>
      <c r="B199" s="51" t="s">
        <v>343</v>
      </c>
      <c r="C199" s="51" t="s">
        <v>1172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hidden="1" thickBot="1" x14ac:dyDescent="0.35">
      <c r="A200" s="51" t="s">
        <v>41</v>
      </c>
      <c r="B200" s="51" t="s">
        <v>345</v>
      </c>
      <c r="C200" s="51" t="s">
        <v>1172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hidden="1" thickBot="1" x14ac:dyDescent="0.35">
      <c r="A201" s="51" t="s">
        <v>189</v>
      </c>
      <c r="B201" s="51" t="s">
        <v>346</v>
      </c>
      <c r="C201" s="51" t="s">
        <v>1172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hidden="1" thickBot="1" x14ac:dyDescent="0.35">
      <c r="A202" s="51" t="s">
        <v>189</v>
      </c>
      <c r="B202" s="51" t="s">
        <v>348</v>
      </c>
      <c r="C202" s="51" t="s">
        <v>1172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hidden="1" thickBot="1" x14ac:dyDescent="0.35">
      <c r="A203" s="51" t="s">
        <v>217</v>
      </c>
      <c r="B203" s="51" t="s">
        <v>349</v>
      </c>
      <c r="C203" s="51" t="s">
        <v>1172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hidden="1" thickBot="1" x14ac:dyDescent="0.35">
      <c r="A204" s="51" t="s">
        <v>217</v>
      </c>
      <c r="B204" s="51" t="s">
        <v>351</v>
      </c>
      <c r="C204" s="51" t="s">
        <v>1172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hidden="1" thickBot="1" x14ac:dyDescent="0.35">
      <c r="A205" s="51" t="s">
        <v>232</v>
      </c>
      <c r="B205" s="51" t="s">
        <v>1076</v>
      </c>
      <c r="C205" s="51" t="s">
        <v>1172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hidden="1" thickBot="1" x14ac:dyDescent="0.35">
      <c r="A206" s="51" t="s">
        <v>232</v>
      </c>
      <c r="B206" s="51" t="s">
        <v>353</v>
      </c>
      <c r="C206" s="51" t="s">
        <v>1172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hidden="1" thickBot="1" x14ac:dyDescent="0.35">
      <c r="A207" s="51" t="s">
        <v>291</v>
      </c>
      <c r="B207" s="51" t="s">
        <v>354</v>
      </c>
      <c r="C207" s="51" t="s">
        <v>1171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hidden="1" thickBot="1" x14ac:dyDescent="0.35">
      <c r="A208" s="51" t="s">
        <v>356</v>
      </c>
      <c r="B208" s="51" t="s">
        <v>357</v>
      </c>
      <c r="C208" s="51" t="s">
        <v>1172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hidden="1" thickBot="1" x14ac:dyDescent="0.35">
      <c r="A209" s="51" t="s">
        <v>356</v>
      </c>
      <c r="B209" s="51" t="s">
        <v>359</v>
      </c>
      <c r="C209" s="51" t="s">
        <v>1172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1077</v>
      </c>
      <c r="C210" s="51" t="s">
        <v>1172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1</v>
      </c>
      <c r="I210" s="17">
        <f t="shared" si="17"/>
        <v>28</v>
      </c>
      <c r="J210" s="18">
        <f t="shared" si="18"/>
        <v>3.4482758620689655E-2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 t="s">
        <v>1010</v>
      </c>
      <c r="AH210" s="8" t="s">
        <v>1010</v>
      </c>
      <c r="AI210" s="8" t="s">
        <v>1010</v>
      </c>
      <c r="AJ210" s="27" t="s">
        <v>1010</v>
      </c>
      <c r="AK210" s="8" t="s">
        <v>1010</v>
      </c>
      <c r="AL210" s="8" t="s">
        <v>1010</v>
      </c>
      <c r="AM210" s="27" t="s">
        <v>1010</v>
      </c>
      <c r="AN210" s="27"/>
      <c r="AO210" s="27"/>
    </row>
    <row r="211" spans="1:41" ht="15" hidden="1" thickBot="1" x14ac:dyDescent="0.35">
      <c r="A211" s="51" t="s">
        <v>199</v>
      </c>
      <c r="B211" s="51" t="s">
        <v>362</v>
      </c>
      <c r="C211" s="51" t="s">
        <v>1172</v>
      </c>
      <c r="D211" s="51" t="s">
        <v>363</v>
      </c>
      <c r="E211" s="51" t="s">
        <v>15</v>
      </c>
      <c r="F211" s="51" t="s">
        <v>1164</v>
      </c>
      <c r="G211" s="51" t="s">
        <v>825</v>
      </c>
      <c r="H211" s="53">
        <f t="shared" si="19"/>
        <v>28</v>
      </c>
      <c r="I211" s="17">
        <f t="shared" si="17"/>
        <v>2</v>
      </c>
      <c r="J211" s="18">
        <f t="shared" si="18"/>
        <v>0.93333333333333335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 t="s">
        <v>1010</v>
      </c>
      <c r="AL211" s="8" t="s">
        <v>1010</v>
      </c>
      <c r="AM211" s="27"/>
      <c r="AN211" s="27"/>
      <c r="AO211" s="27"/>
    </row>
    <row r="212" spans="1:41" ht="15" hidden="1" thickBot="1" x14ac:dyDescent="0.35">
      <c r="A212" s="51" t="s">
        <v>199</v>
      </c>
      <c r="B212" s="51" t="s">
        <v>364</v>
      </c>
      <c r="C212" s="51" t="s">
        <v>1172</v>
      </c>
      <c r="D212" s="51" t="s">
        <v>363</v>
      </c>
      <c r="E212" s="51" t="s">
        <v>73</v>
      </c>
      <c r="F212" s="51" t="s">
        <v>1164</v>
      </c>
      <c r="G212" s="51" t="s">
        <v>826</v>
      </c>
      <c r="H212" s="53">
        <f t="shared" si="19"/>
        <v>28</v>
      </c>
      <c r="I212" s="17">
        <f t="shared" si="17"/>
        <v>2</v>
      </c>
      <c r="J212" s="18">
        <f t="shared" si="18"/>
        <v>0.93333333333333335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 t="s">
        <v>1010</v>
      </c>
      <c r="AL212" s="8" t="s">
        <v>1010</v>
      </c>
      <c r="AM212" s="27"/>
      <c r="AN212" s="27"/>
      <c r="AO212" s="27"/>
    </row>
    <row r="213" spans="1:41" ht="15" hidden="1" thickBot="1" x14ac:dyDescent="0.35">
      <c r="A213" s="51" t="s">
        <v>365</v>
      </c>
      <c r="B213" s="51" t="s">
        <v>366</v>
      </c>
      <c r="C213" s="51" t="s">
        <v>1172</v>
      </c>
      <c r="D213" s="51" t="s">
        <v>1078</v>
      </c>
      <c r="E213" s="51" t="s">
        <v>15</v>
      </c>
      <c r="F213" s="51" t="s">
        <v>28</v>
      </c>
      <c r="G213" s="51" t="s">
        <v>831</v>
      </c>
      <c r="H213" s="53">
        <f t="shared" si="19"/>
        <v>9</v>
      </c>
      <c r="I213" s="17">
        <f t="shared" si="17"/>
        <v>21</v>
      </c>
      <c r="J213" s="18">
        <f t="shared" si="18"/>
        <v>0.3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 t="s">
        <v>1010</v>
      </c>
      <c r="AH213" s="8" t="s">
        <v>1010</v>
      </c>
      <c r="AI213" s="8"/>
      <c r="AJ213" s="27"/>
      <c r="AK213" s="8"/>
      <c r="AL213" s="8"/>
      <c r="AM213" s="27"/>
      <c r="AN213" s="27"/>
      <c r="AO213" s="27"/>
    </row>
    <row r="214" spans="1:41" ht="15" hidden="1" thickBot="1" x14ac:dyDescent="0.35">
      <c r="A214" s="51" t="s">
        <v>365</v>
      </c>
      <c r="B214" s="51" t="s">
        <v>367</v>
      </c>
      <c r="C214" s="51" t="s">
        <v>1172</v>
      </c>
      <c r="D214" s="51" t="s">
        <v>1078</v>
      </c>
      <c r="E214" s="51" t="s">
        <v>73</v>
      </c>
      <c r="F214" s="51" t="s">
        <v>28</v>
      </c>
      <c r="G214" s="51" t="s">
        <v>832</v>
      </c>
      <c r="H214" s="53">
        <f t="shared" si="19"/>
        <v>9</v>
      </c>
      <c r="I214" s="17">
        <f t="shared" si="17"/>
        <v>21</v>
      </c>
      <c r="J214" s="18">
        <f t="shared" si="18"/>
        <v>0.3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 t="s">
        <v>1010</v>
      </c>
      <c r="AH214" s="8" t="s">
        <v>1010</v>
      </c>
      <c r="AI214" s="8"/>
      <c r="AJ214" s="27"/>
      <c r="AK214" s="8"/>
      <c r="AL214" s="8"/>
      <c r="AM214" s="27"/>
      <c r="AN214" s="27"/>
      <c r="AO214" s="27"/>
    </row>
    <row r="215" spans="1:41" ht="15" hidden="1" thickBot="1" x14ac:dyDescent="0.35">
      <c r="A215" s="51" t="s">
        <v>356</v>
      </c>
      <c r="B215" s="51" t="s">
        <v>368</v>
      </c>
      <c r="C215" s="51" t="s">
        <v>1172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5</v>
      </c>
      <c r="I215" s="17">
        <f t="shared" si="17"/>
        <v>25</v>
      </c>
      <c r="J215" s="18">
        <f t="shared" si="18"/>
        <v>0.16666666666666666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 t="s">
        <v>1010</v>
      </c>
      <c r="AH215" s="8" t="s">
        <v>1010</v>
      </c>
      <c r="AI215" s="8" t="s">
        <v>1010</v>
      </c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1172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1</v>
      </c>
      <c r="I216" s="17">
        <f t="shared" si="17"/>
        <v>28</v>
      </c>
      <c r="J216" s="18">
        <f t="shared" si="18"/>
        <v>3.4482758620689655E-2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 t="s">
        <v>1010</v>
      </c>
      <c r="AH216" s="8" t="s">
        <v>1010</v>
      </c>
      <c r="AI216" s="8" t="s">
        <v>1010</v>
      </c>
      <c r="AJ216" s="27" t="s">
        <v>1010</v>
      </c>
      <c r="AK216" s="8" t="s">
        <v>1010</v>
      </c>
      <c r="AL216" s="8" t="s">
        <v>1010</v>
      </c>
      <c r="AM216" s="27" t="s">
        <v>1010</v>
      </c>
      <c r="AN216" s="27"/>
      <c r="AO216" s="27"/>
    </row>
    <row r="217" spans="1:41" ht="15" hidden="1" thickBot="1" x14ac:dyDescent="0.35">
      <c r="A217" s="51" t="s">
        <v>187</v>
      </c>
      <c r="B217" s="51" t="s">
        <v>1079</v>
      </c>
      <c r="C217" s="51" t="s">
        <v>1171</v>
      </c>
      <c r="D217" s="51" t="s">
        <v>1080</v>
      </c>
      <c r="E217" s="51" t="s">
        <v>73</v>
      </c>
      <c r="F217" s="51" t="s">
        <v>28</v>
      </c>
      <c r="G217" s="51"/>
      <c r="H217" s="53">
        <f t="shared" si="19"/>
        <v>4</v>
      </c>
      <c r="I217" s="17">
        <f t="shared" si="17"/>
        <v>25</v>
      </c>
      <c r="J217" s="18">
        <f t="shared" si="18"/>
        <v>0.13793103448275862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 t="s">
        <v>1010</v>
      </c>
      <c r="AH217" s="8" t="s">
        <v>1010</v>
      </c>
      <c r="AI217" s="8" t="s">
        <v>1010</v>
      </c>
      <c r="AJ217" s="27" t="s">
        <v>1010</v>
      </c>
      <c r="AK217" s="8" t="s">
        <v>1010</v>
      </c>
      <c r="AL217" s="8" t="s">
        <v>1010</v>
      </c>
      <c r="AM217" s="27" t="s">
        <v>1010</v>
      </c>
      <c r="AN217" s="27"/>
      <c r="AO217" s="27"/>
    </row>
    <row r="218" spans="1:41" ht="15" hidden="1" thickBot="1" x14ac:dyDescent="0.35">
      <c r="A218" s="51" t="s">
        <v>189</v>
      </c>
      <c r="B218" s="51" t="s">
        <v>1081</v>
      </c>
      <c r="C218" s="51" t="s">
        <v>1172</v>
      </c>
      <c r="D218" s="51" t="s">
        <v>1082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hidden="1" thickBot="1" x14ac:dyDescent="0.35">
      <c r="A219" s="51" t="s">
        <v>217</v>
      </c>
      <c r="B219" s="51" t="s">
        <v>1083</v>
      </c>
      <c r="C219" s="51" t="s">
        <v>1172</v>
      </c>
      <c r="D219" s="51" t="s">
        <v>1084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hidden="1" thickBot="1" x14ac:dyDescent="0.35">
      <c r="A220" s="51" t="s">
        <v>291</v>
      </c>
      <c r="B220" s="51" t="s">
        <v>371</v>
      </c>
      <c r="C220" s="51" t="s">
        <v>1172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hidden="1" thickBot="1" x14ac:dyDescent="0.35">
      <c r="A221" s="51" t="s">
        <v>291</v>
      </c>
      <c r="B221" s="51" t="s">
        <v>1085</v>
      </c>
      <c r="C221" s="51" t="s">
        <v>1172</v>
      </c>
      <c r="D221" s="51" t="s">
        <v>1086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1087</v>
      </c>
      <c r="C222" s="51" t="s">
        <v>1172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28</v>
      </c>
      <c r="I222" s="17">
        <f t="shared" si="17"/>
        <v>1</v>
      </c>
      <c r="J222" s="18">
        <f t="shared" si="18"/>
        <v>0.96551724137931039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 t="s">
        <v>1010</v>
      </c>
      <c r="AN222" s="27"/>
      <c r="AO222" s="27"/>
    </row>
    <row r="223" spans="1:41" ht="15" hidden="1" thickBot="1" x14ac:dyDescent="0.35">
      <c r="A223" s="51" t="s">
        <v>199</v>
      </c>
      <c r="B223" s="51" t="s">
        <v>1088</v>
      </c>
      <c r="C223" s="51" t="s">
        <v>1172</v>
      </c>
      <c r="D223" s="51" t="s">
        <v>1089</v>
      </c>
      <c r="E223" s="51" t="s">
        <v>73</v>
      </c>
      <c r="F223" s="51" t="s">
        <v>28</v>
      </c>
      <c r="G223" s="51"/>
      <c r="H223" s="53">
        <f t="shared" si="19"/>
        <v>28</v>
      </c>
      <c r="I223" s="17">
        <f t="shared" si="17"/>
        <v>2</v>
      </c>
      <c r="J223" s="18">
        <f t="shared" si="18"/>
        <v>0.93333333333333335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 t="s">
        <v>1010</v>
      </c>
      <c r="AL223" s="8" t="s">
        <v>1010</v>
      </c>
      <c r="AM223" s="27"/>
      <c r="AN223" s="27"/>
      <c r="AO223" s="27"/>
    </row>
    <row r="224" spans="1:41" ht="15" hidden="1" thickBot="1" x14ac:dyDescent="0.35">
      <c r="A224" s="51" t="s">
        <v>365</v>
      </c>
      <c r="B224" s="51" t="s">
        <v>1090</v>
      </c>
      <c r="C224" s="51" t="s">
        <v>1172</v>
      </c>
      <c r="D224" s="51" t="s">
        <v>1091</v>
      </c>
      <c r="E224" s="51" t="s">
        <v>19</v>
      </c>
      <c r="F224" s="51" t="s">
        <v>28</v>
      </c>
      <c r="G224" s="51"/>
      <c r="H224" s="53">
        <f t="shared" si="19"/>
        <v>11</v>
      </c>
      <c r="I224" s="17">
        <f t="shared" si="17"/>
        <v>19</v>
      </c>
      <c r="J224" s="18">
        <f t="shared" si="18"/>
        <v>0.36666666666666664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 t="s">
        <v>1010</v>
      </c>
      <c r="AH224" s="8" t="s">
        <v>1010</v>
      </c>
      <c r="AI224" s="8"/>
      <c r="AJ224" s="27"/>
      <c r="AK224" s="8"/>
      <c r="AL224" s="8"/>
      <c r="AM224" s="27"/>
      <c r="AN224" s="27"/>
      <c r="AO224" s="27"/>
    </row>
    <row r="225" spans="1:41" ht="15" hidden="1" thickBot="1" x14ac:dyDescent="0.35">
      <c r="A225" s="51" t="s">
        <v>356</v>
      </c>
      <c r="B225" s="51" t="s">
        <v>1092</v>
      </c>
      <c r="C225" s="51" t="s">
        <v>1172</v>
      </c>
      <c r="D225" s="51" t="s">
        <v>1093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hidden="1" thickBot="1" x14ac:dyDescent="0.35">
      <c r="A226" s="51" t="s">
        <v>232</v>
      </c>
      <c r="B226" s="51" t="s">
        <v>1094</v>
      </c>
      <c r="C226" s="51" t="s">
        <v>1172</v>
      </c>
      <c r="D226" s="51" t="s">
        <v>1095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hidden="1" thickBot="1" x14ac:dyDescent="0.35">
      <c r="A227" s="51" t="s">
        <v>372</v>
      </c>
      <c r="B227" s="51" t="s">
        <v>373</v>
      </c>
      <c r="C227" s="51" t="s">
        <v>1172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hidden="1" thickBot="1" x14ac:dyDescent="0.35">
      <c r="A228" s="51" t="s">
        <v>372</v>
      </c>
      <c r="B228" s="51" t="s">
        <v>1096</v>
      </c>
      <c r="C228" s="51" t="s">
        <v>1172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hidden="1" thickBot="1" x14ac:dyDescent="0.35">
      <c r="A229" s="51" t="s">
        <v>372</v>
      </c>
      <c r="B229" s="51" t="s">
        <v>376</v>
      </c>
      <c r="C229" s="51" t="s">
        <v>1172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hidden="1" thickBot="1" x14ac:dyDescent="0.35">
      <c r="A230" s="51" t="s">
        <v>372</v>
      </c>
      <c r="B230" s="51" t="s">
        <v>378</v>
      </c>
      <c r="C230" s="51" t="s">
        <v>1172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hidden="1" thickBot="1" x14ac:dyDescent="0.35">
      <c r="A231" s="51" t="s">
        <v>372</v>
      </c>
      <c r="B231" s="51" t="s">
        <v>379</v>
      </c>
      <c r="C231" s="51" t="s">
        <v>1172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hidden="1" thickBot="1" x14ac:dyDescent="0.35">
      <c r="A232" s="51" t="s">
        <v>372</v>
      </c>
      <c r="B232" s="51" t="s">
        <v>381</v>
      </c>
      <c r="C232" s="51" t="s">
        <v>1172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hidden="1" thickBot="1" x14ac:dyDescent="0.35">
      <c r="A233" s="51" t="s">
        <v>382</v>
      </c>
      <c r="B233" s="51" t="s">
        <v>1097</v>
      </c>
      <c r="C233" s="51" t="s">
        <v>1172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hidden="1" thickBot="1" x14ac:dyDescent="0.35">
      <c r="A234" s="51" t="s">
        <v>382</v>
      </c>
      <c r="B234" s="51" t="s">
        <v>1098</v>
      </c>
      <c r="C234" s="51" t="s">
        <v>1172</v>
      </c>
      <c r="D234" s="51" t="s">
        <v>1099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hidden="1" thickBot="1" x14ac:dyDescent="0.35">
      <c r="A235" s="51" t="s">
        <v>382</v>
      </c>
      <c r="B235" s="51" t="s">
        <v>1100</v>
      </c>
      <c r="C235" s="51" t="s">
        <v>1172</v>
      </c>
      <c r="D235" s="51" t="s">
        <v>1101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hidden="1" thickBot="1" x14ac:dyDescent="0.35">
      <c r="A236" s="51" t="s">
        <v>382</v>
      </c>
      <c r="B236" s="51" t="s">
        <v>1102</v>
      </c>
      <c r="C236" s="51" t="s">
        <v>1172</v>
      </c>
      <c r="D236" s="51" t="s">
        <v>1103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hidden="1" thickBot="1" x14ac:dyDescent="0.35">
      <c r="A237" s="51" t="s">
        <v>382</v>
      </c>
      <c r="B237" s="51" t="s">
        <v>1104</v>
      </c>
      <c r="C237" s="51" t="s">
        <v>1172</v>
      </c>
      <c r="D237" s="51" t="s">
        <v>1105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hidden="1" thickBot="1" x14ac:dyDescent="0.35">
      <c r="A238" s="51" t="s">
        <v>382</v>
      </c>
      <c r="B238" s="51" t="s">
        <v>1106</v>
      </c>
      <c r="C238" s="51" t="s">
        <v>1172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hidden="1" thickBot="1" x14ac:dyDescent="0.35">
      <c r="A239" s="51" t="s">
        <v>382</v>
      </c>
      <c r="B239" s="51" t="s">
        <v>1107</v>
      </c>
      <c r="C239" s="51" t="s">
        <v>1172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hidden="1" thickBot="1" x14ac:dyDescent="0.35">
      <c r="A240" s="51" t="s">
        <v>382</v>
      </c>
      <c r="B240" s="51" t="s">
        <v>385</v>
      </c>
      <c r="C240" s="51" t="s">
        <v>1172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hidden="1" thickBot="1" x14ac:dyDescent="0.35">
      <c r="A241" s="51" t="s">
        <v>382</v>
      </c>
      <c r="B241" s="51" t="s">
        <v>387</v>
      </c>
      <c r="C241" s="51" t="s">
        <v>1172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hidden="1" thickBot="1" x14ac:dyDescent="0.35">
      <c r="A242" s="51" t="s">
        <v>988</v>
      </c>
      <c r="B242" s="51" t="s">
        <v>1108</v>
      </c>
      <c r="C242" s="51" t="s">
        <v>1172</v>
      </c>
      <c r="D242" s="51" t="s">
        <v>1109</v>
      </c>
      <c r="E242" s="51" t="s">
        <v>1165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hidden="1" thickBot="1" x14ac:dyDescent="0.35">
      <c r="A243" s="51" t="s">
        <v>988</v>
      </c>
      <c r="B243" s="51" t="s">
        <v>987</v>
      </c>
      <c r="C243" s="51" t="s">
        <v>1172</v>
      </c>
      <c r="D243" s="51" t="s">
        <v>1109</v>
      </c>
      <c r="E243" s="51" t="s">
        <v>1166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hidden="1" thickBot="1" x14ac:dyDescent="0.35">
      <c r="A244" s="51" t="s">
        <v>268</v>
      </c>
      <c r="B244" s="51" t="s">
        <v>1110</v>
      </c>
      <c r="C244" s="51" t="s">
        <v>1171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12</v>
      </c>
      <c r="I244" s="17">
        <f t="shared" si="17"/>
        <v>17</v>
      </c>
      <c r="J244" s="18">
        <f t="shared" si="18"/>
        <v>0.41379310344827586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 t="s">
        <v>1010</v>
      </c>
      <c r="AH244" s="8" t="s">
        <v>1010</v>
      </c>
      <c r="AI244" s="8" t="s">
        <v>1010</v>
      </c>
      <c r="AJ244" s="27" t="s">
        <v>1010</v>
      </c>
      <c r="AK244" s="8" t="s">
        <v>1010</v>
      </c>
      <c r="AL244" s="8" t="s">
        <v>1010</v>
      </c>
      <c r="AM244" s="27" t="s">
        <v>1010</v>
      </c>
      <c r="AN244" s="27"/>
      <c r="AO244" s="27"/>
    </row>
    <row r="245" spans="1:41" ht="15" hidden="1" thickBot="1" x14ac:dyDescent="0.35">
      <c r="A245" s="51" t="s">
        <v>268</v>
      </c>
      <c r="B245" s="51" t="s">
        <v>1111</v>
      </c>
      <c r="C245" s="51" t="s">
        <v>1171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12</v>
      </c>
      <c r="I245" s="17">
        <f t="shared" si="17"/>
        <v>17</v>
      </c>
      <c r="J245" s="18">
        <f t="shared" si="18"/>
        <v>0.41379310344827586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 t="s">
        <v>1010</v>
      </c>
      <c r="AH245" s="27" t="s">
        <v>1010</v>
      </c>
      <c r="AI245" s="27" t="s">
        <v>1010</v>
      </c>
      <c r="AJ245" s="27" t="s">
        <v>1010</v>
      </c>
      <c r="AK245" s="27" t="s">
        <v>1010</v>
      </c>
      <c r="AL245" s="27" t="s">
        <v>1010</v>
      </c>
      <c r="AM245" s="27" t="s">
        <v>1010</v>
      </c>
      <c r="AN245" s="27"/>
      <c r="AO245" s="27"/>
    </row>
    <row r="246" spans="1:41" ht="15" hidden="1" thickBot="1" x14ac:dyDescent="0.35">
      <c r="A246" s="51" t="s">
        <v>268</v>
      </c>
      <c r="B246" s="51" t="s">
        <v>1112</v>
      </c>
      <c r="C246" s="51" t="s">
        <v>1171</v>
      </c>
      <c r="D246" s="51" t="s">
        <v>1113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hidden="1" thickBot="1" x14ac:dyDescent="0.35">
      <c r="A247" s="51" t="s">
        <v>268</v>
      </c>
      <c r="B247" s="51" t="s">
        <v>1114</v>
      </c>
      <c r="C247" s="51" t="s">
        <v>1171</v>
      </c>
      <c r="D247" s="51" t="s">
        <v>1115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hidden="1" thickBot="1" x14ac:dyDescent="0.35">
      <c r="A248" s="51" t="s">
        <v>268</v>
      </c>
      <c r="B248" s="51" t="s">
        <v>389</v>
      </c>
      <c r="C248" s="51" t="s">
        <v>1171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hidden="1" thickBot="1" x14ac:dyDescent="0.35">
      <c r="A249" s="51" t="s">
        <v>391</v>
      </c>
      <c r="B249" s="51" t="s">
        <v>392</v>
      </c>
      <c r="C249" s="51" t="s">
        <v>1171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hidden="1" thickBot="1" x14ac:dyDescent="0.35">
      <c r="A250" s="51" t="s">
        <v>391</v>
      </c>
      <c r="B250" s="51" t="s">
        <v>394</v>
      </c>
      <c r="C250" s="51" t="s">
        <v>1171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hidden="1" thickBot="1" x14ac:dyDescent="0.35">
      <c r="A251" s="51" t="s">
        <v>396</v>
      </c>
      <c r="B251" s="51" t="s">
        <v>397</v>
      </c>
      <c r="C251" s="51" t="s">
        <v>1171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hidden="1" thickBot="1" x14ac:dyDescent="0.35">
      <c r="A252" s="51" t="s">
        <v>298</v>
      </c>
      <c r="B252" s="51" t="s">
        <v>1116</v>
      </c>
      <c r="C252" s="51" t="s">
        <v>1171</v>
      </c>
      <c r="D252" s="51" t="s">
        <v>401</v>
      </c>
      <c r="E252" s="51" t="s">
        <v>19</v>
      </c>
      <c r="F252" s="51" t="s">
        <v>1163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hidden="1" thickBot="1" x14ac:dyDescent="0.35">
      <c r="A253" s="51" t="s">
        <v>298</v>
      </c>
      <c r="B253" s="51" t="s">
        <v>399</v>
      </c>
      <c r="C253" s="51" t="s">
        <v>1171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hidden="1" thickBot="1" x14ac:dyDescent="0.35">
      <c r="A254" s="51" t="s">
        <v>298</v>
      </c>
      <c r="B254" s="51" t="s">
        <v>402</v>
      </c>
      <c r="C254" s="51" t="s">
        <v>1171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1</v>
      </c>
      <c r="I254" s="17">
        <f t="shared" si="17"/>
        <v>28</v>
      </c>
      <c r="J254" s="18">
        <f t="shared" si="18"/>
        <v>3.4482758620689655E-2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 t="s">
        <v>1010</v>
      </c>
      <c r="AH254" s="8" t="s">
        <v>1010</v>
      </c>
      <c r="AI254" s="8" t="s">
        <v>1010</v>
      </c>
      <c r="AJ254" s="27" t="s">
        <v>1010</v>
      </c>
      <c r="AK254" s="8" t="s">
        <v>1010</v>
      </c>
      <c r="AL254" s="8" t="s">
        <v>1010</v>
      </c>
      <c r="AM254" s="27" t="s">
        <v>1010</v>
      </c>
      <c r="AN254" s="27"/>
      <c r="AO254" s="27"/>
    </row>
    <row r="255" spans="1:41" ht="15" hidden="1" thickBot="1" x14ac:dyDescent="0.35">
      <c r="A255" s="51" t="s">
        <v>298</v>
      </c>
      <c r="B255" s="51" t="s">
        <v>404</v>
      </c>
      <c r="C255" s="51" t="s">
        <v>1171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2</v>
      </c>
      <c r="I255" s="17">
        <f t="shared" si="17"/>
        <v>27</v>
      </c>
      <c r="J255" s="18">
        <f t="shared" si="18"/>
        <v>6.8965517241379309E-2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 t="s">
        <v>1010</v>
      </c>
      <c r="AH255" s="8" t="s">
        <v>1010</v>
      </c>
      <c r="AI255" s="8" t="s">
        <v>1010</v>
      </c>
      <c r="AJ255" s="27" t="s">
        <v>1010</v>
      </c>
      <c r="AK255" s="8" t="s">
        <v>1010</v>
      </c>
      <c r="AL255" s="8"/>
      <c r="AM255" s="27" t="s">
        <v>1010</v>
      </c>
      <c r="AN255" s="27"/>
      <c r="AO255" s="27"/>
    </row>
    <row r="256" spans="1:41" ht="15" hidden="1" thickBot="1" x14ac:dyDescent="0.35">
      <c r="A256" s="51" t="s">
        <v>391</v>
      </c>
      <c r="B256" s="51" t="s">
        <v>405</v>
      </c>
      <c r="C256" s="51" t="s">
        <v>1171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hidden="1" thickBot="1" x14ac:dyDescent="0.35">
      <c r="A257" s="51" t="s">
        <v>391</v>
      </c>
      <c r="B257" s="51" t="s">
        <v>407</v>
      </c>
      <c r="C257" s="51" t="s">
        <v>1171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hidden="1" thickBot="1" x14ac:dyDescent="0.35">
      <c r="A258" s="51" t="s">
        <v>409</v>
      </c>
      <c r="B258" s="51" t="s">
        <v>410</v>
      </c>
      <c r="C258" s="51" t="s">
        <v>1171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hidden="1" thickBot="1" x14ac:dyDescent="0.35">
      <c r="A259" s="51" t="s">
        <v>409</v>
      </c>
      <c r="B259" s="51" t="s">
        <v>412</v>
      </c>
      <c r="C259" s="51" t="s">
        <v>1171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hidden="1" thickBot="1" x14ac:dyDescent="0.35">
      <c r="A260" s="51" t="s">
        <v>409</v>
      </c>
      <c r="B260" s="51" t="s">
        <v>413</v>
      </c>
      <c r="C260" s="51" t="s">
        <v>1171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hidden="1" thickBot="1" x14ac:dyDescent="0.35">
      <c r="A261" s="51" t="s">
        <v>416</v>
      </c>
      <c r="B261" s="51" t="s">
        <v>993</v>
      </c>
      <c r="C261" s="51" t="s">
        <v>1171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hidden="1" thickBot="1" x14ac:dyDescent="0.35">
      <c r="A262" s="51" t="s">
        <v>409</v>
      </c>
      <c r="B262" s="51" t="s">
        <v>995</v>
      </c>
      <c r="C262" s="51" t="s">
        <v>1171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hidden="1" thickBot="1" x14ac:dyDescent="0.35">
      <c r="A263" s="51" t="s">
        <v>409</v>
      </c>
      <c r="B263" s="51" t="s">
        <v>1117</v>
      </c>
      <c r="C263" s="51" t="s">
        <v>1171</v>
      </c>
      <c r="D263" s="51" t="s">
        <v>1118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hidden="1" thickBot="1" x14ac:dyDescent="0.35">
      <c r="A264" s="51" t="s">
        <v>409</v>
      </c>
      <c r="B264" s="51" t="s">
        <v>414</v>
      </c>
      <c r="C264" s="51" t="s">
        <v>1171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hidden="1" thickBot="1" x14ac:dyDescent="0.35">
      <c r="A265" s="51" t="s">
        <v>416</v>
      </c>
      <c r="B265" s="51" t="s">
        <v>417</v>
      </c>
      <c r="C265" s="51" t="s">
        <v>1171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hidden="1" thickBot="1" x14ac:dyDescent="0.35">
      <c r="A266" s="51" t="s">
        <v>416</v>
      </c>
      <c r="B266" s="51" t="s">
        <v>419</v>
      </c>
      <c r="C266" s="51" t="s">
        <v>1171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hidden="1" thickBot="1" x14ac:dyDescent="0.35">
      <c r="A267" s="51" t="s">
        <v>409</v>
      </c>
      <c r="B267" s="51" t="s">
        <v>420</v>
      </c>
      <c r="C267" s="51" t="s">
        <v>1171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hidden="1" thickBot="1" x14ac:dyDescent="0.35">
      <c r="A268" s="51" t="s">
        <v>409</v>
      </c>
      <c r="B268" s="51" t="s">
        <v>422</v>
      </c>
      <c r="C268" s="51" t="s">
        <v>1171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hidden="1" thickBot="1" x14ac:dyDescent="0.35">
      <c r="A269" s="51" t="s">
        <v>409</v>
      </c>
      <c r="B269" s="51" t="s">
        <v>423</v>
      </c>
      <c r="C269" s="51" t="s">
        <v>1171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hidden="1" thickBot="1" x14ac:dyDescent="0.35">
      <c r="A270" s="51" t="s">
        <v>409</v>
      </c>
      <c r="B270" s="51" t="s">
        <v>425</v>
      </c>
      <c r="C270" s="51" t="s">
        <v>1171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hidden="1" thickBot="1" x14ac:dyDescent="0.35">
      <c r="A271" s="51" t="s">
        <v>199</v>
      </c>
      <c r="B271" s="51" t="s">
        <v>426</v>
      </c>
      <c r="C271" s="51" t="s">
        <v>1172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hidden="1" thickBot="1" x14ac:dyDescent="0.35">
      <c r="A272" s="51" t="s">
        <v>199</v>
      </c>
      <c r="B272" s="51" t="s">
        <v>428</v>
      </c>
      <c r="C272" s="51" t="s">
        <v>1172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hidden="1" thickBot="1" x14ac:dyDescent="0.35">
      <c r="A273" s="51" t="s">
        <v>199</v>
      </c>
      <c r="B273" s="51" t="s">
        <v>1119</v>
      </c>
      <c r="C273" s="51" t="s">
        <v>1172</v>
      </c>
      <c r="D273" s="51" t="s">
        <v>1120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hidden="1" thickBot="1" x14ac:dyDescent="0.35">
      <c r="A274" s="51" t="s">
        <v>199</v>
      </c>
      <c r="B274" s="51" t="s">
        <v>1121</v>
      </c>
      <c r="C274" s="51" t="s">
        <v>1172</v>
      </c>
      <c r="D274" s="51" t="s">
        <v>1120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hidden="1" thickBot="1" x14ac:dyDescent="0.35">
      <c r="A275" s="51" t="s">
        <v>199</v>
      </c>
      <c r="B275" s="51" t="s">
        <v>430</v>
      </c>
      <c r="C275" s="51" t="s">
        <v>1172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hidden="1" thickBot="1" x14ac:dyDescent="0.35">
      <c r="A276" s="51" t="s">
        <v>199</v>
      </c>
      <c r="B276" s="51" t="s">
        <v>432</v>
      </c>
      <c r="C276" s="51" t="s">
        <v>1172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hidden="1" thickBot="1" x14ac:dyDescent="0.35">
      <c r="A277" s="51" t="s">
        <v>199</v>
      </c>
      <c r="B277" s="51" t="s">
        <v>434</v>
      </c>
      <c r="C277" s="51" t="s">
        <v>1172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28</v>
      </c>
      <c r="I277" s="17">
        <f t="shared" si="21"/>
        <v>2</v>
      </c>
      <c r="J277" s="18">
        <f t="shared" si="22"/>
        <v>0.93333333333333335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 t="s">
        <v>1010</v>
      </c>
      <c r="AL277" s="8" t="s">
        <v>1010</v>
      </c>
      <c r="AM277" s="27"/>
      <c r="AN277" s="27"/>
      <c r="AO277" s="27"/>
    </row>
    <row r="278" spans="1:41" ht="15" hidden="1" thickBot="1" x14ac:dyDescent="0.35">
      <c r="A278" s="51" t="s">
        <v>199</v>
      </c>
      <c r="B278" s="51" t="s">
        <v>436</v>
      </c>
      <c r="C278" s="51" t="s">
        <v>1172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29</v>
      </c>
      <c r="I278" s="17">
        <f t="shared" si="21"/>
        <v>1</v>
      </c>
      <c r="J278" s="18">
        <f t="shared" si="22"/>
        <v>0.96666666666666667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 t="s">
        <v>1010</v>
      </c>
      <c r="AL278" s="8"/>
      <c r="AM278" s="27"/>
      <c r="AN278" s="27"/>
      <c r="AO278" s="27"/>
    </row>
    <row r="279" spans="1:41" ht="15" hidden="1" thickBot="1" x14ac:dyDescent="0.35">
      <c r="A279" s="51" t="s">
        <v>199</v>
      </c>
      <c r="B279" s="51" t="s">
        <v>437</v>
      </c>
      <c r="C279" s="51" t="s">
        <v>1172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29</v>
      </c>
      <c r="I279" s="17">
        <f t="shared" si="21"/>
        <v>1</v>
      </c>
      <c r="J279" s="18">
        <f t="shared" si="22"/>
        <v>0.96666666666666667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 t="s">
        <v>1010</v>
      </c>
      <c r="AL279" s="8"/>
      <c r="AM279" s="27"/>
      <c r="AN279" s="27"/>
      <c r="AO279" s="27"/>
    </row>
    <row r="280" spans="1:41" ht="15" hidden="1" thickBot="1" x14ac:dyDescent="0.35">
      <c r="A280" s="51" t="s">
        <v>199</v>
      </c>
      <c r="B280" s="51" t="s">
        <v>439</v>
      </c>
      <c r="C280" s="51" t="s">
        <v>1172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29</v>
      </c>
      <c r="I280" s="17">
        <f t="shared" si="21"/>
        <v>1</v>
      </c>
      <c r="J280" s="18">
        <f t="shared" si="22"/>
        <v>0.96666666666666667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 t="s">
        <v>1010</v>
      </c>
      <c r="AL280" s="8"/>
      <c r="AM280" s="27"/>
      <c r="AN280" s="27"/>
      <c r="AO280" s="27"/>
    </row>
    <row r="281" spans="1:41" ht="15" hidden="1" thickBot="1" x14ac:dyDescent="0.35">
      <c r="A281" s="51" t="s">
        <v>440</v>
      </c>
      <c r="B281" s="51" t="s">
        <v>441</v>
      </c>
      <c r="C281" s="51" t="s">
        <v>1172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hidden="1" thickBot="1" x14ac:dyDescent="0.35">
      <c r="A282" s="51" t="s">
        <v>445</v>
      </c>
      <c r="B282" s="51" t="s">
        <v>443</v>
      </c>
      <c r="C282" s="51" t="s">
        <v>1172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hidden="1" thickBot="1" x14ac:dyDescent="0.35">
      <c r="A283" s="51" t="s">
        <v>445</v>
      </c>
      <c r="B283" s="51" t="s">
        <v>446</v>
      </c>
      <c r="C283" s="51" t="s">
        <v>1172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hidden="1" thickBot="1" x14ac:dyDescent="0.35">
      <c r="A284" s="51" t="s">
        <v>445</v>
      </c>
      <c r="B284" s="51" t="s">
        <v>448</v>
      </c>
      <c r="C284" s="51" t="s">
        <v>1172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hidden="1" thickBot="1" x14ac:dyDescent="0.35">
      <c r="A285" s="51" t="s">
        <v>445</v>
      </c>
      <c r="B285" s="51" t="s">
        <v>450</v>
      </c>
      <c r="C285" s="51" t="s">
        <v>1172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hidden="1" thickBot="1" x14ac:dyDescent="0.35">
      <c r="A286" s="51" t="s">
        <v>445</v>
      </c>
      <c r="B286" s="51" t="s">
        <v>452</v>
      </c>
      <c r="C286" s="51" t="s">
        <v>1172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hidden="1" thickBot="1" x14ac:dyDescent="0.35">
      <c r="A287" s="51" t="s">
        <v>445</v>
      </c>
      <c r="B287" s="51" t="s">
        <v>454</v>
      </c>
      <c r="C287" s="51" t="s">
        <v>1172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hidden="1" thickBot="1" x14ac:dyDescent="0.35">
      <c r="A288" s="51" t="s">
        <v>445</v>
      </c>
      <c r="B288" s="51" t="s">
        <v>456</v>
      </c>
      <c r="C288" s="51" t="s">
        <v>1172</v>
      </c>
      <c r="D288" s="51" t="s">
        <v>457</v>
      </c>
      <c r="E288" s="51" t="s">
        <v>15</v>
      </c>
      <c r="F288" s="51" t="s">
        <v>1164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hidden="1" customHeight="1" thickBot="1" x14ac:dyDescent="0.35">
      <c r="A289" s="51" t="s">
        <v>168</v>
      </c>
      <c r="B289" s="51" t="s">
        <v>1122</v>
      </c>
      <c r="C289" s="51" t="s">
        <v>1171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7</v>
      </c>
      <c r="I289" s="17">
        <f t="shared" si="21"/>
        <v>22</v>
      </c>
      <c r="J289" s="18">
        <f t="shared" si="22"/>
        <v>0.2413793103448276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 t="s">
        <v>1010</v>
      </c>
      <c r="AH289" s="8" t="s">
        <v>1010</v>
      </c>
      <c r="AI289" s="8" t="s">
        <v>1010</v>
      </c>
      <c r="AJ289" s="27" t="s">
        <v>1010</v>
      </c>
      <c r="AK289" s="8" t="s">
        <v>1010</v>
      </c>
      <c r="AL289" s="8" t="s">
        <v>1010</v>
      </c>
      <c r="AM289" s="27" t="s">
        <v>1010</v>
      </c>
      <c r="AN289" s="27"/>
      <c r="AO289" s="27"/>
    </row>
    <row r="290" spans="1:41" ht="15" hidden="1" thickBot="1" x14ac:dyDescent="0.35">
      <c r="A290" s="51" t="s">
        <v>168</v>
      </c>
      <c r="B290" s="51" t="s">
        <v>1123</v>
      </c>
      <c r="C290" s="51" t="s">
        <v>1171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7</v>
      </c>
      <c r="I290" s="17">
        <f t="shared" si="21"/>
        <v>22</v>
      </c>
      <c r="J290" s="18">
        <f t="shared" si="22"/>
        <v>0.2413793103448276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 t="s">
        <v>1010</v>
      </c>
      <c r="AH290" s="8" t="s">
        <v>1010</v>
      </c>
      <c r="AI290" s="8" t="s">
        <v>1010</v>
      </c>
      <c r="AJ290" s="27" t="s">
        <v>1010</v>
      </c>
      <c r="AK290" s="8" t="s">
        <v>1010</v>
      </c>
      <c r="AL290" s="8" t="s">
        <v>1010</v>
      </c>
      <c r="AM290" s="27" t="s">
        <v>1010</v>
      </c>
      <c r="AN290" s="27"/>
      <c r="AO290" s="27"/>
    </row>
    <row r="291" spans="1:41" ht="15" hidden="1" thickBot="1" x14ac:dyDescent="0.35">
      <c r="A291" s="51" t="s">
        <v>168</v>
      </c>
      <c r="B291" s="51" t="s">
        <v>458</v>
      </c>
      <c r="C291" s="51" t="s">
        <v>1171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7</v>
      </c>
      <c r="I291" s="17">
        <f t="shared" si="21"/>
        <v>22</v>
      </c>
      <c r="J291" s="18">
        <f t="shared" si="22"/>
        <v>0.2413793103448276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 t="s">
        <v>1010</v>
      </c>
      <c r="AH291" s="8" t="s">
        <v>1010</v>
      </c>
      <c r="AI291" s="8" t="s">
        <v>1010</v>
      </c>
      <c r="AJ291" s="27" t="s">
        <v>1010</v>
      </c>
      <c r="AK291" s="8" t="s">
        <v>1010</v>
      </c>
      <c r="AL291" s="8" t="s">
        <v>1010</v>
      </c>
      <c r="AM291" s="27" t="s">
        <v>1010</v>
      </c>
      <c r="AN291" s="27"/>
      <c r="AO291" s="27"/>
    </row>
    <row r="292" spans="1:41" ht="15" hidden="1" thickBot="1" x14ac:dyDescent="0.35">
      <c r="A292" s="51" t="s">
        <v>168</v>
      </c>
      <c r="B292" s="51" t="s">
        <v>460</v>
      </c>
      <c r="C292" s="51" t="s">
        <v>1171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7</v>
      </c>
      <c r="I292" s="17">
        <f t="shared" si="21"/>
        <v>22</v>
      </c>
      <c r="J292" s="18">
        <f t="shared" si="22"/>
        <v>0.2413793103448276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 t="s">
        <v>1010</v>
      </c>
      <c r="AH292" s="8" t="s">
        <v>1010</v>
      </c>
      <c r="AI292" s="8" t="s">
        <v>1010</v>
      </c>
      <c r="AJ292" s="27" t="s">
        <v>1010</v>
      </c>
      <c r="AK292" s="8" t="s">
        <v>1010</v>
      </c>
      <c r="AL292" s="8" t="s">
        <v>1010</v>
      </c>
      <c r="AM292" s="27" t="s">
        <v>1010</v>
      </c>
      <c r="AN292" s="27"/>
      <c r="AO292" s="27"/>
    </row>
    <row r="293" spans="1:41" ht="15" hidden="1" thickBot="1" x14ac:dyDescent="0.35">
      <c r="A293" s="51" t="s">
        <v>462</v>
      </c>
      <c r="B293" s="51" t="s">
        <v>1124</v>
      </c>
      <c r="C293" s="51" t="s">
        <v>1172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hidden="1" thickBot="1" x14ac:dyDescent="0.35">
      <c r="A294" s="51" t="s">
        <v>462</v>
      </c>
      <c r="B294" s="51" t="s">
        <v>466</v>
      </c>
      <c r="C294" s="51" t="s">
        <v>1172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hidden="1" thickBot="1" x14ac:dyDescent="0.35">
      <c r="A295" s="51" t="s">
        <v>462</v>
      </c>
      <c r="B295" s="51" t="s">
        <v>1125</v>
      </c>
      <c r="C295" s="51" t="s">
        <v>1172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1126</v>
      </c>
      <c r="C296" s="51" t="s">
        <v>1172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28</v>
      </c>
      <c r="I296" s="17">
        <f t="shared" si="21"/>
        <v>1</v>
      </c>
      <c r="J296" s="18">
        <f t="shared" si="22"/>
        <v>0.96551724137931039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 t="s">
        <v>1010</v>
      </c>
      <c r="AK296" s="8"/>
      <c r="AL296" s="8"/>
      <c r="AM296" s="27" t="s">
        <v>1010</v>
      </c>
      <c r="AN296" s="27"/>
      <c r="AO296" s="27"/>
    </row>
    <row r="297" spans="1:41" ht="15" thickBot="1" x14ac:dyDescent="0.35">
      <c r="A297" s="51" t="s">
        <v>356</v>
      </c>
      <c r="B297" s="51" t="s">
        <v>1127</v>
      </c>
      <c r="C297" s="51" t="s">
        <v>1172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27</v>
      </c>
      <c r="I297" s="17">
        <f t="shared" si="21"/>
        <v>2</v>
      </c>
      <c r="J297" s="18">
        <f t="shared" si="22"/>
        <v>0.93103448275862066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 t="s">
        <v>1010</v>
      </c>
      <c r="AK297" s="8" t="s">
        <v>1010</v>
      </c>
      <c r="AL297" s="8"/>
      <c r="AM297" s="27" t="s">
        <v>1010</v>
      </c>
      <c r="AN297" s="27"/>
      <c r="AO297" s="27"/>
    </row>
    <row r="298" spans="1:41" ht="15" hidden="1" thickBot="1" x14ac:dyDescent="0.35">
      <c r="A298" s="51" t="s">
        <v>462</v>
      </c>
      <c r="B298" s="51" t="s">
        <v>1128</v>
      </c>
      <c r="C298" s="51" t="s">
        <v>1172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hidden="1" thickBot="1" x14ac:dyDescent="0.35">
      <c r="A299" s="51" t="s">
        <v>462</v>
      </c>
      <c r="B299" s="51" t="s">
        <v>1129</v>
      </c>
      <c r="C299" s="51" t="s">
        <v>1172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hidden="1" thickBot="1" x14ac:dyDescent="0.35">
      <c r="A300" s="51" t="s">
        <v>462</v>
      </c>
      <c r="B300" s="51" t="s">
        <v>471</v>
      </c>
      <c r="C300" s="51" t="s">
        <v>1172</v>
      </c>
      <c r="D300" s="51" t="s">
        <v>1130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hidden="1" thickBot="1" x14ac:dyDescent="0.35">
      <c r="A301" s="51" t="s">
        <v>356</v>
      </c>
      <c r="B301" s="51" t="s">
        <v>472</v>
      </c>
      <c r="C301" s="51" t="s">
        <v>1172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hidden="1" thickBot="1" x14ac:dyDescent="0.35">
      <c r="A302" s="51" t="s">
        <v>462</v>
      </c>
      <c r="B302" s="51" t="s">
        <v>474</v>
      </c>
      <c r="C302" s="51" t="s">
        <v>1172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hidden="1" thickBot="1" x14ac:dyDescent="0.35">
      <c r="A303" s="51" t="s">
        <v>462</v>
      </c>
      <c r="B303" s="51" t="s">
        <v>1131</v>
      </c>
      <c r="C303" s="51" t="s">
        <v>1172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hidden="1" thickBot="1" x14ac:dyDescent="0.35">
      <c r="A304" s="51" t="s">
        <v>462</v>
      </c>
      <c r="B304" s="51" t="s">
        <v>1132</v>
      </c>
      <c r="C304" s="51" t="s">
        <v>1172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hidden="1" thickBot="1" x14ac:dyDescent="0.35">
      <c r="A305" s="51" t="s">
        <v>462</v>
      </c>
      <c r="B305" s="51" t="s">
        <v>1133</v>
      </c>
      <c r="C305" s="51" t="s">
        <v>1172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hidden="1" thickBot="1" x14ac:dyDescent="0.35">
      <c r="A306" s="51" t="s">
        <v>462</v>
      </c>
      <c r="B306" s="51" t="s">
        <v>1134</v>
      </c>
      <c r="C306" s="51" t="s">
        <v>1172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hidden="1" thickBot="1" x14ac:dyDescent="0.35">
      <c r="A307" s="51" t="s">
        <v>462</v>
      </c>
      <c r="B307" s="51" t="s">
        <v>1135</v>
      </c>
      <c r="C307" s="51" t="s">
        <v>1172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hidden="1" thickBot="1" x14ac:dyDescent="0.35">
      <c r="A308" s="51" t="s">
        <v>462</v>
      </c>
      <c r="B308" s="51" t="s">
        <v>478</v>
      </c>
      <c r="C308" s="51" t="s">
        <v>1172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hidden="1" thickBot="1" x14ac:dyDescent="0.35">
      <c r="A309" s="51" t="s">
        <v>462</v>
      </c>
      <c r="B309" s="51" t="s">
        <v>481</v>
      </c>
      <c r="C309" s="51" t="s">
        <v>1172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hidden="1" thickBot="1" x14ac:dyDescent="0.35">
      <c r="A310" s="51" t="s">
        <v>462</v>
      </c>
      <c r="B310" s="51" t="s">
        <v>1136</v>
      </c>
      <c r="C310" s="51" t="s">
        <v>1172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hidden="1" thickBot="1" x14ac:dyDescent="0.35">
      <c r="A311" s="51" t="s">
        <v>462</v>
      </c>
      <c r="B311" s="51" t="s">
        <v>1137</v>
      </c>
      <c r="C311" s="51" t="s">
        <v>1172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hidden="1" thickBot="1" x14ac:dyDescent="0.35">
      <c r="A312" s="51" t="s">
        <v>365</v>
      </c>
      <c r="B312" s="51" t="s">
        <v>484</v>
      </c>
      <c r="C312" s="51" t="s">
        <v>1172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hidden="1" thickBot="1" x14ac:dyDescent="0.35">
      <c r="A313" s="51" t="s">
        <v>365</v>
      </c>
      <c r="B313" s="51" t="s">
        <v>486</v>
      </c>
      <c r="C313" s="51" t="s">
        <v>1172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hidden="1" thickBot="1" x14ac:dyDescent="0.35">
      <c r="A314" s="51" t="s">
        <v>268</v>
      </c>
      <c r="B314" s="51" t="s">
        <v>1138</v>
      </c>
      <c r="C314" s="51" t="s">
        <v>1171</v>
      </c>
      <c r="D314" s="51" t="s">
        <v>505</v>
      </c>
      <c r="E314" s="51" t="s">
        <v>19</v>
      </c>
      <c r="F314" s="51" t="s">
        <v>1164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hidden="1" thickBot="1" x14ac:dyDescent="0.35">
      <c r="A315" s="51" t="s">
        <v>487</v>
      </c>
      <c r="B315" s="51" t="s">
        <v>488</v>
      </c>
      <c r="C315" s="51" t="s">
        <v>1171</v>
      </c>
      <c r="D315" s="51" t="s">
        <v>489</v>
      </c>
      <c r="E315" s="51" t="s">
        <v>19</v>
      </c>
      <c r="F315" s="51" t="s">
        <v>1164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hidden="1" thickBot="1" x14ac:dyDescent="0.35">
      <c r="A316" s="51" t="s">
        <v>487</v>
      </c>
      <c r="B316" s="51" t="s">
        <v>490</v>
      </c>
      <c r="C316" s="51" t="s">
        <v>1171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hidden="1" thickBot="1" x14ac:dyDescent="0.35">
      <c r="A317" s="51" t="s">
        <v>492</v>
      </c>
      <c r="B317" s="51" t="s">
        <v>493</v>
      </c>
      <c r="C317" s="51" t="s">
        <v>1171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hidden="1" thickBot="1" x14ac:dyDescent="0.35">
      <c r="A318" s="51" t="s">
        <v>487</v>
      </c>
      <c r="B318" s="51" t="s">
        <v>495</v>
      </c>
      <c r="C318" s="51" t="s">
        <v>1171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hidden="1" thickBot="1" x14ac:dyDescent="0.35">
      <c r="A319" s="51" t="s">
        <v>487</v>
      </c>
      <c r="B319" s="51" t="s">
        <v>497</v>
      </c>
      <c r="C319" s="51" t="s">
        <v>1171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hidden="1" thickBot="1" x14ac:dyDescent="0.35">
      <c r="A320" s="51" t="s">
        <v>487</v>
      </c>
      <c r="B320" s="51" t="s">
        <v>499</v>
      </c>
      <c r="C320" s="51" t="s">
        <v>1171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hidden="1" thickBot="1" x14ac:dyDescent="0.35">
      <c r="A321" s="51" t="s">
        <v>487</v>
      </c>
      <c r="B321" s="51" t="s">
        <v>501</v>
      </c>
      <c r="C321" s="51" t="s">
        <v>1171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hidden="1" thickBot="1" x14ac:dyDescent="0.35">
      <c r="A322" s="51" t="s">
        <v>487</v>
      </c>
      <c r="B322" s="51" t="s">
        <v>503</v>
      </c>
      <c r="C322" s="51" t="s">
        <v>1171</v>
      </c>
      <c r="D322" s="51" t="s">
        <v>504</v>
      </c>
      <c r="E322" s="51" t="s">
        <v>19</v>
      </c>
      <c r="F322" s="51" t="s">
        <v>1164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hidden="1" thickBot="1" x14ac:dyDescent="0.35">
      <c r="A323" s="51" t="s">
        <v>232</v>
      </c>
      <c r="B323" s="51" t="s">
        <v>506</v>
      </c>
      <c r="C323" s="51" t="s">
        <v>1172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hidden="1" thickBot="1" x14ac:dyDescent="0.35">
      <c r="A324" s="51" t="s">
        <v>232</v>
      </c>
      <c r="B324" s="51" t="s">
        <v>508</v>
      </c>
      <c r="C324" s="51" t="s">
        <v>1172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hidden="1" thickBot="1" x14ac:dyDescent="0.35">
      <c r="A325" s="51" t="s">
        <v>232</v>
      </c>
      <c r="B325" s="51" t="s">
        <v>1139</v>
      </c>
      <c r="C325" s="51" t="s">
        <v>1172</v>
      </c>
      <c r="D325" s="51" t="s">
        <v>518</v>
      </c>
      <c r="E325" s="51" t="s">
        <v>73</v>
      </c>
      <c r="F325" s="51" t="s">
        <v>1163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hidden="1" thickBot="1" x14ac:dyDescent="0.35">
      <c r="A326" s="51" t="s">
        <v>232</v>
      </c>
      <c r="B326" s="51" t="s">
        <v>1140</v>
      </c>
      <c r="C326" s="51" t="s">
        <v>1172</v>
      </c>
      <c r="D326" s="51" t="s">
        <v>518</v>
      </c>
      <c r="E326" s="51" t="s">
        <v>73</v>
      </c>
      <c r="F326" s="51" t="s">
        <v>1163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hidden="1" thickBot="1" x14ac:dyDescent="0.35">
      <c r="A327" s="51" t="s">
        <v>232</v>
      </c>
      <c r="B327" s="51" t="s">
        <v>510</v>
      </c>
      <c r="C327" s="51" t="s">
        <v>1172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4</v>
      </c>
      <c r="I327" s="17">
        <f t="shared" ref="I327:I372" si="24">COUNTIF(K327:AL327,"APAGADO")</f>
        <v>26</v>
      </c>
      <c r="J327" s="18">
        <f t="shared" ref="J327:J372" si="25">(H327)/(I327+H327)</f>
        <v>0.13333333333333333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 t="s">
        <v>1010</v>
      </c>
      <c r="AH327" s="8" t="s">
        <v>1010</v>
      </c>
      <c r="AI327" s="8" t="s">
        <v>1010</v>
      </c>
      <c r="AJ327" s="27" t="s">
        <v>1010</v>
      </c>
      <c r="AK327" s="8"/>
      <c r="AL327" s="8"/>
      <c r="AM327" s="27"/>
      <c r="AN327" s="27"/>
      <c r="AO327" s="27"/>
    </row>
    <row r="328" spans="1:41" ht="15" hidden="1" thickBot="1" x14ac:dyDescent="0.35">
      <c r="A328" s="51" t="s">
        <v>232</v>
      </c>
      <c r="B328" s="51" t="s">
        <v>512</v>
      </c>
      <c r="C328" s="51" t="s">
        <v>1172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4</v>
      </c>
      <c r="I328" s="17">
        <f t="shared" si="24"/>
        <v>26</v>
      </c>
      <c r="J328" s="18">
        <f t="shared" si="25"/>
        <v>0.13333333333333333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 t="s">
        <v>1010</v>
      </c>
      <c r="AH328" s="8" t="s">
        <v>1010</v>
      </c>
      <c r="AI328" s="8" t="s">
        <v>1010</v>
      </c>
      <c r="AJ328" s="27" t="s">
        <v>1010</v>
      </c>
      <c r="AK328" s="8"/>
      <c r="AL328" s="8"/>
      <c r="AM328" s="27"/>
      <c r="AN328" s="27"/>
      <c r="AO328" s="27"/>
    </row>
    <row r="329" spans="1:41" ht="15" hidden="1" thickBot="1" x14ac:dyDescent="0.35">
      <c r="A329" s="51" t="s">
        <v>232</v>
      </c>
      <c r="B329" s="51" t="s">
        <v>513</v>
      </c>
      <c r="C329" s="51" t="s">
        <v>1172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hidden="1" thickBot="1" x14ac:dyDescent="0.35">
      <c r="A330" s="51" t="s">
        <v>232</v>
      </c>
      <c r="B330" s="51" t="s">
        <v>515</v>
      </c>
      <c r="C330" s="51" t="s">
        <v>1172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hidden="1" thickBot="1" x14ac:dyDescent="0.35">
      <c r="A331" s="51" t="s">
        <v>232</v>
      </c>
      <c r="B331" s="51" t="s">
        <v>516</v>
      </c>
      <c r="C331" s="51" t="s">
        <v>1172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hidden="1" thickBot="1" x14ac:dyDescent="0.35">
      <c r="A332" s="51" t="s">
        <v>232</v>
      </c>
      <c r="B332" s="51" t="s">
        <v>519</v>
      </c>
      <c r="C332" s="51" t="s">
        <v>1172</v>
      </c>
      <c r="D332" s="51" t="s">
        <v>520</v>
      </c>
      <c r="E332" s="51" t="s">
        <v>73</v>
      </c>
      <c r="F332" s="51" t="s">
        <v>1163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hidden="1" thickBot="1" x14ac:dyDescent="0.35">
      <c r="A333" s="51" t="s">
        <v>232</v>
      </c>
      <c r="B333" s="51" t="s">
        <v>521</v>
      </c>
      <c r="C333" s="51" t="s">
        <v>1172</v>
      </c>
      <c r="D333" s="51" t="s">
        <v>520</v>
      </c>
      <c r="E333" s="51" t="s">
        <v>73</v>
      </c>
      <c r="F333" s="51" t="s">
        <v>1163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hidden="1" thickBot="1" x14ac:dyDescent="0.35">
      <c r="A334" s="51" t="s">
        <v>524</v>
      </c>
      <c r="B334" s="51" t="s">
        <v>1141</v>
      </c>
      <c r="C334" s="51" t="s">
        <v>1172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hidden="1" thickBot="1" x14ac:dyDescent="0.35">
      <c r="A335" s="51" t="s">
        <v>528</v>
      </c>
      <c r="B335" s="51" t="s">
        <v>1142</v>
      </c>
      <c r="C335" s="51" t="s">
        <v>1172</v>
      </c>
      <c r="D335" s="51" t="s">
        <v>553</v>
      </c>
      <c r="E335" s="51" t="s">
        <v>15</v>
      </c>
      <c r="F335" s="51" t="s">
        <v>1163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hidden="1" thickBot="1" x14ac:dyDescent="0.35">
      <c r="A336" s="51" t="s">
        <v>528</v>
      </c>
      <c r="B336" s="51" t="s">
        <v>526</v>
      </c>
      <c r="C336" s="51" t="s">
        <v>1172</v>
      </c>
      <c r="D336" s="51" t="s">
        <v>527</v>
      </c>
      <c r="E336" s="51" t="s">
        <v>15</v>
      </c>
      <c r="F336" s="51" t="s">
        <v>1164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hidden="1" thickBot="1" x14ac:dyDescent="0.35">
      <c r="A337" s="51" t="s">
        <v>528</v>
      </c>
      <c r="B337" s="51" t="s">
        <v>529</v>
      </c>
      <c r="C337" s="51" t="s">
        <v>1172</v>
      </c>
      <c r="D337" s="51" t="s">
        <v>530</v>
      </c>
      <c r="E337" s="51" t="s">
        <v>15</v>
      </c>
      <c r="F337" s="51" t="s">
        <v>1164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hidden="1" thickBot="1" x14ac:dyDescent="0.35">
      <c r="A338" s="51" t="s">
        <v>528</v>
      </c>
      <c r="B338" s="51" t="s">
        <v>531</v>
      </c>
      <c r="C338" s="51" t="s">
        <v>1172</v>
      </c>
      <c r="D338" s="51" t="s">
        <v>1203</v>
      </c>
      <c r="E338" s="51" t="s">
        <v>15</v>
      </c>
      <c r="F338" s="51" t="s">
        <v>1164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hidden="1" thickBot="1" x14ac:dyDescent="0.35">
      <c r="A339" s="51" t="s">
        <v>528</v>
      </c>
      <c r="B339" s="51" t="s">
        <v>534</v>
      </c>
      <c r="C339" s="51" t="s">
        <v>1172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hidden="1" thickBot="1" x14ac:dyDescent="0.35">
      <c r="A340" s="51" t="s">
        <v>524</v>
      </c>
      <c r="B340" s="51" t="s">
        <v>1143</v>
      </c>
      <c r="C340" s="51" t="s">
        <v>1172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hidden="1" thickBot="1" x14ac:dyDescent="0.35">
      <c r="A341" s="51" t="s">
        <v>524</v>
      </c>
      <c r="B341" s="51" t="s">
        <v>1144</v>
      </c>
      <c r="C341" s="51" t="s">
        <v>1172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hidden="1" thickBot="1" x14ac:dyDescent="0.35">
      <c r="A342" s="51" t="s">
        <v>528</v>
      </c>
      <c r="B342" s="51" t="s">
        <v>536</v>
      </c>
      <c r="C342" s="51" t="s">
        <v>1172</v>
      </c>
      <c r="D342" s="51" t="s">
        <v>1145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hidden="1" thickBot="1" x14ac:dyDescent="0.35">
      <c r="A343" s="51" t="s">
        <v>524</v>
      </c>
      <c r="B343" s="51" t="s">
        <v>537</v>
      </c>
      <c r="C343" s="51" t="s">
        <v>1172</v>
      </c>
      <c r="D343" s="51" t="s">
        <v>1204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hidden="1" thickBot="1" x14ac:dyDescent="0.35">
      <c r="A344" s="51" t="s">
        <v>524</v>
      </c>
      <c r="B344" s="51" t="s">
        <v>538</v>
      </c>
      <c r="C344" s="51" t="s">
        <v>1172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hidden="1" thickBot="1" x14ac:dyDescent="0.35">
      <c r="A345" s="51" t="s">
        <v>524</v>
      </c>
      <c r="B345" s="51" t="s">
        <v>540</v>
      </c>
      <c r="C345" s="51" t="s">
        <v>1172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hidden="1" thickBot="1" x14ac:dyDescent="0.35">
      <c r="A346" s="51" t="s">
        <v>524</v>
      </c>
      <c r="B346" s="51" t="s">
        <v>542</v>
      </c>
      <c r="C346" s="51" t="s">
        <v>1172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hidden="1" thickBot="1" x14ac:dyDescent="0.35">
      <c r="A347" s="51" t="s">
        <v>524</v>
      </c>
      <c r="B347" s="51" t="s">
        <v>544</v>
      </c>
      <c r="C347" s="51" t="s">
        <v>1172</v>
      </c>
      <c r="D347" s="51" t="s">
        <v>1181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hidden="1" thickBot="1" x14ac:dyDescent="0.35">
      <c r="A348" s="51" t="s">
        <v>524</v>
      </c>
      <c r="B348" s="51" t="s">
        <v>545</v>
      </c>
      <c r="C348" s="51" t="s">
        <v>1171</v>
      </c>
      <c r="D348" s="51" t="s">
        <v>1180</v>
      </c>
      <c r="E348" s="51"/>
      <c r="F348" s="51" t="s">
        <v>1164</v>
      </c>
      <c r="G348" s="51" t="s">
        <v>931</v>
      </c>
      <c r="H348" s="53">
        <f t="shared" si="23"/>
        <v>13</v>
      </c>
      <c r="I348" s="17">
        <f t="shared" si="24"/>
        <v>16</v>
      </c>
      <c r="J348" s="18">
        <f t="shared" si="25"/>
        <v>0.44827586206896552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 t="s">
        <v>1010</v>
      </c>
      <c r="AH348" s="8"/>
      <c r="AI348" s="8"/>
      <c r="AJ348" s="27"/>
      <c r="AK348" s="8"/>
      <c r="AL348" s="8"/>
      <c r="AM348" s="27" t="s">
        <v>1010</v>
      </c>
      <c r="AN348" s="27"/>
      <c r="AO348" s="27"/>
    </row>
    <row r="349" spans="1:41" ht="15" hidden="1" thickBot="1" x14ac:dyDescent="0.35">
      <c r="A349" s="51" t="s">
        <v>528</v>
      </c>
      <c r="B349" s="51" t="s">
        <v>546</v>
      </c>
      <c r="C349" s="51" t="s">
        <v>1172</v>
      </c>
      <c r="D349" s="51" t="s">
        <v>547</v>
      </c>
      <c r="E349" s="51" t="s">
        <v>19</v>
      </c>
      <c r="F349" s="51" t="s">
        <v>1163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hidden="1" thickBot="1" x14ac:dyDescent="0.35">
      <c r="A350" s="51" t="s">
        <v>528</v>
      </c>
      <c r="B350" s="51" t="s">
        <v>548</v>
      </c>
      <c r="C350" s="51" t="s">
        <v>1172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hidden="1" thickBot="1" x14ac:dyDescent="0.35">
      <c r="A351" s="51" t="s">
        <v>528</v>
      </c>
      <c r="B351" s="51" t="s">
        <v>551</v>
      </c>
      <c r="C351" s="51" t="s">
        <v>1172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hidden="1" thickBot="1" x14ac:dyDescent="0.35">
      <c r="A352" s="51" t="s">
        <v>528</v>
      </c>
      <c r="B352" s="51" t="s">
        <v>1146</v>
      </c>
      <c r="C352" s="51" t="s">
        <v>1172</v>
      </c>
      <c r="D352" s="51" t="s">
        <v>523</v>
      </c>
      <c r="E352" s="51" t="s">
        <v>15</v>
      </c>
      <c r="F352" s="51" t="s">
        <v>1164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hidden="1" thickBot="1" x14ac:dyDescent="0.35">
      <c r="A353" s="51" t="s">
        <v>524</v>
      </c>
      <c r="B353" s="51" t="s">
        <v>1147</v>
      </c>
      <c r="C353" s="51" t="s">
        <v>1172</v>
      </c>
      <c r="D353" s="51" t="s">
        <v>525</v>
      </c>
      <c r="E353" s="51" t="s">
        <v>19</v>
      </c>
      <c r="F353" s="51" t="s">
        <v>1164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hidden="1" thickBot="1" x14ac:dyDescent="0.35">
      <c r="A354" s="51" t="s">
        <v>524</v>
      </c>
      <c r="B354" s="51" t="s">
        <v>1148</v>
      </c>
      <c r="C354" s="51" t="s">
        <v>1172</v>
      </c>
      <c r="D354" s="51" t="s">
        <v>532</v>
      </c>
      <c r="E354" s="51" t="s">
        <v>15</v>
      </c>
      <c r="F354" s="51" t="s">
        <v>1164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hidden="1" thickBot="1" x14ac:dyDescent="0.35">
      <c r="A355" s="51" t="s">
        <v>524</v>
      </c>
      <c r="B355" s="51" t="s">
        <v>1149</v>
      </c>
      <c r="C355" s="51" t="s">
        <v>1172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hidden="1" thickBot="1" x14ac:dyDescent="0.35">
      <c r="A356" s="51" t="s">
        <v>524</v>
      </c>
      <c r="B356" s="51" t="s">
        <v>555</v>
      </c>
      <c r="C356" s="51" t="s">
        <v>1171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13</v>
      </c>
      <c r="I356" s="17">
        <f t="shared" si="24"/>
        <v>16</v>
      </c>
      <c r="J356" s="18">
        <f t="shared" si="25"/>
        <v>0.44827586206896552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 t="s">
        <v>1010</v>
      </c>
      <c r="AH356" s="8"/>
      <c r="AI356" s="8"/>
      <c r="AJ356" s="27"/>
      <c r="AK356" s="8"/>
      <c r="AL356" s="8"/>
      <c r="AM356" s="27" t="s">
        <v>1010</v>
      </c>
      <c r="AN356" s="27"/>
      <c r="AO356" s="27"/>
    </row>
    <row r="357" spans="1:41" ht="15" hidden="1" thickBot="1" x14ac:dyDescent="0.35">
      <c r="A357" s="51" t="s">
        <v>524</v>
      </c>
      <c r="B357" s="51" t="s">
        <v>557</v>
      </c>
      <c r="C357" s="51" t="s">
        <v>1171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13</v>
      </c>
      <c r="I357" s="17">
        <f t="shared" si="24"/>
        <v>16</v>
      </c>
      <c r="J357" s="18">
        <f t="shared" si="25"/>
        <v>0.44827586206896552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 t="s">
        <v>1010</v>
      </c>
      <c r="AH357" s="8"/>
      <c r="AI357" s="8"/>
      <c r="AJ357" s="27"/>
      <c r="AK357" s="8"/>
      <c r="AL357" s="8"/>
      <c r="AM357" s="27" t="s">
        <v>1010</v>
      </c>
      <c r="AN357" s="27"/>
      <c r="AO357" s="27"/>
    </row>
    <row r="358" spans="1:41" ht="15" hidden="1" thickBot="1" x14ac:dyDescent="0.35">
      <c r="A358" s="51" t="s">
        <v>416</v>
      </c>
      <c r="B358" s="51" t="s">
        <v>1150</v>
      </c>
      <c r="C358" s="51" t="s">
        <v>1171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hidden="1" thickBot="1" x14ac:dyDescent="0.35">
      <c r="A359" s="51" t="s">
        <v>298</v>
      </c>
      <c r="B359" s="51" t="s">
        <v>1151</v>
      </c>
      <c r="C359" s="51" t="s">
        <v>1171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hidden="1" thickBot="1" x14ac:dyDescent="0.35">
      <c r="A360" s="51" t="s">
        <v>416</v>
      </c>
      <c r="B360" s="51" t="s">
        <v>558</v>
      </c>
      <c r="C360" s="51" t="s">
        <v>1171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28</v>
      </c>
      <c r="I360" s="17">
        <f t="shared" si="24"/>
        <v>2</v>
      </c>
      <c r="J360" s="18">
        <f t="shared" si="25"/>
        <v>0.93333333333333335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 t="s">
        <v>1010</v>
      </c>
      <c r="AJ360" s="27" t="s">
        <v>1010</v>
      </c>
      <c r="AK360" s="8"/>
      <c r="AL360" s="8"/>
      <c r="AM360" s="27"/>
      <c r="AN360" s="27"/>
      <c r="AO360" s="27"/>
    </row>
    <row r="361" spans="1:41" ht="15" hidden="1" thickBot="1" x14ac:dyDescent="0.35">
      <c r="A361" s="51" t="s">
        <v>416</v>
      </c>
      <c r="B361" s="51" t="s">
        <v>563</v>
      </c>
      <c r="C361" s="51" t="s">
        <v>1171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2</v>
      </c>
      <c r="I361" s="17">
        <f t="shared" si="24"/>
        <v>27</v>
      </c>
      <c r="J361" s="18">
        <f t="shared" si="25"/>
        <v>6.8965517241379309E-2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 t="s">
        <v>1010</v>
      </c>
      <c r="AH361" s="8" t="s">
        <v>1010</v>
      </c>
      <c r="AI361" s="8" t="s">
        <v>1010</v>
      </c>
      <c r="AJ361" s="27" t="s">
        <v>1010</v>
      </c>
      <c r="AK361" s="8" t="s">
        <v>1010</v>
      </c>
      <c r="AL361" s="8" t="s">
        <v>1010</v>
      </c>
      <c r="AM361" s="27" t="s">
        <v>1010</v>
      </c>
      <c r="AN361" s="27"/>
      <c r="AO361" s="27"/>
    </row>
    <row r="362" spans="1:41" ht="15" hidden="1" thickBot="1" x14ac:dyDescent="0.35">
      <c r="A362" s="51" t="s">
        <v>416</v>
      </c>
      <c r="B362" s="51" t="s">
        <v>565</v>
      </c>
      <c r="C362" s="51" t="s">
        <v>1171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2</v>
      </c>
      <c r="I362" s="17">
        <f t="shared" si="24"/>
        <v>27</v>
      </c>
      <c r="J362" s="18">
        <f t="shared" si="25"/>
        <v>6.8965517241379309E-2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 t="s">
        <v>1010</v>
      </c>
      <c r="AH362" s="8" t="s">
        <v>1010</v>
      </c>
      <c r="AI362" s="8" t="s">
        <v>1010</v>
      </c>
      <c r="AJ362" s="27" t="s">
        <v>1010</v>
      </c>
      <c r="AK362" s="8" t="s">
        <v>1010</v>
      </c>
      <c r="AL362" s="8" t="s">
        <v>1010</v>
      </c>
      <c r="AM362" s="27" t="s">
        <v>1010</v>
      </c>
      <c r="AN362" s="27"/>
      <c r="AO362" s="27"/>
    </row>
    <row r="363" spans="1:41" ht="15" hidden="1" thickBot="1" x14ac:dyDescent="0.35">
      <c r="A363" s="51" t="s">
        <v>416</v>
      </c>
      <c r="B363" s="51" t="s">
        <v>566</v>
      </c>
      <c r="C363" s="51" t="s">
        <v>1171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hidden="1" thickBot="1" x14ac:dyDescent="0.35">
      <c r="A364" s="51" t="s">
        <v>416</v>
      </c>
      <c r="B364" s="51" t="s">
        <v>568</v>
      </c>
      <c r="C364" s="51" t="s">
        <v>1171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hidden="1" thickBot="1" x14ac:dyDescent="0.35">
      <c r="A365" s="51" t="s">
        <v>416</v>
      </c>
      <c r="B365" s="51" t="s">
        <v>569</v>
      </c>
      <c r="C365" s="51" t="s">
        <v>1171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hidden="1" thickBot="1" x14ac:dyDescent="0.35">
      <c r="A366" s="51" t="s">
        <v>492</v>
      </c>
      <c r="B366" s="51" t="s">
        <v>571</v>
      </c>
      <c r="C366" s="51" t="s">
        <v>1171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hidden="1" thickBot="1" x14ac:dyDescent="0.35">
      <c r="A367" s="51" t="s">
        <v>492</v>
      </c>
      <c r="B367" s="51" t="s">
        <v>573</v>
      </c>
      <c r="C367" s="51" t="s">
        <v>1171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hidden="1" thickBot="1" x14ac:dyDescent="0.35">
      <c r="A368" s="51" t="s">
        <v>492</v>
      </c>
      <c r="B368" s="51" t="s">
        <v>575</v>
      </c>
      <c r="C368" s="51" t="s">
        <v>1171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hidden="1" thickBot="1" x14ac:dyDescent="0.35">
      <c r="A369" s="51" t="s">
        <v>492</v>
      </c>
      <c r="B369" s="51" t="s">
        <v>577</v>
      </c>
      <c r="C369" s="51" t="s">
        <v>1171</v>
      </c>
      <c r="D369" s="51" t="s">
        <v>578</v>
      </c>
      <c r="E369" s="51" t="s">
        <v>19</v>
      </c>
      <c r="F369" s="51" t="s">
        <v>1164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hidden="1" thickBot="1" x14ac:dyDescent="0.35">
      <c r="A370" s="51" t="s">
        <v>487</v>
      </c>
      <c r="B370" s="51" t="s">
        <v>579</v>
      </c>
      <c r="C370" s="51" t="s">
        <v>1171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hidden="1" thickBot="1" x14ac:dyDescent="0.35">
      <c r="A371" s="51" t="s">
        <v>581</v>
      </c>
      <c r="B371" s="51" t="s">
        <v>582</v>
      </c>
      <c r="C371" s="51" t="s">
        <v>1172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hidden="1" thickBot="1" x14ac:dyDescent="0.35">
      <c r="A372" s="51" t="s">
        <v>581</v>
      </c>
      <c r="B372" s="51" t="s">
        <v>584</v>
      </c>
      <c r="C372" s="51" t="s">
        <v>1172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hidden="1" thickBot="1" x14ac:dyDescent="0.35">
      <c r="A373" s="51" t="s">
        <v>581</v>
      </c>
      <c r="B373" s="51" t="s">
        <v>1152</v>
      </c>
      <c r="C373" s="51" t="s">
        <v>1172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hidden="1" thickBot="1" x14ac:dyDescent="0.35">
      <c r="A374" s="51" t="s">
        <v>581</v>
      </c>
      <c r="B374" s="51" t="s">
        <v>1153</v>
      </c>
      <c r="C374" s="51" t="s">
        <v>1172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hidden="1" thickBot="1" x14ac:dyDescent="0.35">
      <c r="A375" s="51" t="s">
        <v>587</v>
      </c>
      <c r="B375" s="51" t="s">
        <v>1154</v>
      </c>
      <c r="C375" s="51" t="s">
        <v>1172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hidden="1" thickBot="1" x14ac:dyDescent="0.35">
      <c r="A376" s="51" t="s">
        <v>587</v>
      </c>
      <c r="B376" s="51" t="s">
        <v>1155</v>
      </c>
      <c r="C376" s="51" t="s">
        <v>1172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hidden="1" thickBot="1" x14ac:dyDescent="0.35">
      <c r="A377" s="51" t="s">
        <v>587</v>
      </c>
      <c r="B377" s="51" t="s">
        <v>590</v>
      </c>
      <c r="C377" s="51" t="s">
        <v>1172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hidden="1" thickBot="1" x14ac:dyDescent="0.35">
      <c r="A378" s="51" t="s">
        <v>587</v>
      </c>
      <c r="B378" s="51" t="s">
        <v>592</v>
      </c>
      <c r="C378" s="51" t="s">
        <v>1172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hidden="1" thickBot="1" x14ac:dyDescent="0.35">
      <c r="A379" s="51" t="s">
        <v>587</v>
      </c>
      <c r="B379" s="51" t="s">
        <v>594</v>
      </c>
      <c r="C379" s="51" t="s">
        <v>1172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hidden="1" thickBot="1" x14ac:dyDescent="0.35">
      <c r="A380" s="51" t="s">
        <v>178</v>
      </c>
      <c r="B380" s="51" t="s">
        <v>596</v>
      </c>
      <c r="C380" s="51" t="s">
        <v>1172</v>
      </c>
      <c r="D380" s="51" t="s">
        <v>1205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hidden="1" thickBot="1" x14ac:dyDescent="0.35">
      <c r="A381" s="51" t="s">
        <v>178</v>
      </c>
      <c r="B381" s="51" t="s">
        <v>1156</v>
      </c>
      <c r="C381" s="51" t="s">
        <v>1172</v>
      </c>
      <c r="D381" s="51" t="s">
        <v>1206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hidden="1" thickBot="1" x14ac:dyDescent="0.35">
      <c r="A382" s="51" t="s">
        <v>178</v>
      </c>
      <c r="B382" s="51" t="s">
        <v>1157</v>
      </c>
      <c r="C382" s="51" t="s">
        <v>1172</v>
      </c>
      <c r="D382" s="51" t="s">
        <v>1206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hidden="1" thickBot="1" x14ac:dyDescent="0.35">
      <c r="A383" s="51" t="s">
        <v>178</v>
      </c>
      <c r="B383" s="51" t="s">
        <v>1158</v>
      </c>
      <c r="C383" s="51" t="s">
        <v>1172</v>
      </c>
      <c r="D383" s="51" t="s">
        <v>1159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hidden="1" thickBot="1" x14ac:dyDescent="0.35">
      <c r="A384" s="51" t="s">
        <v>178</v>
      </c>
      <c r="B384" s="51" t="s">
        <v>597</v>
      </c>
      <c r="C384" s="51" t="s">
        <v>1172</v>
      </c>
      <c r="D384" s="51" t="s">
        <v>1207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1160</v>
      </c>
      <c r="C385" s="51" t="s">
        <v>1172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17</v>
      </c>
      <c r="I385" s="53">
        <f t="shared" si="29"/>
        <v>12</v>
      </c>
      <c r="J385" s="54">
        <f t="shared" si="30"/>
        <v>0.58620689655172409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 t="s">
        <v>1010</v>
      </c>
      <c r="AL385" s="27" t="s">
        <v>1010</v>
      </c>
      <c r="AM385" s="27" t="s">
        <v>1010</v>
      </c>
      <c r="AN385" s="27"/>
      <c r="AO385" s="27"/>
    </row>
    <row r="386" spans="1:41" ht="15" thickBot="1" x14ac:dyDescent="0.35">
      <c r="A386" s="51" t="s">
        <v>598</v>
      </c>
      <c r="B386" s="51" t="s">
        <v>1161</v>
      </c>
      <c r="C386" s="51" t="s">
        <v>1172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17</v>
      </c>
      <c r="I386" s="53">
        <f t="shared" si="29"/>
        <v>12</v>
      </c>
      <c r="J386" s="54">
        <f t="shared" si="30"/>
        <v>0.58620689655172409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 t="s">
        <v>1010</v>
      </c>
      <c r="AL386" s="27" t="s">
        <v>1010</v>
      </c>
      <c r="AM386" s="27" t="s">
        <v>1010</v>
      </c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1172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17</v>
      </c>
      <c r="I387" s="53">
        <f t="shared" si="29"/>
        <v>12</v>
      </c>
      <c r="J387" s="54">
        <f t="shared" si="30"/>
        <v>0.58620689655172409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 t="s">
        <v>1010</v>
      </c>
      <c r="AL387" s="27" t="s">
        <v>1010</v>
      </c>
      <c r="AM387" s="27" t="s">
        <v>1010</v>
      </c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1172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17</v>
      </c>
      <c r="I388" s="53">
        <f t="shared" si="29"/>
        <v>12</v>
      </c>
      <c r="J388" s="54">
        <f t="shared" si="30"/>
        <v>0.58620689655172409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 t="s">
        <v>1010</v>
      </c>
      <c r="AL388" s="27" t="s">
        <v>1010</v>
      </c>
      <c r="AM388" s="27" t="s">
        <v>1010</v>
      </c>
      <c r="AN388" s="27"/>
      <c r="AO388" s="27"/>
    </row>
    <row r="389" spans="1:41" ht="15" hidden="1" thickBot="1" x14ac:dyDescent="0.35">
      <c r="A389" s="51" t="s">
        <v>603</v>
      </c>
      <c r="B389" s="51" t="s">
        <v>604</v>
      </c>
      <c r="C389" s="51" t="s">
        <v>1172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hidden="1" thickBot="1" x14ac:dyDescent="0.35">
      <c r="A390" s="51" t="s">
        <v>606</v>
      </c>
      <c r="B390" s="51" t="s">
        <v>608</v>
      </c>
      <c r="C390" s="51" t="s">
        <v>1172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hidden="1" thickBot="1" x14ac:dyDescent="0.35">
      <c r="A391" s="51" t="s">
        <v>606</v>
      </c>
      <c r="B391" s="51" t="s">
        <v>610</v>
      </c>
      <c r="C391" s="51" t="s">
        <v>1172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hidden="1" thickBot="1" x14ac:dyDescent="0.35">
      <c r="A392" s="51" t="s">
        <v>606</v>
      </c>
      <c r="B392" s="51" t="s">
        <v>1162</v>
      </c>
      <c r="C392" s="51" t="s">
        <v>1172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hidden="1" thickBot="1" x14ac:dyDescent="0.35">
      <c r="A393" s="51" t="s">
        <v>614</v>
      </c>
      <c r="B393" s="51" t="s">
        <v>612</v>
      </c>
      <c r="C393" s="51" t="s">
        <v>1172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hidden="1" thickBot="1" x14ac:dyDescent="0.35">
      <c r="A394" s="51" t="s">
        <v>614</v>
      </c>
      <c r="B394" s="51" t="s">
        <v>615</v>
      </c>
      <c r="C394" s="51" t="s">
        <v>1172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hidden="1" thickBot="1" x14ac:dyDescent="0.35">
      <c r="A395" s="51" t="s">
        <v>314</v>
      </c>
      <c r="B395" s="51" t="s">
        <v>617</v>
      </c>
      <c r="C395" s="51" t="s">
        <v>1172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hidden="1" thickBot="1" x14ac:dyDescent="0.35">
      <c r="A396" s="51" t="s">
        <v>614</v>
      </c>
      <c r="B396" s="51" t="s">
        <v>619</v>
      </c>
      <c r="C396" s="51" t="s">
        <v>1172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>
    <filterColumn colId="2">
      <filters>
        <filter val="COSEIDI"/>
      </filters>
    </filterColumn>
    <filterColumn colId="38">
      <customFilters>
        <customFilter operator="notEqual" val=" "/>
      </customFilters>
    </filterColumn>
  </autoFilter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A379"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 t="str">
        <f>'RESUMEN TOTAL'!AI7</f>
        <v>APAGADO</v>
      </c>
      <c r="AE4" t="str">
        <f>'RESUMEN TOTAL'!AJ7</f>
        <v>APAGADO</v>
      </c>
      <c r="AF4" t="str">
        <f>'RESUMEN TOTAL'!AK7</f>
        <v>APAGADO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 t="str">
        <f>'RESUMEN TOTAL'!AG10</f>
        <v>APAGADO</v>
      </c>
      <c r="AC7" t="str">
        <f>'RESUMEN TOTAL'!AH10</f>
        <v>APAGADO</v>
      </c>
      <c r="AD7" t="str">
        <f>'RESUMEN TOTAL'!AI10</f>
        <v>APAGADO</v>
      </c>
      <c r="AE7" t="str">
        <f>'RESUMEN TOTAL'!AJ10</f>
        <v>APAGADO</v>
      </c>
      <c r="AF7" t="str">
        <f>'RESUMEN TOTAL'!AK10</f>
        <v>APAGADO</v>
      </c>
      <c r="AG7" t="str">
        <f>'RESUMEN TOTAL'!AL10</f>
        <v>APAGADO</v>
      </c>
      <c r="AH7" t="str">
        <f>'RESUMEN TOTAL'!AM10</f>
        <v>APAGADO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 t="str">
        <f>'RESUMEN TOTAL'!AG13</f>
        <v>APAGADO</v>
      </c>
      <c r="AC10" t="str">
        <f>'RESUMEN TOTAL'!AH13</f>
        <v>APAGADO</v>
      </c>
      <c r="AD10" t="str">
        <f>'RESUMEN TOTAL'!AI13</f>
        <v>APAGADO</v>
      </c>
      <c r="AE10" t="str">
        <f>'RESUMEN TOTAL'!AJ13</f>
        <v>APAGADO</v>
      </c>
      <c r="AF10" t="str">
        <f>'RESUMEN TOTAL'!AK13</f>
        <v>APAGADO</v>
      </c>
      <c r="AG10" t="str">
        <f>'RESUMEN TOTAL'!AL13</f>
        <v>APAGADO</v>
      </c>
      <c r="AH10" t="str">
        <f>'RESUMEN TOTAL'!AM13</f>
        <v>APAGADO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 t="str">
        <f>'RESUMEN TOTAL'!AJ16</f>
        <v>APAGADO</v>
      </c>
      <c r="AF13" t="str">
        <f>'RESUMEN TOTAL'!AK16</f>
        <v>APAGADO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 t="str">
        <f>'RESUMEN TOTAL'!AG31</f>
        <v>APAGADO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str">
        <f>'RESUMEN TOTAL'!AM31</f>
        <v>APAGADO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 t="str">
        <f>'RESUMEN TOTAL'!AG34</f>
        <v>APAGADO</v>
      </c>
      <c r="AC31" t="str">
        <f>'RESUMEN TOTAL'!AH34</f>
        <v>APAGADO</v>
      </c>
      <c r="AD31" t="str">
        <f>'RESUMEN TOTAL'!AI34</f>
        <v>APAGADO</v>
      </c>
      <c r="AE31" t="str">
        <f>'RESUMEN TOTAL'!AJ34</f>
        <v>APAGADO</v>
      </c>
      <c r="AF31" t="str">
        <f>'RESUMEN TOTAL'!AK34</f>
        <v>APAGADO</v>
      </c>
      <c r="AG31" t="str">
        <f>'RESUMEN TOTAL'!AL34</f>
        <v>APAGADO</v>
      </c>
      <c r="AH31" t="str">
        <f>'RESUMEN TOTAL'!AM34</f>
        <v>APAGADO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 t="str">
        <f>'RESUMEN TOTAL'!AG67</f>
        <v>APAGADO</v>
      </c>
      <c r="AC64" t="str">
        <f>'RESUMEN TOTAL'!AH67</f>
        <v>APAGADO</v>
      </c>
      <c r="AD64" t="str">
        <f>'RESUMEN TOTAL'!AI67</f>
        <v>APAGADO</v>
      </c>
      <c r="AE64" t="str">
        <f>'RESUMEN TOTAL'!AJ67</f>
        <v>APAGADO</v>
      </c>
      <c r="AF64" t="str">
        <f>'RESUMEN TOTAL'!AK67</f>
        <v>APAGADO</v>
      </c>
      <c r="AG64" t="str">
        <f>'RESUMEN TOTAL'!AL67</f>
        <v>APAGADO</v>
      </c>
      <c r="AH64" t="str">
        <f>'RESUMEN TOTAL'!AM67</f>
        <v>APAGADO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 t="str">
        <f>'RESUMEN TOTAL'!AL76</f>
        <v>APAGADO</v>
      </c>
      <c r="AH73" t="str">
        <f>'RESUMEN TOTAL'!AM76</f>
        <v>APAGADO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 t="str">
        <f>'RESUMEN TOTAL'!AG79</f>
        <v>APAGADO</v>
      </c>
      <c r="AC76" t="str">
        <f>'RESUMEN TOTAL'!AH79</f>
        <v>APAGADO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 t="str">
        <f>'RESUMEN TOTAL'!AL79</f>
        <v>APAGADO</v>
      </c>
      <c r="AH76" t="str">
        <f>'RESUMEN TOTAL'!AM79</f>
        <v>APAGADO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str">
        <f>'RESUMEN TOTAL'!AM87</f>
        <v>APAGADO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 t="str">
        <f>'RESUMEN TOTAL'!AG96</f>
        <v>APAGADO</v>
      </c>
      <c r="AC93" t="str">
        <f>'RESUMEN TOTAL'!AH96</f>
        <v>APAGADO</v>
      </c>
      <c r="AD93" t="str">
        <f>'RESUMEN TOTAL'!AI96</f>
        <v>APAGADO</v>
      </c>
      <c r="AE93" t="str">
        <f>'RESUMEN TOTAL'!AJ96</f>
        <v>APAGADO</v>
      </c>
      <c r="AF93" t="str">
        <f>'RESUMEN TOTAL'!AK96</f>
        <v>APAGADO</v>
      </c>
      <c r="AG93" t="str">
        <f>'RESUMEN TOTAL'!AL96</f>
        <v>APAGADO</v>
      </c>
      <c r="AH93" t="str">
        <f>'RESUMEN TOTAL'!AM96</f>
        <v>APAGADO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 t="str">
        <f>'RESUMEN TOTAL'!AL97</f>
        <v>APAGADO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 t="str">
        <f>'RESUMEN TOTAL'!AJ107</f>
        <v>APAGADO</v>
      </c>
      <c r="AF104" t="str">
        <f>'RESUMEN TOTAL'!AK107</f>
        <v>APAGADO</v>
      </c>
      <c r="AG104" t="str">
        <f>'RESUMEN TOTAL'!AL107</f>
        <v>APAGADO</v>
      </c>
      <c r="AH104" t="str">
        <f>'RESUMEN TOTAL'!AM107</f>
        <v>APAGADO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 t="str">
        <f>'RESUMEN TOTAL'!AI113</f>
        <v>APAGADO</v>
      </c>
      <c r="AE110" t="str">
        <f>'RESUMEN TOTAL'!AJ113</f>
        <v>APAGADO</v>
      </c>
      <c r="AF110" t="str">
        <f>'RESUMEN TOTAL'!AK113</f>
        <v>APAGADO</v>
      </c>
      <c r="AG110" t="str">
        <f>'RESUMEN TOTAL'!AL113</f>
        <v>APAGADO</v>
      </c>
      <c r="AH110" t="str">
        <f>'RESUMEN TOTAL'!AM113</f>
        <v>APAGADO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 t="str">
        <f>'RESUMEN TOTAL'!AG134</f>
        <v>APAGADO</v>
      </c>
      <c r="AC131" t="str">
        <f>'RESUMEN TOTAL'!AH134</f>
        <v>APAGADO</v>
      </c>
      <c r="AD131" t="str">
        <f>'RESUMEN TOTAL'!AI134</f>
        <v>APAGADO</v>
      </c>
      <c r="AE131" t="str">
        <f>'RESUMEN TOTAL'!AJ134</f>
        <v>APAGADO</v>
      </c>
      <c r="AF131" t="str">
        <f>'RESUMEN TOTAL'!AK134</f>
        <v>APAGADO</v>
      </c>
      <c r="AG131" t="str">
        <f>'RESUMEN TOTAL'!AL134</f>
        <v>APAGADO</v>
      </c>
      <c r="AH131" t="str">
        <f>'RESUMEN TOTAL'!AM134</f>
        <v>APAGADO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 t="str">
        <f>'RESUMEN TOTAL'!AK137</f>
        <v>APAGADO</v>
      </c>
      <c r="AG134" t="str">
        <f>'RESUMEN TOTAL'!AL137</f>
        <v>APAGADO</v>
      </c>
      <c r="AH134" t="str">
        <f>'RESUMEN TOTAL'!AM137</f>
        <v>APAGADO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 t="str">
        <f>'RESUMEN TOTAL'!AG156</f>
        <v>APAGADO</v>
      </c>
      <c r="AC153" t="str">
        <f>'RESUMEN TOTAL'!AH156</f>
        <v>APAGADO</v>
      </c>
      <c r="AD153" t="str">
        <f>'RESUMEN TOTAL'!AI156</f>
        <v>APAGADO</v>
      </c>
      <c r="AE153" t="str">
        <f>'RESUMEN TOTAL'!AJ156</f>
        <v>APAGADO</v>
      </c>
      <c r="AF153" t="str">
        <f>'RESUMEN TOTAL'!AK156</f>
        <v>APAGADO</v>
      </c>
      <c r="AG153" t="str">
        <f>'RESUMEN TOTAL'!AL156</f>
        <v>APAGADO</v>
      </c>
      <c r="AH153" t="str">
        <f>'RESUMEN TOTAL'!AM156</f>
        <v>APAGADO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 t="str">
        <f>'RESUMEN TOTAL'!AG157</f>
        <v>APAGADO</v>
      </c>
      <c r="AC154" t="str">
        <f>'RESUMEN TOTAL'!AH157</f>
        <v>APAGADO</v>
      </c>
      <c r="AD154" t="str">
        <f>'RESUMEN TOTAL'!AI157</f>
        <v>APAGADO</v>
      </c>
      <c r="AE154" t="str">
        <f>'RESUMEN TOTAL'!AJ157</f>
        <v>APAGADO</v>
      </c>
      <c r="AF154" t="str">
        <f>'RESUMEN TOTAL'!AK157</f>
        <v>APAGADO</v>
      </c>
      <c r="AG154" t="str">
        <f>'RESUMEN TOTAL'!AL157</f>
        <v>APAGADO</v>
      </c>
      <c r="AH154" t="str">
        <f>'RESUMEN TOTAL'!AM157</f>
        <v>APAGADO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 t="str">
        <f>'RESUMEN TOTAL'!AG158</f>
        <v>APAGADO</v>
      </c>
      <c r="AC155" t="str">
        <f>'RESUMEN TOTAL'!AH158</f>
        <v>APAGADO</v>
      </c>
      <c r="AD155" t="str">
        <f>'RESUMEN TOTAL'!AI158</f>
        <v>APAGADO</v>
      </c>
      <c r="AE155" t="str">
        <f>'RESUMEN TOTAL'!AJ158</f>
        <v>APAGADO</v>
      </c>
      <c r="AF155" t="str">
        <f>'RESUMEN TOTAL'!AK158</f>
        <v>APAGADO</v>
      </c>
      <c r="AG155" t="str">
        <f>'RESUMEN TOTAL'!AL158</f>
        <v>APAGADO</v>
      </c>
      <c r="AH155" t="str">
        <f>'RESUMEN TOTAL'!AM158</f>
        <v>APAGADO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 t="str">
        <f>'RESUMEN TOTAL'!AJ162</f>
        <v>APAGADO</v>
      </c>
      <c r="AF159" t="str">
        <f>'RESUMEN TOTAL'!AK162</f>
        <v>APAGADO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 t="str">
        <f>'RESUMEN TOTAL'!AG163</f>
        <v>APAGADO</v>
      </c>
      <c r="AC160" t="str">
        <f>'RESUMEN TOTAL'!AH163</f>
        <v>APAGADO</v>
      </c>
      <c r="AD160" t="str">
        <f>'RESUMEN TOTAL'!AI163</f>
        <v>APAGADO</v>
      </c>
      <c r="AE160" t="str">
        <f>'RESUMEN TOTAL'!AJ163</f>
        <v>APAGADO</v>
      </c>
      <c r="AF160" t="str">
        <f>'RESUMEN TOTAL'!AK163</f>
        <v>APAGADO</v>
      </c>
      <c r="AG160" t="str">
        <f>'RESUMEN TOTAL'!AL163</f>
        <v>APAGADO</v>
      </c>
      <c r="AH160" t="str">
        <f>'RESUMEN TOTAL'!AM163</f>
        <v>APAGADO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 t="str">
        <f>'RESUMEN TOTAL'!AG166</f>
        <v>APAGADO</v>
      </c>
      <c r="AC163">
        <f>'RESUMEN TOTAL'!AH166</f>
        <v>0</v>
      </c>
      <c r="AD163" t="str">
        <f>'RESUMEN TOTAL'!AI166</f>
        <v>APAGADO</v>
      </c>
      <c r="AE163">
        <f>'RESUMEN TOTAL'!AJ166</f>
        <v>0</v>
      </c>
      <c r="AF163" t="str">
        <f>'RESUMEN TOTAL'!AK166</f>
        <v>APAGADO</v>
      </c>
      <c r="AG163" t="str">
        <f>'RESUMEN TOTAL'!AL166</f>
        <v>APAGADO</v>
      </c>
      <c r="AH163" t="str">
        <f>'RESUMEN TOTAL'!AM166</f>
        <v>APAGADO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 t="str">
        <f>'RESUMEN TOTAL'!AL191</f>
        <v>APAGADO</v>
      </c>
      <c r="AH188" t="str">
        <f>'RESUMEN TOTAL'!AM191</f>
        <v>APAGADO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 t="str">
        <f>'RESUMEN TOTAL'!AG210</f>
        <v>APAGADO</v>
      </c>
      <c r="AC207" t="str">
        <f>'RESUMEN TOTAL'!AH210</f>
        <v>APAGADO</v>
      </c>
      <c r="AD207" t="str">
        <f>'RESUMEN TOTAL'!AI210</f>
        <v>APAGADO</v>
      </c>
      <c r="AE207" t="str">
        <f>'RESUMEN TOTAL'!AJ210</f>
        <v>APAGADO</v>
      </c>
      <c r="AF207" t="str">
        <f>'RESUMEN TOTAL'!AK210</f>
        <v>APAGADO</v>
      </c>
      <c r="AG207" t="str">
        <f>'RESUMEN TOTAL'!AL210</f>
        <v>APAGADO</v>
      </c>
      <c r="AH207" t="str">
        <f>'RESUMEN TOTAL'!AM210</f>
        <v>APAGADO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 t="str">
        <f>'RESUMEN TOTAL'!AK211</f>
        <v>APAGADO</v>
      </c>
      <c r="AG208" t="str">
        <f>'RESUMEN TOTAL'!AL211</f>
        <v>APAGADO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 t="str">
        <f>'RESUMEN TOTAL'!AK212</f>
        <v>APAGADO</v>
      </c>
      <c r="AG209" t="str">
        <f>'RESUMEN TOTAL'!AL212</f>
        <v>APAGADO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 t="str">
        <f>'RESUMEN TOTAL'!AG213</f>
        <v>APAGADO</v>
      </c>
      <c r="AC210" t="str">
        <f>'RESUMEN TOTAL'!AH213</f>
        <v>APAGADO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 t="str">
        <f>'RESUMEN TOTAL'!AG214</f>
        <v>APAGADO</v>
      </c>
      <c r="AC211" t="str">
        <f>'RESUMEN TOTAL'!AH214</f>
        <v>APAGADO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 t="str">
        <f>'RESUMEN TOTAL'!AG215</f>
        <v>APAGADO</v>
      </c>
      <c r="AC212" t="str">
        <f>'RESUMEN TOTAL'!AH215</f>
        <v>APAGADO</v>
      </c>
      <c r="AD212" t="str">
        <f>'RESUMEN TOTAL'!AI215</f>
        <v>APAGADO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 t="str">
        <f>'RESUMEN TOTAL'!AG216</f>
        <v>APAGADO</v>
      </c>
      <c r="AC213" t="str">
        <f>'RESUMEN TOTAL'!AH216</f>
        <v>APAGADO</v>
      </c>
      <c r="AD213" t="str">
        <f>'RESUMEN TOTAL'!AI216</f>
        <v>APAGADO</v>
      </c>
      <c r="AE213" t="str">
        <f>'RESUMEN TOTAL'!AJ216</f>
        <v>APAGADO</v>
      </c>
      <c r="AF213" t="str">
        <f>'RESUMEN TOTAL'!AK216</f>
        <v>APAGADO</v>
      </c>
      <c r="AG213" t="str">
        <f>'RESUMEN TOTAL'!AL216</f>
        <v>APAGADO</v>
      </c>
      <c r="AH213" t="str">
        <f>'RESUMEN TOTAL'!AM216</f>
        <v>APAGADO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 t="str">
        <f>'RESUMEN TOTAL'!AG217</f>
        <v>APAGADO</v>
      </c>
      <c r="AC214" t="str">
        <f>'RESUMEN TOTAL'!AH217</f>
        <v>APAGADO</v>
      </c>
      <c r="AD214" t="str">
        <f>'RESUMEN TOTAL'!AI217</f>
        <v>APAGADO</v>
      </c>
      <c r="AE214" t="str">
        <f>'RESUMEN TOTAL'!AJ217</f>
        <v>APAGADO</v>
      </c>
      <c r="AF214" t="str">
        <f>'RESUMEN TOTAL'!AK217</f>
        <v>APAGADO</v>
      </c>
      <c r="AG214" t="str">
        <f>'RESUMEN TOTAL'!AL217</f>
        <v>APAGADO</v>
      </c>
      <c r="AH214" t="str">
        <f>'RESUMEN TOTAL'!AM217</f>
        <v>APAGADO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 t="str">
        <f>'RESUMEN TOTAL'!AM222</f>
        <v>APAGADO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 t="str">
        <f>'RESUMEN TOTAL'!AK223</f>
        <v>APAGADO</v>
      </c>
      <c r="AG220" t="str">
        <f>'RESUMEN TOTAL'!AL223</f>
        <v>APAGADO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 t="str">
        <f>'RESUMEN TOTAL'!AG224</f>
        <v>APAGADO</v>
      </c>
      <c r="AC221" t="str">
        <f>'RESUMEN TOTAL'!AH224</f>
        <v>APAGADO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 t="str">
        <f>'RESUMEN TOTAL'!AG244</f>
        <v>APAGADO</v>
      </c>
      <c r="AC241" t="str">
        <f>'RESUMEN TOTAL'!AH244</f>
        <v>APAGADO</v>
      </c>
      <c r="AD241" t="str">
        <f>'RESUMEN TOTAL'!AI244</f>
        <v>APAGADO</v>
      </c>
      <c r="AE241" t="str">
        <f>'RESUMEN TOTAL'!AJ244</f>
        <v>APAGADO</v>
      </c>
      <c r="AF241" t="str">
        <f>'RESUMEN TOTAL'!AK244</f>
        <v>APAGADO</v>
      </c>
      <c r="AG241" t="str">
        <f>'RESUMEN TOTAL'!AL244</f>
        <v>APAGADO</v>
      </c>
      <c r="AH241" t="str">
        <f>'RESUMEN TOTAL'!AM244</f>
        <v>APAGADO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 t="str">
        <f>'RESUMEN TOTAL'!AG245</f>
        <v>APAGADO</v>
      </c>
      <c r="AC242" t="str">
        <f>'RESUMEN TOTAL'!AH245</f>
        <v>APAGADO</v>
      </c>
      <c r="AD242" t="str">
        <f>'RESUMEN TOTAL'!AI245</f>
        <v>APAGADO</v>
      </c>
      <c r="AE242" t="str">
        <f>'RESUMEN TOTAL'!AJ245</f>
        <v>APAGADO</v>
      </c>
      <c r="AF242" t="str">
        <f>'RESUMEN TOTAL'!AK245</f>
        <v>APAGADO</v>
      </c>
      <c r="AG242" t="str">
        <f>'RESUMEN TOTAL'!AL245</f>
        <v>APAGADO</v>
      </c>
      <c r="AH242" t="str">
        <f>'RESUMEN TOTAL'!AM245</f>
        <v>APAGADO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 t="str">
        <f>'RESUMEN TOTAL'!AG254</f>
        <v>APAGADO</v>
      </c>
      <c r="AC251" t="str">
        <f>'RESUMEN TOTAL'!AH254</f>
        <v>APAGADO</v>
      </c>
      <c r="AD251" t="str">
        <f>'RESUMEN TOTAL'!AI254</f>
        <v>APAGADO</v>
      </c>
      <c r="AE251" t="str">
        <f>'RESUMEN TOTAL'!AJ254</f>
        <v>APAGADO</v>
      </c>
      <c r="AF251" t="str">
        <f>'RESUMEN TOTAL'!AK254</f>
        <v>APAGADO</v>
      </c>
      <c r="AG251" t="str">
        <f>'RESUMEN TOTAL'!AL254</f>
        <v>APAGADO</v>
      </c>
      <c r="AH251" t="str">
        <f>'RESUMEN TOTAL'!AM254</f>
        <v>APAGADO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 t="str">
        <f>'RESUMEN TOTAL'!AG255</f>
        <v>APAGADO</v>
      </c>
      <c r="AC252" t="str">
        <f>'RESUMEN TOTAL'!AH255</f>
        <v>APAGADO</v>
      </c>
      <c r="AD252" t="str">
        <f>'RESUMEN TOTAL'!AI255</f>
        <v>APAGADO</v>
      </c>
      <c r="AE252" t="str">
        <f>'RESUMEN TOTAL'!AJ255</f>
        <v>APAGADO</v>
      </c>
      <c r="AF252" t="str">
        <f>'RESUMEN TOTAL'!AK255</f>
        <v>APAGADO</v>
      </c>
      <c r="AG252">
        <f>'RESUMEN TOTAL'!AL255</f>
        <v>0</v>
      </c>
      <c r="AH252" t="str">
        <f>'RESUMEN TOTAL'!AM255</f>
        <v>APAGADO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 t="str">
        <f>'RESUMEN TOTAL'!AK277</f>
        <v>APAGADO</v>
      </c>
      <c r="AG274" t="str">
        <f>'RESUMEN TOTAL'!AL277</f>
        <v>APAGADO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 t="str">
        <f>'RESUMEN TOTAL'!AK278</f>
        <v>APAGADO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 t="str">
        <f>'RESUMEN TOTAL'!AK279</f>
        <v>APAGADO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 t="str">
        <f>'RESUMEN TOTAL'!AK280</f>
        <v>APAGADO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 t="str">
        <f>'RESUMEN TOTAL'!AG289</f>
        <v>APAGADO</v>
      </c>
      <c r="AC286" t="str">
        <f>'RESUMEN TOTAL'!AH289</f>
        <v>APAGADO</v>
      </c>
      <c r="AD286" t="str">
        <f>'RESUMEN TOTAL'!AI289</f>
        <v>APAGADO</v>
      </c>
      <c r="AE286" t="str">
        <f>'RESUMEN TOTAL'!AJ289</f>
        <v>APAGADO</v>
      </c>
      <c r="AF286" t="str">
        <f>'RESUMEN TOTAL'!AK289</f>
        <v>APAGADO</v>
      </c>
      <c r="AG286" t="str">
        <f>'RESUMEN TOTAL'!AL289</f>
        <v>APAGADO</v>
      </c>
      <c r="AH286" t="str">
        <f>'RESUMEN TOTAL'!AM289</f>
        <v>APAGADO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 t="str">
        <f>'RESUMEN TOTAL'!AG290</f>
        <v>APAGADO</v>
      </c>
      <c r="AC287" t="str">
        <f>'RESUMEN TOTAL'!AH290</f>
        <v>APAGADO</v>
      </c>
      <c r="AD287" t="str">
        <f>'RESUMEN TOTAL'!AI290</f>
        <v>APAGADO</v>
      </c>
      <c r="AE287" t="str">
        <f>'RESUMEN TOTAL'!AJ290</f>
        <v>APAGADO</v>
      </c>
      <c r="AF287" t="str">
        <f>'RESUMEN TOTAL'!AK290</f>
        <v>APAGADO</v>
      </c>
      <c r="AG287" t="str">
        <f>'RESUMEN TOTAL'!AL290</f>
        <v>APAGADO</v>
      </c>
      <c r="AH287" t="str">
        <f>'RESUMEN TOTAL'!AM290</f>
        <v>APAGADO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 t="str">
        <f>'RESUMEN TOTAL'!AG291</f>
        <v>APAGADO</v>
      </c>
      <c r="AC288" t="str">
        <f>'RESUMEN TOTAL'!AH291</f>
        <v>APAGADO</v>
      </c>
      <c r="AD288" t="str">
        <f>'RESUMEN TOTAL'!AI291</f>
        <v>APAGADO</v>
      </c>
      <c r="AE288" t="str">
        <f>'RESUMEN TOTAL'!AJ291</f>
        <v>APAGADO</v>
      </c>
      <c r="AF288" t="str">
        <f>'RESUMEN TOTAL'!AK291</f>
        <v>APAGADO</v>
      </c>
      <c r="AG288" t="str">
        <f>'RESUMEN TOTAL'!AL291</f>
        <v>APAGADO</v>
      </c>
      <c r="AH288" t="str">
        <f>'RESUMEN TOTAL'!AM291</f>
        <v>APAGADO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 t="str">
        <f>'RESUMEN TOTAL'!AG292</f>
        <v>APAGADO</v>
      </c>
      <c r="AC289" t="str">
        <f>'RESUMEN TOTAL'!AH292</f>
        <v>APAGADO</v>
      </c>
      <c r="AD289" t="str">
        <f>'RESUMEN TOTAL'!AI292</f>
        <v>APAGADO</v>
      </c>
      <c r="AE289" t="str">
        <f>'RESUMEN TOTAL'!AJ292</f>
        <v>APAGADO</v>
      </c>
      <c r="AF289" t="str">
        <f>'RESUMEN TOTAL'!AK292</f>
        <v>APAGADO</v>
      </c>
      <c r="AG289" t="str">
        <f>'RESUMEN TOTAL'!AL292</f>
        <v>APAGADO</v>
      </c>
      <c r="AH289" t="str">
        <f>'RESUMEN TOTAL'!AM292</f>
        <v>APAGADO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 t="str">
        <f>'RESUMEN TOTAL'!AJ296</f>
        <v>APAGADO</v>
      </c>
      <c r="AF293">
        <f>'RESUMEN TOTAL'!AK296</f>
        <v>0</v>
      </c>
      <c r="AG293">
        <f>'RESUMEN TOTAL'!AL296</f>
        <v>0</v>
      </c>
      <c r="AH293" t="str">
        <f>'RESUMEN TOTAL'!AM296</f>
        <v>APAGADO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 t="str">
        <f>'RESUMEN TOTAL'!AJ297</f>
        <v>APAGADO</v>
      </c>
      <c r="AF294" t="str">
        <f>'RESUMEN TOTAL'!AK297</f>
        <v>APAGADO</v>
      </c>
      <c r="AG294">
        <f>'RESUMEN TOTAL'!AL297</f>
        <v>0</v>
      </c>
      <c r="AH294" t="str">
        <f>'RESUMEN TOTAL'!AM297</f>
        <v>APAGADO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 t="str">
        <f>'RESUMEN TOTAL'!AG327</f>
        <v>APAGADO</v>
      </c>
      <c r="AC324" t="str">
        <f>'RESUMEN TOTAL'!AH327</f>
        <v>APAGADO</v>
      </c>
      <c r="AD324" t="str">
        <f>'RESUMEN TOTAL'!AI327</f>
        <v>APAGADO</v>
      </c>
      <c r="AE324" t="str">
        <f>'RESUMEN TOTAL'!AJ327</f>
        <v>APAGADO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 t="str">
        <f>'RESUMEN TOTAL'!AG328</f>
        <v>APAGADO</v>
      </c>
      <c r="AC325" t="str">
        <f>'RESUMEN TOTAL'!AH328</f>
        <v>APAGADO</v>
      </c>
      <c r="AD325" t="str">
        <f>'RESUMEN TOTAL'!AI328</f>
        <v>APAGADO</v>
      </c>
      <c r="AE325" t="str">
        <f>'RESUMEN TOTAL'!AJ328</f>
        <v>APAGADO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CHAÑAR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Peron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 t="str">
        <f>'RESUMEN TOTAL'!AG348</f>
        <v>APAGADO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 t="str">
        <f>'RESUMEN TOTAL'!AM348</f>
        <v>APAGADO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 t="str">
        <f>'RESUMEN TOTAL'!AG356</f>
        <v>APAGADO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 t="str">
        <f>'RESUMEN TOTAL'!AM356</f>
        <v>APAGADO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 t="str">
        <f>'RESUMEN TOTAL'!AG357</f>
        <v>APAGADO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 t="str">
        <f>'RESUMEN TOTAL'!AM357</f>
        <v>APAGADO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 t="str">
        <f>'RESUMEN TOTAL'!AI360</f>
        <v>APAGADO</v>
      </c>
      <c r="AE357" t="str">
        <f>'RESUMEN TOTAL'!AJ360</f>
        <v>APAGADO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 t="str">
        <f>'RESUMEN TOTAL'!AG361</f>
        <v>APAGADO</v>
      </c>
      <c r="AC358" t="str">
        <f>'RESUMEN TOTAL'!AH361</f>
        <v>APAGADO</v>
      </c>
      <c r="AD358" t="str">
        <f>'RESUMEN TOTAL'!AI361</f>
        <v>APAGADO</v>
      </c>
      <c r="AE358" t="str">
        <f>'RESUMEN TOTAL'!AJ361</f>
        <v>APAGADO</v>
      </c>
      <c r="AF358" t="str">
        <f>'RESUMEN TOTAL'!AK361</f>
        <v>APAGADO</v>
      </c>
      <c r="AG358" t="str">
        <f>'RESUMEN TOTAL'!AL361</f>
        <v>APAGADO</v>
      </c>
      <c r="AH358" t="str">
        <f>'RESUMEN TOTAL'!AM361</f>
        <v>APAGADO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 t="str">
        <f>'RESUMEN TOTAL'!AG362</f>
        <v>APAGADO</v>
      </c>
      <c r="AC359" t="str">
        <f>'RESUMEN TOTAL'!AH362</f>
        <v>APAGADO</v>
      </c>
      <c r="AD359" t="str">
        <f>'RESUMEN TOTAL'!AI362</f>
        <v>APAGADO</v>
      </c>
      <c r="AE359" t="str">
        <f>'RESUMEN TOTAL'!AJ362</f>
        <v>APAGADO</v>
      </c>
      <c r="AF359" t="str">
        <f>'RESUMEN TOTAL'!AK362</f>
        <v>APAGADO</v>
      </c>
      <c r="AG359" t="str">
        <f>'RESUMEN TOTAL'!AL362</f>
        <v>APAGADO</v>
      </c>
      <c r="AH359" t="str">
        <f>'RESUMEN TOTAL'!AM362</f>
        <v>APAGADO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Rio Carapachay y Oroño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OROÑO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OROÑO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 t="str">
        <f>'RESUMEN TOTAL'!AK385</f>
        <v>APAGADO</v>
      </c>
      <c r="AG382" s="51" t="str">
        <f>'RESUMEN TOTAL'!AL385</f>
        <v>APAGADO</v>
      </c>
      <c r="AH382" s="51" t="str">
        <f>'RESUMEN TOTAL'!AM385</f>
        <v>APAGADO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 t="str">
        <f>'RESUMEN TOTAL'!AK386</f>
        <v>APAGADO</v>
      </c>
      <c r="AG383" s="51" t="str">
        <f>'RESUMEN TOTAL'!AL386</f>
        <v>APAGADO</v>
      </c>
      <c r="AH383" s="51" t="str">
        <f>'RESUMEN TOTAL'!AM386</f>
        <v>APAGADO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 t="str">
        <f>'RESUMEN TOTAL'!AK387</f>
        <v>APAGADO</v>
      </c>
      <c r="AG384" s="51" t="str">
        <f>'RESUMEN TOTAL'!AL387</f>
        <v>APAGADO</v>
      </c>
      <c r="AH384" s="51" t="str">
        <f>'RESUMEN TOTAL'!AM387</f>
        <v>APAGADO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 t="str">
        <f>'RESUMEN TOTAL'!AK388</f>
        <v>APAGADO</v>
      </c>
      <c r="AG385" s="51" t="str">
        <f>'RESUMEN TOTAL'!AL388</f>
        <v>APAGADO</v>
      </c>
      <c r="AH385" s="51" t="str">
        <f>'RESUMEN TOTAL'!AM388</f>
        <v>APAGADO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87" activePane="bottomRight" state="frozen"/>
      <selection pane="topRight" activeCell="F1" sqref="F1"/>
      <selection pane="bottomLeft" activeCell="A3" sqref="A3"/>
      <selection pane="bottomRight" activeCell="AJ391" sqref="AJ39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36</v>
      </c>
      <c r="AC1" s="26">
        <f t="shared" si="0"/>
        <v>30</v>
      </c>
      <c r="AD1" s="26">
        <f t="shared" si="0"/>
        <v>30</v>
      </c>
      <c r="AE1" s="26">
        <f t="shared" si="0"/>
        <v>33</v>
      </c>
      <c r="AF1" s="26">
        <f t="shared" si="0"/>
        <v>42</v>
      </c>
      <c r="AG1" s="26">
        <f t="shared" si="0"/>
        <v>38</v>
      </c>
      <c r="AH1" s="26">
        <f t="shared" ref="AH1:AI1" si="1">COUNTIF(AH3:AH400, "APAGADO")</f>
        <v>42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 t="str">
        <f>ESTADISTICA!AG7</f>
        <v>APAGADO</v>
      </c>
      <c r="AH8" s="51" t="str">
        <f>ESTADISTICA!AH7</f>
        <v>APAGADO</v>
      </c>
      <c r="AI8" s="51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 s="51" t="str">
        <f>ESTADISTICA!AH10</f>
        <v>APAGADO</v>
      </c>
      <c r="AI11" s="5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 t="str">
        <f>ESTADISTICA!AB28</f>
        <v>APAGADO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 t="str">
        <f>ESTADISTICA!AH28</f>
        <v>APAGADO</v>
      </c>
      <c r="AI29" s="51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 t="str">
        <f>ESTADISTICA!AB31</f>
        <v>APAGADO</v>
      </c>
      <c r="AC32" t="str">
        <f>ESTADISTICA!AC31</f>
        <v>APAGADO</v>
      </c>
      <c r="AD32" t="str">
        <f>ESTADISTICA!AD31</f>
        <v>APAGADO</v>
      </c>
      <c r="AE32" t="str">
        <f>ESTADISTICA!AE31</f>
        <v>APAGADO</v>
      </c>
      <c r="AF32" t="str">
        <f>ESTADISTICA!AF31</f>
        <v>APAGADO</v>
      </c>
      <c r="AG32" t="str">
        <f>ESTADISTICA!AG31</f>
        <v>APAGADO</v>
      </c>
      <c r="AH32" s="51" t="str">
        <f>ESTADISTICA!AH31</f>
        <v>APAGADO</v>
      </c>
      <c r="AI32" s="51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 t="str">
        <f>ESTADISTICA!AG64</f>
        <v>APAGADO</v>
      </c>
      <c r="AH65" s="51" t="str">
        <f>ESTADISTICA!AH64</f>
        <v>APAGADO</v>
      </c>
      <c r="AI65" s="51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 s="51" t="str">
        <f>ESTADISTICA!AH73</f>
        <v>APAGADO</v>
      </c>
      <c r="AI74" s="51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 t="str">
        <f>ESTADISTICA!AB76</f>
        <v>APAGADO</v>
      </c>
      <c r="AC77" t="str">
        <f>ESTADISTICA!AC76</f>
        <v>APAGADO</v>
      </c>
      <c r="AD77">
        <f>ESTADISTICA!AD76</f>
        <v>0</v>
      </c>
      <c r="AE77">
        <f>ESTADISTICA!AE76</f>
        <v>0</v>
      </c>
      <c r="AF77">
        <f>ESTADISTICA!AF76</f>
        <v>0</v>
      </c>
      <c r="AG77" t="str">
        <f>ESTADISTICA!AG76</f>
        <v>APAGADO</v>
      </c>
      <c r="AH77" s="51" t="str">
        <f>ESTADISTICA!AH76</f>
        <v>APAGADO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 t="str">
        <f>ESTADISTICA!AH84</f>
        <v>APAGADO</v>
      </c>
      <c r="AI85" s="51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 t="str">
        <f>ESTADISTICA!AG93</f>
        <v>APAGADO</v>
      </c>
      <c r="AH94" s="51" t="str">
        <f>ESTADISTICA!AH93</f>
        <v>APAGADO</v>
      </c>
      <c r="AI94" s="51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 t="str">
        <f>ESTADISTICA!AG94</f>
        <v>APAGADO</v>
      </c>
      <c r="AH95" s="51">
        <f>ESTADISTICA!AH94</f>
        <v>0</v>
      </c>
      <c r="AI95" s="51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s="51" t="str">
        <f>ESTADISTICA!AH104</f>
        <v>APAGADO</v>
      </c>
      <c r="AI105" s="51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 t="str">
        <f>ESTADISTICA!AD110</f>
        <v>APAGADO</v>
      </c>
      <c r="AE111" t="str">
        <f>ESTADISTICA!AE110</f>
        <v>APAGADO</v>
      </c>
      <c r="AF111" t="str">
        <f>ESTADISTICA!AF110</f>
        <v>APAGADO</v>
      </c>
      <c r="AG111" t="str">
        <f>ESTADISTICA!AG110</f>
        <v>APAGADO</v>
      </c>
      <c r="AH111" s="51" t="str">
        <f>ESTADISTICA!AH110</f>
        <v>APAGADO</v>
      </c>
      <c r="AI111" s="51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 s="51" t="str">
        <f>ESTADISTICA!AH131</f>
        <v>APAGADO</v>
      </c>
      <c r="AI132" s="51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 t="str">
        <f>ESTADISTICA!AG134</f>
        <v>APAGADO</v>
      </c>
      <c r="AH135" s="51" t="str">
        <f>ESTADISTICA!AH134</f>
        <v>APAGADO</v>
      </c>
      <c r="AI135" s="51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 s="51" t="str">
        <f>ESTADISTICA!AH153</f>
        <v>APAGADO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 s="51" t="str">
        <f>ESTADISTICA!AH154</f>
        <v>APAGADO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 t="str">
        <f>ESTADISTICA!AG155</f>
        <v>APAGADO</v>
      </c>
      <c r="AH156" s="51" t="str">
        <f>ESTADISTICA!AH155</f>
        <v>APAGADO</v>
      </c>
      <c r="AI156" s="51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 t="str">
        <f>ESTADISTICA!AE159</f>
        <v>APAGADO</v>
      </c>
      <c r="AF160" t="str">
        <f>ESTADISTICA!AF159</f>
        <v>APAGADO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 s="51" t="str">
        <f>ESTADISTICA!AH160</f>
        <v>APAGADO</v>
      </c>
      <c r="AI161" s="51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>
        <f>ESTADISTICA!AC163</f>
        <v>0</v>
      </c>
      <c r="AD164" t="str">
        <f>ESTADISTICA!AD163</f>
        <v>APAGADO</v>
      </c>
      <c r="AE164">
        <f>ESTADISTICA!AE163</f>
        <v>0</v>
      </c>
      <c r="AF164" t="str">
        <f>ESTADISTICA!AF163</f>
        <v>APAGADO</v>
      </c>
      <c r="AG164" t="str">
        <f>ESTADISTICA!AG163</f>
        <v>APAGADO</v>
      </c>
      <c r="AH164" s="51" t="str">
        <f>ESTADISTICA!AH163</f>
        <v>APAGADO</v>
      </c>
      <c r="AI164" s="51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 t="str">
        <f>ESTADISTICA!AG188</f>
        <v>APAGADO</v>
      </c>
      <c r="AH189" s="51" t="str">
        <f>ESTADISTICA!AH188</f>
        <v>APAGADO</v>
      </c>
      <c r="AI189" s="51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 t="str">
        <f>ESTADISTICA!AF207</f>
        <v>APAGADO</v>
      </c>
      <c r="AG208" t="str">
        <f>ESTADISTICA!AG207</f>
        <v>APAGADO</v>
      </c>
      <c r="AH208" s="51" t="str">
        <f>ESTADISTICA!AH207</f>
        <v>APAGADO</v>
      </c>
      <c r="AI208" s="51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 t="str">
        <f>ESTADISTICA!AF208</f>
        <v>APAGADO</v>
      </c>
      <c r="AG209" t="str">
        <f>ESTADISTICA!AG208</f>
        <v>APAGADO</v>
      </c>
      <c r="AH209" s="51">
        <f>ESTADISTICA!AH208</f>
        <v>0</v>
      </c>
      <c r="AI209" s="51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 t="str">
        <f>ESTADISTICA!AF209</f>
        <v>APAGADO</v>
      </c>
      <c r="AG210" t="str">
        <f>ESTADISTICA!AG209</f>
        <v>APAGADO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 t="str">
        <f>ESTADISTICA!AB210</f>
        <v>APAGADO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 t="str">
        <f>ESTADISTICA!AB211</f>
        <v>APAGADO</v>
      </c>
      <c r="AC212" t="str">
        <f>ESTADISTICA!AC211</f>
        <v>APAGADO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 t="str">
        <f>ESTADISTICA!AG213</f>
        <v>APAGADO</v>
      </c>
      <c r="AH214" s="51" t="str">
        <f>ESTADISTICA!AH213</f>
        <v>APAGADO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 t="str">
        <f>ESTADISTICA!AB214</f>
        <v>APAGADO</v>
      </c>
      <c r="AC215" t="str">
        <f>ESTADISTICA!AC214</f>
        <v>APAGADO</v>
      </c>
      <c r="AD215" t="str">
        <f>ESTADISTICA!AD214</f>
        <v>APAGADO</v>
      </c>
      <c r="AE215" t="str">
        <f>ESTADISTICA!AE214</f>
        <v>APAGADO</v>
      </c>
      <c r="AF215" t="str">
        <f>ESTADISTICA!AF214</f>
        <v>APAGADO</v>
      </c>
      <c r="AG215" t="str">
        <f>ESTADISTICA!AG214</f>
        <v>APAGADO</v>
      </c>
      <c r="AH215" s="51" t="str">
        <f>ESTADISTICA!AH214</f>
        <v>APAGADO</v>
      </c>
      <c r="AI215" s="51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 t="str">
        <f>ESTADISTICA!AH219</f>
        <v>APAGADO</v>
      </c>
      <c r="AI220" s="51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 t="str">
        <f>ESTADISTICA!AG220</f>
        <v>APAGADO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 t="str">
        <f>ESTADISTICA!AB221</f>
        <v>APAGADO</v>
      </c>
      <c r="AC222" t="str">
        <f>ESTADISTICA!AC221</f>
        <v>APAGADO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 s="51" t="str">
        <f>ESTADISTICA!AH241</f>
        <v>APAGADO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 t="str">
        <f>ESTADISTICA!AF242</f>
        <v>APAGADO</v>
      </c>
      <c r="AG243" t="str">
        <f>ESTADISTICA!AG242</f>
        <v>APAGADO</v>
      </c>
      <c r="AH243" s="51" t="str">
        <f>ESTADISTICA!AH242</f>
        <v>APAGADO</v>
      </c>
      <c r="AI243" s="51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 t="str">
        <f>ESTADISTICA!AC251</f>
        <v>APAGADO</v>
      </c>
      <c r="AD252" t="str">
        <f>ESTADISTICA!AD251</f>
        <v>APAGADO</v>
      </c>
      <c r="AE252" t="str">
        <f>ESTADISTICA!AE251</f>
        <v>APAGADO</v>
      </c>
      <c r="AF252" t="str">
        <f>ESTADISTICA!AF251</f>
        <v>APAGADO</v>
      </c>
      <c r="AG252" t="str">
        <f>ESTADISTICA!AG251</f>
        <v>APAGADO</v>
      </c>
      <c r="AH252" s="51" t="str">
        <f>ESTADISTICA!AH251</f>
        <v>APAGADO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 t="str">
        <f>ESTADISTICA!AC252</f>
        <v>APAGADO</v>
      </c>
      <c r="AD253" t="str">
        <f>ESTADISTICA!AD252</f>
        <v>APAGADO</v>
      </c>
      <c r="AE253" t="str">
        <f>ESTADISTICA!AE252</f>
        <v>APAGADO</v>
      </c>
      <c r="AF253" t="str">
        <f>ESTADISTICA!AF252</f>
        <v>APAGADO</v>
      </c>
      <c r="AG253">
        <f>ESTADISTICA!AG252</f>
        <v>0</v>
      </c>
      <c r="AH253" s="51" t="str">
        <f>ESTADISTICA!AH252</f>
        <v>APAGADO</v>
      </c>
      <c r="AI253" s="51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 t="str">
        <f>ESTADISTICA!AG274</f>
        <v>APAGADO</v>
      </c>
      <c r="AH275" s="51">
        <f>ESTADISTICA!AH274</f>
        <v>0</v>
      </c>
      <c r="AI275" s="51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 t="str">
        <f>ESTADISTICA!AF277</f>
        <v>APAGADO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 t="str">
        <f>ESTADISTICA!AG286</f>
        <v>APAGADO</v>
      </c>
      <c r="AH287" s="51" t="str">
        <f>ESTADISTICA!AH286</f>
        <v>APAGADO</v>
      </c>
      <c r="AI287" s="51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 t="str">
        <f>ESTADISTICA!AB287</f>
        <v>APAGADO</v>
      </c>
      <c r="AC288" t="str">
        <f>ESTADISTICA!AC287</f>
        <v>APAGADO</v>
      </c>
      <c r="AD288" t="str">
        <f>ESTADISTICA!AD287</f>
        <v>APAGADO</v>
      </c>
      <c r="AE288" t="str">
        <f>ESTADISTICA!AE287</f>
        <v>APAGADO</v>
      </c>
      <c r="AF288" t="str">
        <f>ESTADISTICA!AF287</f>
        <v>APAGADO</v>
      </c>
      <c r="AG288" t="str">
        <f>ESTADISTICA!AG287</f>
        <v>APAGADO</v>
      </c>
      <c r="AH288" s="51" t="str">
        <f>ESTADISTICA!AH287</f>
        <v>APAGADO</v>
      </c>
      <c r="AI288" s="51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 t="str">
        <f>ESTADISTICA!AE288</f>
        <v>APAGADO</v>
      </c>
      <c r="AF289" t="str">
        <f>ESTADISTICA!AF288</f>
        <v>APAGADO</v>
      </c>
      <c r="AG289" t="str">
        <f>ESTADISTICA!AG288</f>
        <v>APAGADO</v>
      </c>
      <c r="AH289" s="51" t="str">
        <f>ESTADISTICA!AH288</f>
        <v>APAGADO</v>
      </c>
      <c r="AI289" s="51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 t="str">
        <f>ESTADISTICA!AB289</f>
        <v>APAGADO</v>
      </c>
      <c r="AC290" t="str">
        <f>ESTADISTICA!AC289</f>
        <v>APAGADO</v>
      </c>
      <c r="AD290" t="str">
        <f>ESTADISTICA!AD289</f>
        <v>APAGADO</v>
      </c>
      <c r="AE290" t="str">
        <f>ESTADISTICA!AE289</f>
        <v>APAGADO</v>
      </c>
      <c r="AF290" t="str">
        <f>ESTADISTICA!AF289</f>
        <v>APAGADO</v>
      </c>
      <c r="AG290" t="str">
        <f>ESTADISTICA!AG289</f>
        <v>APAGADO</v>
      </c>
      <c r="AH290" s="51" t="str">
        <f>ESTADISTICA!AH289</f>
        <v>APAGADO</v>
      </c>
      <c r="AI290" s="51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 t="str">
        <f>ESTADISTICA!AE293</f>
        <v>APAGADO</v>
      </c>
      <c r="AF294">
        <f>ESTADISTICA!AF293</f>
        <v>0</v>
      </c>
      <c r="AG294">
        <f>ESTADISTICA!AG293</f>
        <v>0</v>
      </c>
      <c r="AH294" s="51" t="str">
        <f>ESTADISTICA!AH293</f>
        <v>APAGADO</v>
      </c>
      <c r="AI294" s="51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 t="str">
        <f>ESTADISTICA!AE294</f>
        <v>APAGADO</v>
      </c>
      <c r="AF295" t="str">
        <f>ESTADISTICA!AF294</f>
        <v>APAGADO</v>
      </c>
      <c r="AG295">
        <f>ESTADISTICA!AG294</f>
        <v>0</v>
      </c>
      <c r="AH295" s="51" t="str">
        <f>ESTADISTICA!AH294</f>
        <v>APAGADO</v>
      </c>
      <c r="AI295" s="51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 t="str">
        <f>ESTADISTICA!AC325</f>
        <v>APAGADO</v>
      </c>
      <c r="AD326" t="str">
        <f>ESTADISTICA!AD325</f>
        <v>APAGADO</v>
      </c>
      <c r="AE326" t="str">
        <f>ESTADISTICA!AE325</f>
        <v>APAGADO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 t="str">
        <f>ESTADISTICA!AB345</f>
        <v>APAGADO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 t="str">
        <f>ESTADISTICA!AH345</f>
        <v>APAGADO</v>
      </c>
      <c r="AI346" s="51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 t="str">
        <f>ESTADISTICA!AH353</f>
        <v>APAGADO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 t="str">
        <f>ESTADISTICA!AB354</f>
        <v>APAGADO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 t="str">
        <f>ESTADISTICA!AH354</f>
        <v>APAGADO</v>
      </c>
      <c r="AI355" s="51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 t="str">
        <f>ESTADISTICA!AC358</f>
        <v>APAGADO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 s="51" t="str">
        <f>ESTADISTICA!AH358</f>
        <v>APAGADO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 t="str">
        <f>ESTADISTICA!AC359</f>
        <v>APAGADO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 s="51" t="str">
        <f>ESTADISTICA!AH359</f>
        <v>APAGADO</v>
      </c>
      <c r="AI360" s="51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OROÑO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 t="str">
        <f>ESTADISTICA!AF382</f>
        <v>APAGADO</v>
      </c>
      <c r="AG383" s="51" t="str">
        <f>ESTADISTICA!AG382</f>
        <v>APAGADO</v>
      </c>
      <c r="AH383" s="51" t="str">
        <f>ESTADISTICA!AH382</f>
        <v>APAGADO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 t="str">
        <f>ESTADISTICA!AF383</f>
        <v>APAGADO</v>
      </c>
      <c r="AG384" s="51" t="str">
        <f>ESTADISTICA!AG383</f>
        <v>APAGADO</v>
      </c>
      <c r="AH384" s="51" t="str">
        <f>ESTADISTICA!AH383</f>
        <v>APAGADO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 t="str">
        <f>ESTADISTICA!AF384</f>
        <v>APAGADO</v>
      </c>
      <c r="AG385" s="51" t="str">
        <f>ESTADISTICA!AG384</f>
        <v>APAGADO</v>
      </c>
      <c r="AH385" s="51" t="str">
        <f>ESTADISTICA!AH384</f>
        <v>APAGADO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 t="str">
        <f>ESTADISTICA!AF385</f>
        <v>APAGADO</v>
      </c>
      <c r="AG386" s="51" t="str">
        <f>ESTADISTICA!AG385</f>
        <v>APAGADO</v>
      </c>
      <c r="AH386" s="51" t="str">
        <f>ESTADISTICA!AH385</f>
        <v>APAGADO</v>
      </c>
      <c r="AI386" s="51">
        <f>ESTADISTICA!AI385</f>
        <v>0</v>
      </c>
    </row>
    <row r="387" spans="1:35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366" activePane="bottomRight" state="frozen"/>
      <selection pane="topRight" activeCell="F1" sqref="F1"/>
      <selection pane="bottomLeft" activeCell="A8" sqref="A8"/>
      <selection pane="bottomRight" activeCell="AH4" sqref="AH4:AI400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30</v>
      </c>
      <c r="AC2" s="26">
        <f>COUNTIFS(AC4:AC400, "=APAGADO",E4:E400,"=Fibra Optica")</f>
        <v>25</v>
      </c>
      <c r="AD2" s="26">
        <f>COUNTIFS(AD4:AD400, "=APAGADO",E4:E400,"=Fibra Optica")</f>
        <v>24</v>
      </c>
      <c r="AE2" s="26">
        <f>COUNTIFS(AE4:AE400, "=APAGADO",E4:E400,"=Fibra Optica")</f>
        <v>25</v>
      </c>
      <c r="AF2" s="26">
        <f>COUNTIFS(AF4:AF400, "=APAGADO",E4:E400,"=Fibra Optica")</f>
        <v>34</v>
      </c>
      <c r="AG2" s="26">
        <f>COUNTIFS(AG4:AG400, "=APAGADO",E4:E400,"=Fibra Optica")</f>
        <v>31</v>
      </c>
      <c r="AH2" s="26">
        <f>COUNTIFS(AH4:AH400, "=APAGADO",E4:E400,"=Fibra Optica")</f>
        <v>35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1">
        <f>ESTADISTICA!AH3</f>
        <v>0</v>
      </c>
      <c r="AI5" s="51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 s="51">
        <f>ESTADISTICA!AH4</f>
        <v>0</v>
      </c>
      <c r="AI6" s="51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1">
        <f>ESTADISTICA!AH5</f>
        <v>0</v>
      </c>
      <c r="AI7" s="51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1">
        <f>ESTADISTICA!AH6</f>
        <v>0</v>
      </c>
      <c r="AI8" s="51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s="51" t="str">
        <f>ESTADISTICA!AH7</f>
        <v>APAGADO</v>
      </c>
      <c r="AI9" s="51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1">
        <f>ESTADISTICA!AH8</f>
        <v>0</v>
      </c>
      <c r="AI10" s="51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1">
        <f>ESTADISTICA!AH9</f>
        <v>0</v>
      </c>
      <c r="AI11" s="5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s="51" t="str">
        <f>ESTADISTICA!AH10</f>
        <v>APAGADO</v>
      </c>
      <c r="AI12" s="51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1">
        <f>ESTADISTICA!AH11</f>
        <v>0</v>
      </c>
      <c r="AI13" s="51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1">
        <f>ESTADISTICA!AH12</f>
        <v>0</v>
      </c>
      <c r="AI14" s="51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 s="51">
        <f>ESTADISTICA!AH13</f>
        <v>0</v>
      </c>
      <c r="AI15" s="51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1">
        <f>ESTADISTICA!AH14</f>
        <v>0</v>
      </c>
      <c r="AI16" s="51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1">
        <f>ESTADISTICA!AH15</f>
        <v>0</v>
      </c>
      <c r="AI17" s="51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1">
        <f>ESTADISTICA!AH16</f>
        <v>0</v>
      </c>
      <c r="AI18" s="51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1">
        <f>ESTADISTICA!AH17</f>
        <v>0</v>
      </c>
      <c r="AI19" s="51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1">
        <f>ESTADISTICA!AH18</f>
        <v>0</v>
      </c>
      <c r="AI20" s="51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1">
        <f>ESTADISTICA!AH19</f>
        <v>0</v>
      </c>
      <c r="AI21" s="5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1">
        <f>ESTADISTICA!AH20</f>
        <v>0</v>
      </c>
      <c r="AI22" s="51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1">
        <f>ESTADISTICA!AH21</f>
        <v>0</v>
      </c>
      <c r="AI23" s="51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1">
        <f>ESTADISTICA!AH22</f>
        <v>0</v>
      </c>
      <c r="AI24" s="51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1">
        <f>ESTADISTICA!AH23</f>
        <v>0</v>
      </c>
      <c r="AI25" s="51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1">
        <f>ESTADISTICA!AH24</f>
        <v>0</v>
      </c>
      <c r="AI26" s="51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1">
        <f>ESTADISTICA!AH25</f>
        <v>0</v>
      </c>
      <c r="AI27" s="51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1">
        <f>ESTADISTICA!AH26</f>
        <v>0</v>
      </c>
      <c r="AI28" s="51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1">
        <f>ESTADISTICA!AH27</f>
        <v>0</v>
      </c>
      <c r="AI29" s="51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1" t="str">
        <f>ESTADISTICA!AH28</f>
        <v>APAGADO</v>
      </c>
      <c r="AI30" s="51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1">
        <f>ESTADISTICA!AH29</f>
        <v>0</v>
      </c>
      <c r="AI31" s="5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1">
        <f>ESTADISTICA!AH30</f>
        <v>0</v>
      </c>
      <c r="AI32" s="51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s="51" t="str">
        <f>ESTADISTICA!AH31</f>
        <v>APAGADO</v>
      </c>
      <c r="AI33" s="51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1">
        <f>ESTADISTICA!AH32</f>
        <v>0</v>
      </c>
      <c r="AI34" s="51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1">
        <f>ESTADISTICA!AH33</f>
        <v>0</v>
      </c>
      <c r="AI35" s="51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1">
        <f>ESTADISTICA!AH34</f>
        <v>0</v>
      </c>
      <c r="AI36" s="51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1">
        <f>ESTADISTICA!AH35</f>
        <v>0</v>
      </c>
      <c r="AI37" s="51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1">
        <f>ESTADISTICA!AH36</f>
        <v>0</v>
      </c>
      <c r="AI38" s="51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1">
        <f>ESTADISTICA!AH37</f>
        <v>0</v>
      </c>
      <c r="AI39" s="51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1">
        <f>ESTADISTICA!AH38</f>
        <v>0</v>
      </c>
      <c r="AI40" s="51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1">
        <f>ESTADISTICA!AH39</f>
        <v>0</v>
      </c>
      <c r="AI41" s="5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1">
        <f>ESTADISTICA!AH40</f>
        <v>0</v>
      </c>
      <c r="AI42" s="51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1">
        <f>ESTADISTICA!AH41</f>
        <v>0</v>
      </c>
      <c r="AI43" s="51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1">
        <f>ESTADISTICA!AH42</f>
        <v>0</v>
      </c>
      <c r="AI44" s="51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1">
        <f>ESTADISTICA!AH43</f>
        <v>0</v>
      </c>
      <c r="AI45" s="51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1">
        <f>ESTADISTICA!AH44</f>
        <v>0</v>
      </c>
      <c r="AI46" s="51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1">
        <f>ESTADISTICA!AH45</f>
        <v>0</v>
      </c>
      <c r="AI47" s="51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1">
        <f>ESTADISTICA!AH46</f>
        <v>0</v>
      </c>
      <c r="AI48" s="51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1">
        <f>ESTADISTICA!AH47</f>
        <v>0</v>
      </c>
      <c r="AI49" s="51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1">
        <f>ESTADISTICA!AH48</f>
        <v>0</v>
      </c>
      <c r="AI50" s="51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1">
        <f>ESTADISTICA!AH49</f>
        <v>0</v>
      </c>
      <c r="AI51" s="51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1">
        <f>ESTADISTICA!AH50</f>
        <v>0</v>
      </c>
      <c r="AI52" s="51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1">
        <f>ESTADISTICA!AH51</f>
        <v>0</v>
      </c>
      <c r="AI53" s="51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1">
        <f>ESTADISTICA!AH52</f>
        <v>0</v>
      </c>
      <c r="AI54" s="51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1">
        <f>ESTADISTICA!AH53</f>
        <v>0</v>
      </c>
      <c r="AI55" s="51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1">
        <f>ESTADISTICA!AH54</f>
        <v>0</v>
      </c>
      <c r="AI56" s="51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1">
        <f>ESTADISTICA!AH55</f>
        <v>0</v>
      </c>
      <c r="AI57" s="51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1">
        <f>ESTADISTICA!AH56</f>
        <v>0</v>
      </c>
      <c r="AI58" s="51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1">
        <f>ESTADISTICA!AH57</f>
        <v>0</v>
      </c>
      <c r="AI59" s="51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1">
        <f>ESTADISTICA!AH58</f>
        <v>0</v>
      </c>
      <c r="AI60" s="51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1">
        <f>ESTADISTICA!AH59</f>
        <v>0</v>
      </c>
      <c r="AI61" s="5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1">
        <f>ESTADISTICA!AH60</f>
        <v>0</v>
      </c>
      <c r="AI62" s="51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1">
        <f>ESTADISTICA!AH61</f>
        <v>0</v>
      </c>
      <c r="AI63" s="51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1">
        <f>ESTADISTICA!AH62</f>
        <v>0</v>
      </c>
      <c r="AI64" s="51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1">
        <f>ESTADISTICA!AH63</f>
        <v>0</v>
      </c>
      <c r="AI65" s="51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s="51" t="str">
        <f>ESTADISTICA!AH64</f>
        <v>APAGADO</v>
      </c>
      <c r="AI66" s="51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1">
        <f>ESTADISTICA!AH65</f>
        <v>0</v>
      </c>
      <c r="AI67" s="51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1">
        <f>ESTADISTICA!AH66</f>
        <v>0</v>
      </c>
      <c r="AI68" s="51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1">
        <f>ESTADISTICA!AH67</f>
        <v>0</v>
      </c>
      <c r="AI69" s="51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1">
        <f>ESTADISTICA!AH68</f>
        <v>0</v>
      </c>
      <c r="AI70" s="51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1">
        <f>ESTADISTICA!AH69</f>
        <v>0</v>
      </c>
      <c r="AI71" s="5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1">
        <f>ESTADISTICA!AH70</f>
        <v>0</v>
      </c>
      <c r="AI72" s="51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1">
        <f>ESTADISTICA!AH71</f>
        <v>0</v>
      </c>
      <c r="AI73" s="51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1">
        <f>ESTADISTICA!AH72</f>
        <v>0</v>
      </c>
      <c r="AI74" s="51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s="51" t="str">
        <f>ESTADISTICA!AH73</f>
        <v>APAGADO</v>
      </c>
      <c r="AI75" s="51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1">
        <f>ESTADISTICA!AH74</f>
        <v>0</v>
      </c>
      <c r="AI76" s="51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1">
        <f>ESTADISTICA!AH75</f>
        <v>0</v>
      </c>
      <c r="AI77" s="51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s="51" t="str">
        <f>ESTADISTICA!AH76</f>
        <v>APAGADO</v>
      </c>
      <c r="AI78" s="51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1">
        <f>ESTADISTICA!AH77</f>
        <v>0</v>
      </c>
      <c r="AI79" s="51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1">
        <f>ESTADISTICA!AH78</f>
        <v>0</v>
      </c>
      <c r="AI80" s="51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1">
        <f>ESTADISTICA!AH79</f>
        <v>0</v>
      </c>
      <c r="AI81" s="5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1">
        <f>ESTADISTICA!AH80</f>
        <v>0</v>
      </c>
      <c r="AI82" s="51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1">
        <f>ESTADISTICA!AH81</f>
        <v>0</v>
      </c>
      <c r="AI83" s="51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1">
        <f>ESTADISTICA!AH82</f>
        <v>0</v>
      </c>
      <c r="AI84" s="51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1">
        <f>ESTADISTICA!AH83</f>
        <v>0</v>
      </c>
      <c r="AI85" s="51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1" t="str">
        <f>ESTADISTICA!AH84</f>
        <v>APAGADO</v>
      </c>
      <c r="AI86" s="51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1">
        <f>ESTADISTICA!AH85</f>
        <v>0</v>
      </c>
      <c r="AI87" s="51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1">
        <f>ESTADISTICA!AH86</f>
        <v>0</v>
      </c>
      <c r="AI88" s="51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1">
        <f>ESTADISTICA!AH87</f>
        <v>0</v>
      </c>
      <c r="AI89" s="51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1">
        <f>ESTADISTICA!AH88</f>
        <v>0</v>
      </c>
      <c r="AI90" s="51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1">
        <f>ESTADISTICA!AH89</f>
        <v>0</v>
      </c>
      <c r="AI91" s="51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1">
        <f>ESTADISTICA!AH90</f>
        <v>0</v>
      </c>
      <c r="AI92" s="51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1">
        <f>ESTADISTICA!AH91</f>
        <v>0</v>
      </c>
      <c r="AI93" s="51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1">
        <f>ESTADISTICA!AH92</f>
        <v>0</v>
      </c>
      <c r="AI94" s="51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s="51" t="str">
        <f>ESTADISTICA!AH93</f>
        <v>APAGADO</v>
      </c>
      <c r="AI95" s="51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 s="51">
        <f>ESTADISTICA!AH94</f>
        <v>0</v>
      </c>
      <c r="AI96" s="51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1">
        <f>ESTADISTICA!AH95</f>
        <v>0</v>
      </c>
      <c r="AI97" s="51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1">
        <f>ESTADISTICA!AH96</f>
        <v>0</v>
      </c>
      <c r="AI98" s="51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1">
        <f>ESTADISTICA!AH97</f>
        <v>0</v>
      </c>
      <c r="AI99" s="51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1">
        <f>ESTADISTICA!AH98</f>
        <v>0</v>
      </c>
      <c r="AI100" s="51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1">
        <f>ESTADISTICA!AH99</f>
        <v>0</v>
      </c>
      <c r="AI101" s="51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1">
        <f>ESTADISTICA!AH100</f>
        <v>0</v>
      </c>
      <c r="AI102" s="51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1">
        <f>ESTADISTICA!AH101</f>
        <v>0</v>
      </c>
      <c r="AI103" s="51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1">
        <f>ESTADISTICA!AH102</f>
        <v>0</v>
      </c>
      <c r="AI104" s="51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1">
        <f>ESTADISTICA!AH103</f>
        <v>0</v>
      </c>
      <c r="AI105" s="51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s="51" t="str">
        <f>ESTADISTICA!AH104</f>
        <v>APAGADO</v>
      </c>
      <c r="AI106" s="51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1">
        <f>ESTADISTICA!AH105</f>
        <v>0</v>
      </c>
      <c r="AI107" s="51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1">
        <f>ESTADISTICA!AH106</f>
        <v>0</v>
      </c>
      <c r="AI108" s="51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1">
        <f>ESTADISTICA!AH107</f>
        <v>0</v>
      </c>
      <c r="AI109" s="51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1">
        <f>ESTADISTICA!AH108</f>
        <v>0</v>
      </c>
      <c r="AI110" s="51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1">
        <f>ESTADISTICA!AH109</f>
        <v>0</v>
      </c>
      <c r="AI111" s="51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s="51" t="str">
        <f>ESTADISTICA!AH110</f>
        <v>APAGADO</v>
      </c>
      <c r="AI112" s="51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1">
        <f>ESTADISTICA!AH111</f>
        <v>0</v>
      </c>
      <c r="AI113" s="51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1">
        <f>ESTADISTICA!AH112</f>
        <v>0</v>
      </c>
      <c r="AI114" s="51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1">
        <f>ESTADISTICA!AH113</f>
        <v>0</v>
      </c>
      <c r="AI115" s="51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1">
        <f>ESTADISTICA!AH114</f>
        <v>0</v>
      </c>
      <c r="AI116" s="51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1">
        <f>ESTADISTICA!AH115</f>
        <v>0</v>
      </c>
      <c r="AI117" s="51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1">
        <f>ESTADISTICA!AH116</f>
        <v>0</v>
      </c>
      <c r="AI118" s="51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1">
        <f>ESTADISTICA!AH117</f>
        <v>0</v>
      </c>
      <c r="AI119" s="51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1">
        <f>ESTADISTICA!AH118</f>
        <v>0</v>
      </c>
      <c r="AI120" s="51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1">
        <f>ESTADISTICA!AH119</f>
        <v>0</v>
      </c>
      <c r="AI121" s="51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1">
        <f>ESTADISTICA!AH120</f>
        <v>0</v>
      </c>
      <c r="AI122" s="51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1">
        <f>ESTADISTICA!AH121</f>
        <v>0</v>
      </c>
      <c r="AI123" s="51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1">
        <f>ESTADISTICA!AH122</f>
        <v>0</v>
      </c>
      <c r="AI124" s="51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1">
        <f>ESTADISTICA!AH123</f>
        <v>0</v>
      </c>
      <c r="AI125" s="51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1">
        <f>ESTADISTICA!AH124</f>
        <v>0</v>
      </c>
      <c r="AI126" s="51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1">
        <f>ESTADISTICA!AH125</f>
        <v>0</v>
      </c>
      <c r="AI127" s="51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1">
        <f>ESTADISTICA!AH126</f>
        <v>0</v>
      </c>
      <c r="AI128" s="51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1">
        <f>ESTADISTICA!AH127</f>
        <v>0</v>
      </c>
      <c r="AI129" s="51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1">
        <f>ESTADISTICA!AH128</f>
        <v>0</v>
      </c>
      <c r="AI130" s="51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1">
        <f>ESTADISTICA!AH129</f>
        <v>0</v>
      </c>
      <c r="AI131" s="51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1">
        <f>ESTADISTICA!AH130</f>
        <v>0</v>
      </c>
      <c r="AI132" s="51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s="51" t="str">
        <f>ESTADISTICA!AH131</f>
        <v>APAGADO</v>
      </c>
      <c r="AI133" s="51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1">
        <f>ESTADISTICA!AH132</f>
        <v>0</v>
      </c>
      <c r="AI134" s="51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1">
        <f>ESTADISTICA!AH133</f>
        <v>0</v>
      </c>
      <c r="AI135" s="51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s="51" t="str">
        <f>ESTADISTICA!AH134</f>
        <v>APAGADO</v>
      </c>
      <c r="AI136" s="51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1">
        <f>ESTADISTICA!AH135</f>
        <v>0</v>
      </c>
      <c r="AI137" s="51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1">
        <f>ESTADISTICA!AH136</f>
        <v>0</v>
      </c>
      <c r="AI138" s="51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1">
        <f>ESTADISTICA!AH137</f>
        <v>0</v>
      </c>
      <c r="AI139" s="51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1">
        <f>ESTADISTICA!AH138</f>
        <v>0</v>
      </c>
      <c r="AI140" s="51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1">
        <f>ESTADISTICA!AH139</f>
        <v>0</v>
      </c>
      <c r="AI141" s="5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1">
        <f>ESTADISTICA!AH140</f>
        <v>0</v>
      </c>
      <c r="AI142" s="51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1">
        <f>ESTADISTICA!AH141</f>
        <v>0</v>
      </c>
      <c r="AI143" s="51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1">
        <f>ESTADISTICA!AH142</f>
        <v>0</v>
      </c>
      <c r="AI144" s="51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1">
        <f>ESTADISTICA!AH143</f>
        <v>0</v>
      </c>
      <c r="AI145" s="51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1">
        <f>ESTADISTICA!AH144</f>
        <v>0</v>
      </c>
      <c r="AI146" s="51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1">
        <f>ESTADISTICA!AH145</f>
        <v>0</v>
      </c>
      <c r="AI147" s="51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1">
        <f>ESTADISTICA!AH146</f>
        <v>0</v>
      </c>
      <c r="AI148" s="51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1">
        <f>ESTADISTICA!AH147</f>
        <v>0</v>
      </c>
      <c r="AI149" s="51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1">
        <f>ESTADISTICA!AH148</f>
        <v>0</v>
      </c>
      <c r="AI150" s="51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1">
        <f>ESTADISTICA!AH149</f>
        <v>0</v>
      </c>
      <c r="AI151" s="51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1">
        <f>ESTADISTICA!AH150</f>
        <v>0</v>
      </c>
      <c r="AI152" s="51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1">
        <f>ESTADISTICA!AH151</f>
        <v>0</v>
      </c>
      <c r="AI153" s="51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1">
        <f>ESTADISTICA!AH152</f>
        <v>0</v>
      </c>
      <c r="AI154" s="51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s="51" t="str">
        <f>ESTADISTICA!AH153</f>
        <v>APAGADO</v>
      </c>
      <c r="AI155" s="51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s="51" t="str">
        <f>ESTADISTICA!AH154</f>
        <v>APAGADO</v>
      </c>
      <c r="AI156" s="51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s="51" t="str">
        <f>ESTADISTICA!AH155</f>
        <v>APAGADO</v>
      </c>
      <c r="AI157" s="51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1">
        <f>ESTADISTICA!AH156</f>
        <v>0</v>
      </c>
      <c r="AI158" s="51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1">
        <f>ESTADISTICA!AH157</f>
        <v>0</v>
      </c>
      <c r="AI159" s="51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1">
        <f>ESTADISTICA!AH158</f>
        <v>0</v>
      </c>
      <c r="AI160" s="51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 s="51">
        <f>ESTADISTICA!AH159</f>
        <v>0</v>
      </c>
      <c r="AI161" s="5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s="51" t="str">
        <f>ESTADISTICA!AH160</f>
        <v>APAGADO</v>
      </c>
      <c r="AI162" s="51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1">
        <f>ESTADISTICA!AH161</f>
        <v>0</v>
      </c>
      <c r="AI163" s="51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1">
        <f>ESTADISTICA!AH162</f>
        <v>0</v>
      </c>
      <c r="AI164" s="51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s="51" t="str">
        <f>ESTADISTICA!AH163</f>
        <v>APAGADO</v>
      </c>
      <c r="AI165" s="51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1">
        <f>ESTADISTICA!AH164</f>
        <v>0</v>
      </c>
      <c r="AI166" s="51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1">
        <f>ESTADISTICA!AH165</f>
        <v>0</v>
      </c>
      <c r="AI167" s="51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1">
        <f>ESTADISTICA!AH166</f>
        <v>0</v>
      </c>
      <c r="AI168" s="51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1">
        <f>ESTADISTICA!AH167</f>
        <v>0</v>
      </c>
      <c r="AI169" s="51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1">
        <f>ESTADISTICA!AH168</f>
        <v>0</v>
      </c>
      <c r="AI170" s="51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1">
        <f>ESTADISTICA!AH169</f>
        <v>0</v>
      </c>
      <c r="AI171" s="5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1">
        <f>ESTADISTICA!AH170</f>
        <v>0</v>
      </c>
      <c r="AI172" s="51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1">
        <f>ESTADISTICA!AH171</f>
        <v>0</v>
      </c>
      <c r="AI173" s="51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1">
        <f>ESTADISTICA!AH172</f>
        <v>0</v>
      </c>
      <c r="AI174" s="51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1">
        <f>ESTADISTICA!AH173</f>
        <v>0</v>
      </c>
      <c r="AI175" s="51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1">
        <f>ESTADISTICA!AH174</f>
        <v>0</v>
      </c>
      <c r="AI176" s="51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1">
        <f>ESTADISTICA!AH175</f>
        <v>0</v>
      </c>
      <c r="AI177" s="51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1">
        <f>ESTADISTICA!AH176</f>
        <v>0</v>
      </c>
      <c r="AI178" s="51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1">
        <f>ESTADISTICA!AH177</f>
        <v>0</v>
      </c>
      <c r="AI179" s="51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1">
        <f>ESTADISTICA!AH178</f>
        <v>0</v>
      </c>
      <c r="AI180" s="51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1">
        <f>ESTADISTICA!AH179</f>
        <v>0</v>
      </c>
      <c r="AI181" s="51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1">
        <f>ESTADISTICA!AH180</f>
        <v>0</v>
      </c>
      <c r="AI182" s="51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1">
        <f>ESTADISTICA!AH181</f>
        <v>0</v>
      </c>
      <c r="AI183" s="51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1">
        <f>ESTADISTICA!AH182</f>
        <v>0</v>
      </c>
      <c r="AI184" s="51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1">
        <f>ESTADISTICA!AH183</f>
        <v>0</v>
      </c>
      <c r="AI185" s="51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1">
        <f>ESTADISTICA!AH184</f>
        <v>0</v>
      </c>
      <c r="AI186" s="51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1">
        <f>ESTADISTICA!AH185</f>
        <v>0</v>
      </c>
      <c r="AI187" s="51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1">
        <f>ESTADISTICA!AH186</f>
        <v>0</v>
      </c>
      <c r="AI188" s="51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1">
        <f>ESTADISTICA!AH187</f>
        <v>0</v>
      </c>
      <c r="AI189" s="51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s="51" t="str">
        <f>ESTADISTICA!AH188</f>
        <v>APAGADO</v>
      </c>
      <c r="AI190" s="51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1">
        <f>ESTADISTICA!AH189</f>
        <v>0</v>
      </c>
      <c r="AI191" s="51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1">
        <f>ESTADISTICA!AH190</f>
        <v>0</v>
      </c>
      <c r="AI192" s="51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1">
        <f>ESTADISTICA!AH191</f>
        <v>0</v>
      </c>
      <c r="AI193" s="51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1">
        <f>ESTADISTICA!AH192</f>
        <v>0</v>
      </c>
      <c r="AI194" s="51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1">
        <f>ESTADISTICA!AH193</f>
        <v>0</v>
      </c>
      <c r="AI195" s="51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1">
        <f>ESTADISTICA!AH194</f>
        <v>0</v>
      </c>
      <c r="AI196" s="51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1">
        <f>ESTADISTICA!AH195</f>
        <v>0</v>
      </c>
      <c r="AI197" s="51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1">
        <f>ESTADISTICA!AH196</f>
        <v>0</v>
      </c>
      <c r="AI198" s="51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1">
        <f>ESTADISTICA!AH197</f>
        <v>0</v>
      </c>
      <c r="AI199" s="51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1">
        <f>ESTADISTICA!AH198</f>
        <v>0</v>
      </c>
      <c r="AI200" s="51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1">
        <f>ESTADISTICA!AH199</f>
        <v>0</v>
      </c>
      <c r="AI201" s="51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1">
        <f>ESTADISTICA!AH200</f>
        <v>0</v>
      </c>
      <c r="AI202" s="51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1">
        <f>ESTADISTICA!AH201</f>
        <v>0</v>
      </c>
      <c r="AI203" s="51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1">
        <f>ESTADISTICA!AH202</f>
        <v>0</v>
      </c>
      <c r="AI204" s="51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1">
        <f>ESTADISTICA!AH203</f>
        <v>0</v>
      </c>
      <c r="AI205" s="51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1">
        <f>ESTADISTICA!AH204</f>
        <v>0</v>
      </c>
      <c r="AI206" s="51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1">
        <f>ESTADISTICA!AH205</f>
        <v>0</v>
      </c>
      <c r="AI207" s="51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1">
        <f>ESTADISTICA!AH206</f>
        <v>0</v>
      </c>
      <c r="AI208" s="51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s="51" t="str">
        <f>ESTADISTICA!AH207</f>
        <v>APAGADO</v>
      </c>
      <c r="AI209" s="51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 s="51">
        <f>ESTADISTICA!AH208</f>
        <v>0</v>
      </c>
      <c r="AI210" s="51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 s="51">
        <f>ESTADISTICA!AH209</f>
        <v>0</v>
      </c>
      <c r="AI211" s="5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1">
        <f>ESTADISTICA!AH210</f>
        <v>0</v>
      </c>
      <c r="AI212" s="51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1">
        <f>ESTADISTICA!AH211</f>
        <v>0</v>
      </c>
      <c r="AI213" s="51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1">
        <f>ESTADISTICA!AH212</f>
        <v>0</v>
      </c>
      <c r="AI214" s="51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s="51" t="str">
        <f>ESTADISTICA!AH213</f>
        <v>APAGADO</v>
      </c>
      <c r="AI215" s="51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s="51" t="str">
        <f>ESTADISTICA!AH214</f>
        <v>APAGADO</v>
      </c>
      <c r="AI216" s="51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1">
        <f>ESTADISTICA!AH215</f>
        <v>0</v>
      </c>
      <c r="AI217" s="51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1">
        <f>ESTADISTICA!AH216</f>
        <v>0</v>
      </c>
      <c r="AI218" s="51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1">
        <f>ESTADISTICA!AH217</f>
        <v>0</v>
      </c>
      <c r="AI219" s="51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1">
        <f>ESTADISTICA!AH218</f>
        <v>0</v>
      </c>
      <c r="AI220" s="51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1" t="str">
        <f>ESTADISTICA!AH219</f>
        <v>APAGADO</v>
      </c>
      <c r="AI221" s="51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 s="51">
        <f>ESTADISTICA!AH220</f>
        <v>0</v>
      </c>
      <c r="AI222" s="51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1">
        <f>ESTADISTICA!AH221</f>
        <v>0</v>
      </c>
      <c r="AI223" s="51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1">
        <f>ESTADISTICA!AH222</f>
        <v>0</v>
      </c>
      <c r="AI224" s="51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1">
        <f>ESTADISTICA!AH223</f>
        <v>0</v>
      </c>
      <c r="AI225" s="51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1">
        <f>ESTADISTICA!AH224</f>
        <v>0</v>
      </c>
      <c r="AI226" s="51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1">
        <f>ESTADISTICA!AH225</f>
        <v>0</v>
      </c>
      <c r="AI227" s="51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1">
        <f>ESTADISTICA!AH226</f>
        <v>0</v>
      </c>
      <c r="AI228" s="51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1">
        <f>ESTADISTICA!AH227</f>
        <v>0</v>
      </c>
      <c r="AI229" s="51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1">
        <f>ESTADISTICA!AH228</f>
        <v>0</v>
      </c>
      <c r="AI230" s="51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1">
        <f>ESTADISTICA!AH229</f>
        <v>0</v>
      </c>
      <c r="AI231" s="51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1">
        <f>ESTADISTICA!AH230</f>
        <v>0</v>
      </c>
      <c r="AI232" s="51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1">
        <f>ESTADISTICA!AH231</f>
        <v>0</v>
      </c>
      <c r="AI233" s="51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1">
        <f>ESTADISTICA!AH232</f>
        <v>0</v>
      </c>
      <c r="AI234" s="51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1">
        <f>ESTADISTICA!AH233</f>
        <v>0</v>
      </c>
      <c r="AI235" s="51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1">
        <f>ESTADISTICA!AH234</f>
        <v>0</v>
      </c>
      <c r="AI236" s="51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1">
        <f>ESTADISTICA!AH235</f>
        <v>0</v>
      </c>
      <c r="AI237" s="51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1">
        <f>ESTADISTICA!AH236</f>
        <v>0</v>
      </c>
      <c r="AI238" s="51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1">
        <f>ESTADISTICA!AH237</f>
        <v>0</v>
      </c>
      <c r="AI239" s="51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1">
        <f>ESTADISTICA!AH238</f>
        <v>0</v>
      </c>
      <c r="AI240" s="51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1">
        <f>ESTADISTICA!AH239</f>
        <v>0</v>
      </c>
      <c r="AI241" s="5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1">
        <f>ESTADISTICA!AH240</f>
        <v>0</v>
      </c>
      <c r="AI242" s="51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s="51" t="str">
        <f>ESTADISTICA!AH241</f>
        <v>APAGADO</v>
      </c>
      <c r="AI243" s="51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s="51" t="str">
        <f>ESTADISTICA!AH242</f>
        <v>APAGADO</v>
      </c>
      <c r="AI244" s="51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1">
        <f>ESTADISTICA!AH243</f>
        <v>0</v>
      </c>
      <c r="AI245" s="51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1">
        <f>ESTADISTICA!AH244</f>
        <v>0</v>
      </c>
      <c r="AI246" s="51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1">
        <f>ESTADISTICA!AH245</f>
        <v>0</v>
      </c>
      <c r="AI247" s="51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1">
        <f>ESTADISTICA!AH246</f>
        <v>0</v>
      </c>
      <c r="AI248" s="51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1">
        <f>ESTADISTICA!AH247</f>
        <v>0</v>
      </c>
      <c r="AI249" s="51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1">
        <f>ESTADISTICA!AH248</f>
        <v>0</v>
      </c>
      <c r="AI250" s="51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1">
        <f>ESTADISTICA!AH249</f>
        <v>0</v>
      </c>
      <c r="AI251" s="51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1">
        <f>ESTADISTICA!AH250</f>
        <v>0</v>
      </c>
      <c r="AI252" s="51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s="51" t="str">
        <f>ESTADISTICA!AH251</f>
        <v>APAGADO</v>
      </c>
      <c r="AI253" s="51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s="51" t="str">
        <f>ESTADISTICA!AH252</f>
        <v>APAGADO</v>
      </c>
      <c r="AI254" s="51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1">
        <f>ESTADISTICA!AH253</f>
        <v>0</v>
      </c>
      <c r="AI255" s="51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1">
        <f>ESTADISTICA!AH254</f>
        <v>0</v>
      </c>
      <c r="AI256" s="51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1">
        <f>ESTADISTICA!AH255</f>
        <v>0</v>
      </c>
      <c r="AI257" s="51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1">
        <f>ESTADISTICA!AH256</f>
        <v>0</v>
      </c>
      <c r="AI258" s="51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1">
        <f>ESTADISTICA!AH257</f>
        <v>0</v>
      </c>
      <c r="AI259" s="51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1">
        <f>ESTADISTICA!AH258</f>
        <v>0</v>
      </c>
      <c r="AI260" s="51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1">
        <f>ESTADISTICA!AH259</f>
        <v>0</v>
      </c>
      <c r="AI261" s="51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1">
        <f>ESTADISTICA!AH260</f>
        <v>0</v>
      </c>
      <c r="AI262" s="51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1">
        <f>ESTADISTICA!AH261</f>
        <v>0</v>
      </c>
      <c r="AI263" s="51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1">
        <f>ESTADISTICA!AH262</f>
        <v>0</v>
      </c>
      <c r="AI264" s="51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1">
        <f>ESTADISTICA!AH263</f>
        <v>0</v>
      </c>
      <c r="AI265" s="51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1">
        <f>ESTADISTICA!AH264</f>
        <v>0</v>
      </c>
      <c r="AI266" s="51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1">
        <f>ESTADISTICA!AH265</f>
        <v>0</v>
      </c>
      <c r="AI267" s="51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1">
        <f>ESTADISTICA!AH266</f>
        <v>0</v>
      </c>
      <c r="AI268" s="51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1">
        <f>ESTADISTICA!AH267</f>
        <v>0</v>
      </c>
      <c r="AI269" s="51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1">
        <f>ESTADISTICA!AH268</f>
        <v>0</v>
      </c>
      <c r="AI270" s="51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1">
        <f>ESTADISTICA!AH269</f>
        <v>0</v>
      </c>
      <c r="AI271" s="51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1">
        <f>ESTADISTICA!AH270</f>
        <v>0</v>
      </c>
      <c r="AI272" s="51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1">
        <f>ESTADISTICA!AH271</f>
        <v>0</v>
      </c>
      <c r="AI273" s="51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1">
        <f>ESTADISTICA!AH272</f>
        <v>0</v>
      </c>
      <c r="AI274" s="51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1">
        <f>ESTADISTICA!AH273</f>
        <v>0</v>
      </c>
      <c r="AI275" s="51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 s="51">
        <f>ESTADISTICA!AH274</f>
        <v>0</v>
      </c>
      <c r="AI276" s="51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 s="51">
        <f>ESTADISTICA!AH275</f>
        <v>0</v>
      </c>
      <c r="AI277" s="51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 s="51">
        <f>ESTADISTICA!AH276</f>
        <v>0</v>
      </c>
      <c r="AI278" s="51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 s="51">
        <f>ESTADISTICA!AH277</f>
        <v>0</v>
      </c>
      <c r="AI279" s="51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1">
        <f>ESTADISTICA!AH278</f>
        <v>0</v>
      </c>
      <c r="AI280" s="51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1">
        <f>ESTADISTICA!AH279</f>
        <v>0</v>
      </c>
      <c r="AI281" s="51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1">
        <f>ESTADISTICA!AH280</f>
        <v>0</v>
      </c>
      <c r="AI282" s="51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1">
        <f>ESTADISTICA!AH281</f>
        <v>0</v>
      </c>
      <c r="AI283" s="51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1">
        <f>ESTADISTICA!AH282</f>
        <v>0</v>
      </c>
      <c r="AI284" s="51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1">
        <f>ESTADISTICA!AH283</f>
        <v>0</v>
      </c>
      <c r="AI285" s="51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1">
        <f>ESTADISTICA!AH284</f>
        <v>0</v>
      </c>
      <c r="AI286" s="51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1">
        <f>ESTADISTICA!AH285</f>
        <v>0</v>
      </c>
      <c r="AI287" s="51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s="51" t="str">
        <f>ESTADISTICA!AH286</f>
        <v>APAGADO</v>
      </c>
      <c r="AI288" s="51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s="51" t="str">
        <f>ESTADISTICA!AH287</f>
        <v>APAGADO</v>
      </c>
      <c r="AI289" s="51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s="51" t="str">
        <f>ESTADISTICA!AH288</f>
        <v>APAGADO</v>
      </c>
      <c r="AI290" s="51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s="51" t="str">
        <f>ESTADISTICA!AH289</f>
        <v>APAGADO</v>
      </c>
      <c r="AI291" s="51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1">
        <f>ESTADISTICA!AH290</f>
        <v>0</v>
      </c>
      <c r="AI292" s="51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1">
        <f>ESTADISTICA!AH291</f>
        <v>0</v>
      </c>
      <c r="AI293" s="51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1">
        <f>ESTADISTICA!AH292</f>
        <v>0</v>
      </c>
      <c r="AI294" s="51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s="51" t="str">
        <f>ESTADISTICA!AH293</f>
        <v>APAGADO</v>
      </c>
      <c r="AI295" s="51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s="51" t="str">
        <f>ESTADISTICA!AH294</f>
        <v>APAGADO</v>
      </c>
      <c r="AI296" s="51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1">
        <f>ESTADISTICA!AH295</f>
        <v>0</v>
      </c>
      <c r="AI297" s="51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1">
        <f>ESTADISTICA!AH296</f>
        <v>0</v>
      </c>
      <c r="AI298" s="51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1">
        <f>ESTADISTICA!AH297</f>
        <v>0</v>
      </c>
      <c r="AI299" s="51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1">
        <f>ESTADISTICA!AH298</f>
        <v>0</v>
      </c>
      <c r="AI300" s="51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1">
        <f>ESTADISTICA!AH299</f>
        <v>0</v>
      </c>
      <c r="AI301" s="51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1">
        <f>ESTADISTICA!AH300</f>
        <v>0</v>
      </c>
      <c r="AI302" s="51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1">
        <f>ESTADISTICA!AH301</f>
        <v>0</v>
      </c>
      <c r="AI303" s="51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1">
        <f>ESTADISTICA!AH302</f>
        <v>0</v>
      </c>
      <c r="AI304" s="51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1">
        <f>ESTADISTICA!AH303</f>
        <v>0</v>
      </c>
      <c r="AI305" s="51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1">
        <f>ESTADISTICA!AH304</f>
        <v>0</v>
      </c>
      <c r="AI306" s="51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1">
        <f>ESTADISTICA!AH305</f>
        <v>0</v>
      </c>
      <c r="AI307" s="51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1">
        <f>ESTADISTICA!AH306</f>
        <v>0</v>
      </c>
      <c r="AI308" s="51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1">
        <f>ESTADISTICA!AH307</f>
        <v>0</v>
      </c>
      <c r="AI309" s="51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1">
        <f>ESTADISTICA!AH308</f>
        <v>0</v>
      </c>
      <c r="AI310" s="51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1">
        <f>ESTADISTICA!AH309</f>
        <v>0</v>
      </c>
      <c r="AI311" s="51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1">
        <f>ESTADISTICA!AH310</f>
        <v>0</v>
      </c>
      <c r="AI312" s="51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1">
        <f>ESTADISTICA!AH311</f>
        <v>0</v>
      </c>
      <c r="AI313" s="51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1">
        <f>ESTADISTICA!AH312</f>
        <v>0</v>
      </c>
      <c r="AI314" s="51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1">
        <f>ESTADISTICA!AH313</f>
        <v>0</v>
      </c>
      <c r="AI315" s="51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1">
        <f>ESTADISTICA!AH314</f>
        <v>0</v>
      </c>
      <c r="AI316" s="51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1">
        <f>ESTADISTICA!AH315</f>
        <v>0</v>
      </c>
      <c r="AI317" s="51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1">
        <f>ESTADISTICA!AH316</f>
        <v>0</v>
      </c>
      <c r="AI318" s="51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1">
        <f>ESTADISTICA!AH317</f>
        <v>0</v>
      </c>
      <c r="AI319" s="51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1">
        <f>ESTADISTICA!AH318</f>
        <v>0</v>
      </c>
      <c r="AI320" s="51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1">
        <f>ESTADISTICA!AH319</f>
        <v>0</v>
      </c>
      <c r="AI321" s="51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1">
        <f>ESTADISTICA!AH320</f>
        <v>0</v>
      </c>
      <c r="AI322" s="51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1">
        <f>ESTADISTICA!AH321</f>
        <v>0</v>
      </c>
      <c r="AI323" s="51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1">
        <f>ESTADISTICA!AH322</f>
        <v>0</v>
      </c>
      <c r="AI324" s="51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1">
        <f>ESTADISTICA!AH323</f>
        <v>0</v>
      </c>
      <c r="AI325" s="51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 s="51">
        <f>ESTADISTICA!AH324</f>
        <v>0</v>
      </c>
      <c r="AI326" s="51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 s="51">
        <f>ESTADISTICA!AH325</f>
        <v>0</v>
      </c>
      <c r="AI327" s="51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1">
        <f>ESTADISTICA!AH326</f>
        <v>0</v>
      </c>
      <c r="AI328" s="51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1">
        <f>ESTADISTICA!AH327</f>
        <v>0</v>
      </c>
      <c r="AI329" s="51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1">
        <f>ESTADISTICA!AH328</f>
        <v>0</v>
      </c>
      <c r="AI330" s="51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1">
        <f>ESTADISTICA!AH329</f>
        <v>0</v>
      </c>
      <c r="AI331" s="51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1">
        <f>ESTADISTICA!AH330</f>
        <v>0</v>
      </c>
      <c r="AI332" s="51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1">
        <f>ESTADISTICA!AH331</f>
        <v>0</v>
      </c>
      <c r="AI333" s="51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1">
        <f>ESTADISTICA!AH332</f>
        <v>0</v>
      </c>
      <c r="AI334" s="51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1">
        <f>ESTADISTICA!AH333</f>
        <v>0</v>
      </c>
      <c r="AI335" s="51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1">
        <f>ESTADISTICA!AH334</f>
        <v>0</v>
      </c>
      <c r="AI336" s="51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1">
        <f>ESTADISTICA!AH335</f>
        <v>0</v>
      </c>
      <c r="AI337" s="51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1">
        <f>ESTADISTICA!AH336</f>
        <v>0</v>
      </c>
      <c r="AI338" s="51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1">
        <f>ESTADISTICA!AH337</f>
        <v>0</v>
      </c>
      <c r="AI339" s="51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1">
        <f>ESTADISTICA!AH338</f>
        <v>0</v>
      </c>
      <c r="AI340" s="51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1">
        <f>ESTADISTICA!AH339</f>
        <v>0</v>
      </c>
      <c r="AI341" s="51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1">
        <f>ESTADISTICA!AH340</f>
        <v>0</v>
      </c>
      <c r="AI342" s="51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1">
        <f>ESTADISTICA!AH341</f>
        <v>0</v>
      </c>
      <c r="AI343" s="51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1">
        <f>ESTADISTICA!AH342</f>
        <v>0</v>
      </c>
      <c r="AI344" s="51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1">
        <f>ESTADISTICA!AH343</f>
        <v>0</v>
      </c>
      <c r="AI345" s="51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1">
        <f>ESTADISTICA!AH344</f>
        <v>0</v>
      </c>
      <c r="AI346" s="51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1" t="str">
        <f>ESTADISTICA!AH345</f>
        <v>APAGADO</v>
      </c>
      <c r="AI347" s="51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1">
        <f>ESTADISTICA!AH346</f>
        <v>0</v>
      </c>
      <c r="AI348" s="51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1">
        <f>ESTADISTICA!AH347</f>
        <v>0</v>
      </c>
      <c r="AI349" s="51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1">
        <f>ESTADISTICA!AH348</f>
        <v>0</v>
      </c>
      <c r="AI350" s="51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1">
        <f>ESTADISTICA!AH349</f>
        <v>0</v>
      </c>
      <c r="AI351" s="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1">
        <f>ESTADISTICA!AH350</f>
        <v>0</v>
      </c>
      <c r="AI352" s="51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1">
        <f>ESTADISTICA!AH351</f>
        <v>0</v>
      </c>
      <c r="AI353" s="51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1">
        <f>ESTADISTICA!AH352</f>
        <v>0</v>
      </c>
      <c r="AI354" s="51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1" t="str">
        <f>ESTADISTICA!AH353</f>
        <v>APAGADO</v>
      </c>
      <c r="AI355" s="51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1" t="str">
        <f>ESTADISTICA!AH354</f>
        <v>APAGADO</v>
      </c>
      <c r="AI356" s="51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1">
        <f>ESTADISTICA!AH355</f>
        <v>0</v>
      </c>
      <c r="AI357" s="51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1">
        <f>ESTADISTICA!AH356</f>
        <v>0</v>
      </c>
      <c r="AI358" s="51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 s="51">
        <f>ESTADISTICA!AH357</f>
        <v>0</v>
      </c>
      <c r="AI359" s="51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s="51" t="str">
        <f>ESTADISTICA!AH358</f>
        <v>APAGADO</v>
      </c>
      <c r="AI360" s="51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s="51" t="str">
        <f>ESTADISTICA!AH359</f>
        <v>APAGADO</v>
      </c>
      <c r="AI361" s="51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1">
        <f>ESTADISTICA!AH360</f>
        <v>0</v>
      </c>
      <c r="AI362" s="51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1">
        <f>ESTADISTICA!AH361</f>
        <v>0</v>
      </c>
      <c r="AI363" s="51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1">
        <f>ESTADISTICA!AH362</f>
        <v>0</v>
      </c>
      <c r="AI364" s="51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1">
        <f>ESTADISTICA!AH363</f>
        <v>0</v>
      </c>
      <c r="AI365" s="51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1">
        <f>ESTADISTICA!AH364</f>
        <v>0</v>
      </c>
      <c r="AI366" s="51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1">
        <f>ESTADISTICA!AH365</f>
        <v>0</v>
      </c>
      <c r="AI367" s="51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1">
        <f>ESTADISTICA!AH366</f>
        <v>0</v>
      </c>
      <c r="AI368" s="51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1">
        <f>ESTADISTICA!AH367</f>
        <v>0</v>
      </c>
      <c r="AI369" s="51">
        <f>ESTADISTICA!AI367</f>
        <v>0</v>
      </c>
    </row>
    <row r="370" spans="1:35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>
        <f>ESTADISTICA!AI382</f>
        <v>0</v>
      </c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>
        <f>ESTADISTICA!AI383</f>
        <v>0</v>
      </c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>
        <f>ESTADISTICA!AI384</f>
        <v>0</v>
      </c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>
        <f>ESTADISTICA!AI385</f>
        <v>0</v>
      </c>
    </row>
    <row r="388" spans="1:35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H2" sqref="AH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1173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2</v>
      </c>
      <c r="AC2" s="26">
        <f>COUNTIFS(AC4:AC400, "=APAGADO",E4:E400,"=PTO A FO")</f>
        <v>1</v>
      </c>
      <c r="AD2" s="26">
        <f>COUNTIFS(AD4:AD400, "=APAGADO",E4:E400,"=PTO A FO")</f>
        <v>2</v>
      </c>
      <c r="AE2" s="26">
        <f>COUNTIFS(AE4:AE400, "=APAGADO",E4:E400,"=PTO A FO")</f>
        <v>2</v>
      </c>
      <c r="AF2" s="26">
        <f>COUNTIFS(AF4:AF400, "=APAGADO",E4:E400,"=PTO A FO")</f>
        <v>4</v>
      </c>
      <c r="AG2" s="26">
        <f>COUNTIFS(AG4:AG400, "=APAGADO",E4:E400,"=PTO A FO")</f>
        <v>3</v>
      </c>
      <c r="AH2" s="26">
        <f>COUNTIFS(AH4:AH400, "=APAGADO",E4:E400,"=PTO A FO")</f>
        <v>2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t="str">
        <f>ESTADISTICA!AH64</f>
        <v>APAGADO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t="str">
        <f>ESTADISTICA!AH73</f>
        <v>APAGADO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t="str">
        <f>ESTADISTICA!AH76</f>
        <v>APAGADO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str">
        <f>ESTADISTICA!AH84</f>
        <v>APAGADO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t="str">
        <f>ESTADISTICA!AH104</f>
        <v>APAGADO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t="str">
        <f>ESTADISTICA!AH110</f>
        <v>APAGADO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t="str">
        <f>ESTADISTICA!AH134</f>
        <v>APAGADO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str">
        <f>ESTADISTICA!AH219</f>
        <v>APAGADO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t="str">
        <f>ESTADISTICA!AH241</f>
        <v>APAGADO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t="str">
        <f>ESTADISTICA!AH242</f>
        <v>APAGADO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t="str">
        <f>ESTADISTICA!AH252</f>
        <v>APAGADO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t="str">
        <f>ESTADISTICA!AH293</f>
        <v>APAGADO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t="str">
        <f>ESTADISTICA!AH294</f>
        <v>APAGADO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str">
        <f>ESTADISTICA!AH345</f>
        <v>APAGADO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str">
        <f>ESTADISTICA!AH353</f>
        <v>APAGADO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str">
        <f>ESTADISTICA!AH354</f>
        <v>APAGADO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I400"/>
  <sheetViews>
    <sheetView workbookViewId="0">
      <pane xSplit="5" ySplit="3" topLeftCell="AB159" activePane="bottomRight" state="frozenSplit"/>
      <selection pane="topRight" activeCell="F1" sqref="F1"/>
      <selection pane="bottomLeft" activeCell="A3" sqref="A3"/>
      <selection pane="bottomRight" activeCell="AH2" sqref="AH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4</v>
      </c>
      <c r="AC2" s="26">
        <f>COUNTIFS(AC4:AC367, "=APAGADO",E4:E367,"=radio")</f>
        <v>4</v>
      </c>
      <c r="AD2" s="26">
        <f>COUNTIFS(AD4:AD367, "=APAGADO",E4:E367,"=radio")</f>
        <v>4</v>
      </c>
      <c r="AE2" s="26">
        <f>COUNTIFS(AE4:AE367, "=APAGADO",E4:E367,"=radio")</f>
        <v>6</v>
      </c>
      <c r="AF2" s="26">
        <f>COUNTIFS(AF4:AF367, "=APAGADO",E4:E367,"=radio")</f>
        <v>4</v>
      </c>
      <c r="AG2" s="26">
        <f>COUNTIFS(AG4:AG367, "=APAGADO",E4:E367,"=radio")</f>
        <v>4</v>
      </c>
      <c r="AH2" s="26">
        <f>COUNTIFS(AH4:AH400, "=APAGADO",E4:E400,"=radio")</f>
        <v>5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 t="str">
        <f>ESTADISTICA!AG7</f>
        <v>APAGADO</v>
      </c>
      <c r="AH9" t="str">
        <f>ESTADISTICA!AH7</f>
        <v>APAGADO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 t="str">
        <f>ESTADISTICA!AG10</f>
        <v>APAGADO</v>
      </c>
      <c r="AH12" t="str">
        <f>ESTADISTICA!AH10</f>
        <v>APAGADO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 t="str">
        <f>ESTADISTICA!AB28</f>
        <v>APAGADO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str">
        <f>ESTADISTICA!AH28</f>
        <v>APAGADO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 t="str">
        <f>ESTADISTICA!AB31</f>
        <v>APAGADO</v>
      </c>
      <c r="AC33" t="str">
        <f>ESTADISTICA!AC31</f>
        <v>APAGADO</v>
      </c>
      <c r="AD33" t="str">
        <f>ESTADISTICA!AD31</f>
        <v>APAGADO</v>
      </c>
      <c r="AE33" t="str">
        <f>ESTADISTICA!AE31</f>
        <v>APAGADO</v>
      </c>
      <c r="AF33" t="str">
        <f>ESTADISTICA!AF31</f>
        <v>APAGADO</v>
      </c>
      <c r="AG33" t="str">
        <f>ESTADISTICA!AG31</f>
        <v>APAGADO</v>
      </c>
      <c r="AH33" t="str">
        <f>ESTADISTICA!AH31</f>
        <v>APAGADO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 t="str">
        <f>ESTADISTICA!AG64</f>
        <v>APAGADO</v>
      </c>
      <c r="AH66" t="str">
        <f>ESTADISTICA!AH64</f>
        <v>APAGADO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 t="str">
        <f>ESTADISTICA!AG73</f>
        <v>APAGADO</v>
      </c>
      <c r="AH75" t="str">
        <f>ESTADISTICA!AH73</f>
        <v>APAGADO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 t="str">
        <f>ESTADISTICA!AB76</f>
        <v>APAGADO</v>
      </c>
      <c r="AC78" t="str">
        <f>ESTADISTICA!AC76</f>
        <v>APAGADO</v>
      </c>
      <c r="AD78">
        <f>ESTADISTICA!AD76</f>
        <v>0</v>
      </c>
      <c r="AE78">
        <f>ESTADISTICA!AE76</f>
        <v>0</v>
      </c>
      <c r="AF78">
        <f>ESTADISTICA!AF76</f>
        <v>0</v>
      </c>
      <c r="AG78" t="str">
        <f>ESTADISTICA!AG76</f>
        <v>APAGADO</v>
      </c>
      <c r="AH78" t="str">
        <f>ESTADISTICA!AH76</f>
        <v>APAGADO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str">
        <f>ESTADISTICA!AH84</f>
        <v>APAGADO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 t="str">
        <f>ESTADISTICA!AG93</f>
        <v>APAGADO</v>
      </c>
      <c r="AH95" t="str">
        <f>ESTADISTICA!AH93</f>
        <v>APAGADO</v>
      </c>
      <c r="AI95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 t="str">
        <f>ESTADISTICA!AG94</f>
        <v>APAGADO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 t="str">
        <f>ESTADISTICA!AE104</f>
        <v>APAGADO</v>
      </c>
      <c r="AF106" t="str">
        <f>ESTADISTICA!AF104</f>
        <v>APAGADO</v>
      </c>
      <c r="AG106" t="str">
        <f>ESTADISTICA!AG104</f>
        <v>APAGADO</v>
      </c>
      <c r="AH106" t="str">
        <f>ESTADISTICA!AH104</f>
        <v>APAGADO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 t="str">
        <f>ESTADISTICA!AD110</f>
        <v>APAGADO</v>
      </c>
      <c r="AE112" t="str">
        <f>ESTADISTICA!AE110</f>
        <v>APAGADO</v>
      </c>
      <c r="AF112" t="str">
        <f>ESTADISTICA!AF110</f>
        <v>APAGADO</v>
      </c>
      <c r="AG112" t="str">
        <f>ESTADISTICA!AG110</f>
        <v>APAGADO</v>
      </c>
      <c r="AH112" t="str">
        <f>ESTADISTICA!AH110</f>
        <v>APAGADO</v>
      </c>
      <c r="AI112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 t="str">
        <f>ESTADISTICA!AB131</f>
        <v>APAGADO</v>
      </c>
      <c r="AC133" t="str">
        <f>ESTADISTICA!AC131</f>
        <v>APAGADO</v>
      </c>
      <c r="AD133" t="str">
        <f>ESTADISTICA!AD131</f>
        <v>APAGADO</v>
      </c>
      <c r="AE133" t="str">
        <f>ESTADISTICA!AE131</f>
        <v>APAGADO</v>
      </c>
      <c r="AF133" t="str">
        <f>ESTADISTICA!AF131</f>
        <v>APAGADO</v>
      </c>
      <c r="AG133" t="str">
        <f>ESTADISTICA!AG131</f>
        <v>APAGADO</v>
      </c>
      <c r="AH133" t="str">
        <f>ESTADISTICA!AH131</f>
        <v>APAGADO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 t="str">
        <f>ESTADISTICA!AG134</f>
        <v>APAGADO</v>
      </c>
      <c r="AH136" t="str">
        <f>ESTADISTICA!AH134</f>
        <v>APAGADO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 t="str">
        <f>ESTADISTICA!AB153</f>
        <v>APAGADO</v>
      </c>
      <c r="AC155" t="str">
        <f>ESTADISTICA!AC153</f>
        <v>APAGADO</v>
      </c>
      <c r="AD155" t="str">
        <f>ESTADISTICA!AD153</f>
        <v>APAGADO</v>
      </c>
      <c r="AE155" t="str">
        <f>ESTADISTICA!AE153</f>
        <v>APAGADO</v>
      </c>
      <c r="AF155" t="str">
        <f>ESTADISTICA!AF153</f>
        <v>APAGADO</v>
      </c>
      <c r="AG155" t="str">
        <f>ESTADISTICA!AG153</f>
        <v>APAGADO</v>
      </c>
      <c r="AH155" t="str">
        <f>ESTADISTICA!AH153</f>
        <v>APAGADO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 t="str">
        <f>ESTADISTICA!AG154</f>
        <v>APAGADO</v>
      </c>
      <c r="AH156" t="str">
        <f>ESTADISTICA!AH154</f>
        <v>APAGADO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 t="str">
        <f>ESTADISTICA!AG155</f>
        <v>APAGADO</v>
      </c>
      <c r="AH157" t="str">
        <f>ESTADISTICA!AH155</f>
        <v>APAGADO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 t="str">
        <f>ESTADISTICA!AB160</f>
        <v>APAGADO</v>
      </c>
      <c r="AC162" t="str">
        <f>ESTADISTICA!AC160</f>
        <v>APAGADO</v>
      </c>
      <c r="AD162" t="str">
        <f>ESTADISTICA!AD160</f>
        <v>APAGADO</v>
      </c>
      <c r="AE162" t="str">
        <f>ESTADISTICA!AE160</f>
        <v>APAGADO</v>
      </c>
      <c r="AF162" t="str">
        <f>ESTADISTICA!AF160</f>
        <v>APAGADO</v>
      </c>
      <c r="AG162" t="str">
        <f>ESTADISTICA!AG160</f>
        <v>APAGADO</v>
      </c>
      <c r="AH162" t="str">
        <f>ESTADISTICA!AH160</f>
        <v>APAGADO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>
        <f>ESTADISTICA!AC163</f>
        <v>0</v>
      </c>
      <c r="AD165" t="str">
        <f>ESTADISTICA!AD163</f>
        <v>APAGADO</v>
      </c>
      <c r="AE165">
        <f>ESTADISTICA!AE163</f>
        <v>0</v>
      </c>
      <c r="AF165" t="str">
        <f>ESTADISTICA!AF163</f>
        <v>APAGADO</v>
      </c>
      <c r="AG165" t="str">
        <f>ESTADISTICA!AG163</f>
        <v>APAGADO</v>
      </c>
      <c r="AH165" t="str">
        <f>ESTADISTICA!AH163</f>
        <v>APAGADO</v>
      </c>
      <c r="AI165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 t="str">
        <f>ESTADISTICA!AG188</f>
        <v>APAGADO</v>
      </c>
      <c r="AH190" t="str">
        <f>ESTADISTICA!AH188</f>
        <v>APAGADO</v>
      </c>
      <c r="AI19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 t="str">
        <f>ESTADISTICA!AF207</f>
        <v>APAGADO</v>
      </c>
      <c r="AG209" t="str">
        <f>ESTADISTICA!AG207</f>
        <v>APAGADO</v>
      </c>
      <c r="AH209" t="str">
        <f>ESTADISTICA!AH207</f>
        <v>APAGADO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 t="str">
        <f>ESTADISTICA!AF208</f>
        <v>APAGADO</v>
      </c>
      <c r="AG210" t="str">
        <f>ESTADISTICA!AG208</f>
        <v>APAGADO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 t="str">
        <f>ESTADISTICA!AF209</f>
        <v>APAGADO</v>
      </c>
      <c r="AG211" t="str">
        <f>ESTADISTICA!AG209</f>
        <v>APAGADO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 t="str">
        <f>ESTADISTICA!AB210</f>
        <v>APAGADO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 t="str">
        <f>ESTADISTICA!AB211</f>
        <v>APAGADO</v>
      </c>
      <c r="AC213" t="str">
        <f>ESTADISTICA!AC211</f>
        <v>APAGADO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 t="str">
        <f>ESTADISTICA!AG213</f>
        <v>APAGADO</v>
      </c>
      <c r="AH215" t="str">
        <f>ESTADISTICA!AH213</f>
        <v>APAGADO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 t="str">
        <f>ESTADISTICA!AB214</f>
        <v>APAGADO</v>
      </c>
      <c r="AC216" t="str">
        <f>ESTADISTICA!AC214</f>
        <v>APAGADO</v>
      </c>
      <c r="AD216" t="str">
        <f>ESTADISTICA!AD214</f>
        <v>APAGADO</v>
      </c>
      <c r="AE216" t="str">
        <f>ESTADISTICA!AE214</f>
        <v>APAGADO</v>
      </c>
      <c r="AF216" t="str">
        <f>ESTADISTICA!AF214</f>
        <v>APAGADO</v>
      </c>
      <c r="AG216" t="str">
        <f>ESTADISTICA!AG214</f>
        <v>APAGADO</v>
      </c>
      <c r="AH216" t="str">
        <f>ESTADISTICA!AH214</f>
        <v>APAGADO</v>
      </c>
      <c r="AI216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str">
        <f>ESTADISTICA!AH219</f>
        <v>APAGADO</v>
      </c>
      <c r="AI221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 t="str">
        <f>ESTADISTICA!AG220</f>
        <v>APAGADO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 t="str">
        <f>ESTADISTICA!AB221</f>
        <v>APAGADO</v>
      </c>
      <c r="AC223" t="str">
        <f>ESTADISTICA!AC221</f>
        <v>APAGADO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 t="str">
        <f>ESTADISTICA!AG241</f>
        <v>APAGADO</v>
      </c>
      <c r="AH243" t="str">
        <f>ESTADISTICA!AH241</f>
        <v>APAGADO</v>
      </c>
      <c r="AI243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 t="str">
        <f>ESTADISTICA!AB242</f>
        <v>APAGADO</v>
      </c>
      <c r="AC244" t="str">
        <f>ESTADISTICA!AC242</f>
        <v>APAGADO</v>
      </c>
      <c r="AD244" t="str">
        <f>ESTADISTICA!AD242</f>
        <v>APAGADO</v>
      </c>
      <c r="AE244" t="str">
        <f>ESTADISTICA!AE242</f>
        <v>APAGADO</v>
      </c>
      <c r="AF244" t="str">
        <f>ESTADISTICA!AF242</f>
        <v>APAGADO</v>
      </c>
      <c r="AG244" t="str">
        <f>ESTADISTICA!AG242</f>
        <v>APAGADO</v>
      </c>
      <c r="AH244" t="str">
        <f>ESTADISTICA!AH242</f>
        <v>APAGADO</v>
      </c>
      <c r="AI244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 t="str">
        <f>ESTADISTICA!AB251</f>
        <v>APAGADO</v>
      </c>
      <c r="AC253" t="str">
        <f>ESTADISTICA!AC251</f>
        <v>APAGADO</v>
      </c>
      <c r="AD253" t="str">
        <f>ESTADISTICA!AD251</f>
        <v>APAGADO</v>
      </c>
      <c r="AE253" t="str">
        <f>ESTADISTICA!AE251</f>
        <v>APAGADO</v>
      </c>
      <c r="AF253" t="str">
        <f>ESTADISTICA!AF251</f>
        <v>APAGADO</v>
      </c>
      <c r="AG253" t="str">
        <f>ESTADISTICA!AG251</f>
        <v>APAGADO</v>
      </c>
      <c r="AH253" t="str">
        <f>ESTADISTICA!AH251</f>
        <v>APAGADO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 t="str">
        <f>ESTADISTICA!AB252</f>
        <v>APAGADO</v>
      </c>
      <c r="AC254" t="str">
        <f>ESTADISTICA!AC252</f>
        <v>APAGADO</v>
      </c>
      <c r="AD254" t="str">
        <f>ESTADISTICA!AD252</f>
        <v>APAGADO</v>
      </c>
      <c r="AE254" t="str">
        <f>ESTADISTICA!AE252</f>
        <v>APAGADO</v>
      </c>
      <c r="AF254" t="str">
        <f>ESTADISTICA!AF252</f>
        <v>APAGADO</v>
      </c>
      <c r="AG254">
        <f>ESTADISTICA!AG252</f>
        <v>0</v>
      </c>
      <c r="AH254" t="str">
        <f>ESTADISTICA!AH252</f>
        <v>APAGADO</v>
      </c>
      <c r="AI254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 t="str">
        <f>ESTADISTICA!AF274</f>
        <v>APAGADO</v>
      </c>
      <c r="AG276" t="str">
        <f>ESTADISTICA!AG274</f>
        <v>APAGADO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 t="str">
        <f>ESTADISTICA!AF275</f>
        <v>APAGADO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 t="str">
        <f>ESTADISTICA!AF277</f>
        <v>APAGADO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 t="str">
        <f>ESTADISTICA!AG286</f>
        <v>APAGADO</v>
      </c>
      <c r="AH288" t="str">
        <f>ESTADISTICA!AH286</f>
        <v>APAGADO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 t="str">
        <f>ESTADISTICA!AB287</f>
        <v>APAGADO</v>
      </c>
      <c r="AC289" t="str">
        <f>ESTADISTICA!AC287</f>
        <v>APAGADO</v>
      </c>
      <c r="AD289" t="str">
        <f>ESTADISTICA!AD287</f>
        <v>APAGADO</v>
      </c>
      <c r="AE289" t="str">
        <f>ESTADISTICA!AE287</f>
        <v>APAGADO</v>
      </c>
      <c r="AF289" t="str">
        <f>ESTADISTICA!AF287</f>
        <v>APAGADO</v>
      </c>
      <c r="AG289" t="str">
        <f>ESTADISTICA!AG287</f>
        <v>APAGADO</v>
      </c>
      <c r="AH289" t="str">
        <f>ESTADISTICA!AH287</f>
        <v>APAGADO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 t="str">
        <f>ESTADISTICA!AB288</f>
        <v>APAGADO</v>
      </c>
      <c r="AC290" t="str">
        <f>ESTADISTICA!AC288</f>
        <v>APAGADO</v>
      </c>
      <c r="AD290" t="str">
        <f>ESTADISTICA!AD288</f>
        <v>APAGADO</v>
      </c>
      <c r="AE290" t="str">
        <f>ESTADISTICA!AE288</f>
        <v>APAGADO</v>
      </c>
      <c r="AF290" t="str">
        <f>ESTADISTICA!AF288</f>
        <v>APAGADO</v>
      </c>
      <c r="AG290" t="str">
        <f>ESTADISTICA!AG288</f>
        <v>APAGADO</v>
      </c>
      <c r="AH290" t="str">
        <f>ESTADISTICA!AH288</f>
        <v>APAGADO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 t="str">
        <f>ESTADISTICA!AB289</f>
        <v>APAGADO</v>
      </c>
      <c r="AC291" t="str">
        <f>ESTADISTICA!AC289</f>
        <v>APAGADO</v>
      </c>
      <c r="AD291" t="str">
        <f>ESTADISTICA!AD289</f>
        <v>APAGADO</v>
      </c>
      <c r="AE291" t="str">
        <f>ESTADISTICA!AE289</f>
        <v>APAGADO</v>
      </c>
      <c r="AF291" t="str">
        <f>ESTADISTICA!AF289</f>
        <v>APAGADO</v>
      </c>
      <c r="AG291" t="str">
        <f>ESTADISTICA!AG289</f>
        <v>APAGADO</v>
      </c>
      <c r="AH291" t="str">
        <f>ESTADISTICA!AH289</f>
        <v>APAGADO</v>
      </c>
      <c r="AI291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 t="str">
        <f>ESTADISTICA!AH293</f>
        <v>APAGADO</v>
      </c>
      <c r="AI295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 t="str">
        <f>ESTADISTICA!AE294</f>
        <v>APAGADO</v>
      </c>
      <c r="AF296" t="str">
        <f>ESTADISTICA!AF294</f>
        <v>APAGADO</v>
      </c>
      <c r="AG296">
        <f>ESTADISTICA!AG294</f>
        <v>0</v>
      </c>
      <c r="AH296" t="str">
        <f>ESTADISTICA!AH294</f>
        <v>APAGADO</v>
      </c>
      <c r="AI296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 t="str">
        <f>ESTADISTICA!AB324</f>
        <v>APAGADO</v>
      </c>
      <c r="AC326" t="str">
        <f>ESTADISTICA!AC324</f>
        <v>APAGADO</v>
      </c>
      <c r="AD326" t="str">
        <f>ESTADISTICA!AD324</f>
        <v>APAGADO</v>
      </c>
      <c r="AE326" t="str">
        <f>ESTADISTICA!AE324</f>
        <v>APAGADO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 t="str">
        <f>ESTADISTICA!AC325</f>
        <v>APAGADO</v>
      </c>
      <c r="AD327" t="str">
        <f>ESTADISTICA!AD325</f>
        <v>APAGADO</v>
      </c>
      <c r="AE327" t="str">
        <f>ESTADISTICA!AE325</f>
        <v>APAGADO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 t="str">
        <f>ESTADISTICA!AB345</f>
        <v>APAGADO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str">
        <f>ESTADISTICA!AH345</f>
        <v>APAGADO</v>
      </c>
      <c r="AI347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str">
        <f>ESTADISTICA!AH353</f>
        <v>APAGADO</v>
      </c>
      <c r="AI355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 t="str">
        <f>ESTADISTICA!AB354</f>
        <v>APAGADO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str">
        <f>ESTADISTICA!AH354</f>
        <v>APAGADO</v>
      </c>
      <c r="AI356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 t="str">
        <f>ESTADISTICA!AC358</f>
        <v>APAGADO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 t="str">
        <f>ESTADISTICA!AC359</f>
        <v>APAGADO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Rio Carapachay y Oroño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OROÑO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OROÑO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 t="str">
        <f>ESTADISTICA!AF382</f>
        <v>APAGADO</v>
      </c>
      <c r="AG384" s="51" t="str">
        <f>ESTADISTICA!AG382</f>
        <v>APAGADO</v>
      </c>
      <c r="AH384" s="51" t="str">
        <f>ESTADISTICA!AH382</f>
        <v>APAGADO</v>
      </c>
      <c r="AI384" s="51">
        <f>ESTADISTICA!AI382</f>
        <v>0</v>
      </c>
    </row>
    <row r="385" spans="1:35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 t="str">
        <f>ESTADISTICA!AF383</f>
        <v>APAGADO</v>
      </c>
      <c r="AG385" s="51" t="str">
        <f>ESTADISTICA!AG383</f>
        <v>APAGADO</v>
      </c>
      <c r="AH385" s="51" t="str">
        <f>ESTADISTICA!AH383</f>
        <v>APAGADO</v>
      </c>
      <c r="AI385" s="51">
        <f>ESTADISTICA!AI383</f>
        <v>0</v>
      </c>
    </row>
    <row r="386" spans="1:35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 t="str">
        <f>ESTADISTICA!AF384</f>
        <v>APAGADO</v>
      </c>
      <c r="AG386" s="51" t="str">
        <f>ESTADISTICA!AG384</f>
        <v>APAGADO</v>
      </c>
      <c r="AH386" s="51" t="str">
        <f>ESTADISTICA!AH384</f>
        <v>APAGADO</v>
      </c>
      <c r="AI386" s="51">
        <f>ESTADISTICA!AI384</f>
        <v>0</v>
      </c>
    </row>
    <row r="387" spans="1:35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 t="str">
        <f>ESTADISTICA!AF385</f>
        <v>APAGADO</v>
      </c>
      <c r="AG387" s="51" t="str">
        <f>ESTADISTICA!AG385</f>
        <v>APAGADO</v>
      </c>
      <c r="AH387" s="51" t="str">
        <f>ESTADISTICA!AH385</f>
        <v>APAGADO</v>
      </c>
      <c r="AI387" s="51">
        <f>ESTADISTICA!AI385</f>
        <v>0</v>
      </c>
    </row>
    <row r="388" spans="1:35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/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abSelected="1" topLeftCell="A28" workbookViewId="0">
      <selection activeCell="G54" sqref="G54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" thickTop="1" x14ac:dyDescent="0.3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1174</v>
      </c>
      <c r="M16" s="140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1175</v>
      </c>
      <c r="M18" s="141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" thickTop="1" x14ac:dyDescent="0.3">
      <c r="A22" s="58" t="s">
        <v>1004</v>
      </c>
      <c r="B22" s="69">
        <v>392</v>
      </c>
      <c r="C22" s="65"/>
      <c r="D22" s="62"/>
      <c r="E22" s="143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" thickTop="1" x14ac:dyDescent="0.3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3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" thickBot="1" x14ac:dyDescent="0.35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5.6" thickTop="1" thickBot="1" x14ac:dyDescent="0.35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5.6" thickTop="1" thickBot="1" x14ac:dyDescent="0.35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1172</v>
      </c>
      <c r="I31" s="104" t="s">
        <v>1180</v>
      </c>
      <c r="J31" s="104" t="s">
        <v>15</v>
      </c>
      <c r="K31" s="104" t="s">
        <v>629</v>
      </c>
      <c r="L31" s="105" t="s">
        <v>931</v>
      </c>
      <c r="M31" s="106" t="s">
        <v>1187</v>
      </c>
      <c r="N31" s="138">
        <v>44790</v>
      </c>
    </row>
    <row r="32" spans="1:14" ht="15" thickTop="1" x14ac:dyDescent="0.3">
      <c r="A32" s="58" t="s">
        <v>1004</v>
      </c>
      <c r="B32" s="69">
        <v>392</v>
      </c>
      <c r="C32" s="65"/>
      <c r="D32" s="62"/>
      <c r="E32" s="143">
        <v>44796</v>
      </c>
      <c r="G32" s="107" t="s">
        <v>555</v>
      </c>
      <c r="H32" s="97" t="s">
        <v>1172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" thickBot="1" x14ac:dyDescent="0.35">
      <c r="A33" s="59" t="s">
        <v>6</v>
      </c>
      <c r="B33" s="70">
        <v>36</v>
      </c>
      <c r="C33" s="66">
        <v>36</v>
      </c>
      <c r="D33" s="63">
        <f>C33/B32</f>
        <v>9.1836734693877556E-2</v>
      </c>
      <c r="E33" s="144"/>
      <c r="G33" s="134" t="s">
        <v>557</v>
      </c>
      <c r="H33" s="135" t="s">
        <v>1172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" thickTop="1" x14ac:dyDescent="0.3">
      <c r="A34" s="59" t="s">
        <v>1006</v>
      </c>
      <c r="B34" s="70">
        <v>3</v>
      </c>
      <c r="C34" s="66">
        <f>B33-B34</f>
        <v>33</v>
      </c>
      <c r="D34" s="63">
        <f>C34/B32</f>
        <v>8.4183673469387751E-2</v>
      </c>
      <c r="E34" s="144"/>
      <c r="G34" s="52"/>
      <c r="H34" s="51"/>
      <c r="I34" s="51"/>
      <c r="J34" s="51"/>
      <c r="K34" s="16"/>
      <c r="L34" s="83"/>
    </row>
    <row r="35" spans="1:14" x14ac:dyDescent="0.3">
      <c r="A35" s="59" t="s">
        <v>1005</v>
      </c>
      <c r="B35" s="70">
        <v>2</v>
      </c>
      <c r="C35" s="66">
        <f>C34-B35</f>
        <v>31</v>
      </c>
      <c r="D35" s="63">
        <f>C35/B32</f>
        <v>7.9081632653061229E-2</v>
      </c>
      <c r="E35" s="144"/>
      <c r="G35" s="52"/>
      <c r="H35" s="51"/>
      <c r="I35" s="51"/>
      <c r="J35" s="51"/>
      <c r="K35" s="16"/>
      <c r="L35" s="83"/>
    </row>
    <row r="36" spans="1:14" ht="15" thickBot="1" x14ac:dyDescent="0.35">
      <c r="A36" s="60" t="s">
        <v>16</v>
      </c>
      <c r="B36" s="71">
        <v>4</v>
      </c>
      <c r="C36" s="67">
        <f>C35-B36</f>
        <v>27</v>
      </c>
      <c r="D36" s="64">
        <f>C36/B32</f>
        <v>6.8877551020408156E-2</v>
      </c>
      <c r="E36" s="145"/>
      <c r="G36" s="52"/>
      <c r="H36" s="51"/>
      <c r="I36" s="51"/>
      <c r="J36" s="51"/>
      <c r="K36" s="16"/>
      <c r="L36" s="83"/>
    </row>
    <row r="37" spans="1:14" ht="15" thickTop="1" x14ac:dyDescent="0.3">
      <c r="A37" s="58" t="s">
        <v>1004</v>
      </c>
      <c r="B37" s="69">
        <v>392</v>
      </c>
      <c r="C37" s="65"/>
      <c r="D37" s="62"/>
      <c r="E37" s="143">
        <v>44797</v>
      </c>
      <c r="G37" s="52"/>
      <c r="H37" s="51"/>
      <c r="I37" s="51"/>
      <c r="J37" s="51"/>
      <c r="K37" s="16"/>
      <c r="L37" s="83"/>
    </row>
    <row r="38" spans="1:14" x14ac:dyDescent="0.3">
      <c r="A38" s="59" t="s">
        <v>6</v>
      </c>
      <c r="B38" s="70">
        <v>30</v>
      </c>
      <c r="C38" s="66">
        <v>30</v>
      </c>
      <c r="D38" s="63">
        <f>C38/B37</f>
        <v>7.6530612244897961E-2</v>
      </c>
      <c r="E38" s="144"/>
      <c r="G38" s="52"/>
      <c r="H38" s="51"/>
      <c r="I38" s="51"/>
      <c r="J38" s="51"/>
      <c r="K38" s="16"/>
      <c r="L38" s="84"/>
    </row>
    <row r="39" spans="1:14" ht="15" thickBot="1" x14ac:dyDescent="0.35">
      <c r="A39" s="59" t="s">
        <v>1006</v>
      </c>
      <c r="B39" s="70">
        <v>3</v>
      </c>
      <c r="C39" s="66">
        <f>B38-B39</f>
        <v>27</v>
      </c>
      <c r="D39" s="63">
        <f>C39/B37</f>
        <v>6.8877551020408156E-2</v>
      </c>
      <c r="E39" s="144"/>
    </row>
    <row r="40" spans="1:14" ht="15" thickTop="1" x14ac:dyDescent="0.3">
      <c r="A40" s="59" t="s">
        <v>1005</v>
      </c>
      <c r="B40" s="70">
        <v>2</v>
      </c>
      <c r="C40" s="66">
        <f>C39-B40</f>
        <v>25</v>
      </c>
      <c r="D40" s="63">
        <f>C40/B37</f>
        <v>6.3775510204081634E-2</v>
      </c>
      <c r="E40" s="144"/>
      <c r="G40" s="72"/>
      <c r="H40" s="73"/>
      <c r="I40" s="73"/>
      <c r="J40" s="73"/>
      <c r="K40" s="74"/>
      <c r="L40" s="75"/>
      <c r="M40" s="140"/>
    </row>
    <row r="41" spans="1:14" ht="15" thickBot="1" x14ac:dyDescent="0.35">
      <c r="A41" s="60" t="s">
        <v>16</v>
      </c>
      <c r="B41" s="71">
        <v>4</v>
      </c>
      <c r="C41" s="67">
        <f>C40-B41</f>
        <v>21</v>
      </c>
      <c r="D41" s="64">
        <f>C41/B37</f>
        <v>5.3571428571428568E-2</v>
      </c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3">
      <c r="A42" s="58" t="s">
        <v>1004</v>
      </c>
      <c r="B42" s="69">
        <v>392</v>
      </c>
      <c r="C42" s="65"/>
      <c r="D42" s="62"/>
      <c r="E42" s="143">
        <v>44798</v>
      </c>
      <c r="G42" s="76"/>
      <c r="H42" s="77"/>
      <c r="I42" s="77"/>
      <c r="J42" s="77"/>
      <c r="K42" s="78"/>
      <c r="L42" s="79"/>
      <c r="M42" s="141"/>
    </row>
    <row r="43" spans="1:14" x14ac:dyDescent="0.3">
      <c r="A43" s="59" t="s">
        <v>6</v>
      </c>
      <c r="B43" s="70">
        <v>30</v>
      </c>
      <c r="C43" s="66">
        <v>30</v>
      </c>
      <c r="D43" s="63">
        <f>C43/B42</f>
        <v>7.6530612244897961E-2</v>
      </c>
      <c r="E43" s="144"/>
      <c r="G43" s="76"/>
      <c r="H43" s="77"/>
      <c r="I43" s="77"/>
      <c r="J43" s="77"/>
      <c r="K43" s="78"/>
      <c r="L43" s="79"/>
      <c r="M43" s="141"/>
    </row>
    <row r="44" spans="1:14" x14ac:dyDescent="0.3">
      <c r="A44" s="59" t="s">
        <v>1006</v>
      </c>
      <c r="B44" s="70">
        <v>3</v>
      </c>
      <c r="C44" s="66">
        <f>B43-B44</f>
        <v>27</v>
      </c>
      <c r="D44" s="63">
        <f>C44/B42</f>
        <v>6.8877551020408156E-2</v>
      </c>
      <c r="E44" s="144"/>
      <c r="G44" s="76"/>
      <c r="H44" s="77"/>
      <c r="I44" s="77"/>
      <c r="J44" s="77"/>
      <c r="K44" s="78"/>
      <c r="L44" s="79"/>
      <c r="M44" s="141"/>
    </row>
    <row r="45" spans="1:14" ht="15" thickBot="1" x14ac:dyDescent="0.35">
      <c r="A45" s="59" t="s">
        <v>1005</v>
      </c>
      <c r="B45" s="70">
        <v>2</v>
      </c>
      <c r="C45" s="66">
        <f>C44-B45</f>
        <v>25</v>
      </c>
      <c r="D45" s="63">
        <f>C45/B42</f>
        <v>6.3775510204081634E-2</v>
      </c>
      <c r="E45" s="144"/>
      <c r="G45" s="80"/>
      <c r="H45" s="81"/>
      <c r="I45" s="81"/>
      <c r="J45" s="81"/>
      <c r="K45" s="81"/>
      <c r="L45" s="82"/>
      <c r="M45" s="142"/>
    </row>
    <row r="46" spans="1:14" ht="15.6" thickTop="1" thickBot="1" x14ac:dyDescent="0.35">
      <c r="A46" s="60" t="s">
        <v>16</v>
      </c>
      <c r="B46" s="71">
        <v>4</v>
      </c>
      <c r="C46" s="67">
        <f>C45-B46</f>
        <v>21</v>
      </c>
      <c r="D46" s="64">
        <f>C46/B42</f>
        <v>5.3571428571428568E-2</v>
      </c>
      <c r="E46" s="145"/>
    </row>
    <row r="47" spans="1:14" ht="15" thickTop="1" x14ac:dyDescent="0.3">
      <c r="A47" s="58" t="s">
        <v>1004</v>
      </c>
      <c r="B47" s="69">
        <v>392</v>
      </c>
      <c r="C47" s="65"/>
      <c r="D47" s="62"/>
      <c r="E47" s="143">
        <v>44802</v>
      </c>
      <c r="G47" s="52"/>
      <c r="H47" s="51"/>
      <c r="I47" s="51"/>
      <c r="J47" s="51"/>
      <c r="K47" s="16"/>
      <c r="L47" s="83"/>
    </row>
    <row r="48" spans="1:14" x14ac:dyDescent="0.3">
      <c r="A48" s="59" t="s">
        <v>6</v>
      </c>
      <c r="B48" s="70">
        <v>42</v>
      </c>
      <c r="C48" s="66">
        <v>42</v>
      </c>
      <c r="D48" s="63">
        <f>C48/B47</f>
        <v>0.10714285714285714</v>
      </c>
      <c r="E48" s="144"/>
      <c r="G48" s="52"/>
      <c r="H48" s="51"/>
      <c r="I48" s="51"/>
      <c r="J48" s="51"/>
      <c r="K48" s="16"/>
      <c r="L48" s="83"/>
    </row>
    <row r="49" spans="1:12" x14ac:dyDescent="0.3">
      <c r="A49" s="59" t="s">
        <v>1006</v>
      </c>
      <c r="B49" s="70">
        <v>3</v>
      </c>
      <c r="C49" s="66">
        <f>B48-B49</f>
        <v>39</v>
      </c>
      <c r="D49" s="63">
        <f>C49/B47</f>
        <v>9.9489795918367346E-2</v>
      </c>
      <c r="E49" s="144"/>
      <c r="G49" s="52"/>
      <c r="H49" s="51"/>
      <c r="I49" s="51"/>
      <c r="J49" s="51"/>
      <c r="K49" s="16"/>
      <c r="L49" s="83"/>
    </row>
    <row r="50" spans="1:12" x14ac:dyDescent="0.3">
      <c r="A50" s="59" t="s">
        <v>1005</v>
      </c>
      <c r="B50" s="70">
        <v>2</v>
      </c>
      <c r="C50" s="66">
        <f>C49-B50</f>
        <v>37</v>
      </c>
      <c r="D50" s="63">
        <f>C50/B47</f>
        <v>9.438775510204081E-2</v>
      </c>
      <c r="E50" s="144"/>
      <c r="G50" s="52"/>
      <c r="H50" s="51"/>
      <c r="I50" s="51"/>
      <c r="J50" s="51"/>
      <c r="K50" s="16"/>
      <c r="L50" s="83"/>
    </row>
    <row r="51" spans="1:12" ht="15" thickBot="1" x14ac:dyDescent="0.35">
      <c r="A51" s="60" t="s">
        <v>16</v>
      </c>
      <c r="B51" s="71">
        <v>5</v>
      </c>
      <c r="C51" s="66">
        <f>C50-B51</f>
        <v>32</v>
      </c>
      <c r="D51" s="64">
        <f>C51/B47</f>
        <v>8.1632653061224483E-2</v>
      </c>
      <c r="E51" s="145"/>
      <c r="G51" s="52"/>
      <c r="H51" s="51"/>
      <c r="I51" s="51"/>
      <c r="J51" s="51"/>
      <c r="K51" s="16"/>
      <c r="L51" s="83"/>
    </row>
    <row r="52" spans="1:12" ht="15" thickTop="1" x14ac:dyDescent="0.3">
      <c r="A52" s="58"/>
      <c r="B52" s="69"/>
      <c r="C52" s="65"/>
      <c r="D52" s="62"/>
      <c r="E52" s="143"/>
      <c r="G52" s="52"/>
      <c r="H52" s="51"/>
      <c r="I52" s="51"/>
      <c r="J52" s="51"/>
      <c r="K52" s="16"/>
      <c r="L52" s="83"/>
    </row>
    <row r="53" spans="1:12" x14ac:dyDescent="0.3">
      <c r="A53" s="59"/>
      <c r="B53" s="70"/>
      <c r="C53" s="66"/>
      <c r="D53" s="63"/>
      <c r="E53" s="144"/>
      <c r="G53" s="52"/>
      <c r="H53" s="51"/>
      <c r="I53" s="51"/>
      <c r="J53" s="51"/>
      <c r="K53" s="16"/>
      <c r="L53" s="83"/>
    </row>
    <row r="54" spans="1:12" x14ac:dyDescent="0.3">
      <c r="A54" s="59"/>
      <c r="B54" s="70"/>
      <c r="C54" s="66"/>
      <c r="D54" s="63"/>
      <c r="E54" s="144"/>
    </row>
    <row r="55" spans="1:12" x14ac:dyDescent="0.3">
      <c r="A55" s="59"/>
      <c r="B55" s="70"/>
      <c r="C55" s="66"/>
      <c r="D55" s="63"/>
      <c r="E55" s="144"/>
    </row>
    <row r="56" spans="1:12" ht="15" thickBot="1" x14ac:dyDescent="0.35">
      <c r="A56" s="60"/>
      <c r="B56" s="71"/>
      <c r="C56" s="67"/>
      <c r="D56" s="64"/>
      <c r="E56" s="145"/>
    </row>
    <row r="57" spans="1:12" ht="15" thickTop="1" x14ac:dyDescent="0.3">
      <c r="A57" s="58"/>
      <c r="B57" s="69"/>
      <c r="C57" s="65"/>
      <c r="D57" s="62"/>
      <c r="E57" s="143"/>
    </row>
    <row r="58" spans="1:12" x14ac:dyDescent="0.3">
      <c r="A58" s="59"/>
      <c r="B58" s="70"/>
      <c r="C58" s="66"/>
      <c r="D58" s="63"/>
      <c r="E58" s="144"/>
    </row>
    <row r="59" spans="1:12" x14ac:dyDescent="0.3">
      <c r="A59" s="59"/>
      <c r="B59" s="70"/>
      <c r="C59" s="66"/>
      <c r="D59" s="63"/>
      <c r="E59" s="144"/>
    </row>
    <row r="60" spans="1:12" x14ac:dyDescent="0.3">
      <c r="A60" s="59"/>
      <c r="B60" s="70"/>
      <c r="C60" s="66"/>
      <c r="D60" s="63"/>
      <c r="E60" s="144"/>
    </row>
    <row r="61" spans="1:12" ht="15" thickBot="1" x14ac:dyDescent="0.35">
      <c r="A61" s="60"/>
      <c r="B61" s="71"/>
      <c r="C61" s="67"/>
      <c r="D61" s="64"/>
      <c r="E61" s="145"/>
    </row>
    <row r="62" spans="1:12" ht="15" thickTop="1" x14ac:dyDescent="0.3"/>
  </sheetData>
  <mergeCells count="18">
    <mergeCell ref="E47:E51"/>
    <mergeCell ref="E52:E56"/>
    <mergeCell ref="E57:E61"/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7" workbookViewId="0">
      <selection activeCell="E30" sqref="E30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3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3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3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3">
      <c r="A24" s="25">
        <f>'APAGADOS RADIO'!AB3</f>
        <v>44796</v>
      </c>
      <c r="B24" s="51">
        <f>'APAGADOS RADIO'!AB2+D24</f>
        <v>6</v>
      </c>
      <c r="C24" s="51">
        <f>'APAGADOS FIBRA'!AB2</f>
        <v>30</v>
      </c>
      <c r="D24" s="51">
        <f>'APAGADOS ANTENA'!AB2</f>
        <v>2</v>
      </c>
      <c r="E24" s="51">
        <f t="shared" ref="E24" si="27">B24+C24</f>
        <v>36</v>
      </c>
      <c r="F24" s="51">
        <f>'RESUMEN TOTAL'!B1</f>
        <v>392</v>
      </c>
      <c r="G24" s="55">
        <f t="shared" ref="G24" si="28">E24/F24</f>
        <v>9.1836734693877556E-2</v>
      </c>
    </row>
    <row r="25" spans="1:7" x14ac:dyDescent="0.3">
      <c r="A25" s="25">
        <f>'APAGADOS RADIO'!AC3</f>
        <v>44797</v>
      </c>
      <c r="B25" s="51">
        <f>'APAGADOS RADIO'!AC2+D25</f>
        <v>5</v>
      </c>
      <c r="C25" s="51">
        <f>'APAGADOS FIBRA'!AC2</f>
        <v>25</v>
      </c>
      <c r="D25" s="51">
        <f>'APAGADOS ANTENA'!AC2</f>
        <v>1</v>
      </c>
      <c r="E25" s="51">
        <f t="shared" ref="E25" si="29">B25+C25</f>
        <v>30</v>
      </c>
      <c r="F25" s="51">
        <f>'RESUMEN TOTAL'!B1</f>
        <v>392</v>
      </c>
      <c r="G25" s="55">
        <f t="shared" ref="G25" si="30">E25/F25</f>
        <v>7.6530612244897961E-2</v>
      </c>
    </row>
    <row r="26" spans="1:7" x14ac:dyDescent="0.3">
      <c r="A26" s="25">
        <f>'APAGADOS RADIO'!AD3</f>
        <v>44798</v>
      </c>
      <c r="B26" s="51">
        <f>'APAGADOS RADIO'!AD2+D26</f>
        <v>6</v>
      </c>
      <c r="C26" s="51">
        <f>'APAGADOS FIBRA'!AD2</f>
        <v>24</v>
      </c>
      <c r="D26" s="51">
        <f>'APAGADOS ANTENA'!AD2</f>
        <v>2</v>
      </c>
      <c r="E26" s="51">
        <f t="shared" ref="E26" si="31">B26+C26</f>
        <v>30</v>
      </c>
      <c r="F26" s="51">
        <f>'RESUMEN TOTAL'!B1</f>
        <v>392</v>
      </c>
      <c r="G26" s="55">
        <f t="shared" ref="G26" si="32">E26/F26</f>
        <v>7.6530612244897961E-2</v>
      </c>
    </row>
    <row r="27" spans="1:7" x14ac:dyDescent="0.3">
      <c r="A27" s="25">
        <f>'APAGADOS RADIO'!AE3</f>
        <v>44799</v>
      </c>
      <c r="B27" s="51">
        <f>'APAGADOS RADIO'!AE2+D27</f>
        <v>8</v>
      </c>
      <c r="C27" s="51">
        <f>'APAGADOS FIBRA'!AE2</f>
        <v>25</v>
      </c>
      <c r="D27" s="51">
        <f>'APAGADOS ANTENA'!AE2</f>
        <v>2</v>
      </c>
      <c r="E27" s="51">
        <f t="shared" ref="E27:E30" si="33">B27+C27</f>
        <v>33</v>
      </c>
      <c r="F27" s="51">
        <f>'RESUMEN TOTAL'!B1</f>
        <v>392</v>
      </c>
      <c r="G27" s="55">
        <f t="shared" ref="G27:G30" si="34">E27/F27</f>
        <v>8.4183673469387751E-2</v>
      </c>
    </row>
    <row r="28" spans="1:7" x14ac:dyDescent="0.3">
      <c r="A28" s="25">
        <f>'APAGADOS RADIO'!AF3</f>
        <v>44800</v>
      </c>
      <c r="B28" s="51">
        <f>'APAGADOS RADIO'!AF2+D28</f>
        <v>8</v>
      </c>
      <c r="C28" s="51">
        <f>'APAGADOS FIBRA'!AF2</f>
        <v>34</v>
      </c>
      <c r="D28" s="51">
        <f>'APAGADOS ANTENA'!AF2</f>
        <v>4</v>
      </c>
      <c r="E28" s="51">
        <f t="shared" si="33"/>
        <v>42</v>
      </c>
      <c r="F28" s="51">
        <f>'RESUMEN TOTAL'!B1</f>
        <v>392</v>
      </c>
      <c r="G28" s="55">
        <f t="shared" si="34"/>
        <v>0.10714285714285714</v>
      </c>
    </row>
    <row r="29" spans="1:7" x14ac:dyDescent="0.3">
      <c r="A29" s="25">
        <f>'APAGADOS RADIO'!AG3</f>
        <v>44801</v>
      </c>
      <c r="B29" s="51">
        <f>'APAGADOS RADIO'!AG2+D29</f>
        <v>7</v>
      </c>
      <c r="C29" s="51">
        <f>'APAGADOS FIBRA'!AG2</f>
        <v>31</v>
      </c>
      <c r="D29" s="51">
        <f>'APAGADOS ANTENA'!AG2</f>
        <v>3</v>
      </c>
      <c r="E29" s="51">
        <f t="shared" si="33"/>
        <v>38</v>
      </c>
      <c r="F29" s="51">
        <f>'RESUMEN TOTAL'!B1</f>
        <v>392</v>
      </c>
      <c r="G29" s="55">
        <f t="shared" si="34"/>
        <v>9.6938775510204078E-2</v>
      </c>
    </row>
    <row r="30" spans="1:7" x14ac:dyDescent="0.3">
      <c r="A30" s="25">
        <f>'APAGADOS RADIO'!AH3</f>
        <v>44802</v>
      </c>
      <c r="B30" s="51">
        <f>'APAGADOS RADIO'!AH2+D30</f>
        <v>7</v>
      </c>
      <c r="C30" s="51">
        <f>'APAGADOS FIBRA'!AH2</f>
        <v>35</v>
      </c>
      <c r="D30" s="51">
        <f>'APAGADOS ANTENA'!AH2</f>
        <v>2</v>
      </c>
      <c r="E30" s="51">
        <f t="shared" si="33"/>
        <v>42</v>
      </c>
      <c r="F30" s="51">
        <f>'RESUMEN TOTAL'!B1</f>
        <v>392</v>
      </c>
      <c r="G30" s="55">
        <f t="shared" si="34"/>
        <v>0.10714285714285714</v>
      </c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E10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1182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1171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1171</v>
      </c>
      <c r="E3" s="122" t="s">
        <v>1183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27</v>
      </c>
      <c r="AC3" s="125">
        <f>COUNTIFS('RESUMEN TOTAL'!C5:C396, "=BONOMO",'RESUMEN TOTAL'!AH5:AH396,"=APAGADO")</f>
        <v>22</v>
      </c>
      <c r="AD3" s="125">
        <f>COUNTIFS('RESUMEN TOTAL'!C5:C396, "=BONOMO",'RESUMEN TOTAL'!AI5:AI396,"=APAGADO")</f>
        <v>23</v>
      </c>
      <c r="AE3" s="125">
        <f>COUNTIFS('RESUMEN TOTAL'!C5:C396, "=BONOMO",'RESUMEN TOTAL'!AJ5:AJ396,"=APAGADO")</f>
        <v>25</v>
      </c>
      <c r="AF3" s="125">
        <f>COUNTIFS('RESUMEN TOTAL'!C5:C396, "=BONOMO",'RESUMEN TOTAL'!AK5:AK396,"=APAGADO")</f>
        <v>25</v>
      </c>
      <c r="AG3" s="125">
        <f>COUNTIFS('RESUMEN TOTAL'!C5:C396, "=BONOMO",'RESUMEN TOTAL'!AL5:AL396,"=APAGADO")</f>
        <v>24</v>
      </c>
      <c r="AH3" s="125">
        <f>COUNTIFS('RESUMEN TOTAL'!C5:C396, "=BONOMO",'RESUMEN TOTAL'!AM5:AM396,"=APAGADO")</f>
        <v>30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1172</v>
      </c>
      <c r="B4" s="118">
        <f>COUNTIFS('RESUMEN TOTAL'!C5:C396,"=COSEIDI")</f>
        <v>180</v>
      </c>
      <c r="D4" s="116"/>
      <c r="E4" s="114" t="s">
        <v>1185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0.12735849056603774</v>
      </c>
      <c r="AC4" s="132">
        <f t="shared" si="0"/>
        <v>0.10377358490566038</v>
      </c>
      <c r="AD4" s="132">
        <f t="shared" si="0"/>
        <v>0.10849056603773585</v>
      </c>
      <c r="AE4" s="132">
        <f t="shared" si="0"/>
        <v>0.11792452830188679</v>
      </c>
      <c r="AF4" s="132">
        <f t="shared" si="0"/>
        <v>0.11792452830188679</v>
      </c>
      <c r="AG4" s="132">
        <f t="shared" si="0"/>
        <v>0.11320754716981132</v>
      </c>
      <c r="AH4" s="132">
        <f t="shared" si="0"/>
        <v>0.14150943396226415</v>
      </c>
      <c r="AI4" s="132">
        <f t="shared" si="0"/>
        <v>0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1172</v>
      </c>
      <c r="E5" s="126" t="s">
        <v>1184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9</v>
      </c>
      <c r="AC5" s="127">
        <f>COUNTIFS('RESUMEN TOTAL'!C7:C398, "=COSEIDI",'RESUMEN TOTAL'!AH7:AH398,"=APAGADO")</f>
        <v>8</v>
      </c>
      <c r="AD5" s="127">
        <f>COUNTIFS('RESUMEN TOTAL'!C7:C398, "=COSEIDI",'RESUMEN TOTAL'!AI7:AI398,"=APAGADO")</f>
        <v>7</v>
      </c>
      <c r="AE5" s="127">
        <f>COUNTIFS('RESUMEN TOTAL'!C7:C398, "=COSEIDI",'RESUMEN TOTAL'!AJ7:AJ398,"=APAGADO")</f>
        <v>8</v>
      </c>
      <c r="AF5" s="127">
        <f>COUNTIFS('RESUMEN TOTAL'!C7:C398, "=COSEIDI",'RESUMEN TOTAL'!AK7:AK398,"=APAGADO")</f>
        <v>17</v>
      </c>
      <c r="AG5" s="127">
        <f>COUNTIFS('RESUMEN TOTAL'!C7:C398, "=COSEIDI",'RESUMEN TOTAL'!AL7:AL398,"=APAGADO")</f>
        <v>14</v>
      </c>
      <c r="AH5" s="127">
        <f>COUNTIFS('RESUMEN TOTAL'!C7:C398, "=COSEIDI",'RESUMEN TOTAL'!AM7:AM398,"=APAGADO")</f>
        <v>12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1186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0.05</v>
      </c>
      <c r="AC6" s="131">
        <f t="shared" si="2"/>
        <v>4.4444444444444446E-2</v>
      </c>
      <c r="AD6" s="131">
        <f t="shared" si="2"/>
        <v>3.888888888888889E-2</v>
      </c>
      <c r="AE6" s="131">
        <f t="shared" si="2"/>
        <v>4.4444444444444446E-2</v>
      </c>
      <c r="AF6" s="113">
        <f t="shared" si="2"/>
        <v>9.4444444444444442E-2</v>
      </c>
      <c r="AG6" s="113">
        <f t="shared" si="2"/>
        <v>7.7777777777777779E-2</v>
      </c>
      <c r="AH6" s="113">
        <f t="shared" si="2"/>
        <v>6.6666666666666666E-2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2022-08-29T18:16:42Z</dcterms:modified>
</cp:coreProperties>
</file>