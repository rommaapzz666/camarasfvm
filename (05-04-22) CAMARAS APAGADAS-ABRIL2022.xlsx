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13_ncr:1_{F9F99474-703F-41A7-ABAA-88D012905778}" xr6:coauthVersionLast="47" xr6:coauthVersionMax="47" xr10:uidLastSave="{00000000-0000-0000-0000-000000000000}"/>
  <bookViews>
    <workbookView xWindow="28680" yWindow="-120" windowWidth="29040" windowHeight="16440" firstSheet="3" activeTab="11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4" l="1"/>
  <c r="B5" i="14"/>
  <c r="C6" i="14"/>
  <c r="C5" i="14"/>
  <c r="D6" i="14"/>
  <c r="D5" i="14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N247" i="2" s="1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N262" i="2" s="1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N279" i="2" s="1"/>
  <c r="M280" i="2"/>
  <c r="M281" i="2"/>
  <c r="M282" i="2"/>
  <c r="M283" i="2"/>
  <c r="M284" i="2"/>
  <c r="N284" i="2" s="1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N324" i="2" s="1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N343" i="2" s="1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1" i="2"/>
  <c r="N264" i="2"/>
  <c r="N265" i="2"/>
  <c r="N266" i="2"/>
  <c r="N267" i="2"/>
  <c r="N269" i="2"/>
  <c r="N272" i="2"/>
  <c r="N273" i="2"/>
  <c r="N274" i="2"/>
  <c r="N275" i="2"/>
  <c r="N277" i="2"/>
  <c r="N280" i="2"/>
  <c r="N281" i="2"/>
  <c r="N282" i="2"/>
  <c r="N285" i="2"/>
  <c r="N288" i="2"/>
  <c r="N289" i="2"/>
  <c r="N290" i="2"/>
  <c r="N296" i="2"/>
  <c r="N297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1" i="2"/>
  <c r="N322" i="2"/>
  <c r="N323" i="2"/>
  <c r="N325" i="2"/>
  <c r="N328" i="2"/>
  <c r="N329" i="2"/>
  <c r="N330" i="2"/>
  <c r="N331" i="2"/>
  <c r="N333" i="2"/>
  <c r="N336" i="2"/>
  <c r="N337" i="2"/>
  <c r="N338" i="2"/>
  <c r="N339" i="2"/>
  <c r="N341" i="2"/>
  <c r="N344" i="2"/>
  <c r="N345" i="2"/>
  <c r="N346" i="2"/>
  <c r="N347" i="2"/>
  <c r="N349" i="2"/>
  <c r="N352" i="2"/>
  <c r="N353" i="2"/>
  <c r="N354" i="2"/>
  <c r="N355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B374" i="8"/>
  <c r="B375" i="9" s="1"/>
  <c r="C374" i="8"/>
  <c r="C375" i="9" s="1"/>
  <c r="D374" i="8"/>
  <c r="D375" i="9" s="1"/>
  <c r="E374" i="8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V374" i="8"/>
  <c r="W374" i="8"/>
  <c r="X374" i="8"/>
  <c r="Y374" i="8"/>
  <c r="Y375" i="9" s="1"/>
  <c r="Z374" i="8"/>
  <c r="Z375" i="9" s="1"/>
  <c r="AA374" i="8"/>
  <c r="AA375" i="9" s="1"/>
  <c r="AB374" i="8"/>
  <c r="AB375" i="9" s="1"/>
  <c r="AC374" i="8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M375" i="9"/>
  <c r="N375" i="9"/>
  <c r="O375" i="9"/>
  <c r="P375" i="9"/>
  <c r="U375" i="9"/>
  <c r="V375" i="9"/>
  <c r="W375" i="9"/>
  <c r="X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E6" i="14" l="1"/>
  <c r="E5" i="14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<sst xmlns="http://schemas.openxmlformats.org/spreadsheetml/2006/main" count="2814" uniqueCount="1347">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</sst>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je" xfId="1" builtinId="5"/>
  </cellStyles>
  <dxfs count="9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81915</xdr:rowOff>
    </xdr:from>
    <xdr:to>
      <xdr:col>21</xdr:col>
      <xdr:colOff>466725</xdr:colOff>
      <xdr:row>20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415290</xdr:colOff>
      <xdr:row>20</xdr:row>
      <xdr:rowOff>110490</xdr:rowOff>
    </xdr:from>
    <xdr:to>
      <xdr:col>13</xdr:col>
      <xdr:colOff>771525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381000</xdr:colOff>
      <xdr:row>1</xdr:row>
      <xdr:rowOff>91440</xdr:rowOff>
    </xdr:from>
    <xdr:to>
      <xdr:col>12</xdr:col>
      <xdr:colOff>200025</xdr:colOff>
      <xdr:row>16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Normal="100" workbookViewId="0">
      <pane xSplit="14" ySplit="4" topLeftCell="O5" activePane="bottomRight" state="frozen"/>
      <selection pane="topRight" activeCell="M1" sqref="M1"/>
      <selection pane="bottomLeft" activeCell="A5" sqref="A5"/>
      <selection pane="bottomRight" activeCell="Q24" sqref="Q24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4" width="8.6640625" style="22" customWidth="1"/>
  </cols>
  <sheetData>
    <row r="1" spans="1:44" s="5" customFormat="1" ht="27.75" customHeight="1" thickTop="1" x14ac:dyDescent="0.3">
      <c r="A1" s="1" t="s">
        <v>0</v>
      </c>
      <c r="B1" s="56"/>
      <c r="C1" s="42">
        <f>COUNTA(C5:C527)</f>
        <v>372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9.2391304347826081E-2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334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368</v>
      </c>
      <c r="U2" s="10">
        <f t="shared" si="2"/>
        <v>368</v>
      </c>
      <c r="V2" s="10">
        <f t="shared" si="2"/>
        <v>368</v>
      </c>
      <c r="W2" s="10">
        <f t="shared" si="2"/>
        <v>368</v>
      </c>
      <c r="X2" s="10">
        <f t="shared" si="2"/>
        <v>368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34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0</v>
      </c>
      <c r="U3" s="14">
        <f t="shared" si="3"/>
        <v>0</v>
      </c>
      <c r="V3" s="14">
        <f t="shared" si="3"/>
        <v>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0" thickTop="1" thickBot="1" x14ac:dyDescent="0.4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27</v>
      </c>
      <c r="M5" s="17">
        <f t="shared" ref="M5:M68" si="6">COUNTIF(O5:AP5,"APAGADO")</f>
        <v>1</v>
      </c>
      <c r="N5" s="18">
        <f t="shared" ref="N5:N68" si="7">(L5)/(M5+L5)</f>
        <v>0.9642857142857143</v>
      </c>
      <c r="O5" s="29"/>
      <c r="P5" s="19"/>
      <c r="Q5" s="19"/>
      <c r="R5" s="19"/>
      <c r="S5" s="29" t="s">
        <v>1343</v>
      </c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26</v>
      </c>
      <c r="M7" s="17">
        <f t="shared" si="6"/>
        <v>2</v>
      </c>
      <c r="N7" s="18">
        <f t="shared" si="7"/>
        <v>0.9285714285714286</v>
      </c>
      <c r="O7" s="27"/>
      <c r="P7" s="8"/>
      <c r="Q7" s="8"/>
      <c r="R7" s="8" t="s">
        <v>1343</v>
      </c>
      <c r="S7" s="27" t="s">
        <v>1343</v>
      </c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28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28</v>
      </c>
      <c r="M22" s="17">
        <f t="shared" si="6"/>
        <v>0</v>
      </c>
      <c r="N22" s="18">
        <f t="shared" si="7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25</v>
      </c>
      <c r="M30" s="17">
        <f t="shared" si="6"/>
        <v>3</v>
      </c>
      <c r="N30" s="18">
        <f t="shared" si="7"/>
        <v>0.8928571428571429</v>
      </c>
      <c r="O30" s="27" t="s">
        <v>1343</v>
      </c>
      <c r="P30" s="8"/>
      <c r="Q30" s="8"/>
      <c r="R30" s="8" t="s">
        <v>1343</v>
      </c>
      <c r="S30" s="27" t="s">
        <v>1343</v>
      </c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25</v>
      </c>
      <c r="M62" s="17">
        <f t="shared" si="6"/>
        <v>3</v>
      </c>
      <c r="N62" s="18">
        <f t="shared" si="7"/>
        <v>0.8928571428571429</v>
      </c>
      <c r="O62" s="27" t="s">
        <v>1343</v>
      </c>
      <c r="P62" s="8"/>
      <c r="Q62" s="8"/>
      <c r="R62" s="8" t="s">
        <v>1343</v>
      </c>
      <c r="S62" s="27" t="s">
        <v>1343</v>
      </c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25</v>
      </c>
      <c r="M63" s="17">
        <f t="shared" si="6"/>
        <v>3</v>
      </c>
      <c r="N63" s="18">
        <f t="shared" si="7"/>
        <v>0.8928571428571429</v>
      </c>
      <c r="O63" s="27" t="s">
        <v>1343</v>
      </c>
      <c r="P63" s="8"/>
      <c r="Q63" s="8"/>
      <c r="R63" s="8" t="s">
        <v>1343</v>
      </c>
      <c r="S63" s="27" t="s">
        <v>1343</v>
      </c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25</v>
      </c>
      <c r="M65" s="17">
        <f t="shared" si="6"/>
        <v>3</v>
      </c>
      <c r="N65" s="18">
        <f t="shared" si="7"/>
        <v>0.8928571428571429</v>
      </c>
      <c r="O65" s="27" t="s">
        <v>1343</v>
      </c>
      <c r="P65" s="8"/>
      <c r="Q65" s="8"/>
      <c r="R65" s="8" t="s">
        <v>1343</v>
      </c>
      <c r="S65" s="27" t="s">
        <v>1343</v>
      </c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25</v>
      </c>
      <c r="M68" s="17">
        <f t="shared" si="6"/>
        <v>3</v>
      </c>
      <c r="N68" s="18">
        <f t="shared" si="7"/>
        <v>0.8928571428571429</v>
      </c>
      <c r="O68" s="27" t="s">
        <v>1343</v>
      </c>
      <c r="P68" s="8"/>
      <c r="Q68" s="8"/>
      <c r="R68" s="8" t="s">
        <v>1343</v>
      </c>
      <c r="S68" s="27" t="s">
        <v>1343</v>
      </c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25</v>
      </c>
      <c r="M80" s="17">
        <f t="shared" si="9"/>
        <v>3</v>
      </c>
      <c r="N80" s="18">
        <f t="shared" si="10"/>
        <v>0.8928571428571429</v>
      </c>
      <c r="O80" s="27" t="s">
        <v>1343</v>
      </c>
      <c r="P80" s="8"/>
      <c r="Q80" s="8"/>
      <c r="R80" s="8" t="s">
        <v>1343</v>
      </c>
      <c r="S80" s="27" t="s">
        <v>1343</v>
      </c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25</v>
      </c>
      <c r="M91" s="17">
        <f t="shared" si="9"/>
        <v>3</v>
      </c>
      <c r="N91" s="18">
        <f t="shared" si="10"/>
        <v>0.8928571428571429</v>
      </c>
      <c r="O91" s="27" t="s">
        <v>1343</v>
      </c>
      <c r="P91" s="8"/>
      <c r="Q91" s="8"/>
      <c r="R91" s="8" t="s">
        <v>1343</v>
      </c>
      <c r="S91" s="27" t="s">
        <v>1343</v>
      </c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25</v>
      </c>
      <c r="M92" s="17">
        <f t="shared" si="9"/>
        <v>3</v>
      </c>
      <c r="N92" s="18">
        <f t="shared" si="10"/>
        <v>0.8928571428571429</v>
      </c>
      <c r="O92" s="27" t="s">
        <v>1343</v>
      </c>
      <c r="P92" s="8"/>
      <c r="Q92" s="8"/>
      <c r="R92" s="8" t="s">
        <v>1343</v>
      </c>
      <c r="S92" s="27" t="s">
        <v>1343</v>
      </c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28</v>
      </c>
      <c r="M115" s="17">
        <f t="shared" si="9"/>
        <v>0</v>
      </c>
      <c r="N115" s="18">
        <f t="shared" si="10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28</v>
      </c>
      <c r="M116" s="17">
        <f t="shared" si="9"/>
        <v>0</v>
      </c>
      <c r="N116" s="18">
        <f t="shared" si="10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25</v>
      </c>
      <c r="M133" s="17">
        <f t="shared" ref="M133:M196" si="12">COUNTIF(O133:AP133,"APAGADO")</f>
        <v>3</v>
      </c>
      <c r="N133" s="18">
        <f t="shared" ref="N133:N196" si="13">(L133)/(M133+L133)</f>
        <v>0.8928571428571429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25</v>
      </c>
      <c r="M153" s="17">
        <f t="shared" si="12"/>
        <v>2</v>
      </c>
      <c r="N153" s="18">
        <f t="shared" si="13"/>
        <v>0.92592592592592593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25</v>
      </c>
      <c r="M156" s="17">
        <f t="shared" si="12"/>
        <v>3</v>
      </c>
      <c r="N156" s="18">
        <f t="shared" si="13"/>
        <v>0.8928571428571429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25</v>
      </c>
      <c r="M171" s="17">
        <f t="shared" si="12"/>
        <v>3</v>
      </c>
      <c r="N171" s="18">
        <f t="shared" si="13"/>
        <v>0.8928571428571429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25</v>
      </c>
      <c r="M174" s="17">
        <f t="shared" si="12"/>
        <v>3</v>
      </c>
      <c r="N174" s="18">
        <f t="shared" si="13"/>
        <v>0.8928571428571429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26</v>
      </c>
      <c r="M176" s="17">
        <f t="shared" si="12"/>
        <v>2</v>
      </c>
      <c r="N176" s="18">
        <f t="shared" si="13"/>
        <v>0.9285714285714286</v>
      </c>
      <c r="O176" s="27"/>
      <c r="P176" s="8"/>
      <c r="Q176" s="8"/>
      <c r="R176" s="8" t="s">
        <v>1343</v>
      </c>
      <c r="S176" s="27" t="s">
        <v>1343</v>
      </c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25</v>
      </c>
      <c r="M191" s="17">
        <f t="shared" si="12"/>
        <v>3</v>
      </c>
      <c r="N191" s="18">
        <f t="shared" si="13"/>
        <v>0.8928571428571429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25</v>
      </c>
      <c r="M192" s="17">
        <f t="shared" si="12"/>
        <v>3</v>
      </c>
      <c r="N192" s="18">
        <f t="shared" si="13"/>
        <v>0.8928571428571429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25</v>
      </c>
      <c r="M193" s="17">
        <f t="shared" si="12"/>
        <v>3</v>
      </c>
      <c r="N193" s="18">
        <f t="shared" si="13"/>
        <v>0.8928571428571429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25</v>
      </c>
      <c r="M194" s="17">
        <f t="shared" si="12"/>
        <v>3</v>
      </c>
      <c r="N194" s="18">
        <f t="shared" si="13"/>
        <v>0.8928571428571429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25</v>
      </c>
      <c r="M197" s="17">
        <f t="shared" ref="M197:M262" si="15">COUNTIF(O197:AP197,"APAGADO")</f>
        <v>3</v>
      </c>
      <c r="N197" s="18">
        <f t="shared" ref="N197:N262" si="16">(L197)/(M197+L197)</f>
        <v>0.8928571428571429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28</v>
      </c>
      <c r="M198" s="17">
        <f t="shared" si="15"/>
        <v>0</v>
      </c>
      <c r="N198" s="18">
        <f t="shared" si="16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28</v>
      </c>
      <c r="M199" s="17">
        <f t="shared" si="15"/>
        <v>0</v>
      </c>
      <c r="N199" s="18">
        <f t="shared" si="16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28</v>
      </c>
      <c r="M200" s="17">
        <f t="shared" si="15"/>
        <v>0</v>
      </c>
      <c r="N200" s="18">
        <f t="shared" si="16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25</v>
      </c>
      <c r="M201" s="17">
        <f t="shared" si="15"/>
        <v>3</v>
      </c>
      <c r="N201" s="18">
        <f t="shared" si="16"/>
        <v>0.8928571428571429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25</v>
      </c>
      <c r="M202" s="17">
        <f t="shared" si="15"/>
        <v>3</v>
      </c>
      <c r="N202" s="18">
        <f t="shared" si="16"/>
        <v>0.8928571428571429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25</v>
      </c>
      <c r="M206" s="17">
        <f t="shared" si="15"/>
        <v>3</v>
      </c>
      <c r="N206" s="18">
        <f t="shared" si="16"/>
        <v>0.8928571428571429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25</v>
      </c>
      <c r="M207" s="17">
        <f t="shared" si="15"/>
        <v>3</v>
      </c>
      <c r="N207" s="18">
        <f t="shared" si="16"/>
        <v>0.8928571428571429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28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28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28</v>
      </c>
      <c r="M281" s="17">
        <f t="shared" si="18"/>
        <v>0</v>
      </c>
      <c r="N281" s="18">
        <f t="shared" si="19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28</v>
      </c>
      <c r="M282" s="17">
        <f t="shared" si="18"/>
        <v>0</v>
      </c>
      <c r="N282" s="18">
        <f t="shared" si="19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26</v>
      </c>
      <c r="M283" s="17">
        <f t="shared" si="18"/>
        <v>2</v>
      </c>
      <c r="N283" s="18">
        <f t="shared" si="19"/>
        <v>0.9285714285714286</v>
      </c>
      <c r="O283" s="27" t="s">
        <v>1343</v>
      </c>
      <c r="P283" s="8"/>
      <c r="Q283" s="8"/>
      <c r="R283" s="8"/>
      <c r="S283" s="27" t="s">
        <v>1343</v>
      </c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28</v>
      </c>
      <c r="M284" s="17">
        <f t="shared" si="18"/>
        <v>0</v>
      </c>
      <c r="N284" s="18">
        <f t="shared" si="19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28</v>
      </c>
      <c r="M285" s="17">
        <f t="shared" si="18"/>
        <v>0</v>
      </c>
      <c r="N285" s="18">
        <f t="shared" si="19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28</v>
      </c>
      <c r="M288" s="17">
        <f t="shared" si="18"/>
        <v>0</v>
      </c>
      <c r="N288" s="18">
        <f t="shared" si="19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25</v>
      </c>
      <c r="M303" s="17">
        <f t="shared" si="18"/>
        <v>3</v>
      </c>
      <c r="N303" s="18">
        <f t="shared" si="19"/>
        <v>0.8928571428571429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28</v>
      </c>
      <c r="M321" s="17">
        <f t="shared" si="18"/>
        <v>0</v>
      </c>
      <c r="N321" s="18">
        <f t="shared" si="19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28</v>
      </c>
      <c r="M324" s="17">
        <f t="shared" si="18"/>
        <v>0</v>
      </c>
      <c r="N324" s="18">
        <f t="shared" si="19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28</v>
      </c>
      <c r="M327" s="17">
        <f t="shared" ref="M327:M372" si="21">COUNTIF(O327:AP327,"APAGADO")</f>
        <v>0</v>
      </c>
      <c r="N327" s="18">
        <f t="shared" ref="N327:N372" si="22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28</v>
      </c>
      <c r="M333" s="17">
        <f t="shared" si="21"/>
        <v>0</v>
      </c>
      <c r="N333" s="18">
        <f t="shared" si="22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28</v>
      </c>
      <c r="M339" s="17">
        <f t="shared" si="21"/>
        <v>0</v>
      </c>
      <c r="N339" s="18">
        <f t="shared" si="22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25</v>
      </c>
      <c r="M352" s="17">
        <f t="shared" si="21"/>
        <v>3</v>
      </c>
      <c r="N352" s="18">
        <f t="shared" si="22"/>
        <v>0.8928571428571429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28</v>
      </c>
      <c r="M355" s="17">
        <f t="shared" si="21"/>
        <v>0</v>
      </c>
      <c r="N355" s="18">
        <f t="shared" si="22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" thickBot="1" x14ac:dyDescent="0.35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6" si="23">COUNTIF(O373:AP373,"")</f>
        <v>28</v>
      </c>
      <c r="M373" s="73">
        <f t="shared" ref="M373:M376" si="24">COUNTIF(O373:AP373,"APAGADO")</f>
        <v>0</v>
      </c>
      <c r="N373" s="74">
        <f t="shared" ref="N373:N376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" thickBot="1" x14ac:dyDescent="0.35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" thickBot="1" x14ac:dyDescent="0.35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" thickBot="1" x14ac:dyDescent="0.35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x14ac:dyDescent="0.3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</row>
    <row r="378" spans="1:44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6">
    <cfRule type="cellIs" dxfId="916" priority="1877" operator="lessThan">
      <formula>0.8</formula>
    </cfRule>
    <cfRule type="cellIs" dxfId="915" priority="1878" operator="greaterThan">
      <formula>0.8</formula>
    </cfRule>
  </conditionalFormatting>
  <conditionalFormatting sqref="E1:K3 E284:K334 E236:K236 E5:K32 E36:K91 E94:K230 E337:K364 E369:K372 E243:K281 E391:K1048576">
    <cfRule type="containsText" dxfId="914" priority="1876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913" priority="1872" operator="notContains" text="Caida">
      <formula>ISERROR(SEARCH("Caida",O95))</formula>
    </cfRule>
    <cfRule type="containsText" dxfId="912" priority="1873" operator="containsText" text="Caida">
      <formula>NOT(ISERROR(SEARCH("Caida",O95)))</formula>
    </cfRule>
  </conditionalFormatting>
  <conditionalFormatting sqref="E282:K282">
    <cfRule type="containsText" dxfId="911" priority="1845" operator="containsText" text="Radio">
      <formula>NOT(ISERROR(SEARCH("Radio",E282)))</formula>
    </cfRule>
  </conditionalFormatting>
  <conditionalFormatting sqref="E283:K283">
    <cfRule type="containsText" dxfId="910" priority="1820" operator="containsText" text="Radio">
      <formula>NOT(ISERROR(SEARCH("Radio",E283)))</formula>
    </cfRule>
  </conditionalFormatting>
  <conditionalFormatting sqref="E4:K4">
    <cfRule type="containsText" dxfId="909" priority="1795" operator="containsText" text="Radio">
      <formula>NOT(ISERROR(SEARCH("Radio",E4)))</formula>
    </cfRule>
  </conditionalFormatting>
  <conditionalFormatting sqref="E231:K231">
    <cfRule type="containsText" dxfId="908" priority="1794" operator="containsText" text="Radio">
      <formula>NOT(ISERROR(SEARCH("Radio",E231)))</formula>
    </cfRule>
  </conditionalFormatting>
  <conditionalFormatting sqref="E232:K232">
    <cfRule type="containsText" dxfId="907" priority="1769" operator="containsText" text="Radio">
      <formula>NOT(ISERROR(SEARCH("Radio",E232)))</formula>
    </cfRule>
  </conditionalFormatting>
  <conditionalFormatting sqref="E233:K233">
    <cfRule type="containsText" dxfId="906" priority="1744" operator="containsText" text="Radio">
      <formula>NOT(ISERROR(SEARCH("Radio",E233)))</formula>
    </cfRule>
  </conditionalFormatting>
  <conditionalFormatting sqref="E234:K234">
    <cfRule type="containsText" dxfId="905" priority="1719" operator="containsText" text="Radio">
      <formula>NOT(ISERROR(SEARCH("Radio",E234)))</formula>
    </cfRule>
  </conditionalFormatting>
  <conditionalFormatting sqref="E235:K235">
    <cfRule type="containsText" dxfId="904" priority="1694" operator="containsText" text="Radio">
      <formula>NOT(ISERROR(SEARCH("Radio",E235)))</formula>
    </cfRule>
  </conditionalFormatting>
  <conditionalFormatting sqref="E335:K335">
    <cfRule type="containsText" dxfId="903" priority="1645" operator="containsText" text="Radio">
      <formula>NOT(ISERROR(SEARCH("Radio",E335)))</formula>
    </cfRule>
  </conditionalFormatting>
  <conditionalFormatting sqref="E336:K336">
    <cfRule type="containsText" dxfId="902" priority="1620" operator="containsText" text="Radio">
      <formula>NOT(ISERROR(SEARCH("Radio",E336)))</formula>
    </cfRule>
  </conditionalFormatting>
  <conditionalFormatting sqref="E237:K237">
    <cfRule type="containsText" dxfId="901" priority="1595" operator="containsText" text="Radio">
      <formula>NOT(ISERROR(SEARCH("Radio",E237)))</formula>
    </cfRule>
  </conditionalFormatting>
  <conditionalFormatting sqref="E238:K238">
    <cfRule type="containsText" dxfId="900" priority="1570" operator="containsText" text="Radio">
      <formula>NOT(ISERROR(SEARCH("Radio",E238)))</formula>
    </cfRule>
  </conditionalFormatting>
  <conditionalFormatting sqref="E33:K35">
    <cfRule type="containsText" dxfId="899" priority="1545" operator="containsText" text="Radio">
      <formula>NOT(ISERROR(SEARCH("Radio",E33)))</formula>
    </cfRule>
  </conditionalFormatting>
  <conditionalFormatting sqref="E239:K239">
    <cfRule type="containsText" dxfId="898" priority="1520" operator="containsText" text="Radio">
      <formula>NOT(ISERROR(SEARCH("Radio",E239)))</formula>
    </cfRule>
  </conditionalFormatting>
  <conditionalFormatting sqref="E240:K240">
    <cfRule type="containsText" dxfId="897" priority="1495" operator="containsText" text="Radio">
      <formula>NOT(ISERROR(SEARCH("Radio",E240)))</formula>
    </cfRule>
  </conditionalFormatting>
  <conditionalFormatting sqref="E241:K241">
    <cfRule type="containsText" dxfId="896" priority="1470" operator="containsText" text="Radio">
      <formula>NOT(ISERROR(SEARCH("Radio",E241)))</formula>
    </cfRule>
  </conditionalFormatting>
  <conditionalFormatting sqref="E242:K242">
    <cfRule type="containsText" dxfId="895" priority="1445" operator="containsText" text="Radio">
      <formula>NOT(ISERROR(SEARCH("Radio",E242)))</formula>
    </cfRule>
  </conditionalFormatting>
  <conditionalFormatting sqref="P6:P92 P96:P230">
    <cfRule type="cellIs" dxfId="894" priority="1370" operator="lessThan">
      <formula>0.8</formula>
    </cfRule>
    <cfRule type="cellIs" dxfId="893" priority="1371" operator="greaterThan">
      <formula>0.8</formula>
    </cfRule>
  </conditionalFormatting>
  <conditionalFormatting sqref="P6:P92 P96:P230">
    <cfRule type="notContainsText" dxfId="892" priority="1368" operator="notContains" text="Caida">
      <formula>ISERROR(SEARCH("Caida",P6))</formula>
    </cfRule>
    <cfRule type="containsText" dxfId="891" priority="1369" operator="containsText" text="Caida">
      <formula>NOT(ISERROR(SEARCH("Caida",P6)))</formula>
    </cfRule>
  </conditionalFormatting>
  <conditionalFormatting sqref="P337:P366 P284:P334">
    <cfRule type="cellIs" dxfId="890" priority="1366" operator="lessThan">
      <formula>0.8</formula>
    </cfRule>
    <cfRule type="cellIs" dxfId="889" priority="1367" operator="greaterThan">
      <formula>0.8</formula>
    </cfRule>
  </conditionalFormatting>
  <conditionalFormatting sqref="P337:P366 P284:P334 P391:P1048576">
    <cfRule type="notContainsText" dxfId="888" priority="1364" operator="notContains" text="Caida">
      <formula>ISERROR(SEARCH("Caida",P284))</formula>
    </cfRule>
    <cfRule type="containsText" dxfId="887" priority="1365" operator="containsText" text="Caida">
      <formula>NOT(ISERROR(SEARCH("Caida",P284)))</formula>
    </cfRule>
  </conditionalFormatting>
  <conditionalFormatting sqref="O391:O1048576">
    <cfRule type="notContainsText" dxfId="886" priority="1413" operator="notContains" text="Caida">
      <formula>ISERROR(SEARCH("Caida",O391))</formula>
    </cfRule>
    <cfRule type="containsText" dxfId="885" priority="1414" operator="containsText" text="Caida">
      <formula>NOT(ISERROR(SEARCH("Caida",O391)))</formula>
    </cfRule>
  </conditionalFormatting>
  <conditionalFormatting sqref="P336">
    <cfRule type="cellIs" dxfId="884" priority="1325" operator="lessThan">
      <formula>0.8</formula>
    </cfRule>
    <cfRule type="cellIs" dxfId="883" priority="1326" operator="greaterThan">
      <formula>0.8</formula>
    </cfRule>
  </conditionalFormatting>
  <conditionalFormatting sqref="P336">
    <cfRule type="notContainsText" dxfId="882" priority="1323" operator="notContains" text="Caida">
      <formula>ISERROR(SEARCH("Caida",P336))</formula>
    </cfRule>
    <cfRule type="containsText" dxfId="881" priority="1324" operator="containsText" text="Caida">
      <formula>NOT(ISERROR(SEARCH("Caida",P336)))</formula>
    </cfRule>
  </conditionalFormatting>
  <conditionalFormatting sqref="P22">
    <cfRule type="containsText" dxfId="880" priority="1363" operator="containsText" text="Instaladas en Funcionamiento Caida">
      <formula>NOT(ISERROR(SEARCH("Instaladas en Funcionamiento Caida",P22)))</formula>
    </cfRule>
  </conditionalFormatting>
  <conditionalFormatting sqref="P282">
    <cfRule type="cellIs" dxfId="879" priority="1361" operator="lessThan">
      <formula>0.8</formula>
    </cfRule>
    <cfRule type="cellIs" dxfId="878" priority="1362" operator="greaterThan">
      <formula>0.8</formula>
    </cfRule>
  </conditionalFormatting>
  <conditionalFormatting sqref="P282">
    <cfRule type="notContainsText" dxfId="877" priority="1359" operator="notContains" text="Caida">
      <formula>ISERROR(SEARCH("Caida",P282))</formula>
    </cfRule>
    <cfRule type="containsText" dxfId="876" priority="1360" operator="containsText" text="Caida">
      <formula>NOT(ISERROR(SEARCH("Caida",P282)))</formula>
    </cfRule>
  </conditionalFormatting>
  <conditionalFormatting sqref="P283">
    <cfRule type="cellIs" dxfId="875" priority="1357" operator="lessThan">
      <formula>0.8</formula>
    </cfRule>
    <cfRule type="cellIs" dxfId="874" priority="1358" operator="greaterThan">
      <formula>0.8</formula>
    </cfRule>
  </conditionalFormatting>
  <conditionalFormatting sqref="P283">
    <cfRule type="notContainsText" dxfId="873" priority="1355" operator="notContains" text="Caida">
      <formula>ISERROR(SEARCH("Caida",P283))</formula>
    </cfRule>
    <cfRule type="containsText" dxfId="872" priority="1356" operator="containsText" text="Caida">
      <formula>NOT(ISERROR(SEARCH("Caida",P283)))</formula>
    </cfRule>
  </conditionalFormatting>
  <conditionalFormatting sqref="P5">
    <cfRule type="cellIs" dxfId="871" priority="1353" operator="lessThan">
      <formula>0.8</formula>
    </cfRule>
    <cfRule type="cellIs" dxfId="870" priority="1354" operator="greaterThan">
      <formula>0.8</formula>
    </cfRule>
  </conditionalFormatting>
  <conditionalFormatting sqref="P5">
    <cfRule type="notContainsText" dxfId="869" priority="1351" operator="notContains" text="Caida">
      <formula>ISERROR(SEARCH("Caida",P5))</formula>
    </cfRule>
    <cfRule type="containsText" dxfId="868" priority="1352" operator="containsText" text="Caida">
      <formula>NOT(ISERROR(SEARCH("Caida",P5)))</formula>
    </cfRule>
  </conditionalFormatting>
  <conditionalFormatting sqref="P231">
    <cfRule type="cellIs" dxfId="867" priority="1349" operator="lessThan">
      <formula>0.8</formula>
    </cfRule>
    <cfRule type="cellIs" dxfId="866" priority="1350" operator="greaterThan">
      <formula>0.8</formula>
    </cfRule>
  </conditionalFormatting>
  <conditionalFormatting sqref="P231">
    <cfRule type="notContainsText" dxfId="865" priority="1347" operator="notContains" text="Caida">
      <formula>ISERROR(SEARCH("Caida",P231))</formula>
    </cfRule>
    <cfRule type="containsText" dxfId="864" priority="1348" operator="containsText" text="Caida">
      <formula>NOT(ISERROR(SEARCH("Caida",P231)))</formula>
    </cfRule>
  </conditionalFormatting>
  <conditionalFormatting sqref="P232">
    <cfRule type="cellIs" dxfId="863" priority="1345" operator="lessThan">
      <formula>0.8</formula>
    </cfRule>
    <cfRule type="cellIs" dxfId="862" priority="1346" operator="greaterThan">
      <formula>0.8</formula>
    </cfRule>
  </conditionalFormatting>
  <conditionalFormatting sqref="P232">
    <cfRule type="notContainsText" dxfId="861" priority="1343" operator="notContains" text="Caida">
      <formula>ISERROR(SEARCH("Caida",P232))</formula>
    </cfRule>
    <cfRule type="containsText" dxfId="860" priority="1344" operator="containsText" text="Caida">
      <formula>NOT(ISERROR(SEARCH("Caida",P232)))</formula>
    </cfRule>
  </conditionalFormatting>
  <conditionalFormatting sqref="P233">
    <cfRule type="cellIs" dxfId="859" priority="1341" operator="lessThan">
      <formula>0.8</formula>
    </cfRule>
    <cfRule type="cellIs" dxfId="858" priority="1342" operator="greaterThan">
      <formula>0.8</formula>
    </cfRule>
  </conditionalFormatting>
  <conditionalFormatting sqref="P233">
    <cfRule type="notContainsText" dxfId="857" priority="1339" operator="notContains" text="Caida">
      <formula>ISERROR(SEARCH("Caida",P233))</formula>
    </cfRule>
    <cfRule type="containsText" dxfId="856" priority="1340" operator="containsText" text="Caida">
      <formula>NOT(ISERROR(SEARCH("Caida",P233)))</formula>
    </cfRule>
  </conditionalFormatting>
  <conditionalFormatting sqref="P234">
    <cfRule type="cellIs" dxfId="855" priority="1337" operator="lessThan">
      <formula>0.8</formula>
    </cfRule>
    <cfRule type="cellIs" dxfId="854" priority="1338" operator="greaterThan">
      <formula>0.8</formula>
    </cfRule>
  </conditionalFormatting>
  <conditionalFormatting sqref="P234">
    <cfRule type="notContainsText" dxfId="853" priority="1335" operator="notContains" text="Caida">
      <formula>ISERROR(SEARCH("Caida",P234))</formula>
    </cfRule>
    <cfRule type="containsText" dxfId="852" priority="1336" operator="containsText" text="Caida">
      <formula>NOT(ISERROR(SEARCH("Caida",P234)))</formula>
    </cfRule>
  </conditionalFormatting>
  <conditionalFormatting sqref="P235">
    <cfRule type="cellIs" dxfId="851" priority="1333" operator="lessThan">
      <formula>0.8</formula>
    </cfRule>
    <cfRule type="cellIs" dxfId="850" priority="1334" operator="greaterThan">
      <formula>0.8</formula>
    </cfRule>
  </conditionalFormatting>
  <conditionalFormatting sqref="P235">
    <cfRule type="notContainsText" dxfId="849" priority="1331" operator="notContains" text="Caida">
      <formula>ISERROR(SEARCH("Caida",P235))</formula>
    </cfRule>
    <cfRule type="containsText" dxfId="848" priority="1332" operator="containsText" text="Caida">
      <formula>NOT(ISERROR(SEARCH("Caida",P235)))</formula>
    </cfRule>
  </conditionalFormatting>
  <conditionalFormatting sqref="P335">
    <cfRule type="cellIs" dxfId="847" priority="1329" operator="lessThan">
      <formula>0.8</formula>
    </cfRule>
    <cfRule type="cellIs" dxfId="846" priority="1330" operator="greaterThan">
      <formula>0.8</formula>
    </cfRule>
  </conditionalFormatting>
  <conditionalFormatting sqref="P335">
    <cfRule type="notContainsText" dxfId="845" priority="1327" operator="notContains" text="Caida">
      <formula>ISERROR(SEARCH("Caida",P335))</formula>
    </cfRule>
    <cfRule type="containsText" dxfId="844" priority="1328" operator="containsText" text="Caida">
      <formula>NOT(ISERROR(SEARCH("Caida",P335)))</formula>
    </cfRule>
  </conditionalFormatting>
  <conditionalFormatting sqref="Q6:Q92 Q96:Q230">
    <cfRule type="cellIs" dxfId="843" priority="1321" operator="lessThan">
      <formula>0.8</formula>
    </cfRule>
    <cfRule type="cellIs" dxfId="842" priority="1322" operator="greaterThan">
      <formula>0.8</formula>
    </cfRule>
  </conditionalFormatting>
  <conditionalFormatting sqref="Q6:Q92 Q96:Q230">
    <cfRule type="notContainsText" dxfId="841" priority="1319" operator="notContains" text="Caida">
      <formula>ISERROR(SEARCH("Caida",Q6))</formula>
    </cfRule>
    <cfRule type="containsText" dxfId="840" priority="1320" operator="containsText" text="Caida">
      <formula>NOT(ISERROR(SEARCH("Caida",Q6)))</formula>
    </cfRule>
  </conditionalFormatting>
  <conditionalFormatting sqref="Q336">
    <cfRule type="cellIs" dxfId="839" priority="1276" operator="lessThan">
      <formula>0.8</formula>
    </cfRule>
    <cfRule type="cellIs" dxfId="838" priority="1277" operator="greaterThan">
      <formula>0.8</formula>
    </cfRule>
  </conditionalFormatting>
  <conditionalFormatting sqref="Q336">
    <cfRule type="notContainsText" dxfId="837" priority="1274" operator="notContains" text="Caida">
      <formula>ISERROR(SEARCH("Caida",Q336))</formula>
    </cfRule>
    <cfRule type="containsText" dxfId="836" priority="1275" operator="containsText" text="Caida">
      <formula>NOT(ISERROR(SEARCH("Caida",Q336)))</formula>
    </cfRule>
  </conditionalFormatting>
  <conditionalFormatting sqref="Q337:Q366 Q284:Q334">
    <cfRule type="cellIs" dxfId="835" priority="1317" operator="lessThan">
      <formula>0.8</formula>
    </cfRule>
    <cfRule type="cellIs" dxfId="834" priority="1318" operator="greaterThan">
      <formula>0.8</formula>
    </cfRule>
  </conditionalFormatting>
  <conditionalFormatting sqref="Q337:Q366 Q284:Q334 Q391:Q1048576">
    <cfRule type="notContainsText" dxfId="833" priority="1315" operator="notContains" text="Caida">
      <formula>ISERROR(SEARCH("Caida",Q284))</formula>
    </cfRule>
    <cfRule type="containsText" dxfId="832" priority="1316" operator="containsText" text="Caida">
      <formula>NOT(ISERROR(SEARCH("Caida",Q284)))</formula>
    </cfRule>
  </conditionalFormatting>
  <conditionalFormatting sqref="Q22">
    <cfRule type="containsText" dxfId="831" priority="1314" operator="containsText" text="Instaladas en Funcionamiento Caida">
      <formula>NOT(ISERROR(SEARCH("Instaladas en Funcionamiento Caida",Q22)))</formula>
    </cfRule>
  </conditionalFormatting>
  <conditionalFormatting sqref="Q282">
    <cfRule type="cellIs" dxfId="830" priority="1312" operator="lessThan">
      <formula>0.8</formula>
    </cfRule>
    <cfRule type="cellIs" dxfId="829" priority="1313" operator="greaterThan">
      <formula>0.8</formula>
    </cfRule>
  </conditionalFormatting>
  <conditionalFormatting sqref="Q282">
    <cfRule type="notContainsText" dxfId="828" priority="1310" operator="notContains" text="Caida">
      <formula>ISERROR(SEARCH("Caida",Q282))</formula>
    </cfRule>
    <cfRule type="containsText" dxfId="827" priority="1311" operator="containsText" text="Caida">
      <formula>NOT(ISERROR(SEARCH("Caida",Q282)))</formula>
    </cfRule>
  </conditionalFormatting>
  <conditionalFormatting sqref="Q283">
    <cfRule type="cellIs" dxfId="826" priority="1308" operator="lessThan">
      <formula>0.8</formula>
    </cfRule>
    <cfRule type="cellIs" dxfId="825" priority="1309" operator="greaterThan">
      <formula>0.8</formula>
    </cfRule>
  </conditionalFormatting>
  <conditionalFormatting sqref="Q283">
    <cfRule type="notContainsText" dxfId="824" priority="1306" operator="notContains" text="Caida">
      <formula>ISERROR(SEARCH("Caida",Q283))</formula>
    </cfRule>
    <cfRule type="containsText" dxfId="823" priority="1307" operator="containsText" text="Caida">
      <formula>NOT(ISERROR(SEARCH("Caida",Q283)))</formula>
    </cfRule>
  </conditionalFormatting>
  <conditionalFormatting sqref="Q5">
    <cfRule type="cellIs" dxfId="822" priority="1304" operator="lessThan">
      <formula>0.8</formula>
    </cfRule>
    <cfRule type="cellIs" dxfId="821" priority="1305" operator="greaterThan">
      <formula>0.8</formula>
    </cfRule>
  </conditionalFormatting>
  <conditionalFormatting sqref="Q5">
    <cfRule type="notContainsText" dxfId="820" priority="1302" operator="notContains" text="Caida">
      <formula>ISERROR(SEARCH("Caida",Q5))</formula>
    </cfRule>
    <cfRule type="containsText" dxfId="819" priority="1303" operator="containsText" text="Caida">
      <formula>NOT(ISERROR(SEARCH("Caida",Q5)))</formula>
    </cfRule>
  </conditionalFormatting>
  <conditionalFormatting sqref="Q231">
    <cfRule type="cellIs" dxfId="818" priority="1300" operator="lessThan">
      <formula>0.8</formula>
    </cfRule>
    <cfRule type="cellIs" dxfId="817" priority="1301" operator="greaterThan">
      <formula>0.8</formula>
    </cfRule>
  </conditionalFormatting>
  <conditionalFormatting sqref="Q231">
    <cfRule type="notContainsText" dxfId="816" priority="1298" operator="notContains" text="Caida">
      <formula>ISERROR(SEARCH("Caida",Q231))</formula>
    </cfRule>
    <cfRule type="containsText" dxfId="815" priority="1299" operator="containsText" text="Caida">
      <formula>NOT(ISERROR(SEARCH("Caida",Q231)))</formula>
    </cfRule>
  </conditionalFormatting>
  <conditionalFormatting sqref="Q232">
    <cfRule type="cellIs" dxfId="814" priority="1296" operator="lessThan">
      <formula>0.8</formula>
    </cfRule>
    <cfRule type="cellIs" dxfId="813" priority="1297" operator="greaterThan">
      <formula>0.8</formula>
    </cfRule>
  </conditionalFormatting>
  <conditionalFormatting sqref="Q232">
    <cfRule type="notContainsText" dxfId="812" priority="1294" operator="notContains" text="Caida">
      <formula>ISERROR(SEARCH("Caida",Q232))</formula>
    </cfRule>
    <cfRule type="containsText" dxfId="811" priority="1295" operator="containsText" text="Caida">
      <formula>NOT(ISERROR(SEARCH("Caida",Q232)))</formula>
    </cfRule>
  </conditionalFormatting>
  <conditionalFormatting sqref="Q233">
    <cfRule type="cellIs" dxfId="810" priority="1292" operator="lessThan">
      <formula>0.8</formula>
    </cfRule>
    <cfRule type="cellIs" dxfId="809" priority="1293" operator="greaterThan">
      <formula>0.8</formula>
    </cfRule>
  </conditionalFormatting>
  <conditionalFormatting sqref="Q233">
    <cfRule type="notContainsText" dxfId="808" priority="1290" operator="notContains" text="Caida">
      <formula>ISERROR(SEARCH("Caida",Q233))</formula>
    </cfRule>
    <cfRule type="containsText" dxfId="807" priority="1291" operator="containsText" text="Caida">
      <formula>NOT(ISERROR(SEARCH("Caida",Q233)))</formula>
    </cfRule>
  </conditionalFormatting>
  <conditionalFormatting sqref="Q234">
    <cfRule type="cellIs" dxfId="806" priority="1288" operator="lessThan">
      <formula>0.8</formula>
    </cfRule>
    <cfRule type="cellIs" dxfId="805" priority="1289" operator="greaterThan">
      <formula>0.8</formula>
    </cfRule>
  </conditionalFormatting>
  <conditionalFormatting sqref="Q234">
    <cfRule type="notContainsText" dxfId="804" priority="1286" operator="notContains" text="Caida">
      <formula>ISERROR(SEARCH("Caida",Q234))</formula>
    </cfRule>
    <cfRule type="containsText" dxfId="803" priority="1287" operator="containsText" text="Caida">
      <formula>NOT(ISERROR(SEARCH("Caida",Q234)))</formula>
    </cfRule>
  </conditionalFormatting>
  <conditionalFormatting sqref="Q235">
    <cfRule type="cellIs" dxfId="802" priority="1284" operator="lessThan">
      <formula>0.8</formula>
    </cfRule>
    <cfRule type="cellIs" dxfId="801" priority="1285" operator="greaterThan">
      <formula>0.8</formula>
    </cfRule>
  </conditionalFormatting>
  <conditionalFormatting sqref="Q235">
    <cfRule type="notContainsText" dxfId="800" priority="1282" operator="notContains" text="Caida">
      <formula>ISERROR(SEARCH("Caida",Q235))</formula>
    </cfRule>
    <cfRule type="containsText" dxfId="799" priority="1283" operator="containsText" text="Caida">
      <formula>NOT(ISERROR(SEARCH("Caida",Q235)))</formula>
    </cfRule>
  </conditionalFormatting>
  <conditionalFormatting sqref="Q335">
    <cfRule type="cellIs" dxfId="798" priority="1280" operator="lessThan">
      <formula>0.8</formula>
    </cfRule>
    <cfRule type="cellIs" dxfId="797" priority="1281" operator="greaterThan">
      <formula>0.8</formula>
    </cfRule>
  </conditionalFormatting>
  <conditionalFormatting sqref="Q335">
    <cfRule type="notContainsText" dxfId="796" priority="1278" operator="notContains" text="Caida">
      <formula>ISERROR(SEARCH("Caida",Q335))</formula>
    </cfRule>
    <cfRule type="containsText" dxfId="795" priority="1279" operator="containsText" text="Caida">
      <formula>NOT(ISERROR(SEARCH("Caida",Q335)))</formula>
    </cfRule>
  </conditionalFormatting>
  <conditionalFormatting sqref="R6:R92 R96:R230">
    <cfRule type="cellIs" dxfId="794" priority="1272" operator="lessThan">
      <formula>0.8</formula>
    </cfRule>
    <cfRule type="cellIs" dxfId="793" priority="1273" operator="greaterThan">
      <formula>0.8</formula>
    </cfRule>
  </conditionalFormatting>
  <conditionalFormatting sqref="R6:R92 R96:R230">
    <cfRule type="notContainsText" dxfId="792" priority="1270" operator="notContains" text="Caida">
      <formula>ISERROR(SEARCH("Caida",R6))</formula>
    </cfRule>
    <cfRule type="containsText" dxfId="791" priority="1271" operator="containsText" text="Caida">
      <formula>NOT(ISERROR(SEARCH("Caida",R6)))</formula>
    </cfRule>
  </conditionalFormatting>
  <conditionalFormatting sqref="R336:T336">
    <cfRule type="cellIs" dxfId="790" priority="1227" operator="lessThan">
      <formula>0.8</formula>
    </cfRule>
    <cfRule type="cellIs" dxfId="789" priority="1228" operator="greaterThan">
      <formula>0.8</formula>
    </cfRule>
  </conditionalFormatting>
  <conditionalFormatting sqref="R336:T336">
    <cfRule type="notContainsText" dxfId="788" priority="1225" operator="notContains" text="Caida">
      <formula>ISERROR(SEARCH("Caida",R336))</formula>
    </cfRule>
    <cfRule type="containsText" dxfId="787" priority="1226" operator="containsText" text="Caida">
      <formula>NOT(ISERROR(SEARCH("Caida",R336)))</formula>
    </cfRule>
  </conditionalFormatting>
  <conditionalFormatting sqref="R337:R366 R284:R334">
    <cfRule type="cellIs" dxfId="786" priority="1268" operator="lessThan">
      <formula>0.8</formula>
    </cfRule>
    <cfRule type="cellIs" dxfId="785" priority="1269" operator="greaterThan">
      <formula>0.8</formula>
    </cfRule>
  </conditionalFormatting>
  <conditionalFormatting sqref="R337:R366 R284:R334 R391:R1048576">
    <cfRule type="notContainsText" dxfId="784" priority="1266" operator="notContains" text="Caida">
      <formula>ISERROR(SEARCH("Caida",R284))</formula>
    </cfRule>
    <cfRule type="containsText" dxfId="783" priority="1267" operator="containsText" text="Caida">
      <formula>NOT(ISERROR(SEARCH("Caida",R284)))</formula>
    </cfRule>
  </conditionalFormatting>
  <conditionalFormatting sqref="R22:T22">
    <cfRule type="containsText" dxfId="782" priority="1265" operator="containsText" text="Instaladas en Funcionamiento Caida">
      <formula>NOT(ISERROR(SEARCH("Instaladas en Funcionamiento Caida",R22)))</formula>
    </cfRule>
  </conditionalFormatting>
  <conditionalFormatting sqref="R282:T282">
    <cfRule type="cellIs" dxfId="781" priority="1263" operator="lessThan">
      <formula>0.8</formula>
    </cfRule>
    <cfRule type="cellIs" dxfId="780" priority="1264" operator="greaterThan">
      <formula>0.8</formula>
    </cfRule>
  </conditionalFormatting>
  <conditionalFormatting sqref="R282:T282">
    <cfRule type="notContainsText" dxfId="779" priority="1261" operator="notContains" text="Caida">
      <formula>ISERROR(SEARCH("Caida",R282))</formula>
    </cfRule>
    <cfRule type="containsText" dxfId="778" priority="1262" operator="containsText" text="Caida">
      <formula>NOT(ISERROR(SEARCH("Caida",R282)))</formula>
    </cfRule>
  </conditionalFormatting>
  <conditionalFormatting sqref="R283:T283">
    <cfRule type="cellIs" dxfId="777" priority="1259" operator="lessThan">
      <formula>0.8</formula>
    </cfRule>
    <cfRule type="cellIs" dxfId="776" priority="1260" operator="greaterThan">
      <formula>0.8</formula>
    </cfRule>
  </conditionalFormatting>
  <conditionalFormatting sqref="R283:T283">
    <cfRule type="notContainsText" dxfId="775" priority="1257" operator="notContains" text="Caida">
      <formula>ISERROR(SEARCH("Caida",R283))</formula>
    </cfRule>
    <cfRule type="containsText" dxfId="774" priority="1258" operator="containsText" text="Caida">
      <formula>NOT(ISERROR(SEARCH("Caida",R283)))</formula>
    </cfRule>
  </conditionalFormatting>
  <conditionalFormatting sqref="R5:T5">
    <cfRule type="cellIs" dxfId="773" priority="1255" operator="lessThan">
      <formula>0.8</formula>
    </cfRule>
    <cfRule type="cellIs" dxfId="772" priority="1256" operator="greaterThan">
      <formula>0.8</formula>
    </cfRule>
  </conditionalFormatting>
  <conditionalFormatting sqref="R5:T5">
    <cfRule type="notContainsText" dxfId="771" priority="1253" operator="notContains" text="Caida">
      <formula>ISERROR(SEARCH("Caida",R5))</formula>
    </cfRule>
    <cfRule type="containsText" dxfId="770" priority="1254" operator="containsText" text="Caida">
      <formula>NOT(ISERROR(SEARCH("Caida",R5)))</formula>
    </cfRule>
  </conditionalFormatting>
  <conditionalFormatting sqref="R231:T231">
    <cfRule type="cellIs" dxfId="769" priority="1251" operator="lessThan">
      <formula>0.8</formula>
    </cfRule>
    <cfRule type="cellIs" dxfId="768" priority="1252" operator="greaterThan">
      <formula>0.8</formula>
    </cfRule>
  </conditionalFormatting>
  <conditionalFormatting sqref="R231:T231">
    <cfRule type="notContainsText" dxfId="767" priority="1249" operator="notContains" text="Caida">
      <formula>ISERROR(SEARCH("Caida",R231))</formula>
    </cfRule>
    <cfRule type="containsText" dxfId="766" priority="1250" operator="containsText" text="Caida">
      <formula>NOT(ISERROR(SEARCH("Caida",R231)))</formula>
    </cfRule>
  </conditionalFormatting>
  <conditionalFormatting sqref="R232:T232">
    <cfRule type="cellIs" dxfId="765" priority="1247" operator="lessThan">
      <formula>0.8</formula>
    </cfRule>
    <cfRule type="cellIs" dxfId="764" priority="1248" operator="greaterThan">
      <formula>0.8</formula>
    </cfRule>
  </conditionalFormatting>
  <conditionalFormatting sqref="R232:T232">
    <cfRule type="notContainsText" dxfId="763" priority="1245" operator="notContains" text="Caida">
      <formula>ISERROR(SEARCH("Caida",R232))</formula>
    </cfRule>
    <cfRule type="containsText" dxfId="762" priority="1246" operator="containsText" text="Caida">
      <formula>NOT(ISERROR(SEARCH("Caida",R232)))</formula>
    </cfRule>
  </conditionalFormatting>
  <conditionalFormatting sqref="R233:T233">
    <cfRule type="cellIs" dxfId="761" priority="1243" operator="lessThan">
      <formula>0.8</formula>
    </cfRule>
    <cfRule type="cellIs" dxfId="760" priority="1244" operator="greaterThan">
      <formula>0.8</formula>
    </cfRule>
  </conditionalFormatting>
  <conditionalFormatting sqref="R233:T233">
    <cfRule type="notContainsText" dxfId="759" priority="1241" operator="notContains" text="Caida">
      <formula>ISERROR(SEARCH("Caida",R233))</formula>
    </cfRule>
    <cfRule type="containsText" dxfId="758" priority="1242" operator="containsText" text="Caida">
      <formula>NOT(ISERROR(SEARCH("Caida",R233)))</formula>
    </cfRule>
  </conditionalFormatting>
  <conditionalFormatting sqref="R234:T234">
    <cfRule type="cellIs" dxfId="757" priority="1239" operator="lessThan">
      <formula>0.8</formula>
    </cfRule>
    <cfRule type="cellIs" dxfId="756" priority="1240" operator="greaterThan">
      <formula>0.8</formula>
    </cfRule>
  </conditionalFormatting>
  <conditionalFormatting sqref="R234:T234">
    <cfRule type="notContainsText" dxfId="755" priority="1237" operator="notContains" text="Caida">
      <formula>ISERROR(SEARCH("Caida",R234))</formula>
    </cfRule>
    <cfRule type="containsText" dxfId="754" priority="1238" operator="containsText" text="Caida">
      <formula>NOT(ISERROR(SEARCH("Caida",R234)))</formula>
    </cfRule>
  </conditionalFormatting>
  <conditionalFormatting sqref="R235:T235">
    <cfRule type="cellIs" dxfId="753" priority="1235" operator="lessThan">
      <formula>0.8</formula>
    </cfRule>
    <cfRule type="cellIs" dxfId="752" priority="1236" operator="greaterThan">
      <formula>0.8</formula>
    </cfRule>
  </conditionalFormatting>
  <conditionalFormatting sqref="R235:T235">
    <cfRule type="notContainsText" dxfId="751" priority="1233" operator="notContains" text="Caida">
      <formula>ISERROR(SEARCH("Caida",R235))</formula>
    </cfRule>
    <cfRule type="containsText" dxfId="750" priority="1234" operator="containsText" text="Caida">
      <formula>NOT(ISERROR(SEARCH("Caida",R235)))</formula>
    </cfRule>
  </conditionalFormatting>
  <conditionalFormatting sqref="R335:T335">
    <cfRule type="cellIs" dxfId="749" priority="1231" operator="lessThan">
      <formula>0.8</formula>
    </cfRule>
    <cfRule type="cellIs" dxfId="748" priority="1232" operator="greaterThan">
      <formula>0.8</formula>
    </cfRule>
  </conditionalFormatting>
  <conditionalFormatting sqref="R335:T335">
    <cfRule type="notContainsText" dxfId="747" priority="1229" operator="notContains" text="Caida">
      <formula>ISERROR(SEARCH("Caida",R335))</formula>
    </cfRule>
    <cfRule type="containsText" dxfId="746" priority="1230" operator="containsText" text="Caida">
      <formula>NOT(ISERROR(SEARCH("Caida",R335)))</formula>
    </cfRule>
  </conditionalFormatting>
  <conditionalFormatting sqref="S391:S1048576">
    <cfRule type="notContainsText" dxfId="745" priority="1217" operator="notContains" text="Caida">
      <formula>ISERROR(SEARCH("Caida",S391))</formula>
    </cfRule>
    <cfRule type="containsText" dxfId="744" priority="1218" operator="containsText" text="Caida">
      <formula>NOT(ISERROR(SEARCH("Caida",S391)))</formula>
    </cfRule>
  </conditionalFormatting>
  <conditionalFormatting sqref="T391:T1048576">
    <cfRule type="notContainsText" dxfId="743" priority="1168" operator="notContains" text="Caida">
      <formula>ISERROR(SEARCH("Caida",T391))</formula>
    </cfRule>
    <cfRule type="containsText" dxfId="742" priority="1169" operator="containsText" text="Caida">
      <formula>NOT(ISERROR(SEARCH("Caida",T391)))</formula>
    </cfRule>
  </conditionalFormatting>
  <conditionalFormatting sqref="E92:K93">
    <cfRule type="containsText" dxfId="741" priority="1124" operator="containsText" text="Radio">
      <formula>NOT(ISERROR(SEARCH("Radio",E92)))</formula>
    </cfRule>
  </conditionalFormatting>
  <conditionalFormatting sqref="P93:P95">
    <cfRule type="cellIs" dxfId="740" priority="1094" operator="lessThan">
      <formula>0.8</formula>
    </cfRule>
    <cfRule type="cellIs" dxfId="739" priority="1095" operator="greaterThan">
      <formula>0.8</formula>
    </cfRule>
  </conditionalFormatting>
  <conditionalFormatting sqref="P93:P95">
    <cfRule type="notContainsText" dxfId="738" priority="1092" operator="notContains" text="Caida">
      <formula>ISERROR(SEARCH("Caida",P93))</formula>
    </cfRule>
    <cfRule type="containsText" dxfId="737" priority="1093" operator="containsText" text="Caida">
      <formula>NOT(ISERROR(SEARCH("Caida",P93)))</formula>
    </cfRule>
  </conditionalFormatting>
  <conditionalFormatting sqref="Q93:Q95">
    <cfRule type="cellIs" dxfId="736" priority="1090" operator="lessThan">
      <formula>0.8</formula>
    </cfRule>
    <cfRule type="cellIs" dxfId="735" priority="1091" operator="greaterThan">
      <formula>0.8</formula>
    </cfRule>
  </conditionalFormatting>
  <conditionalFormatting sqref="Q93:Q95">
    <cfRule type="notContainsText" dxfId="734" priority="1088" operator="notContains" text="Caida">
      <formula>ISERROR(SEARCH("Caida",Q93))</formula>
    </cfRule>
    <cfRule type="containsText" dxfId="733" priority="1089" operator="containsText" text="Caida">
      <formula>NOT(ISERROR(SEARCH("Caida",Q93)))</formula>
    </cfRule>
  </conditionalFormatting>
  <conditionalFormatting sqref="R93:R95">
    <cfRule type="cellIs" dxfId="732" priority="1086" operator="lessThan">
      <formula>0.8</formula>
    </cfRule>
    <cfRule type="cellIs" dxfId="731" priority="1087" operator="greaterThan">
      <formula>0.8</formula>
    </cfRule>
  </conditionalFormatting>
  <conditionalFormatting sqref="R93:R95">
    <cfRule type="notContainsText" dxfId="730" priority="1084" operator="notContains" text="Caida">
      <formula>ISERROR(SEARCH("Caida",R93))</formula>
    </cfRule>
    <cfRule type="containsText" dxfId="729" priority="1085" operator="containsText" text="Caida">
      <formula>NOT(ISERROR(SEARCH("Caida",R93)))</formula>
    </cfRule>
  </conditionalFormatting>
  <conditionalFormatting sqref="E365:K365">
    <cfRule type="containsText" dxfId="728" priority="1073" operator="containsText" text="Radio">
      <formula>NOT(ISERROR(SEARCH("Radio",E365)))</formula>
    </cfRule>
  </conditionalFormatting>
  <conditionalFormatting sqref="P367">
    <cfRule type="cellIs" dxfId="727" priority="1055" operator="lessThan">
      <formula>0.8</formula>
    </cfRule>
    <cfRule type="cellIs" dxfId="726" priority="1056" operator="greaterThan">
      <formula>0.8</formula>
    </cfRule>
  </conditionalFormatting>
  <conditionalFormatting sqref="P367">
    <cfRule type="notContainsText" dxfId="725" priority="1053" operator="notContains" text="Caida">
      <formula>ISERROR(SEARCH("Caida",P367))</formula>
    </cfRule>
    <cfRule type="containsText" dxfId="724" priority="1054" operator="containsText" text="Caida">
      <formula>NOT(ISERROR(SEARCH("Caida",P367)))</formula>
    </cfRule>
  </conditionalFormatting>
  <conditionalFormatting sqref="Q367">
    <cfRule type="cellIs" dxfId="723" priority="1051" operator="lessThan">
      <formula>0.8</formula>
    </cfRule>
    <cfRule type="cellIs" dxfId="722" priority="1052" operator="greaterThan">
      <formula>0.8</formula>
    </cfRule>
  </conditionalFormatting>
  <conditionalFormatting sqref="Q367">
    <cfRule type="notContainsText" dxfId="721" priority="1049" operator="notContains" text="Caida">
      <formula>ISERROR(SEARCH("Caida",Q367))</formula>
    </cfRule>
    <cfRule type="containsText" dxfId="720" priority="1050" operator="containsText" text="Caida">
      <formula>NOT(ISERROR(SEARCH("Caida",Q367)))</formula>
    </cfRule>
  </conditionalFormatting>
  <conditionalFormatting sqref="R367:T367">
    <cfRule type="cellIs" dxfId="719" priority="1047" operator="lessThan">
      <formula>0.8</formula>
    </cfRule>
    <cfRule type="cellIs" dxfId="718" priority="1048" operator="greaterThan">
      <formula>0.8</formula>
    </cfRule>
  </conditionalFormatting>
  <conditionalFormatting sqref="R367:T367">
    <cfRule type="notContainsText" dxfId="717" priority="1045" operator="notContains" text="Caida">
      <formula>ISERROR(SEARCH("Caida",R367))</formula>
    </cfRule>
    <cfRule type="containsText" dxfId="716" priority="1046" operator="containsText" text="Caida">
      <formula>NOT(ISERROR(SEARCH("Caida",R367)))</formula>
    </cfRule>
  </conditionalFormatting>
  <conditionalFormatting sqref="E366:K366">
    <cfRule type="containsText" dxfId="715" priority="1034" operator="containsText" text="Radio">
      <formula>NOT(ISERROR(SEARCH("Radio",E366)))</formula>
    </cfRule>
  </conditionalFormatting>
  <conditionalFormatting sqref="P368">
    <cfRule type="cellIs" dxfId="714" priority="1016" operator="lessThan">
      <formula>0.8</formula>
    </cfRule>
    <cfRule type="cellIs" dxfId="713" priority="1017" operator="greaterThan">
      <formula>0.8</formula>
    </cfRule>
  </conditionalFormatting>
  <conditionalFormatting sqref="P368">
    <cfRule type="notContainsText" dxfId="712" priority="1014" operator="notContains" text="Caida">
      <formula>ISERROR(SEARCH("Caida",P368))</formula>
    </cfRule>
    <cfRule type="containsText" dxfId="711" priority="1015" operator="containsText" text="Caida">
      <formula>NOT(ISERROR(SEARCH("Caida",P368)))</formula>
    </cfRule>
  </conditionalFormatting>
  <conditionalFormatting sqref="Q368">
    <cfRule type="cellIs" dxfId="710" priority="1012" operator="lessThan">
      <formula>0.8</formula>
    </cfRule>
    <cfRule type="cellIs" dxfId="709" priority="1013" operator="greaterThan">
      <formula>0.8</formula>
    </cfRule>
  </conditionalFormatting>
  <conditionalFormatting sqref="Q368">
    <cfRule type="notContainsText" dxfId="708" priority="1010" operator="notContains" text="Caida">
      <formula>ISERROR(SEARCH("Caida",Q368))</formula>
    </cfRule>
    <cfRule type="containsText" dxfId="707" priority="1011" operator="containsText" text="Caida">
      <formula>NOT(ISERROR(SEARCH("Caida",Q368)))</formula>
    </cfRule>
  </conditionalFormatting>
  <conditionalFormatting sqref="R368:T368">
    <cfRule type="cellIs" dxfId="706" priority="1008" operator="lessThan">
      <formula>0.8</formula>
    </cfRule>
    <cfRule type="cellIs" dxfId="705" priority="1009" operator="greaterThan">
      <formula>0.8</formula>
    </cfRule>
  </conditionalFormatting>
  <conditionalFormatting sqref="R368:T368">
    <cfRule type="notContainsText" dxfId="704" priority="1006" operator="notContains" text="Caida">
      <formula>ISERROR(SEARCH("Caida",R368))</formula>
    </cfRule>
    <cfRule type="containsText" dxfId="703" priority="1007" operator="containsText" text="Caida">
      <formula>NOT(ISERROR(SEARCH("Caida",R368)))</formula>
    </cfRule>
  </conditionalFormatting>
  <conditionalFormatting sqref="E367:K367">
    <cfRule type="containsText" dxfId="702" priority="995" operator="containsText" text="Radio">
      <formula>NOT(ISERROR(SEARCH("Radio",E367)))</formula>
    </cfRule>
  </conditionalFormatting>
  <conditionalFormatting sqref="P369">
    <cfRule type="cellIs" dxfId="701" priority="977" operator="lessThan">
      <formula>0.8</formula>
    </cfRule>
    <cfRule type="cellIs" dxfId="700" priority="978" operator="greaterThan">
      <formula>0.8</formula>
    </cfRule>
  </conditionalFormatting>
  <conditionalFormatting sqref="P369">
    <cfRule type="notContainsText" dxfId="699" priority="975" operator="notContains" text="Caida">
      <formula>ISERROR(SEARCH("Caida",P369))</formula>
    </cfRule>
    <cfRule type="containsText" dxfId="698" priority="976" operator="containsText" text="Caida">
      <formula>NOT(ISERROR(SEARCH("Caida",P369)))</formula>
    </cfRule>
  </conditionalFormatting>
  <conditionalFormatting sqref="Q369">
    <cfRule type="cellIs" dxfId="697" priority="973" operator="lessThan">
      <formula>0.8</formula>
    </cfRule>
    <cfRule type="cellIs" dxfId="696" priority="974" operator="greaterThan">
      <formula>0.8</formula>
    </cfRule>
  </conditionalFormatting>
  <conditionalFormatting sqref="Q369">
    <cfRule type="notContainsText" dxfId="695" priority="971" operator="notContains" text="Caida">
      <formula>ISERROR(SEARCH("Caida",Q369))</formula>
    </cfRule>
    <cfRule type="containsText" dxfId="694" priority="972" operator="containsText" text="Caida">
      <formula>NOT(ISERROR(SEARCH("Caida",Q369)))</formula>
    </cfRule>
  </conditionalFormatting>
  <conditionalFormatting sqref="R369:T369">
    <cfRule type="cellIs" dxfId="693" priority="969" operator="lessThan">
      <formula>0.8</formula>
    </cfRule>
    <cfRule type="cellIs" dxfId="692" priority="970" operator="greaterThan">
      <formula>0.8</formula>
    </cfRule>
  </conditionalFormatting>
  <conditionalFormatting sqref="R369:T369">
    <cfRule type="notContainsText" dxfId="691" priority="967" operator="notContains" text="Caida">
      <formula>ISERROR(SEARCH("Caida",R369))</formula>
    </cfRule>
    <cfRule type="containsText" dxfId="690" priority="968" operator="containsText" text="Caida">
      <formula>NOT(ISERROR(SEARCH("Caida",R369)))</formula>
    </cfRule>
  </conditionalFormatting>
  <conditionalFormatting sqref="E368:K368">
    <cfRule type="containsText" dxfId="689" priority="956" operator="containsText" text="Radio">
      <formula>NOT(ISERROR(SEARCH("Radio",E368)))</formula>
    </cfRule>
  </conditionalFormatting>
  <conditionalFormatting sqref="U231">
    <cfRule type="cellIs" dxfId="688" priority="897" operator="lessThan">
      <formula>0.8</formula>
    </cfRule>
    <cfRule type="cellIs" dxfId="687" priority="898" operator="greaterThan">
      <formula>0.8</formula>
    </cfRule>
  </conditionalFormatting>
  <conditionalFormatting sqref="U231">
    <cfRule type="notContainsText" dxfId="686" priority="895" operator="notContains" text="Caida">
      <formula>ISERROR(SEARCH("Caida",U231))</formula>
    </cfRule>
    <cfRule type="containsText" dxfId="685" priority="896" operator="containsText" text="Caida">
      <formula>NOT(ISERROR(SEARCH("Caida",U231)))</formula>
    </cfRule>
  </conditionalFormatting>
  <conditionalFormatting sqref="U232">
    <cfRule type="cellIs" dxfId="684" priority="893" operator="lessThan">
      <formula>0.8</formula>
    </cfRule>
    <cfRule type="cellIs" dxfId="683" priority="894" operator="greaterThan">
      <formula>0.8</formula>
    </cfRule>
  </conditionalFormatting>
  <conditionalFormatting sqref="U232">
    <cfRule type="notContainsText" dxfId="682" priority="891" operator="notContains" text="Caida">
      <formula>ISERROR(SEARCH("Caida",U232))</formula>
    </cfRule>
    <cfRule type="containsText" dxfId="681" priority="892" operator="containsText" text="Caida">
      <formula>NOT(ISERROR(SEARCH("Caida",U232)))</formula>
    </cfRule>
  </conditionalFormatting>
  <conditionalFormatting sqref="P370:P372">
    <cfRule type="cellIs" dxfId="680" priority="938" operator="lessThan">
      <formula>0.8</formula>
    </cfRule>
    <cfRule type="cellIs" dxfId="679" priority="939" operator="greaterThan">
      <formula>0.8</formula>
    </cfRule>
  </conditionalFormatting>
  <conditionalFormatting sqref="P370:P372">
    <cfRule type="notContainsText" dxfId="678" priority="936" operator="notContains" text="Caida">
      <formula>ISERROR(SEARCH("Caida",P370))</formula>
    </cfRule>
    <cfRule type="containsText" dxfId="677" priority="937" operator="containsText" text="Caida">
      <formula>NOT(ISERROR(SEARCH("Caida",P370)))</formula>
    </cfRule>
  </conditionalFormatting>
  <conditionalFormatting sqref="Q370:Q372">
    <cfRule type="cellIs" dxfId="676" priority="934" operator="lessThan">
      <formula>0.8</formula>
    </cfRule>
    <cfRule type="cellIs" dxfId="675" priority="935" operator="greaterThan">
      <formula>0.8</formula>
    </cfRule>
  </conditionalFormatting>
  <conditionalFormatting sqref="Q370:Q372">
    <cfRule type="notContainsText" dxfId="674" priority="932" operator="notContains" text="Caida">
      <formula>ISERROR(SEARCH("Caida",Q370))</formula>
    </cfRule>
    <cfRule type="containsText" dxfId="673" priority="933" operator="containsText" text="Caida">
      <formula>NOT(ISERROR(SEARCH("Caida",Q370)))</formula>
    </cfRule>
  </conditionalFormatting>
  <conditionalFormatting sqref="R370:T370">
    <cfRule type="cellIs" dxfId="672" priority="930" operator="lessThan">
      <formula>0.8</formula>
    </cfRule>
    <cfRule type="cellIs" dxfId="671" priority="931" operator="greaterThan">
      <formula>0.8</formula>
    </cfRule>
  </conditionalFormatting>
  <conditionalFormatting sqref="R370:T370">
    <cfRule type="notContainsText" dxfId="670" priority="928" operator="notContains" text="Caida">
      <formula>ISERROR(SEARCH("Caida",R370))</formula>
    </cfRule>
    <cfRule type="containsText" dxfId="669" priority="929" operator="containsText" text="Caida">
      <formula>NOT(ISERROR(SEARCH("Caida",R370)))</formula>
    </cfRule>
  </conditionalFormatting>
  <conditionalFormatting sqref="U368">
    <cfRule type="cellIs" dxfId="668" priority="861" operator="lessThan">
      <formula>0.8</formula>
    </cfRule>
    <cfRule type="cellIs" dxfId="667" priority="862" operator="greaterThan">
      <formula>0.8</formula>
    </cfRule>
  </conditionalFormatting>
  <conditionalFormatting sqref="U368">
    <cfRule type="notContainsText" dxfId="666" priority="859" operator="notContains" text="Caida">
      <formula>ISERROR(SEARCH("Caida",U368))</formula>
    </cfRule>
    <cfRule type="containsText" dxfId="665" priority="860" operator="containsText" text="Caida">
      <formula>NOT(ISERROR(SEARCH("Caida",U368)))</formula>
    </cfRule>
  </conditionalFormatting>
  <conditionalFormatting sqref="U369">
    <cfRule type="cellIs" dxfId="664" priority="857" operator="lessThan">
      <formula>0.8</formula>
    </cfRule>
    <cfRule type="cellIs" dxfId="663" priority="858" operator="greaterThan">
      <formula>0.8</formula>
    </cfRule>
  </conditionalFormatting>
  <conditionalFormatting sqref="U369">
    <cfRule type="notContainsText" dxfId="662" priority="855" operator="notContains" text="Caida">
      <formula>ISERROR(SEARCH("Caida",U369))</formula>
    </cfRule>
    <cfRule type="containsText" dxfId="661" priority="856" operator="containsText" text="Caida">
      <formula>NOT(ISERROR(SEARCH("Caida",U369)))</formula>
    </cfRule>
  </conditionalFormatting>
  <conditionalFormatting sqref="U370:U372">
    <cfRule type="cellIs" dxfId="660" priority="853" operator="lessThan">
      <formula>0.8</formula>
    </cfRule>
    <cfRule type="cellIs" dxfId="659" priority="854" operator="greaterThan">
      <formula>0.8</formula>
    </cfRule>
  </conditionalFormatting>
  <conditionalFormatting sqref="U370:U372">
    <cfRule type="notContainsText" dxfId="658" priority="851" operator="notContains" text="Caida">
      <formula>ISERROR(SEARCH("Caida",U370))</formula>
    </cfRule>
    <cfRule type="containsText" dxfId="657" priority="852" operator="containsText" text="Caida">
      <formula>NOT(ISERROR(SEARCH("Caida",U370)))</formula>
    </cfRule>
  </conditionalFormatting>
  <conditionalFormatting sqref="U6:U92 U96:U230">
    <cfRule type="cellIs" dxfId="656" priority="918" operator="lessThan">
      <formula>0.8</formula>
    </cfRule>
    <cfRule type="cellIs" dxfId="655" priority="919" operator="greaterThan">
      <formula>0.8</formula>
    </cfRule>
  </conditionalFormatting>
  <conditionalFormatting sqref="U6:U92 U96:U230">
    <cfRule type="notContainsText" dxfId="654" priority="916" operator="notContains" text="Caida">
      <formula>ISERROR(SEARCH("Caida",U6))</formula>
    </cfRule>
    <cfRule type="containsText" dxfId="653" priority="917" operator="containsText" text="Caida">
      <formula>NOT(ISERROR(SEARCH("Caida",U6)))</formula>
    </cfRule>
  </conditionalFormatting>
  <conditionalFormatting sqref="U336">
    <cfRule type="cellIs" dxfId="652" priority="873" operator="lessThan">
      <formula>0.8</formula>
    </cfRule>
    <cfRule type="cellIs" dxfId="651" priority="874" operator="greaterThan">
      <formula>0.8</formula>
    </cfRule>
  </conditionalFormatting>
  <conditionalFormatting sqref="U336">
    <cfRule type="notContainsText" dxfId="650" priority="871" operator="notContains" text="Caida">
      <formula>ISERROR(SEARCH("Caida",U336))</formula>
    </cfRule>
    <cfRule type="containsText" dxfId="649" priority="872" operator="containsText" text="Caida">
      <formula>NOT(ISERROR(SEARCH("Caida",U336)))</formula>
    </cfRule>
  </conditionalFormatting>
  <conditionalFormatting sqref="U337:U366 U284:U334">
    <cfRule type="cellIs" dxfId="648" priority="914" operator="lessThan">
      <formula>0.8</formula>
    </cfRule>
    <cfRule type="cellIs" dxfId="647" priority="915" operator="greaterThan">
      <formula>0.8</formula>
    </cfRule>
  </conditionalFormatting>
  <conditionalFormatting sqref="U337:U366 U284:U334 U391:U1048576">
    <cfRule type="notContainsText" dxfId="646" priority="912" operator="notContains" text="Caida">
      <formula>ISERROR(SEARCH("Caida",U284))</formula>
    </cfRule>
    <cfRule type="containsText" dxfId="645" priority="913" operator="containsText" text="Caida">
      <formula>NOT(ISERROR(SEARCH("Caida",U284)))</formula>
    </cfRule>
  </conditionalFormatting>
  <conditionalFormatting sqref="U22">
    <cfRule type="containsText" dxfId="644" priority="911" operator="containsText" text="Instaladas en Funcionamiento Caida">
      <formula>NOT(ISERROR(SEARCH("Instaladas en Funcionamiento Caida",U22)))</formula>
    </cfRule>
  </conditionalFormatting>
  <conditionalFormatting sqref="U282">
    <cfRule type="cellIs" dxfId="643" priority="909" operator="lessThan">
      <formula>0.8</formula>
    </cfRule>
    <cfRule type="cellIs" dxfId="642" priority="910" operator="greaterThan">
      <formula>0.8</formula>
    </cfRule>
  </conditionalFormatting>
  <conditionalFormatting sqref="U282">
    <cfRule type="notContainsText" dxfId="641" priority="907" operator="notContains" text="Caida">
      <formula>ISERROR(SEARCH("Caida",U282))</formula>
    </cfRule>
    <cfRule type="containsText" dxfId="640" priority="908" operator="containsText" text="Caida">
      <formula>NOT(ISERROR(SEARCH("Caida",U282)))</formula>
    </cfRule>
  </conditionalFormatting>
  <conditionalFormatting sqref="U283">
    <cfRule type="cellIs" dxfId="639" priority="905" operator="lessThan">
      <formula>0.8</formula>
    </cfRule>
    <cfRule type="cellIs" dxfId="638" priority="906" operator="greaterThan">
      <formula>0.8</formula>
    </cfRule>
  </conditionalFormatting>
  <conditionalFormatting sqref="U283">
    <cfRule type="notContainsText" dxfId="637" priority="903" operator="notContains" text="Caida">
      <formula>ISERROR(SEARCH("Caida",U283))</formula>
    </cfRule>
    <cfRule type="containsText" dxfId="636" priority="904" operator="containsText" text="Caida">
      <formula>NOT(ISERROR(SEARCH("Caida",U283)))</formula>
    </cfRule>
  </conditionalFormatting>
  <conditionalFormatting sqref="U5">
    <cfRule type="cellIs" dxfId="635" priority="901" operator="lessThan">
      <formula>0.8</formula>
    </cfRule>
    <cfRule type="cellIs" dxfId="634" priority="902" operator="greaterThan">
      <formula>0.8</formula>
    </cfRule>
  </conditionalFormatting>
  <conditionalFormatting sqref="U5">
    <cfRule type="notContainsText" dxfId="633" priority="899" operator="notContains" text="Caida">
      <formula>ISERROR(SEARCH("Caida",U5))</formula>
    </cfRule>
    <cfRule type="containsText" dxfId="632" priority="900" operator="containsText" text="Caida">
      <formula>NOT(ISERROR(SEARCH("Caida",U5)))</formula>
    </cfRule>
  </conditionalFormatting>
  <conditionalFormatting sqref="U233">
    <cfRule type="cellIs" dxfId="631" priority="889" operator="lessThan">
      <formula>0.8</formula>
    </cfRule>
    <cfRule type="cellIs" dxfId="630" priority="890" operator="greaterThan">
      <formula>0.8</formula>
    </cfRule>
  </conditionalFormatting>
  <conditionalFormatting sqref="U233">
    <cfRule type="notContainsText" dxfId="629" priority="887" operator="notContains" text="Caida">
      <formula>ISERROR(SEARCH("Caida",U233))</formula>
    </cfRule>
    <cfRule type="containsText" dxfId="628" priority="888" operator="containsText" text="Caida">
      <formula>NOT(ISERROR(SEARCH("Caida",U233)))</formula>
    </cfRule>
  </conditionalFormatting>
  <conditionalFormatting sqref="U234">
    <cfRule type="cellIs" dxfId="627" priority="885" operator="lessThan">
      <formula>0.8</formula>
    </cfRule>
    <cfRule type="cellIs" dxfId="626" priority="886" operator="greaterThan">
      <formula>0.8</formula>
    </cfRule>
  </conditionalFormatting>
  <conditionalFormatting sqref="U234">
    <cfRule type="notContainsText" dxfId="625" priority="883" operator="notContains" text="Caida">
      <formula>ISERROR(SEARCH("Caida",U234))</formula>
    </cfRule>
    <cfRule type="containsText" dxfId="624" priority="884" operator="containsText" text="Caida">
      <formula>NOT(ISERROR(SEARCH("Caida",U234)))</formula>
    </cfRule>
  </conditionalFormatting>
  <conditionalFormatting sqref="U235">
    <cfRule type="cellIs" dxfId="623" priority="881" operator="lessThan">
      <formula>0.8</formula>
    </cfRule>
    <cfRule type="cellIs" dxfId="622" priority="882" operator="greaterThan">
      <formula>0.8</formula>
    </cfRule>
  </conditionalFormatting>
  <conditionalFormatting sqref="U235">
    <cfRule type="notContainsText" dxfId="621" priority="879" operator="notContains" text="Caida">
      <formula>ISERROR(SEARCH("Caida",U235))</formula>
    </cfRule>
    <cfRule type="containsText" dxfId="620" priority="880" operator="containsText" text="Caida">
      <formula>NOT(ISERROR(SEARCH("Caida",U235)))</formula>
    </cfRule>
  </conditionalFormatting>
  <conditionalFormatting sqref="U335">
    <cfRule type="cellIs" dxfId="619" priority="877" operator="lessThan">
      <formula>0.8</formula>
    </cfRule>
    <cfRule type="cellIs" dxfId="618" priority="878" operator="greaterThan">
      <formula>0.8</formula>
    </cfRule>
  </conditionalFormatting>
  <conditionalFormatting sqref="U335">
    <cfRule type="notContainsText" dxfId="617" priority="875" operator="notContains" text="Caida">
      <formula>ISERROR(SEARCH("Caida",U335))</formula>
    </cfRule>
    <cfRule type="containsText" dxfId="616" priority="876" operator="containsText" text="Caida">
      <formula>NOT(ISERROR(SEARCH("Caida",U335)))</formula>
    </cfRule>
  </conditionalFormatting>
  <conditionalFormatting sqref="U93:U95">
    <cfRule type="cellIs" dxfId="615" priority="869" operator="lessThan">
      <formula>0.8</formula>
    </cfRule>
    <cfRule type="cellIs" dxfId="614" priority="870" operator="greaterThan">
      <formula>0.8</formula>
    </cfRule>
  </conditionalFormatting>
  <conditionalFormatting sqref="U93:U95">
    <cfRule type="notContainsText" dxfId="613" priority="867" operator="notContains" text="Caida">
      <formula>ISERROR(SEARCH("Caida",U93))</formula>
    </cfRule>
    <cfRule type="containsText" dxfId="612" priority="868" operator="containsText" text="Caida">
      <formula>NOT(ISERROR(SEARCH("Caida",U93)))</formula>
    </cfRule>
  </conditionalFormatting>
  <conditionalFormatting sqref="U367">
    <cfRule type="cellIs" dxfId="611" priority="865" operator="lessThan">
      <formula>0.8</formula>
    </cfRule>
    <cfRule type="cellIs" dxfId="610" priority="866" operator="greaterThan">
      <formula>0.8</formula>
    </cfRule>
  </conditionalFormatting>
  <conditionalFormatting sqref="U367">
    <cfRule type="notContainsText" dxfId="609" priority="863" operator="notContains" text="Caida">
      <formula>ISERROR(SEARCH("Caida",U367))</formula>
    </cfRule>
    <cfRule type="containsText" dxfId="608" priority="864" operator="containsText" text="Caida">
      <formula>NOT(ISERROR(SEARCH("Caida",U367)))</formula>
    </cfRule>
  </conditionalFormatting>
  <conditionalFormatting sqref="V6:X92">
    <cfRule type="cellIs" dxfId="607" priority="849" operator="lessThan">
      <formula>0.8</formula>
    </cfRule>
    <cfRule type="cellIs" dxfId="606" priority="850" operator="greaterThan">
      <formula>0.8</formula>
    </cfRule>
  </conditionalFormatting>
  <conditionalFormatting sqref="V6:X92">
    <cfRule type="notContainsText" dxfId="605" priority="847" operator="notContains" text="Caida">
      <formula>ISERROR(SEARCH("Caida",V6))</formula>
    </cfRule>
    <cfRule type="containsText" dxfId="604" priority="848" operator="containsText" text="Caida">
      <formula>NOT(ISERROR(SEARCH("Caida",V6)))</formula>
    </cfRule>
  </conditionalFormatting>
  <conditionalFormatting sqref="V22:AJ22">
    <cfRule type="containsText" dxfId="603" priority="846" operator="containsText" text="Instaladas en Funcionamiento Caida">
      <formula>NOT(ISERROR(SEARCH("Instaladas en Funcionamiento Caida",V22)))</formula>
    </cfRule>
  </conditionalFormatting>
  <conditionalFormatting sqref="V5:AJ5">
    <cfRule type="cellIs" dxfId="602" priority="844" operator="lessThan">
      <formula>0.8</formula>
    </cfRule>
    <cfRule type="cellIs" dxfId="601" priority="845" operator="greaterThan">
      <formula>0.8</formula>
    </cfRule>
  </conditionalFormatting>
  <conditionalFormatting sqref="V5:AJ5">
    <cfRule type="notContainsText" dxfId="600" priority="842" operator="notContains" text="Caida">
      <formula>ISERROR(SEARCH("Caida",V5))</formula>
    </cfRule>
    <cfRule type="containsText" dxfId="599" priority="843" operator="containsText" text="Caida">
      <formula>NOT(ISERROR(SEARCH("Caida",V5)))</formula>
    </cfRule>
  </conditionalFormatting>
  <conditionalFormatting sqref="V93:X95">
    <cfRule type="cellIs" dxfId="598" priority="840" operator="lessThan">
      <formula>0.8</formula>
    </cfRule>
    <cfRule type="cellIs" dxfId="597" priority="841" operator="greaterThan">
      <formula>0.8</formula>
    </cfRule>
  </conditionalFormatting>
  <conditionalFormatting sqref="V93:X95">
    <cfRule type="notContainsText" dxfId="596" priority="838" operator="notContains" text="Caida">
      <formula>ISERROR(SEARCH("Caida",V93))</formula>
    </cfRule>
    <cfRule type="containsText" dxfId="595" priority="839" operator="containsText" text="Caida">
      <formula>NOT(ISERROR(SEARCH("Caida",V93)))</formula>
    </cfRule>
  </conditionalFormatting>
  <conditionalFormatting sqref="E1:E372 E391:E1048576">
    <cfRule type="containsText" dxfId="594" priority="698" operator="containsText" text="fija">
      <formula>NOT(ISERROR(SEARCH("fija",E1)))</formula>
    </cfRule>
    <cfRule type="containsText" dxfId="593" priority="699" operator="containsText" text="domo">
      <formula>NOT(ISERROR(SEARCH("domo",E1)))</formula>
    </cfRule>
  </conditionalFormatting>
  <conditionalFormatting sqref="AK6:AP92">
    <cfRule type="cellIs" dxfId="592" priority="674" operator="lessThan">
      <formula>0.8</formula>
    </cfRule>
    <cfRule type="cellIs" dxfId="591" priority="675" operator="greaterThan">
      <formula>0.8</formula>
    </cfRule>
  </conditionalFormatting>
  <conditionalFormatting sqref="AK6:AP92">
    <cfRule type="notContainsText" dxfId="590" priority="672" operator="notContains" text="Caida">
      <formula>ISERROR(SEARCH("Caida",AK6))</formula>
    </cfRule>
    <cfRule type="containsText" dxfId="589" priority="673" operator="containsText" text="Caida">
      <formula>NOT(ISERROR(SEARCH("Caida",AK6)))</formula>
    </cfRule>
  </conditionalFormatting>
  <conditionalFormatting sqref="AK22:AR22">
    <cfRule type="containsText" dxfId="588" priority="671" operator="containsText" text="Instaladas en Funcionamiento Caida">
      <formula>NOT(ISERROR(SEARCH("Instaladas en Funcionamiento Caida",AK22)))</formula>
    </cfRule>
  </conditionalFormatting>
  <conditionalFormatting sqref="AK5:AR5">
    <cfRule type="cellIs" dxfId="587" priority="669" operator="lessThan">
      <formula>0.8</formula>
    </cfRule>
    <cfRule type="cellIs" dxfId="586" priority="670" operator="greaterThan">
      <formula>0.8</formula>
    </cfRule>
  </conditionalFormatting>
  <conditionalFormatting sqref="AK5:AR5">
    <cfRule type="notContainsText" dxfId="585" priority="667" operator="notContains" text="Caida">
      <formula>ISERROR(SEARCH("Caida",AK5))</formula>
    </cfRule>
    <cfRule type="containsText" dxfId="584" priority="668" operator="containsText" text="Caida">
      <formula>NOT(ISERROR(SEARCH("Caida",AK5)))</formula>
    </cfRule>
  </conditionalFormatting>
  <conditionalFormatting sqref="AK93:AP94">
    <cfRule type="cellIs" dxfId="583" priority="665" operator="lessThan">
      <formula>0.8</formula>
    </cfRule>
    <cfRule type="cellIs" dxfId="582" priority="666" operator="greaterThan">
      <formula>0.8</formula>
    </cfRule>
  </conditionalFormatting>
  <conditionalFormatting sqref="AK93:AP94">
    <cfRule type="notContainsText" dxfId="581" priority="663" operator="notContains" text="Caida">
      <formula>ISERROR(SEARCH("Caida",AK93))</formula>
    </cfRule>
    <cfRule type="containsText" dxfId="580" priority="664" operator="containsText" text="Caida">
      <formula>NOT(ISERROR(SEARCH("Caida",AK93)))</formula>
    </cfRule>
  </conditionalFormatting>
  <conditionalFormatting sqref="O247:O372 O5:AJ369 AK1:AR1 AK391:AR1048576 AK5:AR372">
    <cfRule type="cellIs" dxfId="579" priority="662" operator="equal">
      <formula>"APAGADO"</formula>
    </cfRule>
  </conditionalFormatting>
  <conditionalFormatting sqref="S6:S92 S96:S230">
    <cfRule type="cellIs" dxfId="578" priority="646" operator="lessThan">
      <formula>0.8</formula>
    </cfRule>
    <cfRule type="cellIs" dxfId="577" priority="647" operator="greaterThan">
      <formula>0.8</formula>
    </cfRule>
  </conditionalFormatting>
  <conditionalFormatting sqref="S6:S92 S96:S230">
    <cfRule type="notContainsText" dxfId="576" priority="644" operator="notContains" text="Caida">
      <formula>ISERROR(SEARCH("Caida",S6))</formula>
    </cfRule>
    <cfRule type="containsText" dxfId="575" priority="645" operator="containsText" text="Caida">
      <formula>NOT(ISERROR(SEARCH("Caida",S6)))</formula>
    </cfRule>
  </conditionalFormatting>
  <conditionalFormatting sqref="S337:S366 S284:S334">
    <cfRule type="cellIs" dxfId="574" priority="642" operator="lessThan">
      <formula>0.8</formula>
    </cfRule>
    <cfRule type="cellIs" dxfId="573" priority="643" operator="greaterThan">
      <formula>0.8</formula>
    </cfRule>
  </conditionalFormatting>
  <conditionalFormatting sqref="S337:S366 S284:S334">
    <cfRule type="notContainsText" dxfId="572" priority="640" operator="notContains" text="Caida">
      <formula>ISERROR(SEARCH("Caida",S284))</formula>
    </cfRule>
    <cfRule type="containsText" dxfId="571" priority="641" operator="containsText" text="Caida">
      <formula>NOT(ISERROR(SEARCH("Caida",S284)))</formula>
    </cfRule>
  </conditionalFormatting>
  <conditionalFormatting sqref="S93:S95">
    <cfRule type="cellIs" dxfId="570" priority="638" operator="lessThan">
      <formula>0.8</formula>
    </cfRule>
    <cfRule type="cellIs" dxfId="569" priority="639" operator="greaterThan">
      <formula>0.8</formula>
    </cfRule>
  </conditionalFormatting>
  <conditionalFormatting sqref="S93:S95">
    <cfRule type="notContainsText" dxfId="568" priority="636" operator="notContains" text="Caida">
      <formula>ISERROR(SEARCH("Caida",S93))</formula>
    </cfRule>
    <cfRule type="containsText" dxfId="567" priority="637" operator="containsText" text="Caida">
      <formula>NOT(ISERROR(SEARCH("Caida",S93)))</formula>
    </cfRule>
  </conditionalFormatting>
  <conditionalFormatting sqref="T6:T92 T96:T230">
    <cfRule type="cellIs" dxfId="566" priority="634" operator="lessThan">
      <formula>0.8</formula>
    </cfRule>
    <cfRule type="cellIs" dxfId="565" priority="635" operator="greaterThan">
      <formula>0.8</formula>
    </cfRule>
  </conditionalFormatting>
  <conditionalFormatting sqref="T6:T92 T96:T230">
    <cfRule type="notContainsText" dxfId="564" priority="632" operator="notContains" text="Caida">
      <formula>ISERROR(SEARCH("Caida",T6))</formula>
    </cfRule>
    <cfRule type="containsText" dxfId="563" priority="633" operator="containsText" text="Caida">
      <formula>NOT(ISERROR(SEARCH("Caida",T6)))</formula>
    </cfRule>
  </conditionalFormatting>
  <conditionalFormatting sqref="T337:T366 T284:T334">
    <cfRule type="cellIs" dxfId="562" priority="630" operator="lessThan">
      <formula>0.8</formula>
    </cfRule>
    <cfRule type="cellIs" dxfId="561" priority="631" operator="greaterThan">
      <formula>0.8</formula>
    </cfRule>
  </conditionalFormatting>
  <conditionalFormatting sqref="T337:T366 T284:T334">
    <cfRule type="notContainsText" dxfId="560" priority="628" operator="notContains" text="Caida">
      <formula>ISERROR(SEARCH("Caida",T284))</formula>
    </cfRule>
    <cfRule type="containsText" dxfId="559" priority="629" operator="containsText" text="Caida">
      <formula>NOT(ISERROR(SEARCH("Caida",T284)))</formula>
    </cfRule>
  </conditionalFormatting>
  <conditionalFormatting sqref="T93:T95">
    <cfRule type="cellIs" dxfId="558" priority="626" operator="lessThan">
      <formula>0.8</formula>
    </cfRule>
    <cfRule type="cellIs" dxfId="557" priority="627" operator="greaterThan">
      <formula>0.8</formula>
    </cfRule>
  </conditionalFormatting>
  <conditionalFormatting sqref="T93:T95">
    <cfRule type="notContainsText" dxfId="556" priority="624" operator="notContains" text="Caida">
      <formula>ISERROR(SEARCH("Caida",T93))</formula>
    </cfRule>
    <cfRule type="containsText" dxfId="555" priority="625" operator="containsText" text="Caida">
      <formula>NOT(ISERROR(SEARCH("Caida",T93)))</formula>
    </cfRule>
  </conditionalFormatting>
  <conditionalFormatting sqref="F1:F372 F391:F1048576">
    <cfRule type="cellIs" dxfId="554" priority="553" operator="equal">
      <formula>"PTP A FO"</formula>
    </cfRule>
  </conditionalFormatting>
  <conditionalFormatting sqref="R371:T372">
    <cfRule type="cellIs" dxfId="553" priority="182" operator="lessThan">
      <formula>0.8</formula>
    </cfRule>
    <cfRule type="cellIs" dxfId="552" priority="183" operator="greaterThan">
      <formula>0.8</formula>
    </cfRule>
  </conditionalFormatting>
  <conditionalFormatting sqref="R371:T372">
    <cfRule type="notContainsText" dxfId="551" priority="180" operator="notContains" text="Caida">
      <formula>ISERROR(SEARCH("Caida",R371))</formula>
    </cfRule>
    <cfRule type="containsText" dxfId="550" priority="181" operator="containsText" text="Caida">
      <formula>NOT(ISERROR(SEARCH("Caida",R371)))</formula>
    </cfRule>
  </conditionalFormatting>
  <conditionalFormatting sqref="O6:O92">
    <cfRule type="cellIs" dxfId="549" priority="170" operator="lessThan">
      <formula>0.8</formula>
    </cfRule>
    <cfRule type="cellIs" dxfId="548" priority="171" operator="greaterThan">
      <formula>0.8</formula>
    </cfRule>
  </conditionalFormatting>
  <conditionalFormatting sqref="O6:O92">
    <cfRule type="notContainsText" dxfId="547" priority="168" operator="notContains" text="Caida">
      <formula>ISERROR(SEARCH("Caida",O6))</formula>
    </cfRule>
    <cfRule type="containsText" dxfId="546" priority="169" operator="containsText" text="Caida">
      <formula>NOT(ISERROR(SEARCH("Caida",O6)))</formula>
    </cfRule>
  </conditionalFormatting>
  <conditionalFormatting sqref="O22">
    <cfRule type="containsText" dxfId="545" priority="167" operator="containsText" text="Instaladas en Funcionamiento Caida">
      <formula>NOT(ISERROR(SEARCH("Instaladas en Funcionamiento Caida",O22)))</formula>
    </cfRule>
  </conditionalFormatting>
  <conditionalFormatting sqref="O5">
    <cfRule type="cellIs" dxfId="544" priority="165" operator="lessThan">
      <formula>0.8</formula>
    </cfRule>
    <cfRule type="cellIs" dxfId="543" priority="166" operator="greaterThan">
      <formula>0.8</formula>
    </cfRule>
  </conditionalFormatting>
  <conditionalFormatting sqref="O5">
    <cfRule type="notContainsText" dxfId="542" priority="163" operator="notContains" text="Caida">
      <formula>ISERROR(SEARCH("Caida",O5))</formula>
    </cfRule>
    <cfRule type="containsText" dxfId="541" priority="164" operator="containsText" text="Caida">
      <formula>NOT(ISERROR(SEARCH("Caida",O5)))</formula>
    </cfRule>
  </conditionalFormatting>
  <conditionalFormatting sqref="O93:O94">
    <cfRule type="cellIs" dxfId="540" priority="161" operator="lessThan">
      <formula>0.8</formula>
    </cfRule>
    <cfRule type="cellIs" dxfId="539" priority="162" operator="greaterThan">
      <formula>0.8</formula>
    </cfRule>
  </conditionalFormatting>
  <conditionalFormatting sqref="O93:O94">
    <cfRule type="notContainsText" dxfId="538" priority="159" operator="notContains" text="Caida">
      <formula>ISERROR(SEARCH("Caida",O93))</formula>
    </cfRule>
    <cfRule type="containsText" dxfId="537" priority="160" operator="containsText" text="Caida">
      <formula>NOT(ISERROR(SEARCH("Caida",O93)))</formula>
    </cfRule>
  </conditionalFormatting>
  <conditionalFormatting sqref="AR6:AR92">
    <cfRule type="cellIs" dxfId="536" priority="152" operator="lessThan">
      <formula>0.8</formula>
    </cfRule>
    <cfRule type="cellIs" dxfId="535" priority="153" operator="greaterThan">
      <formula>0.8</formula>
    </cfRule>
  </conditionalFormatting>
  <conditionalFormatting sqref="AR6:AR92">
    <cfRule type="notContainsText" dxfId="534" priority="150" operator="notContains" text="Caida">
      <formula>ISERROR(SEARCH("Caida",AR6))</formula>
    </cfRule>
    <cfRule type="containsText" dxfId="533" priority="151" operator="containsText" text="Caida">
      <formula>NOT(ISERROR(SEARCH("Caida",AR6)))</formula>
    </cfRule>
  </conditionalFormatting>
  <conditionalFormatting sqref="AR93:AR94">
    <cfRule type="cellIs" dxfId="532" priority="148" operator="lessThan">
      <formula>0.8</formula>
    </cfRule>
    <cfRule type="cellIs" dxfId="531" priority="149" operator="greaterThan">
      <formula>0.8</formula>
    </cfRule>
  </conditionalFormatting>
  <conditionalFormatting sqref="AR93:AR94">
    <cfRule type="notContainsText" dxfId="530" priority="146" operator="notContains" text="Caida">
      <formula>ISERROR(SEARCH("Caida",AR93))</formula>
    </cfRule>
    <cfRule type="containsText" dxfId="529" priority="147" operator="containsText" text="Caida">
      <formula>NOT(ISERROR(SEARCH("Caida",AR93)))</formula>
    </cfRule>
  </conditionalFormatting>
  <conditionalFormatting sqref="Y6:AF92">
    <cfRule type="cellIs" dxfId="528" priority="87" operator="lessThan">
      <formula>0.8</formula>
    </cfRule>
    <cfRule type="cellIs" dxfId="527" priority="88" operator="greaterThan">
      <formula>0.8</formula>
    </cfRule>
  </conditionalFormatting>
  <conditionalFormatting sqref="Y6:AF92">
    <cfRule type="notContainsText" dxfId="526" priority="85" operator="notContains" text="Caida">
      <formula>ISERROR(SEARCH("Caida",Y6))</formula>
    </cfRule>
    <cfRule type="containsText" dxfId="525" priority="86" operator="containsText" text="Caida">
      <formula>NOT(ISERROR(SEARCH("Caida",Y6)))</formula>
    </cfRule>
  </conditionalFormatting>
  <conditionalFormatting sqref="Y93:AF95">
    <cfRule type="cellIs" dxfId="524" priority="83" operator="lessThan">
      <formula>0.8</formula>
    </cfRule>
    <cfRule type="cellIs" dxfId="523" priority="84" operator="greaterThan">
      <formula>0.8</formula>
    </cfRule>
  </conditionalFormatting>
  <conditionalFormatting sqref="Y93:AF95">
    <cfRule type="notContainsText" dxfId="522" priority="81" operator="notContains" text="Caida">
      <formula>ISERROR(SEARCH("Caida",Y93))</formula>
    </cfRule>
    <cfRule type="containsText" dxfId="521" priority="82" operator="containsText" text="Caida">
      <formula>NOT(ISERROR(SEARCH("Caida",Y93)))</formula>
    </cfRule>
  </conditionalFormatting>
  <conditionalFormatting sqref="AF1:AF3 AF5:AF1048576">
    <cfRule type="cellIs" dxfId="520" priority="80" operator="equal">
      <formula>"apagado"</formula>
    </cfRule>
  </conditionalFormatting>
  <conditionalFormatting sqref="AE1:AE3 AE5:AE1048576">
    <cfRule type="cellIs" dxfId="519" priority="79" operator="equal">
      <formula>"apagado"</formula>
    </cfRule>
  </conditionalFormatting>
  <conditionalFormatting sqref="AD1:AD3 AD5:AD1048576">
    <cfRule type="cellIs" dxfId="518" priority="78" operator="equal">
      <formula>"apagado"</formula>
    </cfRule>
  </conditionalFormatting>
  <conditionalFormatting sqref="AC1:AC3 AC5:AC1048576">
    <cfRule type="cellIs" dxfId="517" priority="77" operator="equal">
      <formula>"apagado"</formula>
    </cfRule>
  </conditionalFormatting>
  <conditionalFormatting sqref="AB1:AB3 AB5:AB1048576">
    <cfRule type="cellIs" dxfId="516" priority="76" operator="equal">
      <formula>"apagado"</formula>
    </cfRule>
  </conditionalFormatting>
  <conditionalFormatting sqref="AA1:AA3 AA5:AA1048576">
    <cfRule type="cellIs" dxfId="515" priority="75" operator="equal">
      <formula>"apagado"</formula>
    </cfRule>
  </conditionalFormatting>
  <conditionalFormatting sqref="Z1:Z3 Z5:Z1048576">
    <cfRule type="cellIs" dxfId="514" priority="74" operator="equal">
      <formula>"apagado"</formula>
    </cfRule>
  </conditionalFormatting>
  <conditionalFormatting sqref="Y1:Y3 Y5:Y1048576">
    <cfRule type="cellIs" dxfId="513" priority="73" operator="equal">
      <formula>"apagado"</formula>
    </cfRule>
  </conditionalFormatting>
  <conditionalFormatting sqref="AG6:AG92">
    <cfRule type="cellIs" dxfId="512" priority="71" operator="lessThan">
      <formula>0.8</formula>
    </cfRule>
    <cfRule type="cellIs" dxfId="511" priority="72" operator="greaterThan">
      <formula>0.8</formula>
    </cfRule>
  </conditionalFormatting>
  <conditionalFormatting sqref="AG6:AG92">
    <cfRule type="notContainsText" dxfId="510" priority="69" operator="notContains" text="Caida">
      <formula>ISERROR(SEARCH("Caida",AG6))</formula>
    </cfRule>
    <cfRule type="containsText" dxfId="509" priority="70" operator="containsText" text="Caida">
      <formula>NOT(ISERROR(SEARCH("Caida",AG6)))</formula>
    </cfRule>
  </conditionalFormatting>
  <conditionalFormatting sqref="AG93:AG95">
    <cfRule type="cellIs" dxfId="508" priority="67" operator="lessThan">
      <formula>0.8</formula>
    </cfRule>
    <cfRule type="cellIs" dxfId="507" priority="68" operator="greaterThan">
      <formula>0.8</formula>
    </cfRule>
  </conditionalFormatting>
  <conditionalFormatting sqref="AG93:AG95">
    <cfRule type="notContainsText" dxfId="506" priority="65" operator="notContains" text="Caida">
      <formula>ISERROR(SEARCH("Caida",AG93))</formula>
    </cfRule>
    <cfRule type="containsText" dxfId="505" priority="66" operator="containsText" text="Caida">
      <formula>NOT(ISERROR(SEARCH("Caida",AG93)))</formula>
    </cfRule>
  </conditionalFormatting>
  <conditionalFormatting sqref="AG1:AG3 AG5:AG1048576">
    <cfRule type="cellIs" dxfId="504" priority="64" operator="equal">
      <formula>"apagado"</formula>
    </cfRule>
  </conditionalFormatting>
  <conditionalFormatting sqref="AH6:AH92">
    <cfRule type="cellIs" dxfId="503" priority="62" operator="lessThan">
      <formula>0.8</formula>
    </cfRule>
    <cfRule type="cellIs" dxfId="502" priority="63" operator="greaterThan">
      <formula>0.8</formula>
    </cfRule>
  </conditionalFormatting>
  <conditionalFormatting sqref="AH6:AH92">
    <cfRule type="notContainsText" dxfId="501" priority="60" operator="notContains" text="Caida">
      <formula>ISERROR(SEARCH("Caida",AH6))</formula>
    </cfRule>
    <cfRule type="containsText" dxfId="500" priority="61" operator="containsText" text="Caida">
      <formula>NOT(ISERROR(SEARCH("Caida",AH6)))</formula>
    </cfRule>
  </conditionalFormatting>
  <conditionalFormatting sqref="AH93:AH95">
    <cfRule type="cellIs" dxfId="499" priority="58" operator="lessThan">
      <formula>0.8</formula>
    </cfRule>
    <cfRule type="cellIs" dxfId="498" priority="59" operator="greaterThan">
      <formula>0.8</formula>
    </cfRule>
  </conditionalFormatting>
  <conditionalFormatting sqref="AH93:AH95">
    <cfRule type="notContainsText" dxfId="497" priority="56" operator="notContains" text="Caida">
      <formula>ISERROR(SEARCH("Caida",AH93))</formula>
    </cfRule>
    <cfRule type="containsText" dxfId="496" priority="57" operator="containsText" text="Caida">
      <formula>NOT(ISERROR(SEARCH("Caida",AH93)))</formula>
    </cfRule>
  </conditionalFormatting>
  <conditionalFormatting sqref="AH1:AH3 AH5:AH1048576">
    <cfRule type="cellIs" dxfId="495" priority="55" operator="equal">
      <formula>"apagado"</formula>
    </cfRule>
  </conditionalFormatting>
  <conditionalFormatting sqref="AI6:AI92">
    <cfRule type="cellIs" dxfId="494" priority="53" operator="lessThan">
      <formula>0.8</formula>
    </cfRule>
    <cfRule type="cellIs" dxfId="493" priority="54" operator="greaterThan">
      <formula>0.8</formula>
    </cfRule>
  </conditionalFormatting>
  <conditionalFormatting sqref="AI6:AI92">
    <cfRule type="notContainsText" dxfId="492" priority="51" operator="notContains" text="Caida">
      <formula>ISERROR(SEARCH("Caida",AI6))</formula>
    </cfRule>
    <cfRule type="containsText" dxfId="491" priority="52" operator="containsText" text="Caida">
      <formula>NOT(ISERROR(SEARCH("Caida",AI6)))</formula>
    </cfRule>
  </conditionalFormatting>
  <conditionalFormatting sqref="AI93:AI95">
    <cfRule type="cellIs" dxfId="490" priority="49" operator="lessThan">
      <formula>0.8</formula>
    </cfRule>
    <cfRule type="cellIs" dxfId="489" priority="50" operator="greaterThan">
      <formula>0.8</formula>
    </cfRule>
  </conditionalFormatting>
  <conditionalFormatting sqref="AI93:AI95">
    <cfRule type="notContainsText" dxfId="488" priority="47" operator="notContains" text="Caida">
      <formula>ISERROR(SEARCH("Caida",AI93))</formula>
    </cfRule>
    <cfRule type="containsText" dxfId="487" priority="48" operator="containsText" text="Caida">
      <formula>NOT(ISERROR(SEARCH("Caida",AI93)))</formula>
    </cfRule>
  </conditionalFormatting>
  <conditionalFormatting sqref="AI1:AI3 AI5:AI1048576">
    <cfRule type="cellIs" dxfId="486" priority="46" operator="equal">
      <formula>"apagado"</formula>
    </cfRule>
  </conditionalFormatting>
  <conditionalFormatting sqref="AJ6:AJ92">
    <cfRule type="cellIs" dxfId="485" priority="44" operator="lessThan">
      <formula>0.8</formula>
    </cfRule>
    <cfRule type="cellIs" dxfId="484" priority="45" operator="greaterThan">
      <formula>0.8</formula>
    </cfRule>
  </conditionalFormatting>
  <conditionalFormatting sqref="AJ6:AJ92">
    <cfRule type="notContainsText" dxfId="483" priority="42" operator="notContains" text="Caida">
      <formula>ISERROR(SEARCH("Caida",AJ6))</formula>
    </cfRule>
    <cfRule type="containsText" dxfId="482" priority="43" operator="containsText" text="Caida">
      <formula>NOT(ISERROR(SEARCH("Caida",AJ6)))</formula>
    </cfRule>
  </conditionalFormatting>
  <conditionalFormatting sqref="AJ93:AJ95">
    <cfRule type="cellIs" dxfId="481" priority="40" operator="lessThan">
      <formula>0.8</formula>
    </cfRule>
    <cfRule type="cellIs" dxfId="480" priority="41" operator="greaterThan">
      <formula>0.8</formula>
    </cfRule>
  </conditionalFormatting>
  <conditionalFormatting sqref="AJ93:AJ95">
    <cfRule type="notContainsText" dxfId="479" priority="38" operator="notContains" text="Caida">
      <formula>ISERROR(SEARCH("Caida",AJ93))</formula>
    </cfRule>
    <cfRule type="containsText" dxfId="478" priority="39" operator="containsText" text="Caida">
      <formula>NOT(ISERROR(SEARCH("Caida",AJ93)))</formula>
    </cfRule>
  </conditionalFormatting>
  <conditionalFormatting sqref="AJ1:AJ3 AJ5:AJ1048576">
    <cfRule type="cellIs" dxfId="477" priority="37" operator="equal">
      <formula>"apagado"</formula>
    </cfRule>
  </conditionalFormatting>
  <conditionalFormatting sqref="AQ95:AQ369">
    <cfRule type="cellIs" dxfId="476" priority="18" operator="lessThan">
      <formula>0.8</formula>
    </cfRule>
    <cfRule type="cellIs" dxfId="475" priority="19" operator="greaterThan">
      <formula>0.8</formula>
    </cfRule>
  </conditionalFormatting>
  <conditionalFormatting sqref="AQ95:AQ372 AQ391:AQ1048576">
    <cfRule type="notContainsText" dxfId="474" priority="16" operator="notContains" text="Caida">
      <formula>ISERROR(SEARCH("Caida",AQ95))</formula>
    </cfRule>
    <cfRule type="containsText" dxfId="473" priority="17" operator="containsText" text="Caida">
      <formula>NOT(ISERROR(SEARCH("Caida",AQ95)))</formula>
    </cfRule>
  </conditionalFormatting>
  <conditionalFormatting sqref="AQ6:AQ92">
    <cfRule type="cellIs" dxfId="472" priority="14" operator="lessThan">
      <formula>0.8</formula>
    </cfRule>
    <cfRule type="cellIs" dxfId="471" priority="15" operator="greaterThan">
      <formula>0.8</formula>
    </cfRule>
  </conditionalFormatting>
  <conditionalFormatting sqref="AQ6:AQ92">
    <cfRule type="notContainsText" dxfId="470" priority="12" operator="notContains" text="Caida">
      <formula>ISERROR(SEARCH("Caida",AQ6))</formula>
    </cfRule>
    <cfRule type="containsText" dxfId="469" priority="13" operator="containsText" text="Caida">
      <formula>NOT(ISERROR(SEARCH("Caida",AQ6)))</formula>
    </cfRule>
  </conditionalFormatting>
  <conditionalFormatting sqref="AQ93:AQ94">
    <cfRule type="cellIs" dxfId="468" priority="10" operator="lessThan">
      <formula>0.8</formula>
    </cfRule>
    <cfRule type="cellIs" dxfId="467" priority="11" operator="greaterThan">
      <formula>0.8</formula>
    </cfRule>
  </conditionalFormatting>
  <conditionalFormatting sqref="AQ93:AQ94">
    <cfRule type="notContainsText" dxfId="466" priority="8" operator="notContains" text="Caida">
      <formula>ISERROR(SEARCH("Caida",AQ93))</formula>
    </cfRule>
    <cfRule type="containsText" dxfId="465" priority="9" operator="containsText" text="Caida">
      <formula>NOT(ISERROR(SEARCH("Caida",AQ93)))</formula>
    </cfRule>
  </conditionalFormatting>
  <conditionalFormatting sqref="AQ10">
    <cfRule type="cellIs" dxfId="464" priority="3" operator="equal">
      <formula>"apagado"</formula>
    </cfRule>
    <cfRule type="cellIs" dxfId="463" priority="6" operator="lessThan">
      <formula>0.8</formula>
    </cfRule>
    <cfRule type="cellIs" dxfId="462" priority="7" operator="greaterThan">
      <formula>0.8</formula>
    </cfRule>
  </conditionalFormatting>
  <conditionalFormatting sqref="AQ10">
    <cfRule type="notContainsText" dxfId="461" priority="4" operator="notContains" text="Caida">
      <formula>ISERROR(SEARCH("Caida",AQ10))</formula>
    </cfRule>
    <cfRule type="containsText" dxfId="460" priority="5" operator="containsText" text="Caida">
      <formula>NOT(ISERROR(SEARCH("Caida",AQ10)))</formula>
    </cfRule>
  </conditionalFormatting>
  <conditionalFormatting sqref="AQ1:AQ3 AQ5:AQ1048576">
    <cfRule type="cellIs" dxfId="459" priority="2" operator="equal">
      <formula>"apagado"</formula>
    </cfRule>
  </conditionalFormatting>
  <conditionalFormatting sqref="O5:AR376">
    <cfRule type="cellIs" dxfId="0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4.4" x14ac:dyDescent="0.3"/>
  <cols>
    <col min="2" max="2" width="22.33203125" bestFit="1" customWidth="1"/>
    <col min="3" max="3" width="37.6640625" bestFit="1" customWidth="1"/>
    <col min="4" max="4" width="34.33203125" bestFit="1" customWidth="1"/>
    <col min="7" max="7" width="9.6640625" bestFit="1" customWidth="1"/>
  </cols>
  <sheetData>
    <row r="1" spans="1:8" ht="19.2" thickTop="1" thickBot="1" x14ac:dyDescent="0.4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" thickTop="1" x14ac:dyDescent="0.3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3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3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3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3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3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3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3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3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3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3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3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961" priority="37" operator="lessThan">
      <formula>0.8</formula>
    </cfRule>
    <cfRule type="cellIs" dxfId="960" priority="38" operator="greaterThan">
      <formula>0.8</formula>
    </cfRule>
  </conditionalFormatting>
  <conditionalFormatting sqref="E1:F13">
    <cfRule type="containsText" dxfId="959" priority="36" operator="containsText" text="Radio">
      <formula>NOT(ISERROR(SEARCH("Radio",E1)))</formula>
    </cfRule>
  </conditionalFormatting>
  <conditionalFormatting sqref="G2:G13">
    <cfRule type="notContainsText" dxfId="958" priority="34" operator="notContains" text="Caida">
      <formula>ISERROR(SEARCH("Caida",G2))</formula>
    </cfRule>
    <cfRule type="containsText" dxfId="957" priority="35" operator="containsText" text="Caida">
      <formula>NOT(ISERROR(SEARCH("Caida",G2)))</formula>
    </cfRule>
  </conditionalFormatting>
  <conditionalFormatting sqref="E2">
    <cfRule type="containsText" dxfId="956" priority="32" operator="containsText" text="fija">
      <formula>NOT(ISERROR(SEARCH("fija",E2)))</formula>
    </cfRule>
    <cfRule type="containsText" dxfId="955" priority="33" operator="containsText" text="domo">
      <formula>NOT(ISERROR(SEARCH("domo",E2)))</formula>
    </cfRule>
  </conditionalFormatting>
  <conditionalFormatting sqref="G2:G13">
    <cfRule type="cellIs" dxfId="954" priority="31" operator="equal">
      <formula>"APAGADO"</formula>
    </cfRule>
  </conditionalFormatting>
  <conditionalFormatting sqref="F2">
    <cfRule type="cellIs" dxfId="953" priority="30" operator="equal">
      <formula>"PTP A FO"</formula>
    </cfRule>
  </conditionalFormatting>
  <conditionalFormatting sqref="G1:G13">
    <cfRule type="cellIs" dxfId="952" priority="29" operator="equal">
      <formula>"apagado"</formula>
    </cfRule>
  </conditionalFormatting>
  <conditionalFormatting sqref="E3">
    <cfRule type="containsText" dxfId="951" priority="27" operator="containsText" text="fija">
      <formula>NOT(ISERROR(SEARCH("fija",E3)))</formula>
    </cfRule>
    <cfRule type="containsText" dxfId="950" priority="28" operator="containsText" text="domo">
      <formula>NOT(ISERROR(SEARCH("domo",E3)))</formula>
    </cfRule>
  </conditionalFormatting>
  <conditionalFormatting sqref="F3">
    <cfRule type="cellIs" dxfId="949" priority="26" operator="equal">
      <formula>"PTP A FO"</formula>
    </cfRule>
  </conditionalFormatting>
  <conditionalFormatting sqref="E4">
    <cfRule type="containsText" dxfId="948" priority="24" operator="containsText" text="fija">
      <formula>NOT(ISERROR(SEARCH("fija",E4)))</formula>
    </cfRule>
    <cfRule type="containsText" dxfId="947" priority="25" operator="containsText" text="domo">
      <formula>NOT(ISERROR(SEARCH("domo",E4)))</formula>
    </cfRule>
  </conditionalFormatting>
  <conditionalFormatting sqref="F4">
    <cfRule type="cellIs" dxfId="946" priority="23" operator="equal">
      <formula>"PTP A FO"</formula>
    </cfRule>
  </conditionalFormatting>
  <conditionalFormatting sqref="E5">
    <cfRule type="containsText" dxfId="945" priority="21" operator="containsText" text="fija">
      <formula>NOT(ISERROR(SEARCH("fija",E5)))</formula>
    </cfRule>
    <cfRule type="containsText" dxfId="944" priority="22" operator="containsText" text="domo">
      <formula>NOT(ISERROR(SEARCH("domo",E5)))</formula>
    </cfRule>
  </conditionalFormatting>
  <conditionalFormatting sqref="F5">
    <cfRule type="cellIs" dxfId="943" priority="20" operator="equal">
      <formula>"PTP A FO"</formula>
    </cfRule>
  </conditionalFormatting>
  <conditionalFormatting sqref="E6">
    <cfRule type="containsText" dxfId="942" priority="18" operator="containsText" text="fija">
      <formula>NOT(ISERROR(SEARCH("fija",E6)))</formula>
    </cfRule>
    <cfRule type="containsText" dxfId="941" priority="19" operator="containsText" text="domo">
      <formula>NOT(ISERROR(SEARCH("domo",E6)))</formula>
    </cfRule>
  </conditionalFormatting>
  <conditionalFormatting sqref="F6">
    <cfRule type="cellIs" dxfId="940" priority="17" operator="equal">
      <formula>"PTP A FO"</formula>
    </cfRule>
  </conditionalFormatting>
  <conditionalFormatting sqref="E7:E8">
    <cfRule type="containsText" dxfId="939" priority="15" operator="containsText" text="fija">
      <formula>NOT(ISERROR(SEARCH("fija",E7)))</formula>
    </cfRule>
    <cfRule type="containsText" dxfId="938" priority="16" operator="containsText" text="domo">
      <formula>NOT(ISERROR(SEARCH("domo",E7)))</formula>
    </cfRule>
  </conditionalFormatting>
  <conditionalFormatting sqref="F7:F8">
    <cfRule type="cellIs" dxfId="937" priority="14" operator="equal">
      <formula>"PTP A FO"</formula>
    </cfRule>
  </conditionalFormatting>
  <conditionalFormatting sqref="E9:E13">
    <cfRule type="containsText" dxfId="936" priority="12" operator="containsText" text="fija">
      <formula>NOT(ISERROR(SEARCH("fija",E9)))</formula>
    </cfRule>
    <cfRule type="containsText" dxfId="935" priority="13" operator="containsText" text="domo">
      <formula>NOT(ISERROR(SEARCH("domo",E9)))</formula>
    </cfRule>
  </conditionalFormatting>
  <conditionalFormatting sqref="F9:F13">
    <cfRule type="cellIs" dxfId="934" priority="11" operator="equal">
      <formula>"PTP A FO"</formula>
    </cfRule>
  </conditionalFormatting>
  <conditionalFormatting sqref="E1">
    <cfRule type="containsText" dxfId="933" priority="9" operator="containsText" text="fija">
      <formula>NOT(ISERROR(SEARCH("fija",E1)))</formula>
    </cfRule>
    <cfRule type="containsText" dxfId="932" priority="10" operator="containsText" text="domo">
      <formula>NOT(ISERROR(SEARCH("domo",E1)))</formula>
    </cfRule>
  </conditionalFormatting>
  <conditionalFormatting sqref="F1">
    <cfRule type="cellIs" dxfId="931" priority="8" operator="equal">
      <formula>"PTP A FO"</formula>
    </cfRule>
  </conditionalFormatting>
  <conditionalFormatting sqref="H2">
    <cfRule type="containsText" dxfId="930" priority="7" operator="containsText" text="Radio">
      <formula>NOT(ISERROR(SEARCH("Radio",H2)))</formula>
    </cfRule>
  </conditionalFormatting>
  <conditionalFormatting sqref="H3">
    <cfRule type="containsText" dxfId="929" priority="6" operator="containsText" text="Radio">
      <formula>NOT(ISERROR(SEARCH("Radio",H3)))</formula>
    </cfRule>
  </conditionalFormatting>
  <conditionalFormatting sqref="H4">
    <cfRule type="containsText" dxfId="928" priority="5" operator="containsText" text="Radio">
      <formula>NOT(ISERROR(SEARCH("Radio",H4)))</formula>
    </cfRule>
  </conditionalFormatting>
  <conditionalFormatting sqref="H5">
    <cfRule type="containsText" dxfId="927" priority="4" operator="containsText" text="Radio">
      <formula>NOT(ISERROR(SEARCH("Radio",H5)))</formula>
    </cfRule>
  </conditionalFormatting>
  <conditionalFormatting sqref="H6">
    <cfRule type="containsText" dxfId="926" priority="3" operator="containsText" text="Radio">
      <formula>NOT(ISERROR(SEARCH("Radio",H6)))</formula>
    </cfRule>
  </conditionalFormatting>
  <conditionalFormatting sqref="H7:H8">
    <cfRule type="containsText" dxfId="925" priority="2" operator="containsText" text="Radio">
      <formula>NOT(ISERROR(SEARCH("Radio",H7)))</formula>
    </cfRule>
  </conditionalFormatting>
  <conditionalFormatting sqref="H9:H13">
    <cfRule type="containsText" dxfId="924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1310</v>
      </c>
    </row>
    <row r="2" spans="1:1" ht="15" thickBot="1" x14ac:dyDescent="0.35"/>
    <row r="3" spans="1:1" ht="19.2" thickTop="1" thickBot="1" x14ac:dyDescent="0.35">
      <c r="A3" s="48">
        <v>44652</v>
      </c>
    </row>
    <row r="4" spans="1:1" ht="19.2" thickTop="1" thickBot="1" x14ac:dyDescent="0.35">
      <c r="A4" s="48">
        <v>44653</v>
      </c>
    </row>
    <row r="5" spans="1:1" ht="19.2" thickTop="1" thickBot="1" x14ac:dyDescent="0.35">
      <c r="A5" s="48">
        <v>44654</v>
      </c>
    </row>
    <row r="6" spans="1:1" ht="19.2" thickTop="1" thickBot="1" x14ac:dyDescent="0.35">
      <c r="A6" s="48">
        <v>44655</v>
      </c>
    </row>
    <row r="7" spans="1:1" ht="19.2" thickTop="1" thickBot="1" x14ac:dyDescent="0.35">
      <c r="A7" s="48">
        <v>44656</v>
      </c>
    </row>
    <row r="8" spans="1:1" ht="19.2" thickTop="1" thickBot="1" x14ac:dyDescent="0.35">
      <c r="A8" s="48">
        <v>44657</v>
      </c>
    </row>
    <row r="9" spans="1:1" ht="19.2" thickTop="1" thickBot="1" x14ac:dyDescent="0.35">
      <c r="A9" s="48">
        <v>44658</v>
      </c>
    </row>
    <row r="10" spans="1:1" ht="19.2" thickTop="1" thickBot="1" x14ac:dyDescent="0.35">
      <c r="A10" s="48">
        <v>44659</v>
      </c>
    </row>
    <row r="11" spans="1:1" ht="19.2" thickTop="1" thickBot="1" x14ac:dyDescent="0.35">
      <c r="A11" s="48">
        <v>44660</v>
      </c>
    </row>
    <row r="12" spans="1:1" ht="19.2" thickTop="1" thickBot="1" x14ac:dyDescent="0.35">
      <c r="A12" s="48">
        <v>44661</v>
      </c>
    </row>
    <row r="13" spans="1:1" ht="19.2" thickTop="1" thickBot="1" x14ac:dyDescent="0.35">
      <c r="A13" s="48">
        <v>44662</v>
      </c>
    </row>
    <row r="14" spans="1:1" ht="19.2" thickTop="1" thickBot="1" x14ac:dyDescent="0.35">
      <c r="A14" s="48">
        <v>44663</v>
      </c>
    </row>
    <row r="15" spans="1:1" ht="19.2" thickTop="1" thickBot="1" x14ac:dyDescent="0.35">
      <c r="A15" s="48">
        <v>44664</v>
      </c>
    </row>
    <row r="16" spans="1:1" ht="19.2" thickTop="1" thickBot="1" x14ac:dyDescent="0.35">
      <c r="A16" s="48">
        <v>44665</v>
      </c>
    </row>
    <row r="17" spans="1:2" ht="19.2" thickTop="1" thickBot="1" x14ac:dyDescent="0.35">
      <c r="A17" s="48">
        <v>44666</v>
      </c>
    </row>
    <row r="18" spans="1:2" ht="19.2" thickTop="1" thickBot="1" x14ac:dyDescent="0.35">
      <c r="A18" s="48">
        <v>44667</v>
      </c>
    </row>
    <row r="19" spans="1:2" ht="19.2" thickTop="1" thickBot="1" x14ac:dyDescent="0.35">
      <c r="A19" s="48">
        <v>44668</v>
      </c>
    </row>
    <row r="20" spans="1:2" ht="19.2" thickTop="1" thickBot="1" x14ac:dyDescent="0.35">
      <c r="A20" s="48">
        <v>44669</v>
      </c>
    </row>
    <row r="21" spans="1:2" ht="19.2" thickTop="1" thickBot="1" x14ac:dyDescent="0.35">
      <c r="A21" s="48">
        <v>44670</v>
      </c>
    </row>
    <row r="22" spans="1:2" ht="19.2" thickTop="1" thickBot="1" x14ac:dyDescent="0.35">
      <c r="A22" s="48">
        <v>44671</v>
      </c>
    </row>
    <row r="23" spans="1:2" ht="19.2" thickTop="1" thickBot="1" x14ac:dyDescent="0.35">
      <c r="A23" s="48">
        <v>44672</v>
      </c>
      <c r="B23" s="49"/>
    </row>
    <row r="24" spans="1:2" ht="19.2" thickTop="1" thickBot="1" x14ac:dyDescent="0.35">
      <c r="A24" s="48">
        <v>44673</v>
      </c>
      <c r="B24" s="50"/>
    </row>
    <row r="25" spans="1:2" ht="19.2" thickTop="1" thickBot="1" x14ac:dyDescent="0.35">
      <c r="A25" s="48">
        <v>44674</v>
      </c>
    </row>
    <row r="26" spans="1:2" ht="19.2" thickTop="1" thickBot="1" x14ac:dyDescent="0.35">
      <c r="A26" s="48">
        <v>44675</v>
      </c>
    </row>
    <row r="27" spans="1:2" ht="19.2" thickTop="1" thickBot="1" x14ac:dyDescent="0.35">
      <c r="A27" s="48">
        <v>44676</v>
      </c>
    </row>
    <row r="28" spans="1:2" ht="19.2" thickTop="1" thickBot="1" x14ac:dyDescent="0.35">
      <c r="A28" s="48">
        <v>44677</v>
      </c>
    </row>
    <row r="29" spans="1:2" ht="19.2" thickTop="1" thickBot="1" x14ac:dyDescent="0.35">
      <c r="A29" s="48">
        <v>44678</v>
      </c>
    </row>
    <row r="30" spans="1:2" ht="19.2" thickTop="1" thickBot="1" x14ac:dyDescent="0.35">
      <c r="A30" s="48">
        <v>44679</v>
      </c>
    </row>
    <row r="31" spans="1:2" ht="19.2" thickTop="1" thickBot="1" x14ac:dyDescent="0.35">
      <c r="A31" s="48">
        <v>44680</v>
      </c>
    </row>
    <row r="32" spans="1:2" ht="19.2" thickTop="1" thickBot="1" x14ac:dyDescent="0.35">
      <c r="A32" s="48">
        <v>44681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3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34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923" priority="1" operator="equal">
      <formula>0</formula>
    </cfRule>
    <cfRule type="cellIs" dxfId="92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1321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921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3" sqref="F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1322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3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920" priority="2" operator="containsText" text="APAGADO">
      <formula>NOT(ISERROR(SEARCH("APAGADO",AE3)))</formula>
    </cfRule>
  </conditionalFormatting>
  <conditionalFormatting sqref="F4:AG370 AH4:AJ369">
    <cfRule type="containsText" dxfId="91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1323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1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918" priority="2" operator="containsText" text="APAGADO">
      <formula>NOT(ISERROR(SEARCH("APAGADO",AE3)))</formula>
    </cfRule>
  </conditionalFormatting>
  <conditionalFormatting sqref="F4:AG370 AH4:AJ369">
    <cfRule type="containsText" dxfId="91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zoomScaleNormal="100" workbookViewId="0">
      <selection activeCell="Q34" sqref="Q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abSelected="1" workbookViewId="0">
      <selection activeCell="D15" sqref="D15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</row>
    <row r="2" spans="1:6" x14ac:dyDescent="0.3">
      <c r="A2" s="25">
        <f>'APAGADOS RADIO'!F3</f>
        <v>44652</v>
      </c>
      <c r="B2">
        <f>'APAGADOS RADIO'!F2+D2</f>
        <v>4</v>
      </c>
      <c r="C2">
        <f>'APAGADOS FIBRA'!F2</f>
        <v>30</v>
      </c>
      <c r="D2">
        <f>'APAGADOS ANTENA'!F2</f>
        <v>3</v>
      </c>
      <c r="E2">
        <f>B2+C2</f>
        <v>34</v>
      </c>
      <c r="F2">
        <f>'RESUMEN TOTAL'!C1</f>
        <v>372</v>
      </c>
    </row>
    <row r="3" spans="1:6" x14ac:dyDescent="0.3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372</v>
      </c>
    </row>
    <row r="4" spans="1:6" x14ac:dyDescent="0.3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372</v>
      </c>
    </row>
    <row r="5" spans="1:6" x14ac:dyDescent="0.3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3:E6" si="0">B5+C5</f>
        <v>36</v>
      </c>
      <c r="F5">
        <f>'RESUMEN TOTAL'!C1</f>
        <v>372</v>
      </c>
    </row>
    <row r="6" spans="1:6" x14ac:dyDescent="0.3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0"/>
        <v>32</v>
      </c>
      <c r="F6">
        <f>'RESUMEN TOTAL'!C1</f>
        <v>372</v>
      </c>
    </row>
    <row r="7" spans="1:6" x14ac:dyDescent="0.3">
      <c r="A7" s="25">
        <f>'APAGADOS RADIO'!K3</f>
        <v>44657</v>
      </c>
      <c r="C7" s="30"/>
      <c r="F7">
        <f>'RESUMEN TOTAL'!C1</f>
        <v>372</v>
      </c>
    </row>
    <row r="8" spans="1:6" x14ac:dyDescent="0.3">
      <c r="A8" s="25">
        <f>'APAGADOS RADIO'!L3</f>
        <v>44658</v>
      </c>
      <c r="F8">
        <f>'RESUMEN TOTAL'!C1</f>
        <v>372</v>
      </c>
    </row>
    <row r="9" spans="1:6" x14ac:dyDescent="0.3">
      <c r="A9" s="25">
        <f>'APAGADOS RADIO'!M3</f>
        <v>44659</v>
      </c>
      <c r="C9" s="30"/>
      <c r="F9">
        <f>'RESUMEN TOTAL'!C1</f>
        <v>372</v>
      </c>
    </row>
    <row r="10" spans="1:6" x14ac:dyDescent="0.3">
      <c r="A10" s="25">
        <f>'APAGADOS RADIO'!N3</f>
        <v>44660</v>
      </c>
      <c r="C10" s="30"/>
      <c r="F10">
        <f>'RESUMEN TOTAL'!C1</f>
        <v>372</v>
      </c>
    </row>
    <row r="11" spans="1:6" x14ac:dyDescent="0.3">
      <c r="A11" s="25">
        <f>'APAGADOS RADIO'!O3</f>
        <v>44661</v>
      </c>
      <c r="C11" s="30"/>
      <c r="F11">
        <f>'RESUMEN TOTAL'!C1</f>
        <v>372</v>
      </c>
    </row>
    <row r="12" spans="1:6" x14ac:dyDescent="0.3">
      <c r="A12" s="25">
        <f>'APAGADOS RADIO'!P3</f>
        <v>44662</v>
      </c>
      <c r="C12" s="30"/>
      <c r="F12">
        <f>'RESUMEN TOTAL'!C1</f>
        <v>372</v>
      </c>
    </row>
    <row r="13" spans="1:6" x14ac:dyDescent="0.3">
      <c r="A13" s="25">
        <f>'APAGADOS RADIO'!Q3</f>
        <v>44663</v>
      </c>
      <c r="C13" s="30"/>
      <c r="F13">
        <f>'RESUMEN TOTAL'!C1</f>
        <v>372</v>
      </c>
    </row>
    <row r="14" spans="1:6" x14ac:dyDescent="0.3">
      <c r="A14" s="25">
        <f>'APAGADOS RADIO'!R3</f>
        <v>44664</v>
      </c>
      <c r="C14" s="30"/>
      <c r="F14">
        <f>'RESUMEN TOTAL'!C1</f>
        <v>372</v>
      </c>
    </row>
    <row r="15" spans="1:6" x14ac:dyDescent="0.3">
      <c r="A15" s="25">
        <f>'APAGADOS RADIO'!S3</f>
        <v>44665</v>
      </c>
      <c r="C15" s="30"/>
      <c r="F15">
        <f>'RESUMEN TOTAL'!C1</f>
        <v>372</v>
      </c>
    </row>
    <row r="16" spans="1:6" x14ac:dyDescent="0.3">
      <c r="A16" s="25">
        <f>'APAGADOS RADIO'!T3</f>
        <v>44666</v>
      </c>
      <c r="C16" s="30"/>
      <c r="F16">
        <f>'RESUMEN TOTAL'!C1</f>
        <v>372</v>
      </c>
    </row>
    <row r="17" spans="1:6" x14ac:dyDescent="0.3">
      <c r="A17" s="25">
        <f>'APAGADOS RADIO'!U3</f>
        <v>44667</v>
      </c>
      <c r="C17" s="30"/>
      <c r="F17">
        <f>'RESUMEN TOTAL'!C1</f>
        <v>372</v>
      </c>
    </row>
    <row r="18" spans="1:6" x14ac:dyDescent="0.3">
      <c r="A18" s="25">
        <f>'APAGADOS RADIO'!V3</f>
        <v>44668</v>
      </c>
      <c r="C18" s="30"/>
      <c r="F18">
        <f>'RESUMEN TOTAL'!C1</f>
        <v>372</v>
      </c>
    </row>
    <row r="19" spans="1:6" x14ac:dyDescent="0.3">
      <c r="A19" s="25">
        <f>'APAGADOS RADIO'!W3</f>
        <v>44669</v>
      </c>
      <c r="C19" s="30"/>
      <c r="F19">
        <f>'RESUMEN TOTAL'!C1</f>
        <v>372</v>
      </c>
    </row>
    <row r="20" spans="1:6" x14ac:dyDescent="0.3">
      <c r="A20" s="25">
        <f>'APAGADOS RADIO'!X3</f>
        <v>44670</v>
      </c>
      <c r="C20" s="30"/>
      <c r="F20">
        <f>'RESUMEN TOTAL'!C1</f>
        <v>372</v>
      </c>
    </row>
    <row r="21" spans="1:6" x14ac:dyDescent="0.3">
      <c r="A21" s="25">
        <f>'APAGADOS RADIO'!Y3</f>
        <v>44671</v>
      </c>
      <c r="C21" s="30"/>
      <c r="F21">
        <f>'RESUMEN TOTAL'!C1</f>
        <v>372</v>
      </c>
    </row>
    <row r="22" spans="1:6" x14ac:dyDescent="0.3">
      <c r="A22" s="25">
        <f>'APAGADOS RADIO'!Z3</f>
        <v>44672</v>
      </c>
      <c r="C22" s="30"/>
      <c r="F22">
        <f>'RESUMEN TOTAL'!C1</f>
        <v>372</v>
      </c>
    </row>
    <row r="23" spans="1:6" x14ac:dyDescent="0.3">
      <c r="A23" s="25">
        <f>'APAGADOS RADIO'!AA3</f>
        <v>44673</v>
      </c>
      <c r="C23" s="30"/>
      <c r="F23">
        <f>'RESUMEN TOTAL'!C1</f>
        <v>372</v>
      </c>
    </row>
    <row r="24" spans="1:6" x14ac:dyDescent="0.3">
      <c r="A24" s="25">
        <f>'APAGADOS RADIO'!AB3</f>
        <v>44674</v>
      </c>
      <c r="C24" s="30"/>
      <c r="F24">
        <f>'RESUMEN TOTAL'!C1</f>
        <v>372</v>
      </c>
    </row>
    <row r="25" spans="1:6" x14ac:dyDescent="0.3">
      <c r="A25" s="25">
        <f>'APAGADOS RADIO'!AC3</f>
        <v>44675</v>
      </c>
      <c r="C25" s="30"/>
      <c r="F25">
        <f>'RESUMEN TOTAL'!C1</f>
        <v>372</v>
      </c>
    </row>
    <row r="26" spans="1:6" x14ac:dyDescent="0.3">
      <c r="A26" s="25">
        <f>'APAGADOS RADIO'!AD3</f>
        <v>44676</v>
      </c>
      <c r="C26" s="30"/>
      <c r="F26">
        <f>'RESUMEN TOTAL'!C1</f>
        <v>372</v>
      </c>
    </row>
    <row r="27" spans="1:6" x14ac:dyDescent="0.3">
      <c r="A27" s="25">
        <f>'APAGADOS RADIO'!AE3</f>
        <v>44677</v>
      </c>
      <c r="C27" s="30"/>
      <c r="F27">
        <f>'RESUMEN TOTAL'!C1</f>
        <v>372</v>
      </c>
    </row>
    <row r="28" spans="1:6" x14ac:dyDescent="0.3">
      <c r="A28" s="25">
        <f>'APAGADOS RADIO'!AF3</f>
        <v>44678</v>
      </c>
      <c r="C28" s="30"/>
      <c r="F28">
        <f>'RESUMEN TOTAL'!C1</f>
        <v>372</v>
      </c>
    </row>
    <row r="29" spans="1:6" x14ac:dyDescent="0.3">
      <c r="A29" s="25">
        <f>'APAGADOS RADIO'!AG3</f>
        <v>44679</v>
      </c>
      <c r="C29" s="30"/>
      <c r="F29">
        <f>'RESUMEN TOTAL'!C1</f>
        <v>372</v>
      </c>
    </row>
    <row r="30" spans="1:6" x14ac:dyDescent="0.3">
      <c r="A30" s="25">
        <f>'APAGADOS RADIO'!AH3</f>
        <v>44680</v>
      </c>
      <c r="C30" s="30"/>
      <c r="F30">
        <f>'RESUMEN TOTAL'!C1</f>
        <v>372</v>
      </c>
    </row>
    <row r="31" spans="1:6" x14ac:dyDescent="0.3">
      <c r="A31" s="25">
        <f>'APAGADOS RADIO'!AI3</f>
        <v>44681</v>
      </c>
      <c r="F31">
        <f>'RESUMEN TOTAL'!C1</f>
        <v>372</v>
      </c>
    </row>
    <row r="32" spans="1:6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/>
    <row r="36" spans="1:30" s="30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2022-04-05T13:44:01Z</dcterms:modified>
</cp:coreProperties>
</file>