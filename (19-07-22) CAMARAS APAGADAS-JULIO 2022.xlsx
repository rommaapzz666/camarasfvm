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JULIO\"/>
    </mc:Choice>
  </mc:AlternateContent>
  <xr:revisionPtr revIDLastSave="0" documentId="13_ncr:1_{FACD8F0D-A28A-4370-ACCF-D8A9D7EFBD17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80" i="2" l="1"/>
  <c r="M380" i="2"/>
  <c r="N380" i="2"/>
  <c r="L381" i="2"/>
  <c r="M381" i="2"/>
  <c r="N381" i="2"/>
  <c r="L382" i="2"/>
  <c r="M382" i="2"/>
  <c r="N382" i="2"/>
  <c r="L383" i="2"/>
  <c r="N383" i="2" s="1"/>
  <c r="M383" i="2"/>
  <c r="L384" i="2"/>
  <c r="M384" i="2"/>
  <c r="L385" i="2"/>
  <c r="N385" i="2" s="1"/>
  <c r="M385" i="2"/>
  <c r="L386" i="2"/>
  <c r="N386" i="2" s="1"/>
  <c r="M386" i="2"/>
  <c r="L387" i="2"/>
  <c r="M387" i="2"/>
  <c r="L388" i="2"/>
  <c r="M388" i="2"/>
  <c r="N388" i="2" s="1"/>
  <c r="L389" i="2"/>
  <c r="M389" i="2"/>
  <c r="N389" i="2"/>
  <c r="L390" i="2"/>
  <c r="M390" i="2"/>
  <c r="N390" i="2"/>
  <c r="L391" i="2"/>
  <c r="N391" i="2" s="1"/>
  <c r="M391" i="2"/>
  <c r="L392" i="2"/>
  <c r="N392" i="2" s="1"/>
  <c r="M392" i="2"/>
  <c r="L393" i="2"/>
  <c r="M393" i="2"/>
  <c r="N393" i="2"/>
  <c r="L394" i="2"/>
  <c r="N394" i="2" s="1"/>
  <c r="M394" i="2"/>
  <c r="L395" i="2"/>
  <c r="N395" i="2" s="1"/>
  <c r="M395" i="2"/>
  <c r="L396" i="2"/>
  <c r="M396" i="2"/>
  <c r="N396" i="2"/>
  <c r="D13" i="24"/>
  <c r="C14" i="24"/>
  <c r="D14" i="24" s="1"/>
  <c r="D8" i="24"/>
  <c r="C9" i="24"/>
  <c r="C10" i="24" s="1"/>
  <c r="D9" i="24"/>
  <c r="AS3" i="2"/>
  <c r="AS2" i="2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N387" i="2" l="1"/>
  <c r="N384" i="2"/>
  <c r="AS1" i="2"/>
  <c r="C15" i="24"/>
  <c r="D10" i="24"/>
  <c r="C11" i="24"/>
  <c r="D11" i="24" s="1"/>
  <c r="C5" i="24"/>
  <c r="N379" i="2"/>
  <c r="N378" i="2"/>
  <c r="M377" i="2"/>
  <c r="M376" i="2"/>
  <c r="M375" i="2"/>
  <c r="M374" i="2"/>
  <c r="M373" i="2"/>
  <c r="M247" i="2"/>
  <c r="M248" i="2"/>
  <c r="M249" i="2"/>
  <c r="N249" i="2" s="1"/>
  <c r="M250" i="2"/>
  <c r="M251" i="2"/>
  <c r="M252" i="2"/>
  <c r="M253" i="2"/>
  <c r="M254" i="2"/>
  <c r="M255" i="2"/>
  <c r="M256" i="2"/>
  <c r="M257" i="2"/>
  <c r="M258" i="2"/>
  <c r="M259" i="2"/>
  <c r="N259" i="2" s="1"/>
  <c r="M260" i="2"/>
  <c r="M261" i="2"/>
  <c r="M262" i="2"/>
  <c r="M263" i="2"/>
  <c r="M264" i="2"/>
  <c r="M265" i="2"/>
  <c r="M266" i="2"/>
  <c r="M267" i="2"/>
  <c r="N267" i="2" s="1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N299" i="2" s="1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N315" i="2" s="1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N339" i="2" s="1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D369" i="9" s="1"/>
  <c r="E368" i="8"/>
  <c r="F368" i="8"/>
  <c r="F369" i="9" s="1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L369" i="9" s="1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B369" i="9" s="1"/>
  <c r="AC368" i="8"/>
  <c r="AC369" i="9" s="1"/>
  <c r="AD368" i="8"/>
  <c r="AD369" i="9" s="1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C370" i="9" s="1"/>
  <c r="D369" i="8"/>
  <c r="E369" i="8"/>
  <c r="E370" i="9" s="1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B371" i="9" s="1"/>
  <c r="C370" i="8"/>
  <c r="C371" i="9" s="1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J371" i="9" s="1"/>
  <c r="K370" i="8"/>
  <c r="L370" i="8"/>
  <c r="L371" i="9" s="1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R371" i="9" s="1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A372" i="9" s="1"/>
  <c r="B371" i="8"/>
  <c r="B372" i="9" s="1"/>
  <c r="C371" i="8"/>
  <c r="C372" i="9" s="1"/>
  <c r="D371" i="8"/>
  <c r="D372" i="9" s="1"/>
  <c r="E371" i="8"/>
  <c r="E372" i="9" s="1"/>
  <c r="F371" i="8"/>
  <c r="F372" i="9" s="1"/>
  <c r="G371" i="8"/>
  <c r="G372" i="9" s="1"/>
  <c r="H371" i="8"/>
  <c r="H372" i="9" s="1"/>
  <c r="I371" i="8"/>
  <c r="I372" i="9" s="1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G372" i="9" s="1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A374" i="9" s="1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W374" i="9" s="1"/>
  <c r="X373" i="8"/>
  <c r="X374" i="9" s="1"/>
  <c r="Y373" i="8"/>
  <c r="Y374" i="9" s="1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E374" i="9" s="1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N375" i="9" s="1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O367" i="9"/>
  <c r="S367" i="9"/>
  <c r="M368" i="9"/>
  <c r="N368" i="9"/>
  <c r="AD368" i="9"/>
  <c r="L370" i="9"/>
  <c r="K371" i="9"/>
  <c r="J372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E369" i="9"/>
  <c r="D370" i="9"/>
  <c r="A373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D369" i="21"/>
  <c r="O368" i="10"/>
  <c r="V369" i="11"/>
  <c r="X369" i="11"/>
  <c r="F369" i="11"/>
  <c r="A368" i="10"/>
  <c r="AH1" i="8"/>
  <c r="AI1" i="8"/>
  <c r="AQ3" i="2"/>
  <c r="AR3" i="2"/>
  <c r="U369" i="11" l="1"/>
  <c r="P367" i="9"/>
  <c r="AE369" i="21"/>
  <c r="N367" i="9"/>
  <c r="AC369" i="11"/>
  <c r="E369" i="11"/>
  <c r="D368" i="9"/>
  <c r="D15" i="24"/>
  <c r="C16" i="24"/>
  <c r="D16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B1" i="2"/>
  <c r="F14" i="14" l="1"/>
  <c r="F13" i="14"/>
  <c r="F15" i="14"/>
  <c r="F7" i="14"/>
  <c r="F3" i="14"/>
  <c r="F8" i="14"/>
  <c r="F6" i="14"/>
  <c r="F11" i="14"/>
  <c r="F9" i="14"/>
  <c r="F5" i="14"/>
  <c r="F12" i="14"/>
  <c r="F10" i="14"/>
  <c r="F4" i="14"/>
  <c r="AI2" i="2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D9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D8" i="14" s="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D15" i="14" s="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D13" i="14" s="1"/>
  <c r="I2" i="21"/>
  <c r="D5" i="14" s="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D6" i="14" s="1"/>
  <c r="X2" i="21"/>
  <c r="P2" i="21"/>
  <c r="D12" i="14" s="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D14" i="14" s="1"/>
  <c r="AF249" i="11"/>
  <c r="AF249" i="21"/>
  <c r="W2" i="21"/>
  <c r="O2" i="21"/>
  <c r="D11" i="14" s="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D10" i="14" s="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B11" i="14" s="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B14" i="14" s="1"/>
  <c r="R2" i="10"/>
  <c r="C14" i="14" s="1"/>
  <c r="Q2" i="10"/>
  <c r="C13" i="14" s="1"/>
  <c r="S2" i="10"/>
  <c r="C15" i="14" s="1"/>
  <c r="P2" i="10"/>
  <c r="C12" i="14" s="1"/>
  <c r="J2" i="10"/>
  <c r="C6" i="14" s="1"/>
  <c r="O2" i="10"/>
  <c r="C11" i="14" s="1"/>
  <c r="N2" i="10"/>
  <c r="C10" i="14" s="1"/>
  <c r="M2" i="10"/>
  <c r="C9" i="14" s="1"/>
  <c r="L2" i="10"/>
  <c r="C8" i="14" s="1"/>
  <c r="P2" i="11"/>
  <c r="B12" i="14" s="1"/>
  <c r="AB2" i="11"/>
  <c r="V2" i="11"/>
  <c r="G2" i="11"/>
  <c r="B3" i="14" s="1"/>
  <c r="Q2" i="11"/>
  <c r="B13" i="14" s="1"/>
  <c r="K2" i="11"/>
  <c r="AA2" i="11"/>
  <c r="L2" i="11"/>
  <c r="B8" i="14" s="1"/>
  <c r="AC2" i="11"/>
  <c r="F2" i="11"/>
  <c r="B2" i="14" s="1"/>
  <c r="U2" i="11"/>
  <c r="AE2" i="11"/>
  <c r="AF2" i="11"/>
  <c r="X2" i="11"/>
  <c r="AD2" i="11"/>
  <c r="Y2" i="11"/>
  <c r="Z2" i="11"/>
  <c r="S2" i="11"/>
  <c r="B15" i="14" s="1"/>
  <c r="M2" i="11"/>
  <c r="B9" i="14" s="1"/>
  <c r="H2" i="11"/>
  <c r="B4" i="14" s="1"/>
  <c r="T2" i="11"/>
  <c r="N2" i="11"/>
  <c r="B10" i="14" s="1"/>
  <c r="I2" i="11"/>
  <c r="B5" i="14" s="1"/>
  <c r="J2" i="11"/>
  <c r="B6" i="14" s="1"/>
  <c r="W2" i="11"/>
  <c r="I2" i="10"/>
  <c r="C5" i="14" s="1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14" i="14" l="1"/>
  <c r="G14" i="14" s="1"/>
  <c r="E15" i="14"/>
  <c r="G15" i="14" s="1"/>
  <c r="E13" i="14"/>
  <c r="G13" i="14" s="1"/>
  <c r="E10" i="14"/>
  <c r="G10" i="14" s="1"/>
  <c r="E12" i="14"/>
  <c r="G12" i="14" s="1"/>
  <c r="E9" i="14"/>
  <c r="G9" i="14" s="1"/>
  <c r="E8" i="14"/>
  <c r="G8" i="14" s="1"/>
  <c r="G7" i="14"/>
  <c r="E6" i="14"/>
  <c r="G6" i="14" s="1"/>
  <c r="E5" i="14"/>
  <c r="G5" i="14" s="1"/>
  <c r="E4" i="14"/>
  <c r="G4" i="14" s="1"/>
  <c r="E11" i="14"/>
  <c r="G11" i="14" s="1"/>
  <c r="E3" i="14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<sst xmlns="http://schemas.openxmlformats.org/spreadsheetml/2006/main" count="3760" uniqueCount="1401">
  <si>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</si>
  <si>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</si>
  <si>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</si>
  <si>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</si>
  <si>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</si>
  <si>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</si>
  <si>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</si>
  <si>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</si>
  <si>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</si>
  <si>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</si>
  <si>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</si>
  <si>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</si>
  <si>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</si>
  <si>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</si>
  <si>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</si>
  <si>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</si>
  <si>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</si>
  <si>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</si>
  <si>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</si>
  <si>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</si>
  <si>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</si>
  <si>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</si>
  <si>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</si>
  <si>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</si>
  <si>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</si>
  <si>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</si>
  <si>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</si>
  <si>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</si>
  <si>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</si>
  <si>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</si>
  <si>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</si>
  <si>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</si>
  <si>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</si>
  <si>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</si>
  <si>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</si>
  <si>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</si>
  <si>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</si>
  <si>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</si>
  <si>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</si>
  <si>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</si>
  <si>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</si>
  <si>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</si>
  <si>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</si>
  <si>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</si>
  <si>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Bombero Galarza y Necochea</t>
  </si>
  <si>
    <t>Hospital, Limite del Partido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</si>
  <si>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</si>
  <si>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</si>
  <si>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</si>
  <si>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</si>
  <si>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</si>
  <si>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</si>
  <si>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</si>
  <si>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</si>
  <si>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HUMAITA Y NECOCHEA</t>
  </si>
  <si>
    <t>REPORTA IMAGENES 20/08/2021</t>
  </si>
  <si>
    <t>NECOCHEA Y CURUPAITY</t>
  </si>
  <si>
    <t>SE DA DE ALTA 25/08/2021</t>
  </si>
  <si>
    <t>AGUSTIN RAMIREZ</t>
  </si>
  <si>
    <t>Malambo y Tranquera</t>
  </si>
  <si>
    <t>Zona Escolar, Flujo Vehicular</t>
  </si>
  <si>
    <t>BELGRANO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</si>
  <si>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</si>
  <si>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</si>
  <si>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</si>
  <si>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</si>
  <si>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</si>
  <si>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</si>
  <si>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</si>
  <si>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</si>
  <si>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</si>
  <si>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</si>
  <si>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</si>
  <si>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</si>
  <si>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</si>
  <si>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</si>
  <si>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</si>
  <si>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</si>
  <si>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</si>
  <si>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</si>
  <si>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</si>
  <si>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</si>
  <si>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</si>
  <si>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</si>
  <si>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</si>
  <si>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</si>
  <si>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</si>
  <si>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</si>
  <si>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</si>
  <si>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ALTA: 16/06/2020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</si>
  <si>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</si>
  <si>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</si>
  <si>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</si>
  <si>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</si>
  <si>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</si>
  <si>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</si>
  <si>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</si>
  <si>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</si>
  <si>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</si>
  <si>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</si>
  <si>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</si>
  <si>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</si>
  <si>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</si>
  <si>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</si>
  <si>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</si>
  <si>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</si>
  <si>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</si>
  <si>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</si>
  <si>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</si>
  <si>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</si>
  <si>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</si>
  <si>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</si>
  <si>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</si>
  <si>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</si>
  <si>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</si>
  <si>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</si>
  <si>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</si>
  <si>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</si>
  <si>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</si>
  <si>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</si>
  <si>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</si>
  <si>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</si>
  <si>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</si>
  <si>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</si>
  <si>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</si>
  <si>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</si>
  <si>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</si>
  <si>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</si>
  <si>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</si>
  <si>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</si>
  <si>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</si>
  <si>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</si>
  <si>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Monteagudo y Mitre</t>
  </si>
  <si>
    <t>Zona Comercial, Zona Bancaria, Peatonal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</si>
  <si>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</si>
  <si>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</si>
  <si>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</si>
  <si>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</si>
  <si>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</si>
  <si>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</si>
  <si>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</si>
  <si>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</si>
  <si>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</si>
  <si>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</si>
  <si>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</si>
  <si>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</si>
  <si>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</si>
  <si>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</si>
  <si>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</si>
  <si>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</si>
  <si>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</si>
  <si>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</si>
  <si>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</si>
  <si>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</si>
  <si>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</si>
  <si>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</si>
  <si>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</si>
  <si>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</si>
  <si>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</si>
  <si>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</si>
  <si>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</si>
  <si>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</si>
  <si>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</si>
  <si>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</si>
  <si>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</si>
  <si>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</si>
  <si>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</si>
  <si>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</si>
  <si>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</si>
  <si>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</si>
  <si>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</si>
  <si>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</si>
  <si>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</si>
  <si>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</si>
  <si>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</si>
  <si>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</si>
  <si>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</si>
  <si>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</si>
  <si>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</si>
  <si>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</si>
  <si>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</si>
  <si>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</si>
  <si>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</si>
  <si>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</si>
  <si>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</si>
  <si>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</si>
  <si>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</si>
  <si>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</si>
  <si>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</si>
  <si>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</si>
  <si>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</si>
  <si>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</si>
  <si>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</si>
  <si>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</si>
  <si>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</si>
  <si>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</si>
  <si>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</si>
  <si>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</si>
  <si>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</si>
  <si>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</si>
  <si>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</si>
  <si>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</si>
  <si>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</si>
  <si>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</si>
  <si>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</si>
  <si>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</si>
  <si>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</si>
  <si>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</si>
  <si>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</si>
  <si>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</si>
  <si>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</si>
  <si>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</si>
  <si>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</si>
  <si>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</si>
  <si>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</si>
  <si>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</si>
  <si>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</si>
  <si>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</si>
  <si>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</si>
  <si>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</si>
  <si>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</si>
  <si>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</si>
  <si>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</si>
  <si>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</si>
  <si>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</si>
  <si>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</si>
  <si>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</si>
  <si>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</si>
  <si>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</si>
  <si>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</si>
  <si>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</si>
  <si>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</si>
  <si>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</si>
  <si>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</si>
  <si>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</si>
  <si>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</si>
  <si>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</si>
  <si>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</si>
  <si>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</si>
  <si>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</si>
  <si>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</si>
  <si>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</si>
  <si>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</si>
  <si>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</si>
  <si>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</si>
  <si>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</si>
  <si>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</si>
  <si>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</si>
  <si>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</si>
  <si>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</si>
  <si>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</si>
  <si>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</si>
  <si>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</si>
  <si>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</si>
  <si>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</si>
  <si>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</si>
  <si>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</si>
  <si>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</si>
  <si>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</si>
  <si>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</si>
  <si>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CARIBONI Y LA ANCIANIDAD</t>
  </si>
  <si>
    <t>10/08/2020 QUEDA EN FUNCIONAMIENTO</t>
  </si>
  <si>
    <t>DJO01</t>
  </si>
  <si>
    <t>Monteverde y Donato Alvarez</t>
  </si>
  <si>
    <t>DON JOSE</t>
  </si>
  <si>
    <t>DONATO ALVAREZ Y EL APERO</t>
  </si>
  <si>
    <t>SE DA DE ALTA 02/09/2021</t>
  </si>
  <si>
    <t>SE DA DE ALTA 02/08/2021</t>
  </si>
  <si>
    <t>EL PARQUE</t>
  </si>
  <si>
    <t>1282 Y GRIERSON</t>
  </si>
  <si>
    <t>DE ALTA 27/07/2021</t>
  </si>
  <si>
    <t>1282 Y MASSE</t>
  </si>
  <si>
    <t>1282 Y RP 36</t>
  </si>
  <si>
    <t>ALTA 31/8/2021</t>
  </si>
  <si>
    <t>1282 Y MORENO</t>
  </si>
  <si>
    <t>SE DA DE ALTA 03/09/2021</t>
  </si>
  <si>
    <t>LA ESMERALDA</t>
  </si>
  <si>
    <t>AV. NOVAK Y SERRANO</t>
  </si>
  <si>
    <t>10/07/2020 COMIENZA A REPORTAR IMAGEN</t>
  </si>
  <si>
    <t>ESM 08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</si>
  <si>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</si>
  <si>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</si>
  <si>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</si>
  <si>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</si>
  <si>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</si>
  <si>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</si>
  <si>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</si>
  <si>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</si>
  <si>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</si>
  <si>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</si>
  <si>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</si>
  <si>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</si>
  <si>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</si>
  <si>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</si>
  <si>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</si>
  <si>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</si>
  <si>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</si>
  <si>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</si>
  <si>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</si>
  <si>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</si>
  <si>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</si>
  <si>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</si>
  <si>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</si>
  <si>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</si>
  <si>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</si>
  <si>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</si>
  <si>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</si>
  <si>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</si>
  <si>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</si>
  <si>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</si>
  <si>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</si>
  <si>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</si>
  <si>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</si>
  <si>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</si>
  <si>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</si>
  <si>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</si>
  <si>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LOS CHARRUAS Y BLANDENGUES</t>
  </si>
  <si>
    <t>ALTA EN SISTEMA 08/05/2020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</si>
  <si>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</si>
  <si>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</si>
  <si>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</si>
  <si>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</si>
  <si>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</si>
  <si>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</si>
  <si>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</si>
  <si>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</si>
  <si>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</si>
  <si>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</si>
  <si>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</si>
  <si>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</si>
  <si>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</si>
  <si>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</si>
  <si>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</si>
  <si>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</si>
  <si>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</si>
  <si>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</si>
  <si>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</si>
  <si>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</si>
  <si>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</si>
  <si>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</si>
  <si>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</si>
  <si>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</si>
  <si>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</si>
  <si>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</si>
  <si>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</si>
  <si>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</si>
  <si>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EL GAUCHO Y EL ZONDA</t>
  </si>
  <si>
    <t>SE DA DE ALTA 01/09/2021</t>
  </si>
  <si>
    <t>SE DA DE ALTA 01/09/202</t>
  </si>
  <si>
    <t>EL GAUCHO Y MARTIN FIERRO</t>
  </si>
  <si>
    <t>SE DA DE ALTA 14/09/2021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</si>
  <si>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</si>
  <si>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</si>
  <si>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</si>
  <si>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</si>
  <si>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</si>
  <si>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</si>
  <si>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</si>
  <si>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</si>
  <si>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</si>
  <si>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</si>
  <si>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</si>
  <si>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</si>
  <si>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</si>
  <si>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</si>
  <si>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</si>
  <si>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</si>
  <si>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</si>
  <si>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</si>
  <si>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</si>
  <si>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</si>
  <si>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</si>
  <si>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</si>
  <si>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</si>
  <si>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</si>
  <si>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</si>
  <si>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</si>
  <si>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</si>
  <si>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</si>
  <si>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</si>
  <si>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</si>
  <si>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</si>
  <si>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</si>
  <si>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</si>
  <si>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</si>
  <si>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</si>
  <si>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</si>
  <si>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</si>
  <si>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</si>
  <si>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</si>
  <si>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</si>
  <si>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</si>
  <si>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</si>
  <si>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</si>
  <si>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</si>
  <si>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LAS AMERICAS E/ BRAILLE Y ALVARADO</t>
  </si>
  <si>
    <t>EN FUNCIONAMIENTO 16/07/2021</t>
  </si>
  <si>
    <t>LRO14</t>
  </si>
  <si>
    <t>YRIGOYEN Y STORNI</t>
  </si>
  <si>
    <t>LUJ 02</t>
  </si>
  <si>
    <t>DIAG. LOS TILOS Y 527</t>
  </si>
  <si>
    <t>ALTA 28/06/2019</t>
  </si>
  <si>
    <t>LUJAN</t>
  </si>
  <si>
    <t>LUJ03</t>
  </si>
  <si>
    <t>LOS PINOS Y LOS TILOS</t>
  </si>
  <si>
    <t>SE DA DE ALTA 27/08/2021</t>
  </si>
  <si>
    <t>MARTIN FIERRO</t>
  </si>
  <si>
    <t>Belgrano y Sgto. Cabral</t>
  </si>
  <si>
    <t>.</t>
  </si>
  <si>
    <t>MFI02</t>
  </si>
  <si>
    <t>Calchaqui y Balcarce</t>
  </si>
  <si>
    <t>SAN EMILIO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</si>
  <si>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</si>
  <si>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</si>
  <si>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</si>
  <si>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</si>
  <si>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</si>
  <si>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</si>
  <si>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</si>
  <si>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</si>
  <si>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</si>
  <si>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</si>
  <si>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</si>
  <si>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</si>
  <si>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</si>
  <si>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</si>
  <si>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</si>
  <si>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</si>
  <si>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</si>
  <si>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</si>
  <si>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</si>
  <si>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</si>
  <si>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</si>
  <si>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</si>
  <si>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</si>
  <si>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</si>
  <si>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</si>
  <si>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</si>
  <si>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</si>
  <si>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</si>
  <si>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</si>
  <si>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</si>
  <si>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</si>
  <si>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</si>
  <si>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</si>
  <si>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</si>
  <si>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</si>
  <si>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</si>
  <si>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</si>
  <si>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</si>
  <si>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</si>
  <si>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</si>
  <si>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</si>
  <si>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</si>
  <si>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</si>
  <si>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</si>
  <si>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</si>
  <si>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</si>
  <si>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</si>
  <si>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</si>
  <si>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</si>
  <si>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</si>
  <si>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</si>
  <si>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</si>
  <si>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</si>
  <si>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</si>
  <si>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</si>
  <si>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</si>
  <si>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</si>
  <si>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DARDO ROCHA Y GABRIELA MISTRAL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</si>
  <si>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</si>
  <si>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</si>
  <si>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</si>
  <si>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</si>
  <si>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</si>
  <si>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</si>
  <si>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</si>
  <si>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</si>
  <si>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</si>
  <si>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</si>
  <si>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</si>
  <si>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</si>
  <si>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</si>
  <si>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</si>
  <si>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</si>
  <si>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</si>
  <si>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</si>
  <si>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</si>
  <si>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</si>
  <si>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</si>
  <si>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</si>
  <si>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</si>
  <si>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</si>
  <si>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</si>
  <si>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</si>
  <si>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</si>
  <si>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</si>
  <si>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</si>
  <si>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</si>
  <si>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</si>
  <si>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</si>
  <si>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</si>
  <si>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</si>
  <si>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</si>
  <si>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</si>
  <si>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</si>
  <si>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</si>
  <si>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</si>
  <si>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</si>
  <si>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</si>
  <si>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</si>
  <si>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</si>
  <si>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</si>
  <si>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</si>
  <si>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</si>
  <si>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</si>
  <si>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</si>
  <si>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</si>
  <si>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</si>
  <si>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</si>
  <si>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</si>
  <si>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</si>
  <si>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</si>
  <si>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</si>
  <si>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</si>
  <si>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</si>
  <si>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</si>
  <si>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</si>
  <si>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</si>
  <si>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</si>
  <si>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</si>
  <si>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</si>
  <si>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</si>
  <si>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</si>
  <si>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</si>
  <si>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</si>
  <si>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</si>
  <si>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</si>
  <si>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</si>
  <si>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</si>
  <si>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</si>
  <si>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</si>
  <si>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</si>
  <si>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</si>
  <si>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</si>
  <si>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</si>
  <si>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</si>
  <si>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</si>
  <si>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</si>
  <si>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</si>
  <si>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</si>
  <si>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</si>
  <si>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</si>
  <si>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</si>
  <si>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</si>
  <si>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</si>
  <si>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</si>
  <si>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</si>
  <si>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</si>
  <si>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</si>
  <si>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</si>
  <si>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</si>
  <si>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</si>
  <si>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</si>
  <si>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</si>
  <si>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</si>
  <si>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</si>
  <si>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</si>
  <si>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</si>
  <si>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</si>
  <si>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</si>
  <si>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</si>
  <si>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</si>
  <si>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</si>
  <si>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</si>
  <si>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</si>
  <si>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</si>
  <si>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</si>
  <si>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</si>
  <si>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</si>
  <si>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</si>
  <si>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</si>
  <si>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</si>
  <si>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</si>
  <si>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</si>
  <si>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</si>
  <si>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</si>
  <si>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</si>
  <si>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</si>
  <si>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</si>
  <si>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</si>
  <si>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</si>
  <si>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</si>
  <si>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</si>
  <si>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</si>
  <si>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</si>
  <si>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</si>
  <si>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</si>
  <si>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</si>
  <si>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</si>
  <si>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</si>
  <si>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</si>
  <si>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</si>
  <si>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</si>
  <si>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</si>
  <si>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</si>
  <si>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</si>
  <si>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</si>
  <si>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</si>
  <si>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</si>
  <si>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</si>
  <si>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</si>
  <si>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</si>
  <si>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</si>
  <si>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</si>
  <si>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</si>
  <si>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</si>
  <si>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SARRATEA Y LOS TREBOLES</t>
  </si>
  <si>
    <t>SANTA ROSA</t>
  </si>
  <si>
    <t>CAFFERATA Y BONN</t>
  </si>
  <si>
    <t>Novak y Bonn</t>
  </si>
  <si>
    <t>Zona de recreaciÃ³n, Posible via de escape, Flujo vehicular</t>
  </si>
  <si>
    <t>NOVAK Y BELGICA</t>
  </si>
  <si>
    <t>SRO 08</t>
  </si>
  <si>
    <t>NOVAK E/ DESSY Y BELGICA (POLIDEPORTIVO LA PATRIADA)</t>
  </si>
  <si>
    <t>BUCAREST E/ ALEMANIA Y CAFFERATA</t>
  </si>
  <si>
    <t>ALTA EN SISTEMA 27/05/2020</t>
  </si>
  <si>
    <t>DINAMARCA Y MILAN</t>
  </si>
  <si>
    <t>ALTA 12/06/2020</t>
  </si>
  <si>
    <t>ANDORRA E/ BELGICA Y SAN MARINO</t>
  </si>
  <si>
    <t>REPORTA IMAGENES 28/10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</si>
  <si>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</si>
  <si>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</si>
  <si>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</si>
  <si>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</si>
  <si>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</si>
  <si>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</si>
  <si>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Belgica y Andorra</t>
  </si>
  <si>
    <t>Flujo Vehicular, Posible via de escape</t>
  </si>
  <si>
    <t>MILAN Y MALLORCA</t>
  </si>
  <si>
    <t>DADA DE ALTA 18/09/2020</t>
  </si>
  <si>
    <t>SRO12</t>
  </si>
  <si>
    <t>YUGOSLAVIA Y PAYSANDU</t>
  </si>
  <si>
    <t>BRUSELAS E/ GRECIA Y CHECOSLOVAQUIA</t>
  </si>
  <si>
    <t>SRO15</t>
  </si>
  <si>
    <t>NOVAK Y TIRANA (614)</t>
  </si>
  <si>
    <t>SE DA DE ALTA 20/08/2021</t>
  </si>
  <si>
    <t>GRAN CANARIA Y BUDAPEST</t>
  </si>
  <si>
    <t>SE DA DE ALTA 01/11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</si>
  <si>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</si>
  <si>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</si>
  <si>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</si>
  <si>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</si>
  <si>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</si>
  <si>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</si>
  <si>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</si>
  <si>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</si>
  <si>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</si>
  <si>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</si>
  <si>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</si>
  <si>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</si>
  <si>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</si>
  <si>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</si>
  <si>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</si>
  <si>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</si>
  <si>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</si>
  <si>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</si>
  <si>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</si>
  <si>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</si>
  <si>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</si>
  <si>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</si>
  <si>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</si>
  <si>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</si>
  <si>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</si>
  <si>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</si>
  <si>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</si>
  <si>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</si>
  <si>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</si>
  <si>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</si>
  <si>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</si>
  <si>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</si>
  <si>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</si>
  <si>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</si>
  <si>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</si>
  <si>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</si>
  <si>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</si>
  <si>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</si>
  <si>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</si>
  <si>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</si>
  <si>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SE DA DE ALTA 15/09/2021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</si>
  <si>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</si>
  <si>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</si>
  <si>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</si>
  <si>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</si>
  <si>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</si>
  <si>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</si>
  <si>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</si>
  <si>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</si>
  <si>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</si>
  <si>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</si>
  <si>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</si>
  <si>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</si>
  <si>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</si>
  <si>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</si>
  <si>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</si>
  <si>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</si>
  <si>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</si>
  <si>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</si>
  <si>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LAVALLE Y FONROUGE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</si>
  <si>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</si>
  <si>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</si>
  <si>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</si>
  <si>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</si>
  <si>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</si>
  <si>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</si>
  <si>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</si>
  <si>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</si>
  <si>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</si>
  <si>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</si>
  <si>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</si>
  <si>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</si>
  <si>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</si>
  <si>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</si>
  <si>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</si>
  <si>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</si>
  <si>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</si>
  <si>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</si>
  <si>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</si>
  <si>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</si>
  <si>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</si>
  <si>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</si>
  <si>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</si>
  <si>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Belgrano y Quintana</t>
  </si>
  <si>
    <t>VAT11</t>
  </si>
  <si>
    <t>Mainini y Montevideo</t>
  </si>
  <si>
    <t>FLORIDA Y MONTEVIDEO</t>
  </si>
  <si>
    <t>ZONA CORREDOR ESCOLAR, FLUJO VEHICULAR, ZONA COMERCIAL.</t>
  </si>
  <si>
    <t>INSTALADA:EN FUNCIONAMIENTO:28/06/18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</si>
  <si>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</si>
  <si>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</si>
  <si>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</si>
  <si>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</si>
  <si>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</si>
  <si>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</si>
  <si>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</si>
  <si>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</si>
  <si>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</si>
  <si>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</si>
  <si>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</si>
  <si>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</si>
  <si>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</si>
  <si>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</si>
  <si>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</si>
  <si>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</si>
  <si>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</si>
  <si>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</si>
  <si>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</si>
  <si>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</si>
  <si>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</si>
  <si>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</si>
  <si>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</si>
  <si>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</si>
  <si>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</si>
  <si>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</si>
  <si>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</si>
  <si>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</si>
  <si>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</si>
  <si>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</si>
  <si>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</si>
  <si>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</si>
  <si>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</si>
  <si>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</si>
  <si>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</si>
  <si>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</si>
  <si>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</si>
  <si>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</si>
  <si>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</si>
  <si>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</si>
  <si>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REPORTA IMAGEN 23/07/2021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</si>
  <si>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</si>
  <si>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</si>
  <si>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</si>
  <si>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</si>
  <si>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</si>
  <si>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</si>
  <si>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</si>
  <si>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</si>
  <si>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</si>
  <si>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</si>
  <si>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</si>
  <si>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</si>
  <si>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EN FUNCIONAMIENTO 15/07/2021ESCUELADEJA DE REPORTAR IMAGENES POR UN ACCIDENTE TRANSITO 06/09/21SIENDO EL 16/09/21 11:50HS VUELVE A REPORTAR IMAGENES</t>
  </si>
  <si>
    <t>EN FUNCIONAMIENTO 15/07/2021AVENIDADEJA DE REPORTAR IMAGENES POR UN ACCIDENTE TRANSITO 06/09/21SIENDO EL 16/09/21 11:50HS VUELVE A REPORTAR IMAGENES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</si>
  <si>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</si>
  <si>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</si>
  <si>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</si>
  <si>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</si>
  <si>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</si>
  <si>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</si>
  <si>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</si>
  <si>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</si>
  <si>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</si>
  <si>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</si>
  <si>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</si>
  <si>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</si>
  <si>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</si>
  <si>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</si>
  <si>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</si>
  <si>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</si>
  <si>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</si>
  <si>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</si>
  <si>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</si>
  <si>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</si>
  <si>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</si>
  <si>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</si>
  <si>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</si>
  <si>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</si>
  <si>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</si>
  <si>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</si>
  <si>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</si>
  <si>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</si>
  <si>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</si>
  <si>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</si>
  <si>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</si>
  <si>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</si>
  <si>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</si>
  <si>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</si>
  <si>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</si>
  <si>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</si>
  <si>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</si>
  <si>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</si>
  <si>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</si>
  <si>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</si>
  <si>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</si>
  <si>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</si>
  <si>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</si>
  <si>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</si>
  <si>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</si>
  <si>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</si>
  <si>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</si>
  <si>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</si>
  <si>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</si>
  <si>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</si>
  <si>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</si>
  <si>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</si>
  <si>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</si>
  <si>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</si>
  <si>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</si>
  <si>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</si>
  <si>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</si>
  <si>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</si>
  <si>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</si>
  <si>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</si>
  <si>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</si>
  <si>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</si>
  <si>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</si>
  <si>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</si>
  <si>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</si>
  <si>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</si>
  <si>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</si>
  <si>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</si>
  <si>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</si>
  <si>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</si>
  <si>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</si>
  <si>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</si>
  <si>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</si>
  <si>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</si>
  <si>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</si>
  <si>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</si>
  <si>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</si>
  <si>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</si>
  <si>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</si>
  <si>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</si>
  <si>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</si>
  <si>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</si>
  <si>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</si>
  <si>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</si>
  <si>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</si>
  <si>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</si>
  <si>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</si>
  <si>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</si>
  <si>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</si>
  <si>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</si>
  <si>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</si>
  <si>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</si>
  <si>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</si>
  <si>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</si>
  <si>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</si>
  <si>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</si>
  <si>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</si>
  <si>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</si>
  <si>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</si>
  <si>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</si>
  <si>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</si>
  <si>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</si>
  <si>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</si>
  <si>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</si>
  <si>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</si>
  <si>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</si>
  <si>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</si>
  <si>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</si>
  <si>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</si>
  <si>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</si>
  <si>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</si>
  <si>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</si>
  <si>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</si>
  <si>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</si>
  <si>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</si>
  <si>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</si>
  <si>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</si>
  <si>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</si>
  <si>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</si>
  <si>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</si>
  <si>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</si>
  <si>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</si>
  <si>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</si>
  <si>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</si>
  <si>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</si>
  <si>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</si>
  <si>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</si>
  <si>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</si>
  <si>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</si>
  <si>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</si>
  <si>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</si>
  <si>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</si>
  <si>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</si>
  <si>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</si>
  <si>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</si>
  <si>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</si>
  <si>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</si>
  <si>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</si>
  <si>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</si>
  <si>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</si>
  <si>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</si>
  <si>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</si>
  <si>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</si>
  <si>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</si>
  <si>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</si>
  <si>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</si>
  <si>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</si>
  <si>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</si>
  <si>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</si>
  <si>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</si>
  <si>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</si>
  <si>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</si>
  <si>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</si>
  <si>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</si>
  <si>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</si>
  <si>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</si>
  <si>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</si>
  <si>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</si>
  <si>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</si>
  <si>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</si>
  <si>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</si>
  <si>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</si>
  <si>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</si>
  <si>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</si>
  <si>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</si>
  <si>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</si>
  <si>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</si>
  <si>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</si>
  <si>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</si>
  <si>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</si>
  <si>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</si>
  <si>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</si>
  <si>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</si>
  <si>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</si>
  <si>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</si>
  <si>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</si>
  <si>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</si>
  <si>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</si>
  <si>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</si>
  <si>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</si>
  <si>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</si>
  <si>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</si>
  <si>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</si>
  <si>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</si>
  <si>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</si>
  <si>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</si>
  <si>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</si>
  <si>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</si>
  <si>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</si>
  <si>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</si>
  <si>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</si>
  <si>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</si>
  <si>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</si>
  <si>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</si>
  <si>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</si>
  <si>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</si>
  <si>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</si>
  <si>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</si>
  <si>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</si>
  <si>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</si>
  <si>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</si>
  <si>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</si>
  <si>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</si>
  <si>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</si>
  <si>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</si>
  <si>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</si>
  <si>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</si>
  <si>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</si>
  <si>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</si>
  <si>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</si>
  <si>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</si>
  <si>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</si>
  <si>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</si>
  <si>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</si>
  <si>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</si>
  <si>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</si>
  <si>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</si>
  <si>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</si>
  <si>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</si>
  <si>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</si>
  <si>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</si>
  <si>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</si>
  <si>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</si>
  <si>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</si>
  <si>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</si>
  <si>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</si>
  <si>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</si>
  <si>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</si>
  <si>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</si>
  <si>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</si>
  <si>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</si>
  <si>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</si>
  <si>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</si>
  <si>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</si>
  <si>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</si>
  <si>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</si>
  <si>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</si>
  <si>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</si>
  <si>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</si>
  <si>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</si>
  <si>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</si>
  <si>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</si>
  <si>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</si>
  <si>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</si>
  <si>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</si>
  <si>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</si>
  <si>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</si>
  <si>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</si>
  <si>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</si>
  <si>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</si>
  <si>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</si>
  <si>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</si>
  <si>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</si>
  <si>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</si>
  <si>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</si>
  <si>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</si>
  <si>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</si>
  <si>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</si>
  <si>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</si>
  <si>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</si>
  <si>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</si>
  <si>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</si>
  <si>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</si>
  <si>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</si>
  <si>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</si>
  <si>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</si>
  <si>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</si>
  <si>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</si>
  <si>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</si>
  <si>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</si>
  <si>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</si>
  <si>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</si>
  <si>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</si>
  <si>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</si>
  <si>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</si>
  <si>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</si>
  <si>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</si>
  <si>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</si>
  <si>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</si>
  <si>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</si>
  <si>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</si>
  <si>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</si>
  <si>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</si>
  <si>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</si>
  <si>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</si>
  <si>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</si>
  <si>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</si>
  <si>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</si>
  <si>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</si>
  <si>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</si>
  <si>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</si>
  <si>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</si>
  <si>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</si>
  <si>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</si>
  <si>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</si>
  <si>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</si>
  <si>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</si>
  <si>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</si>
  <si>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</si>
  <si>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</si>
  <si>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</si>
  <si>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</si>
  <si>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</si>
  <si>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</si>
  <si>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</si>
  <si>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</si>
  <si>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</si>
  <si>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</si>
  <si>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</si>
  <si>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</si>
  <si>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</si>
  <si>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</si>
  <si>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</si>
  <si>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</si>
  <si>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</si>
  <si>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</si>
  <si>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</si>
  <si>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</si>
  <si>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</si>
  <si>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</si>
  <si>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</si>
  <si>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</si>
  <si>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</si>
  <si>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</si>
  <si>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</si>
  <si>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</si>
  <si>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</si>
  <si>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</si>
  <si>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</si>
  <si>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</si>
  <si>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</si>
  <si>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</si>
  <si>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</si>
  <si>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</si>
  <si>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</si>
  <si>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</si>
  <si>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</si>
  <si>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</si>
  <si>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</si>
  <si>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</si>
  <si>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</si>
  <si>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</si>
  <si>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</si>
  <si>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</si>
  <si>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</si>
  <si>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</si>
  <si>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</si>
  <si>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</si>
  <si>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</si>
  <si>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</si>
  <si>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</si>
  <si>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</si>
  <si>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</si>
  <si>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</si>
  <si>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</si>
  <si>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</si>
  <si>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</si>
  <si>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</si>
  <si>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</si>
  <si>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</si>
  <si>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</si>
  <si>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</si>
  <si>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</si>
  <si>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</si>
  <si>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</si>
  <si>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</si>
  <si>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</si>
  <si>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</si>
  <si>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</si>
  <si>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</si>
  <si>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</si>
  <si>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</si>
  <si>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</si>
  <si>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</si>
  <si>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</si>
  <si>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</si>
  <si>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</si>
  <si>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</si>
  <si>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</si>
  <si>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</si>
  <si>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</si>
  <si>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</si>
  <si>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</si>
  <si>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</si>
  <si>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</si>
  <si>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</si>
  <si>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</si>
  <si>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</si>
  <si>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</si>
  <si>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</si>
  <si>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</si>
  <si>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</si>
  <si>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</si>
  <si>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</si>
  <si>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</si>
  <si>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</si>
  <si>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</si>
  <si>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</si>
  <si>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</si>
  <si>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PTP A FO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</si>
  <si>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</si>
  <si>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</si>
  <si>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</si>
  <si>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</si>
  <si>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</si>
  <si>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</si>
  <si>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</si>
  <si>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</si>
  <si>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</si>
  <si>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</si>
  <si>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</si>
  <si>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</si>
  <si>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</si>
  <si>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</si>
  <si>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</si>
  <si>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</si>
  <si>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</si>
  <si>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Se llega por ping y por web (DAHUA)</t>
  </si>
  <si>
    <t>APAGADO</t>
  </si>
  <si>
    <t>Se llega por ping y por web</t>
  </si>
  <si>
    <t xml:space="preserve">se llega por ping y por web (No Video Display) </t>
  </si>
  <si>
    <t xml:space="preserve">Se llega por ping y por web </t>
  </si>
  <si>
    <t>Se llega por ping y por web pide login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</si>
  <si>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</si>
  <si>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</si>
  <si>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</si>
  <si>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</si>
  <si>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</si>
  <si>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</si>
  <si>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</si>
  <si>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</si>
  <si>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</si>
  <si>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</si>
  <si>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Bocuzzi e/EspaÃ±a y San Martin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</si>
  <si>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</si>
  <si>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</si>
  <si>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</si>
  <si>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</si>
  <si>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</si>
  <si>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</si>
  <si>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</si>
  <si>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</si>
  <si>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</si>
  <si>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</si>
  <si>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ESPAÃ‘A E/MITRE Y BOCUZZI</t>
  </si>
  <si>
    <t>San Martin y GÃ¼emes</t>
  </si>
  <si>
    <t>San Martin y Pte.PerÃ³n</t>
  </si>
  <si>
    <t>Monteagudo y Pte. PerÃ³n</t>
  </si>
  <si>
    <t>Pte.PerÃ³n e/Pringles y Brown</t>
  </si>
  <si>
    <t>Sallares y EspaÃ±a</t>
  </si>
  <si>
    <t>Mitre y EspaÃ±a</t>
  </si>
  <si>
    <t>San Juan y EspaÃ±a</t>
  </si>
  <si>
    <t>Aristobulo del Valle y EspaÃ±a</t>
  </si>
  <si>
    <t>Peron y EspaÃ±a</t>
  </si>
  <si>
    <t>EspaÃ±a y Marmol</t>
  </si>
  <si>
    <t>EspaÃ±a y 9 de Julio</t>
  </si>
  <si>
    <t>CEN59</t>
  </si>
  <si>
    <t>CEN62</t>
  </si>
  <si>
    <t>ESPAÃ‘A Y ALEM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</si>
  <si>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</si>
  <si>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</si>
  <si>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</si>
  <si>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</si>
  <si>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</si>
  <si>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</si>
  <si>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</si>
  <si>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</si>
  <si>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</si>
  <si>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</si>
  <si>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</si>
  <si>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</si>
  <si>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</si>
  <si>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</si>
  <si>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</si>
  <si>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</si>
  <si>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</si>
  <si>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</si>
  <si>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</si>
  <si>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</si>
  <si>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</si>
  <si>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</si>
  <si>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</si>
  <si>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MaipÃº y Posadas</t>
  </si>
  <si>
    <t>LPR 01</t>
  </si>
  <si>
    <t>LRO 05</t>
  </si>
  <si>
    <t>LRO 09</t>
  </si>
  <si>
    <t>Las AmÃ©ricas y Braile</t>
  </si>
  <si>
    <t>LRO 10</t>
  </si>
  <si>
    <t>LRO 12 (fija 1)</t>
  </si>
  <si>
    <t>LRO 13 (fija 2)</t>
  </si>
  <si>
    <t>LRO01</t>
  </si>
  <si>
    <t>LUJ 01</t>
  </si>
  <si>
    <t>Ã‘andu y Los Pinos</t>
  </si>
  <si>
    <t>MAR 02 (FIJA1)</t>
  </si>
  <si>
    <t>LUJAN Y PATAGONES</t>
  </si>
  <si>
    <t>LAS MARGARITAS</t>
  </si>
  <si>
    <t>MAR 03(FIJA 2)</t>
  </si>
  <si>
    <t>Eva PerÃ³n y Cabildo</t>
  </si>
  <si>
    <t>CHAÃ‘AR Y SAN NICOLAS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</si>
  <si>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</si>
  <si>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</si>
  <si>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</si>
  <si>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</si>
  <si>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</si>
  <si>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</si>
  <si>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</si>
  <si>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</si>
  <si>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</si>
  <si>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</si>
  <si>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</si>
  <si>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</si>
  <si>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</si>
  <si>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</si>
  <si>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</si>
  <si>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</si>
  <si>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</si>
  <si>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</si>
  <si>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</si>
  <si>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</si>
  <si>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</si>
  <si>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</si>
  <si>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</si>
  <si>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</si>
  <si>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</si>
  <si>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</si>
  <si>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</si>
  <si>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</si>
  <si>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</si>
  <si>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</si>
  <si>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</si>
  <si>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</si>
  <si>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</si>
  <si>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</si>
  <si>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</si>
  <si>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</si>
  <si>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</si>
  <si>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</si>
  <si>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</si>
  <si>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</si>
  <si>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</si>
  <si>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</si>
  <si>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</si>
  <si>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</si>
  <si>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</si>
  <si>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</si>
  <si>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</si>
  <si>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</si>
  <si>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</si>
  <si>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</si>
  <si>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</si>
  <si>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</si>
  <si>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</si>
  <si>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</si>
  <si>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</si>
  <si>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</si>
  <si>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</si>
  <si>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</si>
  <si>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</si>
  <si>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</si>
  <si>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</si>
  <si>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</si>
  <si>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</si>
  <si>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</si>
  <si>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</si>
  <si>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</si>
  <si>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</si>
  <si>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</si>
  <si>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</si>
  <si>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</si>
  <si>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</si>
  <si>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CHAÃ‘AR Y URUGUAY</t>
  </si>
  <si>
    <t>VAT 21 (fija 1)</t>
  </si>
  <si>
    <t>VAT 22 (fija 2)</t>
  </si>
  <si>
    <t>Montevideo y El ChaÃ±ar</t>
  </si>
  <si>
    <t>Eva PerÃ³n y 12 de Octubre</t>
  </si>
  <si>
    <t>Eva Peron y PueyrredÃ³n</t>
  </si>
  <si>
    <t>Eva PerÃ³n y Lavalle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</si>
  <si>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</si>
  <si>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</si>
  <si>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</si>
  <si>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</si>
  <si>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</si>
  <si>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</si>
  <si>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</si>
  <si>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</si>
  <si>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</si>
  <si>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</si>
  <si>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RÃ­o Carapachay y OroÃ±o</t>
  </si>
  <si>
    <t>VMO 03 (fija 1)</t>
  </si>
  <si>
    <t>EVA PERON E/ OROÃ‘O Y 734 A</t>
  </si>
  <si>
    <t>VMO 04 (fija 2)</t>
  </si>
  <si>
    <t>VMO 05</t>
  </si>
  <si>
    <t>OROÃ‘O Y EVA PERON</t>
  </si>
  <si>
    <t>Eva Peron y MonseÃ±or de las Casas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</si>
  <si>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</si>
  <si>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</si>
  <si>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</si>
  <si>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</si>
  <si>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</si>
  <si>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</si>
  <si>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</si>
  <si>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f</t>
  </si>
  <si>
    <t>172.20.11.135</t>
  </si>
  <si>
    <t>172.20.10.4</t>
  </si>
  <si>
    <t>172.200.141</t>
  </si>
  <si>
    <t>[Empresa Mantenimiento]</t>
  </si>
  <si>
    <t>BONOMO</t>
  </si>
  <si>
    <t>COSEIDI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</si>
</sst>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4" xfId="0" applyBorder="1"/>
    <xf numFmtId="0" fontId="0" fillId="0" borderId="17" xfId="0" applyBorder="1"/>
    <xf numFmtId="0" fontId="0" fillId="0" borderId="20" xfId="0" applyBorder="1"/>
    <xf numFmtId="10" fontId="0" fillId="0" borderId="0" xfId="1" applyNumberFormat="1" applyFont="1" applyAlignment="1">
      <alignment horizontal="center"/>
    </xf>
    <xf numFmtId="10" fontId="0" fillId="0" borderId="15" xfId="1" applyNumberFormat="1" applyFont="1" applyBorder="1" applyAlignment="1">
      <alignment horizontal="center"/>
    </xf>
    <xf numFmtId="10" fontId="0" fillId="0" borderId="18" xfId="1" applyNumberFormat="1" applyFon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5" xfId="0" applyBorder="1" applyAlignment="1">
      <alignment horizontal="left" indent="3"/>
    </xf>
    <xf numFmtId="0" fontId="0" fillId="0" borderId="18" xfId="0" applyBorder="1" applyAlignment="1">
      <alignment horizontal="left" indent="3"/>
    </xf>
    <xf numFmtId="0" fontId="0" fillId="0" borderId="21" xfId="0" applyBorder="1" applyAlignment="1">
      <alignment horizontal="left" indent="3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4" borderId="0" xfId="0" applyFill="1"/>
    <xf numFmtId="0" fontId="0" fillId="4" borderId="0" xfId="0" applyFill="1" applyAlignment="1">
      <alignment horizontal="right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4" borderId="16" xfId="0" applyFill="1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4" borderId="19" xfId="0" applyFill="1" applyBorder="1"/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4" borderId="22" xfId="0" applyFill="1" applyBorder="1"/>
    <xf numFmtId="0" fontId="0" fillId="0" borderId="0" xfId="0" applyBorder="1" applyAlignment="1">
      <alignment horizontal="left"/>
    </xf>
    <xf numFmtId="16" fontId="0" fillId="0" borderId="0" xfId="0" applyNumberFormat="1" applyBorder="1" applyAlignment="1">
      <alignment vertical="center" textRotation="90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829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6.6326530612244902E-2</c:v>
                </c:pt>
                <c:pt idx="1">
                  <c:v>6.8877551020408156E-2</c:v>
                </c:pt>
                <c:pt idx="2">
                  <c:v>7.9081632653061229E-2</c:v>
                </c:pt>
                <c:pt idx="3">
                  <c:v>8.9285714285714288E-2</c:v>
                </c:pt>
                <c:pt idx="4">
                  <c:v>6.8877551020408156E-2</c:v>
                </c:pt>
                <c:pt idx="5">
                  <c:v>8.1632653061224483E-2</c:v>
                </c:pt>
                <c:pt idx="6">
                  <c:v>0.11734693877551021</c:v>
                </c:pt>
                <c:pt idx="7">
                  <c:v>0.10204081632653061</c:v>
                </c:pt>
                <c:pt idx="8">
                  <c:v>7.3979591836734693E-2</c:v>
                </c:pt>
                <c:pt idx="9">
                  <c:v>6.1224489795918366E-2</c:v>
                </c:pt>
                <c:pt idx="10">
                  <c:v>6.1224489795918366E-2</c:v>
                </c:pt>
                <c:pt idx="11">
                  <c:v>7.1428571428571425E-2</c:v>
                </c:pt>
                <c:pt idx="12">
                  <c:v>7.9081632653061229E-2</c:v>
                </c:pt>
                <c:pt idx="13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  <c:pt idx="1">
                  <c:v>8</c:v>
                </c:pt>
                <c:pt idx="2">
                  <c:v>11</c:v>
                </c:pt>
                <c:pt idx="3">
                  <c:v>14</c:v>
                </c:pt>
                <c:pt idx="4">
                  <c:v>9</c:v>
                </c:pt>
                <c:pt idx="5">
                  <c:v>8</c:v>
                </c:pt>
                <c:pt idx="6">
                  <c:v>15</c:v>
                </c:pt>
                <c:pt idx="7">
                  <c:v>10</c:v>
                </c:pt>
                <c:pt idx="8">
                  <c:v>7</c:v>
                </c:pt>
                <c:pt idx="9">
                  <c:v>5</c:v>
                </c:pt>
                <c:pt idx="10">
                  <c:v>5</c:v>
                </c:pt>
                <c:pt idx="11">
                  <c:v>8</c:v>
                </c:pt>
                <c:pt idx="12">
                  <c:v>8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20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18</c:v>
                </c:pt>
                <c:pt idx="5">
                  <c:v>24</c:v>
                </c:pt>
                <c:pt idx="6">
                  <c:v>31</c:v>
                </c:pt>
                <c:pt idx="7">
                  <c:v>30</c:v>
                </c:pt>
                <c:pt idx="8">
                  <c:v>22</c:v>
                </c:pt>
                <c:pt idx="9">
                  <c:v>19</c:v>
                </c:pt>
                <c:pt idx="10">
                  <c:v>19</c:v>
                </c:pt>
                <c:pt idx="11">
                  <c:v>20</c:v>
                </c:pt>
                <c:pt idx="12">
                  <c:v>23</c:v>
                </c:pt>
                <c:pt idx="13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27</c:v>
                </c:pt>
                <c:pt idx="2">
                  <c:v>31</c:v>
                </c:pt>
                <c:pt idx="3">
                  <c:v>35</c:v>
                </c:pt>
                <c:pt idx="4">
                  <c:v>27</c:v>
                </c:pt>
                <c:pt idx="5">
                  <c:v>32</c:v>
                </c:pt>
                <c:pt idx="6">
                  <c:v>46</c:v>
                </c:pt>
                <c:pt idx="7">
                  <c:v>40</c:v>
                </c:pt>
                <c:pt idx="8">
                  <c:v>29</c:v>
                </c:pt>
                <c:pt idx="9">
                  <c:v>24</c:v>
                </c:pt>
                <c:pt idx="10">
                  <c:v>24</c:v>
                </c:pt>
                <c:pt idx="11">
                  <c:v>28</c:v>
                </c:pt>
                <c:pt idx="12">
                  <c:v>31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44743</c:v>
                </c:pt>
                <c:pt idx="1">
                  <c:v>44744</c:v>
                </c:pt>
                <c:pt idx="2">
                  <c:v>44745</c:v>
                </c:pt>
                <c:pt idx="3">
                  <c:v>44746</c:v>
                </c:pt>
                <c:pt idx="4">
                  <c:v>44747</c:v>
                </c:pt>
                <c:pt idx="5">
                  <c:v>44748</c:v>
                </c:pt>
                <c:pt idx="6">
                  <c:v>44749</c:v>
                </c:pt>
                <c:pt idx="7">
                  <c:v>44750</c:v>
                </c:pt>
                <c:pt idx="8">
                  <c:v>44751</c:v>
                </c:pt>
                <c:pt idx="9">
                  <c:v>44752</c:v>
                </c:pt>
                <c:pt idx="10">
                  <c:v>44753</c:v>
                </c:pt>
                <c:pt idx="11">
                  <c:v>44754</c:v>
                </c:pt>
                <c:pt idx="12">
                  <c:v>44755</c:v>
                </c:pt>
                <c:pt idx="13">
                  <c:v>44756</c:v>
                </c:pt>
                <c:pt idx="14">
                  <c:v>44757</c:v>
                </c:pt>
                <c:pt idx="15">
                  <c:v>44758</c:v>
                </c:pt>
                <c:pt idx="16">
                  <c:v>44759</c:v>
                </c:pt>
                <c:pt idx="17">
                  <c:v>44760</c:v>
                </c:pt>
                <c:pt idx="18">
                  <c:v>44761</c:v>
                </c:pt>
                <c:pt idx="19">
                  <c:v>44762</c:v>
                </c:pt>
                <c:pt idx="20">
                  <c:v>44763</c:v>
                </c:pt>
                <c:pt idx="21">
                  <c:v>44764</c:v>
                </c:pt>
                <c:pt idx="22">
                  <c:v>44765</c:v>
                </c:pt>
                <c:pt idx="23">
                  <c:v>44766</c:v>
                </c:pt>
                <c:pt idx="24">
                  <c:v>44767</c:v>
                </c:pt>
                <c:pt idx="25">
                  <c:v>44768</c:v>
                </c:pt>
                <c:pt idx="26">
                  <c:v>44769</c:v>
                </c:pt>
                <c:pt idx="27">
                  <c:v>44770</c:v>
                </c:pt>
                <c:pt idx="28">
                  <c:v>44771</c:v>
                </c:pt>
                <c:pt idx="29">
                  <c:v>44772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6.6326530612244902E-2</c:v>
                </c:pt>
                <c:pt idx="1">
                  <c:v>6.8877551020408156E-2</c:v>
                </c:pt>
                <c:pt idx="2">
                  <c:v>7.9081632653061229E-2</c:v>
                </c:pt>
                <c:pt idx="3">
                  <c:v>8.9285714285714288E-2</c:v>
                </c:pt>
                <c:pt idx="4">
                  <c:v>6.8877551020408156E-2</c:v>
                </c:pt>
                <c:pt idx="5">
                  <c:v>8.1632653061224483E-2</c:v>
                </c:pt>
                <c:pt idx="6">
                  <c:v>0.11734693877551021</c:v>
                </c:pt>
                <c:pt idx="7">
                  <c:v>0.10204081632653061</c:v>
                </c:pt>
                <c:pt idx="8">
                  <c:v>7.3979591836734693E-2</c:v>
                </c:pt>
                <c:pt idx="9">
                  <c:v>6.1224489795918366E-2</c:v>
                </c:pt>
                <c:pt idx="10">
                  <c:v>6.1224489795918366E-2</c:v>
                </c:pt>
                <c:pt idx="11">
                  <c:v>7.1428571428571425E-2</c:v>
                </c:pt>
                <c:pt idx="12">
                  <c:v>7.9081632653061229E-2</c:v>
                </c:pt>
                <c:pt idx="13">
                  <c:v>7.1428571428571425E-2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S676"/>
  <sheetViews>
    <sheetView tabSelected="1" zoomScale="84" zoomScaleNormal="84" workbookViewId="0">
      <pane xSplit="14" ySplit="4" topLeftCell="AI203" activePane="bottomRight" state="frozen"/>
      <selection pane="topRight" activeCell="M1" sqref="M1"/>
      <selection pane="bottomLeft" activeCell="A5" sqref="A5"/>
      <selection pane="bottomRight" activeCell="AI211" sqref="AI211"/>
    </sheetView>
  </sheetViews>
  <sheetFormatPr baseColWidth="10" defaultRowHeight="15" x14ac:dyDescent="0.25"/>
  <cols>
    <col min="1" max="1" width="26.7109375" bestFit="1" customWidth="1"/>
    <col min="2" max="2" width="32.85546875" style="45" customWidth="1"/>
    <col min="3" max="3" width="16.28515625" style="52" customWidth="1"/>
    <col min="4" max="4" width="42.5703125" customWidth="1"/>
    <col min="5" max="5" width="15.7109375" style="23" customWidth="1"/>
    <col min="6" max="6" width="17.42578125" style="24" customWidth="1"/>
    <col min="7" max="10" width="6.28515625" style="24" hidden="1" customWidth="1"/>
    <col min="11" max="11" width="13.7109375" style="24" customWidth="1"/>
    <col min="12" max="12" width="14.7109375" customWidth="1"/>
    <col min="13" max="13" width="6.7109375" customWidth="1"/>
    <col min="14" max="14" width="11.5703125" style="5"/>
    <col min="15" max="23" width="8.7109375" style="22" customWidth="1"/>
    <col min="24" max="44" width="9.42578125" style="22" bestFit="1" customWidth="1"/>
  </cols>
  <sheetData>
    <row r="1" spans="1:45" s="5" customFormat="1" ht="27.75" customHeight="1" thickTop="1" x14ac:dyDescent="0.25">
      <c r="A1" s="1" t="s">
        <v>0</v>
      </c>
      <c r="B1" s="42">
        <f>COUNTA(B5:B527)</f>
        <v>392</v>
      </c>
      <c r="C1" s="100"/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9.3333333333333338E-2</v>
      </c>
      <c r="P1" s="4">
        <f t="shared" si="0"/>
        <v>8.7999999999999995E-2</v>
      </c>
      <c r="Q1" s="4">
        <f t="shared" si="0"/>
        <v>9.6000000000000002E-2</v>
      </c>
      <c r="R1" s="4">
        <f t="shared" si="0"/>
        <v>0.10666666666666667</v>
      </c>
      <c r="S1" s="4">
        <f t="shared" si="0"/>
        <v>8.5561497326203204E-2</v>
      </c>
      <c r="T1" s="4">
        <f t="shared" si="0"/>
        <v>0</v>
      </c>
      <c r="U1" s="4">
        <f t="shared" si="0"/>
        <v>0.152</v>
      </c>
      <c r="V1" s="4">
        <f t="shared" si="0"/>
        <v>0.128</v>
      </c>
      <c r="W1" s="4">
        <f t="shared" si="0"/>
        <v>9.0666666666666673E-2</v>
      </c>
      <c r="X1" s="4">
        <f t="shared" si="0"/>
        <v>7.7333333333333337E-2</v>
      </c>
      <c r="Y1" s="4">
        <f t="shared" si="0"/>
        <v>7.7333333333333337E-2</v>
      </c>
      <c r="Z1" s="4">
        <f t="shared" si="0"/>
        <v>8.7999999999999995E-2</v>
      </c>
      <c r="AA1" s="4">
        <f t="shared" si="0"/>
        <v>9.6000000000000002E-2</v>
      </c>
      <c r="AB1" s="4">
        <f t="shared" si="0"/>
        <v>9.0666666666666673E-2</v>
      </c>
      <c r="AC1" s="4">
        <f>(AC3)/(AC2+AC3)</f>
        <v>8.7999999999999995E-2</v>
      </c>
      <c r="AD1" s="4">
        <f t="shared" si="0"/>
        <v>7.4666666666666673E-2</v>
      </c>
      <c r="AE1" s="4">
        <f t="shared" si="0"/>
        <v>0.18112244897959184</v>
      </c>
      <c r="AF1" s="4">
        <f t="shared" si="0"/>
        <v>0.08</v>
      </c>
      <c r="AG1" s="4">
        <f t="shared" si="0"/>
        <v>6.933333333333333E-2</v>
      </c>
      <c r="AH1" s="4">
        <f t="shared" si="0"/>
        <v>0</v>
      </c>
      <c r="AI1" s="4">
        <f t="shared" si="0"/>
        <v>6.0686015831134567E-2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  <c r="AS1" s="4">
        <f t="shared" ref="AS1" si="2">(AS3)/(AS2+AS3)</f>
        <v>0</v>
      </c>
    </row>
    <row r="2" spans="1:45" s="11" customFormat="1" x14ac:dyDescent="0.25">
      <c r="A2" s="6"/>
      <c r="B2" s="43"/>
      <c r="C2" s="101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3">COUNTIF(O5:O379, "")</f>
        <v>340</v>
      </c>
      <c r="P2" s="10">
        <f t="shared" si="3"/>
        <v>342</v>
      </c>
      <c r="Q2" s="10">
        <f t="shared" si="3"/>
        <v>339</v>
      </c>
      <c r="R2" s="10">
        <f t="shared" si="3"/>
        <v>335</v>
      </c>
      <c r="S2" s="10">
        <f t="shared" si="3"/>
        <v>342</v>
      </c>
      <c r="T2" s="10">
        <f t="shared" si="3"/>
        <v>375</v>
      </c>
      <c r="U2" s="10">
        <f t="shared" si="3"/>
        <v>318</v>
      </c>
      <c r="V2" s="10">
        <f t="shared" si="3"/>
        <v>327</v>
      </c>
      <c r="W2" s="10">
        <f t="shared" si="3"/>
        <v>341</v>
      </c>
      <c r="X2" s="10">
        <f t="shared" si="3"/>
        <v>346</v>
      </c>
      <c r="Y2" s="10">
        <f t="shared" si="3"/>
        <v>346</v>
      </c>
      <c r="Z2" s="10">
        <f t="shared" si="3"/>
        <v>342</v>
      </c>
      <c r="AA2" s="10">
        <f t="shared" si="3"/>
        <v>339</v>
      </c>
      <c r="AB2" s="10">
        <f t="shared" si="3"/>
        <v>341</v>
      </c>
      <c r="AC2" s="10">
        <f t="shared" si="3"/>
        <v>342</v>
      </c>
      <c r="AD2" s="10">
        <f t="shared" si="3"/>
        <v>347</v>
      </c>
      <c r="AE2" s="10">
        <f t="shared" si="3"/>
        <v>321</v>
      </c>
      <c r="AF2" s="10">
        <f t="shared" si="3"/>
        <v>345</v>
      </c>
      <c r="AG2" s="10">
        <f t="shared" si="3"/>
        <v>349</v>
      </c>
      <c r="AH2" s="10">
        <f t="shared" si="3"/>
        <v>375</v>
      </c>
      <c r="AI2" s="10">
        <f>COUNTIF(AI5:AI379, "")</f>
        <v>356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4">COUNTIF(AM5:AM379, "")</f>
        <v>375</v>
      </c>
      <c r="AN2" s="10">
        <f t="shared" si="4"/>
        <v>375</v>
      </c>
      <c r="AO2" s="10">
        <f t="shared" si="4"/>
        <v>375</v>
      </c>
      <c r="AP2" s="10">
        <f t="shared" si="4"/>
        <v>375</v>
      </c>
      <c r="AQ2" s="10">
        <f t="shared" si="4"/>
        <v>375</v>
      </c>
      <c r="AR2" s="10">
        <f>COUNTIF(AR5:AR379, "")</f>
        <v>375</v>
      </c>
      <c r="AS2" s="10">
        <f>COUNTIF(AS5:AS379, "")</f>
        <v>375</v>
      </c>
    </row>
    <row r="3" spans="1:45" s="11" customFormat="1" ht="15.75" thickBot="1" x14ac:dyDescent="0.3">
      <c r="A3" s="12"/>
      <c r="B3" s="44"/>
      <c r="C3" s="101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35</v>
      </c>
      <c r="P3" s="14">
        <f t="shared" ref="P3:AP3" si="5">COUNTIF(P4:P447, "apagado")</f>
        <v>33</v>
      </c>
      <c r="Q3" s="14">
        <f t="shared" si="5"/>
        <v>36</v>
      </c>
      <c r="R3" s="14">
        <f t="shared" si="5"/>
        <v>40</v>
      </c>
      <c r="S3" s="14">
        <f t="shared" si="5"/>
        <v>32</v>
      </c>
      <c r="T3" s="14">
        <f t="shared" si="5"/>
        <v>0</v>
      </c>
      <c r="U3" s="14">
        <f t="shared" si="5"/>
        <v>57</v>
      </c>
      <c r="V3" s="14">
        <f t="shared" si="5"/>
        <v>48</v>
      </c>
      <c r="W3" s="14">
        <f t="shared" si="5"/>
        <v>34</v>
      </c>
      <c r="X3" s="14">
        <f t="shared" si="5"/>
        <v>29</v>
      </c>
      <c r="Y3" s="14">
        <f t="shared" si="5"/>
        <v>29</v>
      </c>
      <c r="Z3" s="14">
        <f t="shared" si="5"/>
        <v>33</v>
      </c>
      <c r="AA3" s="14">
        <f t="shared" si="5"/>
        <v>36</v>
      </c>
      <c r="AB3" s="14">
        <f t="shared" si="5"/>
        <v>34</v>
      </c>
      <c r="AC3" s="14">
        <f t="shared" si="5"/>
        <v>33</v>
      </c>
      <c r="AD3" s="14">
        <f t="shared" si="5"/>
        <v>28</v>
      </c>
      <c r="AE3" s="14">
        <f t="shared" si="5"/>
        <v>71</v>
      </c>
      <c r="AF3" s="14">
        <f t="shared" si="5"/>
        <v>30</v>
      </c>
      <c r="AG3" s="14">
        <f t="shared" si="5"/>
        <v>26</v>
      </c>
      <c r="AH3" s="14">
        <f t="shared" si="5"/>
        <v>0</v>
      </c>
      <c r="AI3" s="14">
        <f t="shared" si="5"/>
        <v>23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  <c r="AP3" s="14">
        <f t="shared" si="5"/>
        <v>0</v>
      </c>
      <c r="AQ3" s="14">
        <f t="shared" ref="AQ3:AR3" si="6">COUNTIF(AQ4:AQ447, "apagado")</f>
        <v>0</v>
      </c>
      <c r="AR3" s="14">
        <f t="shared" si="6"/>
        <v>0</v>
      </c>
      <c r="AS3" s="14">
        <f t="shared" ref="AS3" si="7">COUNTIF(AS4:AS447, "apagado")</f>
        <v>0</v>
      </c>
    </row>
    <row r="4" spans="1:45" s="11" customFormat="1" ht="32.25" thickTop="1" thickBot="1" x14ac:dyDescent="0.35">
      <c r="A4" t="s">
        <v>7</v>
      </c>
      <c r="B4" s="45" t="s">
        <v>8</v>
      </c>
      <c r="C4" s="102" t="s">
        <v>1398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44743</v>
      </c>
      <c r="P4" s="15">
        <v>44744</v>
      </c>
      <c r="Q4" s="15">
        <v>44745</v>
      </c>
      <c r="R4" s="15">
        <v>44746</v>
      </c>
      <c r="S4" s="15">
        <v>44747</v>
      </c>
      <c r="T4" s="15">
        <v>44748</v>
      </c>
      <c r="U4" s="15">
        <v>44749</v>
      </c>
      <c r="V4" s="15">
        <v>44750</v>
      </c>
      <c r="W4" s="15">
        <v>44751</v>
      </c>
      <c r="X4" s="15">
        <v>44752</v>
      </c>
      <c r="Y4" s="15">
        <v>44753</v>
      </c>
      <c r="Z4" s="15">
        <v>44754</v>
      </c>
      <c r="AA4" s="15">
        <v>44755</v>
      </c>
      <c r="AB4" s="15">
        <v>44756</v>
      </c>
      <c r="AC4" s="15">
        <v>44757</v>
      </c>
      <c r="AD4" s="15">
        <v>44758</v>
      </c>
      <c r="AE4" s="15">
        <v>44759</v>
      </c>
      <c r="AF4" s="15">
        <v>44760</v>
      </c>
      <c r="AG4" s="15">
        <v>44761</v>
      </c>
      <c r="AH4" s="15">
        <v>44762</v>
      </c>
      <c r="AI4" s="15">
        <v>44763</v>
      </c>
      <c r="AJ4" s="15">
        <v>44764</v>
      </c>
      <c r="AK4" s="15">
        <v>44765</v>
      </c>
      <c r="AL4" s="15">
        <v>44766</v>
      </c>
      <c r="AM4" s="15">
        <v>44767</v>
      </c>
      <c r="AN4" s="15">
        <v>44768</v>
      </c>
      <c r="AO4" s="15">
        <v>44769</v>
      </c>
      <c r="AP4" s="15">
        <v>44770</v>
      </c>
      <c r="AQ4" s="15">
        <v>44771</v>
      </c>
      <c r="AR4" s="15">
        <v>44772</v>
      </c>
      <c r="AS4" s="15">
        <v>44773</v>
      </c>
    </row>
    <row r="5" spans="1:45" ht="16.5" thickTop="1" thickBot="1" x14ac:dyDescent="0.3">
      <c r="A5" s="51" t="s">
        <v>34</v>
      </c>
      <c r="B5" s="51" t="s">
        <v>1216</v>
      </c>
      <c r="C5" s="51" t="s">
        <v>1399</v>
      </c>
      <c r="D5" s="51" t="s">
        <v>44</v>
      </c>
      <c r="E5" s="51" t="s">
        <v>24</v>
      </c>
      <c r="F5" s="51" t="s">
        <v>1390</v>
      </c>
      <c r="G5" s="51" t="s">
        <v>45</v>
      </c>
      <c r="H5" s="51"/>
      <c r="I5" s="16">
        <v>-347726570000</v>
      </c>
      <c r="J5" s="16">
        <v>-582730620000</v>
      </c>
      <c r="K5" s="51" t="s">
        <v>830</v>
      </c>
      <c r="L5" s="17">
        <f>COUNTIF(O5:AR5,"")</f>
        <v>29</v>
      </c>
      <c r="M5" s="17">
        <f t="shared" ref="M5:M68" si="8">COUNTIF(O5:AP5,"APAGADO")</f>
        <v>1</v>
      </c>
      <c r="N5" s="18">
        <f t="shared" ref="N5:N68" si="9">(L5)/(M5+L5)</f>
        <v>0.96666666666666667</v>
      </c>
      <c r="O5" s="29"/>
      <c r="P5" s="19"/>
      <c r="Q5" s="19"/>
      <c r="R5" s="19"/>
      <c r="S5" s="29"/>
      <c r="T5" s="29"/>
      <c r="U5" s="19"/>
      <c r="V5" s="19"/>
      <c r="W5" s="19"/>
      <c r="X5" s="29"/>
      <c r="Y5" s="29"/>
      <c r="Z5" s="29"/>
      <c r="AA5" s="29"/>
      <c r="AB5" s="29"/>
      <c r="AC5" s="29"/>
      <c r="AD5" s="29"/>
      <c r="AE5" s="29" t="s">
        <v>1211</v>
      </c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  <c r="AS5" s="29"/>
    </row>
    <row r="6" spans="1:45" ht="15.75" thickBot="1" x14ac:dyDescent="0.3">
      <c r="A6" s="51" t="s">
        <v>34</v>
      </c>
      <c r="B6" s="51" t="s">
        <v>1217</v>
      </c>
      <c r="C6" s="51" t="s">
        <v>1399</v>
      </c>
      <c r="D6" s="51" t="s">
        <v>46</v>
      </c>
      <c r="E6" s="51" t="s">
        <v>24</v>
      </c>
      <c r="F6" s="51" t="s">
        <v>1390</v>
      </c>
      <c r="G6" s="51" t="s">
        <v>47</v>
      </c>
      <c r="H6" s="51"/>
      <c r="I6" s="16">
        <v>-347705420000</v>
      </c>
      <c r="J6" s="16">
        <v>-582748000000</v>
      </c>
      <c r="K6" s="51" t="s">
        <v>831</v>
      </c>
      <c r="L6" s="53">
        <f t="shared" ref="L6:L69" si="10">COUNTIF(O6:AR6,"")</f>
        <v>30</v>
      </c>
      <c r="M6" s="17">
        <f t="shared" si="8"/>
        <v>0</v>
      </c>
      <c r="N6" s="18">
        <f t="shared" si="9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  <c r="AS6" s="27"/>
    </row>
    <row r="7" spans="1:45" ht="15.75" thickBot="1" x14ac:dyDescent="0.3">
      <c r="A7" s="51" t="s">
        <v>34</v>
      </c>
      <c r="B7" s="51" t="s">
        <v>1218</v>
      </c>
      <c r="C7" s="51" t="s">
        <v>1399</v>
      </c>
      <c r="D7" s="51" t="s">
        <v>35</v>
      </c>
      <c r="E7" s="51" t="s">
        <v>24</v>
      </c>
      <c r="F7" s="51" t="s">
        <v>1391</v>
      </c>
      <c r="G7" s="51"/>
      <c r="H7" s="51" t="s">
        <v>37</v>
      </c>
      <c r="I7" s="16">
        <v>-347738090000</v>
      </c>
      <c r="J7" s="16">
        <v>-582721410000</v>
      </c>
      <c r="K7" s="51" t="s">
        <v>834</v>
      </c>
      <c r="L7" s="53">
        <f t="shared" si="10"/>
        <v>12</v>
      </c>
      <c r="M7" s="17">
        <f t="shared" si="8"/>
        <v>18</v>
      </c>
      <c r="N7" s="18">
        <f t="shared" si="9"/>
        <v>0.4</v>
      </c>
      <c r="O7" s="27" t="s">
        <v>1211</v>
      </c>
      <c r="P7" s="8" t="s">
        <v>1211</v>
      </c>
      <c r="Q7" s="8" t="s">
        <v>1211</v>
      </c>
      <c r="R7" s="8" t="s">
        <v>1211</v>
      </c>
      <c r="S7" s="27" t="s">
        <v>1211</v>
      </c>
      <c r="T7" s="27"/>
      <c r="U7" s="8" t="s">
        <v>1211</v>
      </c>
      <c r="V7" s="8" t="s">
        <v>1211</v>
      </c>
      <c r="W7" s="8" t="s">
        <v>1211</v>
      </c>
      <c r="X7" s="27" t="s">
        <v>1211</v>
      </c>
      <c r="Y7" s="27" t="s">
        <v>1211</v>
      </c>
      <c r="Z7" s="27" t="s">
        <v>1211</v>
      </c>
      <c r="AA7" s="27" t="s">
        <v>1211</v>
      </c>
      <c r="AB7" s="27" t="s">
        <v>1211</v>
      </c>
      <c r="AC7" s="27" t="s">
        <v>1211</v>
      </c>
      <c r="AD7" s="27" t="s">
        <v>1211</v>
      </c>
      <c r="AE7" s="27" t="s">
        <v>1211</v>
      </c>
      <c r="AF7" s="27" t="s">
        <v>1211</v>
      </c>
      <c r="AG7" s="27" t="s">
        <v>1211</v>
      </c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  <c r="AS7" s="27"/>
    </row>
    <row r="8" spans="1:45" ht="15.75" thickBot="1" x14ac:dyDescent="0.3">
      <c r="A8" s="51" t="s">
        <v>34</v>
      </c>
      <c r="B8" s="51" t="s">
        <v>1219</v>
      </c>
      <c r="C8" s="51" t="s">
        <v>1399</v>
      </c>
      <c r="D8" s="51" t="s">
        <v>54</v>
      </c>
      <c r="E8" s="51" t="s">
        <v>19</v>
      </c>
      <c r="F8" s="51" t="s">
        <v>36</v>
      </c>
      <c r="G8" s="51"/>
      <c r="H8" s="51" t="s">
        <v>55</v>
      </c>
      <c r="I8" s="16">
        <v>-347749440000</v>
      </c>
      <c r="J8" s="16">
        <v>-582711610000</v>
      </c>
      <c r="K8" s="51" t="s">
        <v>837</v>
      </c>
      <c r="L8" s="53">
        <f t="shared" si="10"/>
        <v>29</v>
      </c>
      <c r="M8" s="17">
        <f t="shared" si="8"/>
        <v>1</v>
      </c>
      <c r="N8" s="18">
        <f t="shared" si="9"/>
        <v>0.96666666666666667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 t="s">
        <v>1211</v>
      </c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  <c r="AS8" s="27"/>
    </row>
    <row r="9" spans="1:45" ht="15.75" thickBot="1" x14ac:dyDescent="0.3">
      <c r="A9" s="51" t="s">
        <v>34</v>
      </c>
      <c r="B9" s="51" t="s">
        <v>1220</v>
      </c>
      <c r="C9" s="51" t="s">
        <v>1399</v>
      </c>
      <c r="D9" s="51" t="s">
        <v>56</v>
      </c>
      <c r="E9" s="51" t="s">
        <v>19</v>
      </c>
      <c r="F9" s="51" t="s">
        <v>36</v>
      </c>
      <c r="G9" s="51"/>
      <c r="H9" s="51" t="s">
        <v>57</v>
      </c>
      <c r="I9" s="16">
        <v>-347743740000</v>
      </c>
      <c r="J9" s="16">
        <v>-582715650000</v>
      </c>
      <c r="K9" s="51" t="s">
        <v>838</v>
      </c>
      <c r="L9" s="53">
        <f t="shared" si="10"/>
        <v>30</v>
      </c>
      <c r="M9" s="17">
        <f t="shared" si="8"/>
        <v>0</v>
      </c>
      <c r="N9" s="18">
        <f t="shared" si="9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  <c r="AS9" s="27"/>
    </row>
    <row r="10" spans="1:45" ht="15.75" thickBot="1" x14ac:dyDescent="0.3">
      <c r="A10" s="51" t="s">
        <v>34</v>
      </c>
      <c r="B10" s="51" t="s">
        <v>1221</v>
      </c>
      <c r="C10" s="51" t="s">
        <v>1399</v>
      </c>
      <c r="D10" s="51" t="s">
        <v>1222</v>
      </c>
      <c r="E10" s="51" t="s">
        <v>24</v>
      </c>
      <c r="F10" s="51" t="s">
        <v>25</v>
      </c>
      <c r="G10" s="51" t="s">
        <v>421</v>
      </c>
      <c r="H10" s="51"/>
      <c r="I10" s="16">
        <v>-347688500000</v>
      </c>
      <c r="J10" s="16">
        <v>-582717420000</v>
      </c>
      <c r="K10" s="51"/>
      <c r="L10" s="53">
        <f t="shared" si="10"/>
        <v>25</v>
      </c>
      <c r="M10" s="17">
        <f t="shared" si="8"/>
        <v>5</v>
      </c>
      <c r="N10" s="18">
        <f t="shared" si="9"/>
        <v>0.83333333333333337</v>
      </c>
      <c r="O10" s="27"/>
      <c r="P10" s="8"/>
      <c r="Q10" s="8"/>
      <c r="R10" s="8"/>
      <c r="S10" s="27"/>
      <c r="T10" s="27"/>
      <c r="U10" s="8" t="s">
        <v>1211</v>
      </c>
      <c r="V10" s="8" t="s">
        <v>1211</v>
      </c>
      <c r="W10" s="8"/>
      <c r="X10" s="27"/>
      <c r="Y10" s="27"/>
      <c r="Z10" s="27" t="s">
        <v>1211</v>
      </c>
      <c r="AA10" s="27" t="s">
        <v>1211</v>
      </c>
      <c r="AB10" s="27" t="s">
        <v>1211</v>
      </c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  <c r="AS10" s="27"/>
    </row>
    <row r="11" spans="1:45" ht="15.75" thickBot="1" x14ac:dyDescent="0.3">
      <c r="A11" s="51" t="s">
        <v>34</v>
      </c>
      <c r="B11" s="51" t="s">
        <v>38</v>
      </c>
      <c r="C11" s="51" t="s">
        <v>1399</v>
      </c>
      <c r="D11" s="51" t="s">
        <v>39</v>
      </c>
      <c r="E11" s="51" t="s">
        <v>24</v>
      </c>
      <c r="F11" s="51" t="s">
        <v>36</v>
      </c>
      <c r="G11" s="51" t="s">
        <v>40</v>
      </c>
      <c r="H11" s="51"/>
      <c r="I11" s="16">
        <v>-347769580000</v>
      </c>
      <c r="J11" s="16">
        <v>-582650900000</v>
      </c>
      <c r="K11" s="51" t="s">
        <v>827</v>
      </c>
      <c r="L11" s="53">
        <f t="shared" si="10"/>
        <v>30</v>
      </c>
      <c r="M11" s="17">
        <f t="shared" si="8"/>
        <v>0</v>
      </c>
      <c r="N11" s="18">
        <f t="shared" si="9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  <c r="AS11" s="27"/>
    </row>
    <row r="12" spans="1:45" ht="15.75" thickBot="1" x14ac:dyDescent="0.3">
      <c r="A12" s="51" t="s">
        <v>34</v>
      </c>
      <c r="B12" s="51" t="s">
        <v>41</v>
      </c>
      <c r="C12" s="51" t="s">
        <v>1399</v>
      </c>
      <c r="D12" s="51" t="s">
        <v>42</v>
      </c>
      <c r="E12" s="51" t="s">
        <v>24</v>
      </c>
      <c r="F12" s="51" t="s">
        <v>1391</v>
      </c>
      <c r="G12" s="51" t="s">
        <v>43</v>
      </c>
      <c r="H12" s="51"/>
      <c r="I12" s="16">
        <v>-347718470000</v>
      </c>
      <c r="J12" s="16">
        <v>-582688560000</v>
      </c>
      <c r="K12" s="51" t="s">
        <v>829</v>
      </c>
      <c r="L12" s="53">
        <f t="shared" si="10"/>
        <v>30</v>
      </c>
      <c r="M12" s="17">
        <f t="shared" si="8"/>
        <v>0</v>
      </c>
      <c r="N12" s="18">
        <f t="shared" si="9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  <c r="AS12" s="27"/>
    </row>
    <row r="13" spans="1:45" ht="15.75" thickBot="1" x14ac:dyDescent="0.3">
      <c r="A13" s="51" t="s">
        <v>34</v>
      </c>
      <c r="B13" s="51" t="s">
        <v>48</v>
      </c>
      <c r="C13" s="51" t="s">
        <v>1399</v>
      </c>
      <c r="D13" s="51" t="s">
        <v>49</v>
      </c>
      <c r="E13" s="51" t="s">
        <v>24</v>
      </c>
      <c r="F13" s="51" t="s">
        <v>1391</v>
      </c>
      <c r="G13" s="51" t="s">
        <v>50</v>
      </c>
      <c r="H13" s="51"/>
      <c r="I13" s="16">
        <v>-347708370000</v>
      </c>
      <c r="J13" s="16">
        <v>-582698000000</v>
      </c>
      <c r="K13" s="51" t="s">
        <v>832</v>
      </c>
      <c r="L13" s="53">
        <f t="shared" si="10"/>
        <v>28</v>
      </c>
      <c r="M13" s="17">
        <f t="shared" si="8"/>
        <v>2</v>
      </c>
      <c r="N13" s="18">
        <f t="shared" si="9"/>
        <v>0.93333333333333335</v>
      </c>
      <c r="O13" s="27"/>
      <c r="P13" s="8"/>
      <c r="Q13" s="8"/>
      <c r="R13" s="8"/>
      <c r="S13" s="27"/>
      <c r="T13" s="27"/>
      <c r="U13" s="8" t="s">
        <v>1211</v>
      </c>
      <c r="V13" s="8" t="s">
        <v>1211</v>
      </c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  <c r="AS13" s="27"/>
    </row>
    <row r="14" spans="1:45" ht="15.75" thickBot="1" x14ac:dyDescent="0.3">
      <c r="A14" s="51" t="s">
        <v>34</v>
      </c>
      <c r="B14" s="51" t="s">
        <v>51</v>
      </c>
      <c r="C14" s="51" t="s">
        <v>1399</v>
      </c>
      <c r="D14" s="51" t="s">
        <v>52</v>
      </c>
      <c r="E14" s="51" t="s">
        <v>19</v>
      </c>
      <c r="F14" s="51" t="s">
        <v>1391</v>
      </c>
      <c r="G14" s="51"/>
      <c r="H14" s="51" t="s">
        <v>53</v>
      </c>
      <c r="I14" s="16">
        <v>-347737570000</v>
      </c>
      <c r="J14" s="16">
        <v>-582676650000</v>
      </c>
      <c r="K14" s="51" t="s">
        <v>836</v>
      </c>
      <c r="L14" s="53">
        <f t="shared" si="10"/>
        <v>28</v>
      </c>
      <c r="M14" s="17">
        <f t="shared" si="8"/>
        <v>2</v>
      </c>
      <c r="N14" s="18">
        <f t="shared" si="9"/>
        <v>0.93333333333333335</v>
      </c>
      <c r="O14" s="27"/>
      <c r="P14" s="8"/>
      <c r="Q14" s="8"/>
      <c r="R14" s="8"/>
      <c r="S14" s="27"/>
      <c r="T14" s="27"/>
      <c r="U14" s="8" t="s">
        <v>1211</v>
      </c>
      <c r="V14" s="8" t="s">
        <v>1211</v>
      </c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  <c r="AS14" s="27"/>
    </row>
    <row r="15" spans="1:45" ht="15.75" thickBot="1" x14ac:dyDescent="0.3">
      <c r="A15" s="51" t="s">
        <v>58</v>
      </c>
      <c r="B15" s="51" t="s">
        <v>1223</v>
      </c>
      <c r="C15" s="51"/>
      <c r="D15" s="51" t="s">
        <v>59</v>
      </c>
      <c r="E15" s="51" t="s">
        <v>24</v>
      </c>
      <c r="F15" s="51" t="s">
        <v>1390</v>
      </c>
      <c r="G15" s="51" t="s">
        <v>60</v>
      </c>
      <c r="H15" s="51"/>
      <c r="I15" s="16">
        <v>-347979380000</v>
      </c>
      <c r="J15" s="16">
        <v>-583160950000</v>
      </c>
      <c r="K15" s="51" t="s">
        <v>839</v>
      </c>
      <c r="L15" s="53">
        <f t="shared" si="10"/>
        <v>30</v>
      </c>
      <c r="M15" s="17">
        <f t="shared" si="8"/>
        <v>0</v>
      </c>
      <c r="N15" s="18">
        <f t="shared" si="9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  <c r="AS15" s="27"/>
    </row>
    <row r="16" spans="1:45" ht="15.75" thickBot="1" x14ac:dyDescent="0.3">
      <c r="A16" s="51" t="s">
        <v>61</v>
      </c>
      <c r="B16" s="51" t="s">
        <v>1224</v>
      </c>
      <c r="C16" s="51" t="s">
        <v>1399</v>
      </c>
      <c r="D16" s="51" t="s">
        <v>62</v>
      </c>
      <c r="E16" s="51" t="s">
        <v>19</v>
      </c>
      <c r="F16" s="51" t="s">
        <v>1390</v>
      </c>
      <c r="G16" s="51" t="s">
        <v>60</v>
      </c>
      <c r="H16" s="51" t="s">
        <v>63</v>
      </c>
      <c r="I16" s="16">
        <v>-347918370000</v>
      </c>
      <c r="J16" s="16">
        <v>-582786080000</v>
      </c>
      <c r="K16" s="51" t="s">
        <v>840</v>
      </c>
      <c r="L16" s="53">
        <f t="shared" si="10"/>
        <v>30</v>
      </c>
      <c r="M16" s="17">
        <f t="shared" si="8"/>
        <v>0</v>
      </c>
      <c r="N16" s="18">
        <f t="shared" si="9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  <c r="AS16" s="27"/>
    </row>
    <row r="17" spans="1:45" ht="15.75" thickBot="1" x14ac:dyDescent="0.3">
      <c r="A17" s="51" t="s">
        <v>72</v>
      </c>
      <c r="B17" s="51" t="s">
        <v>1225</v>
      </c>
      <c r="C17" s="51"/>
      <c r="D17" s="51" t="s">
        <v>1226</v>
      </c>
      <c r="E17" s="51" t="s">
        <v>19</v>
      </c>
      <c r="F17" s="51" t="s">
        <v>36</v>
      </c>
      <c r="G17" s="51" t="s">
        <v>113</v>
      </c>
      <c r="H17" s="51" t="s">
        <v>114</v>
      </c>
      <c r="I17" s="16">
        <v>-348100680000</v>
      </c>
      <c r="J17" s="16">
        <v>-582769560000</v>
      </c>
      <c r="K17" s="51" t="s">
        <v>844</v>
      </c>
      <c r="L17" s="53">
        <f t="shared" si="10"/>
        <v>28</v>
      </c>
      <c r="M17" s="17">
        <f t="shared" si="8"/>
        <v>2</v>
      </c>
      <c r="N17" s="18">
        <f t="shared" si="9"/>
        <v>0.93333333333333335</v>
      </c>
      <c r="O17" s="27"/>
      <c r="P17" s="8"/>
      <c r="Q17" s="8"/>
      <c r="R17" s="8"/>
      <c r="S17" s="27"/>
      <c r="T17" s="27"/>
      <c r="U17" s="8" t="s">
        <v>1211</v>
      </c>
      <c r="V17" s="8" t="s">
        <v>1211</v>
      </c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  <c r="AS17" s="27"/>
    </row>
    <row r="18" spans="1:45" ht="15.75" thickBot="1" x14ac:dyDescent="0.3">
      <c r="A18" s="51" t="s">
        <v>72</v>
      </c>
      <c r="B18" s="51" t="s">
        <v>1227</v>
      </c>
      <c r="C18" s="51"/>
      <c r="D18" s="51" t="s">
        <v>132</v>
      </c>
      <c r="E18" s="51" t="s">
        <v>24</v>
      </c>
      <c r="F18" s="51" t="s">
        <v>36</v>
      </c>
      <c r="G18" s="51" t="s">
        <v>133</v>
      </c>
      <c r="H18" s="51"/>
      <c r="I18" s="16">
        <v>-348088700000</v>
      </c>
      <c r="J18" s="16">
        <v>-582747030000</v>
      </c>
      <c r="K18" s="51" t="s">
        <v>851</v>
      </c>
      <c r="L18" s="53">
        <f t="shared" si="10"/>
        <v>28</v>
      </c>
      <c r="M18" s="17">
        <f t="shared" si="8"/>
        <v>2</v>
      </c>
      <c r="N18" s="18">
        <f t="shared" si="9"/>
        <v>0.93333333333333335</v>
      </c>
      <c r="O18" s="27"/>
      <c r="P18" s="8"/>
      <c r="Q18" s="8"/>
      <c r="R18" s="8"/>
      <c r="S18" s="27"/>
      <c r="T18" s="27"/>
      <c r="U18" s="8" t="s">
        <v>1211</v>
      </c>
      <c r="V18" s="8" t="s">
        <v>1211</v>
      </c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  <c r="AS18" s="27"/>
    </row>
    <row r="19" spans="1:45" ht="15.75" thickBot="1" x14ac:dyDescent="0.3">
      <c r="A19" s="51" t="s">
        <v>72</v>
      </c>
      <c r="B19" s="51" t="s">
        <v>1228</v>
      </c>
      <c r="C19" s="51"/>
      <c r="D19" s="51" t="s">
        <v>134</v>
      </c>
      <c r="E19" s="51" t="s">
        <v>19</v>
      </c>
      <c r="F19" s="51" t="s">
        <v>36</v>
      </c>
      <c r="G19" s="51" t="s">
        <v>125</v>
      </c>
      <c r="H19" s="51"/>
      <c r="I19" s="16">
        <v>-348050030000</v>
      </c>
      <c r="J19" s="16">
        <v>-582802180000</v>
      </c>
      <c r="K19" s="51" t="s">
        <v>852</v>
      </c>
      <c r="L19" s="53">
        <f t="shared" si="10"/>
        <v>30</v>
      </c>
      <c r="M19" s="17">
        <f t="shared" si="8"/>
        <v>0</v>
      </c>
      <c r="N19" s="18">
        <f t="shared" si="9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  <c r="AS19" s="27"/>
    </row>
    <row r="20" spans="1:45" ht="15.75" thickBot="1" x14ac:dyDescent="0.3">
      <c r="A20" s="51" t="s">
        <v>72</v>
      </c>
      <c r="B20" s="51" t="s">
        <v>1229</v>
      </c>
      <c r="C20" s="51" t="s">
        <v>1399</v>
      </c>
      <c r="D20" s="51" t="s">
        <v>188</v>
      </c>
      <c r="E20" s="51" t="s">
        <v>24</v>
      </c>
      <c r="F20" s="51" t="s">
        <v>36</v>
      </c>
      <c r="G20" s="51" t="s">
        <v>119</v>
      </c>
      <c r="H20" s="51"/>
      <c r="I20" s="16">
        <v>-347974350000</v>
      </c>
      <c r="J20" s="16">
        <v>-582751320000</v>
      </c>
      <c r="K20" s="51" t="s">
        <v>876</v>
      </c>
      <c r="L20" s="53">
        <f t="shared" si="10"/>
        <v>30</v>
      </c>
      <c r="M20" s="17">
        <f t="shared" si="8"/>
        <v>0</v>
      </c>
      <c r="N20" s="18">
        <f t="shared" si="9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  <c r="AS20" s="27"/>
    </row>
    <row r="21" spans="1:45" ht="15.75" thickBot="1" x14ac:dyDescent="0.3">
      <c r="A21" s="51" t="s">
        <v>72</v>
      </c>
      <c r="B21" s="51" t="s">
        <v>1230</v>
      </c>
      <c r="C21" s="51"/>
      <c r="D21" s="51" t="s">
        <v>218</v>
      </c>
      <c r="E21" s="51" t="s">
        <v>24</v>
      </c>
      <c r="F21" s="51" t="s">
        <v>25</v>
      </c>
      <c r="G21" s="51" t="s">
        <v>219</v>
      </c>
      <c r="H21" s="51" t="s">
        <v>220</v>
      </c>
      <c r="I21" s="16">
        <v>-348070120000</v>
      </c>
      <c r="J21" s="16">
        <v>-582783830000</v>
      </c>
      <c r="K21" s="51" t="s">
        <v>889</v>
      </c>
      <c r="L21" s="53">
        <f t="shared" si="10"/>
        <v>28</v>
      </c>
      <c r="M21" s="17">
        <f t="shared" si="8"/>
        <v>2</v>
      </c>
      <c r="N21" s="18">
        <f t="shared" si="9"/>
        <v>0.93333333333333335</v>
      </c>
      <c r="O21" s="27"/>
      <c r="P21" s="8"/>
      <c r="Q21" s="8"/>
      <c r="R21" s="8"/>
      <c r="S21" s="27"/>
      <c r="T21" s="27"/>
      <c r="U21" s="8"/>
      <c r="V21" s="8"/>
      <c r="W21" s="8" t="s">
        <v>1211</v>
      </c>
      <c r="X21" s="27" t="s">
        <v>1211</v>
      </c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  <c r="AS21" s="27"/>
    </row>
    <row r="22" spans="1:45" ht="15.75" thickBot="1" x14ac:dyDescent="0.3">
      <c r="A22" s="51" t="s">
        <v>72</v>
      </c>
      <c r="B22" s="51" t="s">
        <v>1231</v>
      </c>
      <c r="C22" s="51" t="s">
        <v>1399</v>
      </c>
      <c r="D22" s="51" t="s">
        <v>64</v>
      </c>
      <c r="E22" s="51" t="s">
        <v>65</v>
      </c>
      <c r="F22" s="51" t="s">
        <v>36</v>
      </c>
      <c r="G22" s="51" t="s">
        <v>66</v>
      </c>
      <c r="H22" s="51"/>
      <c r="I22" s="16">
        <v>-347987830000</v>
      </c>
      <c r="J22" s="16">
        <v>-582840920000</v>
      </c>
      <c r="K22" s="51" t="s">
        <v>890</v>
      </c>
      <c r="L22" s="53">
        <f t="shared" si="10"/>
        <v>30</v>
      </c>
      <c r="M22" s="17">
        <f t="shared" si="8"/>
        <v>0</v>
      </c>
      <c r="N22" s="18">
        <f t="shared" si="9"/>
        <v>1</v>
      </c>
      <c r="O22" s="27"/>
      <c r="P22" s="8"/>
      <c r="Q22" s="8"/>
      <c r="R22" s="8"/>
      <c r="S22" s="27"/>
      <c r="T22" s="27"/>
      <c r="U22" s="8"/>
      <c r="V22" s="8"/>
      <c r="W22" s="8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  <c r="AS22" s="27"/>
    </row>
    <row r="23" spans="1:45" ht="15.75" thickBot="1" x14ac:dyDescent="0.3">
      <c r="A23" s="51" t="s">
        <v>72</v>
      </c>
      <c r="B23" s="51" t="s">
        <v>1232</v>
      </c>
      <c r="C23" s="51" t="s">
        <v>1399</v>
      </c>
      <c r="D23" s="51" t="s">
        <v>67</v>
      </c>
      <c r="E23" s="51" t="s">
        <v>24</v>
      </c>
      <c r="F23" s="51" t="s">
        <v>25</v>
      </c>
      <c r="G23" s="51"/>
      <c r="H23" s="51"/>
      <c r="I23" s="16">
        <v>-348013650000</v>
      </c>
      <c r="J23" s="16">
        <v>-582715700000</v>
      </c>
      <c r="K23" s="51" t="s">
        <v>892</v>
      </c>
      <c r="L23" s="53">
        <f t="shared" si="10"/>
        <v>30</v>
      </c>
      <c r="M23" s="17">
        <f t="shared" si="8"/>
        <v>0</v>
      </c>
      <c r="N23" s="18">
        <f t="shared" si="9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  <c r="AS23" s="27"/>
    </row>
    <row r="24" spans="1:45" ht="15.75" thickBot="1" x14ac:dyDescent="0.3">
      <c r="A24" s="51" t="s">
        <v>72</v>
      </c>
      <c r="B24" s="51" t="s">
        <v>68</v>
      </c>
      <c r="C24" s="51" t="s">
        <v>1399</v>
      </c>
      <c r="D24" s="51" t="s">
        <v>69</v>
      </c>
      <c r="E24" s="51" t="s">
        <v>24</v>
      </c>
      <c r="F24" s="51" t="s">
        <v>25</v>
      </c>
      <c r="G24" s="51"/>
      <c r="H24" s="51"/>
      <c r="I24" s="16">
        <v>-348013470000</v>
      </c>
      <c r="J24" s="16">
        <v>-582698540000</v>
      </c>
      <c r="K24" s="51" t="s">
        <v>893</v>
      </c>
      <c r="L24" s="53">
        <f t="shared" si="10"/>
        <v>30</v>
      </c>
      <c r="M24" s="17">
        <f t="shared" si="8"/>
        <v>0</v>
      </c>
      <c r="N24" s="18">
        <f t="shared" si="9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  <c r="AS24" s="27"/>
    </row>
    <row r="25" spans="1:45" ht="15.75" thickBot="1" x14ac:dyDescent="0.3">
      <c r="A25" s="51" t="s">
        <v>72</v>
      </c>
      <c r="B25" s="51" t="s">
        <v>70</v>
      </c>
      <c r="C25" s="51"/>
      <c r="D25" s="51" t="s">
        <v>71</v>
      </c>
      <c r="E25" s="51" t="s">
        <v>24</v>
      </c>
      <c r="F25" s="51" t="s">
        <v>25</v>
      </c>
      <c r="G25" s="51"/>
      <c r="H25" s="51"/>
      <c r="I25" s="16">
        <v>-348019110000</v>
      </c>
      <c r="J25" s="16">
        <v>-582819990000</v>
      </c>
      <c r="K25" s="51" t="s">
        <v>894</v>
      </c>
      <c r="L25" s="53">
        <f t="shared" si="10"/>
        <v>30</v>
      </c>
      <c r="M25" s="17">
        <f t="shared" si="8"/>
        <v>0</v>
      </c>
      <c r="N25" s="18">
        <f t="shared" si="9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  <c r="AS25" s="27"/>
    </row>
    <row r="26" spans="1:45" ht="15.75" thickBot="1" x14ac:dyDescent="0.3">
      <c r="A26" s="51" t="s">
        <v>72</v>
      </c>
      <c r="B26" s="51" t="s">
        <v>73</v>
      </c>
      <c r="C26" s="51"/>
      <c r="D26" s="51" t="s">
        <v>74</v>
      </c>
      <c r="E26" s="51" t="s">
        <v>19</v>
      </c>
      <c r="F26" s="51" t="s">
        <v>25</v>
      </c>
      <c r="G26" s="51" t="s">
        <v>75</v>
      </c>
      <c r="H26" s="51"/>
      <c r="I26" s="16">
        <v>-348073990000</v>
      </c>
      <c r="J26" s="16">
        <v>-582850080000</v>
      </c>
      <c r="K26" s="51" t="s">
        <v>895</v>
      </c>
      <c r="L26" s="53">
        <f t="shared" si="10"/>
        <v>30</v>
      </c>
      <c r="M26" s="17">
        <f t="shared" si="8"/>
        <v>0</v>
      </c>
      <c r="N26" s="18">
        <f t="shared" si="9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  <c r="AS26" s="27"/>
    </row>
    <row r="27" spans="1:45" ht="15.75" thickBot="1" x14ac:dyDescent="0.3">
      <c r="A27" s="51" t="s">
        <v>72</v>
      </c>
      <c r="B27" s="51" t="s">
        <v>76</v>
      </c>
      <c r="C27" s="51" t="s">
        <v>1399</v>
      </c>
      <c r="D27" s="51" t="s">
        <v>77</v>
      </c>
      <c r="E27" s="51" t="s">
        <v>19</v>
      </c>
      <c r="F27" s="51" t="s">
        <v>25</v>
      </c>
      <c r="G27" s="51"/>
      <c r="H27" s="51"/>
      <c r="I27" s="16">
        <v>-348007360000</v>
      </c>
      <c r="J27" s="16">
        <v>-582804240000</v>
      </c>
      <c r="K27" s="51" t="s">
        <v>896</v>
      </c>
      <c r="L27" s="53">
        <f t="shared" si="10"/>
        <v>30</v>
      </c>
      <c r="M27" s="17">
        <f t="shared" si="8"/>
        <v>0</v>
      </c>
      <c r="N27" s="18">
        <f t="shared" si="9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  <c r="AS27" s="27"/>
    </row>
    <row r="28" spans="1:45" ht="15.75" thickBot="1" x14ac:dyDescent="0.3">
      <c r="A28" s="51" t="s">
        <v>72</v>
      </c>
      <c r="B28" s="51" t="s">
        <v>78</v>
      </c>
      <c r="C28" s="51"/>
      <c r="D28" s="51" t="s">
        <v>79</v>
      </c>
      <c r="E28" s="51" t="s">
        <v>19</v>
      </c>
      <c r="F28" s="51" t="s">
        <v>1390</v>
      </c>
      <c r="G28" s="51"/>
      <c r="H28" s="51" t="s">
        <v>80</v>
      </c>
      <c r="I28" s="16">
        <v>-348103030000</v>
      </c>
      <c r="J28" s="16">
        <v>-582835720000</v>
      </c>
      <c r="K28" s="51" t="s">
        <v>897</v>
      </c>
      <c r="L28" s="53">
        <f t="shared" si="10"/>
        <v>30</v>
      </c>
      <c r="M28" s="17">
        <f t="shared" si="8"/>
        <v>0</v>
      </c>
      <c r="N28" s="18">
        <f t="shared" si="9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  <c r="AS28" s="27"/>
    </row>
    <row r="29" spans="1:45" ht="15.75" thickBot="1" x14ac:dyDescent="0.3">
      <c r="A29" s="51" t="s">
        <v>72</v>
      </c>
      <c r="B29" s="51" t="s">
        <v>83</v>
      </c>
      <c r="C29" s="51" t="s">
        <v>1399</v>
      </c>
      <c r="D29" s="51" t="s">
        <v>84</v>
      </c>
      <c r="E29" s="51" t="s">
        <v>19</v>
      </c>
      <c r="F29" s="51" t="s">
        <v>1391</v>
      </c>
      <c r="G29" s="51"/>
      <c r="H29" s="51" t="s">
        <v>85</v>
      </c>
      <c r="I29" s="16">
        <v>-347999170000</v>
      </c>
      <c r="J29" s="16">
        <v>-582863530000</v>
      </c>
      <c r="K29" s="51" t="s">
        <v>899</v>
      </c>
      <c r="L29" s="53">
        <f t="shared" si="10"/>
        <v>30</v>
      </c>
      <c r="M29" s="17">
        <f t="shared" si="8"/>
        <v>0</v>
      </c>
      <c r="N29" s="18">
        <f t="shared" si="9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  <c r="AS29" s="27"/>
    </row>
    <row r="30" spans="1:45" ht="15.75" thickBot="1" x14ac:dyDescent="0.3">
      <c r="A30" s="51" t="s">
        <v>72</v>
      </c>
      <c r="B30" s="51" t="s">
        <v>86</v>
      </c>
      <c r="C30" s="51"/>
      <c r="D30" s="51" t="s">
        <v>87</v>
      </c>
      <c r="E30" s="51" t="s">
        <v>19</v>
      </c>
      <c r="F30" s="51" t="s">
        <v>25</v>
      </c>
      <c r="G30" s="51"/>
      <c r="H30" s="51" t="s">
        <v>88</v>
      </c>
      <c r="I30" s="16">
        <v>-348040550000</v>
      </c>
      <c r="J30" s="16">
        <v>-582819380000</v>
      </c>
      <c r="K30" s="51" t="s">
        <v>900</v>
      </c>
      <c r="L30" s="53">
        <f t="shared" si="10"/>
        <v>30</v>
      </c>
      <c r="M30" s="17">
        <f t="shared" si="8"/>
        <v>0</v>
      </c>
      <c r="N30" s="18">
        <f t="shared" si="9"/>
        <v>1</v>
      </c>
      <c r="O30" s="27"/>
      <c r="P30" s="8"/>
      <c r="Q30" s="8"/>
      <c r="R30" s="8"/>
      <c r="S30" s="27"/>
      <c r="T30" s="27"/>
      <c r="U30" s="8"/>
      <c r="V30" s="8"/>
      <c r="W30" s="8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  <c r="AS30" s="27"/>
    </row>
    <row r="31" spans="1:45" ht="15.75" thickBot="1" x14ac:dyDescent="0.3">
      <c r="A31" s="51" t="s">
        <v>72</v>
      </c>
      <c r="B31" s="51" t="s">
        <v>1233</v>
      </c>
      <c r="C31" s="51" t="s">
        <v>1399</v>
      </c>
      <c r="D31" s="51" t="s">
        <v>226</v>
      </c>
      <c r="E31" s="51" t="s">
        <v>65</v>
      </c>
      <c r="F31" s="51" t="s">
        <v>36</v>
      </c>
      <c r="G31" s="51"/>
      <c r="H31" s="51" t="s">
        <v>207</v>
      </c>
      <c r="I31" s="16">
        <v>-348107920000</v>
      </c>
      <c r="J31" s="16">
        <v>-582777490000</v>
      </c>
      <c r="K31" s="51" t="s">
        <v>1395</v>
      </c>
      <c r="L31" s="53">
        <f t="shared" si="10"/>
        <v>30</v>
      </c>
      <c r="M31" s="17">
        <f t="shared" si="8"/>
        <v>0</v>
      </c>
      <c r="N31" s="18">
        <f t="shared" si="9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  <c r="AS31" s="27"/>
    </row>
    <row r="32" spans="1:45" ht="15.75" thickBot="1" x14ac:dyDescent="0.3">
      <c r="A32" s="51" t="s">
        <v>72</v>
      </c>
      <c r="B32" s="51" t="s">
        <v>92</v>
      </c>
      <c r="C32" s="51"/>
      <c r="D32" s="51" t="s">
        <v>93</v>
      </c>
      <c r="E32" s="51" t="s">
        <v>24</v>
      </c>
      <c r="F32" s="51" t="s">
        <v>36</v>
      </c>
      <c r="G32" s="51"/>
      <c r="H32" s="51" t="s">
        <v>94</v>
      </c>
      <c r="I32" s="16">
        <v>-348091950000</v>
      </c>
      <c r="J32" s="16">
        <v>-582800930000</v>
      </c>
      <c r="K32" s="51" t="s">
        <v>911</v>
      </c>
      <c r="L32" s="53">
        <f t="shared" si="10"/>
        <v>30</v>
      </c>
      <c r="M32" s="17">
        <f t="shared" si="8"/>
        <v>0</v>
      </c>
      <c r="N32" s="18">
        <f t="shared" si="9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  <c r="AS32" s="27"/>
    </row>
    <row r="33" spans="1:45" ht="15.75" thickBot="1" x14ac:dyDescent="0.3">
      <c r="A33" s="51" t="s">
        <v>72</v>
      </c>
      <c r="B33" s="51" t="s">
        <v>95</v>
      </c>
      <c r="C33" s="51" t="s">
        <v>1399</v>
      </c>
      <c r="D33" s="51" t="s">
        <v>96</v>
      </c>
      <c r="E33" s="51" t="s">
        <v>24</v>
      </c>
      <c r="F33" s="51" t="s">
        <v>36</v>
      </c>
      <c r="G33" s="51"/>
      <c r="H33" s="51" t="s">
        <v>94</v>
      </c>
      <c r="I33" s="16">
        <v>-348103130000</v>
      </c>
      <c r="J33" s="16">
        <v>-582818230000</v>
      </c>
      <c r="K33" s="51" t="s">
        <v>912</v>
      </c>
      <c r="L33" s="53">
        <f t="shared" si="10"/>
        <v>30</v>
      </c>
      <c r="M33" s="17">
        <f t="shared" si="8"/>
        <v>0</v>
      </c>
      <c r="N33" s="18">
        <f t="shared" si="9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  <c r="AS33" s="27"/>
    </row>
    <row r="34" spans="1:45" ht="15.75" thickBot="1" x14ac:dyDescent="0.3">
      <c r="A34" s="51" t="s">
        <v>72</v>
      </c>
      <c r="B34" s="51" t="s">
        <v>97</v>
      </c>
      <c r="C34" s="51" t="s">
        <v>1399</v>
      </c>
      <c r="D34" s="51" t="s">
        <v>98</v>
      </c>
      <c r="E34" s="51" t="s">
        <v>24</v>
      </c>
      <c r="F34" s="51" t="s">
        <v>36</v>
      </c>
      <c r="G34" s="51"/>
      <c r="H34" s="51" t="s">
        <v>99</v>
      </c>
      <c r="I34" s="16">
        <v>-348102250000</v>
      </c>
      <c r="J34" s="16">
        <v>-582800780000</v>
      </c>
      <c r="K34" s="51" t="s">
        <v>913</v>
      </c>
      <c r="L34" s="53">
        <f t="shared" si="10"/>
        <v>29</v>
      </c>
      <c r="M34" s="17">
        <f t="shared" si="8"/>
        <v>1</v>
      </c>
      <c r="N34" s="18">
        <f t="shared" si="9"/>
        <v>0.96666666666666667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 t="s">
        <v>1211</v>
      </c>
      <c r="AJ34" s="27"/>
      <c r="AK34" s="8"/>
      <c r="AL34" s="8"/>
      <c r="AM34" s="8"/>
      <c r="AN34" s="27"/>
      <c r="AO34" s="8"/>
      <c r="AP34" s="8"/>
      <c r="AQ34" s="27"/>
      <c r="AR34" s="27"/>
      <c r="AS34" s="27"/>
    </row>
    <row r="35" spans="1:45" ht="15.75" thickBot="1" x14ac:dyDescent="0.3">
      <c r="A35" s="51" t="s">
        <v>72</v>
      </c>
      <c r="B35" s="51" t="s">
        <v>1234</v>
      </c>
      <c r="C35" s="51" t="s">
        <v>1399</v>
      </c>
      <c r="D35" s="51" t="s">
        <v>1235</v>
      </c>
      <c r="E35" s="51" t="s">
        <v>24</v>
      </c>
      <c r="F35" s="51" t="s">
        <v>36</v>
      </c>
      <c r="G35" s="51"/>
      <c r="H35" s="51"/>
      <c r="I35" s="16">
        <v>-348029280000</v>
      </c>
      <c r="J35" s="16">
        <v>-582802660000</v>
      </c>
      <c r="K35" s="51"/>
      <c r="L35" s="53">
        <f t="shared" si="10"/>
        <v>30</v>
      </c>
      <c r="M35" s="17">
        <f t="shared" si="8"/>
        <v>0</v>
      </c>
      <c r="N35" s="18">
        <f t="shared" si="9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  <c r="AS35" s="27"/>
    </row>
    <row r="36" spans="1:45" ht="15.75" thickBot="1" x14ac:dyDescent="0.3">
      <c r="A36" s="51" t="s">
        <v>72</v>
      </c>
      <c r="B36" s="51" t="s">
        <v>1236</v>
      </c>
      <c r="C36" s="51"/>
      <c r="D36" s="51" t="s">
        <v>1237</v>
      </c>
      <c r="E36" s="51" t="s">
        <v>102</v>
      </c>
      <c r="F36" s="51" t="s">
        <v>36</v>
      </c>
      <c r="G36" s="51"/>
      <c r="H36" s="51"/>
      <c r="I36" s="16">
        <v>-348093870000</v>
      </c>
      <c r="J36" s="16">
        <v>-582762530000</v>
      </c>
      <c r="K36" s="51"/>
      <c r="L36" s="53">
        <f t="shared" si="10"/>
        <v>13</v>
      </c>
      <c r="M36" s="17">
        <f t="shared" si="8"/>
        <v>17</v>
      </c>
      <c r="N36" s="18">
        <f t="shared" si="9"/>
        <v>0.43333333333333335</v>
      </c>
      <c r="O36" s="27"/>
      <c r="P36" s="8" t="s">
        <v>1211</v>
      </c>
      <c r="Q36" s="8" t="s">
        <v>1211</v>
      </c>
      <c r="R36" s="8" t="s">
        <v>1211</v>
      </c>
      <c r="S36" s="27" t="s">
        <v>1211</v>
      </c>
      <c r="T36" s="27"/>
      <c r="U36" s="8" t="s">
        <v>1211</v>
      </c>
      <c r="V36" s="8" t="s">
        <v>1211</v>
      </c>
      <c r="W36" s="8" t="s">
        <v>1211</v>
      </c>
      <c r="X36" s="27" t="s">
        <v>1211</v>
      </c>
      <c r="Y36" s="27" t="s">
        <v>1211</v>
      </c>
      <c r="Z36" s="27" t="s">
        <v>1211</v>
      </c>
      <c r="AA36" s="27" t="s">
        <v>1211</v>
      </c>
      <c r="AB36" s="27" t="s">
        <v>1211</v>
      </c>
      <c r="AC36" s="27" t="s">
        <v>1211</v>
      </c>
      <c r="AD36" s="27" t="s">
        <v>1211</v>
      </c>
      <c r="AE36" s="27" t="s">
        <v>1211</v>
      </c>
      <c r="AF36" s="27" t="s">
        <v>1211</v>
      </c>
      <c r="AG36" s="27" t="s">
        <v>1211</v>
      </c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  <c r="AS36" s="27"/>
    </row>
    <row r="37" spans="1:45" ht="15.75" thickBot="1" x14ac:dyDescent="0.3">
      <c r="A37" s="51" t="s">
        <v>72</v>
      </c>
      <c r="B37" s="51" t="s">
        <v>100</v>
      </c>
      <c r="C37" s="51" t="s">
        <v>1399</v>
      </c>
      <c r="D37" s="51" t="s">
        <v>101</v>
      </c>
      <c r="E37" s="51" t="s">
        <v>102</v>
      </c>
      <c r="F37" s="51" t="s">
        <v>36</v>
      </c>
      <c r="G37" s="51" t="s">
        <v>103</v>
      </c>
      <c r="H37" s="51"/>
      <c r="I37" s="16">
        <v>-348028100000</v>
      </c>
      <c r="J37" s="16">
        <v>-582782860000</v>
      </c>
      <c r="K37" s="51" t="s">
        <v>841</v>
      </c>
      <c r="L37" s="53">
        <f t="shared" si="10"/>
        <v>30</v>
      </c>
      <c r="M37" s="17">
        <f t="shared" si="8"/>
        <v>0</v>
      </c>
      <c r="N37" s="18">
        <f t="shared" si="9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  <c r="AS37" s="27"/>
    </row>
    <row r="38" spans="1:45" ht="15.75" thickBot="1" x14ac:dyDescent="0.3">
      <c r="A38" s="51" t="s">
        <v>72</v>
      </c>
      <c r="B38" s="51" t="s">
        <v>104</v>
      </c>
      <c r="C38" s="51" t="s">
        <v>1399</v>
      </c>
      <c r="D38" s="51" t="s">
        <v>105</v>
      </c>
      <c r="E38" s="51" t="s">
        <v>102</v>
      </c>
      <c r="F38" s="51" t="s">
        <v>36</v>
      </c>
      <c r="G38" s="51" t="s">
        <v>106</v>
      </c>
      <c r="H38" s="51"/>
      <c r="I38" s="16">
        <v>-348006070000</v>
      </c>
      <c r="J38" s="16">
        <v>-582784580000</v>
      </c>
      <c r="K38" s="51" t="s">
        <v>835</v>
      </c>
      <c r="L38" s="53">
        <f t="shared" si="10"/>
        <v>30</v>
      </c>
      <c r="M38" s="17">
        <f t="shared" si="8"/>
        <v>0</v>
      </c>
      <c r="N38" s="18">
        <f t="shared" si="9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  <c r="AS38" s="27"/>
    </row>
    <row r="39" spans="1:45" ht="15.75" thickBot="1" x14ac:dyDescent="0.3">
      <c r="A39" s="51" t="s">
        <v>72</v>
      </c>
      <c r="B39" s="51" t="s">
        <v>107</v>
      </c>
      <c r="C39" s="51"/>
      <c r="D39" s="51" t="s">
        <v>108</v>
      </c>
      <c r="E39" s="51" t="s">
        <v>24</v>
      </c>
      <c r="F39" s="51" t="s">
        <v>36</v>
      </c>
      <c r="G39" s="51" t="s">
        <v>103</v>
      </c>
      <c r="H39" s="51" t="s">
        <v>109</v>
      </c>
      <c r="I39" s="16">
        <v>-348080340000</v>
      </c>
      <c r="J39" s="16">
        <v>-582780930000</v>
      </c>
      <c r="K39" s="51" t="s">
        <v>842</v>
      </c>
      <c r="L39" s="53">
        <f t="shared" si="10"/>
        <v>30</v>
      </c>
      <c r="M39" s="17">
        <f t="shared" si="8"/>
        <v>0</v>
      </c>
      <c r="N39" s="18">
        <f t="shared" si="9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  <c r="AS39" s="27"/>
    </row>
    <row r="40" spans="1:45" ht="15.75" thickBot="1" x14ac:dyDescent="0.3">
      <c r="A40" s="51" t="s">
        <v>72</v>
      </c>
      <c r="B40" s="51" t="s">
        <v>110</v>
      </c>
      <c r="C40" s="51"/>
      <c r="D40" s="51" t="s">
        <v>111</v>
      </c>
      <c r="E40" s="51" t="s">
        <v>24</v>
      </c>
      <c r="F40" s="51" t="s">
        <v>36</v>
      </c>
      <c r="G40" s="51" t="s">
        <v>112</v>
      </c>
      <c r="H40" s="51"/>
      <c r="I40" s="16">
        <v>-348049240000</v>
      </c>
      <c r="J40" s="16">
        <v>-582781680000</v>
      </c>
      <c r="K40" s="51" t="s">
        <v>843</v>
      </c>
      <c r="L40" s="53">
        <f t="shared" si="10"/>
        <v>30</v>
      </c>
      <c r="M40" s="17">
        <f t="shared" si="8"/>
        <v>0</v>
      </c>
      <c r="N40" s="18">
        <f t="shared" si="9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  <c r="AS40" s="27"/>
    </row>
    <row r="41" spans="1:45" ht="15.75" thickBot="1" x14ac:dyDescent="0.3">
      <c r="A41" s="51" t="s">
        <v>72</v>
      </c>
      <c r="B41" s="51" t="s">
        <v>115</v>
      </c>
      <c r="C41" s="51"/>
      <c r="D41" s="51" t="s">
        <v>116</v>
      </c>
      <c r="E41" s="51" t="s">
        <v>102</v>
      </c>
      <c r="F41" s="51" t="s">
        <v>36</v>
      </c>
      <c r="G41" s="51" t="s">
        <v>117</v>
      </c>
      <c r="H41" s="51"/>
      <c r="I41" s="16">
        <v>-348057170000</v>
      </c>
      <c r="J41" s="16">
        <v>-582748750000</v>
      </c>
      <c r="K41" s="51" t="s">
        <v>845</v>
      </c>
      <c r="L41" s="53">
        <f t="shared" si="10"/>
        <v>30</v>
      </c>
      <c r="M41" s="17">
        <f t="shared" si="8"/>
        <v>0</v>
      </c>
      <c r="N41" s="18">
        <f t="shared" si="9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  <c r="AS41" s="27"/>
    </row>
    <row r="42" spans="1:45" ht="15.75" thickBot="1" x14ac:dyDescent="0.3">
      <c r="A42" s="51" t="s">
        <v>72</v>
      </c>
      <c r="B42" s="51" t="s">
        <v>118</v>
      </c>
      <c r="C42" s="51"/>
      <c r="D42" s="51" t="s">
        <v>1238</v>
      </c>
      <c r="E42" s="51" t="s">
        <v>19</v>
      </c>
      <c r="F42" s="51" t="s">
        <v>36</v>
      </c>
      <c r="G42" s="51" t="s">
        <v>119</v>
      </c>
      <c r="H42" s="51" t="s">
        <v>120</v>
      </c>
      <c r="I42" s="16">
        <v>-347959820000</v>
      </c>
      <c r="J42" s="16">
        <v>-582787950000</v>
      </c>
      <c r="K42" s="51" t="s">
        <v>846</v>
      </c>
      <c r="L42" s="53">
        <f t="shared" si="10"/>
        <v>30</v>
      </c>
      <c r="M42" s="17">
        <f t="shared" si="8"/>
        <v>0</v>
      </c>
      <c r="N42" s="18">
        <f t="shared" si="9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  <c r="AS42" s="27"/>
    </row>
    <row r="43" spans="1:45" ht="15.75" thickBot="1" x14ac:dyDescent="0.3">
      <c r="A43" s="51" t="s">
        <v>72</v>
      </c>
      <c r="B43" s="51" t="s">
        <v>121</v>
      </c>
      <c r="C43" s="51"/>
      <c r="D43" s="51" t="s">
        <v>1239</v>
      </c>
      <c r="E43" s="51" t="s">
        <v>24</v>
      </c>
      <c r="F43" s="51" t="s">
        <v>36</v>
      </c>
      <c r="G43" s="51" t="s">
        <v>122</v>
      </c>
      <c r="H43" s="51"/>
      <c r="I43" s="16">
        <v>-348108520000</v>
      </c>
      <c r="J43" s="16">
        <v>-582778140000</v>
      </c>
      <c r="K43" s="51" t="s">
        <v>847</v>
      </c>
      <c r="L43" s="53">
        <f t="shared" si="10"/>
        <v>30</v>
      </c>
      <c r="M43" s="17">
        <f t="shared" si="8"/>
        <v>0</v>
      </c>
      <c r="N43" s="18">
        <f t="shared" si="9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  <c r="AS43" s="27"/>
    </row>
    <row r="44" spans="1:45" ht="15.75" thickBot="1" x14ac:dyDescent="0.3">
      <c r="A44" s="51" t="s">
        <v>72</v>
      </c>
      <c r="B44" s="51" t="s">
        <v>123</v>
      </c>
      <c r="C44" s="51"/>
      <c r="D44" s="51" t="s">
        <v>124</v>
      </c>
      <c r="E44" s="51" t="s">
        <v>24</v>
      </c>
      <c r="F44" s="51" t="s">
        <v>36</v>
      </c>
      <c r="G44" s="51" t="s">
        <v>125</v>
      </c>
      <c r="H44" s="51"/>
      <c r="I44" s="16">
        <v>-348039640000</v>
      </c>
      <c r="J44" s="16">
        <v>-582803250000</v>
      </c>
      <c r="K44" s="51" t="s">
        <v>848</v>
      </c>
      <c r="L44" s="53">
        <f t="shared" si="10"/>
        <v>30</v>
      </c>
      <c r="M44" s="17">
        <f t="shared" si="8"/>
        <v>0</v>
      </c>
      <c r="N44" s="18">
        <f t="shared" si="9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  <c r="AS44" s="27"/>
    </row>
    <row r="45" spans="1:45" ht="15.75" thickBot="1" x14ac:dyDescent="0.3">
      <c r="A45" s="51" t="s">
        <v>72</v>
      </c>
      <c r="B45" s="51" t="s">
        <v>126</v>
      </c>
      <c r="C45" s="51"/>
      <c r="D45" s="51" t="s">
        <v>1240</v>
      </c>
      <c r="E45" s="51" t="s">
        <v>24</v>
      </c>
      <c r="F45" s="51" t="s">
        <v>36</v>
      </c>
      <c r="G45" s="51" t="s">
        <v>127</v>
      </c>
      <c r="H45" s="51"/>
      <c r="I45" s="16">
        <v>-348107030000</v>
      </c>
      <c r="J45" s="16">
        <v>-582745850000</v>
      </c>
      <c r="K45" s="51" t="s">
        <v>849</v>
      </c>
      <c r="L45" s="53">
        <f t="shared" si="10"/>
        <v>30</v>
      </c>
      <c r="M45" s="17">
        <f t="shared" si="8"/>
        <v>0</v>
      </c>
      <c r="N45" s="18">
        <f t="shared" si="9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  <c r="AS45" s="27"/>
    </row>
    <row r="46" spans="1:45" ht="15.75" thickBot="1" x14ac:dyDescent="0.3">
      <c r="A46" s="51" t="s">
        <v>72</v>
      </c>
      <c r="B46" s="51" t="s">
        <v>128</v>
      </c>
      <c r="C46" s="51"/>
      <c r="D46" s="51" t="s">
        <v>129</v>
      </c>
      <c r="E46" s="51" t="s">
        <v>24</v>
      </c>
      <c r="F46" s="51" t="s">
        <v>36</v>
      </c>
      <c r="G46" s="51" t="s">
        <v>130</v>
      </c>
      <c r="H46" s="51" t="s">
        <v>131</v>
      </c>
      <c r="I46" s="16">
        <v>-348099320000</v>
      </c>
      <c r="J46" s="16">
        <v>-582745900000</v>
      </c>
      <c r="K46" s="51" t="s">
        <v>850</v>
      </c>
      <c r="L46" s="53">
        <f t="shared" si="10"/>
        <v>30</v>
      </c>
      <c r="M46" s="17">
        <f t="shared" si="8"/>
        <v>0</v>
      </c>
      <c r="N46" s="18">
        <f t="shared" si="9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  <c r="AS46" s="27"/>
    </row>
    <row r="47" spans="1:45" ht="15.75" thickBot="1" x14ac:dyDescent="0.3">
      <c r="A47" s="51" t="s">
        <v>72</v>
      </c>
      <c r="B47" s="51" t="s">
        <v>135</v>
      </c>
      <c r="C47" s="51"/>
      <c r="D47" s="51" t="s">
        <v>1241</v>
      </c>
      <c r="E47" s="51" t="s">
        <v>24</v>
      </c>
      <c r="F47" s="51" t="s">
        <v>36</v>
      </c>
      <c r="G47" s="51" t="s">
        <v>136</v>
      </c>
      <c r="H47" s="51"/>
      <c r="I47" s="16">
        <v>-348105840000</v>
      </c>
      <c r="J47" s="16">
        <v>-582705460000</v>
      </c>
      <c r="K47" s="51" t="s">
        <v>853</v>
      </c>
      <c r="L47" s="53">
        <f t="shared" si="10"/>
        <v>30</v>
      </c>
      <c r="M47" s="17">
        <f t="shared" si="8"/>
        <v>0</v>
      </c>
      <c r="N47" s="18">
        <f t="shared" si="9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  <c r="AS47" s="27"/>
    </row>
    <row r="48" spans="1:45" ht="15.75" thickBot="1" x14ac:dyDescent="0.3">
      <c r="A48" s="51" t="s">
        <v>72</v>
      </c>
      <c r="B48" s="51" t="s">
        <v>137</v>
      </c>
      <c r="C48" s="51" t="s">
        <v>1399</v>
      </c>
      <c r="D48" s="51" t="s">
        <v>138</v>
      </c>
      <c r="E48" s="51" t="s">
        <v>24</v>
      </c>
      <c r="F48" s="51" t="s">
        <v>36</v>
      </c>
      <c r="G48" s="51" t="s">
        <v>139</v>
      </c>
      <c r="H48" s="51"/>
      <c r="I48" s="16">
        <v>-348056730000</v>
      </c>
      <c r="J48" s="16">
        <v>-582731900000</v>
      </c>
      <c r="K48" s="51" t="s">
        <v>854</v>
      </c>
      <c r="L48" s="53">
        <f t="shared" si="10"/>
        <v>30</v>
      </c>
      <c r="M48" s="17">
        <f t="shared" si="8"/>
        <v>0</v>
      </c>
      <c r="N48" s="18">
        <f t="shared" si="9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  <c r="AS48" s="27"/>
    </row>
    <row r="49" spans="1:45" ht="15.75" thickBot="1" x14ac:dyDescent="0.3">
      <c r="A49" s="51" t="s">
        <v>72</v>
      </c>
      <c r="B49" s="51" t="s">
        <v>140</v>
      </c>
      <c r="C49" s="51" t="s">
        <v>1399</v>
      </c>
      <c r="D49" s="51" t="s">
        <v>141</v>
      </c>
      <c r="E49" s="51" t="s">
        <v>102</v>
      </c>
      <c r="F49" s="51" t="s">
        <v>36</v>
      </c>
      <c r="G49" s="51" t="s">
        <v>142</v>
      </c>
      <c r="H49" s="51" t="s">
        <v>143</v>
      </c>
      <c r="I49" s="16">
        <v>-348100860000</v>
      </c>
      <c r="J49" s="16">
        <v>-582782440000</v>
      </c>
      <c r="K49" s="51" t="s">
        <v>855</v>
      </c>
      <c r="L49" s="53">
        <f t="shared" si="10"/>
        <v>30</v>
      </c>
      <c r="M49" s="17">
        <f t="shared" si="8"/>
        <v>0</v>
      </c>
      <c r="N49" s="18">
        <f t="shared" si="9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  <c r="AS49" s="27"/>
    </row>
    <row r="50" spans="1:45" ht="15.75" thickBot="1" x14ac:dyDescent="0.3">
      <c r="A50" s="51"/>
      <c r="B50" s="51" t="s">
        <v>144</v>
      </c>
      <c r="C50" s="51"/>
      <c r="D50" s="51" t="s">
        <v>145</v>
      </c>
      <c r="E50" s="51" t="s">
        <v>24</v>
      </c>
      <c r="F50" s="51" t="s">
        <v>1391</v>
      </c>
      <c r="G50" s="51" t="s">
        <v>146</v>
      </c>
      <c r="H50" s="51" t="s">
        <v>147</v>
      </c>
      <c r="I50" s="16">
        <v>-348090820000</v>
      </c>
      <c r="J50" s="16">
        <v>-582779860000</v>
      </c>
      <c r="K50" s="51" t="s">
        <v>856</v>
      </c>
      <c r="L50" s="53">
        <f t="shared" si="10"/>
        <v>29</v>
      </c>
      <c r="M50" s="17">
        <f t="shared" si="8"/>
        <v>1</v>
      </c>
      <c r="N50" s="18">
        <f t="shared" si="9"/>
        <v>0.96666666666666667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 t="s">
        <v>1211</v>
      </c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  <c r="AS50" s="27"/>
    </row>
    <row r="51" spans="1:45" ht="15.75" thickBot="1" x14ac:dyDescent="0.3">
      <c r="A51" s="51" t="s">
        <v>72</v>
      </c>
      <c r="B51" s="51" t="s">
        <v>148</v>
      </c>
      <c r="C51" s="51" t="s">
        <v>1399</v>
      </c>
      <c r="D51" s="51" t="s">
        <v>149</v>
      </c>
      <c r="E51" s="51" t="s">
        <v>102</v>
      </c>
      <c r="F51" s="51" t="s">
        <v>36</v>
      </c>
      <c r="G51" s="51" t="s">
        <v>150</v>
      </c>
      <c r="H51" s="51" t="s">
        <v>147</v>
      </c>
      <c r="I51" s="16">
        <v>-348083950000</v>
      </c>
      <c r="J51" s="16">
        <v>-582747030000</v>
      </c>
      <c r="K51" s="51" t="s">
        <v>857</v>
      </c>
      <c r="L51" s="53">
        <f t="shared" si="10"/>
        <v>30</v>
      </c>
      <c r="M51" s="17">
        <f t="shared" si="8"/>
        <v>0</v>
      </c>
      <c r="N51" s="18">
        <f t="shared" si="9"/>
        <v>1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  <c r="AS51" s="27"/>
    </row>
    <row r="52" spans="1:45" ht="15.75" thickBot="1" x14ac:dyDescent="0.3">
      <c r="A52" s="51" t="s">
        <v>72</v>
      </c>
      <c r="B52" s="51" t="s">
        <v>151</v>
      </c>
      <c r="C52" s="51"/>
      <c r="D52" s="51" t="s">
        <v>124</v>
      </c>
      <c r="E52" s="51" t="s">
        <v>102</v>
      </c>
      <c r="F52" s="51" t="s">
        <v>36</v>
      </c>
      <c r="G52" s="51" t="s">
        <v>117</v>
      </c>
      <c r="H52" s="51"/>
      <c r="I52" s="16">
        <v>-348039460000</v>
      </c>
      <c r="J52" s="16">
        <v>-582803360000</v>
      </c>
      <c r="K52" s="51" t="s">
        <v>858</v>
      </c>
      <c r="L52" s="53">
        <f t="shared" si="10"/>
        <v>30</v>
      </c>
      <c r="M52" s="17">
        <f t="shared" si="8"/>
        <v>0</v>
      </c>
      <c r="N52" s="18">
        <f t="shared" si="9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  <c r="AS52" s="27"/>
    </row>
    <row r="53" spans="1:45" ht="15.75" thickBot="1" x14ac:dyDescent="0.3">
      <c r="A53" s="51" t="s">
        <v>152</v>
      </c>
      <c r="B53" s="51" t="s">
        <v>153</v>
      </c>
      <c r="C53" s="51" t="s">
        <v>1399</v>
      </c>
      <c r="D53" s="51" t="s">
        <v>154</v>
      </c>
      <c r="E53" s="51" t="s">
        <v>24</v>
      </c>
      <c r="F53" s="51" t="s">
        <v>36</v>
      </c>
      <c r="G53" s="51" t="s">
        <v>155</v>
      </c>
      <c r="H53" s="51"/>
      <c r="I53" s="16">
        <v>-347986060000</v>
      </c>
      <c r="J53" s="16">
        <v>-582839810000</v>
      </c>
      <c r="K53" s="51" t="s">
        <v>859</v>
      </c>
      <c r="L53" s="53">
        <f t="shared" si="10"/>
        <v>30</v>
      </c>
      <c r="M53" s="17">
        <f t="shared" si="8"/>
        <v>0</v>
      </c>
      <c r="N53" s="18">
        <f t="shared" si="9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  <c r="AS53" s="27"/>
    </row>
    <row r="54" spans="1:45" ht="15.75" thickBot="1" x14ac:dyDescent="0.3">
      <c r="A54" s="51" t="s">
        <v>72</v>
      </c>
      <c r="B54" s="51" t="s">
        <v>156</v>
      </c>
      <c r="C54" s="51"/>
      <c r="D54" s="51" t="s">
        <v>157</v>
      </c>
      <c r="E54" s="51" t="s">
        <v>102</v>
      </c>
      <c r="F54" s="51" t="s">
        <v>25</v>
      </c>
      <c r="G54" s="51" t="s">
        <v>119</v>
      </c>
      <c r="H54" s="51"/>
      <c r="I54" s="16">
        <v>-348021710000</v>
      </c>
      <c r="J54" s="16">
        <v>-582868960000</v>
      </c>
      <c r="K54" s="51" t="s">
        <v>860</v>
      </c>
      <c r="L54" s="53">
        <f t="shared" si="10"/>
        <v>30</v>
      </c>
      <c r="M54" s="17">
        <f t="shared" si="8"/>
        <v>0</v>
      </c>
      <c r="N54" s="18">
        <f t="shared" si="9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  <c r="AS54" s="27"/>
    </row>
    <row r="55" spans="1:45" ht="15.75" thickBot="1" x14ac:dyDescent="0.3">
      <c r="A55" s="51" t="s">
        <v>72</v>
      </c>
      <c r="B55" s="51" t="s">
        <v>158</v>
      </c>
      <c r="C55" s="51"/>
      <c r="D55" s="51" t="s">
        <v>159</v>
      </c>
      <c r="E55" s="51" t="s">
        <v>24</v>
      </c>
      <c r="F55" s="51" t="s">
        <v>25</v>
      </c>
      <c r="G55" s="51" t="s">
        <v>160</v>
      </c>
      <c r="H55" s="51"/>
      <c r="I55" s="16">
        <v>-348040780000</v>
      </c>
      <c r="J55" s="16">
        <v>-582835220000</v>
      </c>
      <c r="K55" s="51" t="s">
        <v>861</v>
      </c>
      <c r="L55" s="53">
        <f t="shared" si="10"/>
        <v>30</v>
      </c>
      <c r="M55" s="17">
        <f t="shared" si="8"/>
        <v>0</v>
      </c>
      <c r="N55" s="18">
        <f t="shared" si="9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  <c r="AS55" s="27"/>
    </row>
    <row r="56" spans="1:45" ht="15.75" thickBot="1" x14ac:dyDescent="0.3">
      <c r="A56" s="51" t="s">
        <v>72</v>
      </c>
      <c r="B56" s="51" t="s">
        <v>161</v>
      </c>
      <c r="C56" s="51"/>
      <c r="D56" s="51" t="s">
        <v>162</v>
      </c>
      <c r="E56" s="51" t="s">
        <v>24</v>
      </c>
      <c r="F56" s="51" t="s">
        <v>36</v>
      </c>
      <c r="G56" s="51" t="s">
        <v>163</v>
      </c>
      <c r="H56" s="51"/>
      <c r="I56" s="16">
        <v>-348078180000</v>
      </c>
      <c r="J56" s="16">
        <v>-582747270000</v>
      </c>
      <c r="K56" s="51" t="s">
        <v>862</v>
      </c>
      <c r="L56" s="53">
        <f t="shared" si="10"/>
        <v>30</v>
      </c>
      <c r="M56" s="17">
        <f t="shared" si="8"/>
        <v>0</v>
      </c>
      <c r="N56" s="18">
        <f t="shared" si="9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  <c r="AS56" s="27"/>
    </row>
    <row r="57" spans="1:45" ht="15.75" thickBot="1" x14ac:dyDescent="0.3">
      <c r="A57" s="51" t="s">
        <v>72</v>
      </c>
      <c r="B57" s="51" t="s">
        <v>164</v>
      </c>
      <c r="C57" s="51"/>
      <c r="D57" s="51" t="s">
        <v>1242</v>
      </c>
      <c r="E57" s="51" t="s">
        <v>24</v>
      </c>
      <c r="F57" s="51" t="s">
        <v>36</v>
      </c>
      <c r="G57" s="51" t="s">
        <v>165</v>
      </c>
      <c r="H57" s="51"/>
      <c r="I57" s="16">
        <v>-348079190000</v>
      </c>
      <c r="J57" s="16">
        <v>-582764410000</v>
      </c>
      <c r="K57" s="51" t="s">
        <v>863</v>
      </c>
      <c r="L57" s="53">
        <f t="shared" si="10"/>
        <v>30</v>
      </c>
      <c r="M57" s="17">
        <f t="shared" si="8"/>
        <v>0</v>
      </c>
      <c r="N57" s="18">
        <f t="shared" si="9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  <c r="AS57" s="27"/>
    </row>
    <row r="58" spans="1:45" ht="15.75" thickBot="1" x14ac:dyDescent="0.3">
      <c r="A58" s="51" t="s">
        <v>72</v>
      </c>
      <c r="B58" s="51" t="s">
        <v>166</v>
      </c>
      <c r="C58" s="51" t="s">
        <v>1399</v>
      </c>
      <c r="D58" s="51" t="s">
        <v>167</v>
      </c>
      <c r="E58" s="51" t="s">
        <v>24</v>
      </c>
      <c r="F58" s="51" t="s">
        <v>36</v>
      </c>
      <c r="G58" s="51" t="s">
        <v>60</v>
      </c>
      <c r="H58" s="51" t="s">
        <v>168</v>
      </c>
      <c r="I58" s="16">
        <v>-348027470000</v>
      </c>
      <c r="J58" s="16">
        <v>-582782920000</v>
      </c>
      <c r="K58" s="51" t="s">
        <v>864</v>
      </c>
      <c r="L58" s="53">
        <f t="shared" si="10"/>
        <v>30</v>
      </c>
      <c r="M58" s="17">
        <f t="shared" si="8"/>
        <v>0</v>
      </c>
      <c r="N58" s="18">
        <f t="shared" si="9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  <c r="AS58" s="27"/>
    </row>
    <row r="59" spans="1:45" ht="15.75" thickBot="1" x14ac:dyDescent="0.3">
      <c r="A59" s="51" t="s">
        <v>72</v>
      </c>
      <c r="B59" s="51" t="s">
        <v>169</v>
      </c>
      <c r="C59" s="51"/>
      <c r="D59" s="51" t="s">
        <v>1243</v>
      </c>
      <c r="E59" s="51" t="s">
        <v>24</v>
      </c>
      <c r="F59" s="51" t="s">
        <v>36</v>
      </c>
      <c r="G59" s="51" t="s">
        <v>170</v>
      </c>
      <c r="H59" s="51"/>
      <c r="I59" s="16">
        <v>-348089580000</v>
      </c>
      <c r="J59" s="16">
        <v>-582763340000</v>
      </c>
      <c r="K59" s="51" t="s">
        <v>865</v>
      </c>
      <c r="L59" s="53">
        <f t="shared" si="10"/>
        <v>30</v>
      </c>
      <c r="M59" s="17">
        <f t="shared" si="8"/>
        <v>0</v>
      </c>
      <c r="N59" s="18">
        <f t="shared" si="9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  <c r="AS59" s="27"/>
    </row>
    <row r="60" spans="1:45" ht="15.75" thickBot="1" x14ac:dyDescent="0.3">
      <c r="A60" s="51" t="s">
        <v>72</v>
      </c>
      <c r="B60" s="51" t="s">
        <v>171</v>
      </c>
      <c r="C60" s="51"/>
      <c r="D60" s="51" t="s">
        <v>1244</v>
      </c>
      <c r="E60" s="51" t="s">
        <v>24</v>
      </c>
      <c r="F60" s="51" t="s">
        <v>36</v>
      </c>
      <c r="G60" s="51" t="s">
        <v>60</v>
      </c>
      <c r="H60" s="51"/>
      <c r="I60" s="16">
        <v>-348068620000</v>
      </c>
      <c r="J60" s="16">
        <v>-582765270000</v>
      </c>
      <c r="K60" s="51" t="s">
        <v>866</v>
      </c>
      <c r="L60" s="53">
        <f t="shared" si="10"/>
        <v>30</v>
      </c>
      <c r="M60" s="17">
        <f t="shared" si="8"/>
        <v>0</v>
      </c>
      <c r="N60" s="18">
        <f t="shared" si="9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  <c r="AS60" s="27"/>
    </row>
    <row r="61" spans="1:45" ht="15.75" thickBot="1" x14ac:dyDescent="0.3">
      <c r="A61" s="51" t="s">
        <v>72</v>
      </c>
      <c r="B61" s="51" t="s">
        <v>172</v>
      </c>
      <c r="C61" s="51"/>
      <c r="D61" s="51" t="s">
        <v>173</v>
      </c>
      <c r="E61" s="51" t="s">
        <v>24</v>
      </c>
      <c r="F61" s="51" t="s">
        <v>36</v>
      </c>
      <c r="G61" s="51" t="s">
        <v>170</v>
      </c>
      <c r="H61" s="51"/>
      <c r="I61" s="16">
        <v>-348087820000</v>
      </c>
      <c r="J61" s="16">
        <v>-582729860000</v>
      </c>
      <c r="K61" s="51" t="s">
        <v>867</v>
      </c>
      <c r="L61" s="53">
        <f t="shared" si="10"/>
        <v>30</v>
      </c>
      <c r="M61" s="17">
        <f t="shared" si="8"/>
        <v>0</v>
      </c>
      <c r="N61" s="18">
        <f t="shared" si="9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  <c r="AS61" s="27"/>
    </row>
    <row r="62" spans="1:45" ht="15.75" thickBot="1" x14ac:dyDescent="0.3">
      <c r="A62" s="51" t="s">
        <v>72</v>
      </c>
      <c r="B62" s="51" t="s">
        <v>174</v>
      </c>
      <c r="C62" s="51"/>
      <c r="D62" s="51" t="s">
        <v>175</v>
      </c>
      <c r="E62" s="51" t="s">
        <v>24</v>
      </c>
      <c r="F62" s="51" t="s">
        <v>36</v>
      </c>
      <c r="G62" s="51" t="s">
        <v>170</v>
      </c>
      <c r="H62" s="51"/>
      <c r="I62" s="16">
        <v>-348066860000</v>
      </c>
      <c r="J62" s="16">
        <v>-582731470000</v>
      </c>
      <c r="K62" s="51" t="s">
        <v>868</v>
      </c>
      <c r="L62" s="53">
        <f t="shared" si="10"/>
        <v>30</v>
      </c>
      <c r="M62" s="17">
        <f t="shared" si="8"/>
        <v>0</v>
      </c>
      <c r="N62" s="18">
        <f t="shared" si="9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  <c r="AS62" s="27"/>
    </row>
    <row r="63" spans="1:45" ht="15.75" thickBot="1" x14ac:dyDescent="0.3">
      <c r="A63" s="51" t="s">
        <v>72</v>
      </c>
      <c r="B63" s="51" t="s">
        <v>176</v>
      </c>
      <c r="C63" s="51"/>
      <c r="D63" s="51" t="s">
        <v>177</v>
      </c>
      <c r="E63" s="51" t="s">
        <v>24</v>
      </c>
      <c r="F63" s="51" t="s">
        <v>36</v>
      </c>
      <c r="G63" s="51" t="s">
        <v>178</v>
      </c>
      <c r="H63" s="51"/>
      <c r="I63" s="16">
        <v>-348086060000</v>
      </c>
      <c r="J63" s="16">
        <v>-582700470000</v>
      </c>
      <c r="K63" s="51" t="s">
        <v>869</v>
      </c>
      <c r="L63" s="53">
        <f t="shared" si="10"/>
        <v>30</v>
      </c>
      <c r="M63" s="17">
        <f t="shared" si="8"/>
        <v>0</v>
      </c>
      <c r="N63" s="18">
        <f t="shared" si="9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  <c r="AS63" s="27"/>
    </row>
    <row r="64" spans="1:45" ht="15.75" thickBot="1" x14ac:dyDescent="0.3">
      <c r="A64" s="51" t="s">
        <v>72</v>
      </c>
      <c r="B64" s="51" t="s">
        <v>179</v>
      </c>
      <c r="C64" s="51"/>
      <c r="D64" s="51" t="s">
        <v>180</v>
      </c>
      <c r="E64" s="51" t="s">
        <v>24</v>
      </c>
      <c r="F64" s="51" t="s">
        <v>36</v>
      </c>
      <c r="G64" s="51" t="s">
        <v>181</v>
      </c>
      <c r="H64" s="51"/>
      <c r="I64" s="16">
        <v>-348088130000</v>
      </c>
      <c r="J64" s="16">
        <v>-582738390000</v>
      </c>
      <c r="K64" s="51" t="s">
        <v>870</v>
      </c>
      <c r="L64" s="53">
        <f t="shared" si="10"/>
        <v>30</v>
      </c>
      <c r="M64" s="17">
        <f t="shared" si="8"/>
        <v>0</v>
      </c>
      <c r="N64" s="18">
        <f t="shared" si="9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  <c r="AS64" s="27"/>
    </row>
    <row r="65" spans="1:45" ht="15.75" thickBot="1" x14ac:dyDescent="0.3">
      <c r="A65" s="51" t="s">
        <v>72</v>
      </c>
      <c r="B65" s="51" t="s">
        <v>182</v>
      </c>
      <c r="C65" s="51"/>
      <c r="D65" s="51" t="s">
        <v>1245</v>
      </c>
      <c r="E65" s="51" t="s">
        <v>24</v>
      </c>
      <c r="F65" s="51" t="s">
        <v>36</v>
      </c>
      <c r="G65" s="51" t="s">
        <v>60</v>
      </c>
      <c r="H65" s="51"/>
      <c r="I65" s="16">
        <v>-348058930000</v>
      </c>
      <c r="J65" s="16">
        <v>-582764630000</v>
      </c>
      <c r="K65" s="51" t="s">
        <v>871</v>
      </c>
      <c r="L65" s="53">
        <f t="shared" si="10"/>
        <v>30</v>
      </c>
      <c r="M65" s="17">
        <f t="shared" si="8"/>
        <v>0</v>
      </c>
      <c r="N65" s="18">
        <f t="shared" si="9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  <c r="AS65" s="27"/>
    </row>
    <row r="66" spans="1:45" ht="15.75" thickBot="1" x14ac:dyDescent="0.3">
      <c r="A66" s="51" t="s">
        <v>72</v>
      </c>
      <c r="B66" s="51" t="s">
        <v>183</v>
      </c>
      <c r="C66" s="51"/>
      <c r="D66" s="51" t="s">
        <v>184</v>
      </c>
      <c r="E66" s="51" t="s">
        <v>24</v>
      </c>
      <c r="F66" s="51" t="s">
        <v>36</v>
      </c>
      <c r="G66" s="51" t="s">
        <v>103</v>
      </c>
      <c r="H66" s="51"/>
      <c r="I66" s="16">
        <v>-348107110000</v>
      </c>
      <c r="J66" s="16">
        <v>-582728250000</v>
      </c>
      <c r="K66" s="51" t="s">
        <v>872</v>
      </c>
      <c r="L66" s="53">
        <f t="shared" si="10"/>
        <v>30</v>
      </c>
      <c r="M66" s="17">
        <f t="shared" si="8"/>
        <v>0</v>
      </c>
      <c r="N66" s="18">
        <f t="shared" si="9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  <c r="AS66" s="27"/>
    </row>
    <row r="67" spans="1:45" ht="15.75" thickBot="1" x14ac:dyDescent="0.3">
      <c r="A67" s="51" t="s">
        <v>72</v>
      </c>
      <c r="B67" s="51" t="s">
        <v>185</v>
      </c>
      <c r="C67" s="51"/>
      <c r="D67" s="51" t="s">
        <v>1246</v>
      </c>
      <c r="E67" s="51" t="s">
        <v>24</v>
      </c>
      <c r="F67" s="51" t="s">
        <v>36</v>
      </c>
      <c r="G67" s="51" t="s">
        <v>103</v>
      </c>
      <c r="H67" s="51"/>
      <c r="I67" s="16">
        <v>-348108080000</v>
      </c>
      <c r="J67" s="16">
        <v>-582762270000</v>
      </c>
      <c r="K67" s="51" t="s">
        <v>873</v>
      </c>
      <c r="L67" s="53">
        <f t="shared" si="10"/>
        <v>30</v>
      </c>
      <c r="M67" s="17">
        <f t="shared" si="8"/>
        <v>0</v>
      </c>
      <c r="N67" s="18">
        <f t="shared" si="9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  <c r="AS67" s="27"/>
    </row>
    <row r="68" spans="1:45" ht="15.75" thickBot="1" x14ac:dyDescent="0.3">
      <c r="A68" s="51" t="s">
        <v>72</v>
      </c>
      <c r="B68" s="51" t="s">
        <v>186</v>
      </c>
      <c r="C68" s="51" t="s">
        <v>1399</v>
      </c>
      <c r="D68" s="51" t="s">
        <v>1247</v>
      </c>
      <c r="E68" s="51" t="s">
        <v>24</v>
      </c>
      <c r="F68" s="51" t="s">
        <v>36</v>
      </c>
      <c r="G68" s="51" t="s">
        <v>146</v>
      </c>
      <c r="H68" s="51"/>
      <c r="I68" s="16">
        <v>-347995320000</v>
      </c>
      <c r="J68" s="16">
        <v>-582767420000</v>
      </c>
      <c r="K68" s="51" t="s">
        <v>874</v>
      </c>
      <c r="L68" s="53">
        <f t="shared" si="10"/>
        <v>30</v>
      </c>
      <c r="M68" s="17">
        <f t="shared" si="8"/>
        <v>0</v>
      </c>
      <c r="N68" s="18">
        <f t="shared" si="9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  <c r="AS68" s="27"/>
    </row>
    <row r="69" spans="1:45" ht="15.75" thickBot="1" x14ac:dyDescent="0.3">
      <c r="A69" s="51" t="s">
        <v>72</v>
      </c>
      <c r="B69" s="51" t="s">
        <v>187</v>
      </c>
      <c r="C69" s="51" t="s">
        <v>1399</v>
      </c>
      <c r="D69" s="51" t="s">
        <v>1248</v>
      </c>
      <c r="E69" s="51" t="s">
        <v>24</v>
      </c>
      <c r="F69" s="51" t="s">
        <v>36</v>
      </c>
      <c r="G69" s="51" t="s">
        <v>146</v>
      </c>
      <c r="H69" s="51"/>
      <c r="I69" s="16">
        <v>-348027390000</v>
      </c>
      <c r="J69" s="16">
        <v>-582766340000</v>
      </c>
      <c r="K69" s="51" t="s">
        <v>875</v>
      </c>
      <c r="L69" s="53">
        <f t="shared" si="10"/>
        <v>30</v>
      </c>
      <c r="M69" s="17">
        <f t="shared" ref="M69:M132" si="11">COUNTIF(O69:AP69,"APAGADO")</f>
        <v>0</v>
      </c>
      <c r="N69" s="18">
        <f t="shared" ref="N69:N132" si="12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  <c r="AS69" s="27"/>
    </row>
    <row r="70" spans="1:45" ht="15.75" thickBot="1" x14ac:dyDescent="0.3">
      <c r="A70" s="51" t="s">
        <v>72</v>
      </c>
      <c r="B70" s="51" t="s">
        <v>189</v>
      </c>
      <c r="C70" s="51" t="s">
        <v>1399</v>
      </c>
      <c r="D70" s="51" t="s">
        <v>190</v>
      </c>
      <c r="E70" s="51" t="s">
        <v>24</v>
      </c>
      <c r="F70" s="51" t="s">
        <v>36</v>
      </c>
      <c r="G70" s="51" t="s">
        <v>146</v>
      </c>
      <c r="H70" s="51"/>
      <c r="I70" s="16">
        <v>-348004490000</v>
      </c>
      <c r="J70" s="16">
        <v>-582742520000</v>
      </c>
      <c r="K70" s="51" t="s">
        <v>877</v>
      </c>
      <c r="L70" s="53">
        <f t="shared" ref="L70:L133" si="13">COUNTIF(O70:AR70,"")</f>
        <v>29</v>
      </c>
      <c r="M70" s="17">
        <f t="shared" si="11"/>
        <v>1</v>
      </c>
      <c r="N70" s="18">
        <f t="shared" si="12"/>
        <v>0.96666666666666667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 t="s">
        <v>1211</v>
      </c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  <c r="AS70" s="27"/>
    </row>
    <row r="71" spans="1:45" ht="15.75" thickBot="1" x14ac:dyDescent="0.3">
      <c r="A71" s="51" t="s">
        <v>72</v>
      </c>
      <c r="B71" s="51" t="s">
        <v>191</v>
      </c>
      <c r="C71" s="51"/>
      <c r="D71" s="51" t="s">
        <v>192</v>
      </c>
      <c r="E71" s="51" t="s">
        <v>24</v>
      </c>
      <c r="F71" s="51" t="s">
        <v>36</v>
      </c>
      <c r="G71" s="51" t="s">
        <v>193</v>
      </c>
      <c r="H71" s="51"/>
      <c r="I71" s="16">
        <v>-348038310000</v>
      </c>
      <c r="J71" s="16">
        <v>-582781900000</v>
      </c>
      <c r="K71" s="51" t="s">
        <v>878</v>
      </c>
      <c r="L71" s="53">
        <f t="shared" si="13"/>
        <v>30</v>
      </c>
      <c r="M71" s="17">
        <f t="shared" si="11"/>
        <v>0</v>
      </c>
      <c r="N71" s="18">
        <f t="shared" si="12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  <c r="AS71" s="27"/>
    </row>
    <row r="72" spans="1:45" ht="15.75" thickBot="1" x14ac:dyDescent="0.3">
      <c r="A72" s="51" t="s">
        <v>72</v>
      </c>
      <c r="B72" s="51" t="s">
        <v>194</v>
      </c>
      <c r="C72" s="51"/>
      <c r="D72" s="51" t="s">
        <v>195</v>
      </c>
      <c r="E72" s="51" t="s">
        <v>24</v>
      </c>
      <c r="F72" s="51" t="s">
        <v>36</v>
      </c>
      <c r="G72" s="51" t="s">
        <v>103</v>
      </c>
      <c r="H72" s="51"/>
      <c r="I72" s="16">
        <v>-348046950000</v>
      </c>
      <c r="J72" s="16">
        <v>-582749390000</v>
      </c>
      <c r="K72" s="51" t="s">
        <v>879</v>
      </c>
      <c r="L72" s="53">
        <f t="shared" si="13"/>
        <v>30</v>
      </c>
      <c r="M72" s="17">
        <f t="shared" si="11"/>
        <v>0</v>
      </c>
      <c r="N72" s="18">
        <f t="shared" si="12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  <c r="AS72" s="27"/>
    </row>
    <row r="73" spans="1:45" ht="15.75" thickBot="1" x14ac:dyDescent="0.3">
      <c r="A73" s="51" t="s">
        <v>72</v>
      </c>
      <c r="B73" s="51" t="s">
        <v>196</v>
      </c>
      <c r="C73" s="51" t="s">
        <v>1399</v>
      </c>
      <c r="D73" s="51" t="s">
        <v>197</v>
      </c>
      <c r="E73" s="51" t="s">
        <v>24</v>
      </c>
      <c r="F73" s="51" t="s">
        <v>36</v>
      </c>
      <c r="G73" s="51" t="s">
        <v>198</v>
      </c>
      <c r="H73" s="51"/>
      <c r="I73" s="16">
        <v>-348045710000</v>
      </c>
      <c r="J73" s="16">
        <v>-582732760000</v>
      </c>
      <c r="K73" s="51" t="s">
        <v>880</v>
      </c>
      <c r="L73" s="53">
        <f t="shared" si="13"/>
        <v>30</v>
      </c>
      <c r="M73" s="17">
        <f t="shared" si="11"/>
        <v>0</v>
      </c>
      <c r="N73" s="18">
        <f t="shared" si="12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  <c r="AS73" s="27"/>
    </row>
    <row r="74" spans="1:45" ht="15.75" thickBot="1" x14ac:dyDescent="0.3">
      <c r="A74" s="51" t="s">
        <v>72</v>
      </c>
      <c r="B74" s="51" t="s">
        <v>199</v>
      </c>
      <c r="C74" s="51" t="s">
        <v>1399</v>
      </c>
      <c r="D74" s="51" t="s">
        <v>200</v>
      </c>
      <c r="E74" s="51" t="s">
        <v>24</v>
      </c>
      <c r="F74" s="51" t="s">
        <v>36</v>
      </c>
      <c r="G74" s="51" t="s">
        <v>146</v>
      </c>
      <c r="H74" s="51"/>
      <c r="I74" s="16">
        <v>-348034610000</v>
      </c>
      <c r="J74" s="16">
        <v>-582706900000</v>
      </c>
      <c r="K74" s="51" t="s">
        <v>881</v>
      </c>
      <c r="L74" s="53">
        <f t="shared" si="13"/>
        <v>24</v>
      </c>
      <c r="M74" s="17">
        <f t="shared" si="11"/>
        <v>6</v>
      </c>
      <c r="N74" s="18">
        <f t="shared" si="12"/>
        <v>0.8</v>
      </c>
      <c r="O74" s="27" t="s">
        <v>1211</v>
      </c>
      <c r="P74" s="8" t="s">
        <v>1211</v>
      </c>
      <c r="Q74" s="8" t="s">
        <v>1211</v>
      </c>
      <c r="R74" s="8" t="s">
        <v>1211</v>
      </c>
      <c r="S74" s="27" t="s">
        <v>1211</v>
      </c>
      <c r="T74" s="27"/>
      <c r="U74" s="8" t="s">
        <v>1211</v>
      </c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  <c r="AS74" s="27"/>
    </row>
    <row r="75" spans="1:45" ht="15.75" thickBot="1" x14ac:dyDescent="0.3">
      <c r="A75" s="51" t="s">
        <v>72</v>
      </c>
      <c r="B75" s="51" t="s">
        <v>201</v>
      </c>
      <c r="C75" s="51"/>
      <c r="D75" s="51" t="s">
        <v>202</v>
      </c>
      <c r="E75" s="51" t="s">
        <v>24</v>
      </c>
      <c r="F75" s="51" t="s">
        <v>36</v>
      </c>
      <c r="G75" s="51" t="s">
        <v>170</v>
      </c>
      <c r="H75" s="51" t="s">
        <v>203</v>
      </c>
      <c r="I75" s="16">
        <v>-348076770000</v>
      </c>
      <c r="J75" s="16">
        <v>-582730080000</v>
      </c>
      <c r="K75" s="51" t="s">
        <v>882</v>
      </c>
      <c r="L75" s="53">
        <f t="shared" si="13"/>
        <v>30</v>
      </c>
      <c r="M75" s="17">
        <f t="shared" si="11"/>
        <v>0</v>
      </c>
      <c r="N75" s="18">
        <f t="shared" si="12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  <c r="AS75" s="27"/>
    </row>
    <row r="76" spans="1:45" ht="15.75" thickBot="1" x14ac:dyDescent="0.3">
      <c r="A76" s="51" t="s">
        <v>72</v>
      </c>
      <c r="B76" s="51" t="s">
        <v>204</v>
      </c>
      <c r="C76" s="51" t="s">
        <v>1399</v>
      </c>
      <c r="D76" s="51" t="s">
        <v>205</v>
      </c>
      <c r="E76" s="51" t="s">
        <v>24</v>
      </c>
      <c r="F76" s="51" t="s">
        <v>36</v>
      </c>
      <c r="G76" s="51" t="s">
        <v>170</v>
      </c>
      <c r="H76" s="51"/>
      <c r="I76" s="16">
        <v>-348087290000</v>
      </c>
      <c r="J76" s="16">
        <v>-582714950000</v>
      </c>
      <c r="K76" s="51" t="s">
        <v>883</v>
      </c>
      <c r="L76" s="53">
        <f t="shared" si="13"/>
        <v>30</v>
      </c>
      <c r="M76" s="17">
        <f t="shared" si="11"/>
        <v>0</v>
      </c>
      <c r="N76" s="18">
        <f t="shared" si="12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  <c r="AS76" s="27"/>
    </row>
    <row r="77" spans="1:45" ht="15.75" thickBot="1" x14ac:dyDescent="0.3">
      <c r="A77" s="51" t="s">
        <v>72</v>
      </c>
      <c r="B77" s="51" t="s">
        <v>206</v>
      </c>
      <c r="C77" s="51"/>
      <c r="D77" s="51" t="s">
        <v>79</v>
      </c>
      <c r="E77" s="51" t="s">
        <v>102</v>
      </c>
      <c r="F77" s="51" t="s">
        <v>36</v>
      </c>
      <c r="G77" s="51"/>
      <c r="H77" s="51" t="s">
        <v>207</v>
      </c>
      <c r="I77" s="16">
        <v>-348102990000</v>
      </c>
      <c r="J77" s="16">
        <v>-582835440000</v>
      </c>
      <c r="K77" s="51" t="s">
        <v>884</v>
      </c>
      <c r="L77" s="53">
        <f t="shared" si="13"/>
        <v>30</v>
      </c>
      <c r="M77" s="17">
        <f t="shared" si="11"/>
        <v>0</v>
      </c>
      <c r="N77" s="18">
        <f t="shared" si="12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  <c r="AS77" s="27"/>
    </row>
    <row r="78" spans="1:45" ht="15.75" thickBot="1" x14ac:dyDescent="0.3">
      <c r="A78" s="51" t="s">
        <v>72</v>
      </c>
      <c r="B78" s="51" t="s">
        <v>208</v>
      </c>
      <c r="C78" s="51"/>
      <c r="D78" s="51" t="s">
        <v>79</v>
      </c>
      <c r="E78" s="51" t="s">
        <v>102</v>
      </c>
      <c r="F78" s="51" t="s">
        <v>36</v>
      </c>
      <c r="G78" s="51"/>
      <c r="H78" s="51" t="s">
        <v>207</v>
      </c>
      <c r="I78" s="16">
        <v>-348102840000</v>
      </c>
      <c r="J78" s="16">
        <v>-582835020000</v>
      </c>
      <c r="K78" s="51" t="s">
        <v>885</v>
      </c>
      <c r="L78" s="53">
        <f t="shared" si="13"/>
        <v>30</v>
      </c>
      <c r="M78" s="17">
        <f t="shared" si="11"/>
        <v>0</v>
      </c>
      <c r="N78" s="18">
        <f t="shared" si="12"/>
        <v>1</v>
      </c>
      <c r="O78" s="27"/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  <c r="AS78" s="27"/>
    </row>
    <row r="79" spans="1:45" ht="15.75" thickBot="1" x14ac:dyDescent="0.3">
      <c r="A79" s="51" t="s">
        <v>72</v>
      </c>
      <c r="B79" s="51" t="s">
        <v>209</v>
      </c>
      <c r="C79" s="51" t="s">
        <v>1399</v>
      </c>
      <c r="D79" s="51" t="s">
        <v>210</v>
      </c>
      <c r="E79" s="51" t="s">
        <v>24</v>
      </c>
      <c r="F79" s="51" t="s">
        <v>36</v>
      </c>
      <c r="G79" s="51" t="s">
        <v>146</v>
      </c>
      <c r="H79" s="51"/>
      <c r="I79" s="16">
        <v>-348076280000</v>
      </c>
      <c r="J79" s="16">
        <v>-582715700000</v>
      </c>
      <c r="K79" s="51" t="s">
        <v>886</v>
      </c>
      <c r="L79" s="53">
        <f t="shared" si="13"/>
        <v>30</v>
      </c>
      <c r="M79" s="17">
        <f t="shared" si="11"/>
        <v>0</v>
      </c>
      <c r="N79" s="18">
        <f t="shared" si="12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  <c r="AS79" s="27"/>
    </row>
    <row r="80" spans="1:45" ht="15.75" thickBot="1" x14ac:dyDescent="0.3">
      <c r="A80" s="51" t="s">
        <v>72</v>
      </c>
      <c r="B80" s="51" t="s">
        <v>211</v>
      </c>
      <c r="C80" s="51"/>
      <c r="D80" s="51" t="s">
        <v>212</v>
      </c>
      <c r="E80" s="51" t="s">
        <v>24</v>
      </c>
      <c r="F80" s="51" t="s">
        <v>25</v>
      </c>
      <c r="G80" s="51" t="s">
        <v>213</v>
      </c>
      <c r="H80" s="51" t="s">
        <v>214</v>
      </c>
      <c r="I80" s="16">
        <v>-348082910000</v>
      </c>
      <c r="J80" s="16">
        <v>-582832080000</v>
      </c>
      <c r="K80" s="51" t="s">
        <v>887</v>
      </c>
      <c r="L80" s="53">
        <f t="shared" si="13"/>
        <v>20</v>
      </c>
      <c r="M80" s="17">
        <f t="shared" si="11"/>
        <v>10</v>
      </c>
      <c r="N80" s="18">
        <f t="shared" si="12"/>
        <v>0.66666666666666663</v>
      </c>
      <c r="O80" s="27"/>
      <c r="P80" s="8"/>
      <c r="Q80" s="8" t="s">
        <v>1211</v>
      </c>
      <c r="R80" s="8" t="s">
        <v>1211</v>
      </c>
      <c r="S80" s="27" t="s">
        <v>1211</v>
      </c>
      <c r="T80" s="27"/>
      <c r="U80" s="8"/>
      <c r="V80" s="8"/>
      <c r="W80" s="8"/>
      <c r="X80" s="27"/>
      <c r="Y80" s="27"/>
      <c r="Z80" s="27" t="s">
        <v>1211</v>
      </c>
      <c r="AA80" s="27" t="s">
        <v>1211</v>
      </c>
      <c r="AB80" s="27" t="s">
        <v>1211</v>
      </c>
      <c r="AC80" s="27" t="s">
        <v>1211</v>
      </c>
      <c r="AD80" s="27" t="s">
        <v>1211</v>
      </c>
      <c r="AE80" s="27" t="s">
        <v>1211</v>
      </c>
      <c r="AF80" s="27" t="s">
        <v>1211</v>
      </c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  <c r="AS80" s="27"/>
    </row>
    <row r="81" spans="1:45" ht="15.75" thickBot="1" x14ac:dyDescent="0.3">
      <c r="A81" s="51" t="s">
        <v>72</v>
      </c>
      <c r="B81" s="51" t="s">
        <v>215</v>
      </c>
      <c r="C81" s="51"/>
      <c r="D81" s="51" t="s">
        <v>216</v>
      </c>
      <c r="E81" s="51" t="s">
        <v>24</v>
      </c>
      <c r="F81" s="51" t="s">
        <v>25</v>
      </c>
      <c r="G81" s="51" t="s">
        <v>217</v>
      </c>
      <c r="H81" s="51"/>
      <c r="I81" s="16">
        <v>-347975480000</v>
      </c>
      <c r="J81" s="16">
        <v>-582789940000</v>
      </c>
      <c r="K81" s="51" t="s">
        <v>888</v>
      </c>
      <c r="L81" s="53">
        <f t="shared" si="13"/>
        <v>30</v>
      </c>
      <c r="M81" s="17">
        <f t="shared" si="11"/>
        <v>0</v>
      </c>
      <c r="N81" s="18">
        <f t="shared" si="12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  <c r="AS81" s="27"/>
    </row>
    <row r="82" spans="1:45" ht="15.75" thickBot="1" x14ac:dyDescent="0.3">
      <c r="A82" s="51" t="s">
        <v>72</v>
      </c>
      <c r="B82" s="51" t="s">
        <v>221</v>
      </c>
      <c r="C82" s="51" t="s">
        <v>1399</v>
      </c>
      <c r="D82" s="51" t="s">
        <v>222</v>
      </c>
      <c r="E82" s="51" t="s">
        <v>19</v>
      </c>
      <c r="F82" s="51" t="s">
        <v>25</v>
      </c>
      <c r="G82" s="51"/>
      <c r="H82" s="51" t="s">
        <v>223</v>
      </c>
      <c r="I82" s="16">
        <v>-348006380000</v>
      </c>
      <c r="J82" s="16">
        <v>-582785240000</v>
      </c>
      <c r="K82" s="51" t="s">
        <v>891</v>
      </c>
      <c r="L82" s="53">
        <f t="shared" si="13"/>
        <v>30</v>
      </c>
      <c r="M82" s="17">
        <f t="shared" si="11"/>
        <v>0</v>
      </c>
      <c r="N82" s="18">
        <f t="shared" si="12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  <c r="AS82" s="27"/>
    </row>
    <row r="83" spans="1:45" ht="15.75" thickBot="1" x14ac:dyDescent="0.3">
      <c r="A83" s="51" t="s">
        <v>72</v>
      </c>
      <c r="B83" s="51" t="s">
        <v>1249</v>
      </c>
      <c r="C83" s="51"/>
      <c r="D83" s="51" t="s">
        <v>81</v>
      </c>
      <c r="E83" s="51" t="s">
        <v>19</v>
      </c>
      <c r="F83" s="51" t="s">
        <v>25</v>
      </c>
      <c r="G83" s="51"/>
      <c r="H83" s="51" t="s">
        <v>82</v>
      </c>
      <c r="I83" s="16">
        <v>-348039300000</v>
      </c>
      <c r="J83" s="16">
        <v>-582819780000</v>
      </c>
      <c r="K83" s="51" t="s">
        <v>898</v>
      </c>
      <c r="L83" s="53">
        <f t="shared" si="13"/>
        <v>20</v>
      </c>
      <c r="M83" s="17">
        <f t="shared" si="11"/>
        <v>10</v>
      </c>
      <c r="N83" s="18">
        <f t="shared" si="12"/>
        <v>0.66666666666666663</v>
      </c>
      <c r="O83" s="27"/>
      <c r="P83" s="8"/>
      <c r="Q83" s="8" t="s">
        <v>1211</v>
      </c>
      <c r="R83" s="8" t="s">
        <v>1211</v>
      </c>
      <c r="S83" s="27" t="s">
        <v>1211</v>
      </c>
      <c r="T83" s="27"/>
      <c r="U83" s="8"/>
      <c r="V83" s="8"/>
      <c r="W83" s="8"/>
      <c r="X83" s="27"/>
      <c r="Y83" s="27"/>
      <c r="Z83" s="27" t="s">
        <v>1211</v>
      </c>
      <c r="AA83" s="27" t="s">
        <v>1211</v>
      </c>
      <c r="AB83" s="27" t="s">
        <v>1211</v>
      </c>
      <c r="AC83" s="27" t="s">
        <v>1211</v>
      </c>
      <c r="AD83" s="27" t="s">
        <v>1211</v>
      </c>
      <c r="AE83" s="27" t="s">
        <v>1211</v>
      </c>
      <c r="AF83" s="27" t="s">
        <v>1211</v>
      </c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  <c r="AS83" s="27"/>
    </row>
    <row r="84" spans="1:45" ht="15.75" thickBot="1" x14ac:dyDescent="0.3">
      <c r="A84" s="51" t="s">
        <v>72</v>
      </c>
      <c r="B84" s="51" t="s">
        <v>1250</v>
      </c>
      <c r="C84" s="51" t="s">
        <v>1399</v>
      </c>
      <c r="D84" s="51" t="s">
        <v>1251</v>
      </c>
      <c r="E84" s="51" t="s">
        <v>19</v>
      </c>
      <c r="F84" s="51" t="s">
        <v>1391</v>
      </c>
      <c r="G84" s="51"/>
      <c r="H84" s="51" t="s">
        <v>89</v>
      </c>
      <c r="I84" s="16">
        <v>-348038200000</v>
      </c>
      <c r="J84" s="16">
        <v>-582766160000</v>
      </c>
      <c r="K84" s="51" t="s">
        <v>901</v>
      </c>
      <c r="L84" s="53">
        <f t="shared" si="13"/>
        <v>30</v>
      </c>
      <c r="M84" s="17">
        <f t="shared" si="11"/>
        <v>0</v>
      </c>
      <c r="N84" s="18">
        <f t="shared" si="12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  <c r="AS84" s="27"/>
    </row>
    <row r="85" spans="1:45" ht="15.75" thickBot="1" x14ac:dyDescent="0.3">
      <c r="A85" s="51" t="s">
        <v>72</v>
      </c>
      <c r="B85" s="51" t="s">
        <v>1252</v>
      </c>
      <c r="C85" s="51" t="s">
        <v>1399</v>
      </c>
      <c r="D85" s="51" t="s">
        <v>90</v>
      </c>
      <c r="E85" s="51" t="s">
        <v>19</v>
      </c>
      <c r="F85" s="51" t="s">
        <v>36</v>
      </c>
      <c r="G85" s="51"/>
      <c r="H85" s="51" t="s">
        <v>91</v>
      </c>
      <c r="I85" s="16">
        <v>-348017700000</v>
      </c>
      <c r="J85" s="16">
        <v>-582785020000</v>
      </c>
      <c r="K85" s="51" t="s">
        <v>902</v>
      </c>
      <c r="L85" s="53">
        <f t="shared" si="13"/>
        <v>30</v>
      </c>
      <c r="M85" s="17">
        <f t="shared" si="11"/>
        <v>0</v>
      </c>
      <c r="N85" s="18">
        <f t="shared" si="12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  <c r="AS85" s="27"/>
    </row>
    <row r="86" spans="1:45" ht="15.75" thickBot="1" x14ac:dyDescent="0.3">
      <c r="A86" s="51" t="s">
        <v>72</v>
      </c>
      <c r="B86" s="51" t="s">
        <v>224</v>
      </c>
      <c r="C86" s="51"/>
      <c r="D86" s="51" t="s">
        <v>225</v>
      </c>
      <c r="E86" s="51" t="s">
        <v>65</v>
      </c>
      <c r="F86" s="51" t="s">
        <v>36</v>
      </c>
      <c r="G86" s="51"/>
      <c r="H86" s="51" t="s">
        <v>207</v>
      </c>
      <c r="I86" s="16">
        <v>-348100370000</v>
      </c>
      <c r="J86" s="16">
        <v>-582778830000</v>
      </c>
      <c r="K86" s="51" t="s">
        <v>903</v>
      </c>
      <c r="L86" s="53">
        <f t="shared" si="13"/>
        <v>30</v>
      </c>
      <c r="M86" s="17">
        <f t="shared" si="11"/>
        <v>0</v>
      </c>
      <c r="N86" s="18">
        <f t="shared" si="12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  <c r="AS86" s="27"/>
    </row>
    <row r="87" spans="1:45" ht="15.75" thickBot="1" x14ac:dyDescent="0.3">
      <c r="A87" s="51" t="s">
        <v>72</v>
      </c>
      <c r="B87" s="51" t="s">
        <v>227</v>
      </c>
      <c r="C87" s="51" t="s">
        <v>1399</v>
      </c>
      <c r="D87" s="51" t="s">
        <v>226</v>
      </c>
      <c r="E87" s="51" t="s">
        <v>65</v>
      </c>
      <c r="F87" s="51" t="s">
        <v>36</v>
      </c>
      <c r="G87" s="51"/>
      <c r="H87" s="51" t="s">
        <v>207</v>
      </c>
      <c r="I87" s="16">
        <v>-348109620000</v>
      </c>
      <c r="J87" s="16">
        <v>-582777260000</v>
      </c>
      <c r="K87" s="51" t="s">
        <v>904</v>
      </c>
      <c r="L87" s="53">
        <f t="shared" si="13"/>
        <v>30</v>
      </c>
      <c r="M87" s="17">
        <f t="shared" si="11"/>
        <v>0</v>
      </c>
      <c r="N87" s="18">
        <f t="shared" si="12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  <c r="AS87" s="27"/>
    </row>
    <row r="88" spans="1:45" ht="15.75" thickBot="1" x14ac:dyDescent="0.3">
      <c r="A88" s="51" t="s">
        <v>72</v>
      </c>
      <c r="B88" s="51" t="s">
        <v>228</v>
      </c>
      <c r="C88" s="51"/>
      <c r="D88" s="51" t="s">
        <v>229</v>
      </c>
      <c r="E88" s="51" t="s">
        <v>102</v>
      </c>
      <c r="F88" s="51" t="s">
        <v>36</v>
      </c>
      <c r="G88" s="51"/>
      <c r="H88" s="51" t="s">
        <v>230</v>
      </c>
      <c r="I88" s="16">
        <v>-348024610000</v>
      </c>
      <c r="J88" s="16">
        <v>-582715570000</v>
      </c>
      <c r="K88" s="51" t="s">
        <v>908</v>
      </c>
      <c r="L88" s="53">
        <f t="shared" si="13"/>
        <v>30</v>
      </c>
      <c r="M88" s="17">
        <f t="shared" si="11"/>
        <v>0</v>
      </c>
      <c r="N88" s="18">
        <f t="shared" si="12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  <c r="AS88" s="27"/>
    </row>
    <row r="89" spans="1:45" ht="15.75" thickBot="1" x14ac:dyDescent="0.3">
      <c r="A89" s="51" t="s">
        <v>72</v>
      </c>
      <c r="B89" s="51" t="s">
        <v>231</v>
      </c>
      <c r="C89" s="51" t="s">
        <v>1399</v>
      </c>
      <c r="D89" s="51" t="s">
        <v>229</v>
      </c>
      <c r="E89" s="51" t="s">
        <v>102</v>
      </c>
      <c r="F89" s="51" t="s">
        <v>36</v>
      </c>
      <c r="G89" s="51"/>
      <c r="H89" s="51" t="s">
        <v>230</v>
      </c>
      <c r="I89" s="16">
        <v>-348024610000</v>
      </c>
      <c r="J89" s="16">
        <v>-582715570000</v>
      </c>
      <c r="K89" s="51" t="s">
        <v>909</v>
      </c>
      <c r="L89" s="53">
        <f t="shared" si="13"/>
        <v>30</v>
      </c>
      <c r="M89" s="17">
        <f t="shared" si="11"/>
        <v>0</v>
      </c>
      <c r="N89" s="18">
        <f t="shared" si="12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  <c r="AS89" s="27"/>
    </row>
    <row r="90" spans="1:45" ht="15.75" thickBot="1" x14ac:dyDescent="0.3">
      <c r="A90" s="51" t="s">
        <v>72</v>
      </c>
      <c r="B90" s="51" t="s">
        <v>232</v>
      </c>
      <c r="C90" s="51"/>
      <c r="D90" s="51" t="s">
        <v>233</v>
      </c>
      <c r="E90" s="51" t="s">
        <v>19</v>
      </c>
      <c r="F90" s="51" t="s">
        <v>36</v>
      </c>
      <c r="G90" s="51"/>
      <c r="H90" s="51" t="s">
        <v>234</v>
      </c>
      <c r="I90" s="16">
        <v>-348093230000</v>
      </c>
      <c r="J90" s="16">
        <v>-582817790000</v>
      </c>
      <c r="K90" s="51" t="s">
        <v>910</v>
      </c>
      <c r="L90" s="53">
        <f t="shared" si="13"/>
        <v>30</v>
      </c>
      <c r="M90" s="17">
        <f t="shared" si="11"/>
        <v>0</v>
      </c>
      <c r="N90" s="18">
        <f t="shared" si="12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  <c r="AS90" s="27"/>
    </row>
    <row r="91" spans="1:45" ht="13.9" customHeight="1" thickBot="1" x14ac:dyDescent="0.3">
      <c r="A91" s="51" t="s">
        <v>72</v>
      </c>
      <c r="B91" s="51" t="s">
        <v>235</v>
      </c>
      <c r="C91" s="51" t="s">
        <v>1399</v>
      </c>
      <c r="D91" s="51" t="s">
        <v>236</v>
      </c>
      <c r="E91" s="51" t="s">
        <v>19</v>
      </c>
      <c r="F91" s="51" t="s">
        <v>36</v>
      </c>
      <c r="G91" s="51"/>
      <c r="H91" s="51" t="s">
        <v>237</v>
      </c>
      <c r="I91" s="16">
        <v>-347987330000</v>
      </c>
      <c r="J91" s="16">
        <v>-582822490000</v>
      </c>
      <c r="K91" s="51" t="s">
        <v>914</v>
      </c>
      <c r="L91" s="53">
        <f t="shared" si="13"/>
        <v>30</v>
      </c>
      <c r="M91" s="17">
        <f t="shared" si="11"/>
        <v>0</v>
      </c>
      <c r="N91" s="18">
        <f t="shared" si="12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  <c r="AS91" s="27"/>
    </row>
    <row r="92" spans="1:45" ht="15.75" thickBot="1" x14ac:dyDescent="0.3">
      <c r="A92" s="51" t="s">
        <v>72</v>
      </c>
      <c r="B92" s="51" t="s">
        <v>238</v>
      </c>
      <c r="C92" s="51"/>
      <c r="D92" s="51" t="s">
        <v>239</v>
      </c>
      <c r="E92" s="51" t="s">
        <v>24</v>
      </c>
      <c r="F92" s="51" t="s">
        <v>1390</v>
      </c>
      <c r="G92" s="51"/>
      <c r="H92" s="51"/>
      <c r="I92" s="16">
        <v>-348051750000</v>
      </c>
      <c r="J92" s="16">
        <v>-582833410000</v>
      </c>
      <c r="K92" s="51" t="s">
        <v>915</v>
      </c>
      <c r="L92" s="53">
        <f t="shared" si="13"/>
        <v>30</v>
      </c>
      <c r="M92" s="17">
        <f t="shared" si="11"/>
        <v>0</v>
      </c>
      <c r="N92" s="18">
        <f t="shared" si="12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  <c r="AS92" s="27"/>
    </row>
    <row r="93" spans="1:45" ht="15.75" thickBot="1" x14ac:dyDescent="0.3">
      <c r="A93" s="51" t="s">
        <v>240</v>
      </c>
      <c r="B93" s="51" t="s">
        <v>241</v>
      </c>
      <c r="C93" s="51" t="s">
        <v>1399</v>
      </c>
      <c r="D93" s="51" t="s">
        <v>242</v>
      </c>
      <c r="E93" s="51" t="s">
        <v>24</v>
      </c>
      <c r="F93" s="51" t="s">
        <v>25</v>
      </c>
      <c r="G93" s="51" t="s">
        <v>146</v>
      </c>
      <c r="H93" s="51"/>
      <c r="I93" s="16">
        <v>-348055400000</v>
      </c>
      <c r="J93" s="16">
        <v>-582972760000</v>
      </c>
      <c r="K93" s="51" t="s">
        <v>916</v>
      </c>
      <c r="L93" s="53">
        <f t="shared" si="13"/>
        <v>30</v>
      </c>
      <c r="M93" s="17">
        <f t="shared" si="11"/>
        <v>0</v>
      </c>
      <c r="N93" s="18">
        <f t="shared" si="12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  <c r="AS93" s="27"/>
    </row>
    <row r="94" spans="1:45" ht="15.75" thickBot="1" x14ac:dyDescent="0.3">
      <c r="A94" s="51" t="s">
        <v>243</v>
      </c>
      <c r="B94" s="51" t="s">
        <v>244</v>
      </c>
      <c r="C94" s="51"/>
      <c r="D94" s="51" t="s">
        <v>245</v>
      </c>
      <c r="E94" s="51" t="s">
        <v>24</v>
      </c>
      <c r="F94" s="51" t="s">
        <v>25</v>
      </c>
      <c r="G94" s="51" t="s">
        <v>170</v>
      </c>
      <c r="H94" s="51" t="s">
        <v>246</v>
      </c>
      <c r="I94" s="16">
        <v>-348032560000</v>
      </c>
      <c r="J94" s="16">
        <v>-582926760000</v>
      </c>
      <c r="K94" s="51" t="s">
        <v>917</v>
      </c>
      <c r="L94" s="53">
        <f t="shared" si="13"/>
        <v>30</v>
      </c>
      <c r="M94" s="17">
        <f t="shared" si="11"/>
        <v>0</v>
      </c>
      <c r="N94" s="18">
        <f t="shared" si="12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  <c r="AS94" s="27"/>
    </row>
    <row r="95" spans="1:45" ht="15.75" thickBot="1" x14ac:dyDescent="0.3">
      <c r="A95" s="51" t="s">
        <v>243</v>
      </c>
      <c r="B95" s="51" t="s">
        <v>247</v>
      </c>
      <c r="C95" s="51"/>
      <c r="D95" s="51" t="s">
        <v>248</v>
      </c>
      <c r="E95" s="51" t="s">
        <v>19</v>
      </c>
      <c r="F95" s="51" t="s">
        <v>36</v>
      </c>
      <c r="G95" s="51"/>
      <c r="H95" s="51" t="s">
        <v>249</v>
      </c>
      <c r="I95" s="16">
        <v>-348083930000</v>
      </c>
      <c r="J95" s="16">
        <v>-582918310000</v>
      </c>
      <c r="K95" s="51" t="s">
        <v>918</v>
      </c>
      <c r="L95" s="53">
        <f t="shared" si="13"/>
        <v>30</v>
      </c>
      <c r="M95" s="17">
        <f t="shared" si="11"/>
        <v>0</v>
      </c>
      <c r="N95" s="18">
        <f t="shared" si="12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  <c r="AS95" s="27"/>
    </row>
    <row r="96" spans="1:45" ht="15.75" thickBot="1" x14ac:dyDescent="0.3">
      <c r="A96" s="51" t="s">
        <v>243</v>
      </c>
      <c r="B96" s="51" t="s">
        <v>250</v>
      </c>
      <c r="C96" s="51" t="s">
        <v>1399</v>
      </c>
      <c r="D96" s="51" t="s">
        <v>251</v>
      </c>
      <c r="E96" s="51" t="s">
        <v>19</v>
      </c>
      <c r="F96" s="51" t="s">
        <v>36</v>
      </c>
      <c r="G96" s="51"/>
      <c r="H96" s="51" t="s">
        <v>252</v>
      </c>
      <c r="I96" s="16">
        <v>-348019100000</v>
      </c>
      <c r="J96" s="16">
        <v>-582901420000</v>
      </c>
      <c r="K96" s="51" t="s">
        <v>919</v>
      </c>
      <c r="L96" s="53">
        <f t="shared" si="13"/>
        <v>30</v>
      </c>
      <c r="M96" s="17">
        <f t="shared" si="11"/>
        <v>0</v>
      </c>
      <c r="N96" s="18">
        <f t="shared" si="12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  <c r="AS96" s="27"/>
    </row>
    <row r="97" spans="1:45" ht="15.75" thickBot="1" x14ac:dyDescent="0.3">
      <c r="A97" s="51" t="s">
        <v>256</v>
      </c>
      <c r="B97" s="51" t="s">
        <v>1253</v>
      </c>
      <c r="C97" s="51" t="s">
        <v>1400</v>
      </c>
      <c r="D97" s="51" t="s">
        <v>260</v>
      </c>
      <c r="E97" s="51" t="s">
        <v>19</v>
      </c>
      <c r="F97" s="51" t="s">
        <v>25</v>
      </c>
      <c r="G97" s="51"/>
      <c r="H97" s="51" t="s">
        <v>261</v>
      </c>
      <c r="I97" s="16">
        <v>-348376190000</v>
      </c>
      <c r="J97" s="16">
        <v>-582703080000</v>
      </c>
      <c r="K97" s="51" t="s">
        <v>922</v>
      </c>
      <c r="L97" s="53">
        <f t="shared" si="13"/>
        <v>30</v>
      </c>
      <c r="M97" s="17">
        <f t="shared" si="11"/>
        <v>0</v>
      </c>
      <c r="N97" s="18">
        <f t="shared" si="12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  <c r="AS97" s="27"/>
    </row>
    <row r="98" spans="1:45" ht="15.75" thickBot="1" x14ac:dyDescent="0.3">
      <c r="A98" s="51" t="s">
        <v>253</v>
      </c>
      <c r="B98" s="51" t="s">
        <v>254</v>
      </c>
      <c r="C98" s="51" t="s">
        <v>1400</v>
      </c>
      <c r="D98" s="51" t="s">
        <v>255</v>
      </c>
      <c r="E98" s="51" t="s">
        <v>24</v>
      </c>
      <c r="F98" s="51" t="s">
        <v>25</v>
      </c>
      <c r="G98" s="51" t="s">
        <v>146</v>
      </c>
      <c r="H98" s="51"/>
      <c r="I98" s="16">
        <v>-348419680000</v>
      </c>
      <c r="J98" s="16">
        <v>-582787590000</v>
      </c>
      <c r="K98" s="51" t="s">
        <v>920</v>
      </c>
      <c r="L98" s="53">
        <f t="shared" si="13"/>
        <v>30</v>
      </c>
      <c r="M98" s="17">
        <f t="shared" si="11"/>
        <v>0</v>
      </c>
      <c r="N98" s="18">
        <f t="shared" si="12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  <c r="AS98" s="27"/>
    </row>
    <row r="99" spans="1:45" ht="15.75" thickBot="1" x14ac:dyDescent="0.3">
      <c r="A99" s="51" t="s">
        <v>256</v>
      </c>
      <c r="B99" s="51" t="s">
        <v>257</v>
      </c>
      <c r="C99" s="51" t="s">
        <v>1400</v>
      </c>
      <c r="D99" s="51" t="s">
        <v>258</v>
      </c>
      <c r="E99" s="51" t="s">
        <v>24</v>
      </c>
      <c r="F99" s="51" t="s">
        <v>25</v>
      </c>
      <c r="G99" s="51" t="s">
        <v>259</v>
      </c>
      <c r="H99" s="51"/>
      <c r="I99" s="16">
        <v>-348439980000</v>
      </c>
      <c r="J99" s="16">
        <v>-582786670000</v>
      </c>
      <c r="K99" s="51" t="s">
        <v>921</v>
      </c>
      <c r="L99" s="53">
        <f t="shared" si="13"/>
        <v>30</v>
      </c>
      <c r="M99" s="17">
        <f t="shared" si="11"/>
        <v>0</v>
      </c>
      <c r="N99" s="18">
        <f t="shared" si="12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  <c r="AS99" s="27"/>
    </row>
    <row r="100" spans="1:45" ht="15.75" thickBot="1" x14ac:dyDescent="0.3">
      <c r="A100" s="51" t="s">
        <v>264</v>
      </c>
      <c r="B100" s="51" t="s">
        <v>1254</v>
      </c>
      <c r="C100" s="51"/>
      <c r="D100" s="51" t="s">
        <v>265</v>
      </c>
      <c r="E100" s="51" t="s">
        <v>102</v>
      </c>
      <c r="F100" s="51" t="s">
        <v>1391</v>
      </c>
      <c r="G100" s="51"/>
      <c r="H100" s="51" t="s">
        <v>266</v>
      </c>
      <c r="I100" s="16">
        <v>-347971580000</v>
      </c>
      <c r="J100" s="16">
        <v>-583070820000</v>
      </c>
      <c r="K100" s="51" t="s">
        <v>924</v>
      </c>
      <c r="L100" s="53">
        <f t="shared" si="13"/>
        <v>29</v>
      </c>
      <c r="M100" s="17">
        <f t="shared" si="11"/>
        <v>0</v>
      </c>
      <c r="N100" s="18">
        <f t="shared" si="12"/>
        <v>1</v>
      </c>
      <c r="O100" s="27"/>
      <c r="P100" s="8"/>
      <c r="Q100" s="8"/>
      <c r="R100" s="8"/>
      <c r="S100" s="27" t="s">
        <v>826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  <c r="AS100" s="27"/>
    </row>
    <row r="101" spans="1:45" ht="15.75" thickBot="1" x14ac:dyDescent="0.3">
      <c r="A101" s="51" t="s">
        <v>264</v>
      </c>
      <c r="B101" s="51" t="s">
        <v>1255</v>
      </c>
      <c r="C101" s="51"/>
      <c r="D101" s="51" t="s">
        <v>265</v>
      </c>
      <c r="E101" s="51" t="s">
        <v>102</v>
      </c>
      <c r="F101" s="51" t="s">
        <v>1391</v>
      </c>
      <c r="G101" s="51"/>
      <c r="H101" s="51" t="s">
        <v>267</v>
      </c>
      <c r="I101" s="16">
        <v>-347971580000</v>
      </c>
      <c r="J101" s="16">
        <v>-583070820000</v>
      </c>
      <c r="K101" s="51" t="s">
        <v>925</v>
      </c>
      <c r="L101" s="53">
        <f t="shared" si="13"/>
        <v>30</v>
      </c>
      <c r="M101" s="17">
        <f t="shared" si="11"/>
        <v>0</v>
      </c>
      <c r="N101" s="18">
        <f t="shared" si="12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  <c r="AS101" s="27"/>
    </row>
    <row r="102" spans="1:45" ht="15.75" thickBot="1" x14ac:dyDescent="0.3">
      <c r="A102" s="51" t="s">
        <v>264</v>
      </c>
      <c r="B102" s="51" t="s">
        <v>1256</v>
      </c>
      <c r="C102" s="51"/>
      <c r="D102" s="51" t="s">
        <v>1257</v>
      </c>
      <c r="E102" s="51" t="s">
        <v>102</v>
      </c>
      <c r="F102" s="51" t="s">
        <v>25</v>
      </c>
      <c r="G102" s="51"/>
      <c r="H102" s="51"/>
      <c r="I102" s="16">
        <v>-347949490000</v>
      </c>
      <c r="J102" s="16">
        <v>-583120180000</v>
      </c>
      <c r="K102" s="51"/>
      <c r="L102" s="53">
        <f t="shared" si="13"/>
        <v>28</v>
      </c>
      <c r="M102" s="17">
        <f t="shared" si="11"/>
        <v>2</v>
      </c>
      <c r="N102" s="18">
        <f t="shared" si="12"/>
        <v>0.93333333333333335</v>
      </c>
      <c r="O102" s="27"/>
      <c r="P102" s="8"/>
      <c r="Q102" s="8"/>
      <c r="R102" s="8" t="s">
        <v>1211</v>
      </c>
      <c r="S102" s="27"/>
      <c r="T102" s="27"/>
      <c r="U102" s="8"/>
      <c r="V102" s="8" t="s">
        <v>1211</v>
      </c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  <c r="AS102" s="27"/>
    </row>
    <row r="103" spans="1:45" ht="15.75" thickBot="1" x14ac:dyDescent="0.3">
      <c r="A103" s="51" t="s">
        <v>264</v>
      </c>
      <c r="B103" s="51" t="s">
        <v>1258</v>
      </c>
      <c r="C103" s="51"/>
      <c r="D103" s="51" t="s">
        <v>1257</v>
      </c>
      <c r="E103" s="51" t="s">
        <v>102</v>
      </c>
      <c r="F103" s="51" t="s">
        <v>25</v>
      </c>
      <c r="G103" s="51"/>
      <c r="H103" s="51"/>
      <c r="I103" s="16">
        <v>-347949410000</v>
      </c>
      <c r="J103" s="16">
        <v>-583120820000</v>
      </c>
      <c r="K103" s="51"/>
      <c r="L103" s="53">
        <f t="shared" si="13"/>
        <v>30</v>
      </c>
      <c r="M103" s="17">
        <f t="shared" si="11"/>
        <v>0</v>
      </c>
      <c r="N103" s="18">
        <f t="shared" si="12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  <c r="AS103" s="27"/>
    </row>
    <row r="104" spans="1:45" ht="15.75" thickBot="1" x14ac:dyDescent="0.3">
      <c r="A104" s="51" t="s">
        <v>264</v>
      </c>
      <c r="B104" s="51" t="s">
        <v>262</v>
      </c>
      <c r="C104" s="51"/>
      <c r="D104" s="51" t="s">
        <v>263</v>
      </c>
      <c r="E104" s="51" t="s">
        <v>24</v>
      </c>
      <c r="F104" s="51" t="s">
        <v>20</v>
      </c>
      <c r="G104" s="51" t="s">
        <v>103</v>
      </c>
      <c r="H104" s="51"/>
      <c r="I104" s="16">
        <v>-347933300000</v>
      </c>
      <c r="J104" s="16">
        <v>-583098510000</v>
      </c>
      <c r="K104" s="51" t="s">
        <v>923</v>
      </c>
      <c r="L104" s="53">
        <f t="shared" si="13"/>
        <v>29</v>
      </c>
      <c r="M104" s="17">
        <f t="shared" si="11"/>
        <v>1</v>
      </c>
      <c r="N104" s="18">
        <f t="shared" si="12"/>
        <v>0.96666666666666667</v>
      </c>
      <c r="O104" s="27"/>
      <c r="P104" s="8"/>
      <c r="Q104" s="8"/>
      <c r="R104" s="8"/>
      <c r="S104" s="27"/>
      <c r="T104" s="27"/>
      <c r="U104" s="8" t="s">
        <v>1211</v>
      </c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  <c r="AS104" s="27"/>
    </row>
    <row r="105" spans="1:45" ht="16.149999999999999" customHeight="1" thickBot="1" x14ac:dyDescent="0.3">
      <c r="A105" s="51" t="s">
        <v>268</v>
      </c>
      <c r="B105" s="51" t="s">
        <v>1259</v>
      </c>
      <c r="C105" s="51" t="s">
        <v>1400</v>
      </c>
      <c r="D105" s="51" t="s">
        <v>269</v>
      </c>
      <c r="E105" s="51" t="s">
        <v>19</v>
      </c>
      <c r="F105" s="51" t="s">
        <v>36</v>
      </c>
      <c r="G105" s="51"/>
      <c r="H105" s="51" t="s">
        <v>270</v>
      </c>
      <c r="I105" s="16">
        <v>-348640160000</v>
      </c>
      <c r="J105" s="16">
        <v>-581864200000</v>
      </c>
      <c r="K105" s="51" t="s">
        <v>926</v>
      </c>
      <c r="L105" s="53">
        <f t="shared" si="13"/>
        <v>29</v>
      </c>
      <c r="M105" s="17">
        <f t="shared" si="11"/>
        <v>1</v>
      </c>
      <c r="N105" s="18">
        <f t="shared" si="12"/>
        <v>0.96666666666666667</v>
      </c>
      <c r="O105" s="27"/>
      <c r="P105" s="8"/>
      <c r="Q105" s="8"/>
      <c r="R105" s="8"/>
      <c r="S105" s="27"/>
      <c r="T105" s="27"/>
      <c r="U105" s="8" t="s">
        <v>1211</v>
      </c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  <c r="AS105" s="27"/>
    </row>
    <row r="106" spans="1:45" ht="15.75" thickBot="1" x14ac:dyDescent="0.3">
      <c r="A106" s="51" t="s">
        <v>268</v>
      </c>
      <c r="B106" s="51" t="s">
        <v>1260</v>
      </c>
      <c r="C106" s="51" t="s">
        <v>1400</v>
      </c>
      <c r="D106" s="51" t="s">
        <v>271</v>
      </c>
      <c r="E106" s="51" t="s">
        <v>19</v>
      </c>
      <c r="F106" s="51" t="s">
        <v>36</v>
      </c>
      <c r="G106" s="51"/>
      <c r="H106" s="51" t="s">
        <v>270</v>
      </c>
      <c r="I106" s="16">
        <v>-348649110000</v>
      </c>
      <c r="J106" s="16">
        <v>-581897790000</v>
      </c>
      <c r="K106" s="51" t="s">
        <v>927</v>
      </c>
      <c r="L106" s="53">
        <f t="shared" si="13"/>
        <v>28</v>
      </c>
      <c r="M106" s="17">
        <f t="shared" si="11"/>
        <v>2</v>
      </c>
      <c r="N106" s="18">
        <f t="shared" si="12"/>
        <v>0.93333333333333335</v>
      </c>
      <c r="O106" s="27"/>
      <c r="P106" s="8"/>
      <c r="Q106" s="8"/>
      <c r="R106" s="8"/>
      <c r="S106" s="27"/>
      <c r="T106" s="27"/>
      <c r="U106" s="8" t="s">
        <v>1211</v>
      </c>
      <c r="V106" s="8" t="s">
        <v>1211</v>
      </c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  <c r="AS106" s="27"/>
    </row>
    <row r="107" spans="1:45" ht="15.75" thickBot="1" x14ac:dyDescent="0.3">
      <c r="A107" s="51" t="s">
        <v>268</v>
      </c>
      <c r="B107" s="51" t="s">
        <v>1261</v>
      </c>
      <c r="C107" s="51" t="s">
        <v>1400</v>
      </c>
      <c r="D107" s="51" t="s">
        <v>272</v>
      </c>
      <c r="E107" s="51" t="s">
        <v>24</v>
      </c>
      <c r="F107" s="51" t="s">
        <v>36</v>
      </c>
      <c r="G107" s="51"/>
      <c r="H107" s="51" t="s">
        <v>273</v>
      </c>
      <c r="I107" s="16">
        <v>-348627750000</v>
      </c>
      <c r="J107" s="16">
        <v>-581816550000</v>
      </c>
      <c r="K107" s="51" t="s">
        <v>928</v>
      </c>
      <c r="L107" s="53">
        <f t="shared" si="13"/>
        <v>28</v>
      </c>
      <c r="M107" s="17">
        <f t="shared" si="11"/>
        <v>2</v>
      </c>
      <c r="N107" s="18">
        <f t="shared" si="12"/>
        <v>0.93333333333333335</v>
      </c>
      <c r="O107" s="27"/>
      <c r="P107" s="8"/>
      <c r="Q107" s="8"/>
      <c r="R107" s="8"/>
      <c r="S107" s="27"/>
      <c r="T107" s="27"/>
      <c r="U107" s="8" t="s">
        <v>1211</v>
      </c>
      <c r="V107" s="8" t="s">
        <v>1211</v>
      </c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  <c r="AS107" s="27"/>
    </row>
    <row r="108" spans="1:45" ht="15.75" thickBot="1" x14ac:dyDescent="0.3">
      <c r="A108" s="51" t="s">
        <v>268</v>
      </c>
      <c r="B108" s="51" t="s">
        <v>1262</v>
      </c>
      <c r="C108" s="51" t="s">
        <v>1400</v>
      </c>
      <c r="D108" s="51" t="s">
        <v>274</v>
      </c>
      <c r="E108" s="51" t="s">
        <v>19</v>
      </c>
      <c r="F108" s="51" t="s">
        <v>36</v>
      </c>
      <c r="G108" s="51"/>
      <c r="H108" s="51" t="s">
        <v>275</v>
      </c>
      <c r="I108" s="16">
        <v>-348644840000</v>
      </c>
      <c r="J108" s="16">
        <v>-581880940000</v>
      </c>
      <c r="K108" s="51" t="s">
        <v>929</v>
      </c>
      <c r="L108" s="53">
        <f t="shared" si="13"/>
        <v>28</v>
      </c>
      <c r="M108" s="17">
        <f t="shared" si="11"/>
        <v>2</v>
      </c>
      <c r="N108" s="18">
        <f t="shared" si="12"/>
        <v>0.93333333333333335</v>
      </c>
      <c r="O108" s="27"/>
      <c r="P108" s="8"/>
      <c r="Q108" s="8"/>
      <c r="R108" s="8"/>
      <c r="S108" s="27"/>
      <c r="T108" s="27"/>
      <c r="U108" s="8" t="s">
        <v>1211</v>
      </c>
      <c r="V108" s="8" t="s">
        <v>1211</v>
      </c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  <c r="AS108" s="27"/>
    </row>
    <row r="109" spans="1:45" ht="15.75" thickBot="1" x14ac:dyDescent="0.3">
      <c r="A109" s="51" t="s">
        <v>276</v>
      </c>
      <c r="B109" s="51" t="s">
        <v>279</v>
      </c>
      <c r="C109" s="51"/>
      <c r="D109" s="51" t="s">
        <v>1263</v>
      </c>
      <c r="E109" s="51" t="s">
        <v>65</v>
      </c>
      <c r="F109" s="51" t="s">
        <v>25</v>
      </c>
      <c r="G109" s="51"/>
      <c r="H109" s="51" t="s">
        <v>280</v>
      </c>
      <c r="I109" s="16">
        <v>-348166000000</v>
      </c>
      <c r="J109" s="16">
        <v>-582800440000</v>
      </c>
      <c r="K109" s="51" t="s">
        <v>937</v>
      </c>
      <c r="L109" s="53">
        <f t="shared" si="13"/>
        <v>28</v>
      </c>
      <c r="M109" s="17">
        <f t="shared" si="11"/>
        <v>2</v>
      </c>
      <c r="N109" s="18">
        <f t="shared" si="12"/>
        <v>0.93333333333333335</v>
      </c>
      <c r="O109" s="27"/>
      <c r="P109" s="8"/>
      <c r="Q109" s="8"/>
      <c r="R109" s="8"/>
      <c r="S109" s="27"/>
      <c r="T109" s="27"/>
      <c r="U109" s="8" t="s">
        <v>1211</v>
      </c>
      <c r="V109" s="8" t="s">
        <v>1211</v>
      </c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  <c r="AS109" s="27"/>
    </row>
    <row r="110" spans="1:45" ht="15.75" thickBot="1" x14ac:dyDescent="0.3">
      <c r="A110" s="51" t="s">
        <v>276</v>
      </c>
      <c r="B110" s="51" t="s">
        <v>281</v>
      </c>
      <c r="C110" s="51"/>
      <c r="D110" s="51" t="s">
        <v>282</v>
      </c>
      <c r="E110" s="51" t="s">
        <v>24</v>
      </c>
      <c r="F110" s="51" t="s">
        <v>25</v>
      </c>
      <c r="G110" s="51" t="s">
        <v>103</v>
      </c>
      <c r="H110" s="51"/>
      <c r="I110" s="16">
        <v>-348120060000</v>
      </c>
      <c r="J110" s="16">
        <v>-582823850000</v>
      </c>
      <c r="K110" s="51" t="s">
        <v>930</v>
      </c>
      <c r="L110" s="53">
        <f t="shared" si="13"/>
        <v>30</v>
      </c>
      <c r="M110" s="17">
        <f t="shared" si="11"/>
        <v>0</v>
      </c>
      <c r="N110" s="18">
        <f t="shared" si="12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  <c r="AS110" s="27"/>
    </row>
    <row r="111" spans="1:45" ht="15.75" thickBot="1" x14ac:dyDescent="0.3">
      <c r="A111" s="51" t="s">
        <v>283</v>
      </c>
      <c r="B111" s="51" t="s">
        <v>284</v>
      </c>
      <c r="C111" s="51"/>
      <c r="D111" s="51" t="s">
        <v>285</v>
      </c>
      <c r="E111" s="51" t="s">
        <v>24</v>
      </c>
      <c r="F111" s="51" t="s">
        <v>1391</v>
      </c>
      <c r="G111" s="51" t="s">
        <v>136</v>
      </c>
      <c r="H111" s="51"/>
      <c r="I111" s="16">
        <v>-348125000000</v>
      </c>
      <c r="J111" s="16">
        <v>-582916650000</v>
      </c>
      <c r="K111" s="51" t="s">
        <v>931</v>
      </c>
      <c r="L111" s="53">
        <f t="shared" si="13"/>
        <v>28</v>
      </c>
      <c r="M111" s="17">
        <f t="shared" si="11"/>
        <v>2</v>
      </c>
      <c r="N111" s="18">
        <f t="shared" si="12"/>
        <v>0.93333333333333335</v>
      </c>
      <c r="O111" s="27" t="s">
        <v>1211</v>
      </c>
      <c r="P111" s="8" t="s">
        <v>1211</v>
      </c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  <c r="AS111" s="27"/>
    </row>
    <row r="112" spans="1:45" ht="15.75" thickBot="1" x14ac:dyDescent="0.3">
      <c r="A112" s="51" t="s">
        <v>286</v>
      </c>
      <c r="B112" s="51" t="s">
        <v>287</v>
      </c>
      <c r="C112" s="51" t="s">
        <v>1400</v>
      </c>
      <c r="D112" s="51" t="s">
        <v>288</v>
      </c>
      <c r="E112" s="51" t="s">
        <v>19</v>
      </c>
      <c r="F112" s="51" t="s">
        <v>1391</v>
      </c>
      <c r="G112" s="51" t="s">
        <v>289</v>
      </c>
      <c r="H112" s="51"/>
      <c r="I112" s="16">
        <v>-348215020000</v>
      </c>
      <c r="J112" s="16">
        <v>-582844880000</v>
      </c>
      <c r="K112" s="51" t="s">
        <v>932</v>
      </c>
      <c r="L112" s="53">
        <f t="shared" si="13"/>
        <v>30</v>
      </c>
      <c r="M112" s="17">
        <f t="shared" si="11"/>
        <v>0</v>
      </c>
      <c r="N112" s="18">
        <f t="shared" si="12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  <c r="AS112" s="27"/>
    </row>
    <row r="113" spans="1:45" ht="15.75" thickBot="1" x14ac:dyDescent="0.3">
      <c r="A113" s="51" t="s">
        <v>276</v>
      </c>
      <c r="B113" s="51" t="s">
        <v>290</v>
      </c>
      <c r="C113" s="51" t="s">
        <v>1400</v>
      </c>
      <c r="D113" s="51" t="s">
        <v>291</v>
      </c>
      <c r="E113" s="51" t="s">
        <v>24</v>
      </c>
      <c r="F113" s="51" t="s">
        <v>1390</v>
      </c>
      <c r="G113" s="51" t="s">
        <v>146</v>
      </c>
      <c r="H113" s="51"/>
      <c r="I113" s="16">
        <v>-348128700000</v>
      </c>
      <c r="J113" s="16">
        <v>-582840370000</v>
      </c>
      <c r="K113" s="51" t="s">
        <v>933</v>
      </c>
      <c r="L113" s="53">
        <f t="shared" si="13"/>
        <v>28</v>
      </c>
      <c r="M113" s="17">
        <f t="shared" si="11"/>
        <v>2</v>
      </c>
      <c r="N113" s="18">
        <f t="shared" si="12"/>
        <v>0.93333333333333335</v>
      </c>
      <c r="O113" s="27" t="s">
        <v>1211</v>
      </c>
      <c r="P113" s="8" t="s">
        <v>1211</v>
      </c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  <c r="AS113" s="27"/>
    </row>
    <row r="114" spans="1:45" ht="15.75" thickBot="1" x14ac:dyDescent="0.3">
      <c r="A114" s="51" t="s">
        <v>276</v>
      </c>
      <c r="B114" s="51" t="s">
        <v>292</v>
      </c>
      <c r="C114" s="51" t="s">
        <v>1400</v>
      </c>
      <c r="D114" s="51" t="s">
        <v>293</v>
      </c>
      <c r="E114" s="51" t="s">
        <v>24</v>
      </c>
      <c r="F114" s="51" t="s">
        <v>1390</v>
      </c>
      <c r="G114" s="51" t="s">
        <v>294</v>
      </c>
      <c r="H114" s="51"/>
      <c r="I114" s="16">
        <v>-348143510000</v>
      </c>
      <c r="J114" s="16">
        <v>-582840870000</v>
      </c>
      <c r="K114" s="51" t="s">
        <v>934</v>
      </c>
      <c r="L114" s="53">
        <f t="shared" si="13"/>
        <v>30</v>
      </c>
      <c r="M114" s="17">
        <f t="shared" si="11"/>
        <v>0</v>
      </c>
      <c r="N114" s="18">
        <f t="shared" si="12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  <c r="AS114" s="27"/>
    </row>
    <row r="115" spans="1:45" ht="15.75" thickBot="1" x14ac:dyDescent="0.3">
      <c r="A115" s="51" t="s">
        <v>276</v>
      </c>
      <c r="B115" s="51" t="s">
        <v>295</v>
      </c>
      <c r="C115" s="51"/>
      <c r="D115" s="51" t="s">
        <v>296</v>
      </c>
      <c r="E115" s="51" t="s">
        <v>24</v>
      </c>
      <c r="F115" s="51" t="s">
        <v>25</v>
      </c>
      <c r="G115" s="51" t="s">
        <v>297</v>
      </c>
      <c r="H115" s="51"/>
      <c r="I115" s="16">
        <v>-348122180000</v>
      </c>
      <c r="J115" s="16">
        <v>-582880340000</v>
      </c>
      <c r="K115" s="51" t="s">
        <v>935</v>
      </c>
      <c r="L115" s="53">
        <f t="shared" si="13"/>
        <v>28</v>
      </c>
      <c r="M115" s="17">
        <f t="shared" si="11"/>
        <v>2</v>
      </c>
      <c r="N115" s="18">
        <f t="shared" si="12"/>
        <v>0.93333333333333335</v>
      </c>
      <c r="O115" s="27"/>
      <c r="P115" s="8"/>
      <c r="Q115" s="8"/>
      <c r="R115" s="8"/>
      <c r="S115" s="27"/>
      <c r="T115" s="27"/>
      <c r="U115" s="8"/>
      <c r="V115" s="8"/>
      <c r="W115" s="8"/>
      <c r="X115" s="27"/>
      <c r="Y115" s="27"/>
      <c r="Z115" s="27" t="s">
        <v>1211</v>
      </c>
      <c r="AA115" s="27" t="s">
        <v>1211</v>
      </c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  <c r="AS115" s="27"/>
    </row>
    <row r="116" spans="1:45" ht="15.75" thickBot="1" x14ac:dyDescent="0.3">
      <c r="A116" s="51" t="s">
        <v>276</v>
      </c>
      <c r="B116" s="51" t="s">
        <v>1264</v>
      </c>
      <c r="C116" s="51" t="s">
        <v>1400</v>
      </c>
      <c r="D116" s="51" t="s">
        <v>277</v>
      </c>
      <c r="E116" s="51" t="s">
        <v>19</v>
      </c>
      <c r="F116" s="51" t="s">
        <v>1391</v>
      </c>
      <c r="G116" s="51"/>
      <c r="H116" s="51" t="s">
        <v>278</v>
      </c>
      <c r="I116" s="16">
        <v>-348185740000</v>
      </c>
      <c r="J116" s="16">
        <v>-582866380000</v>
      </c>
      <c r="K116" s="51" t="s">
        <v>936</v>
      </c>
      <c r="L116" s="53">
        <f t="shared" si="13"/>
        <v>30</v>
      </c>
      <c r="M116" s="17">
        <f t="shared" si="11"/>
        <v>0</v>
      </c>
      <c r="N116" s="18">
        <f t="shared" si="12"/>
        <v>1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  <c r="AS116" s="27"/>
    </row>
    <row r="117" spans="1:45" ht="15.75" thickBot="1" x14ac:dyDescent="0.3">
      <c r="A117" s="51" t="s">
        <v>276</v>
      </c>
      <c r="B117" s="51" t="s">
        <v>298</v>
      </c>
      <c r="C117" s="51"/>
      <c r="D117" s="51" t="s">
        <v>299</v>
      </c>
      <c r="E117" s="51" t="s">
        <v>102</v>
      </c>
      <c r="F117" s="51" t="s">
        <v>36</v>
      </c>
      <c r="G117" s="51"/>
      <c r="H117" s="51" t="s">
        <v>300</v>
      </c>
      <c r="I117" s="16">
        <v>-348119540000</v>
      </c>
      <c r="J117" s="16">
        <v>-582824360000</v>
      </c>
      <c r="K117" s="51" t="s">
        <v>938</v>
      </c>
      <c r="L117" s="53">
        <f t="shared" si="13"/>
        <v>30</v>
      </c>
      <c r="M117" s="17">
        <f t="shared" si="11"/>
        <v>0</v>
      </c>
      <c r="N117" s="18">
        <f t="shared" si="12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  <c r="AS117" s="27"/>
    </row>
    <row r="118" spans="1:45" ht="15.75" thickBot="1" x14ac:dyDescent="0.3">
      <c r="A118" s="51" t="s">
        <v>276</v>
      </c>
      <c r="B118" s="51" t="s">
        <v>301</v>
      </c>
      <c r="C118" s="51"/>
      <c r="D118" s="51" t="s">
        <v>299</v>
      </c>
      <c r="E118" s="51" t="s">
        <v>102</v>
      </c>
      <c r="F118" s="51" t="s">
        <v>36</v>
      </c>
      <c r="G118" s="51"/>
      <c r="H118" s="51" t="s">
        <v>302</v>
      </c>
      <c r="I118" s="16">
        <v>-348119550000</v>
      </c>
      <c r="J118" s="16">
        <v>-582824410000</v>
      </c>
      <c r="K118" s="51" t="s">
        <v>939</v>
      </c>
      <c r="L118" s="53">
        <f t="shared" si="13"/>
        <v>30</v>
      </c>
      <c r="M118" s="17">
        <f t="shared" si="11"/>
        <v>0</v>
      </c>
      <c r="N118" s="18">
        <f t="shared" si="12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  <c r="AS118" s="27"/>
    </row>
    <row r="119" spans="1:45" ht="15.75" thickBot="1" x14ac:dyDescent="0.3">
      <c r="A119" s="51" t="s">
        <v>276</v>
      </c>
      <c r="B119" s="51" t="s">
        <v>303</v>
      </c>
      <c r="C119" s="51" t="s">
        <v>1400</v>
      </c>
      <c r="D119" s="51" t="s">
        <v>304</v>
      </c>
      <c r="E119" s="51" t="s">
        <v>102</v>
      </c>
      <c r="F119" s="51" t="s">
        <v>36</v>
      </c>
      <c r="G119" s="51"/>
      <c r="H119" s="51" t="s">
        <v>230</v>
      </c>
      <c r="I119" s="16">
        <v>-348203540000</v>
      </c>
      <c r="J119" s="16">
        <v>-582852520000</v>
      </c>
      <c r="K119" s="51" t="s">
        <v>906</v>
      </c>
      <c r="L119" s="53">
        <f t="shared" si="13"/>
        <v>30</v>
      </c>
      <c r="M119" s="17">
        <f t="shared" si="11"/>
        <v>0</v>
      </c>
      <c r="N119" s="18">
        <f t="shared" si="12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  <c r="AS119" s="27"/>
    </row>
    <row r="120" spans="1:45" ht="15.75" thickBot="1" x14ac:dyDescent="0.3">
      <c r="A120" s="51" t="s">
        <v>276</v>
      </c>
      <c r="B120" s="51" t="s">
        <v>305</v>
      </c>
      <c r="C120" s="51" t="s">
        <v>1400</v>
      </c>
      <c r="D120" s="51" t="s">
        <v>304</v>
      </c>
      <c r="E120" s="51" t="s">
        <v>102</v>
      </c>
      <c r="F120" s="51" t="s">
        <v>36</v>
      </c>
      <c r="G120" s="51"/>
      <c r="H120" s="51" t="s">
        <v>230</v>
      </c>
      <c r="I120" s="16">
        <v>-348203540000</v>
      </c>
      <c r="J120" s="16">
        <v>-582852520000</v>
      </c>
      <c r="K120" s="51" t="s">
        <v>907</v>
      </c>
      <c r="L120" s="53">
        <f t="shared" si="13"/>
        <v>13</v>
      </c>
      <c r="M120" s="17">
        <f t="shared" si="11"/>
        <v>17</v>
      </c>
      <c r="N120" s="18">
        <f t="shared" si="12"/>
        <v>0.43333333333333335</v>
      </c>
      <c r="O120" s="27" t="s">
        <v>1211</v>
      </c>
      <c r="P120" s="8" t="s">
        <v>1211</v>
      </c>
      <c r="Q120" s="8" t="s">
        <v>1211</v>
      </c>
      <c r="R120" s="8" t="s">
        <v>1211</v>
      </c>
      <c r="S120" s="27" t="s">
        <v>1211</v>
      </c>
      <c r="T120" s="27"/>
      <c r="U120" s="8" t="s">
        <v>1211</v>
      </c>
      <c r="V120" s="8" t="s">
        <v>1211</v>
      </c>
      <c r="W120" s="8" t="s">
        <v>1211</v>
      </c>
      <c r="X120" s="27" t="s">
        <v>1211</v>
      </c>
      <c r="Y120" s="27" t="s">
        <v>1211</v>
      </c>
      <c r="Z120" s="27" t="s">
        <v>1211</v>
      </c>
      <c r="AA120" s="27" t="s">
        <v>1211</v>
      </c>
      <c r="AB120" s="27" t="s">
        <v>1211</v>
      </c>
      <c r="AC120" s="27" t="s">
        <v>1211</v>
      </c>
      <c r="AD120" s="27" t="s">
        <v>1211</v>
      </c>
      <c r="AE120" s="27" t="s">
        <v>1211</v>
      </c>
      <c r="AF120" s="27" t="s">
        <v>1211</v>
      </c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  <c r="AS120" s="27"/>
    </row>
    <row r="121" spans="1:45" ht="15.75" thickBot="1" x14ac:dyDescent="0.3">
      <c r="A121" s="51" t="s">
        <v>306</v>
      </c>
      <c r="B121" s="51" t="s">
        <v>1265</v>
      </c>
      <c r="C121" s="51" t="s">
        <v>1400</v>
      </c>
      <c r="D121" s="51" t="s">
        <v>307</v>
      </c>
      <c r="E121" s="51" t="s">
        <v>19</v>
      </c>
      <c r="F121" s="51" t="s">
        <v>36</v>
      </c>
      <c r="G121" s="51"/>
      <c r="H121" s="51" t="s">
        <v>270</v>
      </c>
      <c r="I121" s="16">
        <v>-348663680000</v>
      </c>
      <c r="J121" s="16">
        <v>-581917520000</v>
      </c>
      <c r="K121" s="51" t="s">
        <v>941</v>
      </c>
      <c r="L121" s="53">
        <f t="shared" si="13"/>
        <v>13</v>
      </c>
      <c r="M121" s="17">
        <f t="shared" si="11"/>
        <v>17</v>
      </c>
      <c r="N121" s="18">
        <f t="shared" si="12"/>
        <v>0.43333333333333335</v>
      </c>
      <c r="O121" s="27" t="s">
        <v>1211</v>
      </c>
      <c r="P121" s="8" t="s">
        <v>1211</v>
      </c>
      <c r="Q121" s="8" t="s">
        <v>1211</v>
      </c>
      <c r="R121" s="8" t="s">
        <v>1211</v>
      </c>
      <c r="S121" s="27" t="s">
        <v>1211</v>
      </c>
      <c r="T121" s="27"/>
      <c r="U121" s="8" t="s">
        <v>1211</v>
      </c>
      <c r="V121" s="8" t="s">
        <v>1211</v>
      </c>
      <c r="W121" s="8" t="s">
        <v>1211</v>
      </c>
      <c r="X121" s="27" t="s">
        <v>1211</v>
      </c>
      <c r="Y121" s="27" t="s">
        <v>1211</v>
      </c>
      <c r="Z121" s="27" t="s">
        <v>1211</v>
      </c>
      <c r="AA121" s="27" t="s">
        <v>1211</v>
      </c>
      <c r="AB121" s="27" t="s">
        <v>1211</v>
      </c>
      <c r="AC121" s="27" t="s">
        <v>1211</v>
      </c>
      <c r="AD121" s="27" t="s">
        <v>1211</v>
      </c>
      <c r="AE121" s="27" t="s">
        <v>1211</v>
      </c>
      <c r="AF121" s="27" t="s">
        <v>1211</v>
      </c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  <c r="AS121" s="27"/>
    </row>
    <row r="122" spans="1:45" ht="15.75" thickBot="1" x14ac:dyDescent="0.3">
      <c r="A122" s="51" t="s">
        <v>306</v>
      </c>
      <c r="B122" s="51" t="s">
        <v>1266</v>
      </c>
      <c r="C122" s="51" t="s">
        <v>1400</v>
      </c>
      <c r="D122" s="51" t="s">
        <v>308</v>
      </c>
      <c r="E122" s="51" t="s">
        <v>19</v>
      </c>
      <c r="F122" s="51" t="s">
        <v>36</v>
      </c>
      <c r="G122" s="51"/>
      <c r="H122" s="51" t="s">
        <v>270</v>
      </c>
      <c r="I122" s="16">
        <v>-348677360000</v>
      </c>
      <c r="J122" s="16">
        <v>-581899690000</v>
      </c>
      <c r="K122" s="51" t="s">
        <v>942</v>
      </c>
      <c r="L122" s="53">
        <f t="shared" si="13"/>
        <v>28</v>
      </c>
      <c r="M122" s="17">
        <f t="shared" si="11"/>
        <v>2</v>
      </c>
      <c r="N122" s="18">
        <f t="shared" si="12"/>
        <v>0.93333333333333335</v>
      </c>
      <c r="O122" s="27"/>
      <c r="P122" s="8"/>
      <c r="Q122" s="8"/>
      <c r="R122" s="8"/>
      <c r="S122" s="27"/>
      <c r="T122" s="27"/>
      <c r="U122" s="8" t="s">
        <v>1211</v>
      </c>
      <c r="V122" s="8" t="s">
        <v>1211</v>
      </c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  <c r="AS122" s="27"/>
    </row>
    <row r="123" spans="1:45" ht="15.75" thickBot="1" x14ac:dyDescent="0.3">
      <c r="A123" s="51" t="s">
        <v>309</v>
      </c>
      <c r="B123" s="51" t="s">
        <v>1267</v>
      </c>
      <c r="C123" s="51" t="s">
        <v>1400</v>
      </c>
      <c r="D123" s="51" t="s">
        <v>310</v>
      </c>
      <c r="E123" s="51"/>
      <c r="F123" s="51" t="s">
        <v>36</v>
      </c>
      <c r="G123" s="51"/>
      <c r="H123" s="51" t="s">
        <v>311</v>
      </c>
      <c r="I123" s="16">
        <v>-348252070000</v>
      </c>
      <c r="J123" s="16">
        <v>-582467880000</v>
      </c>
      <c r="K123" s="51" t="s">
        <v>943</v>
      </c>
      <c r="L123" s="53">
        <f t="shared" si="13"/>
        <v>28</v>
      </c>
      <c r="M123" s="17">
        <f t="shared" si="11"/>
        <v>2</v>
      </c>
      <c r="N123" s="18">
        <f t="shared" si="12"/>
        <v>0.93333333333333335</v>
      </c>
      <c r="O123" s="27"/>
      <c r="P123" s="8"/>
      <c r="Q123" s="8"/>
      <c r="R123" s="8"/>
      <c r="S123" s="27"/>
      <c r="T123" s="27"/>
      <c r="U123" s="8" t="s">
        <v>1211</v>
      </c>
      <c r="V123" s="8" t="s">
        <v>1211</v>
      </c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  <c r="AS123" s="27"/>
    </row>
    <row r="124" spans="1:45" ht="15.75" thickBot="1" x14ac:dyDescent="0.3">
      <c r="A124" s="51" t="s">
        <v>312</v>
      </c>
      <c r="B124" s="51" t="s">
        <v>313</v>
      </c>
      <c r="C124" s="51" t="s">
        <v>1399</v>
      </c>
      <c r="D124" s="51" t="s">
        <v>314</v>
      </c>
      <c r="E124" s="51" t="s">
        <v>19</v>
      </c>
      <c r="F124" s="51" t="s">
        <v>25</v>
      </c>
      <c r="G124" s="51"/>
      <c r="H124" s="51" t="s">
        <v>315</v>
      </c>
      <c r="I124" s="16">
        <v>-348066790000</v>
      </c>
      <c r="J124" s="16">
        <v>-583015690000</v>
      </c>
      <c r="K124" s="51" t="s">
        <v>950</v>
      </c>
      <c r="L124" s="53">
        <f t="shared" si="13"/>
        <v>30</v>
      </c>
      <c r="M124" s="17">
        <f t="shared" si="11"/>
        <v>0</v>
      </c>
      <c r="N124" s="18">
        <f t="shared" si="12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  <c r="AS124" s="27"/>
    </row>
    <row r="125" spans="1:45" ht="15.75" thickBot="1" x14ac:dyDescent="0.3">
      <c r="A125" s="51" t="s">
        <v>312</v>
      </c>
      <c r="B125" s="51" t="s">
        <v>320</v>
      </c>
      <c r="C125" s="51" t="s">
        <v>1399</v>
      </c>
      <c r="D125" s="51" t="s">
        <v>321</v>
      </c>
      <c r="E125" s="51" t="s">
        <v>19</v>
      </c>
      <c r="F125" s="51" t="s">
        <v>25</v>
      </c>
      <c r="G125" s="51"/>
      <c r="H125" s="51" t="s">
        <v>322</v>
      </c>
      <c r="I125" s="16">
        <v>-348075900000</v>
      </c>
      <c r="J125" s="16">
        <v>-582968630000</v>
      </c>
      <c r="K125" s="51" t="s">
        <v>952</v>
      </c>
      <c r="L125" s="53">
        <f t="shared" si="13"/>
        <v>30</v>
      </c>
      <c r="M125" s="17">
        <f t="shared" si="11"/>
        <v>0</v>
      </c>
      <c r="N125" s="18">
        <f t="shared" si="12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  <c r="AS125" s="27"/>
    </row>
    <row r="126" spans="1:45" ht="15.75" thickBot="1" x14ac:dyDescent="0.3">
      <c r="A126" s="51" t="s">
        <v>312</v>
      </c>
      <c r="B126" s="51" t="s">
        <v>323</v>
      </c>
      <c r="C126" s="51"/>
      <c r="D126" s="51" t="s">
        <v>324</v>
      </c>
      <c r="E126" s="51" t="s">
        <v>102</v>
      </c>
      <c r="F126" s="51" t="s">
        <v>1391</v>
      </c>
      <c r="G126" s="51"/>
      <c r="H126" s="51" t="s">
        <v>273</v>
      </c>
      <c r="I126" s="16">
        <v>-348034360000</v>
      </c>
      <c r="J126" s="16">
        <v>-583009630000</v>
      </c>
      <c r="K126" s="51" t="s">
        <v>954</v>
      </c>
      <c r="L126" s="53">
        <f t="shared" si="13"/>
        <v>30</v>
      </c>
      <c r="M126" s="17">
        <f t="shared" si="11"/>
        <v>0</v>
      </c>
      <c r="N126" s="18">
        <f t="shared" si="12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  <c r="AS126" s="27"/>
    </row>
    <row r="127" spans="1:45" ht="15.75" thickBot="1" x14ac:dyDescent="0.3">
      <c r="A127" s="51" t="s">
        <v>312</v>
      </c>
      <c r="B127" s="51" t="s">
        <v>325</v>
      </c>
      <c r="C127" s="51"/>
      <c r="D127" s="51" t="s">
        <v>324</v>
      </c>
      <c r="E127" s="51" t="s">
        <v>102</v>
      </c>
      <c r="F127" s="51" t="s">
        <v>1391</v>
      </c>
      <c r="G127" s="51"/>
      <c r="H127" s="51" t="s">
        <v>273</v>
      </c>
      <c r="I127" s="16">
        <v>-348034540000</v>
      </c>
      <c r="J127" s="16">
        <v>-583010170000</v>
      </c>
      <c r="K127" s="51" t="s">
        <v>955</v>
      </c>
      <c r="L127" s="53">
        <f t="shared" si="13"/>
        <v>30</v>
      </c>
      <c r="M127" s="17">
        <f t="shared" si="11"/>
        <v>0</v>
      </c>
      <c r="N127" s="18">
        <f t="shared" si="12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  <c r="AS127" s="27"/>
    </row>
    <row r="128" spans="1:45" ht="15.75" thickBot="1" x14ac:dyDescent="0.3">
      <c r="A128" s="51" t="s">
        <v>312</v>
      </c>
      <c r="B128" s="51" t="s">
        <v>1268</v>
      </c>
      <c r="C128" s="51"/>
      <c r="D128" s="51" t="s">
        <v>346</v>
      </c>
      <c r="E128" s="51" t="s">
        <v>102</v>
      </c>
      <c r="F128" s="51" t="s">
        <v>1391</v>
      </c>
      <c r="G128" s="51"/>
      <c r="H128" s="51" t="s">
        <v>347</v>
      </c>
      <c r="I128" s="16">
        <v>-348053300000</v>
      </c>
      <c r="J128" s="16">
        <v>-583014930000</v>
      </c>
      <c r="K128" s="51" t="s">
        <v>956</v>
      </c>
      <c r="L128" s="53">
        <f t="shared" si="13"/>
        <v>29</v>
      </c>
      <c r="M128" s="17">
        <f t="shared" si="11"/>
        <v>1</v>
      </c>
      <c r="N128" s="18">
        <f t="shared" si="12"/>
        <v>0.96666666666666667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 t="s">
        <v>1211</v>
      </c>
      <c r="AJ128" s="27"/>
      <c r="AK128" s="8"/>
      <c r="AL128" s="8"/>
      <c r="AM128" s="8"/>
      <c r="AN128" s="27"/>
      <c r="AO128" s="8"/>
      <c r="AP128" s="8"/>
      <c r="AQ128" s="27"/>
      <c r="AR128" s="27"/>
      <c r="AS128" s="27"/>
    </row>
    <row r="129" spans="1:45" ht="15.75" thickBot="1" x14ac:dyDescent="0.3">
      <c r="A129" s="51" t="s">
        <v>312</v>
      </c>
      <c r="B129" s="51" t="s">
        <v>1269</v>
      </c>
      <c r="C129" s="51"/>
      <c r="D129" s="51" t="s">
        <v>346</v>
      </c>
      <c r="E129" s="51" t="s">
        <v>102</v>
      </c>
      <c r="F129" s="51" t="s">
        <v>1391</v>
      </c>
      <c r="G129" s="51"/>
      <c r="H129" s="51" t="s">
        <v>348</v>
      </c>
      <c r="I129" s="16">
        <v>-348053300000</v>
      </c>
      <c r="J129" s="16">
        <v>-583014930000</v>
      </c>
      <c r="K129" s="51" t="s">
        <v>957</v>
      </c>
      <c r="L129" s="53">
        <f t="shared" si="13"/>
        <v>28</v>
      </c>
      <c r="M129" s="17">
        <f t="shared" si="11"/>
        <v>2</v>
      </c>
      <c r="N129" s="18">
        <f t="shared" si="12"/>
        <v>0.93333333333333335</v>
      </c>
      <c r="O129" s="27"/>
      <c r="P129" s="8"/>
      <c r="Q129" s="8"/>
      <c r="R129" s="8"/>
      <c r="S129" s="27"/>
      <c r="T129" s="27"/>
      <c r="U129" s="8" t="s">
        <v>1211</v>
      </c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 t="s">
        <v>1211</v>
      </c>
      <c r="AJ129" s="27"/>
      <c r="AK129" s="8"/>
      <c r="AL129" s="8"/>
      <c r="AM129" s="8"/>
      <c r="AN129" s="27"/>
      <c r="AO129" s="8"/>
      <c r="AP129" s="8"/>
      <c r="AQ129" s="27"/>
      <c r="AR129" s="27"/>
      <c r="AS129" s="27"/>
    </row>
    <row r="130" spans="1:45" ht="15.75" thickBot="1" x14ac:dyDescent="0.3">
      <c r="A130" s="51" t="s">
        <v>312</v>
      </c>
      <c r="B130" s="51" t="s">
        <v>1270</v>
      </c>
      <c r="C130" s="51"/>
      <c r="D130" s="51" t="s">
        <v>349</v>
      </c>
      <c r="E130" s="51" t="s">
        <v>102</v>
      </c>
      <c r="F130" s="51" t="s">
        <v>1391</v>
      </c>
      <c r="G130" s="51"/>
      <c r="H130" s="51" t="s">
        <v>350</v>
      </c>
      <c r="I130" s="16">
        <v>-348051560000</v>
      </c>
      <c r="J130" s="16">
        <v>-583023560000</v>
      </c>
      <c r="K130" s="51" t="s">
        <v>958</v>
      </c>
      <c r="L130" s="53">
        <f t="shared" si="13"/>
        <v>29</v>
      </c>
      <c r="M130" s="17">
        <f t="shared" si="11"/>
        <v>1</v>
      </c>
      <c r="N130" s="18">
        <f t="shared" si="12"/>
        <v>0.96666666666666667</v>
      </c>
      <c r="O130" s="27"/>
      <c r="P130" s="8"/>
      <c r="Q130" s="8"/>
      <c r="R130" s="8"/>
      <c r="S130" s="27"/>
      <c r="T130" s="27"/>
      <c r="U130" s="8" t="s">
        <v>1211</v>
      </c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  <c r="AS130" s="27"/>
    </row>
    <row r="131" spans="1:45" ht="15.75" thickBot="1" x14ac:dyDescent="0.3">
      <c r="A131" s="51" t="s">
        <v>312</v>
      </c>
      <c r="B131" s="51" t="s">
        <v>1271</v>
      </c>
      <c r="C131" s="51"/>
      <c r="D131" s="51" t="s">
        <v>349</v>
      </c>
      <c r="E131" s="51" t="s">
        <v>102</v>
      </c>
      <c r="F131" s="51" t="s">
        <v>1391</v>
      </c>
      <c r="G131" s="51"/>
      <c r="H131" s="51" t="s">
        <v>350</v>
      </c>
      <c r="I131" s="16">
        <v>-348051560000</v>
      </c>
      <c r="J131" s="16">
        <v>-583023560000</v>
      </c>
      <c r="K131" s="51" t="s">
        <v>959</v>
      </c>
      <c r="L131" s="53">
        <f t="shared" si="13"/>
        <v>30</v>
      </c>
      <c r="M131" s="17">
        <f t="shared" si="11"/>
        <v>0</v>
      </c>
      <c r="N131" s="18">
        <f t="shared" si="12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  <c r="AS131" s="27"/>
    </row>
    <row r="132" spans="1:45" ht="15.75" thickBot="1" x14ac:dyDescent="0.3">
      <c r="A132" s="51" t="s">
        <v>326</v>
      </c>
      <c r="B132" s="51" t="s">
        <v>327</v>
      </c>
      <c r="C132" s="51" t="s">
        <v>1399</v>
      </c>
      <c r="D132" s="51" t="s">
        <v>328</v>
      </c>
      <c r="E132" s="51" t="s">
        <v>19</v>
      </c>
      <c r="F132" s="51" t="s">
        <v>25</v>
      </c>
      <c r="G132" s="51" t="s">
        <v>329</v>
      </c>
      <c r="H132" s="51"/>
      <c r="I132" s="16">
        <v>-348074000000</v>
      </c>
      <c r="J132" s="16">
        <v>-583095340000</v>
      </c>
      <c r="K132" s="51" t="s">
        <v>944</v>
      </c>
      <c r="L132" s="53">
        <f t="shared" si="13"/>
        <v>30</v>
      </c>
      <c r="M132" s="17">
        <f t="shared" si="11"/>
        <v>0</v>
      </c>
      <c r="N132" s="18">
        <f t="shared" si="12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  <c r="AS132" s="27"/>
    </row>
    <row r="133" spans="1:45" ht="15.75" thickBot="1" x14ac:dyDescent="0.3">
      <c r="A133" s="51" t="s">
        <v>243</v>
      </c>
      <c r="B133" s="51" t="s">
        <v>330</v>
      </c>
      <c r="C133" s="51" t="s">
        <v>1399</v>
      </c>
      <c r="D133" s="51" t="s">
        <v>331</v>
      </c>
      <c r="E133" s="51" t="s">
        <v>24</v>
      </c>
      <c r="F133" s="51" t="s">
        <v>25</v>
      </c>
      <c r="G133" s="51" t="s">
        <v>332</v>
      </c>
      <c r="H133" s="51"/>
      <c r="I133" s="16">
        <v>-348084650000</v>
      </c>
      <c r="J133" s="16">
        <v>-582948520000</v>
      </c>
      <c r="K133" s="51" t="s">
        <v>945</v>
      </c>
      <c r="L133" s="53">
        <f t="shared" si="13"/>
        <v>12</v>
      </c>
      <c r="M133" s="17">
        <f t="shared" ref="M133:M196" si="14">COUNTIF(O133:AP133,"APAGADO")</f>
        <v>18</v>
      </c>
      <c r="N133" s="18">
        <f t="shared" ref="N133:N196" si="15">(L133)/(M133+L133)</f>
        <v>0.4</v>
      </c>
      <c r="O133" s="27" t="s">
        <v>1211</v>
      </c>
      <c r="P133" s="8" t="s">
        <v>1211</v>
      </c>
      <c r="Q133" s="8" t="s">
        <v>1211</v>
      </c>
      <c r="R133" s="8" t="s">
        <v>1211</v>
      </c>
      <c r="S133" s="27" t="s">
        <v>1211</v>
      </c>
      <c r="T133" s="27"/>
      <c r="U133" s="8" t="s">
        <v>1211</v>
      </c>
      <c r="V133" s="8" t="s">
        <v>1211</v>
      </c>
      <c r="W133" s="8" t="s">
        <v>1211</v>
      </c>
      <c r="X133" s="27" t="s">
        <v>1211</v>
      </c>
      <c r="Y133" s="27" t="s">
        <v>1211</v>
      </c>
      <c r="Z133" s="27" t="s">
        <v>1211</v>
      </c>
      <c r="AA133" s="27" t="s">
        <v>1211</v>
      </c>
      <c r="AB133" s="27" t="s">
        <v>1211</v>
      </c>
      <c r="AC133" s="27" t="s">
        <v>1211</v>
      </c>
      <c r="AD133" s="27" t="s">
        <v>1211</v>
      </c>
      <c r="AE133" s="27" t="s">
        <v>1211</v>
      </c>
      <c r="AF133" s="27" t="s">
        <v>1211</v>
      </c>
      <c r="AG133" s="27" t="s">
        <v>1211</v>
      </c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  <c r="AS133" s="27"/>
    </row>
    <row r="134" spans="1:45" ht="15.75" thickBot="1" x14ac:dyDescent="0.3">
      <c r="A134" s="51" t="s">
        <v>312</v>
      </c>
      <c r="B134" s="51" t="s">
        <v>333</v>
      </c>
      <c r="C134" s="51" t="s">
        <v>1399</v>
      </c>
      <c r="D134" s="51" t="s">
        <v>334</v>
      </c>
      <c r="E134" s="51" t="s">
        <v>24</v>
      </c>
      <c r="F134" s="51" t="s">
        <v>25</v>
      </c>
      <c r="G134" s="51" t="s">
        <v>335</v>
      </c>
      <c r="H134" s="51"/>
      <c r="I134" s="16">
        <v>-348022280000</v>
      </c>
      <c r="J134" s="16">
        <v>-583005700000</v>
      </c>
      <c r="K134" s="51" t="s">
        <v>946</v>
      </c>
      <c r="L134" s="53">
        <f t="shared" ref="L134:L197" si="16">COUNTIF(O134:AR134,"")</f>
        <v>29</v>
      </c>
      <c r="M134" s="17">
        <f t="shared" si="14"/>
        <v>1</v>
      </c>
      <c r="N134" s="18">
        <f t="shared" si="15"/>
        <v>0.96666666666666667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 t="s">
        <v>1211</v>
      </c>
      <c r="AJ134" s="27"/>
      <c r="AK134" s="8"/>
      <c r="AL134" s="8"/>
      <c r="AM134" s="8"/>
      <c r="AN134" s="27"/>
      <c r="AO134" s="8"/>
      <c r="AP134" s="8"/>
      <c r="AQ134" s="27"/>
      <c r="AR134" s="27"/>
      <c r="AS134" s="27"/>
    </row>
    <row r="135" spans="1:45" ht="15.75" thickBot="1" x14ac:dyDescent="0.3">
      <c r="A135" s="51" t="s">
        <v>312</v>
      </c>
      <c r="B135" s="51" t="s">
        <v>336</v>
      </c>
      <c r="C135" s="51"/>
      <c r="D135" s="51" t="s">
        <v>337</v>
      </c>
      <c r="E135" s="51" t="s">
        <v>24</v>
      </c>
      <c r="F135" s="51" t="s">
        <v>25</v>
      </c>
      <c r="G135" s="51" t="s">
        <v>338</v>
      </c>
      <c r="H135" s="51"/>
      <c r="I135" s="16">
        <v>-348079900000</v>
      </c>
      <c r="J135" s="16">
        <v>-583023830000</v>
      </c>
      <c r="K135" s="51" t="s">
        <v>947</v>
      </c>
      <c r="L135" s="53">
        <f t="shared" si="16"/>
        <v>30</v>
      </c>
      <c r="M135" s="17">
        <f t="shared" si="14"/>
        <v>0</v>
      </c>
      <c r="N135" s="18">
        <f t="shared" si="15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  <c r="AS135" s="27"/>
    </row>
    <row r="136" spans="1:45" ht="15.75" thickBot="1" x14ac:dyDescent="0.3">
      <c r="A136" s="51" t="s">
        <v>312</v>
      </c>
      <c r="B136" s="51" t="s">
        <v>339</v>
      </c>
      <c r="C136" s="51" t="s">
        <v>1399</v>
      </c>
      <c r="D136" s="51" t="s">
        <v>340</v>
      </c>
      <c r="E136" s="51" t="s">
        <v>24</v>
      </c>
      <c r="F136" s="51" t="s">
        <v>25</v>
      </c>
      <c r="G136" s="51" t="s">
        <v>329</v>
      </c>
      <c r="H136" s="51"/>
      <c r="I136" s="16">
        <v>-348085620000</v>
      </c>
      <c r="J136" s="16">
        <v>-582997660000</v>
      </c>
      <c r="K136" s="51" t="s">
        <v>948</v>
      </c>
      <c r="L136" s="53">
        <f t="shared" si="16"/>
        <v>25</v>
      </c>
      <c r="M136" s="17">
        <f t="shared" si="14"/>
        <v>5</v>
      </c>
      <c r="N136" s="18">
        <f t="shared" si="15"/>
        <v>0.83333333333333337</v>
      </c>
      <c r="O136" s="27" t="s">
        <v>1211</v>
      </c>
      <c r="P136" s="8" t="s">
        <v>1211</v>
      </c>
      <c r="Q136" s="8" t="s">
        <v>1211</v>
      </c>
      <c r="R136" s="8" t="s">
        <v>1211</v>
      </c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 t="s">
        <v>1211</v>
      </c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  <c r="AS136" s="27"/>
    </row>
    <row r="137" spans="1:45" ht="15.75" thickBot="1" x14ac:dyDescent="0.3">
      <c r="A137" s="51" t="s">
        <v>312</v>
      </c>
      <c r="B137" s="51" t="s">
        <v>341</v>
      </c>
      <c r="C137" s="51" t="s">
        <v>1399</v>
      </c>
      <c r="D137" s="51" t="s">
        <v>342</v>
      </c>
      <c r="E137" s="51" t="s">
        <v>19</v>
      </c>
      <c r="F137" s="51" t="s">
        <v>25</v>
      </c>
      <c r="G137" s="51" t="s">
        <v>343</v>
      </c>
      <c r="H137" s="51"/>
      <c r="I137" s="16">
        <v>-348070910000</v>
      </c>
      <c r="J137" s="16">
        <v>-583063750000</v>
      </c>
      <c r="K137" s="51" t="s">
        <v>949</v>
      </c>
      <c r="L137" s="53">
        <f t="shared" si="16"/>
        <v>30</v>
      </c>
      <c r="M137" s="17">
        <f t="shared" si="14"/>
        <v>0</v>
      </c>
      <c r="N137" s="18">
        <f t="shared" si="15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  <c r="AS137" s="27"/>
    </row>
    <row r="138" spans="1:45" ht="15.75" thickBot="1" x14ac:dyDescent="0.3">
      <c r="A138" s="51" t="s">
        <v>312</v>
      </c>
      <c r="B138" s="51" t="s">
        <v>1272</v>
      </c>
      <c r="C138" s="51" t="s">
        <v>1399</v>
      </c>
      <c r="D138" s="51" t="s">
        <v>316</v>
      </c>
      <c r="E138" s="51" t="s">
        <v>19</v>
      </c>
      <c r="F138" s="51" t="s">
        <v>25</v>
      </c>
      <c r="G138" s="51"/>
      <c r="H138" s="51" t="s">
        <v>317</v>
      </c>
      <c r="I138" s="16">
        <v>-348074220000</v>
      </c>
      <c r="J138" s="16">
        <v>-582975280000</v>
      </c>
      <c r="K138" s="51" t="s">
        <v>951</v>
      </c>
      <c r="L138" s="53">
        <f t="shared" si="16"/>
        <v>26</v>
      </c>
      <c r="M138" s="17">
        <f t="shared" si="14"/>
        <v>4</v>
      </c>
      <c r="N138" s="18">
        <f t="shared" si="15"/>
        <v>0.8666666666666667</v>
      </c>
      <c r="O138" s="27"/>
      <c r="P138" s="8"/>
      <c r="Q138" s="8"/>
      <c r="R138" s="8"/>
      <c r="S138" s="27"/>
      <c r="T138" s="27"/>
      <c r="U138" s="8" t="s">
        <v>1211</v>
      </c>
      <c r="V138" s="8"/>
      <c r="W138" s="8"/>
      <c r="X138" s="27"/>
      <c r="Y138" s="27"/>
      <c r="Z138" s="27"/>
      <c r="AA138" s="27"/>
      <c r="AB138" s="27"/>
      <c r="AC138" s="27"/>
      <c r="AD138" s="27"/>
      <c r="AE138" s="27" t="s">
        <v>1211</v>
      </c>
      <c r="AF138" s="27" t="s">
        <v>1211</v>
      </c>
      <c r="AG138" s="27" t="s">
        <v>1211</v>
      </c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  <c r="AS138" s="27"/>
    </row>
    <row r="139" spans="1:45" ht="15.75" thickBot="1" x14ac:dyDescent="0.3">
      <c r="A139" s="51" t="s">
        <v>312</v>
      </c>
      <c r="B139" s="51" t="s">
        <v>1273</v>
      </c>
      <c r="C139" s="51" t="s">
        <v>1399</v>
      </c>
      <c r="D139" s="51" t="s">
        <v>318</v>
      </c>
      <c r="E139" s="51" t="s">
        <v>19</v>
      </c>
      <c r="F139" s="51" t="s">
        <v>25</v>
      </c>
      <c r="G139" s="51"/>
      <c r="H139" s="51" t="s">
        <v>319</v>
      </c>
      <c r="I139" s="16">
        <v>-348076100000</v>
      </c>
      <c r="J139" s="16">
        <v>-582957320000</v>
      </c>
      <c r="K139" s="51" t="s">
        <v>938</v>
      </c>
      <c r="L139" s="53">
        <f t="shared" si="16"/>
        <v>26</v>
      </c>
      <c r="M139" s="17">
        <f t="shared" si="14"/>
        <v>4</v>
      </c>
      <c r="N139" s="18">
        <f t="shared" si="15"/>
        <v>0.8666666666666667</v>
      </c>
      <c r="O139" s="27"/>
      <c r="P139" s="8"/>
      <c r="Q139" s="8"/>
      <c r="R139" s="8"/>
      <c r="S139" s="27"/>
      <c r="T139" s="27"/>
      <c r="U139" s="8" t="s">
        <v>1211</v>
      </c>
      <c r="V139" s="8"/>
      <c r="W139" s="8"/>
      <c r="X139" s="27"/>
      <c r="Y139" s="27"/>
      <c r="Z139" s="27"/>
      <c r="AA139" s="27"/>
      <c r="AB139" s="27"/>
      <c r="AC139" s="27"/>
      <c r="AD139" s="27"/>
      <c r="AE139" s="27" t="s">
        <v>1211</v>
      </c>
      <c r="AF139" s="27" t="s">
        <v>1211</v>
      </c>
      <c r="AG139" s="27" t="s">
        <v>1211</v>
      </c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  <c r="AS139" s="27"/>
    </row>
    <row r="140" spans="1:45" ht="15.75" thickBot="1" x14ac:dyDescent="0.3">
      <c r="A140" s="51" t="s">
        <v>312</v>
      </c>
      <c r="B140" s="51" t="s">
        <v>344</v>
      </c>
      <c r="C140" s="51" t="s">
        <v>1399</v>
      </c>
      <c r="D140" s="51" t="s">
        <v>345</v>
      </c>
      <c r="E140" s="51" t="s">
        <v>19</v>
      </c>
      <c r="F140" s="51" t="s">
        <v>36</v>
      </c>
      <c r="G140" s="51"/>
      <c r="H140" s="51" t="s">
        <v>249</v>
      </c>
      <c r="I140" s="16">
        <v>-348083080000</v>
      </c>
      <c r="J140" s="16">
        <v>-582951030000</v>
      </c>
      <c r="K140" s="51" t="s">
        <v>953</v>
      </c>
      <c r="L140" s="53">
        <f t="shared" si="16"/>
        <v>29</v>
      </c>
      <c r="M140" s="17">
        <f t="shared" si="14"/>
        <v>1</v>
      </c>
      <c r="N140" s="18">
        <f t="shared" si="15"/>
        <v>0.96666666666666667</v>
      </c>
      <c r="O140" s="27"/>
      <c r="P140" s="8"/>
      <c r="Q140" s="8"/>
      <c r="R140" s="8"/>
      <c r="S140" s="27"/>
      <c r="T140" s="27"/>
      <c r="U140" s="8" t="s">
        <v>1211</v>
      </c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  <c r="AS140" s="27"/>
    </row>
    <row r="141" spans="1:45" ht="15.75" thickBot="1" x14ac:dyDescent="0.3">
      <c r="A141" s="51" t="s">
        <v>152</v>
      </c>
      <c r="B141" s="51" t="s">
        <v>351</v>
      </c>
      <c r="C141" s="51" t="s">
        <v>1399</v>
      </c>
      <c r="D141" s="51" t="s">
        <v>352</v>
      </c>
      <c r="E141" s="51" t="s">
        <v>19</v>
      </c>
      <c r="F141" s="51" t="s">
        <v>1391</v>
      </c>
      <c r="G141" s="51"/>
      <c r="H141" s="51" t="s">
        <v>353</v>
      </c>
      <c r="I141" s="16">
        <v>-347976230000</v>
      </c>
      <c r="J141" s="16">
        <v>-582821290000</v>
      </c>
      <c r="K141" s="51" t="s">
        <v>960</v>
      </c>
      <c r="L141" s="53">
        <f t="shared" si="16"/>
        <v>29</v>
      </c>
      <c r="M141" s="17">
        <f t="shared" si="14"/>
        <v>1</v>
      </c>
      <c r="N141" s="18">
        <f t="shared" si="15"/>
        <v>0.96666666666666667</v>
      </c>
      <c r="O141" s="27"/>
      <c r="P141" s="8"/>
      <c r="Q141" s="8"/>
      <c r="R141" s="8"/>
      <c r="S141" s="27"/>
      <c r="T141" s="27"/>
      <c r="U141" s="8" t="s">
        <v>1211</v>
      </c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  <c r="AS141" s="27"/>
    </row>
    <row r="142" spans="1:45" ht="15.75" thickBot="1" x14ac:dyDescent="0.3">
      <c r="A142" s="51" t="s">
        <v>152</v>
      </c>
      <c r="B142" s="51" t="s">
        <v>354</v>
      </c>
      <c r="C142" s="51" t="s">
        <v>1399</v>
      </c>
      <c r="D142" s="51" t="s">
        <v>355</v>
      </c>
      <c r="E142" s="51" t="s">
        <v>19</v>
      </c>
      <c r="F142" s="51" t="s">
        <v>1391</v>
      </c>
      <c r="G142" s="51"/>
      <c r="H142" s="51" t="s">
        <v>353</v>
      </c>
      <c r="I142" s="16">
        <v>-347960180000</v>
      </c>
      <c r="J142" s="16">
        <v>-582861620000</v>
      </c>
      <c r="K142" s="51" t="s">
        <v>961</v>
      </c>
      <c r="L142" s="53">
        <f t="shared" si="16"/>
        <v>30</v>
      </c>
      <c r="M142" s="17">
        <f t="shared" si="14"/>
        <v>0</v>
      </c>
      <c r="N142" s="18">
        <f t="shared" si="15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  <c r="AS142" s="27"/>
    </row>
    <row r="143" spans="1:45" ht="15.75" thickBot="1" x14ac:dyDescent="0.3">
      <c r="A143" s="51" t="s">
        <v>152</v>
      </c>
      <c r="B143" s="51" t="s">
        <v>356</v>
      </c>
      <c r="C143" s="51" t="s">
        <v>1399</v>
      </c>
      <c r="D143" s="51" t="s">
        <v>357</v>
      </c>
      <c r="E143" s="51" t="s">
        <v>19</v>
      </c>
      <c r="F143" s="51" t="s">
        <v>1391</v>
      </c>
      <c r="G143" s="51"/>
      <c r="H143" s="51" t="s">
        <v>353</v>
      </c>
      <c r="I143" s="16">
        <v>-347947670000</v>
      </c>
      <c r="J143" s="16">
        <v>-582871810000</v>
      </c>
      <c r="K143" s="51" t="s">
        <v>962</v>
      </c>
      <c r="L143" s="53">
        <f t="shared" si="16"/>
        <v>28</v>
      </c>
      <c r="M143" s="17">
        <f t="shared" si="14"/>
        <v>2</v>
      </c>
      <c r="N143" s="18">
        <f t="shared" si="15"/>
        <v>0.93333333333333335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 t="s">
        <v>1211</v>
      </c>
      <c r="AC143" s="27" t="s">
        <v>1211</v>
      </c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  <c r="AS143" s="27"/>
    </row>
    <row r="144" spans="1:45" ht="15.75" thickBot="1" x14ac:dyDescent="0.3">
      <c r="A144" s="51" t="s">
        <v>243</v>
      </c>
      <c r="B144" s="51" t="s">
        <v>1274</v>
      </c>
      <c r="C144" s="51" t="s">
        <v>1399</v>
      </c>
      <c r="D144" s="51" t="s">
        <v>1275</v>
      </c>
      <c r="E144" s="51" t="s">
        <v>24</v>
      </c>
      <c r="F144" s="51" t="s">
        <v>25</v>
      </c>
      <c r="G144" s="51" t="s">
        <v>332</v>
      </c>
      <c r="H144" s="51"/>
      <c r="I144" s="16">
        <v>-348070980000</v>
      </c>
      <c r="J144" s="16">
        <v>-582892260000</v>
      </c>
      <c r="K144" s="51" t="s">
        <v>963</v>
      </c>
      <c r="L144" s="53">
        <f t="shared" si="16"/>
        <v>30</v>
      </c>
      <c r="M144" s="17">
        <f t="shared" si="14"/>
        <v>0</v>
      </c>
      <c r="N144" s="18">
        <f t="shared" si="15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  <c r="AS144" s="27"/>
    </row>
    <row r="145" spans="1:45" ht="15.75" thickBot="1" x14ac:dyDescent="0.3">
      <c r="A145" s="51" t="s">
        <v>243</v>
      </c>
      <c r="B145" s="51" t="s">
        <v>358</v>
      </c>
      <c r="C145" s="51"/>
      <c r="D145" s="51" t="s">
        <v>359</v>
      </c>
      <c r="E145" s="51" t="s">
        <v>24</v>
      </c>
      <c r="F145" s="51" t="s">
        <v>25</v>
      </c>
      <c r="G145" s="51" t="s">
        <v>360</v>
      </c>
      <c r="H145" s="51" t="s">
        <v>361</v>
      </c>
      <c r="I145" s="16">
        <v>-348065100000</v>
      </c>
      <c r="J145" s="16">
        <v>-582865850000</v>
      </c>
      <c r="K145" s="51" t="s">
        <v>964</v>
      </c>
      <c r="L145" s="53">
        <f t="shared" si="16"/>
        <v>29</v>
      </c>
      <c r="M145" s="17">
        <f t="shared" si="14"/>
        <v>1</v>
      </c>
      <c r="N145" s="18">
        <f t="shared" si="15"/>
        <v>0.96666666666666667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 t="s">
        <v>1211</v>
      </c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  <c r="AS145" s="27"/>
    </row>
    <row r="146" spans="1:45" ht="15.75" thickBot="1" x14ac:dyDescent="0.3">
      <c r="A146" s="51" t="s">
        <v>362</v>
      </c>
      <c r="B146" s="51" t="s">
        <v>363</v>
      </c>
      <c r="C146" s="51" t="s">
        <v>1399</v>
      </c>
      <c r="D146" s="51" t="s">
        <v>364</v>
      </c>
      <c r="E146" s="51" t="s">
        <v>102</v>
      </c>
      <c r="F146" s="51" t="s">
        <v>36</v>
      </c>
      <c r="G146" s="51"/>
      <c r="H146" s="51" t="s">
        <v>230</v>
      </c>
      <c r="I146" s="16">
        <v>-348071440000</v>
      </c>
      <c r="J146" s="16">
        <v>-582892140000</v>
      </c>
      <c r="K146" s="51" t="s">
        <v>965</v>
      </c>
      <c r="L146" s="53">
        <f t="shared" si="16"/>
        <v>30</v>
      </c>
      <c r="M146" s="17">
        <f t="shared" si="14"/>
        <v>0</v>
      </c>
      <c r="N146" s="18">
        <f t="shared" si="15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  <c r="AS146" s="27"/>
    </row>
    <row r="147" spans="1:45" ht="15.75" thickBot="1" x14ac:dyDescent="0.3">
      <c r="A147" s="51" t="s">
        <v>362</v>
      </c>
      <c r="B147" s="51" t="s">
        <v>365</v>
      </c>
      <c r="C147" s="51" t="s">
        <v>1399</v>
      </c>
      <c r="D147" s="51" t="s">
        <v>364</v>
      </c>
      <c r="E147" s="51" t="s">
        <v>65</v>
      </c>
      <c r="F147" s="51" t="s">
        <v>36</v>
      </c>
      <c r="G147" s="51"/>
      <c r="H147" s="51" t="s">
        <v>207</v>
      </c>
      <c r="I147" s="16">
        <v>-348070260000</v>
      </c>
      <c r="J147" s="16">
        <v>-582887990000</v>
      </c>
      <c r="K147" s="51" t="s">
        <v>940</v>
      </c>
      <c r="L147" s="53">
        <f t="shared" si="16"/>
        <v>29</v>
      </c>
      <c r="M147" s="17">
        <f t="shared" si="14"/>
        <v>1</v>
      </c>
      <c r="N147" s="18">
        <f t="shared" si="15"/>
        <v>0.96666666666666667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 t="s">
        <v>1211</v>
      </c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  <c r="AS147" s="27"/>
    </row>
    <row r="148" spans="1:45" ht="15.75" thickBot="1" x14ac:dyDescent="0.3">
      <c r="A148" s="51" t="s">
        <v>366</v>
      </c>
      <c r="B148" s="51" t="s">
        <v>1276</v>
      </c>
      <c r="C148" s="51" t="s">
        <v>1400</v>
      </c>
      <c r="D148" s="51" t="s">
        <v>367</v>
      </c>
      <c r="E148" s="51" t="s">
        <v>19</v>
      </c>
      <c r="F148" s="51" t="s">
        <v>1390</v>
      </c>
      <c r="G148" s="51"/>
      <c r="H148" s="51" t="s">
        <v>230</v>
      </c>
      <c r="I148" s="16">
        <v>-348519500000</v>
      </c>
      <c r="J148" s="16">
        <v>-582783830000</v>
      </c>
      <c r="K148" s="51" t="s">
        <v>966</v>
      </c>
      <c r="L148" s="53">
        <f t="shared" si="16"/>
        <v>29</v>
      </c>
      <c r="M148" s="17">
        <f t="shared" si="14"/>
        <v>1</v>
      </c>
      <c r="N148" s="18">
        <f t="shared" si="15"/>
        <v>0.96666666666666667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 t="s">
        <v>1211</v>
      </c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  <c r="AS148" s="27"/>
    </row>
    <row r="149" spans="1:45" ht="15.75" thickBot="1" x14ac:dyDescent="0.3">
      <c r="A149" s="51" t="s">
        <v>366</v>
      </c>
      <c r="B149" s="51" t="s">
        <v>368</v>
      </c>
      <c r="C149" s="51"/>
      <c r="D149" s="51" t="s">
        <v>369</v>
      </c>
      <c r="E149" s="51" t="s">
        <v>102</v>
      </c>
      <c r="F149" s="51" t="s">
        <v>36</v>
      </c>
      <c r="G149" s="51"/>
      <c r="H149" s="51" t="s">
        <v>302</v>
      </c>
      <c r="I149" s="16">
        <v>-348525210000</v>
      </c>
      <c r="J149" s="16">
        <v>-582783180000</v>
      </c>
      <c r="K149" s="51" t="s">
        <v>967</v>
      </c>
      <c r="L149" s="53">
        <f t="shared" si="16"/>
        <v>30</v>
      </c>
      <c r="M149" s="17">
        <f t="shared" si="14"/>
        <v>0</v>
      </c>
      <c r="N149" s="18">
        <f t="shared" si="15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  <c r="AS149" s="27"/>
    </row>
    <row r="150" spans="1:45" ht="15.75" thickBot="1" x14ac:dyDescent="0.3">
      <c r="A150" s="51" t="s">
        <v>366</v>
      </c>
      <c r="B150" s="51" t="s">
        <v>370</v>
      </c>
      <c r="C150" s="51" t="s">
        <v>1400</v>
      </c>
      <c r="D150" s="51" t="s">
        <v>369</v>
      </c>
      <c r="E150" s="51" t="s">
        <v>102</v>
      </c>
      <c r="F150" s="51" t="s">
        <v>36</v>
      </c>
      <c r="G150" s="51"/>
      <c r="H150" s="51" t="s">
        <v>302</v>
      </c>
      <c r="I150" s="16">
        <v>-348525370000</v>
      </c>
      <c r="J150" s="16">
        <v>-582783380000</v>
      </c>
      <c r="K150" s="51" t="s">
        <v>968</v>
      </c>
      <c r="L150" s="53">
        <f t="shared" si="16"/>
        <v>30</v>
      </c>
      <c r="M150" s="17">
        <f t="shared" si="14"/>
        <v>0</v>
      </c>
      <c r="N150" s="18">
        <f t="shared" si="15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  <c r="AS150" s="27"/>
    </row>
    <row r="151" spans="1:45" ht="15.75" thickBot="1" x14ac:dyDescent="0.3">
      <c r="A151" s="51" t="s">
        <v>377</v>
      </c>
      <c r="B151" s="51" t="s">
        <v>1277</v>
      </c>
      <c r="C151" s="51" t="s">
        <v>1399</v>
      </c>
      <c r="D151" s="51" t="s">
        <v>383</v>
      </c>
      <c r="E151" s="51" t="s">
        <v>102</v>
      </c>
      <c r="F151" s="51" t="s">
        <v>36</v>
      </c>
      <c r="G151" s="51" t="s">
        <v>113</v>
      </c>
      <c r="H151" s="51"/>
      <c r="I151" s="16">
        <v>-347779450000</v>
      </c>
      <c r="J151" s="16">
        <v>-582643280000</v>
      </c>
      <c r="K151" s="51" t="s">
        <v>973</v>
      </c>
      <c r="L151" s="53">
        <f t="shared" si="16"/>
        <v>30</v>
      </c>
      <c r="M151" s="17">
        <f t="shared" si="14"/>
        <v>0</v>
      </c>
      <c r="N151" s="18">
        <f t="shared" si="15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  <c r="AS151" s="27"/>
    </row>
    <row r="152" spans="1:45" ht="15.75" thickBot="1" x14ac:dyDescent="0.3">
      <c r="A152" s="51" t="s">
        <v>377</v>
      </c>
      <c r="B152" s="51" t="s">
        <v>1278</v>
      </c>
      <c r="C152" s="51" t="s">
        <v>1399</v>
      </c>
      <c r="D152" s="51" t="s">
        <v>1279</v>
      </c>
      <c r="E152" s="51" t="s">
        <v>24</v>
      </c>
      <c r="F152" s="51" t="s">
        <v>36</v>
      </c>
      <c r="G152" s="51" t="s">
        <v>170</v>
      </c>
      <c r="H152" s="51"/>
      <c r="I152" s="16">
        <v>-347811260000</v>
      </c>
      <c r="J152" s="16">
        <v>-582702510000</v>
      </c>
      <c r="K152" s="51" t="s">
        <v>977</v>
      </c>
      <c r="L152" s="53">
        <f t="shared" si="16"/>
        <v>22</v>
      </c>
      <c r="M152" s="17">
        <f t="shared" si="14"/>
        <v>8</v>
      </c>
      <c r="N152" s="18">
        <f t="shared" si="15"/>
        <v>0.73333333333333328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 t="s">
        <v>1211</v>
      </c>
      <c r="AA152" s="27" t="s">
        <v>1211</v>
      </c>
      <c r="AB152" s="27" t="s">
        <v>1211</v>
      </c>
      <c r="AC152" s="27" t="s">
        <v>1211</v>
      </c>
      <c r="AD152" s="27" t="s">
        <v>1211</v>
      </c>
      <c r="AE152" s="27" t="s">
        <v>1211</v>
      </c>
      <c r="AF152" s="27" t="s">
        <v>1211</v>
      </c>
      <c r="AG152" s="27" t="s">
        <v>1211</v>
      </c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  <c r="AS152" s="27"/>
    </row>
    <row r="153" spans="1:45" ht="15.75" thickBot="1" x14ac:dyDescent="0.3">
      <c r="A153" s="51" t="s">
        <v>377</v>
      </c>
      <c r="B153" s="51" t="s">
        <v>1280</v>
      </c>
      <c r="C153" s="51" t="s">
        <v>1399</v>
      </c>
      <c r="D153" s="51" t="s">
        <v>391</v>
      </c>
      <c r="E153" s="51" t="s">
        <v>24</v>
      </c>
      <c r="F153" s="51" t="s">
        <v>36</v>
      </c>
      <c r="G153" s="51" t="s">
        <v>170</v>
      </c>
      <c r="H153" s="51"/>
      <c r="I153" s="16">
        <v>-347801920000</v>
      </c>
      <c r="J153" s="16">
        <v>-582637810000</v>
      </c>
      <c r="K153" s="51" t="s">
        <v>978</v>
      </c>
      <c r="L153" s="53">
        <f t="shared" si="16"/>
        <v>30</v>
      </c>
      <c r="M153" s="17">
        <f t="shared" si="14"/>
        <v>0</v>
      </c>
      <c r="N153" s="18">
        <f t="shared" si="15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  <c r="AS153" s="27"/>
    </row>
    <row r="154" spans="1:45" ht="15.75" thickBot="1" x14ac:dyDescent="0.3">
      <c r="A154" s="51" t="s">
        <v>377</v>
      </c>
      <c r="B154" s="51" t="s">
        <v>1281</v>
      </c>
      <c r="C154" s="51" t="s">
        <v>1399</v>
      </c>
      <c r="D154" s="51" t="s">
        <v>395</v>
      </c>
      <c r="E154" s="51" t="s">
        <v>102</v>
      </c>
      <c r="F154" s="51" t="s">
        <v>36</v>
      </c>
      <c r="G154" s="51"/>
      <c r="H154" s="51" t="s">
        <v>396</v>
      </c>
      <c r="I154" s="16">
        <v>-347808370000</v>
      </c>
      <c r="J154" s="16">
        <v>-582696060000</v>
      </c>
      <c r="K154" s="51" t="s">
        <v>980</v>
      </c>
      <c r="L154" s="53">
        <f t="shared" si="16"/>
        <v>30</v>
      </c>
      <c r="M154" s="17">
        <f t="shared" si="14"/>
        <v>0</v>
      </c>
      <c r="N154" s="18">
        <f t="shared" si="15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  <c r="AS154" s="27"/>
    </row>
    <row r="155" spans="1:45" ht="15.75" thickBot="1" x14ac:dyDescent="0.3">
      <c r="A155" s="51" t="s">
        <v>377</v>
      </c>
      <c r="B155" s="51" t="s">
        <v>1282</v>
      </c>
      <c r="C155" s="51" t="s">
        <v>1399</v>
      </c>
      <c r="D155" s="51" t="s">
        <v>395</v>
      </c>
      <c r="E155" s="51" t="s">
        <v>102</v>
      </c>
      <c r="F155" s="51" t="s">
        <v>36</v>
      </c>
      <c r="G155" s="51"/>
      <c r="H155" s="51" t="s">
        <v>396</v>
      </c>
      <c r="I155" s="16">
        <v>-347808450000</v>
      </c>
      <c r="J155" s="16">
        <v>-582696230000</v>
      </c>
      <c r="K155" s="51" t="s">
        <v>981</v>
      </c>
      <c r="L155" s="53">
        <f t="shared" si="16"/>
        <v>30</v>
      </c>
      <c r="M155" s="17">
        <f t="shared" si="14"/>
        <v>0</v>
      </c>
      <c r="N155" s="18">
        <f t="shared" si="15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  <c r="AS155" s="27"/>
    </row>
    <row r="156" spans="1:45" ht="15.75" thickBot="1" x14ac:dyDescent="0.3">
      <c r="A156" s="51" t="s">
        <v>377</v>
      </c>
      <c r="B156" s="51" t="s">
        <v>1283</v>
      </c>
      <c r="C156" s="51" t="s">
        <v>1399</v>
      </c>
      <c r="D156" s="51" t="s">
        <v>372</v>
      </c>
      <c r="E156" s="51" t="s">
        <v>65</v>
      </c>
      <c r="F156" s="51" t="s">
        <v>1390</v>
      </c>
      <c r="G156" s="51" t="s">
        <v>170</v>
      </c>
      <c r="H156" s="51" t="s">
        <v>373</v>
      </c>
      <c r="I156" s="16">
        <v>-347838400000</v>
      </c>
      <c r="J156" s="16">
        <v>-582682780000</v>
      </c>
      <c r="K156" s="51" t="s">
        <v>969</v>
      </c>
      <c r="L156" s="53">
        <f t="shared" si="16"/>
        <v>30</v>
      </c>
      <c r="M156" s="17">
        <f t="shared" si="14"/>
        <v>0</v>
      </c>
      <c r="N156" s="18">
        <f t="shared" si="15"/>
        <v>1</v>
      </c>
      <c r="O156" s="27"/>
      <c r="P156" s="8"/>
      <c r="Q156" s="8"/>
      <c r="R156" s="8"/>
      <c r="S156" s="27"/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  <c r="AS156" s="27"/>
    </row>
    <row r="157" spans="1:45" ht="15.75" thickBot="1" x14ac:dyDescent="0.3">
      <c r="A157" s="51" t="s">
        <v>374</v>
      </c>
      <c r="B157" s="51" t="s">
        <v>375</v>
      </c>
      <c r="C157" s="51" t="s">
        <v>1399</v>
      </c>
      <c r="D157" s="51" t="s">
        <v>376</v>
      </c>
      <c r="E157" s="51" t="s">
        <v>24</v>
      </c>
      <c r="F157" s="51" t="s">
        <v>1390</v>
      </c>
      <c r="G157" s="51" t="s">
        <v>170</v>
      </c>
      <c r="H157" s="51"/>
      <c r="I157" s="16">
        <v>-347869330000</v>
      </c>
      <c r="J157" s="16">
        <v>-582738880000</v>
      </c>
      <c r="K157" s="51" t="s">
        <v>970</v>
      </c>
      <c r="L157" s="53">
        <f t="shared" si="16"/>
        <v>30</v>
      </c>
      <c r="M157" s="17">
        <f t="shared" si="14"/>
        <v>0</v>
      </c>
      <c r="N157" s="18">
        <f t="shared" si="15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  <c r="AS157" s="27"/>
    </row>
    <row r="158" spans="1:45" ht="15.75" thickBot="1" x14ac:dyDescent="0.3">
      <c r="A158" s="51" t="s">
        <v>377</v>
      </c>
      <c r="B158" s="51" t="s">
        <v>378</v>
      </c>
      <c r="C158" s="51" t="s">
        <v>1399</v>
      </c>
      <c r="D158" s="51" t="s">
        <v>379</v>
      </c>
      <c r="E158" s="51" t="s">
        <v>102</v>
      </c>
      <c r="F158" s="51" t="s">
        <v>36</v>
      </c>
      <c r="G158" s="51" t="s">
        <v>170</v>
      </c>
      <c r="H158" s="51"/>
      <c r="I158" s="16">
        <v>-347836020000</v>
      </c>
      <c r="J158" s="16">
        <v>-582678150000</v>
      </c>
      <c r="K158" s="51" t="s">
        <v>971</v>
      </c>
      <c r="L158" s="53">
        <f t="shared" si="16"/>
        <v>30</v>
      </c>
      <c r="M158" s="17">
        <f t="shared" si="14"/>
        <v>0</v>
      </c>
      <c r="N158" s="18">
        <f t="shared" si="15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  <c r="AS158" s="27"/>
    </row>
    <row r="159" spans="1:45" ht="15.75" thickBot="1" x14ac:dyDescent="0.3">
      <c r="A159" s="51" t="s">
        <v>377</v>
      </c>
      <c r="B159" s="51" t="s">
        <v>380</v>
      </c>
      <c r="C159" s="51" t="s">
        <v>1399</v>
      </c>
      <c r="D159" s="51" t="s">
        <v>381</v>
      </c>
      <c r="E159" s="51" t="s">
        <v>65</v>
      </c>
      <c r="F159" s="51" t="s">
        <v>36</v>
      </c>
      <c r="G159" s="51" t="s">
        <v>170</v>
      </c>
      <c r="H159" s="51" t="s">
        <v>382</v>
      </c>
      <c r="I159" s="16">
        <v>-347831840000</v>
      </c>
      <c r="J159" s="16">
        <v>-582670320000</v>
      </c>
      <c r="K159" s="51" t="s">
        <v>972</v>
      </c>
      <c r="L159" s="53">
        <f t="shared" si="16"/>
        <v>30</v>
      </c>
      <c r="M159" s="17">
        <f t="shared" si="14"/>
        <v>0</v>
      </c>
      <c r="N159" s="18">
        <f t="shared" si="15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  <c r="AS159" s="27"/>
    </row>
    <row r="160" spans="1:45" ht="15.75" thickBot="1" x14ac:dyDescent="0.3">
      <c r="A160" s="51" t="s">
        <v>374</v>
      </c>
      <c r="B160" s="51" t="s">
        <v>384</v>
      </c>
      <c r="C160" s="51" t="s">
        <v>1399</v>
      </c>
      <c r="D160" s="51" t="s">
        <v>385</v>
      </c>
      <c r="E160" s="51" t="s">
        <v>24</v>
      </c>
      <c r="F160" s="51" t="s">
        <v>36</v>
      </c>
      <c r="G160" s="51" t="s">
        <v>386</v>
      </c>
      <c r="H160" s="51"/>
      <c r="I160" s="16">
        <v>-347807820000</v>
      </c>
      <c r="J160" s="16">
        <v>-582625370000</v>
      </c>
      <c r="K160" s="51" t="s">
        <v>974</v>
      </c>
      <c r="L160" s="53">
        <f t="shared" si="16"/>
        <v>30</v>
      </c>
      <c r="M160" s="17">
        <f t="shared" si="14"/>
        <v>0</v>
      </c>
      <c r="N160" s="18">
        <f t="shared" si="15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  <c r="AS160" s="27"/>
    </row>
    <row r="161" spans="1:45" ht="15.75" thickBot="1" x14ac:dyDescent="0.3">
      <c r="A161" s="51" t="s">
        <v>377</v>
      </c>
      <c r="B161" s="51" t="s">
        <v>387</v>
      </c>
      <c r="C161" s="51" t="s">
        <v>1399</v>
      </c>
      <c r="D161" s="51" t="s">
        <v>388</v>
      </c>
      <c r="E161" s="51" t="s">
        <v>24</v>
      </c>
      <c r="F161" s="51" t="s">
        <v>36</v>
      </c>
      <c r="G161" s="51" t="s">
        <v>170</v>
      </c>
      <c r="H161" s="51"/>
      <c r="I161" s="16">
        <v>-347816280000</v>
      </c>
      <c r="J161" s="16">
        <v>-582641460000</v>
      </c>
      <c r="K161" s="51" t="s">
        <v>975</v>
      </c>
      <c r="L161" s="53">
        <f t="shared" si="16"/>
        <v>30</v>
      </c>
      <c r="M161" s="17">
        <f t="shared" si="14"/>
        <v>0</v>
      </c>
      <c r="N161" s="18">
        <f t="shared" si="15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  <c r="AS161" s="27"/>
    </row>
    <row r="162" spans="1:45" ht="15.75" thickBot="1" x14ac:dyDescent="0.3">
      <c r="A162" s="51" t="s">
        <v>377</v>
      </c>
      <c r="B162" s="51" t="s">
        <v>389</v>
      </c>
      <c r="C162" s="51" t="s">
        <v>1399</v>
      </c>
      <c r="D162" s="51" t="s">
        <v>390</v>
      </c>
      <c r="E162" s="51" t="s">
        <v>24</v>
      </c>
      <c r="F162" s="51" t="s">
        <v>36</v>
      </c>
      <c r="G162" s="51" t="s">
        <v>170</v>
      </c>
      <c r="H162" s="51"/>
      <c r="I162" s="16">
        <v>-347799500000</v>
      </c>
      <c r="J162" s="16">
        <v>-582656480000</v>
      </c>
      <c r="K162" s="51" t="s">
        <v>976</v>
      </c>
      <c r="L162" s="53">
        <f t="shared" si="16"/>
        <v>30</v>
      </c>
      <c r="M162" s="17">
        <f t="shared" si="14"/>
        <v>0</v>
      </c>
      <c r="N162" s="18">
        <f t="shared" si="15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  <c r="AS162" s="27"/>
    </row>
    <row r="163" spans="1:45" ht="15.75" thickBot="1" x14ac:dyDescent="0.3">
      <c r="A163" s="51" t="s">
        <v>377</v>
      </c>
      <c r="B163" s="51" t="s">
        <v>392</v>
      </c>
      <c r="C163" s="51" t="s">
        <v>1399</v>
      </c>
      <c r="D163" s="51" t="s">
        <v>393</v>
      </c>
      <c r="E163" s="51" t="s">
        <v>24</v>
      </c>
      <c r="F163" s="51" t="s">
        <v>1390</v>
      </c>
      <c r="G163" s="51" t="s">
        <v>394</v>
      </c>
      <c r="H163" s="51"/>
      <c r="I163" s="16">
        <v>-347837870000</v>
      </c>
      <c r="J163" s="16">
        <v>-582681690000</v>
      </c>
      <c r="K163" s="51" t="s">
        <v>979</v>
      </c>
      <c r="L163" s="53">
        <f t="shared" si="16"/>
        <v>30</v>
      </c>
      <c r="M163" s="17">
        <f t="shared" si="14"/>
        <v>0</v>
      </c>
      <c r="N163" s="18">
        <f t="shared" si="15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  <c r="AS163" s="27"/>
    </row>
    <row r="164" spans="1:45" ht="15.75" thickBot="1" x14ac:dyDescent="0.3">
      <c r="A164" s="51" t="s">
        <v>377</v>
      </c>
      <c r="B164" s="51" t="s">
        <v>397</v>
      </c>
      <c r="C164" s="51" t="s">
        <v>1399</v>
      </c>
      <c r="D164" s="51" t="s">
        <v>398</v>
      </c>
      <c r="E164" s="51" t="s">
        <v>19</v>
      </c>
      <c r="F164" s="51" t="s">
        <v>36</v>
      </c>
      <c r="G164" s="51"/>
      <c r="H164" s="51" t="s">
        <v>230</v>
      </c>
      <c r="I164" s="16">
        <v>-347812080000</v>
      </c>
      <c r="J164" s="16">
        <v>-582633880000</v>
      </c>
      <c r="K164" s="51" t="s">
        <v>982</v>
      </c>
      <c r="L164" s="53">
        <f t="shared" si="16"/>
        <v>30</v>
      </c>
      <c r="M164" s="17">
        <f t="shared" si="14"/>
        <v>0</v>
      </c>
      <c r="N164" s="18">
        <f t="shared" si="15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  <c r="AS164" s="27"/>
    </row>
    <row r="165" spans="1:45" ht="15.75" thickBot="1" x14ac:dyDescent="0.3">
      <c r="A165" s="51" t="s">
        <v>402</v>
      </c>
      <c r="B165" s="51" t="s">
        <v>1284</v>
      </c>
      <c r="C165" s="51" t="s">
        <v>1399</v>
      </c>
      <c r="D165" s="51" t="s">
        <v>1285</v>
      </c>
      <c r="E165" s="51" t="s">
        <v>24</v>
      </c>
      <c r="F165" s="51" t="s">
        <v>25</v>
      </c>
      <c r="G165" s="51" t="s">
        <v>146</v>
      </c>
      <c r="H165" s="51"/>
      <c r="I165" s="16">
        <v>-348097650000</v>
      </c>
      <c r="J165" s="16">
        <v>-583197750000</v>
      </c>
      <c r="K165" s="51" t="s">
        <v>983</v>
      </c>
      <c r="L165" s="53">
        <f t="shared" si="16"/>
        <v>30</v>
      </c>
      <c r="M165" s="17">
        <f t="shared" si="14"/>
        <v>0</v>
      </c>
      <c r="N165" s="18">
        <f t="shared" si="15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  <c r="AS165" s="27"/>
    </row>
    <row r="166" spans="1:45" ht="15.75" thickBot="1" x14ac:dyDescent="0.3">
      <c r="A166" s="51" t="s">
        <v>326</v>
      </c>
      <c r="B166" s="51" t="s">
        <v>399</v>
      </c>
      <c r="C166" s="51" t="s">
        <v>1400</v>
      </c>
      <c r="D166" s="51" t="s">
        <v>400</v>
      </c>
      <c r="E166" s="51" t="s">
        <v>19</v>
      </c>
      <c r="F166" s="51" t="s">
        <v>25</v>
      </c>
      <c r="G166" s="51"/>
      <c r="H166" s="51" t="s">
        <v>401</v>
      </c>
      <c r="I166" s="16">
        <v>-348079950000</v>
      </c>
      <c r="J166" s="16">
        <v>-583078510000</v>
      </c>
      <c r="K166" s="51" t="s">
        <v>984</v>
      </c>
      <c r="L166" s="53">
        <f t="shared" si="16"/>
        <v>28</v>
      </c>
      <c r="M166" s="17">
        <f t="shared" si="14"/>
        <v>2</v>
      </c>
      <c r="N166" s="18">
        <f t="shared" si="15"/>
        <v>0.93333333333333335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 t="s">
        <v>1211</v>
      </c>
      <c r="AH166" s="27"/>
      <c r="AI166" s="27" t="s">
        <v>1211</v>
      </c>
      <c r="AJ166" s="27"/>
      <c r="AK166" s="8"/>
      <c r="AL166" s="8"/>
      <c r="AM166" s="8"/>
      <c r="AN166" s="27"/>
      <c r="AO166" s="8"/>
      <c r="AP166" s="8"/>
      <c r="AQ166" s="27"/>
      <c r="AR166" s="27"/>
      <c r="AS166" s="27"/>
    </row>
    <row r="167" spans="1:45" ht="15.75" thickBot="1" x14ac:dyDescent="0.3">
      <c r="A167" s="51" t="s">
        <v>402</v>
      </c>
      <c r="B167" s="51" t="s">
        <v>403</v>
      </c>
      <c r="C167" s="51" t="s">
        <v>1400</v>
      </c>
      <c r="D167" s="51" t="s">
        <v>404</v>
      </c>
      <c r="E167" s="51" t="s">
        <v>19</v>
      </c>
      <c r="F167" s="51" t="s">
        <v>36</v>
      </c>
      <c r="G167" s="51"/>
      <c r="H167" s="51" t="s">
        <v>405</v>
      </c>
      <c r="I167" s="16">
        <v>-348065880000</v>
      </c>
      <c r="J167" s="16">
        <v>-583140610000</v>
      </c>
      <c r="K167" s="51" t="s">
        <v>985</v>
      </c>
      <c r="L167" s="53">
        <f t="shared" si="16"/>
        <v>30</v>
      </c>
      <c r="M167" s="17">
        <f t="shared" si="14"/>
        <v>0</v>
      </c>
      <c r="N167" s="18">
        <f t="shared" si="15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  <c r="AS167" s="27"/>
    </row>
    <row r="168" spans="1:45" ht="15.75" thickBot="1" x14ac:dyDescent="0.3">
      <c r="A168" s="51" t="s">
        <v>16</v>
      </c>
      <c r="B168" s="99" t="s">
        <v>17</v>
      </c>
      <c r="C168" s="51" t="s">
        <v>1400</v>
      </c>
      <c r="D168" s="51" t="s">
        <v>18</v>
      </c>
      <c r="E168" s="51" t="s">
        <v>19</v>
      </c>
      <c r="F168" s="51" t="s">
        <v>1390</v>
      </c>
      <c r="G168" s="51" t="s">
        <v>21</v>
      </c>
      <c r="H168" s="51"/>
      <c r="I168" s="16">
        <v>-348296270000</v>
      </c>
      <c r="J168" s="16">
        <v>-582165860000</v>
      </c>
      <c r="K168" s="51" t="s">
        <v>986</v>
      </c>
      <c r="L168" s="53">
        <f t="shared" si="16"/>
        <v>29</v>
      </c>
      <c r="M168" s="17">
        <f t="shared" si="14"/>
        <v>1</v>
      </c>
      <c r="N168" s="18">
        <f t="shared" si="15"/>
        <v>0.96666666666666667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 t="s">
        <v>1211</v>
      </c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  <c r="AS168" s="27"/>
    </row>
    <row r="169" spans="1:45" ht="15.75" thickBot="1" x14ac:dyDescent="0.3">
      <c r="A169" s="51" t="s">
        <v>518</v>
      </c>
      <c r="B169" s="51" t="s">
        <v>1286</v>
      </c>
      <c r="C169" s="51" t="s">
        <v>1400</v>
      </c>
      <c r="D169" s="51" t="s">
        <v>1287</v>
      </c>
      <c r="E169" s="51" t="s">
        <v>102</v>
      </c>
      <c r="F169" s="51" t="s">
        <v>36</v>
      </c>
      <c r="G169" s="51"/>
      <c r="H169" s="51"/>
      <c r="I169" s="16">
        <v>-348252270000</v>
      </c>
      <c r="J169" s="16">
        <v>-582246060000</v>
      </c>
      <c r="K169" s="51"/>
      <c r="L169" s="53">
        <f t="shared" si="16"/>
        <v>28</v>
      </c>
      <c r="M169" s="17">
        <f t="shared" si="14"/>
        <v>2</v>
      </c>
      <c r="N169" s="18">
        <f t="shared" si="15"/>
        <v>0.93333333333333335</v>
      </c>
      <c r="O169" s="27"/>
      <c r="P169" s="8"/>
      <c r="Q169" s="8"/>
      <c r="R169" s="8"/>
      <c r="S169" s="27"/>
      <c r="T169" s="27"/>
      <c r="U169" s="8" t="s">
        <v>1211</v>
      </c>
      <c r="V169" s="8" t="s">
        <v>1211</v>
      </c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  <c r="AS169" s="27"/>
    </row>
    <row r="170" spans="1:45" ht="15.75" thickBot="1" x14ac:dyDescent="0.3">
      <c r="A170" s="51" t="s">
        <v>1288</v>
      </c>
      <c r="B170" s="51" t="s">
        <v>1289</v>
      </c>
      <c r="C170" s="51" t="s">
        <v>1400</v>
      </c>
      <c r="D170" s="51" t="s">
        <v>1287</v>
      </c>
      <c r="E170" s="51" t="s">
        <v>102</v>
      </c>
      <c r="F170" s="51" t="s">
        <v>36</v>
      </c>
      <c r="G170" s="51"/>
      <c r="H170" s="51"/>
      <c r="I170" s="16">
        <v>-348252890000</v>
      </c>
      <c r="J170" s="16">
        <v>-582246380000</v>
      </c>
      <c r="K170" s="51"/>
      <c r="L170" s="53">
        <f t="shared" si="16"/>
        <v>30</v>
      </c>
      <c r="M170" s="17">
        <f t="shared" si="14"/>
        <v>0</v>
      </c>
      <c r="N170" s="18">
        <f t="shared" si="15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  <c r="AS170" s="27"/>
    </row>
    <row r="171" spans="1:45" ht="15.75" thickBot="1" x14ac:dyDescent="0.3">
      <c r="A171" s="51" t="s">
        <v>22</v>
      </c>
      <c r="B171" s="99" t="s">
        <v>23</v>
      </c>
      <c r="C171" s="51" t="s">
        <v>1400</v>
      </c>
      <c r="D171" s="51" t="s">
        <v>1290</v>
      </c>
      <c r="E171" s="51" t="s">
        <v>24</v>
      </c>
      <c r="F171" s="51" t="s">
        <v>25</v>
      </c>
      <c r="G171" s="51" t="s">
        <v>26</v>
      </c>
      <c r="H171" s="51"/>
      <c r="I171" s="16">
        <v>-348239900000</v>
      </c>
      <c r="J171" s="16">
        <v>-582772350000</v>
      </c>
      <c r="K171" s="51" t="s">
        <v>987</v>
      </c>
      <c r="L171" s="53">
        <f t="shared" si="16"/>
        <v>28</v>
      </c>
      <c r="M171" s="17">
        <f t="shared" si="14"/>
        <v>2</v>
      </c>
      <c r="N171" s="18">
        <f t="shared" si="15"/>
        <v>0.93333333333333335</v>
      </c>
      <c r="O171" s="27"/>
      <c r="P171" s="8"/>
      <c r="Q171" s="8"/>
      <c r="R171" s="8"/>
      <c r="S171" s="27"/>
      <c r="T171" s="27"/>
      <c r="U171" s="8" t="s">
        <v>1211</v>
      </c>
      <c r="V171" s="8" t="s">
        <v>1211</v>
      </c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  <c r="AS171" s="27"/>
    </row>
    <row r="172" spans="1:45" ht="15.75" thickBot="1" x14ac:dyDescent="0.3">
      <c r="A172" s="51" t="s">
        <v>22</v>
      </c>
      <c r="B172" s="99" t="s">
        <v>27</v>
      </c>
      <c r="C172" s="51" t="s">
        <v>1400</v>
      </c>
      <c r="D172" s="51" t="s">
        <v>28</v>
      </c>
      <c r="E172" s="51" t="s">
        <v>24</v>
      </c>
      <c r="F172" s="51" t="s">
        <v>25</v>
      </c>
      <c r="G172" s="51"/>
      <c r="H172" s="51"/>
      <c r="I172" s="16">
        <v>-348218190000</v>
      </c>
      <c r="J172" s="16">
        <v>-582771380000</v>
      </c>
      <c r="K172" s="51" t="s">
        <v>935</v>
      </c>
      <c r="L172" s="53">
        <f t="shared" si="16"/>
        <v>30</v>
      </c>
      <c r="M172" s="17">
        <f t="shared" si="14"/>
        <v>0</v>
      </c>
      <c r="N172" s="18">
        <f t="shared" si="15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  <c r="AS172" s="27"/>
    </row>
    <row r="173" spans="1:45" ht="15.75" thickBot="1" x14ac:dyDescent="0.3">
      <c r="A173" s="51" t="s">
        <v>22</v>
      </c>
      <c r="B173" s="99" t="s">
        <v>29</v>
      </c>
      <c r="C173" s="51" t="s">
        <v>1400</v>
      </c>
      <c r="D173" s="51" t="s">
        <v>1291</v>
      </c>
      <c r="E173" s="51" t="s">
        <v>19</v>
      </c>
      <c r="F173" s="51" t="s">
        <v>1391</v>
      </c>
      <c r="G173" s="51"/>
      <c r="H173" s="51" t="s">
        <v>30</v>
      </c>
      <c r="I173" s="16">
        <v>-348230700000</v>
      </c>
      <c r="J173" s="16">
        <v>-582702540000</v>
      </c>
      <c r="K173" s="51" t="s">
        <v>988</v>
      </c>
      <c r="L173" s="53">
        <f t="shared" si="16"/>
        <v>28</v>
      </c>
      <c r="M173" s="17">
        <f t="shared" si="14"/>
        <v>2</v>
      </c>
      <c r="N173" s="18">
        <f t="shared" si="15"/>
        <v>0.93333333333333335</v>
      </c>
      <c r="O173" s="27"/>
      <c r="P173" s="8"/>
      <c r="Q173" s="8"/>
      <c r="R173" s="8"/>
      <c r="S173" s="27"/>
      <c r="T173" s="27"/>
      <c r="U173" s="8" t="s">
        <v>1211</v>
      </c>
      <c r="V173" s="8" t="s">
        <v>1211</v>
      </c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  <c r="AS173" s="27"/>
    </row>
    <row r="174" spans="1:45" ht="15.75" thickBot="1" x14ac:dyDescent="0.3">
      <c r="A174" s="51" t="s">
        <v>22</v>
      </c>
      <c r="B174" s="99" t="s">
        <v>31</v>
      </c>
      <c r="C174" s="51" t="s">
        <v>1400</v>
      </c>
      <c r="D174" s="51" t="s">
        <v>32</v>
      </c>
      <c r="E174" s="51" t="s">
        <v>19</v>
      </c>
      <c r="F174" s="51" t="s">
        <v>25</v>
      </c>
      <c r="G174" s="51"/>
      <c r="H174" s="51" t="s">
        <v>33</v>
      </c>
      <c r="I174" s="16">
        <v>-348252070000</v>
      </c>
      <c r="J174" s="16">
        <v>-582711820000</v>
      </c>
      <c r="K174" s="51" t="s">
        <v>989</v>
      </c>
      <c r="L174" s="53">
        <f t="shared" si="16"/>
        <v>28</v>
      </c>
      <c r="M174" s="17">
        <f t="shared" si="14"/>
        <v>2</v>
      </c>
      <c r="N174" s="18">
        <f t="shared" si="15"/>
        <v>0.93333333333333335</v>
      </c>
      <c r="O174" s="27"/>
      <c r="P174" s="8"/>
      <c r="Q174" s="8"/>
      <c r="R174" s="8"/>
      <c r="S174" s="27"/>
      <c r="T174" s="27"/>
      <c r="U174" s="8" t="s">
        <v>1211</v>
      </c>
      <c r="V174" s="8" t="s">
        <v>1211</v>
      </c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  <c r="AS174" s="27"/>
    </row>
    <row r="175" spans="1:45" ht="15.75" thickBot="1" x14ac:dyDescent="0.3">
      <c r="A175" s="51" t="s">
        <v>406</v>
      </c>
      <c r="B175" s="51" t="s">
        <v>1292</v>
      </c>
      <c r="C175" s="51" t="s">
        <v>1399</v>
      </c>
      <c r="D175" s="51" t="s">
        <v>407</v>
      </c>
      <c r="E175" s="51" t="s">
        <v>102</v>
      </c>
      <c r="F175" s="51" t="s">
        <v>36</v>
      </c>
      <c r="G175" s="51" t="s">
        <v>170</v>
      </c>
      <c r="H175" s="51" t="s">
        <v>408</v>
      </c>
      <c r="I175" s="16">
        <v>-347782860000</v>
      </c>
      <c r="J175" s="16">
        <v>-582672650000</v>
      </c>
      <c r="K175" s="51" t="s">
        <v>990</v>
      </c>
      <c r="L175" s="53">
        <f t="shared" si="16"/>
        <v>30</v>
      </c>
      <c r="M175" s="17">
        <f t="shared" si="14"/>
        <v>0</v>
      </c>
      <c r="N175" s="18">
        <f t="shared" si="15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  <c r="AS175" s="27"/>
    </row>
    <row r="176" spans="1:45" ht="15.75" thickBot="1" x14ac:dyDescent="0.3">
      <c r="A176" s="51" t="s">
        <v>411</v>
      </c>
      <c r="B176" s="51" t="s">
        <v>1293</v>
      </c>
      <c r="C176" s="51" t="s">
        <v>1399</v>
      </c>
      <c r="D176" s="51" t="s">
        <v>412</v>
      </c>
      <c r="E176" s="51" t="s">
        <v>24</v>
      </c>
      <c r="F176" s="51" t="s">
        <v>36</v>
      </c>
      <c r="G176" s="51" t="s">
        <v>413</v>
      </c>
      <c r="H176" s="51"/>
      <c r="I176" s="16">
        <v>-347760150000</v>
      </c>
      <c r="J176" s="16">
        <v>-582715170000</v>
      </c>
      <c r="K176" s="51" t="s">
        <v>991</v>
      </c>
      <c r="L176" s="53">
        <f t="shared" si="16"/>
        <v>30</v>
      </c>
      <c r="M176" s="17">
        <f t="shared" si="14"/>
        <v>0</v>
      </c>
      <c r="N176" s="18">
        <f t="shared" si="15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  <c r="AS176" s="27"/>
    </row>
    <row r="177" spans="1:45" ht="15.75" thickBot="1" x14ac:dyDescent="0.3">
      <c r="A177" s="51" t="s">
        <v>411</v>
      </c>
      <c r="B177" s="51" t="s">
        <v>1294</v>
      </c>
      <c r="C177" s="51" t="s">
        <v>1399</v>
      </c>
      <c r="D177" s="51" t="s">
        <v>417</v>
      </c>
      <c r="E177" s="51" t="s">
        <v>24</v>
      </c>
      <c r="F177" s="51" t="s">
        <v>1390</v>
      </c>
      <c r="G177" s="51" t="s">
        <v>418</v>
      </c>
      <c r="H177" s="51"/>
      <c r="I177" s="16">
        <v>-347771820000</v>
      </c>
      <c r="J177" s="16">
        <v>-582693640000</v>
      </c>
      <c r="K177" s="51" t="s">
        <v>993</v>
      </c>
      <c r="L177" s="53">
        <f t="shared" si="16"/>
        <v>25</v>
      </c>
      <c r="M177" s="17">
        <f t="shared" si="14"/>
        <v>5</v>
      </c>
      <c r="N177" s="18">
        <f t="shared" si="15"/>
        <v>0.83333333333333337</v>
      </c>
      <c r="O177" s="27" t="s">
        <v>1211</v>
      </c>
      <c r="P177" s="8" t="s">
        <v>1211</v>
      </c>
      <c r="Q177" s="8" t="s">
        <v>1211</v>
      </c>
      <c r="R177" s="8" t="s">
        <v>1211</v>
      </c>
      <c r="S177" s="27" t="s">
        <v>1211</v>
      </c>
      <c r="T177" s="27"/>
      <c r="U177" s="8"/>
      <c r="V177" s="8"/>
      <c r="W177" s="8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  <c r="AS177" s="27"/>
    </row>
    <row r="178" spans="1:45" ht="15.75" thickBot="1" x14ac:dyDescent="0.3">
      <c r="A178" s="51" t="s">
        <v>377</v>
      </c>
      <c r="B178" s="51" t="s">
        <v>409</v>
      </c>
      <c r="C178" s="51" t="s">
        <v>1399</v>
      </c>
      <c r="D178" s="51" t="s">
        <v>410</v>
      </c>
      <c r="E178" s="51" t="s">
        <v>102</v>
      </c>
      <c r="F178" s="51" t="s">
        <v>36</v>
      </c>
      <c r="G178" s="51" t="s">
        <v>113</v>
      </c>
      <c r="H178" s="51"/>
      <c r="I178" s="16">
        <v>-347796720000</v>
      </c>
      <c r="J178" s="16">
        <v>-582627730000</v>
      </c>
      <c r="K178" s="51" t="s">
        <v>1396</v>
      </c>
      <c r="L178" s="53">
        <f t="shared" si="16"/>
        <v>30</v>
      </c>
      <c r="M178" s="17">
        <f t="shared" si="14"/>
        <v>0</v>
      </c>
      <c r="N178" s="18">
        <f t="shared" si="15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  <c r="AS178" s="27"/>
    </row>
    <row r="179" spans="1:45" ht="15.75" thickBot="1" x14ac:dyDescent="0.3">
      <c r="A179" s="51" t="s">
        <v>406</v>
      </c>
      <c r="B179" s="51" t="s">
        <v>414</v>
      </c>
      <c r="C179" s="51" t="s">
        <v>1399</v>
      </c>
      <c r="D179" s="51" t="s">
        <v>415</v>
      </c>
      <c r="E179" s="51" t="s">
        <v>24</v>
      </c>
      <c r="F179" s="51" t="s">
        <v>1390</v>
      </c>
      <c r="G179" s="51" t="s">
        <v>416</v>
      </c>
      <c r="H179" s="51"/>
      <c r="I179" s="16">
        <v>-347796570000</v>
      </c>
      <c r="J179" s="16">
        <v>-582627950000</v>
      </c>
      <c r="K179" s="51" t="s">
        <v>992</v>
      </c>
      <c r="L179" s="53">
        <f t="shared" si="16"/>
        <v>30</v>
      </c>
      <c r="M179" s="17">
        <f t="shared" si="14"/>
        <v>0</v>
      </c>
      <c r="N179" s="18">
        <f t="shared" si="15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  <c r="AS179" s="27"/>
    </row>
    <row r="180" spans="1:45" ht="15.75" thickBot="1" x14ac:dyDescent="0.3">
      <c r="A180" s="51" t="s">
        <v>411</v>
      </c>
      <c r="B180" s="51" t="s">
        <v>419</v>
      </c>
      <c r="C180" s="51" t="s">
        <v>1399</v>
      </c>
      <c r="D180" s="51" t="s">
        <v>420</v>
      </c>
      <c r="E180" s="51" t="s">
        <v>19</v>
      </c>
      <c r="F180" s="51" t="s">
        <v>1390</v>
      </c>
      <c r="G180" s="51" t="s">
        <v>421</v>
      </c>
      <c r="H180" s="51"/>
      <c r="I180" s="16">
        <v>-347739010000</v>
      </c>
      <c r="J180" s="16">
        <v>-582753360000</v>
      </c>
      <c r="K180" s="51" t="s">
        <v>994</v>
      </c>
      <c r="L180" s="53">
        <f t="shared" si="16"/>
        <v>30</v>
      </c>
      <c r="M180" s="17">
        <f t="shared" si="14"/>
        <v>0</v>
      </c>
      <c r="N180" s="18">
        <f t="shared" si="15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  <c r="AS180" s="27"/>
    </row>
    <row r="181" spans="1:45" ht="15.75" thickBot="1" x14ac:dyDescent="0.3">
      <c r="A181" s="51" t="s">
        <v>422</v>
      </c>
      <c r="B181" s="51" t="s">
        <v>423</v>
      </c>
      <c r="C181" s="51" t="s">
        <v>1399</v>
      </c>
      <c r="D181" s="51" t="s">
        <v>424</v>
      </c>
      <c r="E181" s="51" t="s">
        <v>102</v>
      </c>
      <c r="F181" s="51" t="s">
        <v>36</v>
      </c>
      <c r="G181" s="51"/>
      <c r="H181" s="51"/>
      <c r="I181" s="16">
        <v>-347901980000</v>
      </c>
      <c r="J181" s="16">
        <v>-582786030000</v>
      </c>
      <c r="K181" s="51" t="s">
        <v>995</v>
      </c>
      <c r="L181" s="53">
        <f t="shared" si="16"/>
        <v>30</v>
      </c>
      <c r="M181" s="17">
        <f t="shared" si="14"/>
        <v>0</v>
      </c>
      <c r="N181" s="18">
        <f t="shared" si="15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  <c r="AS181" s="27"/>
    </row>
    <row r="182" spans="1:45" ht="15.75" thickBot="1" x14ac:dyDescent="0.3">
      <c r="A182" s="51" t="s">
        <v>422</v>
      </c>
      <c r="B182" s="51" t="s">
        <v>425</v>
      </c>
      <c r="C182" s="51" t="s">
        <v>1399</v>
      </c>
      <c r="D182" s="51" t="s">
        <v>426</v>
      </c>
      <c r="E182" s="51" t="s">
        <v>24</v>
      </c>
      <c r="F182" s="51" t="s">
        <v>25</v>
      </c>
      <c r="G182" s="51" t="s">
        <v>427</v>
      </c>
      <c r="H182" s="51"/>
      <c r="I182" s="16">
        <v>-347941910000</v>
      </c>
      <c r="J182" s="16">
        <v>-582702320000</v>
      </c>
      <c r="K182" s="51" t="s">
        <v>996</v>
      </c>
      <c r="L182" s="53">
        <f t="shared" si="16"/>
        <v>21</v>
      </c>
      <c r="M182" s="17">
        <f t="shared" si="14"/>
        <v>9</v>
      </c>
      <c r="N182" s="18">
        <f t="shared" si="15"/>
        <v>0.7</v>
      </c>
      <c r="O182" s="27"/>
      <c r="P182" s="8" t="s">
        <v>1211</v>
      </c>
      <c r="Q182" s="8" t="s">
        <v>1211</v>
      </c>
      <c r="R182" s="8" t="s">
        <v>1211</v>
      </c>
      <c r="S182" s="27" t="s">
        <v>1211</v>
      </c>
      <c r="T182" s="27"/>
      <c r="U182" s="8" t="s">
        <v>1211</v>
      </c>
      <c r="V182" s="8" t="s">
        <v>1211</v>
      </c>
      <c r="W182" s="8" t="s">
        <v>1211</v>
      </c>
      <c r="X182" s="27" t="s">
        <v>1211</v>
      </c>
      <c r="Y182" s="27" t="s">
        <v>1211</v>
      </c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  <c r="AS182" s="27"/>
    </row>
    <row r="183" spans="1:45" ht="15.75" thickBot="1" x14ac:dyDescent="0.3">
      <c r="A183" s="51" t="s">
        <v>422</v>
      </c>
      <c r="B183" s="51" t="s">
        <v>428</v>
      </c>
      <c r="C183" s="51" t="s">
        <v>1399</v>
      </c>
      <c r="D183" s="51" t="s">
        <v>429</v>
      </c>
      <c r="E183" s="51" t="s">
        <v>24</v>
      </c>
      <c r="F183" s="51" t="s">
        <v>25</v>
      </c>
      <c r="G183" s="51" t="s">
        <v>335</v>
      </c>
      <c r="H183" s="51"/>
      <c r="I183" s="16">
        <v>-347965760000</v>
      </c>
      <c r="J183" s="16">
        <v>-582746550000</v>
      </c>
      <c r="K183" s="51" t="s">
        <v>997</v>
      </c>
      <c r="L183" s="53">
        <f t="shared" si="16"/>
        <v>30</v>
      </c>
      <c r="M183" s="17">
        <f t="shared" si="14"/>
        <v>0</v>
      </c>
      <c r="N183" s="18">
        <f t="shared" si="15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  <c r="AS183" s="27"/>
    </row>
    <row r="184" spans="1:45" ht="15.75" thickBot="1" x14ac:dyDescent="0.3">
      <c r="A184" s="51" t="s">
        <v>422</v>
      </c>
      <c r="B184" s="51" t="s">
        <v>430</v>
      </c>
      <c r="C184" s="51" t="s">
        <v>1399</v>
      </c>
      <c r="D184" s="51" t="s">
        <v>431</v>
      </c>
      <c r="E184" s="51" t="s">
        <v>24</v>
      </c>
      <c r="F184" s="51" t="s">
        <v>25</v>
      </c>
      <c r="G184" s="51" t="s">
        <v>432</v>
      </c>
      <c r="H184" s="51"/>
      <c r="I184" s="16">
        <v>-347889160000</v>
      </c>
      <c r="J184" s="16">
        <v>-582775030000</v>
      </c>
      <c r="K184" s="51" t="s">
        <v>998</v>
      </c>
      <c r="L184" s="53">
        <f t="shared" si="16"/>
        <v>30</v>
      </c>
      <c r="M184" s="17">
        <f t="shared" si="14"/>
        <v>0</v>
      </c>
      <c r="N184" s="18">
        <f t="shared" si="15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  <c r="AS184" s="27"/>
    </row>
    <row r="185" spans="1:45" ht="15.75" thickBot="1" x14ac:dyDescent="0.3">
      <c r="A185" s="51" t="s">
        <v>433</v>
      </c>
      <c r="B185" s="51" t="s">
        <v>1295</v>
      </c>
      <c r="C185" s="51"/>
      <c r="D185" s="51" t="s">
        <v>436</v>
      </c>
      <c r="E185" s="51" t="s">
        <v>24</v>
      </c>
      <c r="F185" s="51" t="s">
        <v>36</v>
      </c>
      <c r="G185" s="51" t="s">
        <v>437</v>
      </c>
      <c r="H185" s="51"/>
      <c r="I185" s="16">
        <v>-348072540000</v>
      </c>
      <c r="J185" s="16">
        <v>-582665870000</v>
      </c>
      <c r="K185" s="51" t="s">
        <v>999</v>
      </c>
      <c r="L185" s="53">
        <f t="shared" si="16"/>
        <v>20</v>
      </c>
      <c r="M185" s="17">
        <f t="shared" si="14"/>
        <v>10</v>
      </c>
      <c r="N185" s="18">
        <f t="shared" si="15"/>
        <v>0.66666666666666663</v>
      </c>
      <c r="O185" s="27"/>
      <c r="P185" s="8"/>
      <c r="Q185" s="8" t="s">
        <v>1211</v>
      </c>
      <c r="R185" s="8" t="s">
        <v>1211</v>
      </c>
      <c r="S185" s="27" t="s">
        <v>1211</v>
      </c>
      <c r="T185" s="27"/>
      <c r="U185" s="8"/>
      <c r="V185" s="8"/>
      <c r="W185" s="8"/>
      <c r="X185" s="27"/>
      <c r="Y185" s="27"/>
      <c r="Z185" s="27" t="s">
        <v>1211</v>
      </c>
      <c r="AA185" s="27" t="s">
        <v>1211</v>
      </c>
      <c r="AB185" s="27" t="s">
        <v>1211</v>
      </c>
      <c r="AC185" s="27" t="s">
        <v>1211</v>
      </c>
      <c r="AD185" s="27" t="s">
        <v>1211</v>
      </c>
      <c r="AE185" s="27" t="s">
        <v>1211</v>
      </c>
      <c r="AF185" s="27" t="s">
        <v>1211</v>
      </c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  <c r="AS185" s="27"/>
    </row>
    <row r="186" spans="1:45" ht="15.75" thickBot="1" x14ac:dyDescent="0.3">
      <c r="A186" s="51" t="s">
        <v>433</v>
      </c>
      <c r="B186" s="51" t="s">
        <v>434</v>
      </c>
      <c r="C186" s="51"/>
      <c r="D186" s="51" t="s">
        <v>435</v>
      </c>
      <c r="E186" s="51" t="s">
        <v>19</v>
      </c>
      <c r="F186" s="51" t="s">
        <v>25</v>
      </c>
      <c r="G186" s="51"/>
      <c r="H186" s="20">
        <v>43768</v>
      </c>
      <c r="I186" s="16">
        <v>-348094380000</v>
      </c>
      <c r="J186" s="16">
        <v>-582624760000</v>
      </c>
      <c r="K186" s="51" t="s">
        <v>1005</v>
      </c>
      <c r="L186" s="53">
        <f t="shared" si="16"/>
        <v>27</v>
      </c>
      <c r="M186" s="17">
        <f t="shared" si="14"/>
        <v>3</v>
      </c>
      <c r="N186" s="18">
        <f t="shared" si="15"/>
        <v>0.9</v>
      </c>
      <c r="O186" s="27"/>
      <c r="P186" s="8"/>
      <c r="Q186" s="8" t="s">
        <v>1211</v>
      </c>
      <c r="R186" s="8" t="s">
        <v>1211</v>
      </c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 t="s">
        <v>1211</v>
      </c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  <c r="AS186" s="27"/>
    </row>
    <row r="187" spans="1:45" ht="15.75" thickBot="1" x14ac:dyDescent="0.3">
      <c r="A187" s="51" t="s">
        <v>433</v>
      </c>
      <c r="B187" s="51" t="s">
        <v>438</v>
      </c>
      <c r="C187" s="51"/>
      <c r="D187" s="51" t="s">
        <v>439</v>
      </c>
      <c r="E187" s="51" t="s">
        <v>24</v>
      </c>
      <c r="F187" s="51" t="s">
        <v>25</v>
      </c>
      <c r="G187" s="51" t="s">
        <v>146</v>
      </c>
      <c r="H187" s="51" t="s">
        <v>440</v>
      </c>
      <c r="I187" s="16">
        <v>-348093100000</v>
      </c>
      <c r="J187" s="16">
        <v>-582605600000</v>
      </c>
      <c r="K187" s="51" t="s">
        <v>1000</v>
      </c>
      <c r="L187" s="53">
        <f t="shared" si="16"/>
        <v>25</v>
      </c>
      <c r="M187" s="17">
        <f t="shared" si="14"/>
        <v>5</v>
      </c>
      <c r="N187" s="18">
        <f t="shared" si="15"/>
        <v>0.83333333333333337</v>
      </c>
      <c r="O187" s="27" t="s">
        <v>1211</v>
      </c>
      <c r="P187" s="8" t="s">
        <v>1211</v>
      </c>
      <c r="Q187" s="8" t="s">
        <v>1211</v>
      </c>
      <c r="R187" s="8" t="s">
        <v>1211</v>
      </c>
      <c r="S187" s="27" t="s">
        <v>1211</v>
      </c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  <c r="AS187" s="27"/>
    </row>
    <row r="188" spans="1:45" ht="15.75" thickBot="1" x14ac:dyDescent="0.3">
      <c r="A188" s="51" t="s">
        <v>433</v>
      </c>
      <c r="B188" s="51" t="s">
        <v>441</v>
      </c>
      <c r="C188" s="51"/>
      <c r="D188" s="51" t="s">
        <v>442</v>
      </c>
      <c r="E188" s="51" t="s">
        <v>24</v>
      </c>
      <c r="F188" s="51" t="s">
        <v>1391</v>
      </c>
      <c r="G188" s="51" t="s">
        <v>443</v>
      </c>
      <c r="H188" s="51" t="s">
        <v>444</v>
      </c>
      <c r="I188" s="16">
        <v>-348062580000</v>
      </c>
      <c r="J188" s="16">
        <v>-582667320000</v>
      </c>
      <c r="K188" s="51" t="s">
        <v>1001</v>
      </c>
      <c r="L188" s="53">
        <f t="shared" si="16"/>
        <v>29</v>
      </c>
      <c r="M188" s="17">
        <f t="shared" si="14"/>
        <v>1</v>
      </c>
      <c r="N188" s="18">
        <f t="shared" si="15"/>
        <v>0.96666666666666667</v>
      </c>
      <c r="O188" s="27" t="s">
        <v>1211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  <c r="AS188" s="27"/>
    </row>
    <row r="189" spans="1:45" ht="15.75" thickBot="1" x14ac:dyDescent="0.3">
      <c r="A189" s="51" t="s">
        <v>433</v>
      </c>
      <c r="B189" s="51" t="s">
        <v>445</v>
      </c>
      <c r="C189" s="51"/>
      <c r="D189" s="51" t="s">
        <v>446</v>
      </c>
      <c r="E189" s="51" t="s">
        <v>24</v>
      </c>
      <c r="F189" s="51" t="s">
        <v>25</v>
      </c>
      <c r="G189" s="51" t="s">
        <v>146</v>
      </c>
      <c r="H189" s="51"/>
      <c r="I189" s="16">
        <v>-348035500000</v>
      </c>
      <c r="J189" s="16">
        <v>-582648750000</v>
      </c>
      <c r="K189" s="51" t="s">
        <v>1002</v>
      </c>
      <c r="L189" s="53">
        <f t="shared" si="16"/>
        <v>30</v>
      </c>
      <c r="M189" s="17">
        <f t="shared" si="14"/>
        <v>0</v>
      </c>
      <c r="N189" s="18">
        <f t="shared" si="15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  <c r="AS189" s="27"/>
    </row>
    <row r="190" spans="1:45" ht="15.75" thickBot="1" x14ac:dyDescent="0.3">
      <c r="A190" s="51" t="s">
        <v>447</v>
      </c>
      <c r="B190" s="51" t="s">
        <v>448</v>
      </c>
      <c r="C190" s="51"/>
      <c r="D190" s="51" t="s">
        <v>449</v>
      </c>
      <c r="E190" s="51" t="s">
        <v>24</v>
      </c>
      <c r="F190" s="51" t="s">
        <v>25</v>
      </c>
      <c r="G190" s="51" t="s">
        <v>443</v>
      </c>
      <c r="H190" s="51"/>
      <c r="I190" s="16">
        <v>-348026160000</v>
      </c>
      <c r="J190" s="16">
        <v>-582654650000</v>
      </c>
      <c r="K190" s="51" t="s">
        <v>1397</v>
      </c>
      <c r="L190" s="53">
        <f t="shared" si="16"/>
        <v>30</v>
      </c>
      <c r="M190" s="17">
        <f t="shared" si="14"/>
        <v>0</v>
      </c>
      <c r="N190" s="18">
        <f t="shared" si="15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  <c r="AS190" s="27"/>
    </row>
    <row r="191" spans="1:45" ht="15.75" thickBot="1" x14ac:dyDescent="0.3">
      <c r="A191" s="51" t="s">
        <v>72</v>
      </c>
      <c r="B191" s="51" t="s">
        <v>450</v>
      </c>
      <c r="C191" s="51" t="s">
        <v>1399</v>
      </c>
      <c r="D191" s="51" t="s">
        <v>451</v>
      </c>
      <c r="E191" s="51" t="s">
        <v>24</v>
      </c>
      <c r="F191" s="51" t="s">
        <v>1390</v>
      </c>
      <c r="G191" s="51" t="s">
        <v>170</v>
      </c>
      <c r="H191" s="51"/>
      <c r="I191" s="16">
        <v>-348074170000</v>
      </c>
      <c r="J191" s="16">
        <v>-582683730000</v>
      </c>
      <c r="K191" s="51" t="s">
        <v>1003</v>
      </c>
      <c r="L191" s="53">
        <f t="shared" si="16"/>
        <v>12</v>
      </c>
      <c r="M191" s="17">
        <f t="shared" si="14"/>
        <v>18</v>
      </c>
      <c r="N191" s="18">
        <f t="shared" si="15"/>
        <v>0.4</v>
      </c>
      <c r="O191" s="27" t="s">
        <v>1211</v>
      </c>
      <c r="P191" s="8" t="s">
        <v>1211</v>
      </c>
      <c r="Q191" s="8" t="s">
        <v>1211</v>
      </c>
      <c r="R191" s="8" t="s">
        <v>1211</v>
      </c>
      <c r="S191" s="27" t="s">
        <v>1211</v>
      </c>
      <c r="T191" s="27"/>
      <c r="U191" s="8" t="s">
        <v>1211</v>
      </c>
      <c r="V191" s="8" t="s">
        <v>1211</v>
      </c>
      <c r="W191" s="8" t="s">
        <v>1211</v>
      </c>
      <c r="X191" s="27" t="s">
        <v>1211</v>
      </c>
      <c r="Y191" s="27" t="s">
        <v>1211</v>
      </c>
      <c r="Z191" s="27" t="s">
        <v>1211</v>
      </c>
      <c r="AA191" s="27" t="s">
        <v>1211</v>
      </c>
      <c r="AB191" s="27" t="s">
        <v>1211</v>
      </c>
      <c r="AC191" s="27" t="s">
        <v>1211</v>
      </c>
      <c r="AD191" s="27" t="s">
        <v>1211</v>
      </c>
      <c r="AE191" s="27" t="s">
        <v>1211</v>
      </c>
      <c r="AF191" s="27" t="s">
        <v>1211</v>
      </c>
      <c r="AG191" s="27" t="s">
        <v>1211</v>
      </c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  <c r="AS191" s="27"/>
    </row>
    <row r="192" spans="1:45" ht="15.75" thickBot="1" x14ac:dyDescent="0.3">
      <c r="A192" s="51" t="s">
        <v>433</v>
      </c>
      <c r="B192" s="51" t="s">
        <v>452</v>
      </c>
      <c r="C192" s="51"/>
      <c r="D192" s="51" t="s">
        <v>453</v>
      </c>
      <c r="E192" s="51" t="s">
        <v>24</v>
      </c>
      <c r="F192" s="51" t="s">
        <v>1390</v>
      </c>
      <c r="G192" s="51" t="s">
        <v>454</v>
      </c>
      <c r="H192" s="51"/>
      <c r="I192" s="16">
        <v>-348107680000</v>
      </c>
      <c r="J192" s="16">
        <v>-582663690000</v>
      </c>
      <c r="K192" s="51" t="s">
        <v>1004</v>
      </c>
      <c r="L192" s="53">
        <f t="shared" si="16"/>
        <v>12</v>
      </c>
      <c r="M192" s="17">
        <f t="shared" si="14"/>
        <v>18</v>
      </c>
      <c r="N192" s="18">
        <f t="shared" si="15"/>
        <v>0.4</v>
      </c>
      <c r="O192" s="27" t="s">
        <v>1211</v>
      </c>
      <c r="P192" s="8" t="s">
        <v>1211</v>
      </c>
      <c r="Q192" s="8" t="s">
        <v>1211</v>
      </c>
      <c r="R192" s="8" t="s">
        <v>1211</v>
      </c>
      <c r="S192" s="27" t="s">
        <v>1211</v>
      </c>
      <c r="T192" s="27"/>
      <c r="U192" s="8" t="s">
        <v>1211</v>
      </c>
      <c r="V192" s="8" t="s">
        <v>1211</v>
      </c>
      <c r="W192" s="8" t="s">
        <v>1211</v>
      </c>
      <c r="X192" s="27" t="s">
        <v>1211</v>
      </c>
      <c r="Y192" s="27" t="s">
        <v>1211</v>
      </c>
      <c r="Z192" s="27" t="s">
        <v>1211</v>
      </c>
      <c r="AA192" s="27" t="s">
        <v>1211</v>
      </c>
      <c r="AB192" s="27" t="s">
        <v>1211</v>
      </c>
      <c r="AC192" s="27" t="s">
        <v>1211</v>
      </c>
      <c r="AD192" s="27" t="s">
        <v>1211</v>
      </c>
      <c r="AE192" s="27" t="s">
        <v>1211</v>
      </c>
      <c r="AF192" s="27" t="s">
        <v>1211</v>
      </c>
      <c r="AG192" s="27" t="s">
        <v>1211</v>
      </c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  <c r="AS192" s="27"/>
    </row>
    <row r="193" spans="1:45" ht="15.75" thickBot="1" x14ac:dyDescent="0.3">
      <c r="A193" s="51" t="s">
        <v>433</v>
      </c>
      <c r="B193" s="51" t="s">
        <v>455</v>
      </c>
      <c r="C193" s="51"/>
      <c r="D193" s="51" t="s">
        <v>456</v>
      </c>
      <c r="E193" s="51" t="s">
        <v>19</v>
      </c>
      <c r="F193" s="51" t="s">
        <v>36</v>
      </c>
      <c r="G193" s="51"/>
      <c r="H193" s="51" t="s">
        <v>457</v>
      </c>
      <c r="I193" s="16">
        <v>-348042930000</v>
      </c>
      <c r="J193" s="16">
        <v>-582667740000</v>
      </c>
      <c r="K193" s="51" t="s">
        <v>1006</v>
      </c>
      <c r="L193" s="53">
        <f t="shared" si="16"/>
        <v>29</v>
      </c>
      <c r="M193" s="17">
        <f t="shared" si="14"/>
        <v>1</v>
      </c>
      <c r="N193" s="18">
        <f t="shared" si="15"/>
        <v>0.96666666666666667</v>
      </c>
      <c r="O193" s="27"/>
      <c r="P193" s="8"/>
      <c r="Q193" s="8"/>
      <c r="R193" s="8"/>
      <c r="S193" s="27"/>
      <c r="T193" s="27"/>
      <c r="U193" s="8"/>
      <c r="V193" s="8" t="s">
        <v>1211</v>
      </c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  <c r="AS193" s="27"/>
    </row>
    <row r="194" spans="1:45" ht="15.75" thickBot="1" x14ac:dyDescent="0.3">
      <c r="A194" s="51" t="s">
        <v>433</v>
      </c>
      <c r="B194" s="51" t="s">
        <v>458</v>
      </c>
      <c r="C194" s="51" t="s">
        <v>1400</v>
      </c>
      <c r="D194" s="51" t="s">
        <v>459</v>
      </c>
      <c r="E194" s="51" t="s">
        <v>19</v>
      </c>
      <c r="F194" s="51" t="s">
        <v>36</v>
      </c>
      <c r="G194" s="51"/>
      <c r="H194" s="51"/>
      <c r="I194" s="16">
        <v>-348481080000</v>
      </c>
      <c r="J194" s="16">
        <v>-582908230000</v>
      </c>
      <c r="K194" s="51" t="s">
        <v>1007</v>
      </c>
      <c r="L194" s="53">
        <f t="shared" si="16"/>
        <v>27</v>
      </c>
      <c r="M194" s="17">
        <f t="shared" si="14"/>
        <v>3</v>
      </c>
      <c r="N194" s="18">
        <f t="shared" si="15"/>
        <v>0.9</v>
      </c>
      <c r="O194" s="27"/>
      <c r="P194" s="8"/>
      <c r="Q194" s="8"/>
      <c r="R194" s="8"/>
      <c r="S194" s="27"/>
      <c r="T194" s="27"/>
      <c r="U194" s="8"/>
      <c r="V194" s="8"/>
      <c r="W194" s="8" t="s">
        <v>1211</v>
      </c>
      <c r="X194" s="27" t="s">
        <v>1211</v>
      </c>
      <c r="Y194" s="27" t="s">
        <v>1211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  <c r="AS194" s="27"/>
    </row>
    <row r="195" spans="1:45" ht="15.75" thickBot="1" x14ac:dyDescent="0.3">
      <c r="A195" s="51" t="s">
        <v>460</v>
      </c>
      <c r="B195" s="51" t="s">
        <v>461</v>
      </c>
      <c r="C195" s="51" t="s">
        <v>1400</v>
      </c>
      <c r="D195" s="51" t="s">
        <v>462</v>
      </c>
      <c r="E195" s="51" t="s">
        <v>102</v>
      </c>
      <c r="F195" s="51" t="s">
        <v>36</v>
      </c>
      <c r="G195" s="51"/>
      <c r="H195" s="51" t="s">
        <v>463</v>
      </c>
      <c r="I195" s="16">
        <v>-348434280000</v>
      </c>
      <c r="J195" s="16">
        <v>-582840340000</v>
      </c>
      <c r="K195" s="51" t="s">
        <v>1008</v>
      </c>
      <c r="L195" s="53">
        <f t="shared" si="16"/>
        <v>30</v>
      </c>
      <c r="M195" s="17">
        <f t="shared" si="14"/>
        <v>0</v>
      </c>
      <c r="N195" s="18">
        <f t="shared" si="15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57"/>
      <c r="Z195" s="5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  <c r="AS195" s="27"/>
    </row>
    <row r="196" spans="1:45" ht="15.75" thickBot="1" x14ac:dyDescent="0.3">
      <c r="A196" s="51" t="s">
        <v>460</v>
      </c>
      <c r="B196" s="51" t="s">
        <v>464</v>
      </c>
      <c r="C196" s="51"/>
      <c r="D196" s="51" t="s">
        <v>462</v>
      </c>
      <c r="E196" s="51" t="s">
        <v>102</v>
      </c>
      <c r="F196" s="51" t="s">
        <v>36</v>
      </c>
      <c r="G196" s="51"/>
      <c r="H196" s="51" t="s">
        <v>463</v>
      </c>
      <c r="I196" s="16">
        <v>-348434120000</v>
      </c>
      <c r="J196" s="16">
        <v>-582840350000</v>
      </c>
      <c r="K196" s="51" t="s">
        <v>1009</v>
      </c>
      <c r="L196" s="53">
        <f t="shared" si="16"/>
        <v>30</v>
      </c>
      <c r="M196" s="17">
        <f t="shared" si="14"/>
        <v>0</v>
      </c>
      <c r="N196" s="18">
        <f t="shared" si="15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  <c r="AS196" s="27"/>
    </row>
    <row r="197" spans="1:45" ht="15.75" thickBot="1" x14ac:dyDescent="0.3">
      <c r="A197" s="51" t="s">
        <v>460</v>
      </c>
      <c r="B197" s="51" t="s">
        <v>465</v>
      </c>
      <c r="C197" s="51" t="s">
        <v>1400</v>
      </c>
      <c r="D197" s="51" t="s">
        <v>466</v>
      </c>
      <c r="E197" s="51" t="s">
        <v>102</v>
      </c>
      <c r="F197" s="51" t="s">
        <v>36</v>
      </c>
      <c r="G197" s="51"/>
      <c r="H197" s="51" t="s">
        <v>467</v>
      </c>
      <c r="I197" s="16">
        <v>-348403890000</v>
      </c>
      <c r="J197" s="16">
        <v>-582866050000</v>
      </c>
      <c r="K197" s="51" t="s">
        <v>1010</v>
      </c>
      <c r="L197" s="53">
        <f t="shared" si="16"/>
        <v>27</v>
      </c>
      <c r="M197" s="17">
        <f t="shared" ref="M197:M262" si="17">COUNTIF(O197:AP197,"APAGADO")</f>
        <v>3</v>
      </c>
      <c r="N197" s="18">
        <f t="shared" ref="N197:N262" si="18">(L197)/(M197+L197)</f>
        <v>0.9</v>
      </c>
      <c r="O197" s="27"/>
      <c r="P197" s="8"/>
      <c r="Q197" s="8"/>
      <c r="R197" s="8"/>
      <c r="S197" s="27"/>
      <c r="T197" s="27"/>
      <c r="U197" s="8" t="s">
        <v>1211</v>
      </c>
      <c r="V197" s="8" t="s">
        <v>1211</v>
      </c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 t="s">
        <v>1211</v>
      </c>
      <c r="AJ197" s="27"/>
      <c r="AK197" s="8"/>
      <c r="AL197" s="8"/>
      <c r="AM197" s="8"/>
      <c r="AN197" s="27"/>
      <c r="AO197" s="8"/>
      <c r="AP197" s="8"/>
      <c r="AQ197" s="27"/>
      <c r="AR197" s="27"/>
      <c r="AS197" s="27"/>
    </row>
    <row r="198" spans="1:45" ht="15.75" thickBot="1" x14ac:dyDescent="0.3">
      <c r="A198" s="51" t="s">
        <v>460</v>
      </c>
      <c r="B198" s="51" t="s">
        <v>468</v>
      </c>
      <c r="C198" s="51" t="s">
        <v>1400</v>
      </c>
      <c r="D198" s="51" t="s">
        <v>466</v>
      </c>
      <c r="E198" s="51" t="s">
        <v>102</v>
      </c>
      <c r="F198" s="51" t="s">
        <v>36</v>
      </c>
      <c r="G198" s="51"/>
      <c r="H198" s="51" t="s">
        <v>467</v>
      </c>
      <c r="I198" s="16">
        <v>-348403890000</v>
      </c>
      <c r="J198" s="16">
        <v>-582866050000</v>
      </c>
      <c r="K198" s="51" t="s">
        <v>1011</v>
      </c>
      <c r="L198" s="53">
        <f t="shared" ref="L198:L261" si="19">COUNTIF(O198:AR198,"")</f>
        <v>27</v>
      </c>
      <c r="M198" s="17">
        <f t="shared" si="17"/>
        <v>3</v>
      </c>
      <c r="N198" s="18">
        <f t="shared" si="18"/>
        <v>0.9</v>
      </c>
      <c r="O198" s="27"/>
      <c r="P198" s="8"/>
      <c r="Q198" s="8"/>
      <c r="R198" s="8"/>
      <c r="S198" s="27"/>
      <c r="T198" s="27"/>
      <c r="U198" s="8" t="s">
        <v>1211</v>
      </c>
      <c r="V198" s="8" t="s">
        <v>1211</v>
      </c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 t="s">
        <v>1211</v>
      </c>
      <c r="AJ198" s="27"/>
      <c r="AK198" s="8"/>
      <c r="AL198" s="8"/>
      <c r="AM198" s="8"/>
      <c r="AN198" s="27"/>
      <c r="AO198" s="8"/>
      <c r="AP198" s="8"/>
      <c r="AQ198" s="27"/>
      <c r="AR198" s="27"/>
      <c r="AS198" s="27"/>
    </row>
    <row r="199" spans="1:45" ht="15.75" thickBot="1" x14ac:dyDescent="0.3">
      <c r="A199" s="51" t="s">
        <v>58</v>
      </c>
      <c r="B199" s="51" t="s">
        <v>470</v>
      </c>
      <c r="C199" s="51"/>
      <c r="D199" s="51" t="s">
        <v>471</v>
      </c>
      <c r="E199" s="51" t="s">
        <v>19</v>
      </c>
      <c r="F199" s="51" t="s">
        <v>36</v>
      </c>
      <c r="G199" s="51"/>
      <c r="H199" s="51" t="s">
        <v>472</v>
      </c>
      <c r="I199" s="16">
        <v>-347980180000</v>
      </c>
      <c r="J199" s="16">
        <v>-583162160000</v>
      </c>
      <c r="K199" s="51" t="s">
        <v>1014</v>
      </c>
      <c r="L199" s="53">
        <f t="shared" si="19"/>
        <v>29</v>
      </c>
      <c r="M199" s="17">
        <f t="shared" si="17"/>
        <v>1</v>
      </c>
      <c r="N199" s="18">
        <f t="shared" si="18"/>
        <v>0.96666666666666667</v>
      </c>
      <c r="O199" s="27"/>
      <c r="P199" s="8"/>
      <c r="Q199" s="8"/>
      <c r="R199" s="8"/>
      <c r="S199" s="27"/>
      <c r="T199" s="27"/>
      <c r="U199" s="8"/>
      <c r="V199" s="8" t="s">
        <v>1211</v>
      </c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  <c r="AS199" s="27"/>
    </row>
    <row r="200" spans="1:45" ht="15.75" thickBot="1" x14ac:dyDescent="0.3">
      <c r="A200" s="51" t="s">
        <v>58</v>
      </c>
      <c r="B200" s="51" t="s">
        <v>473</v>
      </c>
      <c r="C200" s="51"/>
      <c r="D200" s="51" t="s">
        <v>471</v>
      </c>
      <c r="E200" s="51" t="s">
        <v>102</v>
      </c>
      <c r="F200" s="51" t="s">
        <v>36</v>
      </c>
      <c r="G200" s="51"/>
      <c r="H200" s="51" t="s">
        <v>472</v>
      </c>
      <c r="I200" s="16">
        <v>-347980200000</v>
      </c>
      <c r="J200" s="16">
        <v>-583162180000</v>
      </c>
      <c r="K200" s="51" t="s">
        <v>1015</v>
      </c>
      <c r="L200" s="53">
        <f t="shared" si="19"/>
        <v>29</v>
      </c>
      <c r="M200" s="17">
        <f t="shared" si="17"/>
        <v>1</v>
      </c>
      <c r="N200" s="18">
        <f t="shared" si="18"/>
        <v>0.96666666666666667</v>
      </c>
      <c r="O200" s="27"/>
      <c r="P200" s="8"/>
      <c r="Q200" s="8"/>
      <c r="R200" s="8"/>
      <c r="S200" s="27"/>
      <c r="T200" s="27"/>
      <c r="U200" s="8"/>
      <c r="V200" s="8" t="s">
        <v>1211</v>
      </c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  <c r="AS200" s="27"/>
    </row>
    <row r="201" spans="1:45" ht="15.75" thickBot="1" x14ac:dyDescent="0.3">
      <c r="A201" s="51" t="s">
        <v>268</v>
      </c>
      <c r="B201" s="51" t="s">
        <v>474</v>
      </c>
      <c r="C201" s="51"/>
      <c r="D201" s="51" t="s">
        <v>475</v>
      </c>
      <c r="E201" s="51" t="s">
        <v>19</v>
      </c>
      <c r="F201" s="51" t="s">
        <v>36</v>
      </c>
      <c r="G201" s="51"/>
      <c r="H201" s="51" t="s">
        <v>476</v>
      </c>
      <c r="I201" s="16">
        <v>-348657160000</v>
      </c>
      <c r="J201" s="16">
        <v>-581910020000</v>
      </c>
      <c r="K201" s="51" t="s">
        <v>1016</v>
      </c>
      <c r="L201" s="53">
        <f t="shared" si="19"/>
        <v>27</v>
      </c>
      <c r="M201" s="17">
        <f t="shared" si="17"/>
        <v>3</v>
      </c>
      <c r="N201" s="18">
        <f t="shared" si="18"/>
        <v>0.9</v>
      </c>
      <c r="O201" s="27"/>
      <c r="P201" s="8"/>
      <c r="Q201" s="8"/>
      <c r="R201" s="8" t="s">
        <v>1211</v>
      </c>
      <c r="S201" s="27"/>
      <c r="T201" s="27"/>
      <c r="U201" s="8"/>
      <c r="V201" s="8" t="s">
        <v>1211</v>
      </c>
      <c r="W201" s="8" t="s">
        <v>1211</v>
      </c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  <c r="AS201" s="27"/>
    </row>
    <row r="202" spans="1:45" ht="15.75" thickBot="1" x14ac:dyDescent="0.3">
      <c r="A202" s="51" t="s">
        <v>268</v>
      </c>
      <c r="B202" s="51" t="s">
        <v>477</v>
      </c>
      <c r="C202" s="51" t="s">
        <v>1400</v>
      </c>
      <c r="D202" s="51" t="s">
        <v>475</v>
      </c>
      <c r="E202" s="51" t="s">
        <v>102</v>
      </c>
      <c r="F202" s="51" t="s">
        <v>36</v>
      </c>
      <c r="G202" s="51"/>
      <c r="H202" s="51" t="s">
        <v>478</v>
      </c>
      <c r="I202" s="16">
        <v>-348657160000</v>
      </c>
      <c r="J202" s="16">
        <v>-581910020000</v>
      </c>
      <c r="K202" s="51" t="s">
        <v>1017</v>
      </c>
      <c r="L202" s="53">
        <f t="shared" si="19"/>
        <v>28</v>
      </c>
      <c r="M202" s="17">
        <f t="shared" si="17"/>
        <v>2</v>
      </c>
      <c r="N202" s="18">
        <f t="shared" si="18"/>
        <v>0.93333333333333335</v>
      </c>
      <c r="O202" s="27"/>
      <c r="P202" s="8"/>
      <c r="Q202" s="8"/>
      <c r="R202" s="8" t="s">
        <v>1211</v>
      </c>
      <c r="S202" s="27"/>
      <c r="T202" s="27"/>
      <c r="U202" s="8"/>
      <c r="V202" s="8"/>
      <c r="W202" s="8" t="s">
        <v>1211</v>
      </c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  <c r="AS202" s="27"/>
    </row>
    <row r="203" spans="1:45" ht="15.75" thickBot="1" x14ac:dyDescent="0.3">
      <c r="A203" s="51" t="s">
        <v>306</v>
      </c>
      <c r="B203" s="51" t="s">
        <v>479</v>
      </c>
      <c r="C203" s="51"/>
      <c r="D203" s="51" t="s">
        <v>480</v>
      </c>
      <c r="E203" s="51" t="s">
        <v>19</v>
      </c>
      <c r="F203" s="51" t="s">
        <v>36</v>
      </c>
      <c r="G203" s="51"/>
      <c r="H203" s="51" t="s">
        <v>476</v>
      </c>
      <c r="I203" s="16">
        <v>-348711900000</v>
      </c>
      <c r="J203" s="16">
        <v>-581914850000</v>
      </c>
      <c r="K203" s="51" t="s">
        <v>1018</v>
      </c>
      <c r="L203" s="53">
        <f t="shared" si="19"/>
        <v>29</v>
      </c>
      <c r="M203" s="17">
        <f t="shared" si="17"/>
        <v>1</v>
      </c>
      <c r="N203" s="18">
        <f t="shared" si="18"/>
        <v>0.96666666666666667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 t="s">
        <v>1211</v>
      </c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  <c r="AS203" s="27"/>
    </row>
    <row r="204" spans="1:45" ht="15.75" thickBot="1" x14ac:dyDescent="0.3">
      <c r="A204" s="51" t="s">
        <v>306</v>
      </c>
      <c r="B204" s="51" t="s">
        <v>481</v>
      </c>
      <c r="C204" s="51" t="s">
        <v>1400</v>
      </c>
      <c r="D204" s="51" t="s">
        <v>480</v>
      </c>
      <c r="E204" s="51" t="s">
        <v>102</v>
      </c>
      <c r="F204" s="51" t="s">
        <v>36</v>
      </c>
      <c r="G204" s="51"/>
      <c r="H204" s="51" t="s">
        <v>478</v>
      </c>
      <c r="I204" s="16">
        <v>-348711900000</v>
      </c>
      <c r="J204" s="16">
        <v>-581914850000</v>
      </c>
      <c r="K204" s="51" t="s">
        <v>1019</v>
      </c>
      <c r="L204" s="53">
        <f t="shared" si="19"/>
        <v>30</v>
      </c>
      <c r="M204" s="17">
        <f t="shared" si="17"/>
        <v>0</v>
      </c>
      <c r="N204" s="18">
        <f t="shared" si="18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  <c r="AS204" s="27"/>
    </row>
    <row r="205" spans="1:45" ht="15.75" thickBot="1" x14ac:dyDescent="0.3">
      <c r="A205" s="51" t="s">
        <v>326</v>
      </c>
      <c r="B205" s="51" t="s">
        <v>1296</v>
      </c>
      <c r="C205" s="51" t="s">
        <v>1400</v>
      </c>
      <c r="D205" s="51" t="s">
        <v>482</v>
      </c>
      <c r="E205" s="51" t="s">
        <v>24</v>
      </c>
      <c r="F205" s="51" t="s">
        <v>36</v>
      </c>
      <c r="G205" s="51"/>
      <c r="H205" s="51" t="s">
        <v>273</v>
      </c>
      <c r="I205" s="16">
        <v>-348096600000</v>
      </c>
      <c r="J205" s="16">
        <v>-583016800000</v>
      </c>
      <c r="K205" s="51" t="s">
        <v>1029</v>
      </c>
      <c r="L205" s="53">
        <f t="shared" si="19"/>
        <v>30</v>
      </c>
      <c r="M205" s="17">
        <f t="shared" si="17"/>
        <v>0</v>
      </c>
      <c r="N205" s="18">
        <f t="shared" si="18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  <c r="AS205" s="27"/>
    </row>
    <row r="206" spans="1:45" ht="15.75" thickBot="1" x14ac:dyDescent="0.3">
      <c r="A206" s="51" t="s">
        <v>326</v>
      </c>
      <c r="B206" s="51" t="s">
        <v>483</v>
      </c>
      <c r="C206" s="51" t="s">
        <v>1400</v>
      </c>
      <c r="D206" s="51" t="s">
        <v>482</v>
      </c>
      <c r="E206" s="51" t="s">
        <v>102</v>
      </c>
      <c r="F206" s="51" t="s">
        <v>36</v>
      </c>
      <c r="G206" s="51"/>
      <c r="H206" s="51" t="s">
        <v>484</v>
      </c>
      <c r="I206" s="16">
        <v>-348095830000</v>
      </c>
      <c r="J206" s="16">
        <v>-583017120000</v>
      </c>
      <c r="K206" s="51" t="s">
        <v>1020</v>
      </c>
      <c r="L206" s="53">
        <f t="shared" si="19"/>
        <v>12</v>
      </c>
      <c r="M206" s="17">
        <f t="shared" si="17"/>
        <v>18</v>
      </c>
      <c r="N206" s="18">
        <f t="shared" si="18"/>
        <v>0.4</v>
      </c>
      <c r="O206" s="27" t="s">
        <v>1211</v>
      </c>
      <c r="P206" s="8" t="s">
        <v>1211</v>
      </c>
      <c r="Q206" s="8" t="s">
        <v>1211</v>
      </c>
      <c r="R206" s="8" t="s">
        <v>1211</v>
      </c>
      <c r="S206" s="27" t="s">
        <v>1211</v>
      </c>
      <c r="T206" s="27"/>
      <c r="U206" s="8" t="s">
        <v>1211</v>
      </c>
      <c r="V206" s="8" t="s">
        <v>1211</v>
      </c>
      <c r="W206" s="8" t="s">
        <v>1211</v>
      </c>
      <c r="X206" s="27" t="s">
        <v>1211</v>
      </c>
      <c r="Y206" s="27" t="s">
        <v>1211</v>
      </c>
      <c r="Z206" s="27" t="s">
        <v>1211</v>
      </c>
      <c r="AA206" s="27" t="s">
        <v>1211</v>
      </c>
      <c r="AB206" s="27" t="s">
        <v>1211</v>
      </c>
      <c r="AC206" s="27" t="s">
        <v>1211</v>
      </c>
      <c r="AD206" s="27" t="s">
        <v>1211</v>
      </c>
      <c r="AE206" s="27" t="s">
        <v>1211</v>
      </c>
      <c r="AF206" s="27" t="s">
        <v>1211</v>
      </c>
      <c r="AG206" s="27" t="s">
        <v>1211</v>
      </c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  <c r="AS206" s="27"/>
    </row>
    <row r="207" spans="1:45" ht="15.75" thickBot="1" x14ac:dyDescent="0.3">
      <c r="A207" s="51" t="s">
        <v>402</v>
      </c>
      <c r="B207" s="51" t="s">
        <v>485</v>
      </c>
      <c r="C207" s="51" t="s">
        <v>1399</v>
      </c>
      <c r="D207" s="51" t="s">
        <v>486</v>
      </c>
      <c r="E207" s="51" t="s">
        <v>102</v>
      </c>
      <c r="F207" s="51" t="s">
        <v>36</v>
      </c>
      <c r="G207" s="51"/>
      <c r="H207" s="51" t="s">
        <v>487</v>
      </c>
      <c r="I207" s="16">
        <v>-348071780000</v>
      </c>
      <c r="J207" s="16">
        <v>-583115710000</v>
      </c>
      <c r="K207" s="51" t="s">
        <v>1021</v>
      </c>
      <c r="L207" s="53">
        <f t="shared" si="19"/>
        <v>19</v>
      </c>
      <c r="M207" s="17">
        <f t="shared" si="17"/>
        <v>11</v>
      </c>
      <c r="N207" s="18">
        <f t="shared" si="18"/>
        <v>0.6333333333333333</v>
      </c>
      <c r="O207" s="27" t="s">
        <v>1211</v>
      </c>
      <c r="P207" s="8" t="s">
        <v>1211</v>
      </c>
      <c r="Q207" s="8" t="s">
        <v>1211</v>
      </c>
      <c r="R207" s="8" t="s">
        <v>1211</v>
      </c>
      <c r="S207" s="27" t="s">
        <v>1211</v>
      </c>
      <c r="T207" s="27"/>
      <c r="U207" s="8" t="s">
        <v>1211</v>
      </c>
      <c r="V207" s="8" t="s">
        <v>1211</v>
      </c>
      <c r="W207" s="8" t="s">
        <v>1211</v>
      </c>
      <c r="X207" s="27" t="s">
        <v>1211</v>
      </c>
      <c r="Y207" s="27" t="s">
        <v>1211</v>
      </c>
      <c r="Z207" s="27" t="s">
        <v>1211</v>
      </c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  <c r="AS207" s="27"/>
    </row>
    <row r="208" spans="1:45" ht="15.75" thickBot="1" x14ac:dyDescent="0.3">
      <c r="A208" s="51" t="s">
        <v>488</v>
      </c>
      <c r="B208" s="51" t="s">
        <v>489</v>
      </c>
      <c r="C208" s="51" t="s">
        <v>1400</v>
      </c>
      <c r="D208" s="51" t="s">
        <v>490</v>
      </c>
      <c r="E208" s="51" t="s">
        <v>19</v>
      </c>
      <c r="F208" s="51" t="s">
        <v>36</v>
      </c>
      <c r="G208" s="51"/>
      <c r="H208" s="51" t="s">
        <v>484</v>
      </c>
      <c r="I208" s="16">
        <v>-348476780000</v>
      </c>
      <c r="J208" s="16">
        <v>-582894530000</v>
      </c>
      <c r="K208" s="51" t="s">
        <v>1023</v>
      </c>
      <c r="L208" s="53">
        <f t="shared" si="19"/>
        <v>27</v>
      </c>
      <c r="M208" s="17">
        <f t="shared" si="17"/>
        <v>3</v>
      </c>
      <c r="N208" s="18">
        <f t="shared" si="18"/>
        <v>0.9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 t="s">
        <v>1211</v>
      </c>
      <c r="AB208" s="27" t="s">
        <v>1211</v>
      </c>
      <c r="AC208" s="27" t="s">
        <v>1211</v>
      </c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  <c r="AS208" s="27"/>
    </row>
    <row r="209" spans="1:45" ht="15.75" thickBot="1" x14ac:dyDescent="0.3">
      <c r="A209" s="51" t="s">
        <v>488</v>
      </c>
      <c r="B209" s="51" t="s">
        <v>491</v>
      </c>
      <c r="C209" s="51" t="s">
        <v>1400</v>
      </c>
      <c r="D209" s="51" t="s">
        <v>490</v>
      </c>
      <c r="E209" s="51" t="s">
        <v>102</v>
      </c>
      <c r="F209" s="51" t="s">
        <v>36</v>
      </c>
      <c r="G209" s="51"/>
      <c r="H209" s="51" t="s">
        <v>484</v>
      </c>
      <c r="I209" s="16">
        <v>-348477280000</v>
      </c>
      <c r="J209" s="16">
        <v>-582894670000</v>
      </c>
      <c r="K209" s="51" t="s">
        <v>1024</v>
      </c>
      <c r="L209" s="53">
        <f t="shared" si="19"/>
        <v>30</v>
      </c>
      <c r="M209" s="17">
        <f t="shared" si="17"/>
        <v>0</v>
      </c>
      <c r="N209" s="18">
        <f t="shared" si="18"/>
        <v>1</v>
      </c>
      <c r="O209" s="27"/>
      <c r="P209" s="8"/>
      <c r="Q209" s="8"/>
      <c r="R209" s="8"/>
      <c r="S209" s="27"/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  <c r="AS209" s="27"/>
    </row>
    <row r="210" spans="1:45" ht="15.75" thickBot="1" x14ac:dyDescent="0.3">
      <c r="A210" s="51" t="s">
        <v>492</v>
      </c>
      <c r="B210" s="51" t="s">
        <v>1297</v>
      </c>
      <c r="C210" s="51" t="s">
        <v>1400</v>
      </c>
      <c r="D210" s="51" t="s">
        <v>493</v>
      </c>
      <c r="E210" s="51" t="s">
        <v>19</v>
      </c>
      <c r="F210" s="51" t="s">
        <v>36</v>
      </c>
      <c r="G210" s="51"/>
      <c r="H210" s="51" t="s">
        <v>484</v>
      </c>
      <c r="I210" s="16">
        <v>-348676700000</v>
      </c>
      <c r="J210" s="16">
        <v>-582754020000</v>
      </c>
      <c r="K210" s="51" t="s">
        <v>1030</v>
      </c>
      <c r="L210" s="53">
        <f t="shared" si="19"/>
        <v>29</v>
      </c>
      <c r="M210" s="17">
        <f t="shared" si="17"/>
        <v>1</v>
      </c>
      <c r="N210" s="18">
        <f t="shared" si="18"/>
        <v>0.96666666666666667</v>
      </c>
      <c r="O210" s="27"/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 t="s">
        <v>1211</v>
      </c>
      <c r="AJ210" s="27"/>
      <c r="AK210" s="8"/>
      <c r="AL210" s="8"/>
      <c r="AM210" s="8"/>
      <c r="AN210" s="27"/>
      <c r="AO210" s="8"/>
      <c r="AP210" s="8"/>
      <c r="AQ210" s="27"/>
      <c r="AR210" s="27"/>
      <c r="AS210" s="27"/>
    </row>
    <row r="211" spans="1:45" ht="15.75" thickBot="1" x14ac:dyDescent="0.3">
      <c r="A211" s="51" t="s">
        <v>283</v>
      </c>
      <c r="B211" s="51" t="s">
        <v>494</v>
      </c>
      <c r="C211" s="51" t="s">
        <v>1400</v>
      </c>
      <c r="D211" s="51" t="s">
        <v>495</v>
      </c>
      <c r="E211" s="51" t="s">
        <v>19</v>
      </c>
      <c r="F211" s="51" t="s">
        <v>1391</v>
      </c>
      <c r="G211" s="51"/>
      <c r="H211" s="51" t="s">
        <v>496</v>
      </c>
      <c r="I211" s="16">
        <v>-348181990000</v>
      </c>
      <c r="J211" s="16">
        <v>-583002490000</v>
      </c>
      <c r="K211" s="51" t="s">
        <v>1025</v>
      </c>
      <c r="L211" s="53">
        <f t="shared" si="19"/>
        <v>12</v>
      </c>
      <c r="M211" s="17">
        <f t="shared" si="17"/>
        <v>18</v>
      </c>
      <c r="N211" s="18">
        <f t="shared" si="18"/>
        <v>0.4</v>
      </c>
      <c r="O211" s="27" t="s">
        <v>1211</v>
      </c>
      <c r="P211" s="8" t="s">
        <v>1211</v>
      </c>
      <c r="Q211" s="8" t="s">
        <v>1211</v>
      </c>
      <c r="R211" s="8" t="s">
        <v>1211</v>
      </c>
      <c r="S211" s="27" t="s">
        <v>1211</v>
      </c>
      <c r="T211" s="27"/>
      <c r="U211" s="8" t="s">
        <v>1211</v>
      </c>
      <c r="V211" s="8" t="s">
        <v>1211</v>
      </c>
      <c r="W211" s="8" t="s">
        <v>1211</v>
      </c>
      <c r="X211" s="27" t="s">
        <v>1211</v>
      </c>
      <c r="Y211" s="27" t="s">
        <v>1211</v>
      </c>
      <c r="Z211" s="27" t="s">
        <v>1211</v>
      </c>
      <c r="AA211" s="27" t="s">
        <v>1211</v>
      </c>
      <c r="AB211" s="27" t="s">
        <v>1211</v>
      </c>
      <c r="AC211" s="27" t="s">
        <v>1211</v>
      </c>
      <c r="AD211" s="27" t="s">
        <v>1211</v>
      </c>
      <c r="AE211" s="27" t="s">
        <v>1211</v>
      </c>
      <c r="AF211" s="27" t="s">
        <v>1211</v>
      </c>
      <c r="AG211" s="27" t="s">
        <v>1211</v>
      </c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  <c r="AS211" s="27"/>
    </row>
    <row r="212" spans="1:45" ht="15.75" thickBot="1" x14ac:dyDescent="0.3">
      <c r="A212" s="51" t="s">
        <v>283</v>
      </c>
      <c r="B212" s="51" t="s">
        <v>497</v>
      </c>
      <c r="C212" s="51"/>
      <c r="D212" s="51" t="s">
        <v>495</v>
      </c>
      <c r="E212" s="51" t="s">
        <v>102</v>
      </c>
      <c r="F212" s="51" t="s">
        <v>1391</v>
      </c>
      <c r="G212" s="51"/>
      <c r="H212" s="51" t="s">
        <v>496</v>
      </c>
      <c r="I212" s="16">
        <v>-348181940000</v>
      </c>
      <c r="J212" s="16">
        <v>-583002740000</v>
      </c>
      <c r="K212" s="51" t="s">
        <v>1026</v>
      </c>
      <c r="L212" s="53">
        <f t="shared" si="19"/>
        <v>12</v>
      </c>
      <c r="M212" s="17">
        <f t="shared" si="17"/>
        <v>18</v>
      </c>
      <c r="N212" s="18">
        <f t="shared" si="18"/>
        <v>0.4</v>
      </c>
      <c r="O212" s="27" t="s">
        <v>1211</v>
      </c>
      <c r="P212" s="8" t="s">
        <v>1211</v>
      </c>
      <c r="Q212" s="8" t="s">
        <v>1211</v>
      </c>
      <c r="R212" s="8" t="s">
        <v>1211</v>
      </c>
      <c r="S212" s="27" t="s">
        <v>1211</v>
      </c>
      <c r="T212" s="27"/>
      <c r="U212" s="8" t="s">
        <v>1211</v>
      </c>
      <c r="V212" s="8" t="s">
        <v>1211</v>
      </c>
      <c r="W212" s="8" t="s">
        <v>1211</v>
      </c>
      <c r="X212" s="27" t="s">
        <v>1211</v>
      </c>
      <c r="Y212" s="27" t="s">
        <v>1211</v>
      </c>
      <c r="Z212" s="27" t="s">
        <v>1211</v>
      </c>
      <c r="AA212" s="27" t="s">
        <v>1211</v>
      </c>
      <c r="AB212" s="27" t="s">
        <v>1211</v>
      </c>
      <c r="AC212" s="27" t="s">
        <v>1211</v>
      </c>
      <c r="AD212" s="27" t="s">
        <v>1211</v>
      </c>
      <c r="AE212" s="27" t="s">
        <v>1211</v>
      </c>
      <c r="AF212" s="27" t="s">
        <v>1211</v>
      </c>
      <c r="AG212" s="27" t="s">
        <v>1211</v>
      </c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  <c r="AS212" s="27"/>
    </row>
    <row r="213" spans="1:45" ht="15.75" thickBot="1" x14ac:dyDescent="0.3">
      <c r="A213" s="51" t="s">
        <v>498</v>
      </c>
      <c r="B213" s="51" t="s">
        <v>499</v>
      </c>
      <c r="C213" s="51" t="s">
        <v>1400</v>
      </c>
      <c r="D213" s="51" t="s">
        <v>1298</v>
      </c>
      <c r="E213" s="51" t="s">
        <v>19</v>
      </c>
      <c r="F213" s="51" t="s">
        <v>36</v>
      </c>
      <c r="G213" s="51"/>
      <c r="H213" s="51" t="s">
        <v>311</v>
      </c>
      <c r="I213" s="16">
        <v>-348181790000</v>
      </c>
      <c r="J213" s="16">
        <v>-582067620000</v>
      </c>
      <c r="K213" s="51" t="s">
        <v>1031</v>
      </c>
      <c r="L213" s="53">
        <f t="shared" si="19"/>
        <v>29</v>
      </c>
      <c r="M213" s="17">
        <f t="shared" si="17"/>
        <v>1</v>
      </c>
      <c r="N213" s="18">
        <f t="shared" si="18"/>
        <v>0.96666666666666667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 t="s">
        <v>1211</v>
      </c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  <c r="AS213" s="27"/>
    </row>
    <row r="214" spans="1:45" ht="15.75" thickBot="1" x14ac:dyDescent="0.3">
      <c r="A214" s="51" t="s">
        <v>498</v>
      </c>
      <c r="B214" s="51" t="s">
        <v>500</v>
      </c>
      <c r="C214" s="51" t="s">
        <v>1400</v>
      </c>
      <c r="D214" s="51" t="s">
        <v>1298</v>
      </c>
      <c r="E214" s="51" t="s">
        <v>102</v>
      </c>
      <c r="F214" s="51" t="s">
        <v>36</v>
      </c>
      <c r="G214" s="51"/>
      <c r="H214" s="20">
        <v>44421</v>
      </c>
      <c r="I214" s="16">
        <v>-348181180000</v>
      </c>
      <c r="J214" s="16">
        <v>-582066990000</v>
      </c>
      <c r="K214" s="51" t="s">
        <v>1032</v>
      </c>
      <c r="L214" s="53">
        <f t="shared" si="19"/>
        <v>25</v>
      </c>
      <c r="M214" s="17">
        <f t="shared" si="17"/>
        <v>5</v>
      </c>
      <c r="N214" s="18">
        <f t="shared" si="18"/>
        <v>0.83333333333333337</v>
      </c>
      <c r="O214" s="27"/>
      <c r="P214" s="8"/>
      <c r="Q214" s="8"/>
      <c r="R214" s="8"/>
      <c r="S214" s="27"/>
      <c r="T214" s="27"/>
      <c r="U214" s="8"/>
      <c r="V214" s="8"/>
      <c r="W214" s="8" t="s">
        <v>1211</v>
      </c>
      <c r="X214" s="27" t="s">
        <v>1211</v>
      </c>
      <c r="Y214" s="27" t="s">
        <v>1211</v>
      </c>
      <c r="Z214" s="27" t="s">
        <v>1211</v>
      </c>
      <c r="AA214" s="27"/>
      <c r="AB214" s="27"/>
      <c r="AC214" s="27"/>
      <c r="AD214" s="27"/>
      <c r="AE214" s="27" t="s">
        <v>1211</v>
      </c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  <c r="AS214" s="27"/>
    </row>
    <row r="215" spans="1:45" ht="15.75" thickBot="1" x14ac:dyDescent="0.3">
      <c r="A215" s="51" t="s">
        <v>488</v>
      </c>
      <c r="B215" s="51" t="s">
        <v>501</v>
      </c>
      <c r="C215" s="51" t="s">
        <v>1400</v>
      </c>
      <c r="D215" s="51" t="s">
        <v>502</v>
      </c>
      <c r="E215" s="51" t="s">
        <v>19</v>
      </c>
      <c r="F215" s="51" t="s">
        <v>36</v>
      </c>
      <c r="G215" s="51"/>
      <c r="H215" s="51" t="s">
        <v>484</v>
      </c>
      <c r="I215" s="16">
        <v>-348315930000</v>
      </c>
      <c r="J215" s="16">
        <v>-582907280000</v>
      </c>
      <c r="K215" s="51" t="s">
        <v>1028</v>
      </c>
      <c r="L215" s="53">
        <f t="shared" si="19"/>
        <v>29</v>
      </c>
      <c r="M215" s="17">
        <f t="shared" si="17"/>
        <v>1</v>
      </c>
      <c r="N215" s="18">
        <f t="shared" si="18"/>
        <v>0.96666666666666667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 t="s">
        <v>1211</v>
      </c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  <c r="AS215" s="27"/>
    </row>
    <row r="216" spans="1:45" ht="15.75" thickBot="1" x14ac:dyDescent="0.3">
      <c r="A216" s="51" t="s">
        <v>488</v>
      </c>
      <c r="B216" s="51" t="s">
        <v>503</v>
      </c>
      <c r="C216" s="51" t="s">
        <v>1400</v>
      </c>
      <c r="D216" s="51" t="s">
        <v>502</v>
      </c>
      <c r="E216" s="51" t="s">
        <v>102</v>
      </c>
      <c r="F216" s="51" t="s">
        <v>36</v>
      </c>
      <c r="G216" s="51"/>
      <c r="H216" s="51" t="s">
        <v>484</v>
      </c>
      <c r="I216" s="16">
        <v>-348315930000</v>
      </c>
      <c r="J216" s="16">
        <v>-582907280000</v>
      </c>
      <c r="K216" s="51" t="s">
        <v>1027</v>
      </c>
      <c r="L216" s="53">
        <f t="shared" si="19"/>
        <v>28</v>
      </c>
      <c r="M216" s="17">
        <f t="shared" si="17"/>
        <v>2</v>
      </c>
      <c r="N216" s="18">
        <f t="shared" si="18"/>
        <v>0.93333333333333335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 t="s">
        <v>1211</v>
      </c>
      <c r="AF216" s="27"/>
      <c r="AG216" s="27"/>
      <c r="AH216" s="27"/>
      <c r="AI216" s="27" t="s">
        <v>1211</v>
      </c>
      <c r="AJ216" s="27"/>
      <c r="AK216" s="8"/>
      <c r="AL216" s="8"/>
      <c r="AM216" s="8"/>
      <c r="AN216" s="27"/>
      <c r="AO216" s="8"/>
      <c r="AP216" s="8"/>
      <c r="AQ216" s="27"/>
      <c r="AR216" s="27"/>
      <c r="AS216" s="27"/>
    </row>
    <row r="217" spans="1:45" ht="15.75" thickBot="1" x14ac:dyDescent="0.3">
      <c r="A217" s="51" t="s">
        <v>264</v>
      </c>
      <c r="B217" s="51" t="s">
        <v>1299</v>
      </c>
      <c r="C217" s="51"/>
      <c r="D217" s="51" t="s">
        <v>1300</v>
      </c>
      <c r="E217" s="51" t="s">
        <v>102</v>
      </c>
      <c r="F217" s="51" t="s">
        <v>36</v>
      </c>
      <c r="G217" s="51"/>
      <c r="H217" s="51"/>
      <c r="I217" s="16">
        <v>-347979210000</v>
      </c>
      <c r="J217" s="16">
        <v>-583159950000</v>
      </c>
      <c r="K217" s="51"/>
      <c r="L217" s="53">
        <f t="shared" si="19"/>
        <v>28</v>
      </c>
      <c r="M217" s="17">
        <f t="shared" si="17"/>
        <v>2</v>
      </c>
      <c r="N217" s="18">
        <f t="shared" si="18"/>
        <v>0.93333333333333335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 t="s">
        <v>1211</v>
      </c>
      <c r="AF217" s="27"/>
      <c r="AG217" s="27"/>
      <c r="AH217" s="27"/>
      <c r="AI217" s="27" t="s">
        <v>1211</v>
      </c>
      <c r="AJ217" s="27"/>
      <c r="AK217" s="8"/>
      <c r="AL217" s="8"/>
      <c r="AM217" s="8"/>
      <c r="AN217" s="27"/>
      <c r="AO217" s="8"/>
      <c r="AP217" s="8"/>
      <c r="AQ217" s="27"/>
      <c r="AR217" s="27"/>
      <c r="AS217" s="27"/>
    </row>
    <row r="218" spans="1:45" ht="15.75" thickBot="1" x14ac:dyDescent="0.3">
      <c r="A218" s="51" t="s">
        <v>268</v>
      </c>
      <c r="B218" s="51" t="s">
        <v>1301</v>
      </c>
      <c r="C218" s="51" t="s">
        <v>1400</v>
      </c>
      <c r="D218" s="51" t="s">
        <v>1302</v>
      </c>
      <c r="E218" s="51" t="s">
        <v>102</v>
      </c>
      <c r="F218" s="51" t="s">
        <v>36</v>
      </c>
      <c r="G218" s="51"/>
      <c r="H218" s="51"/>
      <c r="I218" s="16">
        <v>-348657730000</v>
      </c>
      <c r="J218" s="16">
        <v>-581910410000</v>
      </c>
      <c r="K218" s="51"/>
      <c r="L218" s="53">
        <f t="shared" si="19"/>
        <v>29</v>
      </c>
      <c r="M218" s="17">
        <f t="shared" si="17"/>
        <v>1</v>
      </c>
      <c r="N218" s="18">
        <f t="shared" si="18"/>
        <v>0.96666666666666667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 t="s">
        <v>1211</v>
      </c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  <c r="AS218" s="27"/>
    </row>
    <row r="219" spans="1:45" ht="15.75" thickBot="1" x14ac:dyDescent="0.3">
      <c r="A219" s="51" t="s">
        <v>306</v>
      </c>
      <c r="B219" s="51" t="s">
        <v>1303</v>
      </c>
      <c r="C219" s="51"/>
      <c r="D219" s="51" t="s">
        <v>1304</v>
      </c>
      <c r="E219" s="51" t="s">
        <v>24</v>
      </c>
      <c r="F219" s="51" t="s">
        <v>36</v>
      </c>
      <c r="G219" s="51"/>
      <c r="H219" s="51"/>
      <c r="I219" s="16">
        <v>-348712220000</v>
      </c>
      <c r="J219" s="16">
        <v>-581914160000</v>
      </c>
      <c r="K219" s="51"/>
      <c r="L219" s="53">
        <f t="shared" si="19"/>
        <v>29</v>
      </c>
      <c r="M219" s="17">
        <f t="shared" si="17"/>
        <v>1</v>
      </c>
      <c r="N219" s="18">
        <f t="shared" si="18"/>
        <v>0.96666666666666667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 t="s">
        <v>1211</v>
      </c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  <c r="AS219" s="27"/>
    </row>
    <row r="220" spans="1:45" ht="15.75" thickBot="1" x14ac:dyDescent="0.3">
      <c r="A220" s="51" t="s">
        <v>402</v>
      </c>
      <c r="B220" s="51" t="s">
        <v>504</v>
      </c>
      <c r="C220" s="51" t="s">
        <v>1400</v>
      </c>
      <c r="D220" s="51" t="s">
        <v>486</v>
      </c>
      <c r="E220" s="51" t="s">
        <v>19</v>
      </c>
      <c r="F220" s="51" t="s">
        <v>36</v>
      </c>
      <c r="G220" s="51"/>
      <c r="H220" s="51" t="s">
        <v>484</v>
      </c>
      <c r="I220" s="16">
        <v>-348071730000</v>
      </c>
      <c r="J220" s="16">
        <v>-583116710000</v>
      </c>
      <c r="K220" s="51" t="s">
        <v>1022</v>
      </c>
      <c r="L220" s="53">
        <f t="shared" si="19"/>
        <v>29</v>
      </c>
      <c r="M220" s="17">
        <f t="shared" si="17"/>
        <v>1</v>
      </c>
      <c r="N220" s="18">
        <f t="shared" si="18"/>
        <v>0.96666666666666667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 t="s">
        <v>1211</v>
      </c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  <c r="AS220" s="27"/>
    </row>
    <row r="221" spans="1:45" ht="15.75" thickBot="1" x14ac:dyDescent="0.3">
      <c r="A221" s="51" t="s">
        <v>402</v>
      </c>
      <c r="B221" s="51" t="s">
        <v>1305</v>
      </c>
      <c r="C221" s="51" t="s">
        <v>1400</v>
      </c>
      <c r="D221" s="51" t="s">
        <v>1306</v>
      </c>
      <c r="E221" s="51" t="s">
        <v>102</v>
      </c>
      <c r="F221" s="51" t="s">
        <v>36</v>
      </c>
      <c r="G221" s="51"/>
      <c r="H221" s="51"/>
      <c r="I221" s="16">
        <v>-348072210000</v>
      </c>
      <c r="J221" s="16">
        <v>-583116730000</v>
      </c>
      <c r="K221" s="51"/>
      <c r="L221" s="53">
        <f t="shared" si="19"/>
        <v>29</v>
      </c>
      <c r="M221" s="17">
        <f t="shared" si="17"/>
        <v>1</v>
      </c>
      <c r="N221" s="18">
        <f t="shared" si="18"/>
        <v>0.96666666666666667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 t="s">
        <v>1211</v>
      </c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  <c r="AS221" s="27"/>
    </row>
    <row r="222" spans="1:45" ht="15.75" thickBot="1" x14ac:dyDescent="0.3">
      <c r="A222" s="51" t="s">
        <v>488</v>
      </c>
      <c r="B222" s="51" t="s">
        <v>1307</v>
      </c>
      <c r="C222" s="51" t="s">
        <v>1400</v>
      </c>
      <c r="D222" s="51" t="s">
        <v>490</v>
      </c>
      <c r="E222" s="51" t="s">
        <v>24</v>
      </c>
      <c r="F222" s="51" t="s">
        <v>36</v>
      </c>
      <c r="G222" s="51"/>
      <c r="H222" s="51"/>
      <c r="I222" s="16">
        <v>-348476550000</v>
      </c>
      <c r="J222" s="16">
        <v>-582894140000</v>
      </c>
      <c r="K222" s="51"/>
      <c r="L222" s="53">
        <f t="shared" si="19"/>
        <v>29</v>
      </c>
      <c r="M222" s="17">
        <f t="shared" si="17"/>
        <v>1</v>
      </c>
      <c r="N222" s="18">
        <f t="shared" si="18"/>
        <v>0.96666666666666667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 t="s">
        <v>1211</v>
      </c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  <c r="AS222" s="27"/>
    </row>
    <row r="223" spans="1:45" ht="15.75" thickBot="1" x14ac:dyDescent="0.3">
      <c r="A223" s="51" t="s">
        <v>283</v>
      </c>
      <c r="B223" s="51" t="s">
        <v>1308</v>
      </c>
      <c r="C223" s="51"/>
      <c r="D223" s="51" t="s">
        <v>1309</v>
      </c>
      <c r="E223" s="51" t="s">
        <v>102</v>
      </c>
      <c r="F223" s="51" t="s">
        <v>36</v>
      </c>
      <c r="G223" s="51"/>
      <c r="H223" s="51"/>
      <c r="I223" s="16">
        <v>-348168430000</v>
      </c>
      <c r="J223" s="16">
        <v>-583013400000</v>
      </c>
      <c r="K223" s="51"/>
      <c r="L223" s="53">
        <f t="shared" si="19"/>
        <v>29</v>
      </c>
      <c r="M223" s="17">
        <f t="shared" si="17"/>
        <v>1</v>
      </c>
      <c r="N223" s="18">
        <f t="shared" si="18"/>
        <v>0.96666666666666667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 t="s">
        <v>1211</v>
      </c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  <c r="AS223" s="27"/>
    </row>
    <row r="224" spans="1:45" ht="15.75" thickBot="1" x14ac:dyDescent="0.3">
      <c r="A224" s="51" t="s">
        <v>498</v>
      </c>
      <c r="B224" s="51" t="s">
        <v>1310</v>
      </c>
      <c r="C224" s="51" t="s">
        <v>1400</v>
      </c>
      <c r="D224" s="51" t="s">
        <v>1311</v>
      </c>
      <c r="E224" s="51" t="s">
        <v>24</v>
      </c>
      <c r="F224" s="51" t="s">
        <v>36</v>
      </c>
      <c r="G224" s="51"/>
      <c r="H224" s="51"/>
      <c r="I224" s="16">
        <v>-348183340000</v>
      </c>
      <c r="J224" s="16">
        <v>-582068070000</v>
      </c>
      <c r="K224" s="51"/>
      <c r="L224" s="53">
        <f t="shared" si="19"/>
        <v>29</v>
      </c>
      <c r="M224" s="17">
        <f t="shared" si="17"/>
        <v>1</v>
      </c>
      <c r="N224" s="18">
        <f t="shared" si="18"/>
        <v>0.96666666666666667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 t="s">
        <v>1211</v>
      </c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  <c r="AS224" s="27"/>
    </row>
    <row r="225" spans="1:45" ht="15.75" thickBot="1" x14ac:dyDescent="0.3">
      <c r="A225" s="51" t="s">
        <v>488</v>
      </c>
      <c r="B225" s="51" t="s">
        <v>1312</v>
      </c>
      <c r="C225" s="51" t="s">
        <v>1400</v>
      </c>
      <c r="D225" s="51" t="s">
        <v>1313</v>
      </c>
      <c r="E225" s="51" t="s">
        <v>102</v>
      </c>
      <c r="F225" s="51" t="s">
        <v>36</v>
      </c>
      <c r="G225" s="51"/>
      <c r="H225" s="51"/>
      <c r="I225" s="16">
        <v>-348316590000</v>
      </c>
      <c r="J225" s="16">
        <v>-582907450000</v>
      </c>
      <c r="K225" s="51"/>
      <c r="L225" s="53">
        <f t="shared" si="19"/>
        <v>30</v>
      </c>
      <c r="M225" s="17">
        <f t="shared" si="17"/>
        <v>0</v>
      </c>
      <c r="N225" s="18">
        <f t="shared" si="18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  <c r="AS225" s="27"/>
    </row>
    <row r="226" spans="1:45" ht="15.75" thickBot="1" x14ac:dyDescent="0.3">
      <c r="A226" s="51" t="s">
        <v>326</v>
      </c>
      <c r="B226" s="51" t="s">
        <v>1314</v>
      </c>
      <c r="C226" s="51" t="s">
        <v>1400</v>
      </c>
      <c r="D226" s="51" t="s">
        <v>1315</v>
      </c>
      <c r="E226" s="51" t="s">
        <v>102</v>
      </c>
      <c r="F226" s="51" t="s">
        <v>36</v>
      </c>
      <c r="G226" s="51"/>
      <c r="H226" s="51"/>
      <c r="I226" s="16">
        <v>-348096490000</v>
      </c>
      <c r="J226" s="16">
        <v>-583016470000</v>
      </c>
      <c r="K226" s="51"/>
      <c r="L226" s="53">
        <f t="shared" si="19"/>
        <v>30</v>
      </c>
      <c r="M226" s="17">
        <f t="shared" si="17"/>
        <v>0</v>
      </c>
      <c r="N226" s="18">
        <f t="shared" si="18"/>
        <v>1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  <c r="AS226" s="27"/>
    </row>
    <row r="227" spans="1:45" ht="15.75" thickBot="1" x14ac:dyDescent="0.3">
      <c r="A227" s="51" t="s">
        <v>505</v>
      </c>
      <c r="B227" s="51" t="s">
        <v>506</v>
      </c>
      <c r="C227" s="51" t="s">
        <v>1400</v>
      </c>
      <c r="D227" s="51" t="s">
        <v>507</v>
      </c>
      <c r="E227" s="51" t="s">
        <v>19</v>
      </c>
      <c r="F227" s="51" t="s">
        <v>36</v>
      </c>
      <c r="G227" s="51"/>
      <c r="H227" s="51" t="s">
        <v>508</v>
      </c>
      <c r="I227" s="16">
        <v>-348307510000</v>
      </c>
      <c r="J227" s="16">
        <v>-582304880000</v>
      </c>
      <c r="K227" s="51" t="s">
        <v>1033</v>
      </c>
      <c r="L227" s="53">
        <f t="shared" si="19"/>
        <v>30</v>
      </c>
      <c r="M227" s="17">
        <f t="shared" si="17"/>
        <v>0</v>
      </c>
      <c r="N227" s="18">
        <f t="shared" si="18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  <c r="AS227" s="27"/>
    </row>
    <row r="228" spans="1:45" ht="15.75" thickBot="1" x14ac:dyDescent="0.3">
      <c r="A228" s="51" t="s">
        <v>505</v>
      </c>
      <c r="B228" s="51" t="s">
        <v>1316</v>
      </c>
      <c r="C228" s="51" t="s">
        <v>1400</v>
      </c>
      <c r="D228" s="51" t="s">
        <v>509</v>
      </c>
      <c r="E228" s="51" t="s">
        <v>19</v>
      </c>
      <c r="F228" s="51" t="s">
        <v>36</v>
      </c>
      <c r="G228" s="51"/>
      <c r="H228" s="51" t="s">
        <v>311</v>
      </c>
      <c r="I228" s="16">
        <v>-348296530000</v>
      </c>
      <c r="J228" s="16">
        <v>-582293330000</v>
      </c>
      <c r="K228" s="51" t="s">
        <v>1034</v>
      </c>
      <c r="L228" s="53">
        <f t="shared" si="19"/>
        <v>30</v>
      </c>
      <c r="M228" s="17">
        <f t="shared" si="17"/>
        <v>0</v>
      </c>
      <c r="N228" s="18">
        <f t="shared" si="18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  <c r="AS228" s="27"/>
    </row>
    <row r="229" spans="1:45" ht="15.75" thickBot="1" x14ac:dyDescent="0.3">
      <c r="A229" s="51" t="s">
        <v>505</v>
      </c>
      <c r="B229" s="51" t="s">
        <v>510</v>
      </c>
      <c r="C229" s="51" t="s">
        <v>1400</v>
      </c>
      <c r="D229" s="51" t="s">
        <v>511</v>
      </c>
      <c r="E229" s="51" t="s">
        <v>102</v>
      </c>
      <c r="F229" s="51" t="s">
        <v>36</v>
      </c>
      <c r="G229" s="51"/>
      <c r="H229" s="51" t="s">
        <v>512</v>
      </c>
      <c r="I229" s="16">
        <v>-348304210000</v>
      </c>
      <c r="J229" s="16">
        <v>-582269250000</v>
      </c>
      <c r="K229" s="51" t="s">
        <v>1035</v>
      </c>
      <c r="L229" s="53">
        <f t="shared" si="19"/>
        <v>30</v>
      </c>
      <c r="M229" s="17">
        <f t="shared" si="17"/>
        <v>0</v>
      </c>
      <c r="N229" s="18">
        <f t="shared" si="18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  <c r="AS229" s="27"/>
    </row>
    <row r="230" spans="1:45" ht="15.75" thickBot="1" x14ac:dyDescent="0.3">
      <c r="A230" s="51" t="s">
        <v>505</v>
      </c>
      <c r="B230" s="51" t="s">
        <v>513</v>
      </c>
      <c r="C230" s="51" t="s">
        <v>1400</v>
      </c>
      <c r="D230" s="51" t="s">
        <v>511</v>
      </c>
      <c r="E230" s="51" t="s">
        <v>102</v>
      </c>
      <c r="F230" s="51" t="s">
        <v>36</v>
      </c>
      <c r="G230" s="51"/>
      <c r="H230" s="51" t="s">
        <v>512</v>
      </c>
      <c r="I230" s="16">
        <v>-348304120000</v>
      </c>
      <c r="J230" s="16">
        <v>-582269240000</v>
      </c>
      <c r="K230" s="51" t="s">
        <v>1036</v>
      </c>
      <c r="L230" s="53">
        <f t="shared" si="19"/>
        <v>28</v>
      </c>
      <c r="M230" s="17">
        <f t="shared" si="17"/>
        <v>2</v>
      </c>
      <c r="N230" s="18">
        <f t="shared" si="18"/>
        <v>0.93333333333333335</v>
      </c>
      <c r="O230" s="27"/>
      <c r="P230" s="8"/>
      <c r="Q230" s="8"/>
      <c r="R230" s="8"/>
      <c r="S230" s="27"/>
      <c r="T230" s="27"/>
      <c r="U230" s="8" t="s">
        <v>1211</v>
      </c>
      <c r="V230" s="8" t="s">
        <v>1211</v>
      </c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  <c r="AS230" s="27"/>
    </row>
    <row r="231" spans="1:45" ht="15.75" thickBot="1" x14ac:dyDescent="0.3">
      <c r="A231" s="51" t="s">
        <v>505</v>
      </c>
      <c r="B231" s="51" t="s">
        <v>514</v>
      </c>
      <c r="C231" s="51" t="s">
        <v>1400</v>
      </c>
      <c r="D231" s="51" t="s">
        <v>515</v>
      </c>
      <c r="E231" s="51" t="s">
        <v>102</v>
      </c>
      <c r="F231" s="51" t="s">
        <v>36</v>
      </c>
      <c r="G231" s="51"/>
      <c r="H231" s="51" t="s">
        <v>230</v>
      </c>
      <c r="I231" s="16">
        <v>-348327470000</v>
      </c>
      <c r="J231" s="16">
        <v>-582277380000</v>
      </c>
      <c r="K231" s="51" t="s">
        <v>1037</v>
      </c>
      <c r="L231" s="53">
        <f t="shared" si="19"/>
        <v>12</v>
      </c>
      <c r="M231" s="17">
        <f t="shared" si="17"/>
        <v>18</v>
      </c>
      <c r="N231" s="18">
        <f t="shared" si="18"/>
        <v>0.4</v>
      </c>
      <c r="O231" s="27" t="s">
        <v>1211</v>
      </c>
      <c r="P231" s="8" t="s">
        <v>1211</v>
      </c>
      <c r="Q231" s="8" t="s">
        <v>1211</v>
      </c>
      <c r="R231" s="8" t="s">
        <v>1211</v>
      </c>
      <c r="S231" s="27" t="s">
        <v>1211</v>
      </c>
      <c r="T231" s="27"/>
      <c r="U231" s="8" t="s">
        <v>1211</v>
      </c>
      <c r="V231" s="8" t="s">
        <v>1211</v>
      </c>
      <c r="W231" s="8" t="s">
        <v>1211</v>
      </c>
      <c r="X231" s="27" t="s">
        <v>1211</v>
      </c>
      <c r="Y231" s="27" t="s">
        <v>1211</v>
      </c>
      <c r="Z231" s="27" t="s">
        <v>1211</v>
      </c>
      <c r="AA231" s="27" t="s">
        <v>1211</v>
      </c>
      <c r="AB231" s="27" t="s">
        <v>1211</v>
      </c>
      <c r="AC231" s="27" t="s">
        <v>1211</v>
      </c>
      <c r="AD231" s="27" t="s">
        <v>1211</v>
      </c>
      <c r="AE231" s="27" t="s">
        <v>1211</v>
      </c>
      <c r="AF231" s="27" t="s">
        <v>1211</v>
      </c>
      <c r="AG231" s="27" t="s">
        <v>1211</v>
      </c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  <c r="AS231" s="27"/>
    </row>
    <row r="232" spans="1:45" ht="15.75" thickBot="1" x14ac:dyDescent="0.3">
      <c r="A232" s="51" t="s">
        <v>505</v>
      </c>
      <c r="B232" s="51" t="s">
        <v>516</v>
      </c>
      <c r="C232" s="51" t="s">
        <v>1400</v>
      </c>
      <c r="D232" s="51" t="s">
        <v>515</v>
      </c>
      <c r="E232" s="51" t="s">
        <v>65</v>
      </c>
      <c r="F232" s="51" t="s">
        <v>36</v>
      </c>
      <c r="G232" s="51"/>
      <c r="H232" s="51" t="s">
        <v>517</v>
      </c>
      <c r="I232" s="16">
        <v>-348327560000</v>
      </c>
      <c r="J232" s="16">
        <v>-582277570000</v>
      </c>
      <c r="K232" s="51" t="s">
        <v>1038</v>
      </c>
      <c r="L232" s="53">
        <f t="shared" si="19"/>
        <v>12</v>
      </c>
      <c r="M232" s="17">
        <f t="shared" si="17"/>
        <v>18</v>
      </c>
      <c r="N232" s="18">
        <f t="shared" si="18"/>
        <v>0.4</v>
      </c>
      <c r="O232" s="27" t="s">
        <v>1211</v>
      </c>
      <c r="P232" s="8" t="s">
        <v>1211</v>
      </c>
      <c r="Q232" s="8" t="s">
        <v>1211</v>
      </c>
      <c r="R232" s="8" t="s">
        <v>1211</v>
      </c>
      <c r="S232" s="27" t="s">
        <v>1211</v>
      </c>
      <c r="T232" s="27"/>
      <c r="U232" s="8" t="s">
        <v>1211</v>
      </c>
      <c r="V232" s="8" t="s">
        <v>1211</v>
      </c>
      <c r="W232" s="8" t="s">
        <v>1211</v>
      </c>
      <c r="X232" s="27" t="s">
        <v>1211</v>
      </c>
      <c r="Y232" s="27" t="s">
        <v>1211</v>
      </c>
      <c r="Z232" s="27" t="s">
        <v>1211</v>
      </c>
      <c r="AA232" s="27" t="s">
        <v>1211</v>
      </c>
      <c r="AB232" s="27" t="s">
        <v>1211</v>
      </c>
      <c r="AC232" s="27" t="s">
        <v>1211</v>
      </c>
      <c r="AD232" s="27" t="s">
        <v>1211</v>
      </c>
      <c r="AE232" s="27" t="s">
        <v>1211</v>
      </c>
      <c r="AF232" s="27" t="s">
        <v>1211</v>
      </c>
      <c r="AG232" s="27" t="s">
        <v>1211</v>
      </c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  <c r="AS232" s="27"/>
    </row>
    <row r="233" spans="1:45" ht="15.75" thickBot="1" x14ac:dyDescent="0.3">
      <c r="A233" s="51" t="s">
        <v>518</v>
      </c>
      <c r="B233" s="51" t="s">
        <v>1317</v>
      </c>
      <c r="C233" s="51" t="s">
        <v>1400</v>
      </c>
      <c r="D233" s="51" t="s">
        <v>525</v>
      </c>
      <c r="E233" s="51" t="s">
        <v>19</v>
      </c>
      <c r="F233" s="51" t="s">
        <v>36</v>
      </c>
      <c r="G233" s="51"/>
      <c r="H233" s="51" t="s">
        <v>526</v>
      </c>
      <c r="I233" s="16">
        <v>-348255670000</v>
      </c>
      <c r="J233" s="16">
        <v>-582250020000</v>
      </c>
      <c r="K233" s="51" t="s">
        <v>1043</v>
      </c>
      <c r="L233" s="53">
        <f t="shared" si="19"/>
        <v>30</v>
      </c>
      <c r="M233" s="17">
        <f t="shared" si="17"/>
        <v>0</v>
      </c>
      <c r="N233" s="18">
        <f t="shared" si="18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  <c r="AS233" s="27"/>
    </row>
    <row r="234" spans="1:45" ht="15.75" thickBot="1" x14ac:dyDescent="0.3">
      <c r="A234" s="51" t="s">
        <v>518</v>
      </c>
      <c r="B234" s="51" t="s">
        <v>1318</v>
      </c>
      <c r="C234" s="51" t="s">
        <v>1400</v>
      </c>
      <c r="D234" s="51" t="s">
        <v>1319</v>
      </c>
      <c r="E234" s="51" t="s">
        <v>24</v>
      </c>
      <c r="F234" s="51" t="s">
        <v>36</v>
      </c>
      <c r="G234" s="51"/>
      <c r="H234" s="51"/>
      <c r="I234" s="16">
        <v>-348190320000</v>
      </c>
      <c r="J234" s="16">
        <v>-582337830000</v>
      </c>
      <c r="K234" s="51" t="s">
        <v>1198</v>
      </c>
      <c r="L234" s="53">
        <f t="shared" si="19"/>
        <v>30</v>
      </c>
      <c r="M234" s="17">
        <f t="shared" si="17"/>
        <v>0</v>
      </c>
      <c r="N234" s="18">
        <f t="shared" si="18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  <c r="AS234" s="27"/>
    </row>
    <row r="235" spans="1:45" ht="15.75" thickBot="1" x14ac:dyDescent="0.3">
      <c r="A235" s="51" t="s">
        <v>518</v>
      </c>
      <c r="B235" s="51" t="s">
        <v>1320</v>
      </c>
      <c r="C235" s="51" t="s">
        <v>1400</v>
      </c>
      <c r="D235" s="51" t="s">
        <v>1321</v>
      </c>
      <c r="E235" s="51" t="s">
        <v>24</v>
      </c>
      <c r="F235" s="51" t="s">
        <v>36</v>
      </c>
      <c r="G235" s="51"/>
      <c r="H235" s="51"/>
      <c r="I235" s="16">
        <v>-348206050000</v>
      </c>
      <c r="J235" s="16">
        <v>-582288540000</v>
      </c>
      <c r="K235" s="51" t="s">
        <v>1199</v>
      </c>
      <c r="L235" s="53">
        <f t="shared" si="19"/>
        <v>30</v>
      </c>
      <c r="M235" s="17">
        <f t="shared" si="17"/>
        <v>0</v>
      </c>
      <c r="N235" s="18">
        <f t="shared" si="18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  <c r="AS235" s="27"/>
    </row>
    <row r="236" spans="1:45" ht="15.75" thickBot="1" x14ac:dyDescent="0.3">
      <c r="A236" s="51" t="s">
        <v>518</v>
      </c>
      <c r="B236" s="51" t="s">
        <v>1322</v>
      </c>
      <c r="C236" s="51" t="s">
        <v>1400</v>
      </c>
      <c r="D236" s="51" t="s">
        <v>1323</v>
      </c>
      <c r="E236" s="51" t="s">
        <v>24</v>
      </c>
      <c r="F236" s="51" t="s">
        <v>36</v>
      </c>
      <c r="G236" s="51"/>
      <c r="H236" s="51"/>
      <c r="I236" s="16">
        <v>-348201650000</v>
      </c>
      <c r="J236" s="16">
        <v>-582306200000</v>
      </c>
      <c r="K236" s="51" t="s">
        <v>1200</v>
      </c>
      <c r="L236" s="53">
        <f t="shared" si="19"/>
        <v>30</v>
      </c>
      <c r="M236" s="17">
        <f t="shared" si="17"/>
        <v>0</v>
      </c>
      <c r="N236" s="18">
        <f t="shared" si="18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  <c r="AS236" s="27"/>
    </row>
    <row r="237" spans="1:45" ht="15.75" thickBot="1" x14ac:dyDescent="0.3">
      <c r="A237" s="51" t="s">
        <v>518</v>
      </c>
      <c r="B237" s="51" t="s">
        <v>1324</v>
      </c>
      <c r="C237" s="51" t="s">
        <v>1400</v>
      </c>
      <c r="D237" s="51" t="s">
        <v>1325</v>
      </c>
      <c r="E237" s="51" t="s">
        <v>24</v>
      </c>
      <c r="F237" s="51" t="s">
        <v>36</v>
      </c>
      <c r="G237" s="51"/>
      <c r="H237" s="51"/>
      <c r="I237" s="16">
        <v>-348196050000</v>
      </c>
      <c r="J237" s="16">
        <v>-582323090000</v>
      </c>
      <c r="K237" s="51" t="s">
        <v>1201</v>
      </c>
      <c r="L237" s="53">
        <f t="shared" si="19"/>
        <v>30</v>
      </c>
      <c r="M237" s="17">
        <f t="shared" si="17"/>
        <v>0</v>
      </c>
      <c r="N237" s="18">
        <f t="shared" si="18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  <c r="AS237" s="27"/>
    </row>
    <row r="238" spans="1:45" ht="15.75" thickBot="1" x14ac:dyDescent="0.3">
      <c r="A238" s="51" t="s">
        <v>518</v>
      </c>
      <c r="B238" s="51" t="s">
        <v>1326</v>
      </c>
      <c r="C238" s="51" t="s">
        <v>1400</v>
      </c>
      <c r="D238" s="51" t="s">
        <v>519</v>
      </c>
      <c r="E238" s="51" t="s">
        <v>19</v>
      </c>
      <c r="F238" s="51" t="s">
        <v>36</v>
      </c>
      <c r="G238" s="51"/>
      <c r="H238" s="51" t="s">
        <v>311</v>
      </c>
      <c r="I238" s="16">
        <v>-348284690000</v>
      </c>
      <c r="J238" s="16">
        <v>-582281770000</v>
      </c>
      <c r="K238" s="51" t="s">
        <v>1039</v>
      </c>
      <c r="L238" s="53">
        <f t="shared" si="19"/>
        <v>30</v>
      </c>
      <c r="M238" s="17">
        <f t="shared" si="17"/>
        <v>0</v>
      </c>
      <c r="N238" s="18">
        <f t="shared" si="18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  <c r="AS238" s="27"/>
    </row>
    <row r="239" spans="1:45" ht="15.75" thickBot="1" x14ac:dyDescent="0.3">
      <c r="A239" s="51" t="s">
        <v>518</v>
      </c>
      <c r="B239" s="51" t="s">
        <v>1327</v>
      </c>
      <c r="C239" s="51" t="s">
        <v>1400</v>
      </c>
      <c r="D239" s="51" t="s">
        <v>520</v>
      </c>
      <c r="E239" s="51" t="s">
        <v>19</v>
      </c>
      <c r="F239" s="51" t="s">
        <v>36</v>
      </c>
      <c r="G239" s="51"/>
      <c r="H239" s="51" t="s">
        <v>311</v>
      </c>
      <c r="I239" s="16">
        <v>-348266150000</v>
      </c>
      <c r="J239" s="16">
        <v>-582261560000</v>
      </c>
      <c r="K239" s="51" t="s">
        <v>1042</v>
      </c>
      <c r="L239" s="53">
        <f t="shared" si="19"/>
        <v>29</v>
      </c>
      <c r="M239" s="17">
        <f t="shared" si="17"/>
        <v>1</v>
      </c>
      <c r="N239" s="18">
        <f t="shared" si="18"/>
        <v>0.96666666666666667</v>
      </c>
      <c r="O239" s="27" t="s">
        <v>1211</v>
      </c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  <c r="AS239" s="27"/>
    </row>
    <row r="240" spans="1:45" ht="15.75" thickBot="1" x14ac:dyDescent="0.3">
      <c r="A240" s="51" t="s">
        <v>518</v>
      </c>
      <c r="B240" s="51" t="s">
        <v>521</v>
      </c>
      <c r="C240" s="51" t="s">
        <v>1400</v>
      </c>
      <c r="D240" s="51" t="s">
        <v>522</v>
      </c>
      <c r="E240" s="51" t="s">
        <v>102</v>
      </c>
      <c r="F240" s="51" t="s">
        <v>36</v>
      </c>
      <c r="G240" s="51"/>
      <c r="H240" s="51" t="s">
        <v>512</v>
      </c>
      <c r="I240" s="16">
        <v>-348268070000</v>
      </c>
      <c r="J240" s="16">
        <v>-582275680000</v>
      </c>
      <c r="K240" s="51" t="s">
        <v>1040</v>
      </c>
      <c r="L240" s="53">
        <f t="shared" si="19"/>
        <v>29</v>
      </c>
      <c r="M240" s="17">
        <f t="shared" si="17"/>
        <v>1</v>
      </c>
      <c r="N240" s="18">
        <f t="shared" si="18"/>
        <v>0.96666666666666667</v>
      </c>
      <c r="O240" s="27" t="s">
        <v>1211</v>
      </c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  <c r="AS240" s="27"/>
    </row>
    <row r="241" spans="1:45" ht="15.75" thickBot="1" x14ac:dyDescent="0.3">
      <c r="A241" s="51" t="s">
        <v>518</v>
      </c>
      <c r="B241" s="51" t="s">
        <v>523</v>
      </c>
      <c r="C241" s="51" t="s">
        <v>1400</v>
      </c>
      <c r="D241" s="51" t="s">
        <v>522</v>
      </c>
      <c r="E241" s="51" t="s">
        <v>102</v>
      </c>
      <c r="F241" s="51" t="s">
        <v>36</v>
      </c>
      <c r="G241" s="51"/>
      <c r="H241" s="51" t="s">
        <v>524</v>
      </c>
      <c r="I241" s="16">
        <v>-348268070000</v>
      </c>
      <c r="J241" s="16">
        <v>-582274610000</v>
      </c>
      <c r="K241" s="51" t="s">
        <v>1041</v>
      </c>
      <c r="L241" s="53">
        <f t="shared" si="19"/>
        <v>30</v>
      </c>
      <c r="M241" s="17">
        <f t="shared" si="17"/>
        <v>0</v>
      </c>
      <c r="N241" s="18">
        <f t="shared" si="18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  <c r="AS241" s="27"/>
    </row>
    <row r="242" spans="1:45" ht="15.75" thickBot="1" x14ac:dyDescent="0.3">
      <c r="A242" s="51" t="s">
        <v>1188</v>
      </c>
      <c r="B242" s="51" t="s">
        <v>1328</v>
      </c>
      <c r="C242" s="51" t="s">
        <v>1400</v>
      </c>
      <c r="D242" s="51" t="s">
        <v>1329</v>
      </c>
      <c r="E242" s="51" t="s">
        <v>1392</v>
      </c>
      <c r="F242" s="51" t="s">
        <v>36</v>
      </c>
      <c r="G242" s="51"/>
      <c r="H242" s="51"/>
      <c r="I242" s="16">
        <v>-348279690000</v>
      </c>
      <c r="J242" s="16">
        <v>-582447230000</v>
      </c>
      <c r="K242" s="51" t="s">
        <v>1190</v>
      </c>
      <c r="L242" s="53">
        <f t="shared" si="19"/>
        <v>30</v>
      </c>
      <c r="M242" s="17">
        <f t="shared" si="17"/>
        <v>0</v>
      </c>
      <c r="N242" s="18">
        <f t="shared" si="18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  <c r="AS242" s="27"/>
    </row>
    <row r="243" spans="1:45" ht="15.75" thickBot="1" x14ac:dyDescent="0.3">
      <c r="A243" s="51" t="s">
        <v>1188</v>
      </c>
      <c r="B243" s="51" t="s">
        <v>1187</v>
      </c>
      <c r="C243" s="51" t="s">
        <v>1400</v>
      </c>
      <c r="D243" s="51" t="s">
        <v>1329</v>
      </c>
      <c r="E243" s="51" t="s">
        <v>1393</v>
      </c>
      <c r="F243" s="51" t="s">
        <v>36</v>
      </c>
      <c r="G243" s="51"/>
      <c r="H243" s="51"/>
      <c r="I243" s="16">
        <v>-348279600000</v>
      </c>
      <c r="J243" s="16">
        <v>-582446800000</v>
      </c>
      <c r="K243" s="51" t="s">
        <v>1189</v>
      </c>
      <c r="L243" s="53">
        <f t="shared" si="19"/>
        <v>30</v>
      </c>
      <c r="M243" s="17">
        <f t="shared" si="17"/>
        <v>0</v>
      </c>
      <c r="N243" s="18">
        <f t="shared" si="18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  <c r="AS243" s="27"/>
    </row>
    <row r="244" spans="1:45" ht="15.75" thickBot="1" x14ac:dyDescent="0.3">
      <c r="A244" s="51" t="s">
        <v>374</v>
      </c>
      <c r="B244" s="51" t="s">
        <v>1330</v>
      </c>
      <c r="C244" s="51" t="s">
        <v>1399</v>
      </c>
      <c r="D244" s="51" t="s">
        <v>469</v>
      </c>
      <c r="E244" s="51" t="s">
        <v>102</v>
      </c>
      <c r="F244" s="51" t="s">
        <v>36</v>
      </c>
      <c r="G244" s="51"/>
      <c r="H244" s="51" t="s">
        <v>230</v>
      </c>
      <c r="I244" s="16">
        <v>-347887260000</v>
      </c>
      <c r="J244" s="16">
        <v>-582696950000</v>
      </c>
      <c r="K244" s="51" t="s">
        <v>1012</v>
      </c>
      <c r="L244" s="53">
        <f t="shared" si="19"/>
        <v>30</v>
      </c>
      <c r="M244" s="17">
        <f t="shared" si="17"/>
        <v>0</v>
      </c>
      <c r="N244" s="18">
        <f t="shared" si="18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  <c r="AS244" s="27"/>
    </row>
    <row r="245" spans="1:45" ht="15.75" thickBot="1" x14ac:dyDescent="0.3">
      <c r="A245" s="51" t="s">
        <v>374</v>
      </c>
      <c r="B245" s="51" t="s">
        <v>1331</v>
      </c>
      <c r="C245" s="51" t="s">
        <v>1399</v>
      </c>
      <c r="D245" s="51" t="s">
        <v>469</v>
      </c>
      <c r="E245" s="51" t="s">
        <v>102</v>
      </c>
      <c r="F245" s="51" t="s">
        <v>36</v>
      </c>
      <c r="G245" s="51"/>
      <c r="H245" s="51" t="s">
        <v>230</v>
      </c>
      <c r="I245" s="16">
        <v>-347887260000</v>
      </c>
      <c r="J245" s="16">
        <v>-582696950000</v>
      </c>
      <c r="K245" s="51" t="s">
        <v>1013</v>
      </c>
      <c r="L245" s="53">
        <f t="shared" si="19"/>
        <v>29</v>
      </c>
      <c r="M245" s="17">
        <f t="shared" si="17"/>
        <v>1</v>
      </c>
      <c r="N245" s="18">
        <f t="shared" si="18"/>
        <v>0.96666666666666667</v>
      </c>
      <c r="O245" s="27" t="s">
        <v>1211</v>
      </c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</row>
    <row r="246" spans="1:45" ht="15.75" thickBot="1" x14ac:dyDescent="0.3">
      <c r="A246" s="51" t="s">
        <v>374</v>
      </c>
      <c r="B246" s="51" t="s">
        <v>1332</v>
      </c>
      <c r="C246" s="51"/>
      <c r="D246" s="51" t="s">
        <v>1333</v>
      </c>
      <c r="E246" s="51" t="s">
        <v>24</v>
      </c>
      <c r="F246" s="51" t="s">
        <v>36</v>
      </c>
      <c r="G246" s="51"/>
      <c r="H246" s="51"/>
      <c r="I246" s="16">
        <v>-347849700000</v>
      </c>
      <c r="J246" s="16">
        <v>-582656430000</v>
      </c>
      <c r="K246" s="51"/>
      <c r="L246" s="53">
        <f t="shared" si="19"/>
        <v>30</v>
      </c>
      <c r="M246" s="17">
        <f t="shared" si="17"/>
        <v>0</v>
      </c>
      <c r="N246" s="18">
        <f t="shared" si="18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</row>
    <row r="247" spans="1:45" ht="15.75" thickBot="1" x14ac:dyDescent="0.3">
      <c r="A247" s="51" t="s">
        <v>374</v>
      </c>
      <c r="B247" s="51" t="s">
        <v>1334</v>
      </c>
      <c r="C247" s="51"/>
      <c r="D247" s="51" t="s">
        <v>1335</v>
      </c>
      <c r="E247" s="51" t="s">
        <v>24</v>
      </c>
      <c r="F247" s="51" t="s">
        <v>36</v>
      </c>
      <c r="G247" s="51"/>
      <c r="H247" s="51"/>
      <c r="I247" s="16">
        <v>-347858970000</v>
      </c>
      <c r="J247" s="16">
        <v>-582648960000</v>
      </c>
      <c r="K247" s="51"/>
      <c r="L247" s="53">
        <f t="shared" si="19"/>
        <v>29</v>
      </c>
      <c r="M247" s="17">
        <f t="shared" si="17"/>
        <v>1</v>
      </c>
      <c r="N247" s="18">
        <f t="shared" si="18"/>
        <v>0.96666666666666667</v>
      </c>
      <c r="O247" s="27"/>
      <c r="P247" s="8"/>
      <c r="Q247" s="8"/>
      <c r="R247" s="8"/>
      <c r="S247" s="27"/>
      <c r="T247" s="27"/>
      <c r="U247" s="8"/>
      <c r="V247" s="8"/>
      <c r="W247" s="8" t="s">
        <v>1211</v>
      </c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  <c r="AS247" s="27"/>
    </row>
    <row r="248" spans="1:45" ht="15.75" thickBot="1" x14ac:dyDescent="0.3">
      <c r="A248" s="51" t="s">
        <v>374</v>
      </c>
      <c r="B248" s="51" t="s">
        <v>527</v>
      </c>
      <c r="C248" s="51" t="s">
        <v>1399</v>
      </c>
      <c r="D248" s="51" t="s">
        <v>528</v>
      </c>
      <c r="E248" s="51" t="s">
        <v>24</v>
      </c>
      <c r="F248" s="51" t="s">
        <v>36</v>
      </c>
      <c r="G248" s="51" t="s">
        <v>529</v>
      </c>
      <c r="H248" s="51"/>
      <c r="I248" s="16">
        <v>-347820290000</v>
      </c>
      <c r="J248" s="16">
        <v>-582627140000</v>
      </c>
      <c r="K248" s="51" t="s">
        <v>1044</v>
      </c>
      <c r="L248" s="53">
        <f t="shared" si="19"/>
        <v>19</v>
      </c>
      <c r="M248" s="17">
        <f t="shared" si="17"/>
        <v>11</v>
      </c>
      <c r="N248" s="18">
        <f t="shared" si="18"/>
        <v>0.6333333333333333</v>
      </c>
      <c r="O248" s="27"/>
      <c r="P248" s="8"/>
      <c r="Q248" s="8"/>
      <c r="R248" s="8"/>
      <c r="S248" s="27"/>
      <c r="T248" s="27"/>
      <c r="U248" s="8"/>
      <c r="V248" s="8"/>
      <c r="W248" s="8" t="s">
        <v>1211</v>
      </c>
      <c r="X248" s="27" t="s">
        <v>1211</v>
      </c>
      <c r="Y248" s="27" t="s">
        <v>1211</v>
      </c>
      <c r="Z248" s="27" t="s">
        <v>1211</v>
      </c>
      <c r="AA248" s="27" t="s">
        <v>1211</v>
      </c>
      <c r="AB248" s="27" t="s">
        <v>1211</v>
      </c>
      <c r="AC248" s="27" t="s">
        <v>1211</v>
      </c>
      <c r="AD248" s="27" t="s">
        <v>1211</v>
      </c>
      <c r="AE248" s="27" t="s">
        <v>1211</v>
      </c>
      <c r="AF248" s="27" t="s">
        <v>1211</v>
      </c>
      <c r="AG248" s="27" t="s">
        <v>1211</v>
      </c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  <c r="AS248" s="27"/>
    </row>
    <row r="249" spans="1:45" ht="15.75" thickBot="1" x14ac:dyDescent="0.3">
      <c r="A249" s="51" t="s">
        <v>530</v>
      </c>
      <c r="B249" s="51" t="s">
        <v>531</v>
      </c>
      <c r="C249" s="51" t="s">
        <v>1399</v>
      </c>
      <c r="D249" s="51" t="s">
        <v>532</v>
      </c>
      <c r="E249" s="51" t="s">
        <v>24</v>
      </c>
      <c r="F249" s="51" t="s">
        <v>36</v>
      </c>
      <c r="G249" s="51" t="s">
        <v>533</v>
      </c>
      <c r="H249" s="51"/>
      <c r="I249" s="16">
        <v>-347820510000</v>
      </c>
      <c r="J249" s="16">
        <v>-582792740000</v>
      </c>
      <c r="K249" s="51" t="s">
        <v>1045</v>
      </c>
      <c r="L249" s="53">
        <f t="shared" si="19"/>
        <v>30</v>
      </c>
      <c r="M249" s="17">
        <f t="shared" si="17"/>
        <v>0</v>
      </c>
      <c r="N249" s="18">
        <f t="shared" si="18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  <c r="AS249" s="27"/>
    </row>
    <row r="250" spans="1:45" ht="15.75" thickBot="1" x14ac:dyDescent="0.3">
      <c r="A250" s="51" t="s">
        <v>530</v>
      </c>
      <c r="B250" s="51" t="s">
        <v>534</v>
      </c>
      <c r="C250" s="51" t="s">
        <v>1399</v>
      </c>
      <c r="D250" s="51" t="s">
        <v>535</v>
      </c>
      <c r="E250" s="51" t="s">
        <v>24</v>
      </c>
      <c r="F250" s="51" t="s">
        <v>36</v>
      </c>
      <c r="G250" s="51" t="s">
        <v>536</v>
      </c>
      <c r="H250" s="51"/>
      <c r="I250" s="16">
        <v>-347891490000</v>
      </c>
      <c r="J250" s="16">
        <v>-582788520000</v>
      </c>
      <c r="K250" s="51" t="s">
        <v>1046</v>
      </c>
      <c r="L250" s="53">
        <f t="shared" si="19"/>
        <v>29</v>
      </c>
      <c r="M250" s="17">
        <f t="shared" si="17"/>
        <v>1</v>
      </c>
      <c r="N250" s="18">
        <f t="shared" si="18"/>
        <v>0.96666666666666667</v>
      </c>
      <c r="O250" s="27"/>
      <c r="P250" s="8"/>
      <c r="Q250" s="8"/>
      <c r="R250" s="8"/>
      <c r="S250" s="27"/>
      <c r="T250" s="27"/>
      <c r="U250" s="8"/>
      <c r="V250" s="8"/>
      <c r="W250" s="8" t="s">
        <v>1211</v>
      </c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  <c r="AS250" s="27"/>
    </row>
    <row r="251" spans="1:45" ht="15.75" thickBot="1" x14ac:dyDescent="0.3">
      <c r="A251" s="51" t="s">
        <v>537</v>
      </c>
      <c r="B251" s="51" t="s">
        <v>538</v>
      </c>
      <c r="C251" s="51" t="s">
        <v>1399</v>
      </c>
      <c r="D251" s="51" t="s">
        <v>539</v>
      </c>
      <c r="E251" s="51" t="s">
        <v>24</v>
      </c>
      <c r="F251" s="51" t="s">
        <v>25</v>
      </c>
      <c r="G251" s="51" t="s">
        <v>259</v>
      </c>
      <c r="H251" s="51"/>
      <c r="I251" s="16">
        <v>-347858230000</v>
      </c>
      <c r="J251" s="16">
        <v>-582788230000</v>
      </c>
      <c r="K251" s="51" t="s">
        <v>1047</v>
      </c>
      <c r="L251" s="53">
        <f t="shared" si="19"/>
        <v>30</v>
      </c>
      <c r="M251" s="17">
        <f t="shared" si="17"/>
        <v>0</v>
      </c>
      <c r="N251" s="18">
        <f t="shared" si="18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  <c r="AS251" s="27"/>
    </row>
    <row r="252" spans="1:45" ht="15.75" thickBot="1" x14ac:dyDescent="0.3">
      <c r="A252" s="51" t="s">
        <v>411</v>
      </c>
      <c r="B252" s="51" t="s">
        <v>1336</v>
      </c>
      <c r="C252" s="51" t="s">
        <v>1399</v>
      </c>
      <c r="D252" s="51" t="s">
        <v>543</v>
      </c>
      <c r="E252" s="51" t="s">
        <v>24</v>
      </c>
      <c r="F252" s="51" t="s">
        <v>1390</v>
      </c>
      <c r="G252" s="51" t="s">
        <v>544</v>
      </c>
      <c r="H252" s="51"/>
      <c r="I252" s="16">
        <v>-347724810000</v>
      </c>
      <c r="J252" s="16">
        <v>-582779860000</v>
      </c>
      <c r="K252" s="51" t="s">
        <v>1051</v>
      </c>
      <c r="L252" s="53">
        <f t="shared" si="19"/>
        <v>30</v>
      </c>
      <c r="M252" s="17">
        <f t="shared" si="17"/>
        <v>0</v>
      </c>
      <c r="N252" s="18">
        <f t="shared" si="18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  <c r="AS252" s="27"/>
    </row>
    <row r="253" spans="1:45" ht="15.75" thickBot="1" x14ac:dyDescent="0.3">
      <c r="A253" s="51" t="s">
        <v>411</v>
      </c>
      <c r="B253" s="51" t="s">
        <v>540</v>
      </c>
      <c r="C253" s="51" t="s">
        <v>1399</v>
      </c>
      <c r="D253" s="51" t="s">
        <v>541</v>
      </c>
      <c r="E253" s="51" t="s">
        <v>24</v>
      </c>
      <c r="F253" s="51" t="s">
        <v>36</v>
      </c>
      <c r="G253" s="51" t="s">
        <v>542</v>
      </c>
      <c r="H253" s="51"/>
      <c r="I253" s="16">
        <v>-347803150000</v>
      </c>
      <c r="J253" s="16">
        <v>-582792150000</v>
      </c>
      <c r="K253" s="51" t="s">
        <v>1050</v>
      </c>
      <c r="L253" s="53">
        <f t="shared" si="19"/>
        <v>30</v>
      </c>
      <c r="M253" s="17">
        <f t="shared" si="17"/>
        <v>0</v>
      </c>
      <c r="N253" s="18">
        <f t="shared" si="18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  <c r="AS253" s="27"/>
    </row>
    <row r="254" spans="1:45" ht="15.75" thickBot="1" x14ac:dyDescent="0.3">
      <c r="A254" s="51" t="s">
        <v>411</v>
      </c>
      <c r="B254" s="51" t="s">
        <v>545</v>
      </c>
      <c r="C254" s="51" t="s">
        <v>1399</v>
      </c>
      <c r="D254" s="51" t="s">
        <v>546</v>
      </c>
      <c r="E254" s="51" t="s">
        <v>102</v>
      </c>
      <c r="F254" s="51" t="s">
        <v>36</v>
      </c>
      <c r="G254" s="51"/>
      <c r="H254" s="51" t="s">
        <v>230</v>
      </c>
      <c r="I254" s="16">
        <v>-347758420000</v>
      </c>
      <c r="J254" s="16">
        <v>-582787380000</v>
      </c>
      <c r="K254" s="51" t="s">
        <v>1048</v>
      </c>
      <c r="L254" s="53">
        <f t="shared" si="19"/>
        <v>29</v>
      </c>
      <c r="M254" s="17">
        <f t="shared" si="17"/>
        <v>1</v>
      </c>
      <c r="N254" s="18">
        <f t="shared" si="18"/>
        <v>0.96666666666666667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 t="s">
        <v>1211</v>
      </c>
      <c r="AJ254" s="27"/>
      <c r="AK254" s="8"/>
      <c r="AL254" s="8"/>
      <c r="AM254" s="8"/>
      <c r="AN254" s="27"/>
      <c r="AO254" s="8"/>
      <c r="AP254" s="8"/>
      <c r="AQ254" s="27"/>
      <c r="AR254" s="27"/>
      <c r="AS254" s="27"/>
    </row>
    <row r="255" spans="1:45" ht="15.75" thickBot="1" x14ac:dyDescent="0.3">
      <c r="A255" s="51" t="s">
        <v>411</v>
      </c>
      <c r="B255" s="51" t="s">
        <v>547</v>
      </c>
      <c r="C255" s="51" t="s">
        <v>1399</v>
      </c>
      <c r="D255" s="51" t="s">
        <v>546</v>
      </c>
      <c r="E255" s="51" t="s">
        <v>102</v>
      </c>
      <c r="F255" s="51" t="s">
        <v>36</v>
      </c>
      <c r="G255" s="51"/>
      <c r="H255" s="51" t="s">
        <v>230</v>
      </c>
      <c r="I255" s="16">
        <v>-347758300000</v>
      </c>
      <c r="J255" s="16">
        <v>-582787420000</v>
      </c>
      <c r="K255" s="51" t="s">
        <v>1049</v>
      </c>
      <c r="L255" s="53">
        <f t="shared" si="19"/>
        <v>29</v>
      </c>
      <c r="M255" s="17">
        <f t="shared" si="17"/>
        <v>1</v>
      </c>
      <c r="N255" s="18">
        <f t="shared" si="18"/>
        <v>0.96666666666666667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 t="s">
        <v>1211</v>
      </c>
      <c r="AJ255" s="27"/>
      <c r="AK255" s="8"/>
      <c r="AL255" s="8"/>
      <c r="AM255" s="8"/>
      <c r="AN255" s="27"/>
      <c r="AO255" s="8"/>
      <c r="AP255" s="8"/>
      <c r="AQ255" s="27"/>
      <c r="AR255" s="27"/>
      <c r="AS255" s="27"/>
    </row>
    <row r="256" spans="1:45" ht="15.75" thickBot="1" x14ac:dyDescent="0.3">
      <c r="A256" s="51" t="s">
        <v>530</v>
      </c>
      <c r="B256" s="51" t="s">
        <v>548</v>
      </c>
      <c r="C256" s="51" t="s">
        <v>1399</v>
      </c>
      <c r="D256" s="51" t="s">
        <v>549</v>
      </c>
      <c r="E256" s="51" t="s">
        <v>24</v>
      </c>
      <c r="F256" s="51" t="s">
        <v>25</v>
      </c>
      <c r="G256" s="51" t="s">
        <v>125</v>
      </c>
      <c r="H256" s="51"/>
      <c r="I256" s="16">
        <v>-347861220000</v>
      </c>
      <c r="J256" s="16">
        <v>-582821170000</v>
      </c>
      <c r="K256" s="51" t="s">
        <v>1053</v>
      </c>
      <c r="L256" s="53">
        <f t="shared" si="19"/>
        <v>30</v>
      </c>
      <c r="M256" s="17">
        <f t="shared" si="17"/>
        <v>0</v>
      </c>
      <c r="N256" s="18">
        <f t="shared" si="18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  <c r="AS256" s="27"/>
    </row>
    <row r="257" spans="1:45" ht="15.75" thickBot="1" x14ac:dyDescent="0.3">
      <c r="A257" s="51" t="s">
        <v>530</v>
      </c>
      <c r="B257" s="51" t="s">
        <v>550</v>
      </c>
      <c r="C257" s="51" t="s">
        <v>1399</v>
      </c>
      <c r="D257" s="51" t="s">
        <v>551</v>
      </c>
      <c r="E257" s="51" t="s">
        <v>19</v>
      </c>
      <c r="F257" s="51" t="s">
        <v>25</v>
      </c>
      <c r="G257" s="51"/>
      <c r="H257" s="51"/>
      <c r="I257" s="16">
        <v>-347918140000</v>
      </c>
      <c r="J257" s="16">
        <v>-582831130000</v>
      </c>
      <c r="K257" s="51" t="s">
        <v>1054</v>
      </c>
      <c r="L257" s="53">
        <f t="shared" si="19"/>
        <v>30</v>
      </c>
      <c r="M257" s="17">
        <f t="shared" si="17"/>
        <v>0</v>
      </c>
      <c r="N257" s="18">
        <f t="shared" si="18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  <c r="AS257" s="27"/>
    </row>
    <row r="258" spans="1:45" ht="15.75" thickBot="1" x14ac:dyDescent="0.3">
      <c r="A258" s="51" t="s">
        <v>552</v>
      </c>
      <c r="B258" s="51" t="s">
        <v>553</v>
      </c>
      <c r="C258" s="51"/>
      <c r="D258" s="51" t="s">
        <v>554</v>
      </c>
      <c r="E258" s="51" t="s">
        <v>24</v>
      </c>
      <c r="F258" s="51" t="s">
        <v>36</v>
      </c>
      <c r="G258" s="51"/>
      <c r="H258" s="51" t="s">
        <v>555</v>
      </c>
      <c r="I258" s="16">
        <v>-347813810000</v>
      </c>
      <c r="J258" s="16">
        <v>-582945970000</v>
      </c>
      <c r="K258" s="51" t="s">
        <v>1055</v>
      </c>
      <c r="L258" s="53">
        <f t="shared" si="19"/>
        <v>30</v>
      </c>
      <c r="M258" s="17">
        <f t="shared" si="17"/>
        <v>0</v>
      </c>
      <c r="N258" s="18">
        <f t="shared" si="18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  <c r="AS258" s="27"/>
    </row>
    <row r="259" spans="1:45" ht="15.75" thickBot="1" x14ac:dyDescent="0.3">
      <c r="A259" s="51" t="s">
        <v>552</v>
      </c>
      <c r="B259" s="51" t="s">
        <v>556</v>
      </c>
      <c r="C259" s="51"/>
      <c r="D259" s="51" t="s">
        <v>554</v>
      </c>
      <c r="E259" s="51" t="s">
        <v>102</v>
      </c>
      <c r="F259" s="51" t="s">
        <v>36</v>
      </c>
      <c r="G259" s="51"/>
      <c r="H259" s="51" t="s">
        <v>557</v>
      </c>
      <c r="I259" s="16">
        <v>-347813820000</v>
      </c>
      <c r="J259" s="16">
        <v>-582946080000</v>
      </c>
      <c r="K259" s="51" t="s">
        <v>1056</v>
      </c>
      <c r="L259" s="53">
        <f t="shared" si="19"/>
        <v>30</v>
      </c>
      <c r="M259" s="17">
        <f t="shared" si="17"/>
        <v>0</v>
      </c>
      <c r="N259" s="18">
        <f t="shared" si="18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  <c r="AS259" s="27"/>
    </row>
    <row r="260" spans="1:45" ht="15.75" thickBot="1" x14ac:dyDescent="0.3">
      <c r="A260" s="51" t="s">
        <v>552</v>
      </c>
      <c r="B260" s="51" t="s">
        <v>558</v>
      </c>
      <c r="C260" s="51" t="s">
        <v>1399</v>
      </c>
      <c r="D260" s="51" t="s">
        <v>554</v>
      </c>
      <c r="E260" s="51" t="s">
        <v>102</v>
      </c>
      <c r="F260" s="51" t="s">
        <v>36</v>
      </c>
      <c r="G260" s="51"/>
      <c r="H260" s="51" t="s">
        <v>557</v>
      </c>
      <c r="I260" s="16">
        <v>-347813760000</v>
      </c>
      <c r="J260" s="16">
        <v>-582945930000</v>
      </c>
      <c r="K260" s="51" t="s">
        <v>1057</v>
      </c>
      <c r="L260" s="53">
        <f t="shared" si="19"/>
        <v>30</v>
      </c>
      <c r="M260" s="17">
        <f t="shared" si="17"/>
        <v>0</v>
      </c>
      <c r="N260" s="18">
        <f t="shared" si="18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  <c r="AS260" s="27"/>
    </row>
    <row r="261" spans="1:45" ht="15.75" thickBot="1" x14ac:dyDescent="0.3">
      <c r="A261" s="51" t="s">
        <v>562</v>
      </c>
      <c r="B261" s="51" t="s">
        <v>1194</v>
      </c>
      <c r="C261" s="51" t="s">
        <v>1399</v>
      </c>
      <c r="D261" s="51" t="s">
        <v>1195</v>
      </c>
      <c r="E261" s="51" t="s">
        <v>24</v>
      </c>
      <c r="F261" s="51" t="s">
        <v>36</v>
      </c>
      <c r="G261" s="51"/>
      <c r="H261" s="51"/>
      <c r="I261" s="16">
        <v>-347796850000</v>
      </c>
      <c r="J261" s="16">
        <v>-582911410000</v>
      </c>
      <c r="K261" s="51" t="s">
        <v>1202</v>
      </c>
      <c r="L261" s="53">
        <f t="shared" si="19"/>
        <v>30</v>
      </c>
      <c r="M261" s="17">
        <f t="shared" si="17"/>
        <v>0</v>
      </c>
      <c r="N261" s="18">
        <f t="shared" si="18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  <c r="AS261" s="27"/>
    </row>
    <row r="262" spans="1:45" ht="15.75" thickBot="1" x14ac:dyDescent="0.3">
      <c r="A262" s="51" t="s">
        <v>552</v>
      </c>
      <c r="B262" s="51" t="s">
        <v>1196</v>
      </c>
      <c r="C262" s="51" t="s">
        <v>1399</v>
      </c>
      <c r="D262" s="51" t="s">
        <v>1197</v>
      </c>
      <c r="E262" s="51" t="s">
        <v>24</v>
      </c>
      <c r="F262" s="51" t="s">
        <v>36</v>
      </c>
      <c r="G262" s="51"/>
      <c r="H262" s="51"/>
      <c r="I262" s="16">
        <v>-347856950000</v>
      </c>
      <c r="J262" s="16">
        <v>-582934700000</v>
      </c>
      <c r="K262" s="51" t="s">
        <v>1203</v>
      </c>
      <c r="L262" s="53">
        <f t="shared" ref="L262:L325" si="20">COUNTIF(O262:AR262,"")</f>
        <v>30</v>
      </c>
      <c r="M262" s="17">
        <f t="shared" si="17"/>
        <v>0</v>
      </c>
      <c r="N262" s="18">
        <f t="shared" si="18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  <c r="AS262" s="27"/>
    </row>
    <row r="263" spans="1:45" ht="15.75" thickBot="1" x14ac:dyDescent="0.3">
      <c r="A263" s="51" t="s">
        <v>552</v>
      </c>
      <c r="B263" s="51" t="s">
        <v>1337</v>
      </c>
      <c r="C263" s="51"/>
      <c r="D263" s="51" t="s">
        <v>1338</v>
      </c>
      <c r="E263" s="51" t="s">
        <v>24</v>
      </c>
      <c r="F263" s="51" t="s">
        <v>36</v>
      </c>
      <c r="G263" s="51"/>
      <c r="H263" s="51"/>
      <c r="I263" s="16">
        <v>-347828300000</v>
      </c>
      <c r="J263" s="16">
        <v>-582968120000</v>
      </c>
      <c r="K263" s="51"/>
      <c r="L263" s="53">
        <f t="shared" si="20"/>
        <v>30</v>
      </c>
      <c r="M263" s="17">
        <f t="shared" ref="M263:M326" si="21">COUNTIF(O263:AP263,"APAGADO")</f>
        <v>0</v>
      </c>
      <c r="N263" s="18">
        <f t="shared" ref="N263:N326" si="22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  <c r="AS263" s="27"/>
    </row>
    <row r="264" spans="1:45" ht="15.75" thickBot="1" x14ac:dyDescent="0.3">
      <c r="A264" s="51" t="s">
        <v>552</v>
      </c>
      <c r="B264" s="51" t="s">
        <v>559</v>
      </c>
      <c r="C264" s="51" t="s">
        <v>1399</v>
      </c>
      <c r="D264" s="51" t="s">
        <v>560</v>
      </c>
      <c r="E264" s="51" t="s">
        <v>19</v>
      </c>
      <c r="F264" s="51" t="s">
        <v>25</v>
      </c>
      <c r="G264" s="51" t="s">
        <v>170</v>
      </c>
      <c r="H264" s="51" t="s">
        <v>561</v>
      </c>
      <c r="I264" s="16">
        <v>-347871630000</v>
      </c>
      <c r="J264" s="16">
        <v>-582901360000</v>
      </c>
      <c r="K264" s="51" t="s">
        <v>1052</v>
      </c>
      <c r="L264" s="53">
        <f t="shared" si="20"/>
        <v>30</v>
      </c>
      <c r="M264" s="17">
        <f t="shared" si="21"/>
        <v>0</v>
      </c>
      <c r="N264" s="18">
        <f t="shared" si="22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  <c r="AS264" s="27"/>
    </row>
    <row r="265" spans="1:45" ht="15.75" thickBot="1" x14ac:dyDescent="0.3">
      <c r="A265" s="51" t="s">
        <v>562</v>
      </c>
      <c r="B265" s="51" t="s">
        <v>563</v>
      </c>
      <c r="C265" s="51" t="s">
        <v>1399</v>
      </c>
      <c r="D265" s="51" t="s">
        <v>564</v>
      </c>
      <c r="E265" s="51" t="s">
        <v>102</v>
      </c>
      <c r="F265" s="51" t="s">
        <v>36</v>
      </c>
      <c r="G265" s="51"/>
      <c r="H265" s="51"/>
      <c r="I265" s="16">
        <v>-347797900000</v>
      </c>
      <c r="J265" s="16">
        <v>-582911520000</v>
      </c>
      <c r="K265" s="51" t="s">
        <v>1058</v>
      </c>
      <c r="L265" s="53">
        <f t="shared" si="20"/>
        <v>30</v>
      </c>
      <c r="M265" s="17">
        <f t="shared" si="21"/>
        <v>0</v>
      </c>
      <c r="N265" s="18">
        <f t="shared" si="22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  <c r="AS265" s="27"/>
    </row>
    <row r="266" spans="1:45" ht="15.75" thickBot="1" x14ac:dyDescent="0.3">
      <c r="A266" s="51" t="s">
        <v>562</v>
      </c>
      <c r="B266" s="51" t="s">
        <v>565</v>
      </c>
      <c r="C266" s="51" t="s">
        <v>1399</v>
      </c>
      <c r="D266" s="51" t="s">
        <v>564</v>
      </c>
      <c r="E266" s="51" t="s">
        <v>102</v>
      </c>
      <c r="F266" s="51" t="s">
        <v>36</v>
      </c>
      <c r="G266" s="51"/>
      <c r="H266" s="51"/>
      <c r="I266" s="16">
        <v>-347797200000</v>
      </c>
      <c r="J266" s="16">
        <v>-582912050000</v>
      </c>
      <c r="K266" s="51" t="s">
        <v>1059</v>
      </c>
      <c r="L266" s="53">
        <f t="shared" si="20"/>
        <v>30</v>
      </c>
      <c r="M266" s="17">
        <f t="shared" si="21"/>
        <v>0</v>
      </c>
      <c r="N266" s="18">
        <f t="shared" si="22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  <c r="AS266" s="27"/>
    </row>
    <row r="267" spans="1:45" ht="15.75" thickBot="1" x14ac:dyDescent="0.3">
      <c r="A267" s="51" t="s">
        <v>552</v>
      </c>
      <c r="B267" s="51" t="s">
        <v>566</v>
      </c>
      <c r="C267" s="51" t="s">
        <v>1399</v>
      </c>
      <c r="D267" s="51" t="s">
        <v>567</v>
      </c>
      <c r="E267" s="51" t="s">
        <v>102</v>
      </c>
      <c r="F267" s="51" t="s">
        <v>36</v>
      </c>
      <c r="G267" s="51" t="s">
        <v>568</v>
      </c>
      <c r="H267" s="51"/>
      <c r="I267" s="16">
        <v>-347831700000</v>
      </c>
      <c r="J267" s="16">
        <v>-582932590000</v>
      </c>
      <c r="K267" s="51" t="s">
        <v>1060</v>
      </c>
      <c r="L267" s="53">
        <f t="shared" si="20"/>
        <v>30</v>
      </c>
      <c r="M267" s="17">
        <f t="shared" si="21"/>
        <v>0</v>
      </c>
      <c r="N267" s="18">
        <f t="shared" si="22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  <c r="AS267" s="27"/>
    </row>
    <row r="268" spans="1:45" ht="15.75" thickBot="1" x14ac:dyDescent="0.3">
      <c r="A268" s="51" t="s">
        <v>552</v>
      </c>
      <c r="B268" s="51" t="s">
        <v>569</v>
      </c>
      <c r="C268" s="51" t="s">
        <v>1399</v>
      </c>
      <c r="D268" s="51" t="s">
        <v>567</v>
      </c>
      <c r="E268" s="51" t="s">
        <v>102</v>
      </c>
      <c r="F268" s="51" t="s">
        <v>36</v>
      </c>
      <c r="G268" s="51" t="s">
        <v>568</v>
      </c>
      <c r="H268" s="51"/>
      <c r="I268" s="16">
        <v>-347832580000</v>
      </c>
      <c r="J268" s="16">
        <v>-582932170000</v>
      </c>
      <c r="K268" s="51" t="s">
        <v>1061</v>
      </c>
      <c r="L268" s="53">
        <f t="shared" si="20"/>
        <v>30</v>
      </c>
      <c r="M268" s="17">
        <f t="shared" si="21"/>
        <v>0</v>
      </c>
      <c r="N268" s="18">
        <f t="shared" si="22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  <c r="AS268" s="27"/>
    </row>
    <row r="269" spans="1:45" ht="15.75" thickBot="1" x14ac:dyDescent="0.3">
      <c r="A269" s="51" t="s">
        <v>552</v>
      </c>
      <c r="B269" s="51" t="s">
        <v>570</v>
      </c>
      <c r="C269" s="51" t="s">
        <v>1399</v>
      </c>
      <c r="D269" s="51" t="s">
        <v>571</v>
      </c>
      <c r="E269" s="51" t="s">
        <v>102</v>
      </c>
      <c r="F269" s="51" t="s">
        <v>36</v>
      </c>
      <c r="G269" s="51" t="s">
        <v>572</v>
      </c>
      <c r="H269" s="51"/>
      <c r="I269" s="16">
        <v>-347819280000</v>
      </c>
      <c r="J269" s="16">
        <v>-582932800000</v>
      </c>
      <c r="K269" s="51" t="s">
        <v>1062</v>
      </c>
      <c r="L269" s="53">
        <f t="shared" si="20"/>
        <v>30</v>
      </c>
      <c r="M269" s="17">
        <f t="shared" si="21"/>
        <v>0</v>
      </c>
      <c r="N269" s="18">
        <f t="shared" si="22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  <c r="AS269" s="27"/>
    </row>
    <row r="270" spans="1:45" ht="15.75" thickBot="1" x14ac:dyDescent="0.3">
      <c r="A270" s="51" t="s">
        <v>552</v>
      </c>
      <c r="B270" s="51" t="s">
        <v>573</v>
      </c>
      <c r="C270" s="51" t="s">
        <v>1399</v>
      </c>
      <c r="D270" s="51" t="s">
        <v>571</v>
      </c>
      <c r="E270" s="51" t="s">
        <v>102</v>
      </c>
      <c r="F270" s="51" t="s">
        <v>36</v>
      </c>
      <c r="G270" s="51" t="s">
        <v>572</v>
      </c>
      <c r="H270" s="51"/>
      <c r="I270" s="16">
        <v>-347819190000</v>
      </c>
      <c r="J270" s="16">
        <v>-582932910000</v>
      </c>
      <c r="K270" s="51" t="s">
        <v>1063</v>
      </c>
      <c r="L270" s="53">
        <f t="shared" si="20"/>
        <v>30</v>
      </c>
      <c r="M270" s="17">
        <f t="shared" si="21"/>
        <v>0</v>
      </c>
      <c r="N270" s="18">
        <f t="shared" si="22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  <c r="AS270" s="27"/>
    </row>
    <row r="271" spans="1:45" ht="15.75" thickBot="1" x14ac:dyDescent="0.3">
      <c r="A271" s="51" t="s">
        <v>283</v>
      </c>
      <c r="B271" s="51" t="s">
        <v>574</v>
      </c>
      <c r="C271" s="51" t="s">
        <v>1400</v>
      </c>
      <c r="D271" s="51" t="s">
        <v>575</v>
      </c>
      <c r="E271" s="51" t="s">
        <v>19</v>
      </c>
      <c r="F271" s="51" t="s">
        <v>25</v>
      </c>
      <c r="G271" s="51"/>
      <c r="H271" s="51" t="s">
        <v>576</v>
      </c>
      <c r="I271" s="16">
        <v>-348247270000</v>
      </c>
      <c r="J271" s="16">
        <v>-582923280000</v>
      </c>
      <c r="K271" s="51" t="s">
        <v>1066</v>
      </c>
      <c r="L271" s="53">
        <f t="shared" si="20"/>
        <v>30</v>
      </c>
      <c r="M271" s="17">
        <f t="shared" si="21"/>
        <v>0</v>
      </c>
      <c r="N271" s="18">
        <f t="shared" si="22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  <c r="AS271" s="27"/>
    </row>
    <row r="272" spans="1:45" ht="15.75" thickBot="1" x14ac:dyDescent="0.3">
      <c r="A272" s="51" t="s">
        <v>283</v>
      </c>
      <c r="B272" s="51" t="s">
        <v>577</v>
      </c>
      <c r="C272" s="51"/>
      <c r="D272" s="51" t="s">
        <v>578</v>
      </c>
      <c r="E272" s="51" t="s">
        <v>19</v>
      </c>
      <c r="F272" s="51" t="s">
        <v>25</v>
      </c>
      <c r="G272" s="51"/>
      <c r="H272" s="51" t="s">
        <v>576</v>
      </c>
      <c r="I272" s="16">
        <v>-348165060000</v>
      </c>
      <c r="J272" s="16">
        <v>-582994990000</v>
      </c>
      <c r="K272" s="51" t="s">
        <v>1068</v>
      </c>
      <c r="L272" s="53">
        <f t="shared" si="20"/>
        <v>29</v>
      </c>
      <c r="M272" s="17">
        <f t="shared" si="21"/>
        <v>1</v>
      </c>
      <c r="N272" s="18">
        <f t="shared" si="22"/>
        <v>0.96666666666666667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 t="s">
        <v>1211</v>
      </c>
      <c r="AJ272" s="27"/>
      <c r="AK272" s="8"/>
      <c r="AL272" s="8"/>
      <c r="AM272" s="8"/>
      <c r="AN272" s="27"/>
      <c r="AO272" s="8"/>
      <c r="AP272" s="8"/>
      <c r="AQ272" s="27"/>
      <c r="AR272" s="27"/>
      <c r="AS272" s="27"/>
    </row>
    <row r="273" spans="1:45" ht="15.75" thickBot="1" x14ac:dyDescent="0.3">
      <c r="A273" s="51" t="s">
        <v>283</v>
      </c>
      <c r="B273" s="51" t="s">
        <v>1339</v>
      </c>
      <c r="C273" s="51"/>
      <c r="D273" s="51" t="s">
        <v>1340</v>
      </c>
      <c r="E273" s="51" t="s">
        <v>102</v>
      </c>
      <c r="F273" s="51" t="s">
        <v>25</v>
      </c>
      <c r="G273" s="51"/>
      <c r="H273" s="51"/>
      <c r="I273" s="16">
        <v>-348199160000</v>
      </c>
      <c r="J273" s="16">
        <v>-582945670000</v>
      </c>
      <c r="K273" s="51"/>
      <c r="L273" s="53">
        <f t="shared" si="20"/>
        <v>30</v>
      </c>
      <c r="M273" s="17">
        <f t="shared" si="21"/>
        <v>0</v>
      </c>
      <c r="N273" s="18">
        <f t="shared" si="22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  <c r="AS273" s="27"/>
    </row>
    <row r="274" spans="1:45" ht="15.75" thickBot="1" x14ac:dyDescent="0.3">
      <c r="A274" s="51" t="s">
        <v>283</v>
      </c>
      <c r="B274" s="51" t="s">
        <v>1341</v>
      </c>
      <c r="C274" s="51"/>
      <c r="D274" s="51" t="s">
        <v>1340</v>
      </c>
      <c r="E274" s="51" t="s">
        <v>102</v>
      </c>
      <c r="F274" s="51" t="s">
        <v>25</v>
      </c>
      <c r="G274" s="51"/>
      <c r="H274" s="51"/>
      <c r="I274" s="16">
        <v>-348199430000</v>
      </c>
      <c r="J274" s="16">
        <v>-582947380000</v>
      </c>
      <c r="K274" s="51"/>
      <c r="L274" s="53">
        <f t="shared" si="20"/>
        <v>30</v>
      </c>
      <c r="M274" s="17">
        <f t="shared" si="21"/>
        <v>0</v>
      </c>
      <c r="N274" s="18">
        <f t="shared" si="22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  <c r="AS274" s="27"/>
    </row>
    <row r="275" spans="1:45" ht="15.75" thickBot="1" x14ac:dyDescent="0.3">
      <c r="A275" s="51" t="s">
        <v>283</v>
      </c>
      <c r="B275" s="51" t="s">
        <v>579</v>
      </c>
      <c r="C275" s="51"/>
      <c r="D275" s="51" t="s">
        <v>580</v>
      </c>
      <c r="E275" s="51" t="s">
        <v>24</v>
      </c>
      <c r="F275" s="51" t="s">
        <v>25</v>
      </c>
      <c r="G275" s="51" t="s">
        <v>150</v>
      </c>
      <c r="H275" s="51"/>
      <c r="I275" s="16">
        <v>-348184850000</v>
      </c>
      <c r="J275" s="16">
        <v>-583019920000</v>
      </c>
      <c r="K275" s="51" t="s">
        <v>1064</v>
      </c>
      <c r="L275" s="53">
        <f t="shared" si="20"/>
        <v>30</v>
      </c>
      <c r="M275" s="17">
        <f t="shared" si="21"/>
        <v>0</v>
      </c>
      <c r="N275" s="18">
        <f t="shared" si="22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  <c r="AS275" s="27"/>
    </row>
    <row r="276" spans="1:45" ht="15.75" thickBot="1" x14ac:dyDescent="0.3">
      <c r="A276" s="51" t="s">
        <v>283</v>
      </c>
      <c r="B276" s="51" t="s">
        <v>581</v>
      </c>
      <c r="C276" s="51"/>
      <c r="D276" s="51" t="s">
        <v>582</v>
      </c>
      <c r="E276" s="51" t="s">
        <v>24</v>
      </c>
      <c r="F276" s="51" t="s">
        <v>25</v>
      </c>
      <c r="G276" s="51" t="s">
        <v>170</v>
      </c>
      <c r="H276" s="51" t="s">
        <v>583</v>
      </c>
      <c r="I276" s="16">
        <v>-348155560000</v>
      </c>
      <c r="J276" s="16">
        <v>-582959460000</v>
      </c>
      <c r="K276" s="51" t="s">
        <v>1065</v>
      </c>
      <c r="L276" s="53">
        <f t="shared" si="20"/>
        <v>30</v>
      </c>
      <c r="M276" s="17">
        <f t="shared" si="21"/>
        <v>0</v>
      </c>
      <c r="N276" s="18">
        <f t="shared" si="22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  <c r="AS276" s="27"/>
    </row>
    <row r="277" spans="1:45" ht="15.75" thickBot="1" x14ac:dyDescent="0.3">
      <c r="A277" s="51" t="s">
        <v>283</v>
      </c>
      <c r="B277" s="51" t="s">
        <v>584</v>
      </c>
      <c r="C277" s="51"/>
      <c r="D277" s="51" t="s">
        <v>585</v>
      </c>
      <c r="E277" s="51" t="s">
        <v>102</v>
      </c>
      <c r="F277" s="51" t="s">
        <v>36</v>
      </c>
      <c r="G277" s="51"/>
      <c r="H277" s="51" t="s">
        <v>472</v>
      </c>
      <c r="I277" s="16">
        <v>-348174000000</v>
      </c>
      <c r="J277" s="16">
        <v>-582945240000</v>
      </c>
      <c r="K277" s="51" t="s">
        <v>1069</v>
      </c>
      <c r="L277" s="53">
        <f t="shared" si="20"/>
        <v>30</v>
      </c>
      <c r="M277" s="17">
        <f t="shared" si="21"/>
        <v>0</v>
      </c>
      <c r="N277" s="18">
        <f t="shared" si="22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  <c r="AS277" s="27"/>
    </row>
    <row r="278" spans="1:45" ht="15.75" thickBot="1" x14ac:dyDescent="0.3">
      <c r="A278" s="51" t="s">
        <v>283</v>
      </c>
      <c r="B278" s="51" t="s">
        <v>586</v>
      </c>
      <c r="C278" s="51"/>
      <c r="D278" s="51" t="s">
        <v>585</v>
      </c>
      <c r="E278" s="51" t="s">
        <v>102</v>
      </c>
      <c r="F278" s="51" t="s">
        <v>36</v>
      </c>
      <c r="G278" s="51"/>
      <c r="H278" s="51" t="s">
        <v>472</v>
      </c>
      <c r="I278" s="16">
        <v>-348174220000</v>
      </c>
      <c r="J278" s="16">
        <v>-582945170000</v>
      </c>
      <c r="K278" s="51" t="s">
        <v>1070</v>
      </c>
      <c r="L278" s="53">
        <f t="shared" si="20"/>
        <v>30</v>
      </c>
      <c r="M278" s="17">
        <f t="shared" si="21"/>
        <v>0</v>
      </c>
      <c r="N278" s="18">
        <f t="shared" si="22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  <c r="AS278" s="27"/>
    </row>
    <row r="279" spans="1:45" ht="15.75" thickBot="1" x14ac:dyDescent="0.3">
      <c r="A279" s="51" t="s">
        <v>283</v>
      </c>
      <c r="B279" s="51" t="s">
        <v>587</v>
      </c>
      <c r="C279" s="51"/>
      <c r="D279" s="51" t="s">
        <v>588</v>
      </c>
      <c r="E279" s="51" t="s">
        <v>102</v>
      </c>
      <c r="F279" s="51" t="s">
        <v>36</v>
      </c>
      <c r="G279" s="51"/>
      <c r="H279" s="51" t="s">
        <v>266</v>
      </c>
      <c r="I279" s="16">
        <v>-348145600000</v>
      </c>
      <c r="J279" s="16">
        <v>-582924490000</v>
      </c>
      <c r="K279" s="51" t="s">
        <v>1071</v>
      </c>
      <c r="L279" s="53">
        <f t="shared" si="20"/>
        <v>29</v>
      </c>
      <c r="M279" s="17">
        <f t="shared" si="21"/>
        <v>1</v>
      </c>
      <c r="N279" s="18">
        <f t="shared" si="22"/>
        <v>0.96666666666666667</v>
      </c>
      <c r="O279" s="27"/>
      <c r="P279" s="8"/>
      <c r="Q279" s="8" t="s">
        <v>1211</v>
      </c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  <c r="AS279" s="27"/>
    </row>
    <row r="280" spans="1:45" ht="15.75" thickBot="1" x14ac:dyDescent="0.3">
      <c r="A280" s="51" t="s">
        <v>283</v>
      </c>
      <c r="B280" s="51" t="s">
        <v>589</v>
      </c>
      <c r="C280" s="51"/>
      <c r="D280" s="51" t="s">
        <v>588</v>
      </c>
      <c r="E280" s="51" t="s">
        <v>102</v>
      </c>
      <c r="F280" s="51" t="s">
        <v>36</v>
      </c>
      <c r="G280" s="51"/>
      <c r="H280" s="51" t="s">
        <v>266</v>
      </c>
      <c r="I280" s="16">
        <v>-348145600000</v>
      </c>
      <c r="J280" s="16">
        <v>-582924490000</v>
      </c>
      <c r="K280" s="51" t="s">
        <v>1072</v>
      </c>
      <c r="L280" s="53">
        <f t="shared" si="20"/>
        <v>30</v>
      </c>
      <c r="M280" s="17">
        <f t="shared" si="21"/>
        <v>0</v>
      </c>
      <c r="N280" s="18">
        <f t="shared" si="22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  <c r="AS280" s="27"/>
    </row>
    <row r="281" spans="1:45" ht="15.75" thickBot="1" x14ac:dyDescent="0.3">
      <c r="A281" s="51" t="s">
        <v>590</v>
      </c>
      <c r="B281" s="51" t="s">
        <v>591</v>
      </c>
      <c r="C281" s="51"/>
      <c r="D281" s="51" t="s">
        <v>592</v>
      </c>
      <c r="E281" s="51" t="s">
        <v>24</v>
      </c>
      <c r="F281" s="51" t="s">
        <v>25</v>
      </c>
      <c r="G281" s="51" t="s">
        <v>593</v>
      </c>
      <c r="H281" s="51" t="s">
        <v>594</v>
      </c>
      <c r="I281" s="16">
        <v>-348007570000</v>
      </c>
      <c r="J281" s="16">
        <v>-582391960000</v>
      </c>
      <c r="K281" s="51" t="s">
        <v>1073</v>
      </c>
      <c r="L281" s="53">
        <f t="shared" si="20"/>
        <v>29</v>
      </c>
      <c r="M281" s="17">
        <f t="shared" si="21"/>
        <v>1</v>
      </c>
      <c r="N281" s="18">
        <f t="shared" si="22"/>
        <v>0.96666666666666667</v>
      </c>
      <c r="O281" s="27"/>
      <c r="P281" s="8"/>
      <c r="Q281" s="8"/>
      <c r="R281" s="8"/>
      <c r="S281" s="27"/>
      <c r="T281" s="27"/>
      <c r="U281" s="8"/>
      <c r="V281" s="8"/>
      <c r="W281" s="8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 t="s">
        <v>1211</v>
      </c>
      <c r="AJ281" s="27"/>
      <c r="AK281" s="8"/>
      <c r="AL281" s="8"/>
      <c r="AM281" s="8"/>
      <c r="AN281" s="27"/>
      <c r="AO281" s="8"/>
      <c r="AP281" s="8"/>
      <c r="AQ281" s="27"/>
      <c r="AR281" s="27"/>
      <c r="AS281" s="27"/>
    </row>
    <row r="282" spans="1:45" ht="15.75" thickBot="1" x14ac:dyDescent="0.3">
      <c r="A282" s="51" t="s">
        <v>597</v>
      </c>
      <c r="B282" s="51" t="s">
        <v>595</v>
      </c>
      <c r="C282" s="51" t="s">
        <v>1400</v>
      </c>
      <c r="D282" s="51" t="s">
        <v>596</v>
      </c>
      <c r="E282" s="51" t="s">
        <v>24</v>
      </c>
      <c r="F282" s="51" t="s">
        <v>25</v>
      </c>
      <c r="G282" s="51"/>
      <c r="H282" s="51"/>
      <c r="I282" s="16">
        <v>-348178990000</v>
      </c>
      <c r="J282" s="16">
        <v>-582605300000</v>
      </c>
      <c r="K282" s="51" t="s">
        <v>1076</v>
      </c>
      <c r="L282" s="53">
        <f t="shared" si="20"/>
        <v>30</v>
      </c>
      <c r="M282" s="17">
        <f t="shared" si="21"/>
        <v>0</v>
      </c>
      <c r="N282" s="18">
        <f t="shared" si="22"/>
        <v>1</v>
      </c>
      <c r="O282" s="27"/>
      <c r="P282" s="8"/>
      <c r="Q282" s="8"/>
      <c r="R282" s="8"/>
      <c r="S282" s="27"/>
      <c r="T282" s="27"/>
      <c r="U282" s="8"/>
      <c r="V282" s="8"/>
      <c r="W282" s="8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  <c r="AS282" s="27"/>
    </row>
    <row r="283" spans="1:45" ht="15.75" thickBot="1" x14ac:dyDescent="0.3">
      <c r="A283" s="51" t="s">
        <v>597</v>
      </c>
      <c r="B283" s="51" t="s">
        <v>598</v>
      </c>
      <c r="C283" s="51" t="s">
        <v>1400</v>
      </c>
      <c r="D283" s="51" t="s">
        <v>599</v>
      </c>
      <c r="E283" s="51" t="s">
        <v>65</v>
      </c>
      <c r="F283" s="51" t="s">
        <v>25</v>
      </c>
      <c r="G283" s="51" t="s">
        <v>600</v>
      </c>
      <c r="H283" s="51" t="s">
        <v>601</v>
      </c>
      <c r="I283" s="16">
        <v>-348119330000</v>
      </c>
      <c r="J283" s="16">
        <v>-582583640000</v>
      </c>
      <c r="K283" s="51" t="s">
        <v>1077</v>
      </c>
      <c r="L283" s="53">
        <f t="shared" si="20"/>
        <v>12</v>
      </c>
      <c r="M283" s="17">
        <f t="shared" si="21"/>
        <v>18</v>
      </c>
      <c r="N283" s="18">
        <f t="shared" si="22"/>
        <v>0.4</v>
      </c>
      <c r="O283" s="27" t="s">
        <v>1211</v>
      </c>
      <c r="P283" s="8" t="s">
        <v>1211</v>
      </c>
      <c r="Q283" s="8" t="s">
        <v>1211</v>
      </c>
      <c r="R283" s="8" t="s">
        <v>1211</v>
      </c>
      <c r="S283" s="27" t="s">
        <v>1211</v>
      </c>
      <c r="T283" s="27"/>
      <c r="U283" s="8" t="s">
        <v>1211</v>
      </c>
      <c r="V283" s="8" t="s">
        <v>1211</v>
      </c>
      <c r="W283" s="8" t="s">
        <v>1211</v>
      </c>
      <c r="X283" s="27" t="s">
        <v>1211</v>
      </c>
      <c r="Y283" s="27" t="s">
        <v>1211</v>
      </c>
      <c r="Z283" s="27" t="s">
        <v>1211</v>
      </c>
      <c r="AA283" s="27" t="s">
        <v>1211</v>
      </c>
      <c r="AB283" s="27" t="s">
        <v>1211</v>
      </c>
      <c r="AC283" s="27" t="s">
        <v>1211</v>
      </c>
      <c r="AD283" s="27" t="s">
        <v>1211</v>
      </c>
      <c r="AE283" s="27" t="s">
        <v>1211</v>
      </c>
      <c r="AF283" s="27" t="s">
        <v>1211</v>
      </c>
      <c r="AG283" s="27" t="s">
        <v>1211</v>
      </c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  <c r="AS283" s="27"/>
    </row>
    <row r="284" spans="1:45" ht="15.75" thickBot="1" x14ac:dyDescent="0.3">
      <c r="A284" s="51" t="s">
        <v>597</v>
      </c>
      <c r="B284" s="51" t="s">
        <v>602</v>
      </c>
      <c r="C284" s="51" t="s">
        <v>1400</v>
      </c>
      <c r="D284" s="51" t="s">
        <v>603</v>
      </c>
      <c r="E284" s="51" t="s">
        <v>19</v>
      </c>
      <c r="F284" s="51" t="s">
        <v>36</v>
      </c>
      <c r="G284" s="51"/>
      <c r="H284" s="51" t="s">
        <v>311</v>
      </c>
      <c r="I284" s="16">
        <v>-348167840000</v>
      </c>
      <c r="J284" s="16">
        <v>-582534370000</v>
      </c>
      <c r="K284" s="51" t="s">
        <v>1079</v>
      </c>
      <c r="L284" s="53">
        <f t="shared" si="20"/>
        <v>30</v>
      </c>
      <c r="M284" s="17">
        <f t="shared" si="21"/>
        <v>0</v>
      </c>
      <c r="N284" s="18">
        <f t="shared" si="22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  <c r="AS284" s="27"/>
    </row>
    <row r="285" spans="1:45" ht="15.75" thickBot="1" x14ac:dyDescent="0.3">
      <c r="A285" s="51" t="s">
        <v>597</v>
      </c>
      <c r="B285" s="51" t="s">
        <v>604</v>
      </c>
      <c r="C285" s="51" t="s">
        <v>1400</v>
      </c>
      <c r="D285" s="51" t="s">
        <v>605</v>
      </c>
      <c r="E285" s="51" t="s">
        <v>19</v>
      </c>
      <c r="F285" s="51" t="s">
        <v>36</v>
      </c>
      <c r="G285" s="51"/>
      <c r="H285" s="51" t="s">
        <v>311</v>
      </c>
      <c r="I285" s="16">
        <v>-348194100000</v>
      </c>
      <c r="J285" s="16">
        <v>-582514340000</v>
      </c>
      <c r="K285" s="51" t="s">
        <v>1080</v>
      </c>
      <c r="L285" s="53">
        <f t="shared" si="20"/>
        <v>30</v>
      </c>
      <c r="M285" s="17">
        <f t="shared" si="21"/>
        <v>0</v>
      </c>
      <c r="N285" s="18">
        <f t="shared" si="22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  <c r="AS285" s="27"/>
    </row>
    <row r="286" spans="1:45" ht="15.75" thickBot="1" x14ac:dyDescent="0.3">
      <c r="A286" s="51" t="s">
        <v>597</v>
      </c>
      <c r="B286" s="51" t="s">
        <v>606</v>
      </c>
      <c r="C286" s="51" t="s">
        <v>1400</v>
      </c>
      <c r="D286" s="51" t="s">
        <v>607</v>
      </c>
      <c r="E286" s="51" t="s">
        <v>19</v>
      </c>
      <c r="F286" s="51" t="s">
        <v>25</v>
      </c>
      <c r="G286" s="51" t="s">
        <v>170</v>
      </c>
      <c r="H286" s="51"/>
      <c r="I286" s="16">
        <v>-348119410000</v>
      </c>
      <c r="J286" s="16">
        <v>-582582760000</v>
      </c>
      <c r="K286" s="51" t="s">
        <v>1074</v>
      </c>
      <c r="L286" s="53">
        <f t="shared" si="20"/>
        <v>29</v>
      </c>
      <c r="M286" s="17">
        <f t="shared" si="21"/>
        <v>1</v>
      </c>
      <c r="N286" s="18">
        <f t="shared" si="22"/>
        <v>0.96666666666666667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 t="s">
        <v>1211</v>
      </c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  <c r="AS286" s="27"/>
    </row>
    <row r="287" spans="1:45" ht="15.75" thickBot="1" x14ac:dyDescent="0.3">
      <c r="A287" s="51" t="s">
        <v>597</v>
      </c>
      <c r="B287" s="51" t="s">
        <v>608</v>
      </c>
      <c r="C287" s="51" t="s">
        <v>1400</v>
      </c>
      <c r="D287" s="51" t="s">
        <v>609</v>
      </c>
      <c r="E287" s="51" t="s">
        <v>24</v>
      </c>
      <c r="F287" s="51" t="s">
        <v>25</v>
      </c>
      <c r="G287" s="51" t="s">
        <v>170</v>
      </c>
      <c r="H287" s="51"/>
      <c r="I287" s="16">
        <v>-348150360000</v>
      </c>
      <c r="J287" s="16">
        <v>-582549730000</v>
      </c>
      <c r="K287" s="51" t="s">
        <v>1075</v>
      </c>
      <c r="L287" s="53">
        <f t="shared" si="20"/>
        <v>29</v>
      </c>
      <c r="M287" s="17">
        <f t="shared" si="21"/>
        <v>1</v>
      </c>
      <c r="N287" s="18">
        <f t="shared" si="22"/>
        <v>0.96666666666666667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 t="s">
        <v>1211</v>
      </c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  <c r="AS287" s="27"/>
    </row>
    <row r="288" spans="1:45" ht="15.75" thickBot="1" x14ac:dyDescent="0.3">
      <c r="A288" s="51" t="s">
        <v>597</v>
      </c>
      <c r="B288" s="51" t="s">
        <v>610</v>
      </c>
      <c r="C288" s="51"/>
      <c r="D288" s="51" t="s">
        <v>611</v>
      </c>
      <c r="E288" s="51" t="s">
        <v>19</v>
      </c>
      <c r="F288" s="51" t="s">
        <v>1391</v>
      </c>
      <c r="G288" s="51"/>
      <c r="H288" s="51" t="s">
        <v>612</v>
      </c>
      <c r="I288" s="16">
        <v>-348150250000</v>
      </c>
      <c r="J288" s="16">
        <v>-582640890000</v>
      </c>
      <c r="K288" s="51" t="s">
        <v>1078</v>
      </c>
      <c r="L288" s="53">
        <f t="shared" si="20"/>
        <v>30</v>
      </c>
      <c r="M288" s="17">
        <f t="shared" si="21"/>
        <v>0</v>
      </c>
      <c r="N288" s="18">
        <f t="shared" si="22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  <c r="AS288" s="27"/>
    </row>
    <row r="289" spans="1:45" ht="16.899999999999999" customHeight="1" thickBot="1" x14ac:dyDescent="0.3">
      <c r="A289" s="51" t="s">
        <v>240</v>
      </c>
      <c r="B289" s="51" t="s">
        <v>1342</v>
      </c>
      <c r="C289" s="51" t="s">
        <v>1399</v>
      </c>
      <c r="D289" s="51" t="s">
        <v>617</v>
      </c>
      <c r="E289" s="51" t="s">
        <v>102</v>
      </c>
      <c r="F289" s="51" t="s">
        <v>36</v>
      </c>
      <c r="G289" s="51"/>
      <c r="H289" s="51" t="s">
        <v>252</v>
      </c>
      <c r="I289" s="16">
        <v>-348013110000</v>
      </c>
      <c r="J289" s="16">
        <v>-582936040000</v>
      </c>
      <c r="K289" s="51" t="s">
        <v>1083</v>
      </c>
      <c r="L289" s="53">
        <f t="shared" si="20"/>
        <v>30</v>
      </c>
      <c r="M289" s="17">
        <f t="shared" si="21"/>
        <v>0</v>
      </c>
      <c r="N289" s="18">
        <f t="shared" si="22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  <c r="AS289" s="27"/>
    </row>
    <row r="290" spans="1:45" ht="15.75" thickBot="1" x14ac:dyDescent="0.3">
      <c r="A290" s="51" t="s">
        <v>240</v>
      </c>
      <c r="B290" s="51" t="s">
        <v>1343</v>
      </c>
      <c r="C290" s="51" t="s">
        <v>1399</v>
      </c>
      <c r="D290" s="51" t="s">
        <v>617</v>
      </c>
      <c r="E290" s="51" t="s">
        <v>102</v>
      </c>
      <c r="F290" s="51" t="s">
        <v>36</v>
      </c>
      <c r="G290" s="51"/>
      <c r="H290" s="51" t="s">
        <v>615</v>
      </c>
      <c r="I290" s="16">
        <v>-348013110000</v>
      </c>
      <c r="J290" s="16">
        <v>-582936040000</v>
      </c>
      <c r="K290" s="51" t="s">
        <v>1084</v>
      </c>
      <c r="L290" s="53">
        <f t="shared" si="20"/>
        <v>30</v>
      </c>
      <c r="M290" s="17">
        <f t="shared" si="21"/>
        <v>0</v>
      </c>
      <c r="N290" s="18">
        <f t="shared" si="22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  <c r="AS290" s="27"/>
    </row>
    <row r="291" spans="1:45" ht="15.75" thickBot="1" x14ac:dyDescent="0.3">
      <c r="A291" s="51" t="s">
        <v>240</v>
      </c>
      <c r="B291" s="51" t="s">
        <v>613</v>
      </c>
      <c r="C291" s="51" t="s">
        <v>1399</v>
      </c>
      <c r="D291" s="51" t="s">
        <v>614</v>
      </c>
      <c r="E291" s="51" t="s">
        <v>102</v>
      </c>
      <c r="F291" s="51" t="s">
        <v>36</v>
      </c>
      <c r="G291" s="51"/>
      <c r="H291" s="51" t="s">
        <v>615</v>
      </c>
      <c r="I291" s="16">
        <v>-348003780000</v>
      </c>
      <c r="J291" s="16">
        <v>-582918660000</v>
      </c>
      <c r="K291" s="51" t="s">
        <v>1081</v>
      </c>
      <c r="L291" s="53">
        <f t="shared" si="20"/>
        <v>30</v>
      </c>
      <c r="M291" s="17">
        <f t="shared" si="21"/>
        <v>0</v>
      </c>
      <c r="N291" s="18">
        <f t="shared" si="22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  <c r="AS291" s="27"/>
    </row>
    <row r="292" spans="1:45" ht="15.75" thickBot="1" x14ac:dyDescent="0.3">
      <c r="A292" s="51" t="s">
        <v>240</v>
      </c>
      <c r="B292" s="51" t="s">
        <v>616</v>
      </c>
      <c r="C292" s="51" t="s">
        <v>1399</v>
      </c>
      <c r="D292" s="51" t="s">
        <v>614</v>
      </c>
      <c r="E292" s="51" t="s">
        <v>102</v>
      </c>
      <c r="F292" s="51" t="s">
        <v>36</v>
      </c>
      <c r="G292" s="51"/>
      <c r="H292" s="51" t="s">
        <v>615</v>
      </c>
      <c r="I292" s="16">
        <v>-348003590000</v>
      </c>
      <c r="J292" s="16">
        <v>-582918370000</v>
      </c>
      <c r="K292" s="51" t="s">
        <v>1082</v>
      </c>
      <c r="L292" s="53">
        <f t="shared" si="20"/>
        <v>30</v>
      </c>
      <c r="M292" s="17">
        <f t="shared" si="21"/>
        <v>0</v>
      </c>
      <c r="N292" s="18">
        <f t="shared" si="22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  <c r="AS292" s="27"/>
    </row>
    <row r="293" spans="1:45" ht="15.75" thickBot="1" x14ac:dyDescent="0.3">
      <c r="A293" s="51" t="s">
        <v>618</v>
      </c>
      <c r="B293" s="51" t="s">
        <v>1344</v>
      </c>
      <c r="C293" s="51" t="s">
        <v>1400</v>
      </c>
      <c r="D293" s="51" t="s">
        <v>637</v>
      </c>
      <c r="E293" s="51" t="s">
        <v>24</v>
      </c>
      <c r="F293" s="51" t="s">
        <v>25</v>
      </c>
      <c r="G293" s="51" t="s">
        <v>638</v>
      </c>
      <c r="H293" s="51"/>
      <c r="I293" s="16">
        <v>-348208590000</v>
      </c>
      <c r="J293" s="16">
        <v>-582810870000</v>
      </c>
      <c r="K293" s="51" t="s">
        <v>1090</v>
      </c>
      <c r="L293" s="53">
        <f t="shared" si="20"/>
        <v>30</v>
      </c>
      <c r="M293" s="17">
        <f t="shared" si="21"/>
        <v>0</v>
      </c>
      <c r="N293" s="18">
        <f t="shared" si="22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  <c r="AS293" s="27"/>
    </row>
    <row r="294" spans="1:45" ht="15.75" thickBot="1" x14ac:dyDescent="0.3">
      <c r="A294" s="51" t="s">
        <v>618</v>
      </c>
      <c r="B294" s="51" t="s">
        <v>623</v>
      </c>
      <c r="C294" s="51" t="s">
        <v>1400</v>
      </c>
      <c r="D294" s="51" t="s">
        <v>624</v>
      </c>
      <c r="E294" s="51" t="s">
        <v>24</v>
      </c>
      <c r="F294" s="51" t="s">
        <v>36</v>
      </c>
      <c r="G294" s="51"/>
      <c r="H294" s="51"/>
      <c r="I294" s="16">
        <v>-348233110000</v>
      </c>
      <c r="J294" s="16">
        <v>-582829730000</v>
      </c>
      <c r="K294" s="51" t="s">
        <v>1094</v>
      </c>
      <c r="L294" s="53">
        <f t="shared" si="20"/>
        <v>30</v>
      </c>
      <c r="M294" s="17">
        <f t="shared" si="21"/>
        <v>0</v>
      </c>
      <c r="N294" s="18">
        <f t="shared" si="22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  <c r="AS294" s="27"/>
    </row>
    <row r="295" spans="1:45" ht="15.75" thickBot="1" x14ac:dyDescent="0.3">
      <c r="A295" s="51" t="s">
        <v>618</v>
      </c>
      <c r="B295" s="51" t="s">
        <v>1345</v>
      </c>
      <c r="C295" s="51" t="s">
        <v>1400</v>
      </c>
      <c r="D295" s="51" t="s">
        <v>639</v>
      </c>
      <c r="E295" s="51" t="s">
        <v>19</v>
      </c>
      <c r="F295" s="51" t="s">
        <v>25</v>
      </c>
      <c r="G295" s="51"/>
      <c r="H295" s="51" t="s">
        <v>640</v>
      </c>
      <c r="I295" s="16">
        <v>-348280830000</v>
      </c>
      <c r="J295" s="16">
        <v>-582861650000</v>
      </c>
      <c r="K295" s="51" t="s">
        <v>1085</v>
      </c>
      <c r="L295" s="53">
        <f t="shared" si="20"/>
        <v>30</v>
      </c>
      <c r="M295" s="17">
        <f t="shared" si="21"/>
        <v>0</v>
      </c>
      <c r="N295" s="18">
        <f t="shared" si="22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  <c r="AS295" s="27"/>
    </row>
    <row r="296" spans="1:45" ht="15.75" thickBot="1" x14ac:dyDescent="0.3">
      <c r="A296" s="51" t="s">
        <v>488</v>
      </c>
      <c r="B296" s="51" t="s">
        <v>1346</v>
      </c>
      <c r="C296" s="51" t="s">
        <v>1400</v>
      </c>
      <c r="D296" s="51" t="s">
        <v>643</v>
      </c>
      <c r="E296" s="51" t="s">
        <v>102</v>
      </c>
      <c r="F296" s="51" t="s">
        <v>20</v>
      </c>
      <c r="G296" s="51"/>
      <c r="H296" s="51" t="s">
        <v>252</v>
      </c>
      <c r="I296" s="16">
        <v>-348335600000</v>
      </c>
      <c r="J296" s="16">
        <v>-582946050000</v>
      </c>
      <c r="K296" s="51" t="s">
        <v>1096</v>
      </c>
      <c r="L296" s="53">
        <f t="shared" si="20"/>
        <v>30</v>
      </c>
      <c r="M296" s="17">
        <f t="shared" si="21"/>
        <v>0</v>
      </c>
      <c r="N296" s="18">
        <f t="shared" si="22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  <c r="AS296" s="27"/>
    </row>
    <row r="297" spans="1:45" ht="15.75" thickBot="1" x14ac:dyDescent="0.3">
      <c r="A297" s="51" t="s">
        <v>488</v>
      </c>
      <c r="B297" s="51" t="s">
        <v>1347</v>
      </c>
      <c r="C297" s="51" t="s">
        <v>1400</v>
      </c>
      <c r="D297" s="51" t="s">
        <v>643</v>
      </c>
      <c r="E297" s="51" t="s">
        <v>102</v>
      </c>
      <c r="F297" s="51" t="s">
        <v>20</v>
      </c>
      <c r="G297" s="51"/>
      <c r="H297" s="51" t="s">
        <v>252</v>
      </c>
      <c r="I297" s="16">
        <v>-348335740000</v>
      </c>
      <c r="J297" s="16">
        <v>-582946270000</v>
      </c>
      <c r="K297" s="51" t="s">
        <v>1097</v>
      </c>
      <c r="L297" s="53">
        <f t="shared" si="20"/>
        <v>30</v>
      </c>
      <c r="M297" s="17">
        <f t="shared" si="21"/>
        <v>0</v>
      </c>
      <c r="N297" s="18">
        <f t="shared" si="22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  <c r="AS297" s="27"/>
    </row>
    <row r="298" spans="1:45" ht="15.75" thickBot="1" x14ac:dyDescent="0.3">
      <c r="A298" s="51" t="s">
        <v>618</v>
      </c>
      <c r="B298" s="51" t="s">
        <v>1348</v>
      </c>
      <c r="C298" s="51" t="s">
        <v>1400</v>
      </c>
      <c r="D298" s="51" t="s">
        <v>647</v>
      </c>
      <c r="E298" s="51" t="s">
        <v>102</v>
      </c>
      <c r="F298" s="51" t="s">
        <v>36</v>
      </c>
      <c r="G298" s="51" t="s">
        <v>572</v>
      </c>
      <c r="H298" s="51" t="s">
        <v>648</v>
      </c>
      <c r="I298" s="16">
        <v>-348258430000</v>
      </c>
      <c r="J298" s="16">
        <v>-582890260000</v>
      </c>
      <c r="K298" s="51" t="s">
        <v>1101</v>
      </c>
      <c r="L298" s="53">
        <f t="shared" si="20"/>
        <v>30</v>
      </c>
      <c r="M298" s="17">
        <f t="shared" si="21"/>
        <v>0</v>
      </c>
      <c r="N298" s="18">
        <f t="shared" si="22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  <c r="AS298" s="27"/>
    </row>
    <row r="299" spans="1:45" ht="15.75" thickBot="1" x14ac:dyDescent="0.3">
      <c r="A299" s="51" t="s">
        <v>618</v>
      </c>
      <c r="B299" s="51" t="s">
        <v>1349</v>
      </c>
      <c r="C299" s="51" t="s">
        <v>1400</v>
      </c>
      <c r="D299" s="51" t="s">
        <v>647</v>
      </c>
      <c r="E299" s="51" t="s">
        <v>102</v>
      </c>
      <c r="F299" s="51" t="s">
        <v>36</v>
      </c>
      <c r="G299" s="51" t="s">
        <v>572</v>
      </c>
      <c r="H299" s="51" t="s">
        <v>648</v>
      </c>
      <c r="I299" s="16">
        <v>-348258430000</v>
      </c>
      <c r="J299" s="16">
        <v>-582889510000</v>
      </c>
      <c r="K299" s="51" t="s">
        <v>1102</v>
      </c>
      <c r="L299" s="53">
        <f t="shared" si="20"/>
        <v>13</v>
      </c>
      <c r="M299" s="17">
        <f t="shared" si="21"/>
        <v>17</v>
      </c>
      <c r="N299" s="18">
        <f t="shared" si="22"/>
        <v>0.43333333333333335</v>
      </c>
      <c r="O299" s="27"/>
      <c r="P299" s="8" t="s">
        <v>1211</v>
      </c>
      <c r="Q299" s="8" t="s">
        <v>1211</v>
      </c>
      <c r="R299" s="8" t="s">
        <v>1211</v>
      </c>
      <c r="S299" s="27" t="s">
        <v>1211</v>
      </c>
      <c r="T299" s="27"/>
      <c r="U299" s="8" t="s">
        <v>1211</v>
      </c>
      <c r="V299" s="8" t="s">
        <v>1211</v>
      </c>
      <c r="W299" s="8" t="s">
        <v>1211</v>
      </c>
      <c r="X299" s="27" t="s">
        <v>1211</v>
      </c>
      <c r="Y299" s="27" t="s">
        <v>1211</v>
      </c>
      <c r="Z299" s="27" t="s">
        <v>1211</v>
      </c>
      <c r="AA299" s="27" t="s">
        <v>1211</v>
      </c>
      <c r="AB299" s="27" t="s">
        <v>1211</v>
      </c>
      <c r="AC299" s="27" t="s">
        <v>1211</v>
      </c>
      <c r="AD299" s="27" t="s">
        <v>1211</v>
      </c>
      <c r="AE299" s="27" t="s">
        <v>1211</v>
      </c>
      <c r="AF299" s="27" t="s">
        <v>1211</v>
      </c>
      <c r="AG299" s="27" t="s">
        <v>1211</v>
      </c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  <c r="AS299" s="27"/>
    </row>
    <row r="300" spans="1:45" ht="15.75" thickBot="1" x14ac:dyDescent="0.3">
      <c r="A300" s="51" t="s">
        <v>618</v>
      </c>
      <c r="B300" s="51" t="s">
        <v>631</v>
      </c>
      <c r="C300" s="51" t="s">
        <v>1400</v>
      </c>
      <c r="D300" s="51" t="s">
        <v>1350</v>
      </c>
      <c r="E300" s="51" t="s">
        <v>24</v>
      </c>
      <c r="F300" s="51" t="s">
        <v>25</v>
      </c>
      <c r="G300" s="51" t="s">
        <v>332</v>
      </c>
      <c r="H300" s="51"/>
      <c r="I300" s="16">
        <v>-348304140000</v>
      </c>
      <c r="J300" s="16">
        <v>-582906680000</v>
      </c>
      <c r="K300" s="51" t="s">
        <v>1087</v>
      </c>
      <c r="L300" s="53">
        <f t="shared" si="20"/>
        <v>13</v>
      </c>
      <c r="M300" s="17">
        <f t="shared" si="21"/>
        <v>17</v>
      </c>
      <c r="N300" s="18">
        <f t="shared" si="22"/>
        <v>0.43333333333333335</v>
      </c>
      <c r="O300" s="27"/>
      <c r="P300" s="8" t="s">
        <v>1211</v>
      </c>
      <c r="Q300" s="8" t="s">
        <v>1211</v>
      </c>
      <c r="R300" s="8" t="s">
        <v>1211</v>
      </c>
      <c r="S300" s="27" t="s">
        <v>1211</v>
      </c>
      <c r="T300" s="27"/>
      <c r="U300" s="8" t="s">
        <v>1211</v>
      </c>
      <c r="V300" s="8" t="s">
        <v>1211</v>
      </c>
      <c r="W300" s="8" t="s">
        <v>1211</v>
      </c>
      <c r="X300" s="27" t="s">
        <v>1211</v>
      </c>
      <c r="Y300" s="27" t="s">
        <v>1211</v>
      </c>
      <c r="Z300" s="27" t="s">
        <v>1211</v>
      </c>
      <c r="AA300" s="27" t="s">
        <v>1211</v>
      </c>
      <c r="AB300" s="27" t="s">
        <v>1211</v>
      </c>
      <c r="AC300" s="27" t="s">
        <v>1211</v>
      </c>
      <c r="AD300" s="27" t="s">
        <v>1211</v>
      </c>
      <c r="AE300" s="27" t="s">
        <v>1211</v>
      </c>
      <c r="AF300" s="27" t="s">
        <v>1211</v>
      </c>
      <c r="AG300" s="27" t="s">
        <v>1211</v>
      </c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  <c r="AS300" s="27"/>
    </row>
    <row r="301" spans="1:45" ht="15.75" thickBot="1" x14ac:dyDescent="0.3">
      <c r="A301" s="51" t="s">
        <v>488</v>
      </c>
      <c r="B301" s="51" t="s">
        <v>632</v>
      </c>
      <c r="C301" s="51" t="s">
        <v>1400</v>
      </c>
      <c r="D301" s="51" t="s">
        <v>633</v>
      </c>
      <c r="E301" s="51" t="s">
        <v>24</v>
      </c>
      <c r="F301" s="51" t="s">
        <v>25</v>
      </c>
      <c r="G301" s="51" t="s">
        <v>146</v>
      </c>
      <c r="H301" s="51"/>
      <c r="I301" s="16">
        <v>-348364740000</v>
      </c>
      <c r="J301" s="16">
        <v>-583002200000</v>
      </c>
      <c r="K301" s="51" t="s">
        <v>1088</v>
      </c>
      <c r="L301" s="53">
        <f t="shared" si="20"/>
        <v>29</v>
      </c>
      <c r="M301" s="17">
        <f t="shared" si="21"/>
        <v>1</v>
      </c>
      <c r="N301" s="18">
        <f t="shared" si="22"/>
        <v>0.96666666666666667</v>
      </c>
      <c r="O301" s="27"/>
      <c r="P301" s="8"/>
      <c r="Q301" s="8"/>
      <c r="R301" s="8" t="s">
        <v>1211</v>
      </c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  <c r="AS301" s="27"/>
    </row>
    <row r="302" spans="1:45" ht="15.75" thickBot="1" x14ac:dyDescent="0.3">
      <c r="A302" s="51" t="s">
        <v>618</v>
      </c>
      <c r="B302" s="51" t="s">
        <v>634</v>
      </c>
      <c r="C302" s="51" t="s">
        <v>1400</v>
      </c>
      <c r="D302" s="51" t="s">
        <v>635</v>
      </c>
      <c r="E302" s="51" t="s">
        <v>24</v>
      </c>
      <c r="F302" s="51" t="s">
        <v>25</v>
      </c>
      <c r="G302" s="51" t="s">
        <v>636</v>
      </c>
      <c r="H302" s="51"/>
      <c r="I302" s="16">
        <v>-348289220000</v>
      </c>
      <c r="J302" s="16">
        <v>-582776430000</v>
      </c>
      <c r="K302" s="51" t="s">
        <v>1089</v>
      </c>
      <c r="L302" s="53">
        <f t="shared" si="20"/>
        <v>29</v>
      </c>
      <c r="M302" s="17">
        <f t="shared" si="21"/>
        <v>1</v>
      </c>
      <c r="N302" s="18">
        <f t="shared" si="22"/>
        <v>0.96666666666666667</v>
      </c>
      <c r="O302" s="27"/>
      <c r="P302" s="8"/>
      <c r="Q302" s="8"/>
      <c r="R302" s="8" t="s">
        <v>1211</v>
      </c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  <c r="AS302" s="27"/>
    </row>
    <row r="303" spans="1:45" ht="15.75" thickBot="1" x14ac:dyDescent="0.3">
      <c r="A303" s="51" t="s">
        <v>618</v>
      </c>
      <c r="B303" s="51" t="s">
        <v>1351</v>
      </c>
      <c r="C303" s="51"/>
      <c r="D303" s="51" t="s">
        <v>619</v>
      </c>
      <c r="E303" s="51" t="s">
        <v>19</v>
      </c>
      <c r="F303" s="51" t="s">
        <v>25</v>
      </c>
      <c r="G303" s="51"/>
      <c r="H303" s="51" t="s">
        <v>576</v>
      </c>
      <c r="I303" s="16">
        <v>-348253350000</v>
      </c>
      <c r="J303" s="16">
        <v>-582845700000</v>
      </c>
      <c r="K303" s="51" t="s">
        <v>1091</v>
      </c>
      <c r="L303" s="53">
        <f t="shared" si="20"/>
        <v>22</v>
      </c>
      <c r="M303" s="17">
        <f t="shared" si="21"/>
        <v>8</v>
      </c>
      <c r="N303" s="18">
        <f t="shared" si="22"/>
        <v>0.73333333333333328</v>
      </c>
      <c r="O303" s="27" t="s">
        <v>1211</v>
      </c>
      <c r="P303" s="8" t="s">
        <v>1211</v>
      </c>
      <c r="Q303" s="8" t="s">
        <v>1211</v>
      </c>
      <c r="R303" s="8" t="s">
        <v>1211</v>
      </c>
      <c r="S303" s="27" t="s">
        <v>1211</v>
      </c>
      <c r="T303" s="27"/>
      <c r="U303" s="8" t="s">
        <v>1211</v>
      </c>
      <c r="V303" s="8"/>
      <c r="W303" s="8" t="s">
        <v>1211</v>
      </c>
      <c r="X303" s="27"/>
      <c r="Y303" s="27"/>
      <c r="Z303" s="27"/>
      <c r="AA303" s="27" t="s">
        <v>1211</v>
      </c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  <c r="AS303" s="27"/>
    </row>
    <row r="304" spans="1:45" ht="15.75" thickBot="1" x14ac:dyDescent="0.3">
      <c r="A304" s="51" t="s">
        <v>618</v>
      </c>
      <c r="B304" s="51" t="s">
        <v>1352</v>
      </c>
      <c r="C304" s="51" t="s">
        <v>1400</v>
      </c>
      <c r="D304" s="51" t="s">
        <v>620</v>
      </c>
      <c r="E304" s="51" t="s">
        <v>24</v>
      </c>
      <c r="F304" s="51" t="s">
        <v>36</v>
      </c>
      <c r="G304" s="51" t="s">
        <v>621</v>
      </c>
      <c r="H304" s="51"/>
      <c r="I304" s="16">
        <v>-348241790000</v>
      </c>
      <c r="J304" s="16">
        <v>-582823410000</v>
      </c>
      <c r="K304" s="51" t="s">
        <v>1092</v>
      </c>
      <c r="L304" s="53">
        <f t="shared" si="20"/>
        <v>29</v>
      </c>
      <c r="M304" s="17">
        <f t="shared" si="21"/>
        <v>1</v>
      </c>
      <c r="N304" s="18">
        <f t="shared" si="22"/>
        <v>0.96666666666666667</v>
      </c>
      <c r="O304" s="27"/>
      <c r="P304" s="8"/>
      <c r="Q304" s="8"/>
      <c r="R304" s="8"/>
      <c r="S304" s="27"/>
      <c r="T304" s="27"/>
      <c r="U304" s="8" t="s">
        <v>1211</v>
      </c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  <c r="AS304" s="27"/>
    </row>
    <row r="305" spans="1:45" ht="15.75" thickBot="1" x14ac:dyDescent="0.3">
      <c r="A305" s="51" t="s">
        <v>618</v>
      </c>
      <c r="B305" s="51" t="s">
        <v>1353</v>
      </c>
      <c r="C305" s="51" t="s">
        <v>1400</v>
      </c>
      <c r="D305" s="51" t="s">
        <v>622</v>
      </c>
      <c r="E305" s="51" t="s">
        <v>24</v>
      </c>
      <c r="F305" s="51" t="s">
        <v>36</v>
      </c>
      <c r="G305" s="51" t="s">
        <v>621</v>
      </c>
      <c r="H305" s="51"/>
      <c r="I305" s="16">
        <v>-348222800000</v>
      </c>
      <c r="J305" s="16">
        <v>-582835650000</v>
      </c>
      <c r="K305" s="51" t="s">
        <v>1093</v>
      </c>
      <c r="L305" s="53">
        <f t="shared" si="20"/>
        <v>29</v>
      </c>
      <c r="M305" s="17">
        <f t="shared" si="21"/>
        <v>1</v>
      </c>
      <c r="N305" s="18">
        <f t="shared" si="22"/>
        <v>0.96666666666666667</v>
      </c>
      <c r="O305" s="27"/>
      <c r="P305" s="8"/>
      <c r="Q305" s="8"/>
      <c r="R305" s="8"/>
      <c r="S305" s="27"/>
      <c r="T305" s="27"/>
      <c r="U305" s="8" t="s">
        <v>1211</v>
      </c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  <c r="AS305" s="27"/>
    </row>
    <row r="306" spans="1:45" ht="15.75" thickBot="1" x14ac:dyDescent="0.3">
      <c r="A306" s="51" t="s">
        <v>618</v>
      </c>
      <c r="B306" s="51" t="s">
        <v>1354</v>
      </c>
      <c r="C306" s="51" t="s">
        <v>1400</v>
      </c>
      <c r="D306" s="51" t="s">
        <v>625</v>
      </c>
      <c r="E306" s="51" t="s">
        <v>19</v>
      </c>
      <c r="F306" s="51" t="s">
        <v>25</v>
      </c>
      <c r="G306" s="51"/>
      <c r="H306" s="51" t="s">
        <v>626</v>
      </c>
      <c r="I306" s="16">
        <v>-348290430000</v>
      </c>
      <c r="J306" s="16">
        <v>-582797810000</v>
      </c>
      <c r="K306" s="51" t="s">
        <v>1067</v>
      </c>
      <c r="L306" s="53">
        <f t="shared" si="20"/>
        <v>29</v>
      </c>
      <c r="M306" s="17">
        <f t="shared" si="21"/>
        <v>1</v>
      </c>
      <c r="N306" s="18">
        <f t="shared" si="22"/>
        <v>0.96666666666666667</v>
      </c>
      <c r="O306" s="27"/>
      <c r="P306" s="8"/>
      <c r="Q306" s="8"/>
      <c r="R306" s="8"/>
      <c r="S306" s="27"/>
      <c r="T306" s="27"/>
      <c r="U306" s="8" t="s">
        <v>1211</v>
      </c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  <c r="AS306" s="27"/>
    </row>
    <row r="307" spans="1:45" ht="15.75" thickBot="1" x14ac:dyDescent="0.3">
      <c r="A307" s="51" t="s">
        <v>618</v>
      </c>
      <c r="B307" s="51" t="s">
        <v>1355</v>
      </c>
      <c r="C307" s="51" t="s">
        <v>1400</v>
      </c>
      <c r="D307" s="51" t="s">
        <v>627</v>
      </c>
      <c r="E307" s="51" t="s">
        <v>19</v>
      </c>
      <c r="F307" s="51" t="s">
        <v>25</v>
      </c>
      <c r="G307" s="51"/>
      <c r="H307" s="51" t="s">
        <v>628</v>
      </c>
      <c r="I307" s="16">
        <v>-348289520000</v>
      </c>
      <c r="J307" s="16">
        <v>-582878780000</v>
      </c>
      <c r="K307" s="51" t="s">
        <v>1095</v>
      </c>
      <c r="L307" s="53">
        <f t="shared" si="20"/>
        <v>29</v>
      </c>
      <c r="M307" s="17">
        <f t="shared" si="21"/>
        <v>1</v>
      </c>
      <c r="N307" s="18">
        <f t="shared" si="22"/>
        <v>0.96666666666666667</v>
      </c>
      <c r="O307" s="27"/>
      <c r="P307" s="8"/>
      <c r="Q307" s="8"/>
      <c r="R307" s="8"/>
      <c r="S307" s="27"/>
      <c r="T307" s="27"/>
      <c r="U307" s="8" t="s">
        <v>1211</v>
      </c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  <c r="AS307" s="27"/>
    </row>
    <row r="308" spans="1:45" ht="15.75" thickBot="1" x14ac:dyDescent="0.3">
      <c r="A308" s="51" t="s">
        <v>618</v>
      </c>
      <c r="B308" s="51" t="s">
        <v>641</v>
      </c>
      <c r="C308" s="51" t="s">
        <v>1400</v>
      </c>
      <c r="D308" s="51" t="s">
        <v>642</v>
      </c>
      <c r="E308" s="51" t="s">
        <v>19</v>
      </c>
      <c r="F308" s="51" t="s">
        <v>25</v>
      </c>
      <c r="G308" s="51"/>
      <c r="H308" s="51" t="s">
        <v>640</v>
      </c>
      <c r="I308" s="16">
        <v>-348340000000</v>
      </c>
      <c r="J308" s="16">
        <v>-582878750000</v>
      </c>
      <c r="K308" s="51" t="s">
        <v>1086</v>
      </c>
      <c r="L308" s="53">
        <f t="shared" si="20"/>
        <v>20</v>
      </c>
      <c r="M308" s="17">
        <f t="shared" si="21"/>
        <v>10</v>
      </c>
      <c r="N308" s="18">
        <f t="shared" si="22"/>
        <v>0.66666666666666663</v>
      </c>
      <c r="O308" s="27" t="s">
        <v>1211</v>
      </c>
      <c r="P308" s="8" t="s">
        <v>1211</v>
      </c>
      <c r="Q308" s="8" t="s">
        <v>1211</v>
      </c>
      <c r="R308" s="8" t="s">
        <v>1211</v>
      </c>
      <c r="S308" s="27" t="s">
        <v>1211</v>
      </c>
      <c r="T308" s="27"/>
      <c r="U308" s="8" t="s">
        <v>1211</v>
      </c>
      <c r="V308" s="8" t="s">
        <v>1211</v>
      </c>
      <c r="W308" s="8" t="s">
        <v>1211</v>
      </c>
      <c r="X308" s="27"/>
      <c r="Y308" s="27" t="s">
        <v>1211</v>
      </c>
      <c r="Z308" s="27" t="s">
        <v>1211</v>
      </c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  <c r="AS308" s="27"/>
    </row>
    <row r="309" spans="1:45" ht="15.75" thickBot="1" x14ac:dyDescent="0.3">
      <c r="A309" s="51" t="s">
        <v>618</v>
      </c>
      <c r="B309" s="51" t="s">
        <v>644</v>
      </c>
      <c r="C309" s="51" t="s">
        <v>1400</v>
      </c>
      <c r="D309" s="51" t="s">
        <v>645</v>
      </c>
      <c r="E309" s="51" t="s">
        <v>19</v>
      </c>
      <c r="F309" s="51" t="s">
        <v>36</v>
      </c>
      <c r="G309" s="51"/>
      <c r="H309" s="51" t="s">
        <v>646</v>
      </c>
      <c r="I309" s="16">
        <v>-348275750000</v>
      </c>
      <c r="J309" s="16">
        <v>-582788330000</v>
      </c>
      <c r="K309" s="51" t="s">
        <v>1098</v>
      </c>
      <c r="L309" s="53">
        <f t="shared" si="20"/>
        <v>29</v>
      </c>
      <c r="M309" s="17">
        <f t="shared" si="21"/>
        <v>1</v>
      </c>
      <c r="N309" s="18">
        <f t="shared" si="22"/>
        <v>0.96666666666666667</v>
      </c>
      <c r="O309" s="27"/>
      <c r="P309" s="8"/>
      <c r="Q309" s="8"/>
      <c r="R309" s="8"/>
      <c r="S309" s="27"/>
      <c r="T309" s="27"/>
      <c r="U309" s="8"/>
      <c r="V309" s="8"/>
      <c r="W309" s="8"/>
      <c r="X309" s="27" t="s">
        <v>1211</v>
      </c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  <c r="AS309" s="27"/>
    </row>
    <row r="310" spans="1:45" ht="15.75" thickBot="1" x14ac:dyDescent="0.3">
      <c r="A310" s="51" t="s">
        <v>618</v>
      </c>
      <c r="B310" s="51" t="s">
        <v>1356</v>
      </c>
      <c r="C310" s="51" t="s">
        <v>1400</v>
      </c>
      <c r="D310" s="51" t="s">
        <v>629</v>
      </c>
      <c r="E310" s="51" t="s">
        <v>102</v>
      </c>
      <c r="F310" s="51" t="s">
        <v>36</v>
      </c>
      <c r="G310" s="51"/>
      <c r="H310" s="51" t="s">
        <v>630</v>
      </c>
      <c r="I310" s="16">
        <v>-348214110000</v>
      </c>
      <c r="J310" s="16">
        <v>-582806410000</v>
      </c>
      <c r="K310" s="51" t="s">
        <v>1099</v>
      </c>
      <c r="L310" s="53">
        <f t="shared" si="20"/>
        <v>30</v>
      </c>
      <c r="M310" s="17">
        <f t="shared" si="21"/>
        <v>0</v>
      </c>
      <c r="N310" s="18">
        <f t="shared" si="22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  <c r="AS310" s="27"/>
    </row>
    <row r="311" spans="1:45" ht="15.75" thickBot="1" x14ac:dyDescent="0.3">
      <c r="A311" s="51" t="s">
        <v>618</v>
      </c>
      <c r="B311" s="51" t="s">
        <v>1357</v>
      </c>
      <c r="C311" s="51" t="s">
        <v>1400</v>
      </c>
      <c r="D311" s="51" t="s">
        <v>629</v>
      </c>
      <c r="E311" s="51" t="s">
        <v>102</v>
      </c>
      <c r="F311" s="51" t="s">
        <v>36</v>
      </c>
      <c r="G311" s="51"/>
      <c r="H311" s="51" t="s">
        <v>630</v>
      </c>
      <c r="I311" s="16">
        <v>-348214480000</v>
      </c>
      <c r="J311" s="16">
        <v>-582806290000</v>
      </c>
      <c r="K311" s="51" t="s">
        <v>1100</v>
      </c>
      <c r="L311" s="53">
        <f t="shared" si="20"/>
        <v>30</v>
      </c>
      <c r="M311" s="17">
        <f t="shared" si="21"/>
        <v>0</v>
      </c>
      <c r="N311" s="18">
        <f t="shared" si="22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  <c r="AS311" s="27"/>
    </row>
    <row r="312" spans="1:45" ht="15.75" thickBot="1" x14ac:dyDescent="0.3">
      <c r="A312" s="51" t="s">
        <v>498</v>
      </c>
      <c r="B312" s="51" t="s">
        <v>649</v>
      </c>
      <c r="C312" s="51"/>
      <c r="D312" s="51" t="s">
        <v>650</v>
      </c>
      <c r="E312" s="51" t="s">
        <v>102</v>
      </c>
      <c r="F312" s="51" t="s">
        <v>36</v>
      </c>
      <c r="G312" s="51"/>
      <c r="H312" s="51" t="s">
        <v>615</v>
      </c>
      <c r="I312" s="16">
        <v>-348182670000</v>
      </c>
      <c r="J312" s="16">
        <v>-582049970000</v>
      </c>
      <c r="K312" s="51" t="s">
        <v>1103</v>
      </c>
      <c r="L312" s="53">
        <f t="shared" si="20"/>
        <v>30</v>
      </c>
      <c r="M312" s="17">
        <f t="shared" si="21"/>
        <v>0</v>
      </c>
      <c r="N312" s="18">
        <f t="shared" si="22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  <c r="AS312" s="27"/>
    </row>
    <row r="313" spans="1:45" ht="15.75" thickBot="1" x14ac:dyDescent="0.3">
      <c r="A313" s="51" t="s">
        <v>498</v>
      </c>
      <c r="B313" s="51" t="s">
        <v>651</v>
      </c>
      <c r="C313" s="51" t="s">
        <v>1400</v>
      </c>
      <c r="D313" s="51" t="s">
        <v>650</v>
      </c>
      <c r="E313" s="51" t="s">
        <v>102</v>
      </c>
      <c r="F313" s="51" t="s">
        <v>36</v>
      </c>
      <c r="G313" s="51"/>
      <c r="H313" s="51" t="s">
        <v>615</v>
      </c>
      <c r="I313" s="16">
        <v>-348182670000</v>
      </c>
      <c r="J313" s="16">
        <v>-582049970000</v>
      </c>
      <c r="K313" s="51" t="s">
        <v>1104</v>
      </c>
      <c r="L313" s="53">
        <f t="shared" si="20"/>
        <v>30</v>
      </c>
      <c r="M313" s="17">
        <f t="shared" si="21"/>
        <v>0</v>
      </c>
      <c r="N313" s="18">
        <f t="shared" si="22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  <c r="AS313" s="27"/>
    </row>
    <row r="314" spans="1:45" ht="15.75" thickBot="1" x14ac:dyDescent="0.3">
      <c r="A314" s="51" t="s">
        <v>374</v>
      </c>
      <c r="B314" s="51" t="s">
        <v>1358</v>
      </c>
      <c r="C314" s="51" t="s">
        <v>1399</v>
      </c>
      <c r="D314" s="51" t="s">
        <v>674</v>
      </c>
      <c r="E314" s="51" t="s">
        <v>24</v>
      </c>
      <c r="F314" s="51" t="s">
        <v>1391</v>
      </c>
      <c r="G314" s="51" t="s">
        <v>146</v>
      </c>
      <c r="H314" s="51"/>
      <c r="I314" s="16">
        <v>-347867610000</v>
      </c>
      <c r="J314" s="16">
        <v>-582563190000</v>
      </c>
      <c r="K314" s="51" t="s">
        <v>1113</v>
      </c>
      <c r="L314" s="53">
        <f t="shared" si="20"/>
        <v>30</v>
      </c>
      <c r="M314" s="17">
        <f t="shared" si="21"/>
        <v>0</v>
      </c>
      <c r="N314" s="18">
        <f t="shared" si="22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  <c r="AS314" s="27"/>
    </row>
    <row r="315" spans="1:45" ht="15.75" thickBot="1" x14ac:dyDescent="0.3">
      <c r="A315" s="51" t="s">
        <v>652</v>
      </c>
      <c r="B315" s="51" t="s">
        <v>653</v>
      </c>
      <c r="C315" s="51" t="s">
        <v>1399</v>
      </c>
      <c r="D315" s="51" t="s">
        <v>654</v>
      </c>
      <c r="E315" s="51" t="s">
        <v>24</v>
      </c>
      <c r="F315" s="51" t="s">
        <v>1391</v>
      </c>
      <c r="G315" s="51" t="s">
        <v>655</v>
      </c>
      <c r="H315" s="51"/>
      <c r="I315" s="16">
        <v>-347888010000</v>
      </c>
      <c r="J315" s="16">
        <v>-582597900000</v>
      </c>
      <c r="K315" s="51" t="s">
        <v>1105</v>
      </c>
      <c r="L315" s="53">
        <f t="shared" si="20"/>
        <v>30</v>
      </c>
      <c r="M315" s="17">
        <f t="shared" si="21"/>
        <v>0</v>
      </c>
      <c r="N315" s="18">
        <f t="shared" si="22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  <c r="AS315" s="27"/>
    </row>
    <row r="316" spans="1:45" ht="15.75" thickBot="1" x14ac:dyDescent="0.3">
      <c r="A316" s="51" t="s">
        <v>652</v>
      </c>
      <c r="B316" s="51" t="s">
        <v>656</v>
      </c>
      <c r="C316" s="51"/>
      <c r="D316" s="51" t="s">
        <v>657</v>
      </c>
      <c r="E316" s="51" t="s">
        <v>24</v>
      </c>
      <c r="F316" s="51" t="s">
        <v>36</v>
      </c>
      <c r="G316" s="51" t="s">
        <v>335</v>
      </c>
      <c r="H316" s="51"/>
      <c r="I316" s="16">
        <v>-347926510000</v>
      </c>
      <c r="J316" s="16">
        <v>-582499030000</v>
      </c>
      <c r="K316" s="51" t="s">
        <v>1106</v>
      </c>
      <c r="L316" s="53">
        <f t="shared" si="20"/>
        <v>30</v>
      </c>
      <c r="M316" s="17">
        <f t="shared" si="21"/>
        <v>0</v>
      </c>
      <c r="N316" s="18">
        <f t="shared" si="22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  <c r="AS316" s="27"/>
    </row>
    <row r="317" spans="1:45" ht="15.75" thickBot="1" x14ac:dyDescent="0.3">
      <c r="A317" s="51" t="s">
        <v>658</v>
      </c>
      <c r="B317" s="51" t="s">
        <v>659</v>
      </c>
      <c r="C317" s="51"/>
      <c r="D317" s="51" t="s">
        <v>660</v>
      </c>
      <c r="E317" s="51" t="s">
        <v>24</v>
      </c>
      <c r="F317" s="51" t="s">
        <v>36</v>
      </c>
      <c r="G317" s="51" t="s">
        <v>335</v>
      </c>
      <c r="H317" s="51"/>
      <c r="I317" s="16">
        <v>-347955320000</v>
      </c>
      <c r="J317" s="16">
        <v>-582553260000</v>
      </c>
      <c r="K317" s="51" t="s">
        <v>1107</v>
      </c>
      <c r="L317" s="53">
        <f t="shared" si="20"/>
        <v>30</v>
      </c>
      <c r="M317" s="17">
        <f t="shared" si="21"/>
        <v>0</v>
      </c>
      <c r="N317" s="18">
        <f t="shared" si="22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  <c r="AS317" s="27"/>
    </row>
    <row r="318" spans="1:45" ht="15.75" thickBot="1" x14ac:dyDescent="0.3">
      <c r="A318" s="51" t="s">
        <v>652</v>
      </c>
      <c r="B318" s="51" t="s">
        <v>661</v>
      </c>
      <c r="C318" s="51"/>
      <c r="D318" s="51" t="s">
        <v>662</v>
      </c>
      <c r="E318" s="51" t="s">
        <v>19</v>
      </c>
      <c r="F318" s="51" t="s">
        <v>36</v>
      </c>
      <c r="G318" s="51" t="s">
        <v>663</v>
      </c>
      <c r="H318" s="51" t="s">
        <v>664</v>
      </c>
      <c r="I318" s="16">
        <v>-347933300000</v>
      </c>
      <c r="J318" s="16">
        <v>-582534600000</v>
      </c>
      <c r="K318" s="51" t="s">
        <v>1108</v>
      </c>
      <c r="L318" s="53">
        <f t="shared" si="20"/>
        <v>30</v>
      </c>
      <c r="M318" s="17">
        <f t="shared" si="21"/>
        <v>0</v>
      </c>
      <c r="N318" s="18">
        <f t="shared" si="22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  <c r="AS318" s="27"/>
    </row>
    <row r="319" spans="1:45" ht="15.75" thickBot="1" x14ac:dyDescent="0.3">
      <c r="A319" s="51" t="s">
        <v>652</v>
      </c>
      <c r="B319" s="51" t="s">
        <v>665</v>
      </c>
      <c r="C319" s="51"/>
      <c r="D319" s="51" t="s">
        <v>666</v>
      </c>
      <c r="E319" s="51" t="s">
        <v>24</v>
      </c>
      <c r="F319" s="51" t="s">
        <v>36</v>
      </c>
      <c r="G319" s="51" t="s">
        <v>335</v>
      </c>
      <c r="H319" s="51"/>
      <c r="I319" s="16">
        <v>-347941580000</v>
      </c>
      <c r="J319" s="16">
        <v>-582528380000</v>
      </c>
      <c r="K319" s="51" t="s">
        <v>1109</v>
      </c>
      <c r="L319" s="53">
        <f t="shared" si="20"/>
        <v>30</v>
      </c>
      <c r="M319" s="17">
        <f t="shared" si="21"/>
        <v>0</v>
      </c>
      <c r="N319" s="18">
        <f t="shared" si="22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  <c r="AS319" s="27"/>
    </row>
    <row r="320" spans="1:45" ht="15.75" thickBot="1" x14ac:dyDescent="0.3">
      <c r="A320" s="51" t="s">
        <v>652</v>
      </c>
      <c r="B320" s="51" t="s">
        <v>667</v>
      </c>
      <c r="C320" s="51"/>
      <c r="D320" s="51" t="s">
        <v>668</v>
      </c>
      <c r="E320" s="51" t="s">
        <v>19</v>
      </c>
      <c r="F320" s="51" t="s">
        <v>36</v>
      </c>
      <c r="G320" s="51" t="s">
        <v>663</v>
      </c>
      <c r="H320" s="51" t="s">
        <v>669</v>
      </c>
      <c r="I320" s="16">
        <v>-347928980000</v>
      </c>
      <c r="J320" s="16">
        <v>-582523980000</v>
      </c>
      <c r="K320" s="51" t="s">
        <v>1110</v>
      </c>
      <c r="L320" s="53">
        <f t="shared" si="20"/>
        <v>30</v>
      </c>
      <c r="M320" s="17">
        <f t="shared" si="21"/>
        <v>0</v>
      </c>
      <c r="N320" s="18">
        <f t="shared" si="22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  <c r="AS320" s="27"/>
    </row>
    <row r="321" spans="1:45" ht="15.75" thickBot="1" x14ac:dyDescent="0.3">
      <c r="A321" s="51" t="s">
        <v>652</v>
      </c>
      <c r="B321" s="51" t="s">
        <v>670</v>
      </c>
      <c r="C321" s="51"/>
      <c r="D321" s="51" t="s">
        <v>671</v>
      </c>
      <c r="E321" s="51" t="s">
        <v>24</v>
      </c>
      <c r="F321" s="51" t="s">
        <v>36</v>
      </c>
      <c r="G321" s="51" t="s">
        <v>335</v>
      </c>
      <c r="H321" s="51"/>
      <c r="I321" s="16">
        <v>-347936470000</v>
      </c>
      <c r="J321" s="16">
        <v>-582518290000</v>
      </c>
      <c r="K321" s="51" t="s">
        <v>1111</v>
      </c>
      <c r="L321" s="53">
        <f t="shared" si="20"/>
        <v>30</v>
      </c>
      <c r="M321" s="17">
        <f t="shared" si="21"/>
        <v>0</v>
      </c>
      <c r="N321" s="18">
        <f t="shared" si="22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  <c r="AS321" s="27"/>
    </row>
    <row r="322" spans="1:45" ht="15.75" thickBot="1" x14ac:dyDescent="0.3">
      <c r="A322" s="51" t="s">
        <v>652</v>
      </c>
      <c r="B322" s="51" t="s">
        <v>672</v>
      </c>
      <c r="C322" s="51"/>
      <c r="D322" s="51" t="s">
        <v>673</v>
      </c>
      <c r="E322" s="51" t="s">
        <v>24</v>
      </c>
      <c r="F322" s="51" t="s">
        <v>1391</v>
      </c>
      <c r="G322" s="51" t="s">
        <v>663</v>
      </c>
      <c r="H322" s="51"/>
      <c r="I322" s="16">
        <v>-347917260000</v>
      </c>
      <c r="J322" s="16">
        <v>-582524730000</v>
      </c>
      <c r="K322" s="51" t="s">
        <v>1112</v>
      </c>
      <c r="L322" s="53">
        <f t="shared" si="20"/>
        <v>30</v>
      </c>
      <c r="M322" s="17">
        <f t="shared" si="21"/>
        <v>0</v>
      </c>
      <c r="N322" s="18">
        <f t="shared" si="22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  <c r="AS322" s="27"/>
    </row>
    <row r="323" spans="1:45" ht="15.75" thickBot="1" x14ac:dyDescent="0.3">
      <c r="A323" s="51" t="s">
        <v>326</v>
      </c>
      <c r="B323" s="51" t="s">
        <v>675</v>
      </c>
      <c r="C323" s="51"/>
      <c r="D323" s="51" t="s">
        <v>676</v>
      </c>
      <c r="E323" s="51" t="s">
        <v>24</v>
      </c>
      <c r="F323" s="51" t="s">
        <v>25</v>
      </c>
      <c r="G323" s="51" t="s">
        <v>677</v>
      </c>
      <c r="H323" s="51"/>
      <c r="I323" s="16">
        <v>-348145260000</v>
      </c>
      <c r="J323" s="16">
        <v>-583009670000</v>
      </c>
      <c r="K323" s="51" t="s">
        <v>1114</v>
      </c>
      <c r="L323" s="53">
        <f t="shared" si="20"/>
        <v>30</v>
      </c>
      <c r="M323" s="17">
        <f t="shared" si="21"/>
        <v>0</v>
      </c>
      <c r="N323" s="18">
        <f t="shared" si="22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  <c r="AS323" s="27"/>
    </row>
    <row r="324" spans="1:45" ht="15.75" thickBot="1" x14ac:dyDescent="0.3">
      <c r="A324" s="51" t="s">
        <v>326</v>
      </c>
      <c r="B324" s="51" t="s">
        <v>678</v>
      </c>
      <c r="C324" s="51" t="s">
        <v>1400</v>
      </c>
      <c r="D324" s="51" t="s">
        <v>679</v>
      </c>
      <c r="E324" s="51" t="s">
        <v>19</v>
      </c>
      <c r="F324" s="51" t="s">
        <v>25</v>
      </c>
      <c r="G324" s="51"/>
      <c r="H324" s="51" t="s">
        <v>33</v>
      </c>
      <c r="I324" s="16">
        <v>-348102780000</v>
      </c>
      <c r="J324" s="16">
        <v>-582968990000</v>
      </c>
      <c r="K324" s="51" t="s">
        <v>1115</v>
      </c>
      <c r="L324" s="53">
        <f t="shared" si="20"/>
        <v>30</v>
      </c>
      <c r="M324" s="17">
        <f t="shared" si="21"/>
        <v>0</v>
      </c>
      <c r="N324" s="18">
        <f t="shared" si="22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  <c r="AS324" s="27"/>
    </row>
    <row r="325" spans="1:45" ht="15.75" thickBot="1" x14ac:dyDescent="0.3">
      <c r="A325" s="51" t="s">
        <v>326</v>
      </c>
      <c r="B325" s="51" t="s">
        <v>1359</v>
      </c>
      <c r="C325" s="51"/>
      <c r="D325" s="51" t="s">
        <v>688</v>
      </c>
      <c r="E325" s="51" t="s">
        <v>102</v>
      </c>
      <c r="F325" s="51" t="s">
        <v>1390</v>
      </c>
      <c r="G325" s="51"/>
      <c r="H325" s="51" t="s">
        <v>689</v>
      </c>
      <c r="I325" s="16">
        <v>-348105760000</v>
      </c>
      <c r="J325" s="16">
        <v>-583061370000</v>
      </c>
      <c r="K325" s="51" t="s">
        <v>1121</v>
      </c>
      <c r="L325" s="53">
        <f t="shared" si="20"/>
        <v>30</v>
      </c>
      <c r="M325" s="17">
        <f t="shared" si="21"/>
        <v>0</v>
      </c>
      <c r="N325" s="18">
        <f t="shared" si="22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  <c r="AS325" s="27"/>
    </row>
    <row r="326" spans="1:45" ht="15.75" thickBot="1" x14ac:dyDescent="0.3">
      <c r="A326" s="51" t="s">
        <v>326</v>
      </c>
      <c r="B326" s="51" t="s">
        <v>1360</v>
      </c>
      <c r="C326" s="51"/>
      <c r="D326" s="51" t="s">
        <v>688</v>
      </c>
      <c r="E326" s="51" t="s">
        <v>102</v>
      </c>
      <c r="F326" s="51" t="s">
        <v>1390</v>
      </c>
      <c r="G326" s="51"/>
      <c r="H326" s="51" t="s">
        <v>689</v>
      </c>
      <c r="I326" s="16">
        <v>-348105760000</v>
      </c>
      <c r="J326" s="16">
        <v>-583061370000</v>
      </c>
      <c r="K326" s="51" t="s">
        <v>1122</v>
      </c>
      <c r="L326" s="53">
        <f t="shared" ref="L326:L379" si="23">COUNTIF(O326:AR326,"")</f>
        <v>30</v>
      </c>
      <c r="M326" s="17">
        <f t="shared" si="21"/>
        <v>0</v>
      </c>
      <c r="N326" s="18">
        <f t="shared" si="22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  <c r="AS326" s="27"/>
    </row>
    <row r="327" spans="1:45" ht="15.75" thickBot="1" x14ac:dyDescent="0.3">
      <c r="A327" s="51" t="s">
        <v>326</v>
      </c>
      <c r="B327" s="51" t="s">
        <v>680</v>
      </c>
      <c r="C327" s="51"/>
      <c r="D327" s="51" t="s">
        <v>681</v>
      </c>
      <c r="E327" s="51" t="s">
        <v>102</v>
      </c>
      <c r="F327" s="51" t="s">
        <v>20</v>
      </c>
      <c r="G327" s="51"/>
      <c r="H327" s="51" t="s">
        <v>252</v>
      </c>
      <c r="I327" s="16">
        <v>-348125630000</v>
      </c>
      <c r="J327" s="16">
        <v>-582971310000</v>
      </c>
      <c r="K327" s="51" t="s">
        <v>1116</v>
      </c>
      <c r="L327" s="53">
        <f t="shared" si="23"/>
        <v>29</v>
      </c>
      <c r="M327" s="17">
        <f t="shared" ref="M327:M372" si="24">COUNTIF(O327:AP327,"APAGADO")</f>
        <v>1</v>
      </c>
      <c r="N327" s="18">
        <f t="shared" ref="N327:N372" si="25">(L327)/(M327+L327)</f>
        <v>0.96666666666666667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 t="s">
        <v>1211</v>
      </c>
      <c r="AJ327" s="27"/>
      <c r="AK327" s="8"/>
      <c r="AL327" s="8"/>
      <c r="AM327" s="8"/>
      <c r="AN327" s="27"/>
      <c r="AO327" s="8"/>
      <c r="AP327" s="8"/>
      <c r="AQ327" s="27"/>
      <c r="AR327" s="27"/>
      <c r="AS327" s="27"/>
    </row>
    <row r="328" spans="1:45" ht="15.75" thickBot="1" x14ac:dyDescent="0.3">
      <c r="A328" s="51" t="s">
        <v>326</v>
      </c>
      <c r="B328" s="51" t="s">
        <v>682</v>
      </c>
      <c r="C328" s="51" t="s">
        <v>1400</v>
      </c>
      <c r="D328" s="51" t="s">
        <v>681</v>
      </c>
      <c r="E328" s="51" t="s">
        <v>102</v>
      </c>
      <c r="F328" s="51" t="s">
        <v>20</v>
      </c>
      <c r="G328" s="51"/>
      <c r="H328" s="51" t="s">
        <v>252</v>
      </c>
      <c r="I328" s="16">
        <v>-348125630000</v>
      </c>
      <c r="J328" s="16">
        <v>-582971310000</v>
      </c>
      <c r="K328" s="51" t="s">
        <v>1117</v>
      </c>
      <c r="L328" s="53">
        <f t="shared" si="23"/>
        <v>29</v>
      </c>
      <c r="M328" s="17">
        <f t="shared" si="24"/>
        <v>1</v>
      </c>
      <c r="N328" s="18">
        <f t="shared" si="25"/>
        <v>0.96666666666666667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 t="s">
        <v>1211</v>
      </c>
      <c r="AJ328" s="27"/>
      <c r="AK328" s="8"/>
      <c r="AL328" s="8"/>
      <c r="AM328" s="8"/>
      <c r="AN328" s="27"/>
      <c r="AO328" s="8"/>
      <c r="AP328" s="8"/>
      <c r="AQ328" s="27"/>
      <c r="AR328" s="27"/>
      <c r="AS328" s="27"/>
    </row>
    <row r="329" spans="1:45" ht="15.75" thickBot="1" x14ac:dyDescent="0.3">
      <c r="A329" s="51" t="s">
        <v>326</v>
      </c>
      <c r="B329" s="51" t="s">
        <v>683</v>
      </c>
      <c r="C329" s="51"/>
      <c r="D329" s="51" t="s">
        <v>684</v>
      </c>
      <c r="E329" s="51" t="s">
        <v>102</v>
      </c>
      <c r="F329" s="51" t="s">
        <v>20</v>
      </c>
      <c r="G329" s="51"/>
      <c r="H329" s="51" t="s">
        <v>252</v>
      </c>
      <c r="I329" s="16">
        <v>-348125690000</v>
      </c>
      <c r="J329" s="16">
        <v>-582982090000</v>
      </c>
      <c r="K329" s="51" t="s">
        <v>1118</v>
      </c>
      <c r="L329" s="53">
        <f t="shared" si="23"/>
        <v>30</v>
      </c>
      <c r="M329" s="17">
        <f t="shared" si="24"/>
        <v>0</v>
      </c>
      <c r="N329" s="18">
        <f t="shared" si="25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  <c r="AS329" s="27"/>
    </row>
    <row r="330" spans="1:45" ht="15.75" thickBot="1" x14ac:dyDescent="0.3">
      <c r="A330" s="51" t="s">
        <v>326</v>
      </c>
      <c r="B330" s="51" t="s">
        <v>685</v>
      </c>
      <c r="C330" s="51"/>
      <c r="D330" s="51" t="s">
        <v>684</v>
      </c>
      <c r="E330" s="51" t="s">
        <v>102</v>
      </c>
      <c r="F330" s="51" t="s">
        <v>20</v>
      </c>
      <c r="G330" s="51"/>
      <c r="H330" s="51" t="s">
        <v>252</v>
      </c>
      <c r="I330" s="16">
        <v>-348126020000</v>
      </c>
      <c r="J330" s="16">
        <v>-582981720000</v>
      </c>
      <c r="K330" s="51" t="s">
        <v>1119</v>
      </c>
      <c r="L330" s="53">
        <f t="shared" si="23"/>
        <v>30</v>
      </c>
      <c r="M330" s="17">
        <f t="shared" si="24"/>
        <v>0</v>
      </c>
      <c r="N330" s="18">
        <f t="shared" si="25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  <c r="AS330" s="27"/>
    </row>
    <row r="331" spans="1:45" ht="15.75" thickBot="1" x14ac:dyDescent="0.3">
      <c r="A331" s="51" t="s">
        <v>326</v>
      </c>
      <c r="B331" s="51" t="s">
        <v>686</v>
      </c>
      <c r="C331" s="51" t="s">
        <v>1400</v>
      </c>
      <c r="D331" s="51" t="s">
        <v>687</v>
      </c>
      <c r="E331" s="51" t="s">
        <v>19</v>
      </c>
      <c r="F331" s="51" t="s">
        <v>36</v>
      </c>
      <c r="G331" s="51"/>
      <c r="H331" s="51" t="s">
        <v>230</v>
      </c>
      <c r="I331" s="16">
        <v>-348088620000</v>
      </c>
      <c r="J331" s="16">
        <v>-583035370000</v>
      </c>
      <c r="K331" s="51" t="s">
        <v>1120</v>
      </c>
      <c r="L331" s="53">
        <f t="shared" si="23"/>
        <v>30</v>
      </c>
      <c r="M331" s="17">
        <f t="shared" si="24"/>
        <v>0</v>
      </c>
      <c r="N331" s="18">
        <f t="shared" si="25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  <c r="AS331" s="27"/>
    </row>
    <row r="332" spans="1:45" ht="15.75" thickBot="1" x14ac:dyDescent="0.3">
      <c r="A332" s="51" t="s">
        <v>326</v>
      </c>
      <c r="B332" s="51" t="s">
        <v>690</v>
      </c>
      <c r="C332" s="51"/>
      <c r="D332" s="51" t="s">
        <v>691</v>
      </c>
      <c r="E332" s="51" t="s">
        <v>102</v>
      </c>
      <c r="F332" s="51" t="s">
        <v>1390</v>
      </c>
      <c r="G332" s="51"/>
      <c r="H332" s="51" t="s">
        <v>692</v>
      </c>
      <c r="I332" s="16">
        <v>-348100750000</v>
      </c>
      <c r="J332" s="16">
        <v>-583065270000</v>
      </c>
      <c r="K332" s="51" t="s">
        <v>1123</v>
      </c>
      <c r="L332" s="53">
        <f t="shared" si="23"/>
        <v>30</v>
      </c>
      <c r="M332" s="17">
        <f t="shared" si="24"/>
        <v>0</v>
      </c>
      <c r="N332" s="18">
        <f t="shared" si="25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  <c r="AS332" s="27"/>
    </row>
    <row r="333" spans="1:45" ht="15.75" thickBot="1" x14ac:dyDescent="0.3">
      <c r="A333" s="51" t="s">
        <v>326</v>
      </c>
      <c r="B333" s="51" t="s">
        <v>693</v>
      </c>
      <c r="C333" s="51"/>
      <c r="D333" s="51" t="s">
        <v>691</v>
      </c>
      <c r="E333" s="51" t="s">
        <v>102</v>
      </c>
      <c r="F333" s="51" t="s">
        <v>1390</v>
      </c>
      <c r="G333" s="51"/>
      <c r="H333" s="51" t="s">
        <v>692</v>
      </c>
      <c r="I333" s="16">
        <v>-348100750000</v>
      </c>
      <c r="J333" s="16">
        <v>-583065270000</v>
      </c>
      <c r="K333" s="51" t="s">
        <v>1124</v>
      </c>
      <c r="L333" s="53">
        <f t="shared" si="23"/>
        <v>22</v>
      </c>
      <c r="M333" s="17">
        <f t="shared" si="24"/>
        <v>8</v>
      </c>
      <c r="N333" s="18">
        <f t="shared" si="25"/>
        <v>0.73333333333333328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 t="s">
        <v>1211</v>
      </c>
      <c r="AA333" s="27" t="s">
        <v>1211</v>
      </c>
      <c r="AB333" s="27" t="s">
        <v>1211</v>
      </c>
      <c r="AC333" s="27" t="s">
        <v>1211</v>
      </c>
      <c r="AD333" s="27" t="s">
        <v>1211</v>
      </c>
      <c r="AE333" s="27" t="s">
        <v>1211</v>
      </c>
      <c r="AF333" s="27" t="s">
        <v>1211</v>
      </c>
      <c r="AG333" s="27" t="s">
        <v>1211</v>
      </c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  <c r="AS333" s="27"/>
    </row>
    <row r="334" spans="1:45" ht="15.75" thickBot="1" x14ac:dyDescent="0.3">
      <c r="A334" s="51" t="s">
        <v>697</v>
      </c>
      <c r="B334" s="51" t="s">
        <v>1361</v>
      </c>
      <c r="C334" s="51"/>
      <c r="D334" s="51" t="s">
        <v>732</v>
      </c>
      <c r="E334" s="51" t="s">
        <v>24</v>
      </c>
      <c r="F334" s="51" t="s">
        <v>36</v>
      </c>
      <c r="G334" s="51" t="s">
        <v>146</v>
      </c>
      <c r="H334" s="51"/>
      <c r="I334" s="16">
        <v>-348139270000</v>
      </c>
      <c r="J334" s="16">
        <v>-582743600000</v>
      </c>
      <c r="K334" s="51" t="s">
        <v>1134</v>
      </c>
      <c r="L334" s="53">
        <f t="shared" si="23"/>
        <v>30</v>
      </c>
      <c r="M334" s="17">
        <f t="shared" si="24"/>
        <v>0</v>
      </c>
      <c r="N334" s="18">
        <f t="shared" si="25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  <c r="AS334" s="27"/>
    </row>
    <row r="335" spans="1:45" ht="15.75" thickBot="1" x14ac:dyDescent="0.3">
      <c r="A335" s="51" t="s">
        <v>703</v>
      </c>
      <c r="B335" s="51" t="s">
        <v>1362</v>
      </c>
      <c r="C335" s="51"/>
      <c r="D335" s="51" t="s">
        <v>735</v>
      </c>
      <c r="E335" s="51" t="s">
        <v>19</v>
      </c>
      <c r="F335" s="51" t="s">
        <v>1390</v>
      </c>
      <c r="G335" s="51" t="s">
        <v>736</v>
      </c>
      <c r="H335" s="51" t="s">
        <v>737</v>
      </c>
      <c r="I335" s="16">
        <v>-348187470000</v>
      </c>
      <c r="J335" s="16">
        <v>-582709000000</v>
      </c>
      <c r="K335" s="51" t="s">
        <v>1138</v>
      </c>
      <c r="L335" s="53">
        <f t="shared" si="23"/>
        <v>12</v>
      </c>
      <c r="M335" s="17">
        <f t="shared" si="24"/>
        <v>18</v>
      </c>
      <c r="N335" s="18">
        <f t="shared" si="25"/>
        <v>0.4</v>
      </c>
      <c r="O335" s="27" t="s">
        <v>1211</v>
      </c>
      <c r="P335" s="8" t="s">
        <v>1211</v>
      </c>
      <c r="Q335" s="8" t="s">
        <v>1211</v>
      </c>
      <c r="R335" s="8" t="s">
        <v>1211</v>
      </c>
      <c r="S335" s="27" t="s">
        <v>1211</v>
      </c>
      <c r="T335" s="27"/>
      <c r="U335" s="8" t="s">
        <v>1211</v>
      </c>
      <c r="V335" s="8" t="s">
        <v>1211</v>
      </c>
      <c r="W335" s="8" t="s">
        <v>1211</v>
      </c>
      <c r="X335" s="27" t="s">
        <v>1211</v>
      </c>
      <c r="Y335" s="27" t="s">
        <v>1211</v>
      </c>
      <c r="Z335" s="27" t="s">
        <v>1211</v>
      </c>
      <c r="AA335" s="27" t="s">
        <v>1211</v>
      </c>
      <c r="AB335" s="27" t="s">
        <v>1211</v>
      </c>
      <c r="AC335" s="27" t="s">
        <v>1211</v>
      </c>
      <c r="AD335" s="27" t="s">
        <v>1211</v>
      </c>
      <c r="AE335" s="27" t="s">
        <v>1211</v>
      </c>
      <c r="AF335" s="27" t="s">
        <v>1211</v>
      </c>
      <c r="AG335" s="27" t="s">
        <v>1211</v>
      </c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  <c r="AS335" s="27"/>
    </row>
    <row r="336" spans="1:45" ht="15.75" thickBot="1" x14ac:dyDescent="0.3">
      <c r="A336" s="51" t="s">
        <v>703</v>
      </c>
      <c r="B336" s="51" t="s">
        <v>700</v>
      </c>
      <c r="C336" s="51"/>
      <c r="D336" s="51" t="s">
        <v>701</v>
      </c>
      <c r="E336" s="51" t="s">
        <v>19</v>
      </c>
      <c r="F336" s="51" t="s">
        <v>1391</v>
      </c>
      <c r="G336" s="51" t="s">
        <v>702</v>
      </c>
      <c r="H336" s="51"/>
      <c r="I336" s="16">
        <v>-348129440000</v>
      </c>
      <c r="J336" s="16">
        <v>-582759900000</v>
      </c>
      <c r="K336" s="51" t="s">
        <v>1139</v>
      </c>
      <c r="L336" s="53">
        <f t="shared" si="23"/>
        <v>12</v>
      </c>
      <c r="M336" s="17">
        <f t="shared" si="24"/>
        <v>18</v>
      </c>
      <c r="N336" s="18">
        <f t="shared" si="25"/>
        <v>0.4</v>
      </c>
      <c r="O336" s="27" t="s">
        <v>1211</v>
      </c>
      <c r="P336" s="8" t="s">
        <v>1211</v>
      </c>
      <c r="Q336" s="8" t="s">
        <v>1211</v>
      </c>
      <c r="R336" s="8" t="s">
        <v>1211</v>
      </c>
      <c r="S336" s="27" t="s">
        <v>1211</v>
      </c>
      <c r="T336" s="27"/>
      <c r="U336" s="8" t="s">
        <v>1211</v>
      </c>
      <c r="V336" s="8" t="s">
        <v>1211</v>
      </c>
      <c r="W336" s="8" t="s">
        <v>1211</v>
      </c>
      <c r="X336" s="27" t="s">
        <v>1211</v>
      </c>
      <c r="Y336" s="27" t="s">
        <v>1211</v>
      </c>
      <c r="Z336" s="27" t="s">
        <v>1211</v>
      </c>
      <c r="AA336" s="27" t="s">
        <v>1211</v>
      </c>
      <c r="AB336" s="27" t="s">
        <v>1211</v>
      </c>
      <c r="AC336" s="27" t="s">
        <v>1211</v>
      </c>
      <c r="AD336" s="27" t="s">
        <v>1211</v>
      </c>
      <c r="AE336" s="27" t="s">
        <v>1211</v>
      </c>
      <c r="AF336" s="27" t="s">
        <v>1211</v>
      </c>
      <c r="AG336" s="27" t="s">
        <v>1211</v>
      </c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  <c r="AS336" s="27"/>
    </row>
    <row r="337" spans="1:45" ht="15.75" thickBot="1" x14ac:dyDescent="0.3">
      <c r="A337" s="51" t="s">
        <v>703</v>
      </c>
      <c r="B337" s="51" t="s">
        <v>704</v>
      </c>
      <c r="C337" s="51" t="s">
        <v>1400</v>
      </c>
      <c r="D337" s="51" t="s">
        <v>705</v>
      </c>
      <c r="E337" s="51" t="s">
        <v>19</v>
      </c>
      <c r="F337" s="51" t="s">
        <v>1391</v>
      </c>
      <c r="G337" s="51"/>
      <c r="H337" s="51" t="s">
        <v>706</v>
      </c>
      <c r="I337" s="16">
        <v>-348174960000</v>
      </c>
      <c r="J337" s="16">
        <v>-582687670000</v>
      </c>
      <c r="K337" s="51" t="s">
        <v>1140</v>
      </c>
      <c r="L337" s="53">
        <f t="shared" si="23"/>
        <v>29</v>
      </c>
      <c r="M337" s="17">
        <f t="shared" si="24"/>
        <v>1</v>
      </c>
      <c r="N337" s="18">
        <f t="shared" si="25"/>
        <v>0.96666666666666667</v>
      </c>
      <c r="O337" s="27" t="s">
        <v>1211</v>
      </c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  <c r="AS337" s="27"/>
    </row>
    <row r="338" spans="1:45" ht="15.75" thickBot="1" x14ac:dyDescent="0.3">
      <c r="A338" s="51" t="s">
        <v>703</v>
      </c>
      <c r="B338" s="51" t="s">
        <v>707</v>
      </c>
      <c r="C338" s="51"/>
      <c r="D338" s="51" t="s">
        <v>1363</v>
      </c>
      <c r="E338" s="51" t="s">
        <v>19</v>
      </c>
      <c r="F338" s="51" t="s">
        <v>1391</v>
      </c>
      <c r="G338" s="51"/>
      <c r="H338" s="51" t="s">
        <v>30</v>
      </c>
      <c r="I338" s="16">
        <v>-348206040000</v>
      </c>
      <c r="J338" s="16">
        <v>-582725050000</v>
      </c>
      <c r="K338" s="51" t="s">
        <v>1141</v>
      </c>
      <c r="L338" s="53">
        <f t="shared" si="23"/>
        <v>29</v>
      </c>
      <c r="M338" s="17">
        <f t="shared" si="24"/>
        <v>1</v>
      </c>
      <c r="N338" s="18">
        <f t="shared" si="25"/>
        <v>0.96666666666666667</v>
      </c>
      <c r="O338" s="27" t="s">
        <v>1211</v>
      </c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  <c r="AS338" s="27"/>
    </row>
    <row r="339" spans="1:45" ht="15.75" thickBot="1" x14ac:dyDescent="0.3">
      <c r="A339" s="51" t="s">
        <v>703</v>
      </c>
      <c r="B339" s="51" t="s">
        <v>710</v>
      </c>
      <c r="C339" s="51" t="s">
        <v>1400</v>
      </c>
      <c r="D339" s="51" t="s">
        <v>711</v>
      </c>
      <c r="E339" s="51" t="s">
        <v>65</v>
      </c>
      <c r="F339" s="51" t="s">
        <v>25</v>
      </c>
      <c r="G339" s="51"/>
      <c r="H339" s="51" t="s">
        <v>280</v>
      </c>
      <c r="I339" s="16">
        <v>-348227100000</v>
      </c>
      <c r="J339" s="16">
        <v>-582764200000</v>
      </c>
      <c r="K339" s="51" t="s">
        <v>1144</v>
      </c>
      <c r="L339" s="53">
        <f t="shared" si="23"/>
        <v>30</v>
      </c>
      <c r="M339" s="17">
        <f t="shared" si="24"/>
        <v>0</v>
      </c>
      <c r="N339" s="18">
        <f t="shared" si="25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  <c r="AS339" s="27"/>
    </row>
    <row r="340" spans="1:45" ht="15.75" thickBot="1" x14ac:dyDescent="0.3">
      <c r="A340" s="51" t="s">
        <v>697</v>
      </c>
      <c r="B340" s="51" t="s">
        <v>1364</v>
      </c>
      <c r="C340" s="51"/>
      <c r="D340" s="51" t="s">
        <v>738</v>
      </c>
      <c r="E340" s="51" t="s">
        <v>102</v>
      </c>
      <c r="F340" s="51" t="s">
        <v>36</v>
      </c>
      <c r="G340" s="51"/>
      <c r="H340" s="51" t="s">
        <v>230</v>
      </c>
      <c r="I340" s="16">
        <v>-348138590000</v>
      </c>
      <c r="J340" s="16">
        <v>-582734640000</v>
      </c>
      <c r="K340" s="51" t="s">
        <v>1145</v>
      </c>
      <c r="L340" s="53">
        <f t="shared" si="23"/>
        <v>30</v>
      </c>
      <c r="M340" s="17">
        <f t="shared" si="24"/>
        <v>0</v>
      </c>
      <c r="N340" s="18">
        <f t="shared" si="25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  <c r="AS340" s="27"/>
    </row>
    <row r="341" spans="1:45" ht="15.75" thickBot="1" x14ac:dyDescent="0.3">
      <c r="A341" s="51" t="s">
        <v>697</v>
      </c>
      <c r="B341" s="51" t="s">
        <v>1365</v>
      </c>
      <c r="C341" s="51"/>
      <c r="D341" s="51" t="s">
        <v>738</v>
      </c>
      <c r="E341" s="51" t="s">
        <v>102</v>
      </c>
      <c r="F341" s="51" t="s">
        <v>36</v>
      </c>
      <c r="G341" s="51"/>
      <c r="H341" s="51" t="s">
        <v>230</v>
      </c>
      <c r="I341" s="16">
        <v>-348138540000</v>
      </c>
      <c r="J341" s="16">
        <v>-582734290000</v>
      </c>
      <c r="K341" s="51" t="s">
        <v>1146</v>
      </c>
      <c r="L341" s="53">
        <f t="shared" si="23"/>
        <v>30</v>
      </c>
      <c r="M341" s="17">
        <f t="shared" si="24"/>
        <v>0</v>
      </c>
      <c r="N341" s="18">
        <f t="shared" si="25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  <c r="AS341" s="27"/>
    </row>
    <row r="342" spans="1:45" ht="15.75" thickBot="1" x14ac:dyDescent="0.3">
      <c r="A342" s="51" t="s">
        <v>703</v>
      </c>
      <c r="B342" s="51" t="s">
        <v>712</v>
      </c>
      <c r="C342" s="51"/>
      <c r="D342" s="51" t="s">
        <v>1366</v>
      </c>
      <c r="E342" s="51" t="s">
        <v>24</v>
      </c>
      <c r="F342" s="51" t="s">
        <v>36</v>
      </c>
      <c r="G342" s="51" t="s">
        <v>713</v>
      </c>
      <c r="H342" s="51"/>
      <c r="I342" s="16">
        <v>-348197840000</v>
      </c>
      <c r="J342" s="16">
        <v>-582731040000</v>
      </c>
      <c r="K342" s="51" t="s">
        <v>1125</v>
      </c>
      <c r="L342" s="53">
        <f t="shared" si="23"/>
        <v>30</v>
      </c>
      <c r="M342" s="17">
        <f t="shared" si="24"/>
        <v>0</v>
      </c>
      <c r="N342" s="18">
        <f t="shared" si="25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  <c r="AS342" s="27"/>
    </row>
    <row r="343" spans="1:45" ht="15.75" thickBot="1" x14ac:dyDescent="0.3">
      <c r="A343" s="51" t="s">
        <v>697</v>
      </c>
      <c r="B343" s="51" t="s">
        <v>714</v>
      </c>
      <c r="C343" s="51" t="s">
        <v>1400</v>
      </c>
      <c r="D343" s="51" t="s">
        <v>1367</v>
      </c>
      <c r="E343" s="51" t="s">
        <v>24</v>
      </c>
      <c r="F343" s="51" t="s">
        <v>36</v>
      </c>
      <c r="G343" s="51" t="s">
        <v>170</v>
      </c>
      <c r="H343" s="51"/>
      <c r="I343" s="16">
        <v>-348187010000</v>
      </c>
      <c r="J343" s="16">
        <v>-582769880000</v>
      </c>
      <c r="K343" s="51" t="s">
        <v>1126</v>
      </c>
      <c r="L343" s="53">
        <f t="shared" si="23"/>
        <v>30</v>
      </c>
      <c r="M343" s="17">
        <f t="shared" si="24"/>
        <v>0</v>
      </c>
      <c r="N343" s="18">
        <f t="shared" si="25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  <c r="AS343" s="27"/>
    </row>
    <row r="344" spans="1:45" ht="15.75" thickBot="1" x14ac:dyDescent="0.3">
      <c r="A344" s="51" t="s">
        <v>697</v>
      </c>
      <c r="B344" s="51" t="s">
        <v>715</v>
      </c>
      <c r="C344" s="51"/>
      <c r="D344" s="51" t="s">
        <v>716</v>
      </c>
      <c r="E344" s="51" t="s">
        <v>24</v>
      </c>
      <c r="F344" s="51" t="s">
        <v>36</v>
      </c>
      <c r="G344" s="51" t="s">
        <v>717</v>
      </c>
      <c r="H344" s="51"/>
      <c r="I344" s="16">
        <v>-348117420000</v>
      </c>
      <c r="J344" s="16">
        <v>-582744990000</v>
      </c>
      <c r="K344" s="51" t="s">
        <v>1127</v>
      </c>
      <c r="L344" s="53">
        <f t="shared" si="23"/>
        <v>30</v>
      </c>
      <c r="M344" s="17">
        <f t="shared" si="24"/>
        <v>0</v>
      </c>
      <c r="N344" s="18">
        <f t="shared" si="25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  <c r="AS344" s="27"/>
    </row>
    <row r="345" spans="1:45" ht="15.75" thickBot="1" x14ac:dyDescent="0.3">
      <c r="A345" s="51" t="s">
        <v>697</v>
      </c>
      <c r="B345" s="51" t="s">
        <v>718</v>
      </c>
      <c r="C345" s="51"/>
      <c r="D345" s="51" t="s">
        <v>719</v>
      </c>
      <c r="E345" s="51" t="s">
        <v>24</v>
      </c>
      <c r="F345" s="51" t="s">
        <v>36</v>
      </c>
      <c r="G345" s="51" t="s">
        <v>720</v>
      </c>
      <c r="H345" s="51"/>
      <c r="I345" s="16">
        <v>-348115920000</v>
      </c>
      <c r="J345" s="16">
        <v>-582697890000</v>
      </c>
      <c r="K345" s="51" t="s">
        <v>1128</v>
      </c>
      <c r="L345" s="53">
        <f t="shared" si="23"/>
        <v>29</v>
      </c>
      <c r="M345" s="17">
        <f t="shared" si="24"/>
        <v>1</v>
      </c>
      <c r="N345" s="18">
        <f t="shared" si="25"/>
        <v>0.96666666666666667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 t="s">
        <v>1211</v>
      </c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  <c r="AS345" s="27"/>
    </row>
    <row r="346" spans="1:45" ht="15.75" thickBot="1" x14ac:dyDescent="0.3">
      <c r="A346" s="51" t="s">
        <v>697</v>
      </c>
      <c r="B346" s="51" t="s">
        <v>721</v>
      </c>
      <c r="C346" s="51"/>
      <c r="D346" s="51" t="s">
        <v>722</v>
      </c>
      <c r="E346" s="51" t="s">
        <v>24</v>
      </c>
      <c r="F346" s="51" t="s">
        <v>25</v>
      </c>
      <c r="G346" s="51" t="s">
        <v>723</v>
      </c>
      <c r="H346" s="51"/>
      <c r="I346" s="16">
        <v>-348115310000</v>
      </c>
      <c r="J346" s="16">
        <v>-582685340000</v>
      </c>
      <c r="K346" s="51" t="s">
        <v>1129</v>
      </c>
      <c r="L346" s="53">
        <f t="shared" si="23"/>
        <v>29</v>
      </c>
      <c r="M346" s="17">
        <f t="shared" si="24"/>
        <v>1</v>
      </c>
      <c r="N346" s="18">
        <f t="shared" si="25"/>
        <v>0.96666666666666667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 t="s">
        <v>1211</v>
      </c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  <c r="AS346" s="27"/>
    </row>
    <row r="347" spans="1:45" ht="15.75" thickBot="1" x14ac:dyDescent="0.3">
      <c r="A347" s="51" t="s">
        <v>697</v>
      </c>
      <c r="B347" s="51" t="s">
        <v>724</v>
      </c>
      <c r="C347" s="51"/>
      <c r="D347" s="51" t="s">
        <v>1368</v>
      </c>
      <c r="E347" s="51" t="s">
        <v>24</v>
      </c>
      <c r="F347" s="51" t="s">
        <v>36</v>
      </c>
      <c r="G347" s="51" t="s">
        <v>60</v>
      </c>
      <c r="H347" s="51"/>
      <c r="I347" s="16">
        <v>-348150260000</v>
      </c>
      <c r="J347" s="16">
        <v>-582775060000</v>
      </c>
      <c r="K347" s="51" t="s">
        <v>1130</v>
      </c>
      <c r="L347" s="53">
        <f t="shared" si="23"/>
        <v>29</v>
      </c>
      <c r="M347" s="17">
        <f t="shared" si="24"/>
        <v>1</v>
      </c>
      <c r="N347" s="18">
        <f t="shared" si="25"/>
        <v>0.96666666666666667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 t="s">
        <v>1211</v>
      </c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  <c r="AS347" s="27"/>
    </row>
    <row r="348" spans="1:45" ht="15.75" thickBot="1" x14ac:dyDescent="0.3">
      <c r="A348" s="51" t="s">
        <v>697</v>
      </c>
      <c r="B348" s="51" t="s">
        <v>725</v>
      </c>
      <c r="C348" s="51" t="s">
        <v>1399</v>
      </c>
      <c r="D348" s="51" t="s">
        <v>1369</v>
      </c>
      <c r="E348" s="51" t="s">
        <v>1394</v>
      </c>
      <c r="F348" s="51" t="s">
        <v>1391</v>
      </c>
      <c r="G348" s="51" t="s">
        <v>726</v>
      </c>
      <c r="H348" s="51"/>
      <c r="I348" s="16">
        <v>-348119360000</v>
      </c>
      <c r="J348" s="16">
        <v>-582777500000</v>
      </c>
      <c r="K348" s="51" t="s">
        <v>1131</v>
      </c>
      <c r="L348" s="53">
        <f t="shared" si="23"/>
        <v>29</v>
      </c>
      <c r="M348" s="17">
        <f t="shared" si="24"/>
        <v>1</v>
      </c>
      <c r="N348" s="18">
        <f t="shared" si="25"/>
        <v>0.96666666666666667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 t="s">
        <v>1211</v>
      </c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  <c r="AS348" s="27"/>
    </row>
    <row r="349" spans="1:45" ht="15.75" thickBot="1" x14ac:dyDescent="0.3">
      <c r="A349" s="51" t="s">
        <v>703</v>
      </c>
      <c r="B349" s="51" t="s">
        <v>727</v>
      </c>
      <c r="C349" s="51"/>
      <c r="D349" s="51" t="s">
        <v>728</v>
      </c>
      <c r="E349" s="51" t="s">
        <v>24</v>
      </c>
      <c r="F349" s="51" t="s">
        <v>1390</v>
      </c>
      <c r="G349" s="51" t="s">
        <v>146</v>
      </c>
      <c r="H349" s="51"/>
      <c r="I349" s="16">
        <v>-348165160000</v>
      </c>
      <c r="J349" s="16">
        <v>-582725140000</v>
      </c>
      <c r="K349" s="51" t="s">
        <v>1132</v>
      </c>
      <c r="L349" s="53">
        <f t="shared" si="23"/>
        <v>30</v>
      </c>
      <c r="M349" s="17">
        <f t="shared" si="24"/>
        <v>0</v>
      </c>
      <c r="N349" s="18">
        <f t="shared" si="25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  <c r="AS349" s="27"/>
    </row>
    <row r="350" spans="1:45" ht="15.75" thickBot="1" x14ac:dyDescent="0.3">
      <c r="A350" s="51" t="s">
        <v>703</v>
      </c>
      <c r="B350" s="51" t="s">
        <v>729</v>
      </c>
      <c r="C350" s="51"/>
      <c r="D350" s="51" t="s">
        <v>730</v>
      </c>
      <c r="E350" s="51" t="s">
        <v>24</v>
      </c>
      <c r="F350" s="51" t="s">
        <v>36</v>
      </c>
      <c r="G350" s="51" t="s">
        <v>146</v>
      </c>
      <c r="H350" s="51" t="s">
        <v>731</v>
      </c>
      <c r="I350" s="16">
        <v>-348159830000</v>
      </c>
      <c r="J350" s="16">
        <v>-582660100000</v>
      </c>
      <c r="K350" s="51" t="s">
        <v>1133</v>
      </c>
      <c r="L350" s="53">
        <f t="shared" si="23"/>
        <v>30</v>
      </c>
      <c r="M350" s="17">
        <f t="shared" si="24"/>
        <v>0</v>
      </c>
      <c r="N350" s="18">
        <f t="shared" si="25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  <c r="AS350" s="27"/>
    </row>
    <row r="351" spans="1:45" ht="15.75" thickBot="1" x14ac:dyDescent="0.3">
      <c r="A351" s="51" t="s">
        <v>703</v>
      </c>
      <c r="B351" s="51" t="s">
        <v>733</v>
      </c>
      <c r="C351" s="51"/>
      <c r="D351" s="51" t="s">
        <v>734</v>
      </c>
      <c r="E351" s="51" t="s">
        <v>24</v>
      </c>
      <c r="F351" s="51" t="s">
        <v>36</v>
      </c>
      <c r="G351" s="51" t="s">
        <v>713</v>
      </c>
      <c r="H351" s="51"/>
      <c r="I351" s="16">
        <v>-348191940000</v>
      </c>
      <c r="J351" s="16">
        <v>-582720740000</v>
      </c>
      <c r="K351" s="51" t="s">
        <v>1135</v>
      </c>
      <c r="L351" s="53">
        <f t="shared" si="23"/>
        <v>30</v>
      </c>
      <c r="M351" s="17">
        <f t="shared" si="24"/>
        <v>0</v>
      </c>
      <c r="N351" s="18">
        <f t="shared" si="25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  <c r="AS351" s="27"/>
    </row>
    <row r="352" spans="1:45" ht="15.75" thickBot="1" x14ac:dyDescent="0.3">
      <c r="A352" s="51" t="s">
        <v>703</v>
      </c>
      <c r="B352" s="51" t="s">
        <v>1370</v>
      </c>
      <c r="C352" s="51"/>
      <c r="D352" s="51" t="s">
        <v>695</v>
      </c>
      <c r="E352" s="51" t="s">
        <v>19</v>
      </c>
      <c r="F352" s="51" t="s">
        <v>1391</v>
      </c>
      <c r="G352" s="51" t="s">
        <v>170</v>
      </c>
      <c r="H352" s="51" t="s">
        <v>696</v>
      </c>
      <c r="I352" s="16">
        <v>-348153800000</v>
      </c>
      <c r="J352" s="16">
        <v>-582706170000</v>
      </c>
      <c r="K352" s="51" t="s">
        <v>1136</v>
      </c>
      <c r="L352" s="53">
        <f t="shared" si="23"/>
        <v>12</v>
      </c>
      <c r="M352" s="17">
        <f t="shared" si="24"/>
        <v>18</v>
      </c>
      <c r="N352" s="18">
        <f t="shared" si="25"/>
        <v>0.4</v>
      </c>
      <c r="O352" s="27" t="s">
        <v>1211</v>
      </c>
      <c r="P352" s="8" t="s">
        <v>1211</v>
      </c>
      <c r="Q352" s="8" t="s">
        <v>1211</v>
      </c>
      <c r="R352" s="8" t="s">
        <v>1211</v>
      </c>
      <c r="S352" s="27" t="s">
        <v>1211</v>
      </c>
      <c r="T352" s="27"/>
      <c r="U352" s="8" t="s">
        <v>1211</v>
      </c>
      <c r="V352" s="8" t="s">
        <v>1211</v>
      </c>
      <c r="W352" s="8" t="s">
        <v>1211</v>
      </c>
      <c r="X352" s="27" t="s">
        <v>1211</v>
      </c>
      <c r="Y352" s="27" t="s">
        <v>1211</v>
      </c>
      <c r="Z352" s="27" t="s">
        <v>1211</v>
      </c>
      <c r="AA352" s="27" t="s">
        <v>1211</v>
      </c>
      <c r="AB352" s="27" t="s">
        <v>1211</v>
      </c>
      <c r="AC352" s="27" t="s">
        <v>1211</v>
      </c>
      <c r="AD352" s="27" t="s">
        <v>1211</v>
      </c>
      <c r="AE352" s="27" t="s">
        <v>1211</v>
      </c>
      <c r="AF352" s="27" t="s">
        <v>1211</v>
      </c>
      <c r="AG352" s="27" t="s">
        <v>1211</v>
      </c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  <c r="AS352" s="27"/>
    </row>
    <row r="353" spans="1:45" ht="15.75" thickBot="1" x14ac:dyDescent="0.3">
      <c r="A353" s="51" t="s">
        <v>697</v>
      </c>
      <c r="B353" s="51" t="s">
        <v>1371</v>
      </c>
      <c r="C353" s="51"/>
      <c r="D353" s="51" t="s">
        <v>698</v>
      </c>
      <c r="E353" s="51" t="s">
        <v>24</v>
      </c>
      <c r="F353" s="51" t="s">
        <v>1391</v>
      </c>
      <c r="G353" s="51" t="s">
        <v>170</v>
      </c>
      <c r="H353" s="51" t="s">
        <v>699</v>
      </c>
      <c r="I353" s="16">
        <v>-348171860000</v>
      </c>
      <c r="J353" s="16">
        <v>-582741990000</v>
      </c>
      <c r="K353" s="51" t="s">
        <v>1137</v>
      </c>
      <c r="L353" s="53">
        <f t="shared" si="23"/>
        <v>30</v>
      </c>
      <c r="M353" s="17">
        <f t="shared" si="24"/>
        <v>0</v>
      </c>
      <c r="N353" s="18">
        <f t="shared" si="25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  <c r="AS353" s="27"/>
    </row>
    <row r="354" spans="1:45" ht="15.75" thickBot="1" x14ac:dyDescent="0.3">
      <c r="A354" s="51" t="s">
        <v>697</v>
      </c>
      <c r="B354" s="51" t="s">
        <v>1372</v>
      </c>
      <c r="C354" s="51"/>
      <c r="D354" s="51" t="s">
        <v>708</v>
      </c>
      <c r="E354" s="51" t="s">
        <v>19</v>
      </c>
      <c r="F354" s="51" t="s">
        <v>1391</v>
      </c>
      <c r="G354" s="51"/>
      <c r="H354" s="51" t="s">
        <v>628</v>
      </c>
      <c r="I354" s="16">
        <v>-348117590000</v>
      </c>
      <c r="J354" s="16">
        <v>-582727020000</v>
      </c>
      <c r="K354" s="51" t="s">
        <v>1142</v>
      </c>
      <c r="L354" s="53">
        <f t="shared" si="23"/>
        <v>30</v>
      </c>
      <c r="M354" s="17">
        <f t="shared" si="24"/>
        <v>0</v>
      </c>
      <c r="N354" s="18">
        <f t="shared" si="25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  <c r="AS354" s="27"/>
    </row>
    <row r="355" spans="1:45" ht="15.75" thickBot="1" x14ac:dyDescent="0.3">
      <c r="A355" s="51" t="s">
        <v>697</v>
      </c>
      <c r="B355" s="51" t="s">
        <v>1373</v>
      </c>
      <c r="C355" s="51"/>
      <c r="D355" s="51" t="s">
        <v>709</v>
      </c>
      <c r="E355" s="51" t="s">
        <v>19</v>
      </c>
      <c r="F355" s="51" t="s">
        <v>25</v>
      </c>
      <c r="G355" s="51"/>
      <c r="H355" s="51" t="s">
        <v>628</v>
      </c>
      <c r="I355" s="16">
        <v>-348138420000</v>
      </c>
      <c r="J355" s="16">
        <v>-582725540000</v>
      </c>
      <c r="K355" s="51" t="s">
        <v>1143</v>
      </c>
      <c r="L355" s="53">
        <f t="shared" si="23"/>
        <v>30</v>
      </c>
      <c r="M355" s="17">
        <f t="shared" si="24"/>
        <v>0</v>
      </c>
      <c r="N355" s="18">
        <f t="shared" si="25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  <c r="AS355" s="27"/>
    </row>
    <row r="356" spans="1:45" ht="15.75" thickBot="1" x14ac:dyDescent="0.3">
      <c r="A356" s="51" t="s">
        <v>697</v>
      </c>
      <c r="B356" s="51" t="s">
        <v>739</v>
      </c>
      <c r="C356" s="51" t="s">
        <v>1399</v>
      </c>
      <c r="D356" s="51" t="s">
        <v>740</v>
      </c>
      <c r="E356" s="51" t="s">
        <v>102</v>
      </c>
      <c r="F356" s="51" t="s">
        <v>36</v>
      </c>
      <c r="G356" s="51"/>
      <c r="H356" s="51" t="s">
        <v>275</v>
      </c>
      <c r="I356" s="16">
        <v>-348114320000</v>
      </c>
      <c r="J356" s="16">
        <v>-582778570000</v>
      </c>
      <c r="K356" s="51" t="s">
        <v>905</v>
      </c>
      <c r="L356" s="53">
        <f t="shared" si="23"/>
        <v>30</v>
      </c>
      <c r="M356" s="17">
        <f t="shared" si="24"/>
        <v>0</v>
      </c>
      <c r="N356" s="18">
        <f t="shared" si="25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  <c r="AS356" s="27"/>
    </row>
    <row r="357" spans="1:45" ht="15.75" thickBot="1" x14ac:dyDescent="0.3">
      <c r="A357" s="51" t="s">
        <v>697</v>
      </c>
      <c r="B357" s="51" t="s">
        <v>741</v>
      </c>
      <c r="C357" s="51" t="s">
        <v>1399</v>
      </c>
      <c r="D357" s="51" t="s">
        <v>740</v>
      </c>
      <c r="E357" s="51" t="s">
        <v>102</v>
      </c>
      <c r="F357" s="51" t="s">
        <v>36</v>
      </c>
      <c r="G357" s="51"/>
      <c r="H357" s="51" t="s">
        <v>275</v>
      </c>
      <c r="I357" s="16">
        <v>-348114300000</v>
      </c>
      <c r="J357" s="16">
        <v>-582778730000</v>
      </c>
      <c r="K357" s="51" t="s">
        <v>1147</v>
      </c>
      <c r="L357" s="53">
        <f t="shared" si="23"/>
        <v>30</v>
      </c>
      <c r="M357" s="17">
        <f t="shared" si="24"/>
        <v>0</v>
      </c>
      <c r="N357" s="18">
        <f t="shared" si="25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  <c r="AS357" s="27"/>
    </row>
    <row r="358" spans="1:45" ht="15.75" thickBot="1" x14ac:dyDescent="0.3">
      <c r="A358" s="51" t="s">
        <v>562</v>
      </c>
      <c r="B358" s="51" t="s">
        <v>1374</v>
      </c>
      <c r="C358" s="51" t="s">
        <v>1399</v>
      </c>
      <c r="D358" s="51" t="s">
        <v>747</v>
      </c>
      <c r="E358" s="51" t="s">
        <v>24</v>
      </c>
      <c r="F358" s="51" t="s">
        <v>36</v>
      </c>
      <c r="G358" s="51" t="s">
        <v>544</v>
      </c>
      <c r="H358" s="51"/>
      <c r="I358" s="16">
        <v>-347743850000</v>
      </c>
      <c r="J358" s="16">
        <v>-582816550000</v>
      </c>
      <c r="K358" s="51" t="s">
        <v>1150</v>
      </c>
      <c r="L358" s="53">
        <f t="shared" si="23"/>
        <v>30</v>
      </c>
      <c r="M358" s="17">
        <f t="shared" si="24"/>
        <v>0</v>
      </c>
      <c r="N358" s="18">
        <f t="shared" si="25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  <c r="AS358" s="27"/>
    </row>
    <row r="359" spans="1:45" ht="15.75" thickBot="1" x14ac:dyDescent="0.3">
      <c r="A359" s="51" t="s">
        <v>411</v>
      </c>
      <c r="B359" s="51" t="s">
        <v>1375</v>
      </c>
      <c r="C359" s="51" t="s">
        <v>1399</v>
      </c>
      <c r="D359" s="51" t="s">
        <v>748</v>
      </c>
      <c r="E359" s="51" t="s">
        <v>24</v>
      </c>
      <c r="F359" s="51" t="s">
        <v>36</v>
      </c>
      <c r="G359" s="51" t="s">
        <v>170</v>
      </c>
      <c r="H359" s="51"/>
      <c r="I359" s="16">
        <v>-347773100000</v>
      </c>
      <c r="J359" s="16">
        <v>-582804110000</v>
      </c>
      <c r="K359" s="51" t="s">
        <v>1151</v>
      </c>
      <c r="L359" s="53">
        <f t="shared" si="23"/>
        <v>12</v>
      </c>
      <c r="M359" s="17">
        <f t="shared" si="24"/>
        <v>18</v>
      </c>
      <c r="N359" s="18">
        <f t="shared" si="25"/>
        <v>0.4</v>
      </c>
      <c r="O359" s="27" t="s">
        <v>1211</v>
      </c>
      <c r="P359" s="8" t="s">
        <v>1211</v>
      </c>
      <c r="Q359" s="8" t="s">
        <v>1211</v>
      </c>
      <c r="R359" s="8" t="s">
        <v>1211</v>
      </c>
      <c r="S359" s="27" t="s">
        <v>1211</v>
      </c>
      <c r="T359" s="27"/>
      <c r="U359" s="8" t="s">
        <v>1211</v>
      </c>
      <c r="V359" s="8" t="s">
        <v>1211</v>
      </c>
      <c r="W359" s="8" t="s">
        <v>1211</v>
      </c>
      <c r="X359" s="27" t="s">
        <v>1211</v>
      </c>
      <c r="Y359" s="27" t="s">
        <v>1211</v>
      </c>
      <c r="Z359" s="27" t="s">
        <v>1211</v>
      </c>
      <c r="AA359" s="27" t="s">
        <v>1211</v>
      </c>
      <c r="AB359" s="27" t="s">
        <v>1211</v>
      </c>
      <c r="AC359" s="27" t="s">
        <v>1211</v>
      </c>
      <c r="AD359" s="27" t="s">
        <v>1211</v>
      </c>
      <c r="AE359" s="27" t="s">
        <v>1211</v>
      </c>
      <c r="AF359" s="27" t="s">
        <v>1211</v>
      </c>
      <c r="AG359" s="27" t="s">
        <v>1211</v>
      </c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  <c r="AS359" s="27"/>
    </row>
    <row r="360" spans="1:45" ht="15.75" thickBot="1" x14ac:dyDescent="0.3">
      <c r="A360" s="51" t="s">
        <v>562</v>
      </c>
      <c r="B360" s="51" t="s">
        <v>742</v>
      </c>
      <c r="C360" s="51" t="s">
        <v>1399</v>
      </c>
      <c r="D360" s="51" t="s">
        <v>743</v>
      </c>
      <c r="E360" s="51" t="s">
        <v>24</v>
      </c>
      <c r="F360" s="51" t="s">
        <v>36</v>
      </c>
      <c r="G360" s="51" t="s">
        <v>744</v>
      </c>
      <c r="H360" s="51" t="s">
        <v>745</v>
      </c>
      <c r="I360" s="16">
        <v>-347781830000</v>
      </c>
      <c r="J360" s="16">
        <v>-582883670000</v>
      </c>
      <c r="K360" s="51" t="s">
        <v>1154</v>
      </c>
      <c r="L360" s="53">
        <f t="shared" si="23"/>
        <v>12</v>
      </c>
      <c r="M360" s="17">
        <f t="shared" si="24"/>
        <v>18</v>
      </c>
      <c r="N360" s="18">
        <f t="shared" si="25"/>
        <v>0.4</v>
      </c>
      <c r="O360" s="27" t="s">
        <v>1211</v>
      </c>
      <c r="P360" s="8" t="s">
        <v>1211</v>
      </c>
      <c r="Q360" s="8" t="s">
        <v>1211</v>
      </c>
      <c r="R360" s="8" t="s">
        <v>1211</v>
      </c>
      <c r="S360" s="27" t="s">
        <v>1211</v>
      </c>
      <c r="T360" s="27"/>
      <c r="U360" s="8" t="s">
        <v>1211</v>
      </c>
      <c r="V360" s="8" t="s">
        <v>1211</v>
      </c>
      <c r="W360" s="8" t="s">
        <v>1211</v>
      </c>
      <c r="X360" s="27" t="s">
        <v>1211</v>
      </c>
      <c r="Y360" s="27" t="s">
        <v>1211</v>
      </c>
      <c r="Z360" s="27" t="s">
        <v>1211</v>
      </c>
      <c r="AA360" s="27" t="s">
        <v>1211</v>
      </c>
      <c r="AB360" s="27" t="s">
        <v>1211</v>
      </c>
      <c r="AC360" s="27" t="s">
        <v>1211</v>
      </c>
      <c r="AD360" s="27" t="s">
        <v>1211</v>
      </c>
      <c r="AE360" s="27" t="s">
        <v>1211</v>
      </c>
      <c r="AF360" s="27" t="s">
        <v>1211</v>
      </c>
      <c r="AG360" s="27" t="s">
        <v>1211</v>
      </c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  <c r="AS360" s="27"/>
    </row>
    <row r="361" spans="1:45" ht="15.75" thickBot="1" x14ac:dyDescent="0.3">
      <c r="A361" s="51" t="s">
        <v>562</v>
      </c>
      <c r="B361" s="51" t="s">
        <v>749</v>
      </c>
      <c r="C361" s="51"/>
      <c r="D361" s="51" t="s">
        <v>750</v>
      </c>
      <c r="E361" s="51" t="s">
        <v>102</v>
      </c>
      <c r="F361" s="51" t="s">
        <v>36</v>
      </c>
      <c r="G361" s="51"/>
      <c r="H361" s="51" t="s">
        <v>230</v>
      </c>
      <c r="I361" s="16">
        <v>-347807260000</v>
      </c>
      <c r="J361" s="16">
        <v>-582820830000</v>
      </c>
      <c r="K361" s="51" t="s">
        <v>1148</v>
      </c>
      <c r="L361" s="53">
        <f t="shared" si="23"/>
        <v>11</v>
      </c>
      <c r="M361" s="17">
        <f t="shared" si="24"/>
        <v>19</v>
      </c>
      <c r="N361" s="18">
        <f t="shared" si="25"/>
        <v>0.36666666666666664</v>
      </c>
      <c r="O361" s="27" t="s">
        <v>1211</v>
      </c>
      <c r="P361" s="8" t="s">
        <v>1211</v>
      </c>
      <c r="Q361" s="8" t="s">
        <v>1211</v>
      </c>
      <c r="R361" s="8" t="s">
        <v>1211</v>
      </c>
      <c r="S361" s="27" t="s">
        <v>1211</v>
      </c>
      <c r="T361" s="27"/>
      <c r="U361" s="8" t="s">
        <v>1211</v>
      </c>
      <c r="V361" s="8" t="s">
        <v>1211</v>
      </c>
      <c r="W361" s="8" t="s">
        <v>1211</v>
      </c>
      <c r="X361" s="27" t="s">
        <v>1211</v>
      </c>
      <c r="Y361" s="27" t="s">
        <v>1211</v>
      </c>
      <c r="Z361" s="27" t="s">
        <v>1211</v>
      </c>
      <c r="AA361" s="27" t="s">
        <v>1211</v>
      </c>
      <c r="AB361" s="27" t="s">
        <v>1211</v>
      </c>
      <c r="AC361" s="27" t="s">
        <v>1211</v>
      </c>
      <c r="AD361" s="27" t="s">
        <v>1211</v>
      </c>
      <c r="AE361" s="27" t="s">
        <v>1211</v>
      </c>
      <c r="AF361" s="27" t="s">
        <v>1211</v>
      </c>
      <c r="AG361" s="27" t="s">
        <v>1211</v>
      </c>
      <c r="AH361" s="27"/>
      <c r="AI361" s="27" t="s">
        <v>1211</v>
      </c>
      <c r="AJ361" s="27"/>
      <c r="AK361" s="8"/>
      <c r="AL361" s="8"/>
      <c r="AM361" s="8"/>
      <c r="AN361" s="27"/>
      <c r="AO361" s="8"/>
      <c r="AP361" s="8"/>
      <c r="AQ361" s="27"/>
      <c r="AR361" s="27"/>
      <c r="AS361" s="27"/>
    </row>
    <row r="362" spans="1:45" ht="15.75" thickBot="1" x14ac:dyDescent="0.3">
      <c r="A362" s="51" t="s">
        <v>562</v>
      </c>
      <c r="B362" s="51" t="s">
        <v>751</v>
      </c>
      <c r="C362" s="51" t="s">
        <v>1399</v>
      </c>
      <c r="D362" s="51" t="s">
        <v>750</v>
      </c>
      <c r="E362" s="51" t="s">
        <v>102</v>
      </c>
      <c r="F362" s="51" t="s">
        <v>36</v>
      </c>
      <c r="G362" s="51"/>
      <c r="H362" s="51" t="s">
        <v>230</v>
      </c>
      <c r="I362" s="16">
        <v>-347807260000</v>
      </c>
      <c r="J362" s="16">
        <v>-582820830000</v>
      </c>
      <c r="K362" s="51" t="s">
        <v>1149</v>
      </c>
      <c r="L362" s="53">
        <f t="shared" si="23"/>
        <v>11</v>
      </c>
      <c r="M362" s="17">
        <f t="shared" si="24"/>
        <v>19</v>
      </c>
      <c r="N362" s="18">
        <f t="shared" si="25"/>
        <v>0.36666666666666664</v>
      </c>
      <c r="O362" s="27" t="s">
        <v>1211</v>
      </c>
      <c r="P362" s="8" t="s">
        <v>1211</v>
      </c>
      <c r="Q362" s="8" t="s">
        <v>1211</v>
      </c>
      <c r="R362" s="8" t="s">
        <v>1211</v>
      </c>
      <c r="S362" s="27" t="s">
        <v>1211</v>
      </c>
      <c r="T362" s="27"/>
      <c r="U362" s="8" t="s">
        <v>1211</v>
      </c>
      <c r="V362" s="8" t="s">
        <v>1211</v>
      </c>
      <c r="W362" s="8" t="s">
        <v>1211</v>
      </c>
      <c r="X362" s="27" t="s">
        <v>1211</v>
      </c>
      <c r="Y362" s="27" t="s">
        <v>1211</v>
      </c>
      <c r="Z362" s="27" t="s">
        <v>1211</v>
      </c>
      <c r="AA362" s="27" t="s">
        <v>1211</v>
      </c>
      <c r="AB362" s="27" t="s">
        <v>1211</v>
      </c>
      <c r="AC362" s="27" t="s">
        <v>1211</v>
      </c>
      <c r="AD362" s="27" t="s">
        <v>1211</v>
      </c>
      <c r="AE362" s="27" t="s">
        <v>1211</v>
      </c>
      <c r="AF362" s="27" t="s">
        <v>1211</v>
      </c>
      <c r="AG362" s="27" t="s">
        <v>1211</v>
      </c>
      <c r="AH362" s="27"/>
      <c r="AI362" s="27" t="s">
        <v>1211</v>
      </c>
      <c r="AJ362" s="27"/>
      <c r="AK362" s="8"/>
      <c r="AL362" s="8"/>
      <c r="AM362" s="8"/>
      <c r="AN362" s="27"/>
      <c r="AO362" s="8"/>
      <c r="AP362" s="8"/>
      <c r="AQ362" s="27"/>
      <c r="AR362" s="27"/>
      <c r="AS362" s="27"/>
    </row>
    <row r="363" spans="1:45" ht="15.75" thickBot="1" x14ac:dyDescent="0.3">
      <c r="A363" s="51" t="s">
        <v>562</v>
      </c>
      <c r="B363" s="51" t="s">
        <v>752</v>
      </c>
      <c r="C363" s="51"/>
      <c r="D363" s="51" t="s">
        <v>753</v>
      </c>
      <c r="E363" s="51" t="s">
        <v>102</v>
      </c>
      <c r="F363" s="51" t="s">
        <v>36</v>
      </c>
      <c r="G363" s="51" t="s">
        <v>754</v>
      </c>
      <c r="H363" s="51" t="s">
        <v>745</v>
      </c>
      <c r="I363" s="16">
        <v>-347798010000</v>
      </c>
      <c r="J363" s="16">
        <v>-582870530000</v>
      </c>
      <c r="K363" s="51" t="s">
        <v>1152</v>
      </c>
      <c r="L363" s="53">
        <f t="shared" si="23"/>
        <v>26</v>
      </c>
      <c r="M363" s="17">
        <f t="shared" si="24"/>
        <v>4</v>
      </c>
      <c r="N363" s="18">
        <f t="shared" si="25"/>
        <v>0.8666666666666667</v>
      </c>
      <c r="O363" s="27" t="s">
        <v>1211</v>
      </c>
      <c r="P363" s="8" t="s">
        <v>1211</v>
      </c>
      <c r="Q363" s="8" t="s">
        <v>1211</v>
      </c>
      <c r="R363" s="8" t="s">
        <v>1211</v>
      </c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  <c r="AS363" s="27"/>
    </row>
    <row r="364" spans="1:45" ht="15.75" thickBot="1" x14ac:dyDescent="0.3">
      <c r="A364" s="51" t="s">
        <v>562</v>
      </c>
      <c r="B364" s="51" t="s">
        <v>755</v>
      </c>
      <c r="C364" s="51"/>
      <c r="D364" s="51" t="s">
        <v>753</v>
      </c>
      <c r="E364" s="51" t="s">
        <v>102</v>
      </c>
      <c r="F364" s="51" t="s">
        <v>36</v>
      </c>
      <c r="G364" s="51" t="s">
        <v>754</v>
      </c>
      <c r="H364" s="51" t="s">
        <v>745</v>
      </c>
      <c r="I364" s="16">
        <v>-347797690000</v>
      </c>
      <c r="J364" s="16">
        <v>-582869910000</v>
      </c>
      <c r="K364" s="51" t="s">
        <v>1153</v>
      </c>
      <c r="L364" s="53">
        <f t="shared" si="23"/>
        <v>30</v>
      </c>
      <c r="M364" s="17">
        <f t="shared" si="24"/>
        <v>0</v>
      </c>
      <c r="N364" s="18">
        <f t="shared" si="25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  <c r="AS364" s="27"/>
    </row>
    <row r="365" spans="1:45" ht="15.75" thickBot="1" x14ac:dyDescent="0.3">
      <c r="A365" s="51" t="s">
        <v>562</v>
      </c>
      <c r="B365" s="51" t="s">
        <v>756</v>
      </c>
      <c r="C365" s="51"/>
      <c r="D365" s="51" t="s">
        <v>757</v>
      </c>
      <c r="E365" s="51" t="s">
        <v>19</v>
      </c>
      <c r="F365" s="51" t="s">
        <v>36</v>
      </c>
      <c r="G365" s="51"/>
      <c r="H365" s="51" t="s">
        <v>237</v>
      </c>
      <c r="I365" s="16">
        <v>-347753360000</v>
      </c>
      <c r="J365" s="16">
        <v>-582834130000</v>
      </c>
      <c r="K365" s="51" t="s">
        <v>1155</v>
      </c>
      <c r="L365" s="53">
        <f t="shared" si="23"/>
        <v>30</v>
      </c>
      <c r="M365" s="17">
        <f t="shared" si="24"/>
        <v>0</v>
      </c>
      <c r="N365" s="18">
        <f t="shared" si="25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  <c r="AS365" s="27"/>
    </row>
    <row r="366" spans="1:45" ht="15.75" thickBot="1" x14ac:dyDescent="0.3">
      <c r="A366" s="51" t="s">
        <v>658</v>
      </c>
      <c r="B366" s="51" t="s">
        <v>758</v>
      </c>
      <c r="C366" s="51"/>
      <c r="D366" s="51" t="s">
        <v>759</v>
      </c>
      <c r="E366" s="51" t="s">
        <v>24</v>
      </c>
      <c r="F366" s="51" t="s">
        <v>36</v>
      </c>
      <c r="G366" s="51" t="s">
        <v>335</v>
      </c>
      <c r="H366" s="51"/>
      <c r="I366" s="16">
        <v>-347957790000</v>
      </c>
      <c r="J366" s="16">
        <v>-582557990000</v>
      </c>
      <c r="K366" s="51" t="s">
        <v>1156</v>
      </c>
      <c r="L366" s="53">
        <f t="shared" si="23"/>
        <v>30</v>
      </c>
      <c r="M366" s="17">
        <f t="shared" si="24"/>
        <v>0</v>
      </c>
      <c r="N366" s="18">
        <f t="shared" si="25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  <c r="AS366" s="27"/>
    </row>
    <row r="367" spans="1:45" ht="15.75" thickBot="1" x14ac:dyDescent="0.3">
      <c r="A367" s="51" t="s">
        <v>658</v>
      </c>
      <c r="B367" s="51" t="s">
        <v>760</v>
      </c>
      <c r="C367" s="51"/>
      <c r="D367" s="51" t="s">
        <v>761</v>
      </c>
      <c r="E367" s="51" t="s">
        <v>24</v>
      </c>
      <c r="F367" s="51" t="s">
        <v>25</v>
      </c>
      <c r="G367" s="51" t="s">
        <v>60</v>
      </c>
      <c r="H367" s="51" t="s">
        <v>762</v>
      </c>
      <c r="I367" s="16">
        <v>-347986250000</v>
      </c>
      <c r="J367" s="16">
        <v>-582551820000</v>
      </c>
      <c r="K367" s="51" t="s">
        <v>1157</v>
      </c>
      <c r="L367" s="53">
        <f t="shared" si="23"/>
        <v>30</v>
      </c>
      <c r="M367" s="17">
        <f t="shared" si="24"/>
        <v>0</v>
      </c>
      <c r="N367" s="18">
        <f t="shared" si="25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  <c r="AS367" s="27"/>
    </row>
    <row r="368" spans="1:45" ht="15.75" thickBot="1" x14ac:dyDescent="0.3">
      <c r="A368" s="51" t="s">
        <v>658</v>
      </c>
      <c r="B368" s="51" t="s">
        <v>763</v>
      </c>
      <c r="C368" s="51"/>
      <c r="D368" s="51" t="s">
        <v>764</v>
      </c>
      <c r="E368" s="51" t="s">
        <v>24</v>
      </c>
      <c r="F368" s="51" t="s">
        <v>25</v>
      </c>
      <c r="G368" s="51" t="s">
        <v>146</v>
      </c>
      <c r="H368" s="51"/>
      <c r="I368" s="16">
        <v>-348016910000</v>
      </c>
      <c r="J368" s="16">
        <v>-582610020000</v>
      </c>
      <c r="K368" s="51" t="s">
        <v>1158</v>
      </c>
      <c r="L368" s="53">
        <f t="shared" si="23"/>
        <v>30</v>
      </c>
      <c r="M368" s="17">
        <f t="shared" si="24"/>
        <v>0</v>
      </c>
      <c r="N368" s="18">
        <f t="shared" si="25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  <c r="AS368" s="27"/>
    </row>
    <row r="369" spans="1:45" ht="15.75" thickBot="1" x14ac:dyDescent="0.3">
      <c r="A369" s="51" t="s">
        <v>658</v>
      </c>
      <c r="B369" s="51" t="s">
        <v>765</v>
      </c>
      <c r="C369" s="51"/>
      <c r="D369" s="51" t="s">
        <v>766</v>
      </c>
      <c r="E369" s="51" t="s">
        <v>24</v>
      </c>
      <c r="F369" s="51" t="s">
        <v>1391</v>
      </c>
      <c r="G369" s="51" t="s">
        <v>60</v>
      </c>
      <c r="H369" s="51"/>
      <c r="I369" s="16">
        <v>-347937530000</v>
      </c>
      <c r="J369" s="16">
        <v>-582478490000</v>
      </c>
      <c r="K369" s="51" t="s">
        <v>1159</v>
      </c>
      <c r="L369" s="53">
        <f t="shared" si="23"/>
        <v>30</v>
      </c>
      <c r="M369" s="17">
        <f t="shared" si="24"/>
        <v>0</v>
      </c>
      <c r="N369" s="18">
        <f t="shared" si="25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  <c r="AS369" s="27"/>
    </row>
    <row r="370" spans="1:45" ht="15.75" thickBot="1" x14ac:dyDescent="0.3">
      <c r="A370" s="51" t="s">
        <v>652</v>
      </c>
      <c r="B370" s="51" t="s">
        <v>767</v>
      </c>
      <c r="C370" s="51"/>
      <c r="D370" s="51" t="s">
        <v>768</v>
      </c>
      <c r="E370" s="51" t="s">
        <v>24</v>
      </c>
      <c r="F370" s="51" t="s">
        <v>25</v>
      </c>
      <c r="G370" s="51" t="s">
        <v>769</v>
      </c>
      <c r="H370" s="51"/>
      <c r="I370" s="16">
        <v>-347994440000</v>
      </c>
      <c r="J370" s="16">
        <v>-582627080000</v>
      </c>
      <c r="K370" s="51" t="s">
        <v>1160</v>
      </c>
      <c r="L370" s="53">
        <f t="shared" si="23"/>
        <v>30</v>
      </c>
      <c r="M370" s="17">
        <f t="shared" si="24"/>
        <v>0</v>
      </c>
      <c r="N370" s="18">
        <f t="shared" si="25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</row>
    <row r="371" spans="1:45" ht="15.75" thickBot="1" x14ac:dyDescent="0.3">
      <c r="A371" s="51" t="s">
        <v>770</v>
      </c>
      <c r="B371" s="51" t="s">
        <v>771</v>
      </c>
      <c r="C371" s="51" t="s">
        <v>1400</v>
      </c>
      <c r="D371" s="51" t="s">
        <v>772</v>
      </c>
      <c r="E371" s="51" t="s">
        <v>19</v>
      </c>
      <c r="F371" s="51" t="s">
        <v>36</v>
      </c>
      <c r="G371" s="51"/>
      <c r="H371" s="51" t="s">
        <v>311</v>
      </c>
      <c r="I371" s="16">
        <v>-348374820000</v>
      </c>
      <c r="J371" s="16">
        <v>-582378510000</v>
      </c>
      <c r="K371" s="51" t="s">
        <v>1161</v>
      </c>
      <c r="L371" s="53">
        <f t="shared" si="23"/>
        <v>30</v>
      </c>
      <c r="M371" s="17">
        <f t="shared" si="24"/>
        <v>0</v>
      </c>
      <c r="N371" s="18">
        <f t="shared" si="25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</row>
    <row r="372" spans="1:45" ht="15.75" thickBot="1" x14ac:dyDescent="0.3">
      <c r="A372" s="51" t="s">
        <v>770</v>
      </c>
      <c r="B372" s="51" t="s">
        <v>773</v>
      </c>
      <c r="C372" s="51" t="s">
        <v>1400</v>
      </c>
      <c r="D372" s="51" t="s">
        <v>774</v>
      </c>
      <c r="E372" s="51" t="s">
        <v>19</v>
      </c>
      <c r="F372" s="51" t="s">
        <v>36</v>
      </c>
      <c r="G372" s="51"/>
      <c r="H372" s="51" t="s">
        <v>311</v>
      </c>
      <c r="I372" s="16">
        <v>-348349880000</v>
      </c>
      <c r="J372" s="16">
        <v>-582351700000</v>
      </c>
      <c r="K372" s="51" t="s">
        <v>1162</v>
      </c>
      <c r="L372" s="53">
        <f t="shared" si="23"/>
        <v>30</v>
      </c>
      <c r="M372" s="17">
        <f t="shared" si="24"/>
        <v>0</v>
      </c>
      <c r="N372" s="18">
        <f t="shared" si="25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</row>
    <row r="373" spans="1:45" s="51" customFormat="1" ht="15.75" thickBot="1" x14ac:dyDescent="0.3">
      <c r="A373" s="51" t="s">
        <v>770</v>
      </c>
      <c r="B373" s="51" t="s">
        <v>1376</v>
      </c>
      <c r="C373" s="51" t="s">
        <v>1400</v>
      </c>
      <c r="D373" s="51" t="s">
        <v>775</v>
      </c>
      <c r="E373" s="51" t="s">
        <v>102</v>
      </c>
      <c r="F373" s="51" t="s">
        <v>36</v>
      </c>
      <c r="H373" s="51" t="s">
        <v>230</v>
      </c>
      <c r="I373" s="16">
        <v>-348382350000</v>
      </c>
      <c r="J373" s="16">
        <v>-582372950000</v>
      </c>
      <c r="K373" s="51" t="s">
        <v>1163</v>
      </c>
      <c r="L373" s="53">
        <f t="shared" si="23"/>
        <v>29</v>
      </c>
      <c r="M373" s="53">
        <f t="shared" ref="M373:M379" si="26">COUNTIF(O373:AP373,"APAGADO")</f>
        <v>1</v>
      </c>
      <c r="N373" s="54">
        <f t="shared" ref="N373:N379" si="27">(L373)/(M373+L373)</f>
        <v>0.96666666666666667</v>
      </c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 t="s">
        <v>1211</v>
      </c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</row>
    <row r="374" spans="1:45" s="51" customFormat="1" ht="15.75" thickBot="1" x14ac:dyDescent="0.3">
      <c r="A374" s="51" t="s">
        <v>770</v>
      </c>
      <c r="B374" s="51" t="s">
        <v>1377</v>
      </c>
      <c r="C374" s="51" t="s">
        <v>1400</v>
      </c>
      <c r="D374" s="51" t="s">
        <v>775</v>
      </c>
      <c r="E374" s="51" t="s">
        <v>102</v>
      </c>
      <c r="F374" s="51" t="s">
        <v>36</v>
      </c>
      <c r="H374" s="51" t="s">
        <v>230</v>
      </c>
      <c r="I374" s="16">
        <v>-348382440000</v>
      </c>
      <c r="J374" s="16">
        <v>-582373030000</v>
      </c>
      <c r="K374" s="51" t="s">
        <v>1164</v>
      </c>
      <c r="L374" s="53">
        <f t="shared" si="23"/>
        <v>29</v>
      </c>
      <c r="M374" s="53">
        <f t="shared" si="26"/>
        <v>1</v>
      </c>
      <c r="N374" s="54">
        <f t="shared" si="27"/>
        <v>0.96666666666666667</v>
      </c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 t="s">
        <v>1211</v>
      </c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</row>
    <row r="375" spans="1:45" s="51" customFormat="1" ht="15.75" thickBot="1" x14ac:dyDescent="0.3">
      <c r="A375" s="51" t="s">
        <v>776</v>
      </c>
      <c r="B375" s="51" t="s">
        <v>1378</v>
      </c>
      <c r="D375" s="51" t="s">
        <v>777</v>
      </c>
      <c r="E375" s="51" t="s">
        <v>102</v>
      </c>
      <c r="F375" s="51" t="s">
        <v>36</v>
      </c>
      <c r="H375" s="51" t="s">
        <v>778</v>
      </c>
      <c r="I375" s="16">
        <v>-348173980000</v>
      </c>
      <c r="J375" s="16">
        <v>-582515460000</v>
      </c>
      <c r="K375" s="51" t="s">
        <v>1165</v>
      </c>
      <c r="L375" s="53">
        <f t="shared" si="23"/>
        <v>29</v>
      </c>
      <c r="M375" s="53">
        <f t="shared" si="26"/>
        <v>1</v>
      </c>
      <c r="N375" s="54">
        <f t="shared" si="27"/>
        <v>0.96666666666666667</v>
      </c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 t="s">
        <v>1211</v>
      </c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</row>
    <row r="376" spans="1:45" s="51" customFormat="1" ht="15.75" thickBot="1" x14ac:dyDescent="0.3">
      <c r="A376" s="51" t="s">
        <v>776</v>
      </c>
      <c r="B376" s="51" t="s">
        <v>1379</v>
      </c>
      <c r="C376" s="51" t="s">
        <v>1400</v>
      </c>
      <c r="D376" s="51" t="s">
        <v>779</v>
      </c>
      <c r="E376" s="51" t="s">
        <v>19</v>
      </c>
      <c r="F376" s="51" t="s">
        <v>36</v>
      </c>
      <c r="H376" s="51" t="s">
        <v>230</v>
      </c>
      <c r="I376" s="16">
        <v>-348108560000</v>
      </c>
      <c r="J376" s="16">
        <v>-582592810000</v>
      </c>
      <c r="K376" s="51" t="s">
        <v>1166</v>
      </c>
      <c r="L376" s="53">
        <f t="shared" si="23"/>
        <v>29</v>
      </c>
      <c r="M376" s="53">
        <f t="shared" si="26"/>
        <v>1</v>
      </c>
      <c r="N376" s="54">
        <f t="shared" si="27"/>
        <v>0.96666666666666667</v>
      </c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 t="s">
        <v>1211</v>
      </c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</row>
    <row r="377" spans="1:45" s="51" customFormat="1" ht="15.75" thickBot="1" x14ac:dyDescent="0.3">
      <c r="A377" s="51" t="s">
        <v>776</v>
      </c>
      <c r="B377" s="51" t="s">
        <v>780</v>
      </c>
      <c r="C377" s="51" t="s">
        <v>1400</v>
      </c>
      <c r="D377" s="51" t="s">
        <v>781</v>
      </c>
      <c r="E377" s="51" t="s">
        <v>102</v>
      </c>
      <c r="F377" s="51" t="s">
        <v>36</v>
      </c>
      <c r="H377" s="51" t="s">
        <v>782</v>
      </c>
      <c r="I377" s="16">
        <v>-348173990000</v>
      </c>
      <c r="J377" s="16">
        <v>-582515250000</v>
      </c>
      <c r="K377" s="51" t="s">
        <v>1167</v>
      </c>
      <c r="L377" s="53">
        <f t="shared" si="23"/>
        <v>30</v>
      </c>
      <c r="M377" s="53">
        <f t="shared" si="26"/>
        <v>0</v>
      </c>
      <c r="N377" s="54">
        <f t="shared" si="27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</row>
    <row r="378" spans="1:45" s="51" customFormat="1" ht="15.75" thickBot="1" x14ac:dyDescent="0.3">
      <c r="A378" s="51" t="s">
        <v>776</v>
      </c>
      <c r="B378" s="51" t="s">
        <v>783</v>
      </c>
      <c r="C378" s="51" t="s">
        <v>1400</v>
      </c>
      <c r="D378" s="51" t="s">
        <v>784</v>
      </c>
      <c r="E378" s="51" t="s">
        <v>19</v>
      </c>
      <c r="F378" s="51" t="s">
        <v>36</v>
      </c>
      <c r="H378" s="51" t="s">
        <v>782</v>
      </c>
      <c r="I378" s="16">
        <v>-348116860000</v>
      </c>
      <c r="J378" s="16">
        <v>-582556310000</v>
      </c>
      <c r="K378" s="51" t="s">
        <v>1168</v>
      </c>
      <c r="L378" s="53">
        <f t="shared" si="23"/>
        <v>28</v>
      </c>
      <c r="M378" s="53">
        <f t="shared" si="26"/>
        <v>2</v>
      </c>
      <c r="N378" s="54">
        <f t="shared" si="27"/>
        <v>0.93333333333333335</v>
      </c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 t="s">
        <v>1211</v>
      </c>
      <c r="AF378" s="27"/>
      <c r="AG378" s="27"/>
      <c r="AH378" s="27"/>
      <c r="AI378" s="27" t="s">
        <v>1211</v>
      </c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</row>
    <row r="379" spans="1:45" s="51" customFormat="1" ht="15.75" thickBot="1" x14ac:dyDescent="0.3">
      <c r="A379" s="51" t="s">
        <v>776</v>
      </c>
      <c r="B379" s="51" t="s">
        <v>785</v>
      </c>
      <c r="C379" s="51" t="s">
        <v>1400</v>
      </c>
      <c r="D379" s="51" t="s">
        <v>786</v>
      </c>
      <c r="E379" s="51" t="s">
        <v>19</v>
      </c>
      <c r="F379" s="51" t="s">
        <v>36</v>
      </c>
      <c r="H379" s="51" t="s">
        <v>782</v>
      </c>
      <c r="I379" s="16">
        <v>-348113810000</v>
      </c>
      <c r="J379" s="16">
        <v>-582573240000</v>
      </c>
      <c r="K379" s="51" t="s">
        <v>1169</v>
      </c>
      <c r="L379" s="53">
        <f t="shared" si="23"/>
        <v>29</v>
      </c>
      <c r="M379" s="53">
        <f t="shared" si="26"/>
        <v>1</v>
      </c>
      <c r="N379" s="54">
        <f t="shared" si="27"/>
        <v>0.96666666666666667</v>
      </c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 t="s">
        <v>1211</v>
      </c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</row>
    <row r="380" spans="1:45" ht="15.75" thickBot="1" x14ac:dyDescent="0.3">
      <c r="A380" s="51" t="s">
        <v>253</v>
      </c>
      <c r="B380" s="51" t="s">
        <v>787</v>
      </c>
      <c r="C380" s="51" t="s">
        <v>1400</v>
      </c>
      <c r="D380" s="51" t="s">
        <v>1380</v>
      </c>
      <c r="E380" s="51" t="s">
        <v>24</v>
      </c>
      <c r="F380" s="51" t="s">
        <v>25</v>
      </c>
      <c r="G380" s="51" t="s">
        <v>638</v>
      </c>
      <c r="H380" s="51"/>
      <c r="I380" s="16">
        <v>-348336200000</v>
      </c>
      <c r="J380" s="16">
        <v>-582709260000</v>
      </c>
      <c r="K380" s="51" t="s">
        <v>1170</v>
      </c>
      <c r="L380" s="53">
        <f t="shared" ref="L380:L396" si="28">COUNTIF(O380:AR380,"")</f>
        <v>29</v>
      </c>
      <c r="M380" s="53">
        <f t="shared" ref="M380:M396" si="29">COUNTIF(O380:AP380,"APAGADO")</f>
        <v>1</v>
      </c>
      <c r="N380" s="54">
        <f t="shared" ref="N380:N396" si="30">(L380)/(M380+L380)</f>
        <v>0.96666666666666667</v>
      </c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 t="s">
        <v>1211</v>
      </c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</row>
    <row r="381" spans="1:45" ht="15.75" thickBot="1" x14ac:dyDescent="0.3">
      <c r="A381" s="51" t="s">
        <v>253</v>
      </c>
      <c r="B381" s="51" t="s">
        <v>1381</v>
      </c>
      <c r="C381" s="51" t="s">
        <v>1400</v>
      </c>
      <c r="D381" s="51" t="s">
        <v>1382</v>
      </c>
      <c r="E381" s="51" t="s">
        <v>102</v>
      </c>
      <c r="F381" s="51" t="s">
        <v>36</v>
      </c>
      <c r="G381" s="51"/>
      <c r="H381" s="51" t="s">
        <v>791</v>
      </c>
      <c r="I381" s="16">
        <v>-348368690000</v>
      </c>
      <c r="J381" s="16">
        <v>-582780410000</v>
      </c>
      <c r="K381" s="51" t="s">
        <v>1171</v>
      </c>
      <c r="L381" s="53">
        <f t="shared" si="28"/>
        <v>29</v>
      </c>
      <c r="M381" s="53">
        <f t="shared" si="29"/>
        <v>1</v>
      </c>
      <c r="N381" s="54">
        <f t="shared" si="30"/>
        <v>0.96666666666666667</v>
      </c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 t="s">
        <v>1211</v>
      </c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</row>
    <row r="382" spans="1:45" ht="15.75" thickBot="1" x14ac:dyDescent="0.3">
      <c r="A382" s="51" t="s">
        <v>253</v>
      </c>
      <c r="B382" s="51" t="s">
        <v>1383</v>
      </c>
      <c r="C382" s="51" t="s">
        <v>1400</v>
      </c>
      <c r="D382" s="51" t="s">
        <v>1382</v>
      </c>
      <c r="E382" s="51" t="s">
        <v>102</v>
      </c>
      <c r="F382" s="51" t="s">
        <v>36</v>
      </c>
      <c r="G382" s="51"/>
      <c r="H382" s="51" t="s">
        <v>792</v>
      </c>
      <c r="I382" s="16">
        <v>-348367000000</v>
      </c>
      <c r="J382" s="16">
        <v>-582781300000</v>
      </c>
      <c r="K382" s="51" t="s">
        <v>1172</v>
      </c>
      <c r="L382" s="53">
        <f t="shared" si="28"/>
        <v>29</v>
      </c>
      <c r="M382" s="53">
        <f t="shared" si="29"/>
        <v>1</v>
      </c>
      <c r="N382" s="54">
        <f t="shared" si="30"/>
        <v>0.96666666666666667</v>
      </c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 t="s">
        <v>1211</v>
      </c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</row>
    <row r="383" spans="1:45" ht="15.75" thickBot="1" x14ac:dyDescent="0.3">
      <c r="A383" s="51" t="s">
        <v>253</v>
      </c>
      <c r="B383" s="51" t="s">
        <v>1384</v>
      </c>
      <c r="C383" s="51" t="s">
        <v>1400</v>
      </c>
      <c r="D383" s="51" t="s">
        <v>1385</v>
      </c>
      <c r="E383" s="51" t="s">
        <v>19</v>
      </c>
      <c r="F383" s="51" t="s">
        <v>36</v>
      </c>
      <c r="G383" s="51"/>
      <c r="H383" s="51" t="s">
        <v>793</v>
      </c>
      <c r="I383" s="16">
        <v>-348375310000</v>
      </c>
      <c r="J383" s="16">
        <v>-582782110000</v>
      </c>
      <c r="K383" s="51" t="s">
        <v>1173</v>
      </c>
      <c r="L383" s="53">
        <f t="shared" si="28"/>
        <v>29</v>
      </c>
      <c r="M383" s="53">
        <f t="shared" si="29"/>
        <v>1</v>
      </c>
      <c r="N383" s="54">
        <f t="shared" si="30"/>
        <v>0.96666666666666667</v>
      </c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 t="s">
        <v>1211</v>
      </c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</row>
    <row r="384" spans="1:45" ht="15.75" thickBot="1" x14ac:dyDescent="0.3">
      <c r="A384" s="51" t="s">
        <v>253</v>
      </c>
      <c r="B384" s="51" t="s">
        <v>788</v>
      </c>
      <c r="C384" s="51" t="s">
        <v>1400</v>
      </c>
      <c r="D384" s="51" t="s">
        <v>1386</v>
      </c>
      <c r="E384" s="51" t="s">
        <v>19</v>
      </c>
      <c r="F384" s="51"/>
      <c r="G384" s="51" t="s">
        <v>789</v>
      </c>
      <c r="H384" s="51" t="s">
        <v>790</v>
      </c>
      <c r="I384" s="16">
        <v>-348339360000</v>
      </c>
      <c r="J384" s="16">
        <v>-582778770000</v>
      </c>
      <c r="K384" s="51"/>
      <c r="L384" s="53">
        <f t="shared" si="28"/>
        <v>29</v>
      </c>
      <c r="M384" s="53">
        <f t="shared" si="29"/>
        <v>1</v>
      </c>
      <c r="N384" s="54">
        <f t="shared" si="30"/>
        <v>0.96666666666666667</v>
      </c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 t="s">
        <v>1211</v>
      </c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</row>
    <row r="385" spans="1:45" ht="15.75" thickBot="1" x14ac:dyDescent="0.3">
      <c r="A385" s="51" t="s">
        <v>794</v>
      </c>
      <c r="B385" s="51" t="s">
        <v>1387</v>
      </c>
      <c r="C385" s="51" t="s">
        <v>1400</v>
      </c>
      <c r="D385" s="51" t="s">
        <v>796</v>
      </c>
      <c r="E385" s="51" t="s">
        <v>102</v>
      </c>
      <c r="F385" s="51" t="s">
        <v>36</v>
      </c>
      <c r="G385" s="51"/>
      <c r="H385" s="51" t="s">
        <v>797</v>
      </c>
      <c r="I385" s="16">
        <v>-348343990000</v>
      </c>
      <c r="J385" s="16">
        <v>-582802050000</v>
      </c>
      <c r="K385" s="51" t="s">
        <v>1175</v>
      </c>
      <c r="L385" s="53">
        <f t="shared" si="28"/>
        <v>28</v>
      </c>
      <c r="M385" s="53">
        <f t="shared" si="29"/>
        <v>2</v>
      </c>
      <c r="N385" s="54">
        <f t="shared" si="30"/>
        <v>0.93333333333333335</v>
      </c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 t="s">
        <v>1211</v>
      </c>
      <c r="AF385" s="27"/>
      <c r="AG385" s="27"/>
      <c r="AH385" s="27"/>
      <c r="AI385" s="27" t="s">
        <v>1211</v>
      </c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</row>
    <row r="386" spans="1:45" ht="15.75" thickBot="1" x14ac:dyDescent="0.3">
      <c r="A386" s="51" t="s">
        <v>794</v>
      </c>
      <c r="B386" s="51" t="s">
        <v>1388</v>
      </c>
      <c r="C386" s="51" t="s">
        <v>1400</v>
      </c>
      <c r="D386" s="51" t="s">
        <v>798</v>
      </c>
      <c r="E386" s="51" t="s">
        <v>102</v>
      </c>
      <c r="F386" s="51" t="s">
        <v>36</v>
      </c>
      <c r="G386" s="51"/>
      <c r="H386" s="51" t="s">
        <v>797</v>
      </c>
      <c r="I386" s="16">
        <v>-348350290000</v>
      </c>
      <c r="J386" s="16">
        <v>-582814190000</v>
      </c>
      <c r="K386" s="51" t="s">
        <v>1176</v>
      </c>
      <c r="L386" s="53">
        <f t="shared" si="28"/>
        <v>28</v>
      </c>
      <c r="M386" s="53">
        <f t="shared" si="29"/>
        <v>2</v>
      </c>
      <c r="N386" s="54">
        <f t="shared" si="30"/>
        <v>0.93333333333333335</v>
      </c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 t="s">
        <v>1211</v>
      </c>
      <c r="AF386" s="27"/>
      <c r="AG386" s="27"/>
      <c r="AH386" s="27"/>
      <c r="AI386" s="27" t="s">
        <v>1211</v>
      </c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</row>
    <row r="387" spans="1:45" ht="15.75" thickBot="1" x14ac:dyDescent="0.3">
      <c r="A387" s="51" t="s">
        <v>794</v>
      </c>
      <c r="B387" s="51" t="s">
        <v>795</v>
      </c>
      <c r="C387" s="51" t="s">
        <v>1400</v>
      </c>
      <c r="D387" s="51" t="s">
        <v>796</v>
      </c>
      <c r="E387" s="51" t="s">
        <v>102</v>
      </c>
      <c r="F387" s="51" t="s">
        <v>36</v>
      </c>
      <c r="G387" s="51"/>
      <c r="H387" s="51" t="s">
        <v>797</v>
      </c>
      <c r="I387" s="16">
        <v>-348344030000</v>
      </c>
      <c r="J387" s="16">
        <v>-582802100000</v>
      </c>
      <c r="K387" s="51" t="s">
        <v>1174</v>
      </c>
      <c r="L387" s="53">
        <f t="shared" si="28"/>
        <v>28</v>
      </c>
      <c r="M387" s="53">
        <f t="shared" si="29"/>
        <v>2</v>
      </c>
      <c r="N387" s="54">
        <f t="shared" si="30"/>
        <v>0.93333333333333335</v>
      </c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 t="s">
        <v>1211</v>
      </c>
      <c r="AF387" s="27"/>
      <c r="AG387" s="27"/>
      <c r="AH387" s="27"/>
      <c r="AI387" s="27" t="s">
        <v>1211</v>
      </c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</row>
    <row r="388" spans="1:45" ht="15.75" thickBot="1" x14ac:dyDescent="0.3">
      <c r="A388" s="51" t="s">
        <v>794</v>
      </c>
      <c r="B388" s="51" t="s">
        <v>799</v>
      </c>
      <c r="C388" s="51" t="s">
        <v>1400</v>
      </c>
      <c r="D388" s="51" t="s">
        <v>798</v>
      </c>
      <c r="E388" s="51" t="s">
        <v>102</v>
      </c>
      <c r="F388" s="51" t="s">
        <v>36</v>
      </c>
      <c r="G388" s="51"/>
      <c r="H388" s="51" t="s">
        <v>797</v>
      </c>
      <c r="I388" s="16">
        <v>-348350240000</v>
      </c>
      <c r="J388" s="16">
        <v>-582814080000</v>
      </c>
      <c r="K388" s="51" t="s">
        <v>1177</v>
      </c>
      <c r="L388" s="53">
        <f t="shared" si="28"/>
        <v>28</v>
      </c>
      <c r="M388" s="53">
        <f t="shared" si="29"/>
        <v>2</v>
      </c>
      <c r="N388" s="54">
        <f t="shared" si="30"/>
        <v>0.93333333333333335</v>
      </c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 t="s">
        <v>1211</v>
      </c>
      <c r="AF388" s="27"/>
      <c r="AG388" s="27"/>
      <c r="AH388" s="27"/>
      <c r="AI388" s="27" t="s">
        <v>1211</v>
      </c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</row>
    <row r="389" spans="1:45" ht="15.75" thickBot="1" x14ac:dyDescent="0.3">
      <c r="A389" s="51" t="s">
        <v>800</v>
      </c>
      <c r="B389" s="51" t="s">
        <v>801</v>
      </c>
      <c r="C389" s="51" t="s">
        <v>1400</v>
      </c>
      <c r="D389" s="51" t="s">
        <v>802</v>
      </c>
      <c r="E389" s="51" t="s">
        <v>19</v>
      </c>
      <c r="F389" s="51" t="s">
        <v>36</v>
      </c>
      <c r="G389" s="51"/>
      <c r="H389" s="51" t="s">
        <v>311</v>
      </c>
      <c r="I389" s="16">
        <v>-348331020000</v>
      </c>
      <c r="J389" s="16">
        <v>-582411500000</v>
      </c>
      <c r="K389" s="51" t="s">
        <v>1178</v>
      </c>
      <c r="L389" s="53">
        <f t="shared" si="28"/>
        <v>29</v>
      </c>
      <c r="M389" s="53">
        <f t="shared" si="29"/>
        <v>1</v>
      </c>
      <c r="N389" s="54">
        <f t="shared" si="30"/>
        <v>0.96666666666666667</v>
      </c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 t="s">
        <v>1211</v>
      </c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</row>
    <row r="390" spans="1:45" ht="15.75" thickBot="1" x14ac:dyDescent="0.3">
      <c r="A390" s="51" t="s">
        <v>803</v>
      </c>
      <c r="B390" s="51" t="s">
        <v>805</v>
      </c>
      <c r="C390" s="51"/>
      <c r="D390" s="51" t="s">
        <v>806</v>
      </c>
      <c r="E390" s="51" t="s">
        <v>19</v>
      </c>
      <c r="F390" s="51" t="s">
        <v>25</v>
      </c>
      <c r="G390" s="51"/>
      <c r="H390" s="51" t="s">
        <v>807</v>
      </c>
      <c r="I390" s="16">
        <v>-348118850000</v>
      </c>
      <c r="J390" s="16">
        <v>-582790580000</v>
      </c>
      <c r="K390" s="51" t="s">
        <v>1180</v>
      </c>
      <c r="L390" s="53">
        <f t="shared" si="28"/>
        <v>29</v>
      </c>
      <c r="M390" s="53">
        <f t="shared" si="29"/>
        <v>1</v>
      </c>
      <c r="N390" s="54">
        <f t="shared" si="30"/>
        <v>0.96666666666666667</v>
      </c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 t="s">
        <v>1211</v>
      </c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</row>
    <row r="391" spans="1:45" ht="15.75" thickBot="1" x14ac:dyDescent="0.3">
      <c r="A391" s="51" t="s">
        <v>803</v>
      </c>
      <c r="B391" s="51" t="s">
        <v>808</v>
      </c>
      <c r="C391" s="51"/>
      <c r="D391" s="51" t="s">
        <v>809</v>
      </c>
      <c r="E391" s="51" t="s">
        <v>19</v>
      </c>
      <c r="F391" s="51" t="s">
        <v>25</v>
      </c>
      <c r="G391" s="51"/>
      <c r="H391" s="51" t="s">
        <v>33</v>
      </c>
      <c r="I391" s="16">
        <v>-348151300000</v>
      </c>
      <c r="J391" s="16">
        <v>-582798970000</v>
      </c>
      <c r="K391" s="51" t="s">
        <v>1181</v>
      </c>
      <c r="L391" s="53">
        <f t="shared" si="28"/>
        <v>29</v>
      </c>
      <c r="M391" s="53">
        <f t="shared" si="29"/>
        <v>1</v>
      </c>
      <c r="N391" s="54">
        <f t="shared" si="30"/>
        <v>0.96666666666666667</v>
      </c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 t="s">
        <v>1211</v>
      </c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</row>
    <row r="392" spans="1:45" ht="15.75" thickBot="1" x14ac:dyDescent="0.3">
      <c r="A392" s="51" t="s">
        <v>803</v>
      </c>
      <c r="B392" s="51" t="s">
        <v>1389</v>
      </c>
      <c r="C392" s="51" t="s">
        <v>1400</v>
      </c>
      <c r="D392" s="51" t="s">
        <v>804</v>
      </c>
      <c r="E392" s="51" t="s">
        <v>19</v>
      </c>
      <c r="F392" s="51" t="s">
        <v>25</v>
      </c>
      <c r="G392" s="51"/>
      <c r="H392" s="51" t="s">
        <v>626</v>
      </c>
      <c r="I392" s="16">
        <v>-348140350000</v>
      </c>
      <c r="J392" s="16">
        <v>-582788310000</v>
      </c>
      <c r="K392" s="51" t="s">
        <v>1179</v>
      </c>
      <c r="L392" s="53">
        <f t="shared" si="28"/>
        <v>29</v>
      </c>
      <c r="M392" s="53">
        <f t="shared" si="29"/>
        <v>1</v>
      </c>
      <c r="N392" s="54">
        <f t="shared" si="30"/>
        <v>0.96666666666666667</v>
      </c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 t="s">
        <v>1211</v>
      </c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</row>
    <row r="393" spans="1:45" ht="15.75" thickBot="1" x14ac:dyDescent="0.3">
      <c r="A393" s="51" t="s">
        <v>812</v>
      </c>
      <c r="B393" s="51" t="s">
        <v>810</v>
      </c>
      <c r="C393" s="51"/>
      <c r="D393" s="51" t="s">
        <v>811</v>
      </c>
      <c r="E393" s="51" t="s">
        <v>24</v>
      </c>
      <c r="F393" s="51" t="s">
        <v>25</v>
      </c>
      <c r="G393" s="51"/>
      <c r="H393" s="51"/>
      <c r="I393" s="16">
        <v>-348017000000</v>
      </c>
      <c r="J393" s="16">
        <v>-582624610000</v>
      </c>
      <c r="K393" s="51" t="s">
        <v>1185</v>
      </c>
      <c r="L393" s="53">
        <f t="shared" si="28"/>
        <v>29</v>
      </c>
      <c r="M393" s="53">
        <f t="shared" si="29"/>
        <v>1</v>
      </c>
      <c r="N393" s="54">
        <f t="shared" si="30"/>
        <v>0.96666666666666667</v>
      </c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 t="s">
        <v>1211</v>
      </c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</row>
    <row r="394" spans="1:45" ht="15.75" thickBot="1" x14ac:dyDescent="0.3">
      <c r="A394" s="51" t="s">
        <v>812</v>
      </c>
      <c r="B394" s="51" t="s">
        <v>813</v>
      </c>
      <c r="C394" s="51"/>
      <c r="D394" s="51" t="s">
        <v>814</v>
      </c>
      <c r="E394" s="51" t="s">
        <v>24</v>
      </c>
      <c r="F394" s="51" t="s">
        <v>25</v>
      </c>
      <c r="G394" s="51" t="s">
        <v>717</v>
      </c>
      <c r="H394" s="51"/>
      <c r="I394" s="16">
        <v>-348108520000</v>
      </c>
      <c r="J394" s="16">
        <v>-582564000000</v>
      </c>
      <c r="K394" s="51" t="s">
        <v>1182</v>
      </c>
      <c r="L394" s="53">
        <f t="shared" si="28"/>
        <v>29</v>
      </c>
      <c r="M394" s="53">
        <f t="shared" si="29"/>
        <v>1</v>
      </c>
      <c r="N394" s="54">
        <f t="shared" si="30"/>
        <v>0.96666666666666667</v>
      </c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 t="s">
        <v>1211</v>
      </c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</row>
    <row r="395" spans="1:45" ht="15.75" thickBot="1" x14ac:dyDescent="0.3">
      <c r="A395" s="51" t="s">
        <v>433</v>
      </c>
      <c r="B395" s="51" t="s">
        <v>815</v>
      </c>
      <c r="C395" s="51"/>
      <c r="D395" s="51" t="s">
        <v>816</v>
      </c>
      <c r="E395" s="51" t="s">
        <v>24</v>
      </c>
      <c r="F395" s="51" t="s">
        <v>25</v>
      </c>
      <c r="G395" s="51" t="s">
        <v>717</v>
      </c>
      <c r="H395" s="51"/>
      <c r="I395" s="16">
        <v>-348105440000</v>
      </c>
      <c r="J395" s="16">
        <v>-582580200000</v>
      </c>
      <c r="K395" s="51" t="s">
        <v>1183</v>
      </c>
      <c r="L395" s="53">
        <f t="shared" si="28"/>
        <v>29</v>
      </c>
      <c r="M395" s="53">
        <f t="shared" si="29"/>
        <v>1</v>
      </c>
      <c r="N395" s="54">
        <f t="shared" si="30"/>
        <v>0.96666666666666667</v>
      </c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 t="s">
        <v>1211</v>
      </c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</row>
    <row r="396" spans="1:45" ht="15.75" thickBot="1" x14ac:dyDescent="0.3">
      <c r="A396" s="51" t="s">
        <v>812</v>
      </c>
      <c r="B396" s="51" t="s">
        <v>817</v>
      </c>
      <c r="C396" s="51"/>
      <c r="D396" s="51" t="s">
        <v>818</v>
      </c>
      <c r="E396" s="51" t="s">
        <v>19</v>
      </c>
      <c r="F396" s="51" t="s">
        <v>25</v>
      </c>
      <c r="G396" s="51"/>
      <c r="H396" s="51" t="s">
        <v>819</v>
      </c>
      <c r="I396" s="16">
        <v>-348006770000</v>
      </c>
      <c r="J396" s="16">
        <v>-582652130000</v>
      </c>
      <c r="K396" s="51" t="s">
        <v>1184</v>
      </c>
      <c r="L396" s="53">
        <f t="shared" si="28"/>
        <v>29</v>
      </c>
      <c r="M396" s="53">
        <f t="shared" si="29"/>
        <v>1</v>
      </c>
      <c r="N396" s="54">
        <f t="shared" si="30"/>
        <v>0.96666666666666667</v>
      </c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 t="s">
        <v>1211</v>
      </c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</row>
    <row r="397" spans="1:45" x14ac:dyDescent="0.25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1:45" x14ac:dyDescent="0.25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1:45" x14ac:dyDescent="0.25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1:45" x14ac:dyDescent="0.25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25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25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25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25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25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25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25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25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25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25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25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25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25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25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25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25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25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25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25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25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25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25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25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25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25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25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25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25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25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25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25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25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25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25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25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25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25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25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25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25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25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25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25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25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25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25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25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25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25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25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25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25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25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25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25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25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25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25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25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25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25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25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25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25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25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25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25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25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25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25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25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25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25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25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25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25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25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25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25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25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25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25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25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25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25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25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25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25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25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25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25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25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25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25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25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25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25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25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25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25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25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25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25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25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25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25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25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25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25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25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25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25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25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25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25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25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25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25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25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25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25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25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25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25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25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25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25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25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25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25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25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25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25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25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25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25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25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25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25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25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25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25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25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25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25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25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25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25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25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25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25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25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25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25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25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25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25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25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25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25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25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25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25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25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25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25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25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25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25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25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25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25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25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25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25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25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25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25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25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25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25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25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25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25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25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25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25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25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25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25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25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25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25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25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25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25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25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25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25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25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25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25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25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25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25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25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25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25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25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25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25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25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25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25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25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25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25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25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25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25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25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25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25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25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25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25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25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25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25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25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25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25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25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25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25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25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25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25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25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25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25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25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25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25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25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25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25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25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25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25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25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25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25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25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25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25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25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25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25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25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25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25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25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25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25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25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25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25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25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25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25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25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25">
      <c r="E673" s="9"/>
      <c r="F673" s="9"/>
      <c r="G673" s="9"/>
      <c r="H673" s="9"/>
      <c r="I673" s="9"/>
      <c r="J673" s="9"/>
      <c r="K673" s="28"/>
      <c r="N673" s="21"/>
    </row>
    <row r="674" spans="5:14" x14ac:dyDescent="0.25">
      <c r="E674" s="9"/>
      <c r="F674" s="9"/>
      <c r="G674" s="9"/>
      <c r="H674" s="9"/>
      <c r="I674" s="9"/>
      <c r="J674" s="9"/>
      <c r="K674" s="28"/>
      <c r="N674" s="21"/>
    </row>
    <row r="675" spans="5:14" x14ac:dyDescent="0.25">
      <c r="E675" s="9"/>
      <c r="F675" s="9"/>
      <c r="G675" s="9"/>
      <c r="H675" s="9"/>
      <c r="I675" s="9"/>
      <c r="J675" s="9"/>
      <c r="K675" s="28"/>
      <c r="N675" s="21"/>
    </row>
    <row r="676" spans="5:14" x14ac:dyDescent="0.25">
      <c r="N676" s="21"/>
    </row>
  </sheetData>
  <conditionalFormatting sqref="N4:N244 P236:U244 P247:U281 O95:O244 O247:O369 V96:X244 V247:X372 AK95:AP369 AR95:AR369 N245:X246 N247:N372 AA96:AJ372">
    <cfRule type="cellIs" dxfId="828" priority="2164" operator="lessThan">
      <formula>0.8</formula>
    </cfRule>
    <cfRule type="cellIs" dxfId="827" priority="2165" operator="greaterThan">
      <formula>0.8</formula>
    </cfRule>
  </conditionalFormatting>
  <conditionalFormatting sqref="E1:K3 E284:K334 E236:K236 E5:K32 E36:K91 E94:K230 E337:K364 E369:K372 E243:K281 E391:K1048576">
    <cfRule type="containsText" dxfId="826" priority="2163" operator="containsText" text="Radio">
      <formula>NOT(ISERROR(SEARCH("Radio",E1)))</formula>
    </cfRule>
  </conditionalFormatting>
  <conditionalFormatting sqref="P236:U244 P247:U281 O95:O244 O247:O372 V96:X244 V247:X372 O245:X246 AK95:AP372 V397:AP1048576 AR397:AR1048576 AR95:AR372 AA96:AJ372">
    <cfRule type="notContainsText" dxfId="825" priority="2159" operator="notContains" text="Caida">
      <formula>ISERROR(SEARCH("Caida",O95))</formula>
    </cfRule>
    <cfRule type="containsText" dxfId="824" priority="2160" operator="containsText" text="Caida">
      <formula>NOT(ISERROR(SEARCH("Caida",O95)))</formula>
    </cfRule>
  </conditionalFormatting>
  <conditionalFormatting sqref="E282:K282">
    <cfRule type="containsText" dxfId="823" priority="2132" operator="containsText" text="Radio">
      <formula>NOT(ISERROR(SEARCH("Radio",E282)))</formula>
    </cfRule>
  </conditionalFormatting>
  <conditionalFormatting sqref="E283:K283">
    <cfRule type="containsText" dxfId="822" priority="2107" operator="containsText" text="Radio">
      <formula>NOT(ISERROR(SEARCH("Radio",E283)))</formula>
    </cfRule>
  </conditionalFormatting>
  <conditionalFormatting sqref="E4:K4">
    <cfRule type="containsText" dxfId="821" priority="2082" operator="containsText" text="Radio">
      <formula>NOT(ISERROR(SEARCH("Radio",E4)))</formula>
    </cfRule>
  </conditionalFormatting>
  <conditionalFormatting sqref="E231:K231">
    <cfRule type="containsText" dxfId="820" priority="2081" operator="containsText" text="Radio">
      <formula>NOT(ISERROR(SEARCH("Radio",E231)))</formula>
    </cfRule>
  </conditionalFormatting>
  <conditionalFormatting sqref="E232:K232">
    <cfRule type="containsText" dxfId="819" priority="2056" operator="containsText" text="Radio">
      <formula>NOT(ISERROR(SEARCH("Radio",E232)))</formula>
    </cfRule>
  </conditionalFormatting>
  <conditionalFormatting sqref="E233:K233">
    <cfRule type="containsText" dxfId="818" priority="2031" operator="containsText" text="Radio">
      <formula>NOT(ISERROR(SEARCH("Radio",E233)))</formula>
    </cfRule>
  </conditionalFormatting>
  <conditionalFormatting sqref="E234:K234">
    <cfRule type="containsText" dxfId="817" priority="2006" operator="containsText" text="Radio">
      <formula>NOT(ISERROR(SEARCH("Radio",E234)))</formula>
    </cfRule>
  </conditionalFormatting>
  <conditionalFormatting sqref="E235:K235">
    <cfRule type="containsText" dxfId="816" priority="1981" operator="containsText" text="Radio">
      <formula>NOT(ISERROR(SEARCH("Radio",E235)))</formula>
    </cfRule>
  </conditionalFormatting>
  <conditionalFormatting sqref="E335:K335">
    <cfRule type="containsText" dxfId="815" priority="1932" operator="containsText" text="Radio">
      <formula>NOT(ISERROR(SEARCH("Radio",E335)))</formula>
    </cfRule>
  </conditionalFormatting>
  <conditionalFormatting sqref="E336:K336">
    <cfRule type="containsText" dxfId="814" priority="1907" operator="containsText" text="Radio">
      <formula>NOT(ISERROR(SEARCH("Radio",E336)))</formula>
    </cfRule>
  </conditionalFormatting>
  <conditionalFormatting sqref="E237:K237">
    <cfRule type="containsText" dxfId="813" priority="1882" operator="containsText" text="Radio">
      <formula>NOT(ISERROR(SEARCH("Radio",E237)))</formula>
    </cfRule>
  </conditionalFormatting>
  <conditionalFormatting sqref="E238:K238">
    <cfRule type="containsText" dxfId="812" priority="1857" operator="containsText" text="Radio">
      <formula>NOT(ISERROR(SEARCH("Radio",E238)))</formula>
    </cfRule>
  </conditionalFormatting>
  <conditionalFormatting sqref="E33:K35">
    <cfRule type="containsText" dxfId="811" priority="1832" operator="containsText" text="Radio">
      <formula>NOT(ISERROR(SEARCH("Radio",E33)))</formula>
    </cfRule>
  </conditionalFormatting>
  <conditionalFormatting sqref="E239:K239">
    <cfRule type="containsText" dxfId="810" priority="1807" operator="containsText" text="Radio">
      <formula>NOT(ISERROR(SEARCH("Radio",E239)))</formula>
    </cfRule>
  </conditionalFormatting>
  <conditionalFormatting sqref="E240:K240">
    <cfRule type="containsText" dxfId="809" priority="1782" operator="containsText" text="Radio">
      <formula>NOT(ISERROR(SEARCH("Radio",E240)))</formula>
    </cfRule>
  </conditionalFormatting>
  <conditionalFormatting sqref="E241:K241">
    <cfRule type="containsText" dxfId="808" priority="1757" operator="containsText" text="Radio">
      <formula>NOT(ISERROR(SEARCH("Radio",E241)))</formula>
    </cfRule>
  </conditionalFormatting>
  <conditionalFormatting sqref="E242:K242">
    <cfRule type="containsText" dxfId="807" priority="1732" operator="containsText" text="Radio">
      <formula>NOT(ISERROR(SEARCH("Radio",E242)))</formula>
    </cfRule>
  </conditionalFormatting>
  <conditionalFormatting sqref="P6:P92 P96:P230">
    <cfRule type="cellIs" dxfId="806" priority="1657" operator="lessThan">
      <formula>0.8</formula>
    </cfRule>
    <cfRule type="cellIs" dxfId="805" priority="1658" operator="greaterThan">
      <formula>0.8</formula>
    </cfRule>
  </conditionalFormatting>
  <conditionalFormatting sqref="P6:P92 P96:P230">
    <cfRule type="notContainsText" dxfId="804" priority="1655" operator="notContains" text="Caida">
      <formula>ISERROR(SEARCH("Caida",P6))</formula>
    </cfRule>
    <cfRule type="containsText" dxfId="803" priority="1656" operator="containsText" text="Caida">
      <formula>NOT(ISERROR(SEARCH("Caida",P6)))</formula>
    </cfRule>
  </conditionalFormatting>
  <conditionalFormatting sqref="P337:P366 P284:P334">
    <cfRule type="cellIs" dxfId="802" priority="1653" operator="lessThan">
      <formula>0.8</formula>
    </cfRule>
    <cfRule type="cellIs" dxfId="801" priority="1654" operator="greaterThan">
      <formula>0.8</formula>
    </cfRule>
  </conditionalFormatting>
  <conditionalFormatting sqref="P337:P366 P284:P334 P397:P1048576">
    <cfRule type="notContainsText" dxfId="800" priority="1651" operator="notContains" text="Caida">
      <formula>ISERROR(SEARCH("Caida",P284))</formula>
    </cfRule>
    <cfRule type="containsText" dxfId="799" priority="1652" operator="containsText" text="Caida">
      <formula>NOT(ISERROR(SEARCH("Caida",P284)))</formula>
    </cfRule>
  </conditionalFormatting>
  <conditionalFormatting sqref="O397:O1048576">
    <cfRule type="notContainsText" dxfId="798" priority="1700" operator="notContains" text="Caida">
      <formula>ISERROR(SEARCH("Caida",O397))</formula>
    </cfRule>
    <cfRule type="containsText" dxfId="797" priority="1701" operator="containsText" text="Caida">
      <formula>NOT(ISERROR(SEARCH("Caida",O397)))</formula>
    </cfRule>
  </conditionalFormatting>
  <conditionalFormatting sqref="P336">
    <cfRule type="cellIs" dxfId="796" priority="1612" operator="lessThan">
      <formula>0.8</formula>
    </cfRule>
    <cfRule type="cellIs" dxfId="795" priority="1613" operator="greaterThan">
      <formula>0.8</formula>
    </cfRule>
  </conditionalFormatting>
  <conditionalFormatting sqref="P336">
    <cfRule type="notContainsText" dxfId="794" priority="1610" operator="notContains" text="Caida">
      <formula>ISERROR(SEARCH("Caida",P336))</formula>
    </cfRule>
    <cfRule type="containsText" dxfId="793" priority="1611" operator="containsText" text="Caida">
      <formula>NOT(ISERROR(SEARCH("Caida",P336)))</formula>
    </cfRule>
  </conditionalFormatting>
  <conditionalFormatting sqref="P22">
    <cfRule type="containsText" dxfId="792" priority="1650" operator="containsText" text="Instaladas en Funcionamiento Caida">
      <formula>NOT(ISERROR(SEARCH("Instaladas en Funcionamiento Caida",P22)))</formula>
    </cfRule>
  </conditionalFormatting>
  <conditionalFormatting sqref="P282">
    <cfRule type="cellIs" dxfId="791" priority="1648" operator="lessThan">
      <formula>0.8</formula>
    </cfRule>
    <cfRule type="cellIs" dxfId="790" priority="1649" operator="greaterThan">
      <formula>0.8</formula>
    </cfRule>
  </conditionalFormatting>
  <conditionalFormatting sqref="P282">
    <cfRule type="notContainsText" dxfId="789" priority="1646" operator="notContains" text="Caida">
      <formula>ISERROR(SEARCH("Caida",P282))</formula>
    </cfRule>
    <cfRule type="containsText" dxfId="788" priority="1647" operator="containsText" text="Caida">
      <formula>NOT(ISERROR(SEARCH("Caida",P282)))</formula>
    </cfRule>
  </conditionalFormatting>
  <conditionalFormatting sqref="P283">
    <cfRule type="cellIs" dxfId="787" priority="1644" operator="lessThan">
      <formula>0.8</formula>
    </cfRule>
    <cfRule type="cellIs" dxfId="786" priority="1645" operator="greaterThan">
      <formula>0.8</formula>
    </cfRule>
  </conditionalFormatting>
  <conditionalFormatting sqref="P283">
    <cfRule type="notContainsText" dxfId="785" priority="1642" operator="notContains" text="Caida">
      <formula>ISERROR(SEARCH("Caida",P283))</formula>
    </cfRule>
    <cfRule type="containsText" dxfId="784" priority="1643" operator="containsText" text="Caida">
      <formula>NOT(ISERROR(SEARCH("Caida",P283)))</formula>
    </cfRule>
  </conditionalFormatting>
  <conditionalFormatting sqref="P5">
    <cfRule type="cellIs" dxfId="783" priority="1640" operator="lessThan">
      <formula>0.8</formula>
    </cfRule>
    <cfRule type="cellIs" dxfId="782" priority="1641" operator="greaterThan">
      <formula>0.8</formula>
    </cfRule>
  </conditionalFormatting>
  <conditionalFormatting sqref="P5">
    <cfRule type="notContainsText" dxfId="781" priority="1638" operator="notContains" text="Caida">
      <formula>ISERROR(SEARCH("Caida",P5))</formula>
    </cfRule>
    <cfRule type="containsText" dxfId="780" priority="1639" operator="containsText" text="Caida">
      <formula>NOT(ISERROR(SEARCH("Caida",P5)))</formula>
    </cfRule>
  </conditionalFormatting>
  <conditionalFormatting sqref="P231">
    <cfRule type="cellIs" dxfId="779" priority="1636" operator="lessThan">
      <formula>0.8</formula>
    </cfRule>
    <cfRule type="cellIs" dxfId="778" priority="1637" operator="greaterThan">
      <formula>0.8</formula>
    </cfRule>
  </conditionalFormatting>
  <conditionalFormatting sqref="P231">
    <cfRule type="notContainsText" dxfId="777" priority="1634" operator="notContains" text="Caida">
      <formula>ISERROR(SEARCH("Caida",P231))</formula>
    </cfRule>
    <cfRule type="containsText" dxfId="776" priority="1635" operator="containsText" text="Caida">
      <formula>NOT(ISERROR(SEARCH("Caida",P231)))</formula>
    </cfRule>
  </conditionalFormatting>
  <conditionalFormatting sqref="P232">
    <cfRule type="cellIs" dxfId="775" priority="1632" operator="lessThan">
      <formula>0.8</formula>
    </cfRule>
    <cfRule type="cellIs" dxfId="774" priority="1633" operator="greaterThan">
      <formula>0.8</formula>
    </cfRule>
  </conditionalFormatting>
  <conditionalFormatting sqref="P232">
    <cfRule type="notContainsText" dxfId="773" priority="1630" operator="notContains" text="Caida">
      <formula>ISERROR(SEARCH("Caida",P232))</formula>
    </cfRule>
    <cfRule type="containsText" dxfId="772" priority="1631" operator="containsText" text="Caida">
      <formula>NOT(ISERROR(SEARCH("Caida",P232)))</formula>
    </cfRule>
  </conditionalFormatting>
  <conditionalFormatting sqref="P233">
    <cfRule type="cellIs" dxfId="771" priority="1628" operator="lessThan">
      <formula>0.8</formula>
    </cfRule>
    <cfRule type="cellIs" dxfId="770" priority="1629" operator="greaterThan">
      <formula>0.8</formula>
    </cfRule>
  </conditionalFormatting>
  <conditionalFormatting sqref="P233">
    <cfRule type="notContainsText" dxfId="769" priority="1626" operator="notContains" text="Caida">
      <formula>ISERROR(SEARCH("Caida",P233))</formula>
    </cfRule>
    <cfRule type="containsText" dxfId="768" priority="1627" operator="containsText" text="Caida">
      <formula>NOT(ISERROR(SEARCH("Caida",P233)))</formula>
    </cfRule>
  </conditionalFormatting>
  <conditionalFormatting sqref="P234">
    <cfRule type="cellIs" dxfId="767" priority="1624" operator="lessThan">
      <formula>0.8</formula>
    </cfRule>
    <cfRule type="cellIs" dxfId="766" priority="1625" operator="greaterThan">
      <formula>0.8</formula>
    </cfRule>
  </conditionalFormatting>
  <conditionalFormatting sqref="P234">
    <cfRule type="notContainsText" dxfId="765" priority="1622" operator="notContains" text="Caida">
      <formula>ISERROR(SEARCH("Caida",P234))</formula>
    </cfRule>
    <cfRule type="containsText" dxfId="764" priority="1623" operator="containsText" text="Caida">
      <formula>NOT(ISERROR(SEARCH("Caida",P234)))</formula>
    </cfRule>
  </conditionalFormatting>
  <conditionalFormatting sqref="P235">
    <cfRule type="cellIs" dxfId="763" priority="1620" operator="lessThan">
      <formula>0.8</formula>
    </cfRule>
    <cfRule type="cellIs" dxfId="762" priority="1621" operator="greaterThan">
      <formula>0.8</formula>
    </cfRule>
  </conditionalFormatting>
  <conditionalFormatting sqref="P235">
    <cfRule type="notContainsText" dxfId="761" priority="1618" operator="notContains" text="Caida">
      <formula>ISERROR(SEARCH("Caida",P235))</formula>
    </cfRule>
    <cfRule type="containsText" dxfId="760" priority="1619" operator="containsText" text="Caida">
      <formula>NOT(ISERROR(SEARCH("Caida",P235)))</formula>
    </cfRule>
  </conditionalFormatting>
  <conditionalFormatting sqref="P335">
    <cfRule type="cellIs" dxfId="759" priority="1616" operator="lessThan">
      <formula>0.8</formula>
    </cfRule>
    <cfRule type="cellIs" dxfId="758" priority="1617" operator="greaterThan">
      <formula>0.8</formula>
    </cfRule>
  </conditionalFormatting>
  <conditionalFormatting sqref="P335">
    <cfRule type="notContainsText" dxfId="757" priority="1614" operator="notContains" text="Caida">
      <formula>ISERROR(SEARCH("Caida",P335))</formula>
    </cfRule>
    <cfRule type="containsText" dxfId="756" priority="1615" operator="containsText" text="Caida">
      <formula>NOT(ISERROR(SEARCH("Caida",P335)))</formula>
    </cfRule>
  </conditionalFormatting>
  <conditionalFormatting sqref="Q6:Q92 Q96:Q230">
    <cfRule type="cellIs" dxfId="755" priority="1608" operator="lessThan">
      <formula>0.8</formula>
    </cfRule>
    <cfRule type="cellIs" dxfId="754" priority="1609" operator="greaterThan">
      <formula>0.8</formula>
    </cfRule>
  </conditionalFormatting>
  <conditionalFormatting sqref="Q6:Q92 Q96:Q230">
    <cfRule type="notContainsText" dxfId="753" priority="1606" operator="notContains" text="Caida">
      <formula>ISERROR(SEARCH("Caida",Q6))</formula>
    </cfRule>
    <cfRule type="containsText" dxfId="752" priority="1607" operator="containsText" text="Caida">
      <formula>NOT(ISERROR(SEARCH("Caida",Q6)))</formula>
    </cfRule>
  </conditionalFormatting>
  <conditionalFormatting sqref="Q336">
    <cfRule type="cellIs" dxfId="751" priority="1563" operator="lessThan">
      <formula>0.8</formula>
    </cfRule>
    <cfRule type="cellIs" dxfId="750" priority="1564" operator="greaterThan">
      <formula>0.8</formula>
    </cfRule>
  </conditionalFormatting>
  <conditionalFormatting sqref="Q336">
    <cfRule type="notContainsText" dxfId="749" priority="1561" operator="notContains" text="Caida">
      <formula>ISERROR(SEARCH("Caida",Q336))</formula>
    </cfRule>
    <cfRule type="containsText" dxfId="748" priority="1562" operator="containsText" text="Caida">
      <formula>NOT(ISERROR(SEARCH("Caida",Q336)))</formula>
    </cfRule>
  </conditionalFormatting>
  <conditionalFormatting sqref="Q337:Q366 Q284:Q334">
    <cfRule type="cellIs" dxfId="747" priority="1604" operator="lessThan">
      <formula>0.8</formula>
    </cfRule>
    <cfRule type="cellIs" dxfId="746" priority="1605" operator="greaterThan">
      <formula>0.8</formula>
    </cfRule>
  </conditionalFormatting>
  <conditionalFormatting sqref="Q337:Q366 Q284:Q334 Q397:Q1048576">
    <cfRule type="notContainsText" dxfId="745" priority="1602" operator="notContains" text="Caida">
      <formula>ISERROR(SEARCH("Caida",Q284))</formula>
    </cfRule>
    <cfRule type="containsText" dxfId="744" priority="1603" operator="containsText" text="Caida">
      <formula>NOT(ISERROR(SEARCH("Caida",Q284)))</formula>
    </cfRule>
  </conditionalFormatting>
  <conditionalFormatting sqref="Q22">
    <cfRule type="containsText" dxfId="743" priority="1601" operator="containsText" text="Instaladas en Funcionamiento Caida">
      <formula>NOT(ISERROR(SEARCH("Instaladas en Funcionamiento Caida",Q22)))</formula>
    </cfRule>
  </conditionalFormatting>
  <conditionalFormatting sqref="Q282">
    <cfRule type="cellIs" dxfId="742" priority="1599" operator="lessThan">
      <formula>0.8</formula>
    </cfRule>
    <cfRule type="cellIs" dxfId="741" priority="1600" operator="greaterThan">
      <formula>0.8</formula>
    </cfRule>
  </conditionalFormatting>
  <conditionalFormatting sqref="Q282">
    <cfRule type="notContainsText" dxfId="740" priority="1597" operator="notContains" text="Caida">
      <formula>ISERROR(SEARCH("Caida",Q282))</formula>
    </cfRule>
    <cfRule type="containsText" dxfId="739" priority="1598" operator="containsText" text="Caida">
      <formula>NOT(ISERROR(SEARCH("Caida",Q282)))</formula>
    </cfRule>
  </conditionalFormatting>
  <conditionalFormatting sqref="Q283">
    <cfRule type="cellIs" dxfId="738" priority="1595" operator="lessThan">
      <formula>0.8</formula>
    </cfRule>
    <cfRule type="cellIs" dxfId="737" priority="1596" operator="greaterThan">
      <formula>0.8</formula>
    </cfRule>
  </conditionalFormatting>
  <conditionalFormatting sqref="Q283">
    <cfRule type="notContainsText" dxfId="736" priority="1593" operator="notContains" text="Caida">
      <formula>ISERROR(SEARCH("Caida",Q283))</formula>
    </cfRule>
    <cfRule type="containsText" dxfId="735" priority="1594" operator="containsText" text="Caida">
      <formula>NOT(ISERROR(SEARCH("Caida",Q283)))</formula>
    </cfRule>
  </conditionalFormatting>
  <conditionalFormatting sqref="Q5">
    <cfRule type="cellIs" dxfId="734" priority="1591" operator="lessThan">
      <formula>0.8</formula>
    </cfRule>
    <cfRule type="cellIs" dxfId="733" priority="1592" operator="greaterThan">
      <formula>0.8</formula>
    </cfRule>
  </conditionalFormatting>
  <conditionalFormatting sqref="Q5">
    <cfRule type="notContainsText" dxfId="732" priority="1589" operator="notContains" text="Caida">
      <formula>ISERROR(SEARCH("Caida",Q5))</formula>
    </cfRule>
    <cfRule type="containsText" dxfId="731" priority="1590" operator="containsText" text="Caida">
      <formula>NOT(ISERROR(SEARCH("Caida",Q5)))</formula>
    </cfRule>
  </conditionalFormatting>
  <conditionalFormatting sqref="Q231">
    <cfRule type="cellIs" dxfId="730" priority="1587" operator="lessThan">
      <formula>0.8</formula>
    </cfRule>
    <cfRule type="cellIs" dxfId="729" priority="1588" operator="greaterThan">
      <formula>0.8</formula>
    </cfRule>
  </conditionalFormatting>
  <conditionalFormatting sqref="Q231">
    <cfRule type="notContainsText" dxfId="728" priority="1585" operator="notContains" text="Caida">
      <formula>ISERROR(SEARCH("Caida",Q231))</formula>
    </cfRule>
    <cfRule type="containsText" dxfId="727" priority="1586" operator="containsText" text="Caida">
      <formula>NOT(ISERROR(SEARCH("Caida",Q231)))</formula>
    </cfRule>
  </conditionalFormatting>
  <conditionalFormatting sqref="Q232">
    <cfRule type="cellIs" dxfId="726" priority="1583" operator="lessThan">
      <formula>0.8</formula>
    </cfRule>
    <cfRule type="cellIs" dxfId="725" priority="1584" operator="greaterThan">
      <formula>0.8</formula>
    </cfRule>
  </conditionalFormatting>
  <conditionalFormatting sqref="Q232">
    <cfRule type="notContainsText" dxfId="724" priority="1581" operator="notContains" text="Caida">
      <formula>ISERROR(SEARCH("Caida",Q232))</formula>
    </cfRule>
    <cfRule type="containsText" dxfId="723" priority="1582" operator="containsText" text="Caida">
      <formula>NOT(ISERROR(SEARCH("Caida",Q232)))</formula>
    </cfRule>
  </conditionalFormatting>
  <conditionalFormatting sqref="Q233">
    <cfRule type="cellIs" dxfId="722" priority="1579" operator="lessThan">
      <formula>0.8</formula>
    </cfRule>
    <cfRule type="cellIs" dxfId="721" priority="1580" operator="greaterThan">
      <formula>0.8</formula>
    </cfRule>
  </conditionalFormatting>
  <conditionalFormatting sqref="Q233">
    <cfRule type="notContainsText" dxfId="720" priority="1577" operator="notContains" text="Caida">
      <formula>ISERROR(SEARCH("Caida",Q233))</formula>
    </cfRule>
    <cfRule type="containsText" dxfId="719" priority="1578" operator="containsText" text="Caida">
      <formula>NOT(ISERROR(SEARCH("Caida",Q233)))</formula>
    </cfRule>
  </conditionalFormatting>
  <conditionalFormatting sqref="Q234">
    <cfRule type="cellIs" dxfId="718" priority="1575" operator="lessThan">
      <formula>0.8</formula>
    </cfRule>
    <cfRule type="cellIs" dxfId="717" priority="1576" operator="greaterThan">
      <formula>0.8</formula>
    </cfRule>
  </conditionalFormatting>
  <conditionalFormatting sqref="Q234">
    <cfRule type="notContainsText" dxfId="716" priority="1573" operator="notContains" text="Caida">
      <formula>ISERROR(SEARCH("Caida",Q234))</formula>
    </cfRule>
    <cfRule type="containsText" dxfId="715" priority="1574" operator="containsText" text="Caida">
      <formula>NOT(ISERROR(SEARCH("Caida",Q234)))</formula>
    </cfRule>
  </conditionalFormatting>
  <conditionalFormatting sqref="Q235">
    <cfRule type="cellIs" dxfId="714" priority="1571" operator="lessThan">
      <formula>0.8</formula>
    </cfRule>
    <cfRule type="cellIs" dxfId="713" priority="1572" operator="greaterThan">
      <formula>0.8</formula>
    </cfRule>
  </conditionalFormatting>
  <conditionalFormatting sqref="Q235">
    <cfRule type="notContainsText" dxfId="712" priority="1569" operator="notContains" text="Caida">
      <formula>ISERROR(SEARCH("Caida",Q235))</formula>
    </cfRule>
    <cfRule type="containsText" dxfId="711" priority="1570" operator="containsText" text="Caida">
      <formula>NOT(ISERROR(SEARCH("Caida",Q235)))</formula>
    </cfRule>
  </conditionalFormatting>
  <conditionalFormatting sqref="Q335">
    <cfRule type="cellIs" dxfId="710" priority="1567" operator="lessThan">
      <formula>0.8</formula>
    </cfRule>
    <cfRule type="cellIs" dxfId="709" priority="1568" operator="greaterThan">
      <formula>0.8</formula>
    </cfRule>
  </conditionalFormatting>
  <conditionalFormatting sqref="Q335">
    <cfRule type="notContainsText" dxfId="708" priority="1565" operator="notContains" text="Caida">
      <formula>ISERROR(SEARCH("Caida",Q335))</formula>
    </cfRule>
    <cfRule type="containsText" dxfId="707" priority="1566" operator="containsText" text="Caida">
      <formula>NOT(ISERROR(SEARCH("Caida",Q335)))</formula>
    </cfRule>
  </conditionalFormatting>
  <conditionalFormatting sqref="R6:R92 R96:R230">
    <cfRule type="cellIs" dxfId="706" priority="1559" operator="lessThan">
      <formula>0.8</formula>
    </cfRule>
    <cfRule type="cellIs" dxfId="705" priority="1560" operator="greaterThan">
      <formula>0.8</formula>
    </cfRule>
  </conditionalFormatting>
  <conditionalFormatting sqref="R6:R92 R96:R230">
    <cfRule type="notContainsText" dxfId="704" priority="1557" operator="notContains" text="Caida">
      <formula>ISERROR(SEARCH("Caida",R6))</formula>
    </cfRule>
    <cfRule type="containsText" dxfId="703" priority="1558" operator="containsText" text="Caida">
      <formula>NOT(ISERROR(SEARCH("Caida",R6)))</formula>
    </cfRule>
  </conditionalFormatting>
  <conditionalFormatting sqref="R336:T336">
    <cfRule type="cellIs" dxfId="702" priority="1514" operator="lessThan">
      <formula>0.8</formula>
    </cfRule>
    <cfRule type="cellIs" dxfId="701" priority="1515" operator="greaterThan">
      <formula>0.8</formula>
    </cfRule>
  </conditionalFormatting>
  <conditionalFormatting sqref="R336:T336">
    <cfRule type="notContainsText" dxfId="700" priority="1512" operator="notContains" text="Caida">
      <formula>ISERROR(SEARCH("Caida",R336))</formula>
    </cfRule>
    <cfRule type="containsText" dxfId="699" priority="1513" operator="containsText" text="Caida">
      <formula>NOT(ISERROR(SEARCH("Caida",R336)))</formula>
    </cfRule>
  </conditionalFormatting>
  <conditionalFormatting sqref="R337:R366 R284:R334">
    <cfRule type="cellIs" dxfId="698" priority="1555" operator="lessThan">
      <formula>0.8</formula>
    </cfRule>
    <cfRule type="cellIs" dxfId="697" priority="1556" operator="greaterThan">
      <formula>0.8</formula>
    </cfRule>
  </conditionalFormatting>
  <conditionalFormatting sqref="R337:R366 R284:R334 R397:R1048576">
    <cfRule type="notContainsText" dxfId="696" priority="1553" operator="notContains" text="Caida">
      <formula>ISERROR(SEARCH("Caida",R284))</formula>
    </cfRule>
    <cfRule type="containsText" dxfId="695" priority="1554" operator="containsText" text="Caida">
      <formula>NOT(ISERROR(SEARCH("Caida",R284)))</formula>
    </cfRule>
  </conditionalFormatting>
  <conditionalFormatting sqref="R22:T22">
    <cfRule type="containsText" dxfId="694" priority="1552" operator="containsText" text="Instaladas en Funcionamiento Caida">
      <formula>NOT(ISERROR(SEARCH("Instaladas en Funcionamiento Caida",R22)))</formula>
    </cfRule>
  </conditionalFormatting>
  <conditionalFormatting sqref="R282:T282">
    <cfRule type="cellIs" dxfId="693" priority="1550" operator="lessThan">
      <formula>0.8</formula>
    </cfRule>
    <cfRule type="cellIs" dxfId="692" priority="1551" operator="greaterThan">
      <formula>0.8</formula>
    </cfRule>
  </conditionalFormatting>
  <conditionalFormatting sqref="R282:T282">
    <cfRule type="notContainsText" dxfId="691" priority="1548" operator="notContains" text="Caida">
      <formula>ISERROR(SEARCH("Caida",R282))</formula>
    </cfRule>
    <cfRule type="containsText" dxfId="690" priority="1549" operator="containsText" text="Caida">
      <formula>NOT(ISERROR(SEARCH("Caida",R282)))</formula>
    </cfRule>
  </conditionalFormatting>
  <conditionalFormatting sqref="R283:T283">
    <cfRule type="cellIs" dxfId="689" priority="1546" operator="lessThan">
      <formula>0.8</formula>
    </cfRule>
    <cfRule type="cellIs" dxfId="688" priority="1547" operator="greaterThan">
      <formula>0.8</formula>
    </cfRule>
  </conditionalFormatting>
  <conditionalFormatting sqref="R283:T283">
    <cfRule type="notContainsText" dxfId="687" priority="1544" operator="notContains" text="Caida">
      <formula>ISERROR(SEARCH("Caida",R283))</formula>
    </cfRule>
    <cfRule type="containsText" dxfId="686" priority="1545" operator="containsText" text="Caida">
      <formula>NOT(ISERROR(SEARCH("Caida",R283)))</formula>
    </cfRule>
  </conditionalFormatting>
  <conditionalFormatting sqref="R5:T5">
    <cfRule type="cellIs" dxfId="685" priority="1542" operator="lessThan">
      <formula>0.8</formula>
    </cfRule>
    <cfRule type="cellIs" dxfId="684" priority="1543" operator="greaterThan">
      <formula>0.8</formula>
    </cfRule>
  </conditionalFormatting>
  <conditionalFormatting sqref="R5:T5">
    <cfRule type="notContainsText" dxfId="683" priority="1540" operator="notContains" text="Caida">
      <formula>ISERROR(SEARCH("Caida",R5))</formula>
    </cfRule>
    <cfRule type="containsText" dxfId="682" priority="1541" operator="containsText" text="Caida">
      <formula>NOT(ISERROR(SEARCH("Caida",R5)))</formula>
    </cfRule>
  </conditionalFormatting>
  <conditionalFormatting sqref="R231:T231">
    <cfRule type="cellIs" dxfId="681" priority="1538" operator="lessThan">
      <formula>0.8</formula>
    </cfRule>
    <cfRule type="cellIs" dxfId="680" priority="1539" operator="greaterThan">
      <formula>0.8</formula>
    </cfRule>
  </conditionalFormatting>
  <conditionalFormatting sqref="R231:T231">
    <cfRule type="notContainsText" dxfId="679" priority="1536" operator="notContains" text="Caida">
      <formula>ISERROR(SEARCH("Caida",R231))</formula>
    </cfRule>
    <cfRule type="containsText" dxfId="678" priority="1537" operator="containsText" text="Caida">
      <formula>NOT(ISERROR(SEARCH("Caida",R231)))</formula>
    </cfRule>
  </conditionalFormatting>
  <conditionalFormatting sqref="R232:T232">
    <cfRule type="cellIs" dxfId="677" priority="1534" operator="lessThan">
      <formula>0.8</formula>
    </cfRule>
    <cfRule type="cellIs" dxfId="676" priority="1535" operator="greaterThan">
      <formula>0.8</formula>
    </cfRule>
  </conditionalFormatting>
  <conditionalFormatting sqref="R232:T232">
    <cfRule type="notContainsText" dxfId="675" priority="1532" operator="notContains" text="Caida">
      <formula>ISERROR(SEARCH("Caida",R232))</formula>
    </cfRule>
    <cfRule type="containsText" dxfId="674" priority="1533" operator="containsText" text="Caida">
      <formula>NOT(ISERROR(SEARCH("Caida",R232)))</formula>
    </cfRule>
  </conditionalFormatting>
  <conditionalFormatting sqref="R233:T233">
    <cfRule type="cellIs" dxfId="673" priority="1530" operator="lessThan">
      <formula>0.8</formula>
    </cfRule>
    <cfRule type="cellIs" dxfId="672" priority="1531" operator="greaterThan">
      <formula>0.8</formula>
    </cfRule>
  </conditionalFormatting>
  <conditionalFormatting sqref="R233:T233">
    <cfRule type="notContainsText" dxfId="671" priority="1528" operator="notContains" text="Caida">
      <formula>ISERROR(SEARCH("Caida",R233))</formula>
    </cfRule>
    <cfRule type="containsText" dxfId="670" priority="1529" operator="containsText" text="Caida">
      <formula>NOT(ISERROR(SEARCH("Caida",R233)))</formula>
    </cfRule>
  </conditionalFormatting>
  <conditionalFormatting sqref="R234:T234">
    <cfRule type="cellIs" dxfId="669" priority="1526" operator="lessThan">
      <formula>0.8</formula>
    </cfRule>
    <cfRule type="cellIs" dxfId="668" priority="1527" operator="greaterThan">
      <formula>0.8</formula>
    </cfRule>
  </conditionalFormatting>
  <conditionalFormatting sqref="R234:T234">
    <cfRule type="notContainsText" dxfId="667" priority="1524" operator="notContains" text="Caida">
      <formula>ISERROR(SEARCH("Caida",R234))</formula>
    </cfRule>
    <cfRule type="containsText" dxfId="666" priority="1525" operator="containsText" text="Caida">
      <formula>NOT(ISERROR(SEARCH("Caida",R234)))</formula>
    </cfRule>
  </conditionalFormatting>
  <conditionalFormatting sqref="R235:T235">
    <cfRule type="cellIs" dxfId="665" priority="1522" operator="lessThan">
      <formula>0.8</formula>
    </cfRule>
    <cfRule type="cellIs" dxfId="664" priority="1523" operator="greaterThan">
      <formula>0.8</formula>
    </cfRule>
  </conditionalFormatting>
  <conditionalFormatting sqref="R235:T235">
    <cfRule type="notContainsText" dxfId="663" priority="1520" operator="notContains" text="Caida">
      <formula>ISERROR(SEARCH("Caida",R235))</formula>
    </cfRule>
    <cfRule type="containsText" dxfId="662" priority="1521" operator="containsText" text="Caida">
      <formula>NOT(ISERROR(SEARCH("Caida",R235)))</formula>
    </cfRule>
  </conditionalFormatting>
  <conditionalFormatting sqref="R335:T335">
    <cfRule type="cellIs" dxfId="661" priority="1518" operator="lessThan">
      <formula>0.8</formula>
    </cfRule>
    <cfRule type="cellIs" dxfId="660" priority="1519" operator="greaterThan">
      <formula>0.8</formula>
    </cfRule>
  </conditionalFormatting>
  <conditionalFormatting sqref="R335:T335">
    <cfRule type="notContainsText" dxfId="659" priority="1516" operator="notContains" text="Caida">
      <formula>ISERROR(SEARCH("Caida",R335))</formula>
    </cfRule>
    <cfRule type="containsText" dxfId="658" priority="1517" operator="containsText" text="Caida">
      <formula>NOT(ISERROR(SEARCH("Caida",R335)))</formula>
    </cfRule>
  </conditionalFormatting>
  <conditionalFormatting sqref="S397:S1048576">
    <cfRule type="notContainsText" dxfId="657" priority="1504" operator="notContains" text="Caida">
      <formula>ISERROR(SEARCH("Caida",S397))</formula>
    </cfRule>
    <cfRule type="containsText" dxfId="656" priority="1505" operator="containsText" text="Caida">
      <formula>NOT(ISERROR(SEARCH("Caida",S397)))</formula>
    </cfRule>
  </conditionalFormatting>
  <conditionalFormatting sqref="T397:T1048576">
    <cfRule type="notContainsText" dxfId="655" priority="1455" operator="notContains" text="Caida">
      <formula>ISERROR(SEARCH("Caida",T397))</formula>
    </cfRule>
    <cfRule type="containsText" dxfId="654" priority="1456" operator="containsText" text="Caida">
      <formula>NOT(ISERROR(SEARCH("Caida",T397)))</formula>
    </cfRule>
  </conditionalFormatting>
  <conditionalFormatting sqref="E92:K93">
    <cfRule type="containsText" dxfId="653" priority="1411" operator="containsText" text="Radio">
      <formula>NOT(ISERROR(SEARCH("Radio",E92)))</formula>
    </cfRule>
  </conditionalFormatting>
  <conditionalFormatting sqref="P93:P95">
    <cfRule type="cellIs" dxfId="652" priority="1381" operator="lessThan">
      <formula>0.8</formula>
    </cfRule>
    <cfRule type="cellIs" dxfId="651" priority="1382" operator="greaterThan">
      <formula>0.8</formula>
    </cfRule>
  </conditionalFormatting>
  <conditionalFormatting sqref="P93:P95">
    <cfRule type="notContainsText" dxfId="650" priority="1379" operator="notContains" text="Caida">
      <formula>ISERROR(SEARCH("Caida",P93))</formula>
    </cfRule>
    <cfRule type="containsText" dxfId="649" priority="1380" operator="containsText" text="Caida">
      <formula>NOT(ISERROR(SEARCH("Caida",P93)))</formula>
    </cfRule>
  </conditionalFormatting>
  <conditionalFormatting sqref="Q93:Q95">
    <cfRule type="cellIs" dxfId="648" priority="1377" operator="lessThan">
      <formula>0.8</formula>
    </cfRule>
    <cfRule type="cellIs" dxfId="647" priority="1378" operator="greaterThan">
      <formula>0.8</formula>
    </cfRule>
  </conditionalFormatting>
  <conditionalFormatting sqref="Q93:Q95">
    <cfRule type="notContainsText" dxfId="646" priority="1375" operator="notContains" text="Caida">
      <formula>ISERROR(SEARCH("Caida",Q93))</formula>
    </cfRule>
    <cfRule type="containsText" dxfId="645" priority="1376" operator="containsText" text="Caida">
      <formula>NOT(ISERROR(SEARCH("Caida",Q93)))</formula>
    </cfRule>
  </conditionalFormatting>
  <conditionalFormatting sqref="R93:R95">
    <cfRule type="cellIs" dxfId="644" priority="1373" operator="lessThan">
      <formula>0.8</formula>
    </cfRule>
    <cfRule type="cellIs" dxfId="643" priority="1374" operator="greaterThan">
      <formula>0.8</formula>
    </cfRule>
  </conditionalFormatting>
  <conditionalFormatting sqref="R93:R95">
    <cfRule type="notContainsText" dxfId="642" priority="1371" operator="notContains" text="Caida">
      <formula>ISERROR(SEARCH("Caida",R93))</formula>
    </cfRule>
    <cfRule type="containsText" dxfId="641" priority="1372" operator="containsText" text="Caida">
      <formula>NOT(ISERROR(SEARCH("Caida",R93)))</formula>
    </cfRule>
  </conditionalFormatting>
  <conditionalFormatting sqref="E365:K365">
    <cfRule type="containsText" dxfId="640" priority="1360" operator="containsText" text="Radio">
      <formula>NOT(ISERROR(SEARCH("Radio",E365)))</formula>
    </cfRule>
  </conditionalFormatting>
  <conditionalFormatting sqref="P367">
    <cfRule type="cellIs" dxfId="639" priority="1342" operator="lessThan">
      <formula>0.8</formula>
    </cfRule>
    <cfRule type="cellIs" dxfId="638" priority="1343" operator="greaterThan">
      <formula>0.8</formula>
    </cfRule>
  </conditionalFormatting>
  <conditionalFormatting sqref="P367">
    <cfRule type="notContainsText" dxfId="637" priority="1340" operator="notContains" text="Caida">
      <formula>ISERROR(SEARCH("Caida",P367))</formula>
    </cfRule>
    <cfRule type="containsText" dxfId="636" priority="1341" operator="containsText" text="Caida">
      <formula>NOT(ISERROR(SEARCH("Caida",P367)))</formula>
    </cfRule>
  </conditionalFormatting>
  <conditionalFormatting sqref="Q367">
    <cfRule type="cellIs" dxfId="635" priority="1338" operator="lessThan">
      <formula>0.8</formula>
    </cfRule>
    <cfRule type="cellIs" dxfId="634" priority="1339" operator="greaterThan">
      <formula>0.8</formula>
    </cfRule>
  </conditionalFormatting>
  <conditionalFormatting sqref="Q367">
    <cfRule type="notContainsText" dxfId="633" priority="1336" operator="notContains" text="Caida">
      <formula>ISERROR(SEARCH("Caida",Q367))</formula>
    </cfRule>
    <cfRule type="containsText" dxfId="632" priority="1337" operator="containsText" text="Caida">
      <formula>NOT(ISERROR(SEARCH("Caida",Q367)))</formula>
    </cfRule>
  </conditionalFormatting>
  <conditionalFormatting sqref="R367:T367">
    <cfRule type="cellIs" dxfId="631" priority="1334" operator="lessThan">
      <formula>0.8</formula>
    </cfRule>
    <cfRule type="cellIs" dxfId="630" priority="1335" operator="greaterThan">
      <formula>0.8</formula>
    </cfRule>
  </conditionalFormatting>
  <conditionalFormatting sqref="R367:T367">
    <cfRule type="notContainsText" dxfId="629" priority="1332" operator="notContains" text="Caida">
      <formula>ISERROR(SEARCH("Caida",R367))</formula>
    </cfRule>
    <cfRule type="containsText" dxfId="628" priority="1333" operator="containsText" text="Caida">
      <formula>NOT(ISERROR(SEARCH("Caida",R367)))</formula>
    </cfRule>
  </conditionalFormatting>
  <conditionalFormatting sqref="E366:K366">
    <cfRule type="containsText" dxfId="627" priority="1321" operator="containsText" text="Radio">
      <formula>NOT(ISERROR(SEARCH("Radio",E366)))</formula>
    </cfRule>
  </conditionalFormatting>
  <conditionalFormatting sqref="P368">
    <cfRule type="cellIs" dxfId="626" priority="1303" operator="lessThan">
      <formula>0.8</formula>
    </cfRule>
    <cfRule type="cellIs" dxfId="625" priority="1304" operator="greaterThan">
      <formula>0.8</formula>
    </cfRule>
  </conditionalFormatting>
  <conditionalFormatting sqref="P368">
    <cfRule type="notContainsText" dxfId="624" priority="1301" operator="notContains" text="Caida">
      <formula>ISERROR(SEARCH("Caida",P368))</formula>
    </cfRule>
    <cfRule type="containsText" dxfId="623" priority="1302" operator="containsText" text="Caida">
      <formula>NOT(ISERROR(SEARCH("Caida",P368)))</formula>
    </cfRule>
  </conditionalFormatting>
  <conditionalFormatting sqref="Q368">
    <cfRule type="cellIs" dxfId="622" priority="1299" operator="lessThan">
      <formula>0.8</formula>
    </cfRule>
    <cfRule type="cellIs" dxfId="621" priority="1300" operator="greaterThan">
      <formula>0.8</formula>
    </cfRule>
  </conditionalFormatting>
  <conditionalFormatting sqref="Q368">
    <cfRule type="notContainsText" dxfId="620" priority="1297" operator="notContains" text="Caida">
      <formula>ISERROR(SEARCH("Caida",Q368))</formula>
    </cfRule>
    <cfRule type="containsText" dxfId="619" priority="1298" operator="containsText" text="Caida">
      <formula>NOT(ISERROR(SEARCH("Caida",Q368)))</formula>
    </cfRule>
  </conditionalFormatting>
  <conditionalFormatting sqref="R368:T368">
    <cfRule type="cellIs" dxfId="618" priority="1295" operator="lessThan">
      <formula>0.8</formula>
    </cfRule>
    <cfRule type="cellIs" dxfId="617" priority="1296" operator="greaterThan">
      <formula>0.8</formula>
    </cfRule>
  </conditionalFormatting>
  <conditionalFormatting sqref="R368:T368">
    <cfRule type="notContainsText" dxfId="616" priority="1293" operator="notContains" text="Caida">
      <formula>ISERROR(SEARCH("Caida",R368))</formula>
    </cfRule>
    <cfRule type="containsText" dxfId="615" priority="1294" operator="containsText" text="Caida">
      <formula>NOT(ISERROR(SEARCH("Caida",R368)))</formula>
    </cfRule>
  </conditionalFormatting>
  <conditionalFormatting sqref="E367:K367">
    <cfRule type="containsText" dxfId="614" priority="1282" operator="containsText" text="Radio">
      <formula>NOT(ISERROR(SEARCH("Radio",E367)))</formula>
    </cfRule>
  </conditionalFormatting>
  <conditionalFormatting sqref="P369">
    <cfRule type="cellIs" dxfId="613" priority="1264" operator="lessThan">
      <formula>0.8</formula>
    </cfRule>
    <cfRule type="cellIs" dxfId="612" priority="1265" operator="greaterThan">
      <formula>0.8</formula>
    </cfRule>
  </conditionalFormatting>
  <conditionalFormatting sqref="P369">
    <cfRule type="notContainsText" dxfId="611" priority="1262" operator="notContains" text="Caida">
      <formula>ISERROR(SEARCH("Caida",P369))</formula>
    </cfRule>
    <cfRule type="containsText" dxfId="610" priority="1263" operator="containsText" text="Caida">
      <formula>NOT(ISERROR(SEARCH("Caida",P369)))</formula>
    </cfRule>
  </conditionalFormatting>
  <conditionalFormatting sqref="Q369">
    <cfRule type="cellIs" dxfId="609" priority="1260" operator="lessThan">
      <formula>0.8</formula>
    </cfRule>
    <cfRule type="cellIs" dxfId="608" priority="1261" operator="greaterThan">
      <formula>0.8</formula>
    </cfRule>
  </conditionalFormatting>
  <conditionalFormatting sqref="Q369">
    <cfRule type="notContainsText" dxfId="607" priority="1258" operator="notContains" text="Caida">
      <formula>ISERROR(SEARCH("Caida",Q369))</formula>
    </cfRule>
    <cfRule type="containsText" dxfId="606" priority="1259" operator="containsText" text="Caida">
      <formula>NOT(ISERROR(SEARCH("Caida",Q369)))</formula>
    </cfRule>
  </conditionalFormatting>
  <conditionalFormatting sqref="R369:T369">
    <cfRule type="cellIs" dxfId="605" priority="1256" operator="lessThan">
      <formula>0.8</formula>
    </cfRule>
    <cfRule type="cellIs" dxfId="604" priority="1257" operator="greaterThan">
      <formula>0.8</formula>
    </cfRule>
  </conditionalFormatting>
  <conditionalFormatting sqref="R369:T369">
    <cfRule type="notContainsText" dxfId="603" priority="1254" operator="notContains" text="Caida">
      <formula>ISERROR(SEARCH("Caida",R369))</formula>
    </cfRule>
    <cfRule type="containsText" dxfId="602" priority="1255" operator="containsText" text="Caida">
      <formula>NOT(ISERROR(SEARCH("Caida",R369)))</formula>
    </cfRule>
  </conditionalFormatting>
  <conditionalFormatting sqref="E368:K368">
    <cfRule type="containsText" dxfId="601" priority="1243" operator="containsText" text="Radio">
      <formula>NOT(ISERROR(SEARCH("Radio",E368)))</formula>
    </cfRule>
  </conditionalFormatting>
  <conditionalFormatting sqref="U231">
    <cfRule type="cellIs" dxfId="600" priority="1184" operator="lessThan">
      <formula>0.8</formula>
    </cfRule>
    <cfRule type="cellIs" dxfId="599" priority="1185" operator="greaterThan">
      <formula>0.8</formula>
    </cfRule>
  </conditionalFormatting>
  <conditionalFormatting sqref="U231">
    <cfRule type="notContainsText" dxfId="598" priority="1182" operator="notContains" text="Caida">
      <formula>ISERROR(SEARCH("Caida",U231))</formula>
    </cfRule>
    <cfRule type="containsText" dxfId="597" priority="1183" operator="containsText" text="Caida">
      <formula>NOT(ISERROR(SEARCH("Caida",U231)))</formula>
    </cfRule>
  </conditionalFormatting>
  <conditionalFormatting sqref="U232">
    <cfRule type="cellIs" dxfId="596" priority="1180" operator="lessThan">
      <formula>0.8</formula>
    </cfRule>
    <cfRule type="cellIs" dxfId="595" priority="1181" operator="greaterThan">
      <formula>0.8</formula>
    </cfRule>
  </conditionalFormatting>
  <conditionalFormatting sqref="U232">
    <cfRule type="notContainsText" dxfId="594" priority="1178" operator="notContains" text="Caida">
      <formula>ISERROR(SEARCH("Caida",U232))</formula>
    </cfRule>
    <cfRule type="containsText" dxfId="593" priority="1179" operator="containsText" text="Caida">
      <formula>NOT(ISERROR(SEARCH("Caida",U232)))</formula>
    </cfRule>
  </conditionalFormatting>
  <conditionalFormatting sqref="P370:P372">
    <cfRule type="cellIs" dxfId="592" priority="1225" operator="lessThan">
      <formula>0.8</formula>
    </cfRule>
    <cfRule type="cellIs" dxfId="591" priority="1226" operator="greaterThan">
      <formula>0.8</formula>
    </cfRule>
  </conditionalFormatting>
  <conditionalFormatting sqref="P370:P372">
    <cfRule type="notContainsText" dxfId="590" priority="1223" operator="notContains" text="Caida">
      <formula>ISERROR(SEARCH("Caida",P370))</formula>
    </cfRule>
    <cfRule type="containsText" dxfId="589" priority="1224" operator="containsText" text="Caida">
      <formula>NOT(ISERROR(SEARCH("Caida",P370)))</formula>
    </cfRule>
  </conditionalFormatting>
  <conditionalFormatting sqref="Q370:Q372">
    <cfRule type="cellIs" dxfId="588" priority="1221" operator="lessThan">
      <formula>0.8</formula>
    </cfRule>
    <cfRule type="cellIs" dxfId="587" priority="1222" operator="greaterThan">
      <formula>0.8</formula>
    </cfRule>
  </conditionalFormatting>
  <conditionalFormatting sqref="Q370:Q372">
    <cfRule type="notContainsText" dxfId="586" priority="1219" operator="notContains" text="Caida">
      <formula>ISERROR(SEARCH("Caida",Q370))</formula>
    </cfRule>
    <cfRule type="containsText" dxfId="585" priority="1220" operator="containsText" text="Caida">
      <formula>NOT(ISERROR(SEARCH("Caida",Q370)))</formula>
    </cfRule>
  </conditionalFormatting>
  <conditionalFormatting sqref="R370:T370">
    <cfRule type="cellIs" dxfId="584" priority="1217" operator="lessThan">
      <formula>0.8</formula>
    </cfRule>
    <cfRule type="cellIs" dxfId="583" priority="1218" operator="greaterThan">
      <formula>0.8</formula>
    </cfRule>
  </conditionalFormatting>
  <conditionalFormatting sqref="R370:T370">
    <cfRule type="notContainsText" dxfId="582" priority="1215" operator="notContains" text="Caida">
      <formula>ISERROR(SEARCH("Caida",R370))</formula>
    </cfRule>
    <cfRule type="containsText" dxfId="581" priority="1216" operator="containsText" text="Caida">
      <formula>NOT(ISERROR(SEARCH("Caida",R370)))</formula>
    </cfRule>
  </conditionalFormatting>
  <conditionalFormatting sqref="U368">
    <cfRule type="cellIs" dxfId="580" priority="1148" operator="lessThan">
      <formula>0.8</formula>
    </cfRule>
    <cfRule type="cellIs" dxfId="579" priority="1149" operator="greaterThan">
      <formula>0.8</formula>
    </cfRule>
  </conditionalFormatting>
  <conditionalFormatting sqref="U368">
    <cfRule type="notContainsText" dxfId="578" priority="1146" operator="notContains" text="Caida">
      <formula>ISERROR(SEARCH("Caida",U368))</formula>
    </cfRule>
    <cfRule type="containsText" dxfId="577" priority="1147" operator="containsText" text="Caida">
      <formula>NOT(ISERROR(SEARCH("Caida",U368)))</formula>
    </cfRule>
  </conditionalFormatting>
  <conditionalFormatting sqref="U369">
    <cfRule type="cellIs" dxfId="576" priority="1144" operator="lessThan">
      <formula>0.8</formula>
    </cfRule>
    <cfRule type="cellIs" dxfId="575" priority="1145" operator="greaterThan">
      <formula>0.8</formula>
    </cfRule>
  </conditionalFormatting>
  <conditionalFormatting sqref="U369">
    <cfRule type="notContainsText" dxfId="574" priority="1142" operator="notContains" text="Caida">
      <formula>ISERROR(SEARCH("Caida",U369))</formula>
    </cfRule>
    <cfRule type="containsText" dxfId="573" priority="1143" operator="containsText" text="Caida">
      <formula>NOT(ISERROR(SEARCH("Caida",U369)))</formula>
    </cfRule>
  </conditionalFormatting>
  <conditionalFormatting sqref="U370:U372">
    <cfRule type="cellIs" dxfId="572" priority="1140" operator="lessThan">
      <formula>0.8</formula>
    </cfRule>
    <cfRule type="cellIs" dxfId="571" priority="1141" operator="greaterThan">
      <formula>0.8</formula>
    </cfRule>
  </conditionalFormatting>
  <conditionalFormatting sqref="U370:U372">
    <cfRule type="notContainsText" dxfId="570" priority="1138" operator="notContains" text="Caida">
      <formula>ISERROR(SEARCH("Caida",U370))</formula>
    </cfRule>
    <cfRule type="containsText" dxfId="569" priority="1139" operator="containsText" text="Caida">
      <formula>NOT(ISERROR(SEARCH("Caida",U370)))</formula>
    </cfRule>
  </conditionalFormatting>
  <conditionalFormatting sqref="U6:U92 U96:U230">
    <cfRule type="cellIs" dxfId="568" priority="1205" operator="lessThan">
      <formula>0.8</formula>
    </cfRule>
    <cfRule type="cellIs" dxfId="567" priority="1206" operator="greaterThan">
      <formula>0.8</formula>
    </cfRule>
  </conditionalFormatting>
  <conditionalFormatting sqref="U6:U92 U96:U230">
    <cfRule type="notContainsText" dxfId="566" priority="1203" operator="notContains" text="Caida">
      <formula>ISERROR(SEARCH("Caida",U6))</formula>
    </cfRule>
    <cfRule type="containsText" dxfId="565" priority="1204" operator="containsText" text="Caida">
      <formula>NOT(ISERROR(SEARCH("Caida",U6)))</formula>
    </cfRule>
  </conditionalFormatting>
  <conditionalFormatting sqref="U336">
    <cfRule type="cellIs" dxfId="564" priority="1160" operator="lessThan">
      <formula>0.8</formula>
    </cfRule>
    <cfRule type="cellIs" dxfId="563" priority="1161" operator="greaterThan">
      <formula>0.8</formula>
    </cfRule>
  </conditionalFormatting>
  <conditionalFormatting sqref="U336">
    <cfRule type="notContainsText" dxfId="562" priority="1158" operator="notContains" text="Caida">
      <formula>ISERROR(SEARCH("Caida",U336))</formula>
    </cfRule>
    <cfRule type="containsText" dxfId="561" priority="1159" operator="containsText" text="Caida">
      <formula>NOT(ISERROR(SEARCH("Caida",U336)))</formula>
    </cfRule>
  </conditionalFormatting>
  <conditionalFormatting sqref="U337:U366 U284:U334">
    <cfRule type="cellIs" dxfId="560" priority="1201" operator="lessThan">
      <formula>0.8</formula>
    </cfRule>
    <cfRule type="cellIs" dxfId="559" priority="1202" operator="greaterThan">
      <formula>0.8</formula>
    </cfRule>
  </conditionalFormatting>
  <conditionalFormatting sqref="U337:U366 U284:U334 U397:U1048576">
    <cfRule type="notContainsText" dxfId="558" priority="1199" operator="notContains" text="Caida">
      <formula>ISERROR(SEARCH("Caida",U284))</formula>
    </cfRule>
    <cfRule type="containsText" dxfId="557" priority="1200" operator="containsText" text="Caida">
      <formula>NOT(ISERROR(SEARCH("Caida",U284)))</formula>
    </cfRule>
  </conditionalFormatting>
  <conditionalFormatting sqref="U22">
    <cfRule type="containsText" dxfId="556" priority="1198" operator="containsText" text="Instaladas en Funcionamiento Caida">
      <formula>NOT(ISERROR(SEARCH("Instaladas en Funcionamiento Caida",U22)))</formula>
    </cfRule>
  </conditionalFormatting>
  <conditionalFormatting sqref="U282">
    <cfRule type="cellIs" dxfId="555" priority="1196" operator="lessThan">
      <formula>0.8</formula>
    </cfRule>
    <cfRule type="cellIs" dxfId="554" priority="1197" operator="greaterThan">
      <formula>0.8</formula>
    </cfRule>
  </conditionalFormatting>
  <conditionalFormatting sqref="U282">
    <cfRule type="notContainsText" dxfId="553" priority="1194" operator="notContains" text="Caida">
      <formula>ISERROR(SEARCH("Caida",U282))</formula>
    </cfRule>
    <cfRule type="containsText" dxfId="552" priority="1195" operator="containsText" text="Caida">
      <formula>NOT(ISERROR(SEARCH("Caida",U282)))</formula>
    </cfRule>
  </conditionalFormatting>
  <conditionalFormatting sqref="U283">
    <cfRule type="cellIs" dxfId="551" priority="1192" operator="lessThan">
      <formula>0.8</formula>
    </cfRule>
    <cfRule type="cellIs" dxfId="550" priority="1193" operator="greaterThan">
      <formula>0.8</formula>
    </cfRule>
  </conditionalFormatting>
  <conditionalFormatting sqref="U283">
    <cfRule type="notContainsText" dxfId="549" priority="1190" operator="notContains" text="Caida">
      <formula>ISERROR(SEARCH("Caida",U283))</formula>
    </cfRule>
    <cfRule type="containsText" dxfId="548" priority="1191" operator="containsText" text="Caida">
      <formula>NOT(ISERROR(SEARCH("Caida",U283)))</formula>
    </cfRule>
  </conditionalFormatting>
  <conditionalFormatting sqref="U5">
    <cfRule type="cellIs" dxfId="547" priority="1188" operator="lessThan">
      <formula>0.8</formula>
    </cfRule>
    <cfRule type="cellIs" dxfId="546" priority="1189" operator="greaterThan">
      <formula>0.8</formula>
    </cfRule>
  </conditionalFormatting>
  <conditionalFormatting sqref="U5">
    <cfRule type="notContainsText" dxfId="545" priority="1186" operator="notContains" text="Caida">
      <formula>ISERROR(SEARCH("Caida",U5))</formula>
    </cfRule>
    <cfRule type="containsText" dxfId="544" priority="1187" operator="containsText" text="Caida">
      <formula>NOT(ISERROR(SEARCH("Caida",U5)))</formula>
    </cfRule>
  </conditionalFormatting>
  <conditionalFormatting sqref="U233">
    <cfRule type="cellIs" dxfId="543" priority="1176" operator="lessThan">
      <formula>0.8</formula>
    </cfRule>
    <cfRule type="cellIs" dxfId="542" priority="1177" operator="greaterThan">
      <formula>0.8</formula>
    </cfRule>
  </conditionalFormatting>
  <conditionalFormatting sqref="U233">
    <cfRule type="notContainsText" dxfId="541" priority="1174" operator="notContains" text="Caida">
      <formula>ISERROR(SEARCH("Caida",U233))</formula>
    </cfRule>
    <cfRule type="containsText" dxfId="540" priority="1175" operator="containsText" text="Caida">
      <formula>NOT(ISERROR(SEARCH("Caida",U233)))</formula>
    </cfRule>
  </conditionalFormatting>
  <conditionalFormatting sqref="U234">
    <cfRule type="cellIs" dxfId="539" priority="1172" operator="lessThan">
      <formula>0.8</formula>
    </cfRule>
    <cfRule type="cellIs" dxfId="538" priority="1173" operator="greaterThan">
      <formula>0.8</formula>
    </cfRule>
  </conditionalFormatting>
  <conditionalFormatting sqref="U234">
    <cfRule type="notContainsText" dxfId="537" priority="1170" operator="notContains" text="Caida">
      <formula>ISERROR(SEARCH("Caida",U234))</formula>
    </cfRule>
    <cfRule type="containsText" dxfId="536" priority="1171" operator="containsText" text="Caida">
      <formula>NOT(ISERROR(SEARCH("Caida",U234)))</formula>
    </cfRule>
  </conditionalFormatting>
  <conditionalFormatting sqref="U235">
    <cfRule type="cellIs" dxfId="535" priority="1168" operator="lessThan">
      <formula>0.8</formula>
    </cfRule>
    <cfRule type="cellIs" dxfId="534" priority="1169" operator="greaterThan">
      <formula>0.8</formula>
    </cfRule>
  </conditionalFormatting>
  <conditionalFormatting sqref="U235">
    <cfRule type="notContainsText" dxfId="533" priority="1166" operator="notContains" text="Caida">
      <formula>ISERROR(SEARCH("Caida",U235))</formula>
    </cfRule>
    <cfRule type="containsText" dxfId="532" priority="1167" operator="containsText" text="Caida">
      <formula>NOT(ISERROR(SEARCH("Caida",U235)))</formula>
    </cfRule>
  </conditionalFormatting>
  <conditionalFormatting sqref="U335">
    <cfRule type="cellIs" dxfId="531" priority="1164" operator="lessThan">
      <formula>0.8</formula>
    </cfRule>
    <cfRule type="cellIs" dxfId="530" priority="1165" operator="greaterThan">
      <formula>0.8</formula>
    </cfRule>
  </conditionalFormatting>
  <conditionalFormatting sqref="U335">
    <cfRule type="notContainsText" dxfId="529" priority="1162" operator="notContains" text="Caida">
      <formula>ISERROR(SEARCH("Caida",U335))</formula>
    </cfRule>
    <cfRule type="containsText" dxfId="528" priority="1163" operator="containsText" text="Caida">
      <formula>NOT(ISERROR(SEARCH("Caida",U335)))</formula>
    </cfRule>
  </conditionalFormatting>
  <conditionalFormatting sqref="U93:U95">
    <cfRule type="cellIs" dxfId="527" priority="1156" operator="lessThan">
      <formula>0.8</formula>
    </cfRule>
    <cfRule type="cellIs" dxfId="526" priority="1157" operator="greaterThan">
      <formula>0.8</formula>
    </cfRule>
  </conditionalFormatting>
  <conditionalFormatting sqref="U93:U95">
    <cfRule type="notContainsText" dxfId="525" priority="1154" operator="notContains" text="Caida">
      <formula>ISERROR(SEARCH("Caida",U93))</formula>
    </cfRule>
    <cfRule type="containsText" dxfId="524" priority="1155" operator="containsText" text="Caida">
      <formula>NOT(ISERROR(SEARCH("Caida",U93)))</formula>
    </cfRule>
  </conditionalFormatting>
  <conditionalFormatting sqref="U367">
    <cfRule type="cellIs" dxfId="523" priority="1152" operator="lessThan">
      <formula>0.8</formula>
    </cfRule>
    <cfRule type="cellIs" dxfId="522" priority="1153" operator="greaterThan">
      <formula>0.8</formula>
    </cfRule>
  </conditionalFormatting>
  <conditionalFormatting sqref="U367">
    <cfRule type="notContainsText" dxfId="521" priority="1150" operator="notContains" text="Caida">
      <formula>ISERROR(SEARCH("Caida",U367))</formula>
    </cfRule>
    <cfRule type="containsText" dxfId="520" priority="1151" operator="containsText" text="Caida">
      <formula>NOT(ISERROR(SEARCH("Caida",U367)))</formula>
    </cfRule>
  </conditionalFormatting>
  <conditionalFormatting sqref="V6:X92">
    <cfRule type="cellIs" dxfId="519" priority="1136" operator="lessThan">
      <formula>0.8</formula>
    </cfRule>
    <cfRule type="cellIs" dxfId="518" priority="1137" operator="greaterThan">
      <formula>0.8</formula>
    </cfRule>
  </conditionalFormatting>
  <conditionalFormatting sqref="V6:X92">
    <cfRule type="notContainsText" dxfId="517" priority="1134" operator="notContains" text="Caida">
      <formula>ISERROR(SEARCH("Caida",V6))</formula>
    </cfRule>
    <cfRule type="containsText" dxfId="516" priority="1135" operator="containsText" text="Caida">
      <formula>NOT(ISERROR(SEARCH("Caida",V6)))</formula>
    </cfRule>
  </conditionalFormatting>
  <conditionalFormatting sqref="V22:X22 AA22:AJ22">
    <cfRule type="containsText" dxfId="515" priority="1133" operator="containsText" text="Instaladas en Funcionamiento Caida">
      <formula>NOT(ISERROR(SEARCH("Instaladas en Funcionamiento Caida",V22)))</formula>
    </cfRule>
  </conditionalFormatting>
  <conditionalFormatting sqref="V5:X5 AA5:AJ5">
    <cfRule type="cellIs" dxfId="514" priority="1131" operator="lessThan">
      <formula>0.8</formula>
    </cfRule>
    <cfRule type="cellIs" dxfId="513" priority="1132" operator="greaterThan">
      <formula>0.8</formula>
    </cfRule>
  </conditionalFormatting>
  <conditionalFormatting sqref="V5:X5 AA5:AJ5">
    <cfRule type="notContainsText" dxfId="512" priority="1129" operator="notContains" text="Caida">
      <formula>ISERROR(SEARCH("Caida",V5))</formula>
    </cfRule>
    <cfRule type="containsText" dxfId="511" priority="1130" operator="containsText" text="Caida">
      <formula>NOT(ISERROR(SEARCH("Caida",V5)))</formula>
    </cfRule>
  </conditionalFormatting>
  <conditionalFormatting sqref="V93:X95">
    <cfRule type="cellIs" dxfId="510" priority="1127" operator="lessThan">
      <formula>0.8</formula>
    </cfRule>
    <cfRule type="cellIs" dxfId="509" priority="1128" operator="greaterThan">
      <formula>0.8</formula>
    </cfRule>
  </conditionalFormatting>
  <conditionalFormatting sqref="V93:X95">
    <cfRule type="notContainsText" dxfId="508" priority="1125" operator="notContains" text="Caida">
      <formula>ISERROR(SEARCH("Caida",V93))</formula>
    </cfRule>
    <cfRule type="containsText" dxfId="507" priority="1126" operator="containsText" text="Caida">
      <formula>NOT(ISERROR(SEARCH("Caida",V93)))</formula>
    </cfRule>
  </conditionalFormatting>
  <conditionalFormatting sqref="E1:E372 E391:E1048576">
    <cfRule type="containsText" dxfId="506" priority="985" operator="containsText" text="fija">
      <formula>NOT(ISERROR(SEARCH("fija",E1)))</formula>
    </cfRule>
    <cfRule type="containsText" dxfId="505" priority="986" operator="containsText" text="domo">
      <formula>NOT(ISERROR(SEARCH("domo",E1)))</formula>
    </cfRule>
  </conditionalFormatting>
  <conditionalFormatting sqref="AK6:AP92">
    <cfRule type="cellIs" dxfId="504" priority="961" operator="lessThan">
      <formula>0.8</formula>
    </cfRule>
    <cfRule type="cellIs" dxfId="503" priority="962" operator="greaterThan">
      <formula>0.8</formula>
    </cfRule>
  </conditionalFormatting>
  <conditionalFormatting sqref="AK6:AP92">
    <cfRule type="notContainsText" dxfId="502" priority="959" operator="notContains" text="Caida">
      <formula>ISERROR(SEARCH("Caida",AK6))</formula>
    </cfRule>
    <cfRule type="containsText" dxfId="501" priority="960" operator="containsText" text="Caida">
      <formula>NOT(ISERROR(SEARCH("Caida",AK6)))</formula>
    </cfRule>
  </conditionalFormatting>
  <conditionalFormatting sqref="AK22:AR22">
    <cfRule type="containsText" dxfId="500" priority="958" operator="containsText" text="Instaladas en Funcionamiento Caida">
      <formula>NOT(ISERROR(SEARCH("Instaladas en Funcionamiento Caida",AK22)))</formula>
    </cfRule>
  </conditionalFormatting>
  <conditionalFormatting sqref="AK5:AR5">
    <cfRule type="cellIs" dxfId="499" priority="956" operator="lessThan">
      <formula>0.8</formula>
    </cfRule>
    <cfRule type="cellIs" dxfId="498" priority="957" operator="greaterThan">
      <formula>0.8</formula>
    </cfRule>
  </conditionalFormatting>
  <conditionalFormatting sqref="AK5:AR5">
    <cfRule type="notContainsText" dxfId="497" priority="954" operator="notContains" text="Caida">
      <formula>ISERROR(SEARCH("Caida",AK5))</formula>
    </cfRule>
    <cfRule type="containsText" dxfId="496" priority="955" operator="containsText" text="Caida">
      <formula>NOT(ISERROR(SEARCH("Caida",AK5)))</formula>
    </cfRule>
  </conditionalFormatting>
  <conditionalFormatting sqref="AK93:AP94">
    <cfRule type="cellIs" dxfId="495" priority="952" operator="lessThan">
      <formula>0.8</formula>
    </cfRule>
    <cfRule type="cellIs" dxfId="494" priority="953" operator="greaterThan">
      <formula>0.8</formula>
    </cfRule>
  </conditionalFormatting>
  <conditionalFormatting sqref="AK93:AP94">
    <cfRule type="notContainsText" dxfId="493" priority="950" operator="notContains" text="Caida">
      <formula>ISERROR(SEARCH("Caida",AK93))</formula>
    </cfRule>
    <cfRule type="containsText" dxfId="492" priority="951" operator="containsText" text="Caida">
      <formula>NOT(ISERROR(SEARCH("Caida",AK93)))</formula>
    </cfRule>
  </conditionalFormatting>
  <conditionalFormatting sqref="O247:O372 O5:X369 AK1:AR1 AK397:AR1048576 AK5:AR372 AA5:AJ369">
    <cfRule type="cellIs" dxfId="491" priority="949" operator="equal">
      <formula>"APAGADO"</formula>
    </cfRule>
  </conditionalFormatting>
  <conditionalFormatting sqref="S6:S92 S96:S230">
    <cfRule type="cellIs" dxfId="490" priority="933" operator="lessThan">
      <formula>0.8</formula>
    </cfRule>
    <cfRule type="cellIs" dxfId="489" priority="934" operator="greaterThan">
      <formula>0.8</formula>
    </cfRule>
  </conditionalFormatting>
  <conditionalFormatting sqref="S6:S92 S96:S230">
    <cfRule type="notContainsText" dxfId="488" priority="931" operator="notContains" text="Caida">
      <formula>ISERROR(SEARCH("Caida",S6))</formula>
    </cfRule>
    <cfRule type="containsText" dxfId="487" priority="932" operator="containsText" text="Caida">
      <formula>NOT(ISERROR(SEARCH("Caida",S6)))</formula>
    </cfRule>
  </conditionalFormatting>
  <conditionalFormatting sqref="S337:S366 S284:S334">
    <cfRule type="cellIs" dxfId="486" priority="929" operator="lessThan">
      <formula>0.8</formula>
    </cfRule>
    <cfRule type="cellIs" dxfId="485" priority="930" operator="greaterThan">
      <formula>0.8</formula>
    </cfRule>
  </conditionalFormatting>
  <conditionalFormatting sqref="S337:S366 S284:S334">
    <cfRule type="notContainsText" dxfId="484" priority="927" operator="notContains" text="Caida">
      <formula>ISERROR(SEARCH("Caida",S284))</formula>
    </cfRule>
    <cfRule type="containsText" dxfId="483" priority="928" operator="containsText" text="Caida">
      <formula>NOT(ISERROR(SEARCH("Caida",S284)))</formula>
    </cfRule>
  </conditionalFormatting>
  <conditionalFormatting sqref="S93:S95">
    <cfRule type="cellIs" dxfId="482" priority="925" operator="lessThan">
      <formula>0.8</formula>
    </cfRule>
    <cfRule type="cellIs" dxfId="481" priority="926" operator="greaterThan">
      <formula>0.8</formula>
    </cfRule>
  </conditionalFormatting>
  <conditionalFormatting sqref="S93:S95">
    <cfRule type="notContainsText" dxfId="480" priority="923" operator="notContains" text="Caida">
      <formula>ISERROR(SEARCH("Caida",S93))</formula>
    </cfRule>
    <cfRule type="containsText" dxfId="479" priority="924" operator="containsText" text="Caida">
      <formula>NOT(ISERROR(SEARCH("Caida",S93)))</formula>
    </cfRule>
  </conditionalFormatting>
  <conditionalFormatting sqref="T6:T92 T96:T230">
    <cfRule type="cellIs" dxfId="478" priority="921" operator="lessThan">
      <formula>0.8</formula>
    </cfRule>
    <cfRule type="cellIs" dxfId="477" priority="922" operator="greaterThan">
      <formula>0.8</formula>
    </cfRule>
  </conditionalFormatting>
  <conditionalFormatting sqref="T6:T92 T96:T230">
    <cfRule type="notContainsText" dxfId="476" priority="919" operator="notContains" text="Caida">
      <formula>ISERROR(SEARCH("Caida",T6))</formula>
    </cfRule>
    <cfRule type="containsText" dxfId="475" priority="920" operator="containsText" text="Caida">
      <formula>NOT(ISERROR(SEARCH("Caida",T6)))</formula>
    </cfRule>
  </conditionalFormatting>
  <conditionalFormatting sqref="T337:T366 T284:T334">
    <cfRule type="cellIs" dxfId="474" priority="917" operator="lessThan">
      <formula>0.8</formula>
    </cfRule>
    <cfRule type="cellIs" dxfId="473" priority="918" operator="greaterThan">
      <formula>0.8</formula>
    </cfRule>
  </conditionalFormatting>
  <conditionalFormatting sqref="T337:T366 T284:T334">
    <cfRule type="notContainsText" dxfId="472" priority="915" operator="notContains" text="Caida">
      <formula>ISERROR(SEARCH("Caida",T284))</formula>
    </cfRule>
    <cfRule type="containsText" dxfId="471" priority="916" operator="containsText" text="Caida">
      <formula>NOT(ISERROR(SEARCH("Caida",T284)))</formula>
    </cfRule>
  </conditionalFormatting>
  <conditionalFormatting sqref="T93:T95">
    <cfRule type="cellIs" dxfId="470" priority="913" operator="lessThan">
      <formula>0.8</formula>
    </cfRule>
    <cfRule type="cellIs" dxfId="469" priority="914" operator="greaterThan">
      <formula>0.8</formula>
    </cfRule>
  </conditionalFormatting>
  <conditionalFormatting sqref="T93:T95">
    <cfRule type="notContainsText" dxfId="468" priority="911" operator="notContains" text="Caida">
      <formula>ISERROR(SEARCH("Caida",T93))</formula>
    </cfRule>
    <cfRule type="containsText" dxfId="467" priority="912" operator="containsText" text="Caida">
      <formula>NOT(ISERROR(SEARCH("Caida",T93)))</formula>
    </cfRule>
  </conditionalFormatting>
  <conditionalFormatting sqref="F1:F372 F391:F1048576">
    <cfRule type="cellIs" dxfId="466" priority="840" operator="equal">
      <formula>"PTP A FO"</formula>
    </cfRule>
  </conditionalFormatting>
  <conditionalFormatting sqref="R371:T372">
    <cfRule type="cellIs" dxfId="465" priority="469" operator="lessThan">
      <formula>0.8</formula>
    </cfRule>
    <cfRule type="cellIs" dxfId="464" priority="470" operator="greaterThan">
      <formula>0.8</formula>
    </cfRule>
  </conditionalFormatting>
  <conditionalFormatting sqref="R371:T372">
    <cfRule type="notContainsText" dxfId="463" priority="467" operator="notContains" text="Caida">
      <formula>ISERROR(SEARCH("Caida",R371))</formula>
    </cfRule>
    <cfRule type="containsText" dxfId="462" priority="468" operator="containsText" text="Caida">
      <formula>NOT(ISERROR(SEARCH("Caida",R371)))</formula>
    </cfRule>
  </conditionalFormatting>
  <conditionalFormatting sqref="O6:O92">
    <cfRule type="cellIs" dxfId="461" priority="457" operator="lessThan">
      <formula>0.8</formula>
    </cfRule>
    <cfRule type="cellIs" dxfId="460" priority="458" operator="greaterThan">
      <formula>0.8</formula>
    </cfRule>
  </conditionalFormatting>
  <conditionalFormatting sqref="O6:O92">
    <cfRule type="notContainsText" dxfId="459" priority="455" operator="notContains" text="Caida">
      <formula>ISERROR(SEARCH("Caida",O6))</formula>
    </cfRule>
    <cfRule type="containsText" dxfId="458" priority="456" operator="containsText" text="Caida">
      <formula>NOT(ISERROR(SEARCH("Caida",O6)))</formula>
    </cfRule>
  </conditionalFormatting>
  <conditionalFormatting sqref="O22">
    <cfRule type="containsText" dxfId="457" priority="454" operator="containsText" text="Instaladas en Funcionamiento Caida">
      <formula>NOT(ISERROR(SEARCH("Instaladas en Funcionamiento Caida",O22)))</formula>
    </cfRule>
  </conditionalFormatting>
  <conditionalFormatting sqref="O5">
    <cfRule type="cellIs" dxfId="456" priority="452" operator="lessThan">
      <formula>0.8</formula>
    </cfRule>
    <cfRule type="cellIs" dxfId="455" priority="453" operator="greaterThan">
      <formula>0.8</formula>
    </cfRule>
  </conditionalFormatting>
  <conditionalFormatting sqref="O5">
    <cfRule type="notContainsText" dxfId="454" priority="450" operator="notContains" text="Caida">
      <formula>ISERROR(SEARCH("Caida",O5))</formula>
    </cfRule>
    <cfRule type="containsText" dxfId="453" priority="451" operator="containsText" text="Caida">
      <formula>NOT(ISERROR(SEARCH("Caida",O5)))</formula>
    </cfRule>
  </conditionalFormatting>
  <conditionalFormatting sqref="O93:O94">
    <cfRule type="cellIs" dxfId="452" priority="448" operator="lessThan">
      <formula>0.8</formula>
    </cfRule>
    <cfRule type="cellIs" dxfId="451" priority="449" operator="greaterThan">
      <formula>0.8</formula>
    </cfRule>
  </conditionalFormatting>
  <conditionalFormatting sqref="O93:O94">
    <cfRule type="notContainsText" dxfId="450" priority="446" operator="notContains" text="Caida">
      <formula>ISERROR(SEARCH("Caida",O93))</formula>
    </cfRule>
    <cfRule type="containsText" dxfId="449" priority="447" operator="containsText" text="Caida">
      <formula>NOT(ISERROR(SEARCH("Caida",O93)))</formula>
    </cfRule>
  </conditionalFormatting>
  <conditionalFormatting sqref="AR6:AR92">
    <cfRule type="cellIs" dxfId="448" priority="439" operator="lessThan">
      <formula>0.8</formula>
    </cfRule>
    <cfRule type="cellIs" dxfId="447" priority="440" operator="greaterThan">
      <formula>0.8</formula>
    </cfRule>
  </conditionalFormatting>
  <conditionalFormatting sqref="AR6:AR92">
    <cfRule type="notContainsText" dxfId="446" priority="437" operator="notContains" text="Caida">
      <formula>ISERROR(SEARCH("Caida",AR6))</formula>
    </cfRule>
    <cfRule type="containsText" dxfId="445" priority="438" operator="containsText" text="Caida">
      <formula>NOT(ISERROR(SEARCH("Caida",AR6)))</formula>
    </cfRule>
  </conditionalFormatting>
  <conditionalFormatting sqref="AR93:AR94">
    <cfRule type="cellIs" dxfId="444" priority="435" operator="lessThan">
      <formula>0.8</formula>
    </cfRule>
    <cfRule type="cellIs" dxfId="443" priority="436" operator="greaterThan">
      <formula>0.8</formula>
    </cfRule>
  </conditionalFormatting>
  <conditionalFormatting sqref="AR93:AR94">
    <cfRule type="notContainsText" dxfId="442" priority="433" operator="notContains" text="Caida">
      <formula>ISERROR(SEARCH("Caida",AR93))</formula>
    </cfRule>
    <cfRule type="containsText" dxfId="441" priority="434" operator="containsText" text="Caida">
      <formula>NOT(ISERROR(SEARCH("Caida",AR93)))</formula>
    </cfRule>
  </conditionalFormatting>
  <conditionalFormatting sqref="AA6:AF92">
    <cfRule type="cellIs" dxfId="440" priority="374" operator="lessThan">
      <formula>0.8</formula>
    </cfRule>
    <cfRule type="cellIs" dxfId="439" priority="375" operator="greaterThan">
      <formula>0.8</formula>
    </cfRule>
  </conditionalFormatting>
  <conditionalFormatting sqref="AA6:AF92">
    <cfRule type="notContainsText" dxfId="438" priority="372" operator="notContains" text="Caida">
      <formula>ISERROR(SEARCH("Caida",AA6))</formula>
    </cfRule>
    <cfRule type="containsText" dxfId="437" priority="373" operator="containsText" text="Caida">
      <formula>NOT(ISERROR(SEARCH("Caida",AA6)))</formula>
    </cfRule>
  </conditionalFormatting>
  <conditionalFormatting sqref="AA93:AF95">
    <cfRule type="cellIs" dxfId="436" priority="370" operator="lessThan">
      <formula>0.8</formula>
    </cfRule>
    <cfRule type="cellIs" dxfId="435" priority="371" operator="greaterThan">
      <formula>0.8</formula>
    </cfRule>
  </conditionalFormatting>
  <conditionalFormatting sqref="AA93:AF95">
    <cfRule type="notContainsText" dxfId="434" priority="368" operator="notContains" text="Caida">
      <formula>ISERROR(SEARCH("Caida",AA93))</formula>
    </cfRule>
    <cfRule type="containsText" dxfId="433" priority="369" operator="containsText" text="Caida">
      <formula>NOT(ISERROR(SEARCH("Caida",AA93)))</formula>
    </cfRule>
  </conditionalFormatting>
  <conditionalFormatting sqref="AF1 AF5:AF372 AF397:AF1048576 AF3">
    <cfRule type="cellIs" dxfId="432" priority="367" operator="equal">
      <formula>"apagado"</formula>
    </cfRule>
  </conditionalFormatting>
  <conditionalFormatting sqref="AE1 AE5:AE372 AE397:AE1048576 AE3">
    <cfRule type="cellIs" dxfId="431" priority="366" operator="equal">
      <formula>"apagado"</formula>
    </cfRule>
  </conditionalFormatting>
  <conditionalFormatting sqref="AD1 AD5:AD372 AD397:AD1048576 AD3">
    <cfRule type="cellIs" dxfId="430" priority="365" operator="equal">
      <formula>"apagado"</formula>
    </cfRule>
  </conditionalFormatting>
  <conditionalFormatting sqref="AC1 AC5:AC372 AC397:AC1048576 AC3">
    <cfRule type="cellIs" dxfId="429" priority="364" operator="equal">
      <formula>"apagado"</formula>
    </cfRule>
  </conditionalFormatting>
  <conditionalFormatting sqref="AB1 AB5:AB372 AB397:AB1048576 AB3">
    <cfRule type="cellIs" dxfId="428" priority="363" operator="equal">
      <formula>"apagado"</formula>
    </cfRule>
  </conditionalFormatting>
  <conditionalFormatting sqref="AA1 AA5:AA372 AA397:AA1048576 AA3">
    <cfRule type="cellIs" dxfId="427" priority="362" operator="equal">
      <formula>"apagado"</formula>
    </cfRule>
  </conditionalFormatting>
  <conditionalFormatting sqref="Z1 Z397:Z1048576 Z3">
    <cfRule type="cellIs" dxfId="426" priority="361" operator="equal">
      <formula>"apagado"</formula>
    </cfRule>
  </conditionalFormatting>
  <conditionalFormatting sqref="Y1 Y397:Y1048576 Y3">
    <cfRule type="cellIs" dxfId="425" priority="360" operator="equal">
      <formula>"apagado"</formula>
    </cfRule>
  </conditionalFormatting>
  <conditionalFormatting sqref="AG6:AG92">
    <cfRule type="cellIs" dxfId="424" priority="358" operator="lessThan">
      <formula>0.8</formula>
    </cfRule>
    <cfRule type="cellIs" dxfId="423" priority="359" operator="greaterThan">
      <formula>0.8</formula>
    </cfRule>
  </conditionalFormatting>
  <conditionalFormatting sqref="AG6:AG92">
    <cfRule type="notContainsText" dxfId="422" priority="356" operator="notContains" text="Caida">
      <formula>ISERROR(SEARCH("Caida",AG6))</formula>
    </cfRule>
    <cfRule type="containsText" dxfId="421" priority="357" operator="containsText" text="Caida">
      <formula>NOT(ISERROR(SEARCH("Caida",AG6)))</formula>
    </cfRule>
  </conditionalFormatting>
  <conditionalFormatting sqref="AG93:AG95">
    <cfRule type="cellIs" dxfId="420" priority="354" operator="lessThan">
      <formula>0.8</formula>
    </cfRule>
    <cfRule type="cellIs" dxfId="419" priority="355" operator="greaterThan">
      <formula>0.8</formula>
    </cfRule>
  </conditionalFormatting>
  <conditionalFormatting sqref="AG93:AG95">
    <cfRule type="notContainsText" dxfId="418" priority="352" operator="notContains" text="Caida">
      <formula>ISERROR(SEARCH("Caida",AG93))</formula>
    </cfRule>
    <cfRule type="containsText" dxfId="417" priority="353" operator="containsText" text="Caida">
      <formula>NOT(ISERROR(SEARCH("Caida",AG93)))</formula>
    </cfRule>
  </conditionalFormatting>
  <conditionalFormatting sqref="AG1 AG5:AG372 AG397:AG1048576 AG3">
    <cfRule type="cellIs" dxfId="416" priority="351" operator="equal">
      <formula>"apagado"</formula>
    </cfRule>
  </conditionalFormatting>
  <conditionalFormatting sqref="AH6:AH92">
    <cfRule type="cellIs" dxfId="415" priority="349" operator="lessThan">
      <formula>0.8</formula>
    </cfRule>
    <cfRule type="cellIs" dxfId="414" priority="350" operator="greaterThan">
      <formula>0.8</formula>
    </cfRule>
  </conditionalFormatting>
  <conditionalFormatting sqref="AH6:AH92">
    <cfRule type="notContainsText" dxfId="413" priority="347" operator="notContains" text="Caida">
      <formula>ISERROR(SEARCH("Caida",AH6))</formula>
    </cfRule>
    <cfRule type="containsText" dxfId="412" priority="348" operator="containsText" text="Caida">
      <formula>NOT(ISERROR(SEARCH("Caida",AH6)))</formula>
    </cfRule>
  </conditionalFormatting>
  <conditionalFormatting sqref="AH93:AH95">
    <cfRule type="cellIs" dxfId="411" priority="345" operator="lessThan">
      <formula>0.8</formula>
    </cfRule>
    <cfRule type="cellIs" dxfId="410" priority="346" operator="greaterThan">
      <formula>0.8</formula>
    </cfRule>
  </conditionalFormatting>
  <conditionalFormatting sqref="AH93:AH95">
    <cfRule type="notContainsText" dxfId="409" priority="343" operator="notContains" text="Caida">
      <formula>ISERROR(SEARCH("Caida",AH93))</formula>
    </cfRule>
    <cfRule type="containsText" dxfId="408" priority="344" operator="containsText" text="Caida">
      <formula>NOT(ISERROR(SEARCH("Caida",AH93)))</formula>
    </cfRule>
  </conditionalFormatting>
  <conditionalFormatting sqref="AH1 AH397:AH1048576 AH3 AH5:AH372">
    <cfRule type="cellIs" dxfId="407" priority="342" operator="equal">
      <formula>"apagado"</formula>
    </cfRule>
  </conditionalFormatting>
  <conditionalFormatting sqref="AI6:AI92">
    <cfRule type="cellIs" dxfId="406" priority="340" operator="lessThan">
      <formula>0.8</formula>
    </cfRule>
    <cfRule type="cellIs" dxfId="405" priority="341" operator="greaterThan">
      <formula>0.8</formula>
    </cfRule>
  </conditionalFormatting>
  <conditionalFormatting sqref="AI6:AI92">
    <cfRule type="notContainsText" dxfId="404" priority="338" operator="notContains" text="Caida">
      <formula>ISERROR(SEARCH("Caida",AI6))</formula>
    </cfRule>
    <cfRule type="containsText" dxfId="403" priority="339" operator="containsText" text="Caida">
      <formula>NOT(ISERROR(SEARCH("Caida",AI6)))</formula>
    </cfRule>
  </conditionalFormatting>
  <conditionalFormatting sqref="AI93:AI95">
    <cfRule type="cellIs" dxfId="402" priority="336" operator="lessThan">
      <formula>0.8</formula>
    </cfRule>
    <cfRule type="cellIs" dxfId="401" priority="337" operator="greaterThan">
      <formula>0.8</formula>
    </cfRule>
  </conditionalFormatting>
  <conditionalFormatting sqref="AI93:AI95">
    <cfRule type="notContainsText" dxfId="400" priority="334" operator="notContains" text="Caida">
      <formula>ISERROR(SEARCH("Caida",AI93))</formula>
    </cfRule>
    <cfRule type="containsText" dxfId="399" priority="335" operator="containsText" text="Caida">
      <formula>NOT(ISERROR(SEARCH("Caida",AI93)))</formula>
    </cfRule>
  </conditionalFormatting>
  <conditionalFormatting sqref="AI1 AI5:AI372 AI397:AI1048576 AI3">
    <cfRule type="cellIs" dxfId="398" priority="333" operator="equal">
      <formula>"apagado"</formula>
    </cfRule>
  </conditionalFormatting>
  <conditionalFormatting sqref="AJ6:AJ92">
    <cfRule type="cellIs" dxfId="397" priority="331" operator="lessThan">
      <formula>0.8</formula>
    </cfRule>
    <cfRule type="cellIs" dxfId="396" priority="332" operator="greaterThan">
      <formula>0.8</formula>
    </cfRule>
  </conditionalFormatting>
  <conditionalFormatting sqref="AJ6:AJ92">
    <cfRule type="notContainsText" dxfId="395" priority="329" operator="notContains" text="Caida">
      <formula>ISERROR(SEARCH("Caida",AJ6))</formula>
    </cfRule>
    <cfRule type="containsText" dxfId="394" priority="330" operator="containsText" text="Caida">
      <formula>NOT(ISERROR(SEARCH("Caida",AJ6)))</formula>
    </cfRule>
  </conditionalFormatting>
  <conditionalFormatting sqref="AJ93:AJ95">
    <cfRule type="cellIs" dxfId="393" priority="327" operator="lessThan">
      <formula>0.8</formula>
    </cfRule>
    <cfRule type="cellIs" dxfId="392" priority="328" operator="greaterThan">
      <formula>0.8</formula>
    </cfRule>
  </conditionalFormatting>
  <conditionalFormatting sqref="AJ93:AJ95">
    <cfRule type="notContainsText" dxfId="391" priority="325" operator="notContains" text="Caida">
      <formula>ISERROR(SEARCH("Caida",AJ93))</formula>
    </cfRule>
    <cfRule type="containsText" dxfId="390" priority="326" operator="containsText" text="Caida">
      <formula>NOT(ISERROR(SEARCH("Caida",AJ93)))</formula>
    </cfRule>
  </conditionalFormatting>
  <conditionalFormatting sqref="AJ1 AJ5:AJ372 AJ397:AJ1048576 AJ3">
    <cfRule type="cellIs" dxfId="389" priority="324" operator="equal">
      <formula>"apagado"</formula>
    </cfRule>
  </conditionalFormatting>
  <conditionalFormatting sqref="AQ95:AQ369">
    <cfRule type="cellIs" dxfId="388" priority="305" operator="lessThan">
      <formula>0.8</formula>
    </cfRule>
    <cfRule type="cellIs" dxfId="387" priority="306" operator="greaterThan">
      <formula>0.8</formula>
    </cfRule>
  </conditionalFormatting>
  <conditionalFormatting sqref="AQ95:AQ372 AQ397:AQ1048576">
    <cfRule type="notContainsText" dxfId="386" priority="303" operator="notContains" text="Caida">
      <formula>ISERROR(SEARCH("Caida",AQ95))</formula>
    </cfRule>
    <cfRule type="containsText" dxfId="385" priority="304" operator="containsText" text="Caida">
      <formula>NOT(ISERROR(SEARCH("Caida",AQ95)))</formula>
    </cfRule>
  </conditionalFormatting>
  <conditionalFormatting sqref="AQ6:AQ92">
    <cfRule type="cellIs" dxfId="384" priority="301" operator="lessThan">
      <formula>0.8</formula>
    </cfRule>
    <cfRule type="cellIs" dxfId="383" priority="302" operator="greaterThan">
      <formula>0.8</formula>
    </cfRule>
  </conditionalFormatting>
  <conditionalFormatting sqref="AQ6:AQ92">
    <cfRule type="notContainsText" dxfId="382" priority="299" operator="notContains" text="Caida">
      <formula>ISERROR(SEARCH("Caida",AQ6))</formula>
    </cfRule>
    <cfRule type="containsText" dxfId="381" priority="300" operator="containsText" text="Caida">
      <formula>NOT(ISERROR(SEARCH("Caida",AQ6)))</formula>
    </cfRule>
  </conditionalFormatting>
  <conditionalFormatting sqref="AQ93:AQ94">
    <cfRule type="cellIs" dxfId="380" priority="297" operator="lessThan">
      <formula>0.8</formula>
    </cfRule>
    <cfRule type="cellIs" dxfId="379" priority="298" operator="greaterThan">
      <formula>0.8</formula>
    </cfRule>
  </conditionalFormatting>
  <conditionalFormatting sqref="AQ93:AQ94">
    <cfRule type="notContainsText" dxfId="378" priority="295" operator="notContains" text="Caida">
      <formula>ISERROR(SEARCH("Caida",AQ93))</formula>
    </cfRule>
    <cfRule type="containsText" dxfId="377" priority="296" operator="containsText" text="Caida">
      <formula>NOT(ISERROR(SEARCH("Caida",AQ93)))</formula>
    </cfRule>
  </conditionalFormatting>
  <conditionalFormatting sqref="AQ10">
    <cfRule type="cellIs" dxfId="376" priority="290" operator="equal">
      <formula>"apagado"</formula>
    </cfRule>
    <cfRule type="cellIs" dxfId="375" priority="293" operator="lessThan">
      <formula>0.8</formula>
    </cfRule>
    <cfRule type="cellIs" dxfId="374" priority="294" operator="greaterThan">
      <formula>0.8</formula>
    </cfRule>
  </conditionalFormatting>
  <conditionalFormatting sqref="AQ10">
    <cfRule type="notContainsText" dxfId="373" priority="291" operator="notContains" text="Caida">
      <formula>ISERROR(SEARCH("Caida",AQ10))</formula>
    </cfRule>
    <cfRule type="containsText" dxfId="372" priority="292" operator="containsText" text="Caida">
      <formula>NOT(ISERROR(SEARCH("Caida",AQ10)))</formula>
    </cfRule>
  </conditionalFormatting>
  <conditionalFormatting sqref="AQ1 AQ5:AQ372 AQ397:AQ1048576 AQ3">
    <cfRule type="cellIs" dxfId="371" priority="289" operator="equal">
      <formula>"apagado"</formula>
    </cfRule>
  </conditionalFormatting>
  <conditionalFormatting sqref="O5:X372 AA5:AR372">
    <cfRule type="cellIs" dxfId="370" priority="288" operator="equal">
      <formula>"APAGADO"</formula>
    </cfRule>
  </conditionalFormatting>
  <conditionalFormatting sqref="Y96:Y372">
    <cfRule type="cellIs" dxfId="369" priority="250" operator="lessThan">
      <formula>0.8</formula>
    </cfRule>
    <cfRule type="cellIs" dxfId="368" priority="251" operator="greaterThan">
      <formula>0.8</formula>
    </cfRule>
  </conditionalFormatting>
  <conditionalFormatting sqref="Y96:Y372">
    <cfRule type="notContainsText" dxfId="367" priority="248" operator="notContains" text="Caida">
      <formula>ISERROR(SEARCH("Caida",Y96))</formula>
    </cfRule>
    <cfRule type="containsText" dxfId="366" priority="249" operator="containsText" text="Caida">
      <formula>NOT(ISERROR(SEARCH("Caida",Y96)))</formula>
    </cfRule>
  </conditionalFormatting>
  <conditionalFormatting sqref="Y22">
    <cfRule type="containsText" dxfId="365" priority="247" operator="containsText" text="Instaladas en Funcionamiento Caida">
      <formula>NOT(ISERROR(SEARCH("Instaladas en Funcionamiento Caida",Y22)))</formula>
    </cfRule>
  </conditionalFormatting>
  <conditionalFormatting sqref="Y5">
    <cfRule type="cellIs" dxfId="364" priority="245" operator="lessThan">
      <formula>0.8</formula>
    </cfRule>
    <cfRule type="cellIs" dxfId="363" priority="246" operator="greaterThan">
      <formula>0.8</formula>
    </cfRule>
  </conditionalFormatting>
  <conditionalFormatting sqref="Y5">
    <cfRule type="notContainsText" dxfId="362" priority="243" operator="notContains" text="Caida">
      <formula>ISERROR(SEARCH("Caida",Y5))</formula>
    </cfRule>
    <cfRule type="containsText" dxfId="361" priority="244" operator="containsText" text="Caida">
      <formula>NOT(ISERROR(SEARCH("Caida",Y5)))</formula>
    </cfRule>
  </conditionalFormatting>
  <conditionalFormatting sqref="Y5:Y372">
    <cfRule type="cellIs" dxfId="360" priority="242" operator="equal">
      <formula>"APAGADO"</formula>
    </cfRule>
  </conditionalFormatting>
  <conditionalFormatting sqref="Y6:Y92">
    <cfRule type="cellIs" dxfId="359" priority="240" operator="lessThan">
      <formula>0.8</formula>
    </cfRule>
    <cfRule type="cellIs" dxfId="358" priority="241" operator="greaterThan">
      <formula>0.8</formula>
    </cfRule>
  </conditionalFormatting>
  <conditionalFormatting sqref="Y6:Y92">
    <cfRule type="notContainsText" dxfId="357" priority="238" operator="notContains" text="Caida">
      <formula>ISERROR(SEARCH("Caida",Y6))</formula>
    </cfRule>
    <cfRule type="containsText" dxfId="356" priority="239" operator="containsText" text="Caida">
      <formula>NOT(ISERROR(SEARCH("Caida",Y6)))</formula>
    </cfRule>
  </conditionalFormatting>
  <conditionalFormatting sqref="Y93:Y95">
    <cfRule type="cellIs" dxfId="355" priority="236" operator="lessThan">
      <formula>0.8</formula>
    </cfRule>
    <cfRule type="cellIs" dxfId="354" priority="237" operator="greaterThan">
      <formula>0.8</formula>
    </cfRule>
  </conditionalFormatting>
  <conditionalFormatting sqref="Y93:Y95">
    <cfRule type="notContainsText" dxfId="353" priority="234" operator="notContains" text="Caida">
      <formula>ISERROR(SEARCH("Caida",Y93))</formula>
    </cfRule>
    <cfRule type="containsText" dxfId="352" priority="235" operator="containsText" text="Caida">
      <formula>NOT(ISERROR(SEARCH("Caida",Y93)))</formula>
    </cfRule>
  </conditionalFormatting>
  <conditionalFormatting sqref="Y5:Y372">
    <cfRule type="cellIs" dxfId="351" priority="233" operator="equal">
      <formula>"apagado"</formula>
    </cfRule>
  </conditionalFormatting>
  <conditionalFormatting sqref="Z96:Z372">
    <cfRule type="cellIs" dxfId="350" priority="230" operator="lessThan">
      <formula>0.8</formula>
    </cfRule>
    <cfRule type="cellIs" dxfId="349" priority="231" operator="greaterThan">
      <formula>0.8</formula>
    </cfRule>
  </conditionalFormatting>
  <conditionalFormatting sqref="Z96:Z372">
    <cfRule type="notContainsText" dxfId="348" priority="228" operator="notContains" text="Caida">
      <formula>ISERROR(SEARCH("Caida",Z96))</formula>
    </cfRule>
    <cfRule type="containsText" dxfId="347" priority="229" operator="containsText" text="Caida">
      <formula>NOT(ISERROR(SEARCH("Caida",Z96)))</formula>
    </cfRule>
  </conditionalFormatting>
  <conditionalFormatting sqref="Z22">
    <cfRule type="containsText" dxfId="346" priority="227" operator="containsText" text="Instaladas en Funcionamiento Caida">
      <formula>NOT(ISERROR(SEARCH("Instaladas en Funcionamiento Caida",Z22)))</formula>
    </cfRule>
  </conditionalFormatting>
  <conditionalFormatting sqref="Z5">
    <cfRule type="cellIs" dxfId="345" priority="225" operator="lessThan">
      <formula>0.8</formula>
    </cfRule>
    <cfRule type="cellIs" dxfId="344" priority="226" operator="greaterThan">
      <formula>0.8</formula>
    </cfRule>
  </conditionalFormatting>
  <conditionalFormatting sqref="Z5">
    <cfRule type="notContainsText" dxfId="343" priority="223" operator="notContains" text="Caida">
      <formula>ISERROR(SEARCH("Caida",Z5))</formula>
    </cfRule>
    <cfRule type="containsText" dxfId="342" priority="224" operator="containsText" text="Caida">
      <formula>NOT(ISERROR(SEARCH("Caida",Z5)))</formula>
    </cfRule>
  </conditionalFormatting>
  <conditionalFormatting sqref="Z5:Z372">
    <cfRule type="cellIs" dxfId="341" priority="222" operator="equal">
      <formula>"APAGADO"</formula>
    </cfRule>
  </conditionalFormatting>
  <conditionalFormatting sqref="Z6:Z92">
    <cfRule type="cellIs" dxfId="340" priority="220" operator="lessThan">
      <formula>0.8</formula>
    </cfRule>
    <cfRule type="cellIs" dxfId="339" priority="221" operator="greaterThan">
      <formula>0.8</formula>
    </cfRule>
  </conditionalFormatting>
  <conditionalFormatting sqref="Z6:Z92">
    <cfRule type="notContainsText" dxfId="338" priority="218" operator="notContains" text="Caida">
      <formula>ISERROR(SEARCH("Caida",Z6))</formula>
    </cfRule>
    <cfRule type="containsText" dxfId="337" priority="219" operator="containsText" text="Caida">
      <formula>NOT(ISERROR(SEARCH("Caida",Z6)))</formula>
    </cfRule>
  </conditionalFormatting>
  <conditionalFormatting sqref="Z93:Z95">
    <cfRule type="cellIs" dxfId="336" priority="216" operator="lessThan">
      <formula>0.8</formula>
    </cfRule>
    <cfRule type="cellIs" dxfId="335" priority="217" operator="greaterThan">
      <formula>0.8</formula>
    </cfRule>
  </conditionalFormatting>
  <conditionalFormatting sqref="Z93:Z95">
    <cfRule type="notContainsText" dxfId="334" priority="214" operator="notContains" text="Caida">
      <formula>ISERROR(SEARCH("Caida",Z93))</formula>
    </cfRule>
    <cfRule type="containsText" dxfId="333" priority="215" operator="containsText" text="Caida">
      <formula>NOT(ISERROR(SEARCH("Caida",Z93)))</formula>
    </cfRule>
  </conditionalFormatting>
  <conditionalFormatting sqref="Z5:Z372">
    <cfRule type="cellIs" dxfId="332" priority="213" operator="equal">
      <formula>"apagado"</formula>
    </cfRule>
  </conditionalFormatting>
  <conditionalFormatting sqref="AH94">
    <cfRule type="cellIs" dxfId="331" priority="210" operator="lessThan">
      <formula>0.8</formula>
    </cfRule>
    <cfRule type="cellIs" dxfId="330" priority="211" operator="greaterThan">
      <formula>0.8</formula>
    </cfRule>
  </conditionalFormatting>
  <conditionalFormatting sqref="AH94">
    <cfRule type="notContainsText" dxfId="329" priority="208" operator="notContains" text="Caida">
      <formula>ISERROR(SEARCH("Caida",AH94))</formula>
    </cfRule>
    <cfRule type="containsText" dxfId="328" priority="209" operator="containsText" text="Caida">
      <formula>NOT(ISERROR(SEARCH("Caida",AH94)))</formula>
    </cfRule>
  </conditionalFormatting>
  <conditionalFormatting sqref="AH96">
    <cfRule type="cellIs" dxfId="327" priority="206" operator="lessThan">
      <formula>0.8</formula>
    </cfRule>
    <cfRule type="cellIs" dxfId="326" priority="207" operator="greaterThan">
      <formula>0.8</formula>
    </cfRule>
  </conditionalFormatting>
  <conditionalFormatting sqref="AH96">
    <cfRule type="notContainsText" dxfId="325" priority="204" operator="notContains" text="Caida">
      <formula>ISERROR(SEARCH("Caida",AH96))</formula>
    </cfRule>
    <cfRule type="containsText" dxfId="324" priority="205" operator="containsText" text="Caida">
      <formula>NOT(ISERROR(SEARCH("Caida",AH96)))</formula>
    </cfRule>
  </conditionalFormatting>
  <conditionalFormatting sqref="AH99">
    <cfRule type="cellIs" dxfId="323" priority="202" operator="lessThan">
      <formula>0.8</formula>
    </cfRule>
    <cfRule type="cellIs" dxfId="322" priority="203" operator="greaterThan">
      <formula>0.8</formula>
    </cfRule>
  </conditionalFormatting>
  <conditionalFormatting sqref="AH99">
    <cfRule type="notContainsText" dxfId="321" priority="200" operator="notContains" text="Caida">
      <formula>ISERROR(SEARCH("Caida",AH99))</formula>
    </cfRule>
    <cfRule type="containsText" dxfId="320" priority="201" operator="containsText" text="Caida">
      <formula>NOT(ISERROR(SEARCH("Caida",AH99)))</formula>
    </cfRule>
  </conditionalFormatting>
  <conditionalFormatting sqref="AH115">
    <cfRule type="cellIs" dxfId="319" priority="198" operator="lessThan">
      <formula>0.8</formula>
    </cfRule>
    <cfRule type="cellIs" dxfId="318" priority="199" operator="greaterThan">
      <formula>0.8</formula>
    </cfRule>
  </conditionalFormatting>
  <conditionalFormatting sqref="AH115">
    <cfRule type="notContainsText" dxfId="317" priority="196" operator="notContains" text="Caida">
      <formula>ISERROR(SEARCH("Caida",AH115))</formula>
    </cfRule>
    <cfRule type="containsText" dxfId="316" priority="197" operator="containsText" text="Caida">
      <formula>NOT(ISERROR(SEARCH("Caida",AH115)))</formula>
    </cfRule>
  </conditionalFormatting>
  <conditionalFormatting sqref="AH116">
    <cfRule type="cellIs" dxfId="315" priority="194" operator="lessThan">
      <formula>0.8</formula>
    </cfRule>
    <cfRule type="cellIs" dxfId="314" priority="195" operator="greaterThan">
      <formula>0.8</formula>
    </cfRule>
  </conditionalFormatting>
  <conditionalFormatting sqref="AH116">
    <cfRule type="notContainsText" dxfId="313" priority="192" operator="notContains" text="Caida">
      <formula>ISERROR(SEARCH("Caida",AH116))</formula>
    </cfRule>
    <cfRule type="containsText" dxfId="312" priority="193" operator="containsText" text="Caida">
      <formula>NOT(ISERROR(SEARCH("Caida",AH116)))</formula>
    </cfRule>
  </conditionalFormatting>
  <conditionalFormatting sqref="AH120">
    <cfRule type="cellIs" dxfId="311" priority="190" operator="lessThan">
      <formula>0.8</formula>
    </cfRule>
    <cfRule type="cellIs" dxfId="310" priority="191" operator="greaterThan">
      <formula>0.8</formula>
    </cfRule>
  </conditionalFormatting>
  <conditionalFormatting sqref="AH120">
    <cfRule type="notContainsText" dxfId="309" priority="188" operator="notContains" text="Caida">
      <formula>ISERROR(SEARCH("Caida",AH120))</formula>
    </cfRule>
    <cfRule type="containsText" dxfId="308" priority="189" operator="containsText" text="Caida">
      <formula>NOT(ISERROR(SEARCH("Caida",AH120)))</formula>
    </cfRule>
  </conditionalFormatting>
  <conditionalFormatting sqref="AH121">
    <cfRule type="cellIs" dxfId="307" priority="186" operator="lessThan">
      <formula>0.8</formula>
    </cfRule>
    <cfRule type="cellIs" dxfId="306" priority="187" operator="greaterThan">
      <formula>0.8</formula>
    </cfRule>
  </conditionalFormatting>
  <conditionalFormatting sqref="AH121">
    <cfRule type="notContainsText" dxfId="305" priority="184" operator="notContains" text="Caida">
      <formula>ISERROR(SEARCH("Caida",AH121))</formula>
    </cfRule>
    <cfRule type="containsText" dxfId="304" priority="185" operator="containsText" text="Caida">
      <formula>NOT(ISERROR(SEARCH("Caida",AH121)))</formula>
    </cfRule>
  </conditionalFormatting>
  <conditionalFormatting sqref="AH133">
    <cfRule type="cellIs" dxfId="303" priority="182" operator="lessThan">
      <formula>0.8</formula>
    </cfRule>
    <cfRule type="cellIs" dxfId="302" priority="183" operator="greaterThan">
      <formula>0.8</formula>
    </cfRule>
  </conditionalFormatting>
  <conditionalFormatting sqref="AH133">
    <cfRule type="notContainsText" dxfId="301" priority="180" operator="notContains" text="Caida">
      <formula>ISERROR(SEARCH("Caida",AH133))</formula>
    </cfRule>
    <cfRule type="containsText" dxfId="300" priority="181" operator="containsText" text="Caida">
      <formula>NOT(ISERROR(SEARCH("Caida",AH133)))</formula>
    </cfRule>
  </conditionalFormatting>
  <conditionalFormatting sqref="AH135">
    <cfRule type="cellIs" dxfId="299" priority="178" operator="lessThan">
      <formula>0.8</formula>
    </cfRule>
    <cfRule type="cellIs" dxfId="298" priority="179" operator="greaterThan">
      <formula>0.8</formula>
    </cfRule>
  </conditionalFormatting>
  <conditionalFormatting sqref="AH135">
    <cfRule type="notContainsText" dxfId="297" priority="176" operator="notContains" text="Caida">
      <formula>ISERROR(SEARCH("Caida",AH135))</formula>
    </cfRule>
    <cfRule type="containsText" dxfId="296" priority="177" operator="containsText" text="Caida">
      <formula>NOT(ISERROR(SEARCH("Caida",AH135)))</formula>
    </cfRule>
  </conditionalFormatting>
  <conditionalFormatting sqref="AH142">
    <cfRule type="cellIs" dxfId="295" priority="174" operator="lessThan">
      <formula>0.8</formula>
    </cfRule>
    <cfRule type="cellIs" dxfId="294" priority="175" operator="greaterThan">
      <formula>0.8</formula>
    </cfRule>
  </conditionalFormatting>
  <conditionalFormatting sqref="AH142">
    <cfRule type="notContainsText" dxfId="293" priority="172" operator="notContains" text="Caida">
      <formula>ISERROR(SEARCH("Caida",AH142))</formula>
    </cfRule>
    <cfRule type="containsText" dxfId="292" priority="173" operator="containsText" text="Caida">
      <formula>NOT(ISERROR(SEARCH("Caida",AH142)))</formula>
    </cfRule>
  </conditionalFormatting>
  <conditionalFormatting sqref="AH143">
    <cfRule type="cellIs" dxfId="291" priority="170" operator="lessThan">
      <formula>0.8</formula>
    </cfRule>
    <cfRule type="cellIs" dxfId="290" priority="171" operator="greaterThan">
      <formula>0.8</formula>
    </cfRule>
  </conditionalFormatting>
  <conditionalFormatting sqref="AH143">
    <cfRule type="notContainsText" dxfId="289" priority="168" operator="notContains" text="Caida">
      <formula>ISERROR(SEARCH("Caida",AH143))</formula>
    </cfRule>
    <cfRule type="containsText" dxfId="288" priority="169" operator="containsText" text="Caida">
      <formula>NOT(ISERROR(SEARCH("Caida",AH143)))</formula>
    </cfRule>
  </conditionalFormatting>
  <conditionalFormatting sqref="AH144">
    <cfRule type="cellIs" dxfId="287" priority="166" operator="lessThan">
      <formula>0.8</formula>
    </cfRule>
    <cfRule type="cellIs" dxfId="286" priority="167" operator="greaterThan">
      <formula>0.8</formula>
    </cfRule>
  </conditionalFormatting>
  <conditionalFormatting sqref="AH144">
    <cfRule type="notContainsText" dxfId="285" priority="164" operator="notContains" text="Caida">
      <formula>ISERROR(SEARCH("Caida",AH144))</formula>
    </cfRule>
    <cfRule type="containsText" dxfId="284" priority="165" operator="containsText" text="Caida">
      <formula>NOT(ISERROR(SEARCH("Caida",AH144)))</formula>
    </cfRule>
  </conditionalFormatting>
  <conditionalFormatting sqref="AH163">
    <cfRule type="cellIs" dxfId="283" priority="162" operator="lessThan">
      <formula>0.8</formula>
    </cfRule>
    <cfRule type="cellIs" dxfId="282" priority="163" operator="greaterThan">
      <formula>0.8</formula>
    </cfRule>
  </conditionalFormatting>
  <conditionalFormatting sqref="AH163">
    <cfRule type="notContainsText" dxfId="281" priority="160" operator="notContains" text="Caida">
      <formula>ISERROR(SEARCH("Caida",AH163))</formula>
    </cfRule>
    <cfRule type="containsText" dxfId="280" priority="161" operator="containsText" text="Caida">
      <formula>NOT(ISERROR(SEARCH("Caida",AH163)))</formula>
    </cfRule>
  </conditionalFormatting>
  <conditionalFormatting sqref="AH164">
    <cfRule type="cellIs" dxfId="279" priority="158" operator="lessThan">
      <formula>0.8</formula>
    </cfRule>
    <cfRule type="cellIs" dxfId="278" priority="159" operator="greaterThan">
      <formula>0.8</formula>
    </cfRule>
  </conditionalFormatting>
  <conditionalFormatting sqref="AH164">
    <cfRule type="notContainsText" dxfId="277" priority="156" operator="notContains" text="Caida">
      <formula>ISERROR(SEARCH("Caida",AH164))</formula>
    </cfRule>
    <cfRule type="containsText" dxfId="276" priority="157" operator="containsText" text="Caida">
      <formula>NOT(ISERROR(SEARCH("Caida",AH164)))</formula>
    </cfRule>
  </conditionalFormatting>
  <conditionalFormatting sqref="AH166">
    <cfRule type="cellIs" dxfId="275" priority="154" operator="lessThan">
      <formula>0.8</formula>
    </cfRule>
    <cfRule type="cellIs" dxfId="274" priority="155" operator="greaterThan">
      <formula>0.8</formula>
    </cfRule>
  </conditionalFormatting>
  <conditionalFormatting sqref="AH166">
    <cfRule type="notContainsText" dxfId="273" priority="152" operator="notContains" text="Caida">
      <formula>ISERROR(SEARCH("Caida",AH166))</formula>
    </cfRule>
    <cfRule type="containsText" dxfId="272" priority="153" operator="containsText" text="Caida">
      <formula>NOT(ISERROR(SEARCH("Caida",AH166)))</formula>
    </cfRule>
  </conditionalFormatting>
  <conditionalFormatting sqref="AH177">
    <cfRule type="cellIs" dxfId="271" priority="150" operator="lessThan">
      <formula>0.8</formula>
    </cfRule>
    <cfRule type="cellIs" dxfId="270" priority="151" operator="greaterThan">
      <formula>0.8</formula>
    </cfRule>
  </conditionalFormatting>
  <conditionalFormatting sqref="AH177">
    <cfRule type="notContainsText" dxfId="269" priority="148" operator="notContains" text="Caida">
      <formula>ISERROR(SEARCH("Caida",AH177))</formula>
    </cfRule>
    <cfRule type="containsText" dxfId="268" priority="149" operator="containsText" text="Caida">
      <formula>NOT(ISERROR(SEARCH("Caida",AH177)))</formula>
    </cfRule>
  </conditionalFormatting>
  <conditionalFormatting sqref="AH191">
    <cfRule type="cellIs" dxfId="267" priority="146" operator="lessThan">
      <formula>0.8</formula>
    </cfRule>
    <cfRule type="cellIs" dxfId="266" priority="147" operator="greaterThan">
      <formula>0.8</formula>
    </cfRule>
  </conditionalFormatting>
  <conditionalFormatting sqref="AH191">
    <cfRule type="notContainsText" dxfId="265" priority="144" operator="notContains" text="Caida">
      <formula>ISERROR(SEARCH("Caida",AH191))</formula>
    </cfRule>
    <cfRule type="containsText" dxfId="264" priority="145" operator="containsText" text="Caida">
      <formula>NOT(ISERROR(SEARCH("Caida",AH191)))</formula>
    </cfRule>
  </conditionalFormatting>
  <conditionalFormatting sqref="AH192">
    <cfRule type="cellIs" dxfId="263" priority="142" operator="lessThan">
      <formula>0.8</formula>
    </cfRule>
    <cfRule type="cellIs" dxfId="262" priority="143" operator="greaterThan">
      <formula>0.8</formula>
    </cfRule>
  </conditionalFormatting>
  <conditionalFormatting sqref="AH192">
    <cfRule type="notContainsText" dxfId="261" priority="140" operator="notContains" text="Caida">
      <formula>ISERROR(SEARCH("Caida",AH192))</formula>
    </cfRule>
    <cfRule type="containsText" dxfId="260" priority="141" operator="containsText" text="Caida">
      <formula>NOT(ISERROR(SEARCH("Caida",AH192)))</formula>
    </cfRule>
  </conditionalFormatting>
  <conditionalFormatting sqref="AH198">
    <cfRule type="cellIs" dxfId="259" priority="138" operator="lessThan">
      <formula>0.8</formula>
    </cfRule>
    <cfRule type="cellIs" dxfId="258" priority="139" operator="greaterThan">
      <formula>0.8</formula>
    </cfRule>
  </conditionalFormatting>
  <conditionalFormatting sqref="AH198">
    <cfRule type="notContainsText" dxfId="257" priority="136" operator="notContains" text="Caida">
      <formula>ISERROR(SEARCH("Caida",AH198))</formula>
    </cfRule>
    <cfRule type="containsText" dxfId="256" priority="137" operator="containsText" text="Caida">
      <formula>NOT(ISERROR(SEARCH("Caida",AH198)))</formula>
    </cfRule>
  </conditionalFormatting>
  <conditionalFormatting sqref="AH206">
    <cfRule type="cellIs" dxfId="255" priority="134" operator="lessThan">
      <formula>0.8</formula>
    </cfRule>
    <cfRule type="cellIs" dxfId="254" priority="135" operator="greaterThan">
      <formula>0.8</formula>
    </cfRule>
  </conditionalFormatting>
  <conditionalFormatting sqref="AH206">
    <cfRule type="notContainsText" dxfId="253" priority="132" operator="notContains" text="Caida">
      <formula>ISERROR(SEARCH("Caida",AH206))</formula>
    </cfRule>
    <cfRule type="containsText" dxfId="252" priority="133" operator="containsText" text="Caida">
      <formula>NOT(ISERROR(SEARCH("Caida",AH206)))</formula>
    </cfRule>
  </conditionalFormatting>
  <conditionalFormatting sqref="AH211">
    <cfRule type="cellIs" dxfId="251" priority="130" operator="lessThan">
      <formula>0.8</formula>
    </cfRule>
    <cfRule type="cellIs" dxfId="250" priority="131" operator="greaterThan">
      <formula>0.8</formula>
    </cfRule>
  </conditionalFormatting>
  <conditionalFormatting sqref="AH211">
    <cfRule type="notContainsText" dxfId="249" priority="128" operator="notContains" text="Caida">
      <formula>ISERROR(SEARCH("Caida",AH211))</formula>
    </cfRule>
    <cfRule type="containsText" dxfId="248" priority="129" operator="containsText" text="Caida">
      <formula>NOT(ISERROR(SEARCH("Caida",AH211)))</formula>
    </cfRule>
  </conditionalFormatting>
  <conditionalFormatting sqref="AH212">
    <cfRule type="cellIs" dxfId="247" priority="126" operator="lessThan">
      <formula>0.8</formula>
    </cfRule>
    <cfRule type="cellIs" dxfId="246" priority="127" operator="greaterThan">
      <formula>0.8</formula>
    </cfRule>
  </conditionalFormatting>
  <conditionalFormatting sqref="AH212">
    <cfRule type="notContainsText" dxfId="245" priority="124" operator="notContains" text="Caida">
      <formula>ISERROR(SEARCH("Caida",AH212))</formula>
    </cfRule>
    <cfRule type="containsText" dxfId="244" priority="125" operator="containsText" text="Caida">
      <formula>NOT(ISERROR(SEARCH("Caida",AH212)))</formula>
    </cfRule>
  </conditionalFormatting>
  <conditionalFormatting sqref="AH359">
    <cfRule type="cellIs" dxfId="243" priority="123" operator="equal">
      <formula>"apagado"</formula>
    </cfRule>
  </conditionalFormatting>
  <conditionalFormatting sqref="AH360">
    <cfRule type="cellIs" dxfId="242" priority="122" operator="equal">
      <formula>"apagado"</formula>
    </cfRule>
  </conditionalFormatting>
  <conditionalFormatting sqref="AH361">
    <cfRule type="cellIs" dxfId="241" priority="121" operator="equal">
      <formula>"apagado"</formula>
    </cfRule>
  </conditionalFormatting>
  <conditionalFormatting sqref="AH362">
    <cfRule type="cellIs" dxfId="240" priority="120" operator="equal">
      <formula>"apagado"</formula>
    </cfRule>
  </conditionalFormatting>
  <conditionalFormatting sqref="AH206">
    <cfRule type="cellIs" dxfId="239" priority="119" operator="equal">
      <formula>"apagado"</formula>
    </cfRule>
  </conditionalFormatting>
  <conditionalFormatting sqref="AH211">
    <cfRule type="cellIs" dxfId="238" priority="118" operator="equal">
      <formula>"apagado"</formula>
    </cfRule>
  </conditionalFormatting>
  <conditionalFormatting sqref="AH212">
    <cfRule type="cellIs" dxfId="237" priority="117" operator="equal">
      <formula>"apagado"</formula>
    </cfRule>
  </conditionalFormatting>
  <conditionalFormatting sqref="AH198">
    <cfRule type="cellIs" dxfId="236" priority="116" operator="equal">
      <formula>"apagado"</formula>
    </cfRule>
  </conditionalFormatting>
  <conditionalFormatting sqref="AH192">
    <cfRule type="cellIs" dxfId="235" priority="115" operator="equal">
      <formula>"apagado"</formula>
    </cfRule>
  </conditionalFormatting>
  <conditionalFormatting sqref="AH191">
    <cfRule type="cellIs" dxfId="234" priority="114" operator="equal">
      <formula>"apagado"</formula>
    </cfRule>
  </conditionalFormatting>
  <conditionalFormatting sqref="AH177">
    <cfRule type="cellIs" dxfId="233" priority="113" operator="equal">
      <formula>"apagado"</formula>
    </cfRule>
  </conditionalFormatting>
  <conditionalFormatting sqref="AH166">
    <cfRule type="cellIs" dxfId="232" priority="112" operator="equal">
      <formula>"apagado"</formula>
    </cfRule>
  </conditionalFormatting>
  <conditionalFormatting sqref="AH163">
    <cfRule type="cellIs" dxfId="231" priority="111" operator="equal">
      <formula>"apagado"</formula>
    </cfRule>
  </conditionalFormatting>
  <conditionalFormatting sqref="AH164">
    <cfRule type="cellIs" dxfId="230" priority="110" operator="equal">
      <formula>"apagado"</formula>
    </cfRule>
  </conditionalFormatting>
  <conditionalFormatting sqref="AH142">
    <cfRule type="cellIs" dxfId="229" priority="109" operator="equal">
      <formula>"apagado"</formula>
    </cfRule>
  </conditionalFormatting>
  <conditionalFormatting sqref="AH143">
    <cfRule type="cellIs" dxfId="228" priority="108" operator="equal">
      <formula>"apagado"</formula>
    </cfRule>
  </conditionalFormatting>
  <conditionalFormatting sqref="AH144">
    <cfRule type="cellIs" dxfId="227" priority="107" operator="equal">
      <formula>"apagado"</formula>
    </cfRule>
  </conditionalFormatting>
  <conditionalFormatting sqref="AH133">
    <cfRule type="cellIs" dxfId="226" priority="106" operator="equal">
      <formula>"apagado"</formula>
    </cfRule>
  </conditionalFormatting>
  <conditionalFormatting sqref="AH135">
    <cfRule type="cellIs" dxfId="225" priority="105" operator="equal">
      <formula>"apagado"</formula>
    </cfRule>
  </conditionalFormatting>
  <conditionalFormatting sqref="AH115">
    <cfRule type="cellIs" dxfId="224" priority="104" operator="equal">
      <formula>"apagado"</formula>
    </cfRule>
  </conditionalFormatting>
  <conditionalFormatting sqref="AH116">
    <cfRule type="cellIs" dxfId="223" priority="103" operator="equal">
      <formula>"apagado"</formula>
    </cfRule>
  </conditionalFormatting>
  <conditionalFormatting sqref="AH120">
    <cfRule type="cellIs" dxfId="222" priority="102" operator="equal">
      <formula>"apagado"</formula>
    </cfRule>
  </conditionalFormatting>
  <conditionalFormatting sqref="AH121">
    <cfRule type="cellIs" dxfId="221" priority="101" operator="equal">
      <formula>"apagado"</formula>
    </cfRule>
  </conditionalFormatting>
  <conditionalFormatting sqref="AH99">
    <cfRule type="cellIs" dxfId="220" priority="100" operator="equal">
      <formula>"apagado"</formula>
    </cfRule>
  </conditionalFormatting>
  <conditionalFormatting sqref="AH94">
    <cfRule type="cellIs" dxfId="219" priority="98" operator="lessThan">
      <formula>0.8</formula>
    </cfRule>
    <cfRule type="cellIs" dxfId="218" priority="99" operator="greaterThan">
      <formula>0.8</formula>
    </cfRule>
  </conditionalFormatting>
  <conditionalFormatting sqref="AH94">
    <cfRule type="notContainsText" dxfId="217" priority="96" operator="notContains" text="Caida">
      <formula>ISERROR(SEARCH("Caida",AH94))</formula>
    </cfRule>
    <cfRule type="containsText" dxfId="216" priority="97" operator="containsText" text="Caida">
      <formula>NOT(ISERROR(SEARCH("Caida",AH94)))</formula>
    </cfRule>
  </conditionalFormatting>
  <conditionalFormatting sqref="AH94">
    <cfRule type="cellIs" dxfId="215" priority="95" operator="equal">
      <formula>"apagado"</formula>
    </cfRule>
  </conditionalFormatting>
  <conditionalFormatting sqref="AH96">
    <cfRule type="cellIs" dxfId="214" priority="94" operator="equal">
      <formula>"apagado"</formula>
    </cfRule>
  </conditionalFormatting>
  <conditionalFormatting sqref="V373:X396 AA373:AJ396 N373:N396">
    <cfRule type="cellIs" dxfId="213" priority="78" operator="lessThan">
      <formula>0.8</formula>
    </cfRule>
    <cfRule type="cellIs" dxfId="212" priority="79" operator="greaterThan">
      <formula>0.8</formula>
    </cfRule>
  </conditionalFormatting>
  <conditionalFormatting sqref="E373:K379">
    <cfRule type="containsText" dxfId="211" priority="77" operator="containsText" text="Radio">
      <formula>NOT(ISERROR(SEARCH("Radio",E373)))</formula>
    </cfRule>
  </conditionalFormatting>
  <conditionalFormatting sqref="O373:O396 V373:X396 AA373:AP396 AR373:AR396">
    <cfRule type="notContainsText" dxfId="210" priority="75" operator="notContains" text="Caida">
      <formula>ISERROR(SEARCH("Caida",O373))</formula>
    </cfRule>
    <cfRule type="containsText" dxfId="209" priority="76" operator="containsText" text="Caida">
      <formula>NOT(ISERROR(SEARCH("Caida",O373)))</formula>
    </cfRule>
  </conditionalFormatting>
  <conditionalFormatting sqref="P373:P396">
    <cfRule type="cellIs" dxfId="208" priority="73" operator="lessThan">
      <formula>0.8</formula>
    </cfRule>
    <cfRule type="cellIs" dxfId="207" priority="74" operator="greaterThan">
      <formula>0.8</formula>
    </cfRule>
  </conditionalFormatting>
  <conditionalFormatting sqref="P373:P396">
    <cfRule type="notContainsText" dxfId="206" priority="71" operator="notContains" text="Caida">
      <formula>ISERROR(SEARCH("Caida",P373))</formula>
    </cfRule>
    <cfRule type="containsText" dxfId="205" priority="72" operator="containsText" text="Caida">
      <formula>NOT(ISERROR(SEARCH("Caida",P373)))</formula>
    </cfRule>
  </conditionalFormatting>
  <conditionalFormatting sqref="Q373:Q396">
    <cfRule type="cellIs" dxfId="204" priority="69" operator="lessThan">
      <formula>0.8</formula>
    </cfRule>
    <cfRule type="cellIs" dxfId="203" priority="70" operator="greaterThan">
      <formula>0.8</formula>
    </cfRule>
  </conditionalFormatting>
  <conditionalFormatting sqref="Q373:Q396">
    <cfRule type="notContainsText" dxfId="202" priority="67" operator="notContains" text="Caida">
      <formula>ISERROR(SEARCH("Caida",Q373))</formula>
    </cfRule>
    <cfRule type="containsText" dxfId="201" priority="68" operator="containsText" text="Caida">
      <formula>NOT(ISERROR(SEARCH("Caida",Q373)))</formula>
    </cfRule>
  </conditionalFormatting>
  <conditionalFormatting sqref="U373:U396">
    <cfRule type="cellIs" dxfId="200" priority="65" operator="lessThan">
      <formula>0.8</formula>
    </cfRule>
    <cfRule type="cellIs" dxfId="199" priority="66" operator="greaterThan">
      <formula>0.8</formula>
    </cfRule>
  </conditionalFormatting>
  <conditionalFormatting sqref="U373:U396">
    <cfRule type="notContainsText" dxfId="198" priority="63" operator="notContains" text="Caida">
      <formula>ISERROR(SEARCH("Caida",U373))</formula>
    </cfRule>
    <cfRule type="containsText" dxfId="197" priority="64" operator="containsText" text="Caida">
      <formula>NOT(ISERROR(SEARCH("Caida",U373)))</formula>
    </cfRule>
  </conditionalFormatting>
  <conditionalFormatting sqref="E373:E379">
    <cfRule type="containsText" dxfId="196" priority="61" operator="containsText" text="fija">
      <formula>NOT(ISERROR(SEARCH("fija",E373)))</formula>
    </cfRule>
    <cfRule type="containsText" dxfId="195" priority="62" operator="containsText" text="domo">
      <formula>NOT(ISERROR(SEARCH("domo",E373)))</formula>
    </cfRule>
  </conditionalFormatting>
  <conditionalFormatting sqref="O373:O396 AK373:AR396">
    <cfRule type="cellIs" dxfId="194" priority="60" operator="equal">
      <formula>"APAGADO"</formula>
    </cfRule>
  </conditionalFormatting>
  <conditionalFormatting sqref="F373:F379">
    <cfRule type="cellIs" dxfId="193" priority="59" operator="equal">
      <formula>"PTP A FO"</formula>
    </cfRule>
  </conditionalFormatting>
  <conditionalFormatting sqref="R373:T396">
    <cfRule type="cellIs" dxfId="192" priority="57" operator="lessThan">
      <formula>0.8</formula>
    </cfRule>
    <cfRule type="cellIs" dxfId="191" priority="58" operator="greaterThan">
      <formula>0.8</formula>
    </cfRule>
  </conditionalFormatting>
  <conditionalFormatting sqref="R373:T396">
    <cfRule type="notContainsText" dxfId="190" priority="55" operator="notContains" text="Caida">
      <formula>ISERROR(SEARCH("Caida",R373))</formula>
    </cfRule>
    <cfRule type="containsText" dxfId="189" priority="56" operator="containsText" text="Caida">
      <formula>NOT(ISERROR(SEARCH("Caida",R373)))</formula>
    </cfRule>
  </conditionalFormatting>
  <conditionalFormatting sqref="AF373:AF396">
    <cfRule type="cellIs" dxfId="188" priority="54" operator="equal">
      <formula>"apagado"</formula>
    </cfRule>
  </conditionalFormatting>
  <conditionalFormatting sqref="AE373:AE396">
    <cfRule type="cellIs" dxfId="187" priority="53" operator="equal">
      <formula>"apagado"</formula>
    </cfRule>
  </conditionalFormatting>
  <conditionalFormatting sqref="AD373:AD396">
    <cfRule type="cellIs" dxfId="186" priority="52" operator="equal">
      <formula>"apagado"</formula>
    </cfRule>
  </conditionalFormatting>
  <conditionalFormatting sqref="AC373:AC396">
    <cfRule type="cellIs" dxfId="185" priority="51" operator="equal">
      <formula>"apagado"</formula>
    </cfRule>
  </conditionalFormatting>
  <conditionalFormatting sqref="AB373:AB396">
    <cfRule type="cellIs" dxfId="184" priority="50" operator="equal">
      <formula>"apagado"</formula>
    </cfRule>
  </conditionalFormatting>
  <conditionalFormatting sqref="AA373:AA396">
    <cfRule type="cellIs" dxfId="183" priority="49" operator="equal">
      <formula>"apagado"</formula>
    </cfRule>
  </conditionalFormatting>
  <conditionalFormatting sqref="AG373:AG396">
    <cfRule type="cellIs" dxfId="182" priority="48" operator="equal">
      <formula>"apagado"</formula>
    </cfRule>
  </conditionalFormatting>
  <conditionalFormatting sqref="AH373:AH396">
    <cfRule type="cellIs" dxfId="181" priority="47" operator="equal">
      <formula>"apagado"</formula>
    </cfRule>
  </conditionalFormatting>
  <conditionalFormatting sqref="AI373:AI396">
    <cfRule type="cellIs" dxfId="180" priority="46" operator="equal">
      <formula>"apagado"</formula>
    </cfRule>
  </conditionalFormatting>
  <conditionalFormatting sqref="AJ373:AJ396">
    <cfRule type="cellIs" dxfId="179" priority="45" operator="equal">
      <formula>"apagado"</formula>
    </cfRule>
  </conditionalFormatting>
  <conditionalFormatting sqref="AQ373:AQ396">
    <cfRule type="notContainsText" dxfId="178" priority="43" operator="notContains" text="Caida">
      <formula>ISERROR(SEARCH("Caida",AQ373))</formula>
    </cfRule>
    <cfRule type="containsText" dxfId="177" priority="44" operator="containsText" text="Caida">
      <formula>NOT(ISERROR(SEARCH("Caida",AQ373)))</formula>
    </cfRule>
  </conditionalFormatting>
  <conditionalFormatting sqref="AQ373:AQ396">
    <cfRule type="cellIs" dxfId="176" priority="42" operator="equal">
      <formula>"apagado"</formula>
    </cfRule>
  </conditionalFormatting>
  <conditionalFormatting sqref="O373:X396 AA373:AR396">
    <cfRule type="cellIs" dxfId="175" priority="41" operator="equal">
      <formula>"APAGADO"</formula>
    </cfRule>
  </conditionalFormatting>
  <conditionalFormatting sqref="Y373:Y396">
    <cfRule type="cellIs" dxfId="174" priority="39" operator="lessThan">
      <formula>0.8</formula>
    </cfRule>
    <cfRule type="cellIs" dxfId="173" priority="40" operator="greaterThan">
      <formula>0.8</formula>
    </cfRule>
  </conditionalFormatting>
  <conditionalFormatting sqref="Y373:Y396">
    <cfRule type="notContainsText" dxfId="172" priority="37" operator="notContains" text="Caida">
      <formula>ISERROR(SEARCH("Caida",Y373))</formula>
    </cfRule>
    <cfRule type="containsText" dxfId="171" priority="38" operator="containsText" text="Caida">
      <formula>NOT(ISERROR(SEARCH("Caida",Y373)))</formula>
    </cfRule>
  </conditionalFormatting>
  <conditionalFormatting sqref="Y373:Y396">
    <cfRule type="cellIs" dxfId="170" priority="36" operator="equal">
      <formula>"APAGADO"</formula>
    </cfRule>
  </conditionalFormatting>
  <conditionalFormatting sqref="Y373:Y396">
    <cfRule type="cellIs" dxfId="169" priority="35" operator="equal">
      <formula>"apagado"</formula>
    </cfRule>
  </conditionalFormatting>
  <conditionalFormatting sqref="Z373:Z396">
    <cfRule type="cellIs" dxfId="168" priority="33" operator="lessThan">
      <formula>0.8</formula>
    </cfRule>
    <cfRule type="cellIs" dxfId="167" priority="34" operator="greaterThan">
      <formula>0.8</formula>
    </cfRule>
  </conditionalFormatting>
  <conditionalFormatting sqref="Z373:Z396">
    <cfRule type="notContainsText" dxfId="166" priority="31" operator="notContains" text="Caida">
      <formula>ISERROR(SEARCH("Caida",Z373))</formula>
    </cfRule>
    <cfRule type="containsText" dxfId="165" priority="32" operator="containsText" text="Caida">
      <formula>NOT(ISERROR(SEARCH("Caida",Z373)))</formula>
    </cfRule>
  </conditionalFormatting>
  <conditionalFormatting sqref="Z373:Z396">
    <cfRule type="cellIs" dxfId="164" priority="30" operator="equal">
      <formula>"APAGADO"</formula>
    </cfRule>
  </conditionalFormatting>
  <conditionalFormatting sqref="Z373:Z396">
    <cfRule type="cellIs" dxfId="163" priority="29" operator="equal">
      <formula>"apagado"</formula>
    </cfRule>
  </conditionalFormatting>
  <conditionalFormatting sqref="AS95:AS369">
    <cfRule type="cellIs" dxfId="162" priority="27" operator="lessThan">
      <formula>0.8</formula>
    </cfRule>
    <cfRule type="cellIs" dxfId="161" priority="28" operator="greaterThan">
      <formula>0.8</formula>
    </cfRule>
  </conditionalFormatting>
  <conditionalFormatting sqref="AS95:AS372">
    <cfRule type="notContainsText" dxfId="160" priority="25" operator="notContains" text="Caida">
      <formula>ISERROR(SEARCH("Caida",AS95))</formula>
    </cfRule>
    <cfRule type="containsText" dxfId="159" priority="26" operator="containsText" text="Caida">
      <formula>NOT(ISERROR(SEARCH("Caida",AS95)))</formula>
    </cfRule>
  </conditionalFormatting>
  <conditionalFormatting sqref="AS22">
    <cfRule type="containsText" dxfId="158" priority="24" operator="containsText" text="Instaladas en Funcionamiento Caida">
      <formula>NOT(ISERROR(SEARCH("Instaladas en Funcionamiento Caida",AS22)))</formula>
    </cfRule>
  </conditionalFormatting>
  <conditionalFormatting sqref="AS5">
    <cfRule type="cellIs" dxfId="157" priority="22" operator="lessThan">
      <formula>0.8</formula>
    </cfRule>
    <cfRule type="cellIs" dxfId="156" priority="23" operator="greaterThan">
      <formula>0.8</formula>
    </cfRule>
  </conditionalFormatting>
  <conditionalFormatting sqref="AS5">
    <cfRule type="notContainsText" dxfId="155" priority="20" operator="notContains" text="Caida">
      <formula>ISERROR(SEARCH("Caida",AS5))</formula>
    </cfRule>
    <cfRule type="containsText" dxfId="154" priority="21" operator="containsText" text="Caida">
      <formula>NOT(ISERROR(SEARCH("Caida",AS5)))</formula>
    </cfRule>
  </conditionalFormatting>
  <conditionalFormatting sqref="AS1 AS5:AS372">
    <cfRule type="cellIs" dxfId="153" priority="19" operator="equal">
      <formula>"APAGADO"</formula>
    </cfRule>
  </conditionalFormatting>
  <conditionalFormatting sqref="AS6:AS92">
    <cfRule type="cellIs" dxfId="152" priority="17" operator="lessThan">
      <formula>0.8</formula>
    </cfRule>
    <cfRule type="cellIs" dxfId="151" priority="18" operator="greaterThan">
      <formula>0.8</formula>
    </cfRule>
  </conditionalFormatting>
  <conditionalFormatting sqref="AS6:AS92">
    <cfRule type="notContainsText" dxfId="150" priority="15" operator="notContains" text="Caida">
      <formula>ISERROR(SEARCH("Caida",AS6))</formula>
    </cfRule>
    <cfRule type="containsText" dxfId="149" priority="16" operator="containsText" text="Caida">
      <formula>NOT(ISERROR(SEARCH("Caida",AS6)))</formula>
    </cfRule>
  </conditionalFormatting>
  <conditionalFormatting sqref="AS93:AS94">
    <cfRule type="cellIs" dxfId="148" priority="13" operator="lessThan">
      <formula>0.8</formula>
    </cfRule>
    <cfRule type="cellIs" dxfId="147" priority="14" operator="greaterThan">
      <formula>0.8</formula>
    </cfRule>
  </conditionalFormatting>
  <conditionalFormatting sqref="AS93:AS94">
    <cfRule type="notContainsText" dxfId="146" priority="11" operator="notContains" text="Caida">
      <formula>ISERROR(SEARCH("Caida",AS93))</formula>
    </cfRule>
    <cfRule type="containsText" dxfId="145" priority="12" operator="containsText" text="Caida">
      <formula>NOT(ISERROR(SEARCH("Caida",AS93)))</formula>
    </cfRule>
  </conditionalFormatting>
  <conditionalFormatting sqref="AS5:AS372">
    <cfRule type="cellIs" dxfId="144" priority="10" operator="equal">
      <formula>"APAGADO"</formula>
    </cfRule>
  </conditionalFormatting>
  <conditionalFormatting sqref="AS373:AS396">
    <cfRule type="notContainsText" dxfId="143" priority="8" operator="notContains" text="Caida">
      <formula>ISERROR(SEARCH("Caida",AS373))</formula>
    </cfRule>
    <cfRule type="containsText" dxfId="142" priority="9" operator="containsText" text="Caida">
      <formula>NOT(ISERROR(SEARCH("Caida",AS373)))</formula>
    </cfRule>
  </conditionalFormatting>
  <conditionalFormatting sqref="AS373:AS396">
    <cfRule type="cellIs" dxfId="141" priority="7" operator="equal">
      <formula>"APAGADO"</formula>
    </cfRule>
  </conditionalFormatting>
  <conditionalFormatting sqref="AS373:AS396">
    <cfRule type="cellIs" dxfId="140" priority="6" operator="equal">
      <formula>"APAGADO"</formula>
    </cfRule>
  </conditionalFormatting>
  <conditionalFormatting sqref="F1:F1048576">
    <cfRule type="cellIs" dxfId="139" priority="5" operator="equal">
      <formula>"PTP A FO"</formula>
    </cfRule>
    <cfRule type="cellIs" dxfId="138" priority="4" operator="equal">
      <formula>$F$7</formula>
    </cfRule>
  </conditionalFormatting>
  <conditionalFormatting sqref="E1:E1048576">
    <cfRule type="cellIs" dxfId="137" priority="3" operator="equal">
      <formula>$E$5</formula>
    </cfRule>
  </conditionalFormatting>
  <conditionalFormatting sqref="C1:C1048576">
    <cfRule type="cellIs" dxfId="136" priority="2" operator="equal">
      <formula>$C$182</formula>
    </cfRule>
    <cfRule type="cellIs" dxfId="135" priority="1" operator="equal">
      <formula>$C$194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44743</v>
      </c>
      <c r="G1" s="25">
        <f>'RESUMEN TOTAL'!P4</f>
        <v>44744</v>
      </c>
      <c r="H1" s="25">
        <f>'RESUMEN TOTAL'!Q4</f>
        <v>44745</v>
      </c>
      <c r="I1" s="25">
        <f>'RESUMEN TOTAL'!R4</f>
        <v>44746</v>
      </c>
      <c r="J1" s="25">
        <f>'RESUMEN TOTAL'!S4</f>
        <v>44747</v>
      </c>
      <c r="K1" s="25">
        <f>'RESUMEN TOTAL'!T4</f>
        <v>44748</v>
      </c>
      <c r="L1" s="25">
        <f>'RESUMEN TOTAL'!U4</f>
        <v>44749</v>
      </c>
      <c r="M1" s="25">
        <f>'RESUMEN TOTAL'!V4</f>
        <v>44750</v>
      </c>
      <c r="N1" s="25">
        <f>'RESUMEN TOTAL'!W4</f>
        <v>44751</v>
      </c>
      <c r="O1" s="25">
        <f>'RESUMEN TOTAL'!X4</f>
        <v>44752</v>
      </c>
      <c r="P1" s="25">
        <f>'RESUMEN TOTAL'!Y4</f>
        <v>44753</v>
      </c>
      <c r="Q1" s="25">
        <f>'RESUMEN TOTAL'!Z4</f>
        <v>44754</v>
      </c>
      <c r="R1" s="25">
        <f>'RESUMEN TOTAL'!AA4</f>
        <v>44755</v>
      </c>
      <c r="S1" s="25">
        <f>'RESUMEN TOTAL'!AB4</f>
        <v>44756</v>
      </c>
      <c r="T1" s="25">
        <f>'RESUMEN TOTAL'!AC4</f>
        <v>44757</v>
      </c>
      <c r="U1" s="25">
        <f>'RESUMEN TOTAL'!AD4</f>
        <v>44758</v>
      </c>
      <c r="V1" s="25">
        <f>'RESUMEN TOTAL'!AE4</f>
        <v>44759</v>
      </c>
      <c r="W1" s="25">
        <f>'RESUMEN TOTAL'!AF4</f>
        <v>44760</v>
      </c>
      <c r="X1" s="25">
        <f>'RESUMEN TOTAL'!AG4</f>
        <v>44761</v>
      </c>
      <c r="Y1" s="25">
        <f>'RESUMEN TOTAL'!AH4</f>
        <v>44762</v>
      </c>
      <c r="Z1" s="25">
        <f>'RESUMEN TOTAL'!AI4</f>
        <v>44763</v>
      </c>
      <c r="AA1" s="25">
        <f>'RESUMEN TOTAL'!AJ4</f>
        <v>44764</v>
      </c>
      <c r="AB1" s="25">
        <f>'RESUMEN TOTAL'!AK4</f>
        <v>44765</v>
      </c>
      <c r="AC1" s="25">
        <f>'RESUMEN TOTAL'!AL4</f>
        <v>44766</v>
      </c>
      <c r="AD1" s="25">
        <f>'RESUMEN TOTAL'!AM4</f>
        <v>44767</v>
      </c>
      <c r="AE1" s="25">
        <f>'RESUMEN TOTAL'!AN4</f>
        <v>44768</v>
      </c>
      <c r="AF1" s="25">
        <f>'RESUMEN TOTAL'!AO4</f>
        <v>44769</v>
      </c>
      <c r="AG1" s="25">
        <f>'RESUMEN TOTAL'!AP4</f>
        <v>44770</v>
      </c>
      <c r="AH1" s="25">
        <f>'RESUMEN TOTAL'!AQ4</f>
        <v>44771</v>
      </c>
      <c r="AI1" s="25">
        <f>'RESUMEN TOTAL'!AR4</f>
        <v>44772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>
        <f>'RESUMEN TOTAL'!S5</f>
        <v>0</v>
      </c>
      <c r="K2">
        <f>'RESUMEN TOTAL'!T5</f>
        <v>0</v>
      </c>
      <c r="L2">
        <f>'RESUMEN TOTAL'!U5</f>
        <v>0</v>
      </c>
      <c r="M2">
        <f>'RESUMEN TOTAL'!V5</f>
        <v>0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 t="str">
        <f>'RESUMEN TOTAL'!AE5</f>
        <v>APAGADO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>
        <f>'RESUMEN TOTAL'!T7</f>
        <v>0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 t="str">
        <f>'RESUMEN TOTAL'!Z7</f>
        <v>APAGADO</v>
      </c>
      <c r="R4" t="str">
        <f>'RESUMEN TOTAL'!AA7</f>
        <v>APAGADO</v>
      </c>
      <c r="S4" t="str">
        <f>'RESUMEN TOTAL'!AB7</f>
        <v>APAGADO</v>
      </c>
      <c r="T4" t="str">
        <f>'RESUMEN TOTAL'!AC7</f>
        <v>APAGADO</v>
      </c>
      <c r="U4" t="str">
        <f>'RESUMEN TOTAL'!AD7</f>
        <v>APAGADO</v>
      </c>
      <c r="V4" t="str">
        <f>'RESUMEN TOTAL'!AE7</f>
        <v>APAGADO</v>
      </c>
      <c r="W4" t="str">
        <f>'RESUMEN TOTAL'!AF7</f>
        <v>APAGADO</v>
      </c>
      <c r="X4" t="str">
        <f>'RESUMEN TOTAL'!AG7</f>
        <v>APAGADO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 t="str">
        <f>'RESUMEN TOTAL'!Y8</f>
        <v>APAGADO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>
        <f>'RESUMEN TOTAL'!W10</f>
        <v>0</v>
      </c>
      <c r="O7">
        <f>'RESUMEN TOTAL'!X10</f>
        <v>0</v>
      </c>
      <c r="P7">
        <f>'RESUMEN TOTAL'!Y10</f>
        <v>0</v>
      </c>
      <c r="Q7" t="str">
        <f>'RESUMEN TOTAL'!Z10</f>
        <v>APAGADO</v>
      </c>
      <c r="R7" t="str">
        <f>'RESUMEN TOTAL'!AA10</f>
        <v>APAGADO</v>
      </c>
      <c r="S7" t="str">
        <f>'RESUMEN TOTAL'!AB10</f>
        <v>APAGADO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 t="str">
        <f>'RESUMEN TOTAL'!U13</f>
        <v>APAGADO</v>
      </c>
      <c r="M10" t="str">
        <f>'RESUMEN TOTAL'!V13</f>
        <v>APAGADO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 t="str">
        <f>'RESUMEN TOTAL'!U14</f>
        <v>APAGADO</v>
      </c>
      <c r="M11" t="str">
        <f>'RESUMEN TOTAL'!V14</f>
        <v>APAGADO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e/EspaÃ±a y San Martin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 t="str">
        <f>'RESUMEN TOTAL'!U17</f>
        <v>APAGADO</v>
      </c>
      <c r="M14" t="str">
        <f>'RESUMEN TOTAL'!V17</f>
        <v>APAGADO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 t="str">
        <f>'RESUMEN TOTAL'!U18</f>
        <v>APAGADO</v>
      </c>
      <c r="M15" t="str">
        <f>'RESUMEN TOTAL'!V18</f>
        <v>APAGADO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 t="str">
        <f>'RESUMEN TOTAL'!W21</f>
        <v>APAGADO</v>
      </c>
      <c r="O18" t="str">
        <f>'RESUMEN TOTAL'!X21</f>
        <v>APAGADO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>
        <f>'RESUMEN TOTAL'!U22</f>
        <v>0</v>
      </c>
      <c r="M19">
        <f>'RESUMEN TOTAL'!V22</f>
        <v>0</v>
      </c>
      <c r="N19">
        <f>'RESUMEN TOTAL'!W22</f>
        <v>0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TOTAL'!O30</f>
        <v>0</v>
      </c>
      <c r="G27">
        <f>'RESUMEN TOTAL'!P30</f>
        <v>0</v>
      </c>
      <c r="H27">
        <f>'RESUMEN TOTAL'!Q30</f>
        <v>0</v>
      </c>
      <c r="I27">
        <f>'RESUMEN TOTAL'!R30</f>
        <v>0</v>
      </c>
      <c r="J27">
        <f>'RESUMEN TOTAL'!S30</f>
        <v>0</v>
      </c>
      <c r="K27">
        <f>'RESUMEN TOTAL'!T30</f>
        <v>0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 t="str">
        <f>'RESUMEN TOTAL'!AI34</f>
        <v>APAGADO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ESPAÃ‘A E/MITRE Y BOCUZZI</v>
      </c>
      <c r="D33" t="str">
        <f>'RESUMEN TOTAL'!E36</f>
        <v>Fija</v>
      </c>
      <c r="E33" t="str">
        <f>'RESUMEN TOTAL'!F36</f>
        <v>Fibra Optica</v>
      </c>
      <c r="F33">
        <f>'RESUMEN TOTAL'!O36</f>
        <v>0</v>
      </c>
      <c r="G33" t="str">
        <f>'RESUMEN TOTAL'!P36</f>
        <v>APAGADO</v>
      </c>
      <c r="H33" t="str">
        <f>'RESUMEN TOTAL'!Q36</f>
        <v>APAGADO</v>
      </c>
      <c r="I33" t="str">
        <f>'RESUMEN TOTAL'!R36</f>
        <v>APAGADO</v>
      </c>
      <c r="J33" t="str">
        <f>'RESUMEN TOTAL'!S36</f>
        <v>APAGADO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 t="str">
        <f>'RESUMEN TOTAL'!W36</f>
        <v>APAGADO</v>
      </c>
      <c r="O33" t="str">
        <f>'RESUMEN TOTAL'!X36</f>
        <v>APAGADO</v>
      </c>
      <c r="P33" t="str">
        <f>'RESUMEN TOTAL'!Y36</f>
        <v>APAGADO</v>
      </c>
      <c r="Q33" t="str">
        <f>'RESUMEN TOTAL'!Z36</f>
        <v>APAGADO</v>
      </c>
      <c r="R33" t="str">
        <f>'RESUMEN TOTAL'!AA36</f>
        <v>APAGADO</v>
      </c>
      <c r="S33" t="str">
        <f>'RESUMEN TOTAL'!AB36</f>
        <v>APAGADO</v>
      </c>
      <c r="T33" t="str">
        <f>'RESUMEN TOTAL'!AC36</f>
        <v>APAGADO</v>
      </c>
      <c r="U33" t="str">
        <f>'RESUMEN TOTAL'!AD36</f>
        <v>APAGADO</v>
      </c>
      <c r="V33" t="str">
        <f>'RESUMEN TOTAL'!AE36</f>
        <v>APAGADO</v>
      </c>
      <c r="W33" t="str">
        <f>'RESUMEN TOTAL'!AF36</f>
        <v>APAGADO</v>
      </c>
      <c r="X33" t="str">
        <f>'RESUMEN TOTAL'!AG36</f>
        <v>APAGADO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GÃ¼emes</v>
      </c>
      <c r="D39" t="str">
        <f>'RESUMEN TOTAL'!E42</f>
        <v>DOMO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Pte.PerÃ³n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PerÃ³n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Pte.PerÃ³n e/Pringles y Brown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 t="str">
        <f>'RESUMEN TOTAL'!AC50</f>
        <v>APAGADO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EspaÃ±a</v>
      </c>
      <c r="D54" t="str">
        <f>'RESUMEN TOTAL'!E57</f>
        <v>Domo</v>
      </c>
      <c r="E54" t="str">
        <f>'RESUMEN TOTAL'!F57</f>
        <v>Fibra Optica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EspaÃ±a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EspaÃ±a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EspaÃ±a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EspaÃ±a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EspaÃ±a y Marmol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EspaÃ±a y 9 de Julio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 t="str">
        <f>'RESUMEN TOTAL'!AA70</f>
        <v>APAGADO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 t="str">
        <f>'RESUMEN TOTAL'!O74</f>
        <v>APAGADO</v>
      </c>
      <c r="G71" t="str">
        <f>'RESUMEN TOTAL'!P74</f>
        <v>APAGADO</v>
      </c>
      <c r="H71" t="str">
        <f>'RESUMEN TOTAL'!Q74</f>
        <v>APAGADO</v>
      </c>
      <c r="I71" t="str">
        <f>'RESUMEN TOTAL'!R74</f>
        <v>APAGADO</v>
      </c>
      <c r="J71" t="str">
        <f>'RESUMEN TOTAL'!S74</f>
        <v>APAGADO</v>
      </c>
      <c r="K71">
        <f>'RESUMEN TOTAL'!T74</f>
        <v>0</v>
      </c>
      <c r="L71" t="str">
        <f>'RESUMEN TOTAL'!U74</f>
        <v>APAGADO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TOTAL'!O80</f>
        <v>0</v>
      </c>
      <c r="G77">
        <f>'RESUMEN TOTAL'!P80</f>
        <v>0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>
        <f>'RESUMEN TOTAL'!T80</f>
        <v>0</v>
      </c>
      <c r="L77">
        <f>'RESUMEN TOTAL'!U80</f>
        <v>0</v>
      </c>
      <c r="M77">
        <f>'RESUMEN TOTAL'!V80</f>
        <v>0</v>
      </c>
      <c r="N77">
        <f>'RESUMEN TOTAL'!W80</f>
        <v>0</v>
      </c>
      <c r="O77">
        <f>'RESUMEN TOTAL'!X80</f>
        <v>0</v>
      </c>
      <c r="P77">
        <f>'RESUMEN TOTAL'!Y80</f>
        <v>0</v>
      </c>
      <c r="Q77" t="str">
        <f>'RESUMEN TOTAL'!Z80</f>
        <v>APAGADO</v>
      </c>
      <c r="R77" t="str">
        <f>'RESUMEN TOTAL'!AA80</f>
        <v>APAGADO</v>
      </c>
      <c r="S77" t="str">
        <f>'RESUMEN TOTAL'!AB80</f>
        <v>APAGADO</v>
      </c>
      <c r="T77" t="str">
        <f>'RESUMEN TOTAL'!AC80</f>
        <v>APAGADO</v>
      </c>
      <c r="U77" t="str">
        <f>'RESUMEN TOTAL'!AD80</f>
        <v>APAGADO</v>
      </c>
      <c r="V77" t="str">
        <f>'RESUMEN TOTAL'!AE80</f>
        <v>APAGADO</v>
      </c>
      <c r="W77" t="str">
        <f>'RESUMEN TOTAL'!AF80</f>
        <v>APAGADO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TOTAL'!O83</f>
        <v>0</v>
      </c>
      <c r="G80">
        <f>'RESUMEN TOTAL'!P83</f>
        <v>0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 t="str">
        <f>'RESUMEN TOTAL'!Z83</f>
        <v>APAGADO</v>
      </c>
      <c r="R80" t="str">
        <f>'RESUMEN TOTAL'!AA83</f>
        <v>APAGADO</v>
      </c>
      <c r="S80" t="str">
        <f>'RESUMEN TOTAL'!AB83</f>
        <v>APAGADO</v>
      </c>
      <c r="T80" t="str">
        <f>'RESUMEN TOTAL'!AC83</f>
        <v>APAGADO</v>
      </c>
      <c r="U80" t="str">
        <f>'RESUMEN TOTAL'!AD83</f>
        <v>APAGADO</v>
      </c>
      <c r="V80" t="str">
        <f>'RESUMEN TOTAL'!AE83</f>
        <v>APAGADO</v>
      </c>
      <c r="W80" t="str">
        <f>'RESUMEN TOTAL'!AF83</f>
        <v>APAGADO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ESPAÃ‘A Y ALEM</v>
      </c>
      <c r="D81" t="str">
        <f>'RESUMEN TOTAL'!E84</f>
        <v>DOMO</v>
      </c>
      <c r="E81" t="str">
        <f>'RESUMEN TOTAL'!F84</f>
        <v>PTO A FO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 t="str">
        <f>'RESUMEN TOTAL'!R102</f>
        <v>APAGADO</v>
      </c>
      <c r="J99">
        <f>'RESUMEN TOTAL'!S102</f>
        <v>0</v>
      </c>
      <c r="K99">
        <f>'RESUMEN TOTAL'!T102</f>
        <v>0</v>
      </c>
      <c r="L99">
        <f>'RESUMEN TOTAL'!U102</f>
        <v>0</v>
      </c>
      <c r="M99" t="str">
        <f>'RESUMEN TOTAL'!V102</f>
        <v>APAGADO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 t="str">
        <f>'RESUMEN TOTAL'!U104</f>
        <v>APAGADO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 t="str">
        <f>'RESUMEN TOTAL'!U105</f>
        <v>APAGADO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 t="str">
        <f>'RESUMEN TOTAL'!U106</f>
        <v>APAGADO</v>
      </c>
      <c r="M103" t="str">
        <f>'RESUMEN TOTAL'!V106</f>
        <v>APAGADO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 t="str">
        <f>'RESUMEN TOTAL'!U107</f>
        <v>APAGADO</v>
      </c>
      <c r="M104" t="str">
        <f>'RESUMEN TOTAL'!V107</f>
        <v>APAGADO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 t="str">
        <f>'RESUMEN TOTAL'!U108</f>
        <v>APAGADO</v>
      </c>
      <c r="M105" t="str">
        <f>'RESUMEN TOTAL'!V108</f>
        <v>APAGADO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 t="str">
        <f>'RESUMEN TOTAL'!U109</f>
        <v>APAGADO</v>
      </c>
      <c r="M106" t="str">
        <f>'RESUMEN TOTAL'!V109</f>
        <v>APAGADO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 t="str">
        <f>'RESUMEN TOTAL'!O111</f>
        <v>APAGADO</v>
      </c>
      <c r="G108" t="str">
        <f>'RESUMEN TOTAL'!P111</f>
        <v>APAGADO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 t="str">
        <f>'RESUMEN TOTAL'!O113</f>
        <v>APAGADO</v>
      </c>
      <c r="G110" t="str">
        <f>'RESUMEN TOTAL'!P113</f>
        <v>APAGADO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>
        <f>'RESUMEN TOTAL'!U115</f>
        <v>0</v>
      </c>
      <c r="M112">
        <f>'RESUMEN TOTAL'!V115</f>
        <v>0</v>
      </c>
      <c r="N112">
        <f>'RESUMEN TOTAL'!W115</f>
        <v>0</v>
      </c>
      <c r="O112">
        <f>'RESUMEN TOTAL'!X115</f>
        <v>0</v>
      </c>
      <c r="P112">
        <f>'RESUMEN TOTAL'!Y115</f>
        <v>0</v>
      </c>
      <c r="Q112" t="str">
        <f>'RESUMEN TOTAL'!Z115</f>
        <v>APAGADO</v>
      </c>
      <c r="R112" t="str">
        <f>'RESUMEN TOTAL'!AA115</f>
        <v>APAGADO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>
        <f>'RESUMEN TOTAL'!T120</f>
        <v>0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 t="str">
        <f>'RESUMEN TOTAL'!Y120</f>
        <v>APAGADO</v>
      </c>
      <c r="Q117" t="str">
        <f>'RESUMEN TOTAL'!Z120</f>
        <v>APAGADO</v>
      </c>
      <c r="R117" t="str">
        <f>'RESUMEN TOTAL'!AA120</f>
        <v>APAGADO</v>
      </c>
      <c r="S117" t="str">
        <f>'RESUMEN TOTAL'!AB120</f>
        <v>APAGADO</v>
      </c>
      <c r="T117" t="str">
        <f>'RESUMEN TOTAL'!AC120</f>
        <v>APAGADO</v>
      </c>
      <c r="U117" t="str">
        <f>'RESUMEN TOTAL'!AD120</f>
        <v>APAGADO</v>
      </c>
      <c r="V117" t="str">
        <f>'RESUMEN TOTAL'!AE120</f>
        <v>APAGADO</v>
      </c>
      <c r="W117" t="str">
        <f>'RESUMEN TOTAL'!AF120</f>
        <v>APAGADO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>
        <f>'RESUMEN TOTAL'!T121</f>
        <v>0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 t="str">
        <f>'RESUMEN TOTAL'!Y121</f>
        <v>APAGADO</v>
      </c>
      <c r="Q118" t="str">
        <f>'RESUMEN TOTAL'!Z121</f>
        <v>APAGADO</v>
      </c>
      <c r="R118" t="str">
        <f>'RESUMEN TOTAL'!AA121</f>
        <v>APAGADO</v>
      </c>
      <c r="S118" t="str">
        <f>'RESUMEN TOTAL'!AB121</f>
        <v>APAGADO</v>
      </c>
      <c r="T118" t="str">
        <f>'RESUMEN TOTAL'!AC121</f>
        <v>APAGADO</v>
      </c>
      <c r="U118" t="str">
        <f>'RESUMEN TOTAL'!AD121</f>
        <v>APAGADO</v>
      </c>
      <c r="V118" t="str">
        <f>'RESUMEN TOTAL'!AE121</f>
        <v>APAGADO</v>
      </c>
      <c r="W118" t="str">
        <f>'RESUMEN TOTAL'!AF121</f>
        <v>APAGADO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 t="str">
        <f>'RESUMEN TOTAL'!U122</f>
        <v>APAGADO</v>
      </c>
      <c r="M119" t="str">
        <f>'RESUMEN TOTAL'!V122</f>
        <v>APAGADO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 t="str">
        <f>'RESUMEN TOTAL'!U123</f>
        <v>APAGADO</v>
      </c>
      <c r="M120" t="str">
        <f>'RESUMEN TOTAL'!V123</f>
        <v>APAGADO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 t="str">
        <f>'RESUMEN TOTAL'!AI128</f>
        <v>APAGADO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 t="str">
        <f>'RESUMEN TOTAL'!U129</f>
        <v>APAGADO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 t="str">
        <f>'RESUMEN TOTAL'!AI129</f>
        <v>APAGADO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 t="str">
        <f>'RESUMEN TOTAL'!U130</f>
        <v>APAGADO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>
        <f>'RESUMEN TOTAL'!T133</f>
        <v>0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 t="str">
        <f>'RESUMEN TOTAL'!Z133</f>
        <v>APAGADO</v>
      </c>
      <c r="R130" t="str">
        <f>'RESUMEN TOTAL'!AA133</f>
        <v>APAGADO</v>
      </c>
      <c r="S130" t="str">
        <f>'RESUMEN TOTAL'!AB133</f>
        <v>APAGADO</v>
      </c>
      <c r="T130" t="str">
        <f>'RESUMEN TOTAL'!AC133</f>
        <v>APAGADO</v>
      </c>
      <c r="U130" t="str">
        <f>'RESUMEN TOTAL'!AD133</f>
        <v>APAGADO</v>
      </c>
      <c r="V130" t="str">
        <f>'RESUMEN TOTAL'!AE133</f>
        <v>APAGADO</v>
      </c>
      <c r="W130" t="str">
        <f>'RESUMEN TOTAL'!AF133</f>
        <v>APAGADO</v>
      </c>
      <c r="X130" t="str">
        <f>'RESUMEN TOTAL'!AG133</f>
        <v>APAGADO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 t="str">
        <f>'RESUMEN TOTAL'!AI134</f>
        <v>APAGADO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 t="str">
        <f>'RESUMEN TOTAL'!O136</f>
        <v>APAGADO</v>
      </c>
      <c r="G133" t="str">
        <f>'RESUMEN TOTAL'!P136</f>
        <v>APAGADO</v>
      </c>
      <c r="H133" t="str">
        <f>'RESUMEN TOTAL'!Q136</f>
        <v>APAGADO</v>
      </c>
      <c r="I133" t="str">
        <f>'RESUMEN TOTAL'!R136</f>
        <v>APAGADO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 t="str">
        <f>'RESUMEN TOTAL'!AC136</f>
        <v>APAGADO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 t="str">
        <f>'RESUMEN TOTAL'!U138</f>
        <v>APAGADO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 t="str">
        <f>'RESUMEN TOTAL'!AE138</f>
        <v>APAGADO</v>
      </c>
      <c r="W135" t="str">
        <f>'RESUMEN TOTAL'!AF138</f>
        <v>APAGADO</v>
      </c>
      <c r="X135" t="str">
        <f>'RESUMEN TOTAL'!AG138</f>
        <v>APAGADO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 t="str">
        <f>'RESUMEN TOTAL'!U139</f>
        <v>APAGADO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 t="str">
        <f>'RESUMEN TOTAL'!AE139</f>
        <v>APAGADO</v>
      </c>
      <c r="W136" t="str">
        <f>'RESUMEN TOTAL'!AF139</f>
        <v>APAGADO</v>
      </c>
      <c r="X136" t="str">
        <f>'RESUMEN TOTAL'!AG139</f>
        <v>APAGADO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 t="str">
        <f>'RESUMEN TOTAL'!U140</f>
        <v>APAGADO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 t="str">
        <f>'RESUMEN TOTAL'!U141</f>
        <v>APAGADO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 t="str">
        <f>'RESUMEN TOTAL'!AB143</f>
        <v>APAGADO</v>
      </c>
      <c r="T140" t="str">
        <f>'RESUMEN TOTAL'!AC143</f>
        <v>APAGADO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MaipÃº y Posadas</v>
      </c>
      <c r="D141" t="str">
        <f>'RESUMEN TOTAL'!E144</f>
        <v>Domo</v>
      </c>
      <c r="E141" t="str">
        <f>'RESUMEN TOTAL'!F144</f>
        <v>Radio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 t="str">
        <f>'RESUMEN TOTAL'!AB145</f>
        <v>APAGADO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 t="str">
        <f>'RESUMEN TOTAL'!AB147</f>
        <v>APAGADO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 t="str">
        <f>'RESUMEN TOTAL'!AB148</f>
        <v>APAGADO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AmÃ©ricas y Braile</v>
      </c>
      <c r="D149" t="str">
        <f>'RESUMEN TOTAL'!E152</f>
        <v>Domo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 t="str">
        <f>'RESUMEN TOTAL'!Z152</f>
        <v>APAGADO</v>
      </c>
      <c r="R149" t="str">
        <f>'RESUMEN TOTAL'!AA152</f>
        <v>APAGADO</v>
      </c>
      <c r="S149" t="str">
        <f>'RESUMEN TOTAL'!AB152</f>
        <v>APAGADO</v>
      </c>
      <c r="T149" t="str">
        <f>'RESUMEN TOTAL'!AC152</f>
        <v>APAGADO</v>
      </c>
      <c r="U149" t="str">
        <f>'RESUMEN TOTAL'!AD152</f>
        <v>APAGADO</v>
      </c>
      <c r="V149" t="str">
        <f>'RESUMEN TOTAL'!AE152</f>
        <v>APAGADO</v>
      </c>
      <c r="W149" t="str">
        <f>'RESUMEN TOTAL'!AF152</f>
        <v>APAGADO</v>
      </c>
      <c r="X149" t="str">
        <f>'RESUMEN TOTAL'!AG152</f>
        <v>APAGADO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>
        <f>'RESUMEN TOTAL'!O156</f>
        <v>0</v>
      </c>
      <c r="G153">
        <f>'RESUMEN TOTAL'!P156</f>
        <v>0</v>
      </c>
      <c r="H153">
        <f>'RESUMEN TOTAL'!Q156</f>
        <v>0</v>
      </c>
      <c r="I153">
        <f>'RESUMEN TOTAL'!R156</f>
        <v>0</v>
      </c>
      <c r="J153">
        <f>'RESUMEN TOTAL'!S156</f>
        <v>0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Ã‘andu y Los Pinos</v>
      </c>
      <c r="D162" t="str">
        <f>'RESUMEN TOTAL'!E165</f>
        <v>Domo</v>
      </c>
      <c r="E162" t="str">
        <f>'RESUMEN TOTAL'!F165</f>
        <v>Radio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 t="str">
        <f>'RESUMEN TOTAL'!AG166</f>
        <v>APAGADO</v>
      </c>
      <c r="Y163">
        <f>'RESUMEN TOTAL'!AH166</f>
        <v>0</v>
      </c>
      <c r="Z163" t="str">
        <f>'RESUMEN TOTAL'!AI166</f>
        <v>APAGADO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 t="str">
        <f>'RESUMEN TOTAL'!AA168</f>
        <v>APAGADO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 t="str">
        <f>'RESUMEN TOTAL'!U169</f>
        <v>APAGADO</v>
      </c>
      <c r="M166" t="str">
        <f>'RESUMEN TOTAL'!V169</f>
        <v>APAGADO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PerÃ³n y Cabildo</v>
      </c>
      <c r="D168" t="str">
        <f>'RESUMEN TOTAL'!E171</f>
        <v>Domo</v>
      </c>
      <c r="E168" t="str">
        <f>'RESUMEN TOTAL'!F171</f>
        <v>Radio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 t="str">
        <f>'RESUMEN TOTAL'!U171</f>
        <v>APAGADO</v>
      </c>
      <c r="M168" t="str">
        <f>'RESUMEN TOTAL'!V171</f>
        <v>APAGADO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CHAÃ‘AR Y SAN NICOLAS</v>
      </c>
      <c r="D170" t="str">
        <f>'RESUMEN TOTAL'!E173</f>
        <v>DOMO</v>
      </c>
      <c r="E170" t="str">
        <f>'RESUMEN TOTAL'!F173</f>
        <v>PTO A FO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 t="str">
        <f>'RESUMEN TOTAL'!U173</f>
        <v>APAGADO</v>
      </c>
      <c r="M170" t="str">
        <f>'RESUMEN TOTAL'!V173</f>
        <v>APAGADO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 t="str">
        <f>'RESUMEN TOTAL'!U174</f>
        <v>APAGADO</v>
      </c>
      <c r="M171" t="str">
        <f>'RESUMEN TOTAL'!V174</f>
        <v>APAGADO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>
        <f>'RESUMEN TOTAL'!T177</f>
        <v>0</v>
      </c>
      <c r="L174">
        <f>'RESUMEN TOTAL'!U177</f>
        <v>0</v>
      </c>
      <c r="M174">
        <f>'RESUMEN TOTAL'!V177</f>
        <v>0</v>
      </c>
      <c r="N174">
        <f>'RESUMEN TOTAL'!W177</f>
        <v>0</v>
      </c>
      <c r="O174">
        <f>'RESUMEN TOTAL'!X177</f>
        <v>0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TOTAL'!O182</f>
        <v>0</v>
      </c>
      <c r="G179" t="str">
        <f>'RESUMEN TOTAL'!P182</f>
        <v>APAGADO</v>
      </c>
      <c r="H179" t="str">
        <f>'RESUMEN TOTAL'!Q182</f>
        <v>APAGADO</v>
      </c>
      <c r="I179" t="str">
        <f>'RESUMEN TOTAL'!R182</f>
        <v>APAGADO</v>
      </c>
      <c r="J179" t="str">
        <f>'RESUMEN TOTAL'!S182</f>
        <v>APAGADO</v>
      </c>
      <c r="K179">
        <f>'RESUMEN TOTAL'!T182</f>
        <v>0</v>
      </c>
      <c r="L179" t="str">
        <f>'RESUMEN TOTAL'!U182</f>
        <v>APAGADO</v>
      </c>
      <c r="M179" t="str">
        <f>'RESUMEN TOTAL'!V182</f>
        <v>APAGADO</v>
      </c>
      <c r="N179" t="str">
        <f>'RESUMEN TOTAL'!W182</f>
        <v>APAGADO</v>
      </c>
      <c r="O179" t="str">
        <f>'RESUMEN TOTAL'!X182</f>
        <v>APAGADO</v>
      </c>
      <c r="P179" t="str">
        <f>'RESUMEN TOTAL'!Y182</f>
        <v>APAGADO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 t="str">
        <f>'RESUMEN TOTAL'!Z185</f>
        <v>APAGADO</v>
      </c>
      <c r="R182" t="str">
        <f>'RESUMEN TOTAL'!AA185</f>
        <v>APAGADO</v>
      </c>
      <c r="S182" t="str">
        <f>'RESUMEN TOTAL'!AB185</f>
        <v>APAGADO</v>
      </c>
      <c r="T182" t="str">
        <f>'RESUMEN TOTAL'!AC185</f>
        <v>APAGADO</v>
      </c>
      <c r="U182" t="str">
        <f>'RESUMEN TOTAL'!AD185</f>
        <v>APAGADO</v>
      </c>
      <c r="V182" t="str">
        <f>'RESUMEN TOTAL'!AE185</f>
        <v>APAGADO</v>
      </c>
      <c r="W182" t="str">
        <f>'RESUMEN TOTAL'!AF185</f>
        <v>APAGADO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TOTAL'!O186</f>
        <v>0</v>
      </c>
      <c r="G183">
        <f>'RESUMEN TOTAL'!P186</f>
        <v>0</v>
      </c>
      <c r="H183" t="str">
        <f>'RESUMEN TOTAL'!Q186</f>
        <v>APAGADO</v>
      </c>
      <c r="I183" t="str">
        <f>'RESUMEN TOTAL'!R186</f>
        <v>APAGADO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 t="str">
        <f>'RESUMEN TOTAL'!AC186</f>
        <v>APAGADO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 t="str">
        <f>'RESUMEN TOTAL'!O187</f>
        <v>APAGADO</v>
      </c>
      <c r="G184" t="str">
        <f>'RESUMEN TOTAL'!P187</f>
        <v>APAGADO</v>
      </c>
      <c r="H184" t="str">
        <f>'RESUMEN TOTAL'!Q187</f>
        <v>APAGADO</v>
      </c>
      <c r="I184" t="str">
        <f>'RESUMEN TOTAL'!R187</f>
        <v>APAGADO</v>
      </c>
      <c r="J184" t="str">
        <f>'RESUMEN TOTAL'!S187</f>
        <v>APAGADO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 t="str">
        <f>'RESUMEN TOTAL'!O191</f>
        <v>APAGADO</v>
      </c>
      <c r="G188" t="str">
        <f>'RESUMEN TOTAL'!P191</f>
        <v>APAGADO</v>
      </c>
      <c r="H188" t="str">
        <f>'RESUMEN TOTAL'!Q191</f>
        <v>APAGADO</v>
      </c>
      <c r="I188" t="str">
        <f>'RESUMEN TOTAL'!R191</f>
        <v>APAGADO</v>
      </c>
      <c r="J188" t="str">
        <f>'RESUMEN TOTAL'!S191</f>
        <v>APAGADO</v>
      </c>
      <c r="K188">
        <f>'RESUMEN TOTAL'!T191</f>
        <v>0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 t="str">
        <f>'RESUMEN TOTAL'!Z191</f>
        <v>APAGADO</v>
      </c>
      <c r="R188" t="str">
        <f>'RESUMEN TOTAL'!AA191</f>
        <v>APAGADO</v>
      </c>
      <c r="S188" t="str">
        <f>'RESUMEN TOTAL'!AB191</f>
        <v>APAGADO</v>
      </c>
      <c r="T188" t="str">
        <f>'RESUMEN TOTAL'!AC191</f>
        <v>APAGADO</v>
      </c>
      <c r="U188" t="str">
        <f>'RESUMEN TOTAL'!AD191</f>
        <v>APAGADO</v>
      </c>
      <c r="V188" t="str">
        <f>'RESUMEN TOTAL'!AE191</f>
        <v>APAGADO</v>
      </c>
      <c r="W188" t="str">
        <f>'RESUMEN TOTAL'!AF191</f>
        <v>APAGADO</v>
      </c>
      <c r="X188" t="str">
        <f>'RESUMEN TOTAL'!AG191</f>
        <v>APAGADO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 t="str">
        <f>'RESUMEN TOTAL'!O192</f>
        <v>APAGADO</v>
      </c>
      <c r="G189" t="str">
        <f>'RESUMEN TOTAL'!P192</f>
        <v>APAGADO</v>
      </c>
      <c r="H189" t="str">
        <f>'RESUMEN TOTAL'!Q192</f>
        <v>APAGADO</v>
      </c>
      <c r="I189" t="str">
        <f>'RESUMEN TOTAL'!R192</f>
        <v>APAGADO</v>
      </c>
      <c r="J189" t="str">
        <f>'RESUMEN TOTAL'!S192</f>
        <v>APAGADO</v>
      </c>
      <c r="K189">
        <f>'RESUMEN TOTAL'!T192</f>
        <v>0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 t="str">
        <f>'RESUMEN TOTAL'!Z192</f>
        <v>APAGADO</v>
      </c>
      <c r="R189" t="str">
        <f>'RESUMEN TOTAL'!AA192</f>
        <v>APAGADO</v>
      </c>
      <c r="S189" t="str">
        <f>'RESUMEN TOTAL'!AB192</f>
        <v>APAGADO</v>
      </c>
      <c r="T189" t="str">
        <f>'RESUMEN TOTAL'!AC192</f>
        <v>APAGADO</v>
      </c>
      <c r="U189" t="str">
        <f>'RESUMEN TOTAL'!AD192</f>
        <v>APAGADO</v>
      </c>
      <c r="V189" t="str">
        <f>'RESUMEN TOTAL'!AE192</f>
        <v>APAGADO</v>
      </c>
      <c r="W189" t="str">
        <f>'RESUMEN TOTAL'!AF192</f>
        <v>APAGADO</v>
      </c>
      <c r="X189" t="str">
        <f>'RESUMEN TOTAL'!AG192</f>
        <v>APAGADO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 t="str">
        <f>'RESUMEN TOTAL'!V193</f>
        <v>APAGADO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25">
      <c r="A191" t="str">
        <f>'RESUMEN TOTAL'!A194</f>
        <v>9 DE JULIO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TOTAL'!O194</f>
        <v>0</v>
      </c>
      <c r="G191">
        <f>'RESUMEN TOTAL'!P194</f>
        <v>0</v>
      </c>
      <c r="H191">
        <f>'RESUMEN TOTAL'!Q194</f>
        <v>0</v>
      </c>
      <c r="I191">
        <f>'RESUMEN TOTAL'!R194</f>
        <v>0</v>
      </c>
      <c r="J191">
        <f>'RESUMEN TOTAL'!S194</f>
        <v>0</v>
      </c>
      <c r="K191">
        <f>'RESUMEN TOTAL'!T194</f>
        <v>0</v>
      </c>
      <c r="L191">
        <f>'RESUMEN TOTAL'!U194</f>
        <v>0</v>
      </c>
      <c r="M191">
        <f>'RESUMEN TOTAL'!V194</f>
        <v>0</v>
      </c>
      <c r="N191" t="str">
        <f>'RESUMEN TOTAL'!W194</f>
        <v>APAGADO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TOTAL'!O197</f>
        <v>0</v>
      </c>
      <c r="G194">
        <f>'RESUMEN TOTAL'!P197</f>
        <v>0</v>
      </c>
      <c r="H194">
        <f>'RESUMEN TOTAL'!Q197</f>
        <v>0</v>
      </c>
      <c r="I194">
        <f>'RESUMEN TOTAL'!R197</f>
        <v>0</v>
      </c>
      <c r="J194">
        <f>'RESUMEN TOTAL'!S197</f>
        <v>0</v>
      </c>
      <c r="K194">
        <f>'RESUMEN TOTAL'!T197</f>
        <v>0</v>
      </c>
      <c r="L194" t="str">
        <f>'RESUMEN TOTAL'!U197</f>
        <v>APAGADO</v>
      </c>
      <c r="M194" t="str">
        <f>'RESUMEN TOTAL'!V197</f>
        <v>APAGADO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 t="str">
        <f>'RESUMEN TOTAL'!AI197</f>
        <v>APAGADO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 t="str">
        <f>'RESUMEN TOTAL'!U198</f>
        <v>APAGADO</v>
      </c>
      <c r="M195" t="str">
        <f>'RESUMEN TOTAL'!V198</f>
        <v>APAGADO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 t="str">
        <f>'RESUMEN TOTAL'!AI198</f>
        <v>APAGADO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 t="str">
        <f>'RESUMEN TOTAL'!V199</f>
        <v>APAGADO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 t="str">
        <f>'RESUMEN TOTAL'!V200</f>
        <v>APAGADO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 t="str">
        <f>'RESUMEN TOTAL'!V201</f>
        <v>APAGADO</v>
      </c>
      <c r="N198" t="str">
        <f>'RESUMEN TOTAL'!W201</f>
        <v>APAGADO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 t="str">
        <f>'RESUMEN TOTAL'!W202</f>
        <v>APAGADO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 t="str">
        <f>'RESUMEN TOTAL'!AA203</f>
        <v>APAGADO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>
        <f>'RESUMEN TOTAL'!T206</f>
        <v>0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 t="str">
        <f>'RESUMEN TOTAL'!Z206</f>
        <v>APAGADO</v>
      </c>
      <c r="R203" t="str">
        <f>'RESUMEN TOTAL'!AA206</f>
        <v>APAGADO</v>
      </c>
      <c r="S203" t="str">
        <f>'RESUMEN TOTAL'!AB206</f>
        <v>APAGADO</v>
      </c>
      <c r="T203" t="str">
        <f>'RESUMEN TOTAL'!AC206</f>
        <v>APAGADO</v>
      </c>
      <c r="U203" t="str">
        <f>'RESUMEN TOTAL'!AD206</f>
        <v>APAGADO</v>
      </c>
      <c r="V203" t="str">
        <f>'RESUMEN TOTAL'!AE206</f>
        <v>APAGADO</v>
      </c>
      <c r="W203" t="str">
        <f>'RESUMEN TOTAL'!AF206</f>
        <v>APAGADO</v>
      </c>
      <c r="X203" t="str">
        <f>'RESUMEN TOTAL'!AG206</f>
        <v>APAGADO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>
        <f>'RESUMEN TOTAL'!T207</f>
        <v>0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 t="str">
        <f>'RESUMEN TOTAL'!Z207</f>
        <v>APAGADO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 t="str">
        <f>'RESUMEN TOTAL'!AA208</f>
        <v>APAGADO</v>
      </c>
      <c r="S205" t="str">
        <f>'RESUMEN TOTAL'!AB208</f>
        <v>APAGADO</v>
      </c>
      <c r="T205" t="str">
        <f>'RESUMEN TOTAL'!AC208</f>
        <v>APAGADO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TOTAL'!O209</f>
        <v>0</v>
      </c>
      <c r="G206">
        <f>'RESUMEN TOTAL'!P209</f>
        <v>0</v>
      </c>
      <c r="H206">
        <f>'RESUMEN TOTAL'!Q209</f>
        <v>0</v>
      </c>
      <c r="I206">
        <f>'RESUMEN TOTAL'!R209</f>
        <v>0</v>
      </c>
      <c r="J206">
        <f>'RESUMEN TOTAL'!S209</f>
        <v>0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>
        <f>'RESUMEN TOTAL'!O210</f>
        <v>0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 t="str">
        <f>'RESUMEN TOTAL'!AI210</f>
        <v>APAGADO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>
        <f>'RESUMEN TOTAL'!T211</f>
        <v>0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 t="str">
        <f>'RESUMEN TOTAL'!Y211</f>
        <v>APAGADO</v>
      </c>
      <c r="Q208" t="str">
        <f>'RESUMEN TOTAL'!Z211</f>
        <v>APAGADO</v>
      </c>
      <c r="R208" t="str">
        <f>'RESUMEN TOTAL'!AA211</f>
        <v>APAGADO</v>
      </c>
      <c r="S208" t="str">
        <f>'RESUMEN TOTAL'!AB211</f>
        <v>APAGADO</v>
      </c>
      <c r="T208" t="str">
        <f>'RESUMEN TOTAL'!AC211</f>
        <v>APAGADO</v>
      </c>
      <c r="U208" t="str">
        <f>'RESUMEN TOTAL'!AD211</f>
        <v>APAGADO</v>
      </c>
      <c r="V208" t="str">
        <f>'RESUMEN TOTAL'!AE211</f>
        <v>APAGADO</v>
      </c>
      <c r="W208" t="str">
        <f>'RESUMEN TOTAL'!AF211</f>
        <v>APAGADO</v>
      </c>
      <c r="X208" t="str">
        <f>'RESUMEN TOTAL'!AG211</f>
        <v>APAGADO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>
        <f>'RESUMEN TOTAL'!T212</f>
        <v>0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 t="str">
        <f>'RESUMEN TOTAL'!Y212</f>
        <v>APAGADO</v>
      </c>
      <c r="Q209" t="str">
        <f>'RESUMEN TOTAL'!Z212</f>
        <v>APAGADO</v>
      </c>
      <c r="R209" t="str">
        <f>'RESUMEN TOTAL'!AA212</f>
        <v>APAGADO</v>
      </c>
      <c r="S209" t="str">
        <f>'RESUMEN TOTAL'!AB212</f>
        <v>APAGADO</v>
      </c>
      <c r="T209" t="str">
        <f>'RESUMEN TOTAL'!AC212</f>
        <v>APAGADO</v>
      </c>
      <c r="U209" t="str">
        <f>'RESUMEN TOTAL'!AD212</f>
        <v>APAGADO</v>
      </c>
      <c r="V209" t="str">
        <f>'RESUMEN TOTAL'!AE212</f>
        <v>APAGADO</v>
      </c>
      <c r="W209" t="str">
        <f>'RESUMEN TOTAL'!AF212</f>
        <v>APAGADO</v>
      </c>
      <c r="X209" t="str">
        <f>'RESUMEN TOTAL'!AG212</f>
        <v>APAGADO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 t="str">
        <f>'RESUMEN TOTAL'!AA213</f>
        <v>APAGADO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 t="str">
        <f>'RESUMEN TOTAL'!W214</f>
        <v>APAGADO</v>
      </c>
      <c r="O211" t="str">
        <f>'RESUMEN TOTAL'!X214</f>
        <v>APAGADO</v>
      </c>
      <c r="P211" t="str">
        <f>'RESUMEN TOTAL'!Y214</f>
        <v>APAGADO</v>
      </c>
      <c r="Q211" t="str">
        <f>'RESUMEN TOTAL'!Z214</f>
        <v>APAGADO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 t="str">
        <f>'RESUMEN TOTAL'!AE214</f>
        <v>APAGADO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 t="str">
        <f>'RESUMEN TOTAL'!AE215</f>
        <v>APAGADO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 t="str">
        <f>'RESUMEN TOTAL'!AE216</f>
        <v>APAGADO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 t="str">
        <f>'RESUMEN TOTAL'!AI216</f>
        <v>APAGADO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 t="str">
        <f>'RESUMEN TOTAL'!AE217</f>
        <v>APAGADO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 t="str">
        <f>'RESUMEN TOTAL'!AI217</f>
        <v>APAGADO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 t="str">
        <f>'RESUMEN TOTAL'!AE218</f>
        <v>APAGADO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 t="str">
        <f>'RESUMEN TOTAL'!AE219</f>
        <v>APAGADO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 t="str">
        <f>'RESUMEN TOTAL'!AE220</f>
        <v>APAGADO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 t="str">
        <f>'RESUMEN TOTAL'!AE221</f>
        <v>APAGADO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 t="str">
        <f>'RESUMEN TOTAL'!AE222</f>
        <v>APAGADO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 t="str">
        <f>'RESUMEN TOTAL'!AE223</f>
        <v>APAGADO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 t="str">
        <f>'RESUMEN TOTAL'!AE224</f>
        <v>APAGADO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 t="str">
        <f>'RESUMEN TOTAL'!U230</f>
        <v>APAGADO</v>
      </c>
      <c r="M227" t="str">
        <f>'RESUMEN TOTAL'!V230</f>
        <v>APAGADO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>
        <f>'RESUMEN TOTAL'!T231</f>
        <v>0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 t="str">
        <f>'RESUMEN TOTAL'!Y231</f>
        <v>APAGADO</v>
      </c>
      <c r="Q228" t="str">
        <f>'RESUMEN TOTAL'!Z231</f>
        <v>APAGADO</v>
      </c>
      <c r="R228" t="str">
        <f>'RESUMEN TOTAL'!AA231</f>
        <v>APAGADO</v>
      </c>
      <c r="S228" t="str">
        <f>'RESUMEN TOTAL'!AB231</f>
        <v>APAGADO</v>
      </c>
      <c r="T228" t="str">
        <f>'RESUMEN TOTAL'!AC231</f>
        <v>APAGADO</v>
      </c>
      <c r="U228" t="str">
        <f>'RESUMEN TOTAL'!AD231</f>
        <v>APAGADO</v>
      </c>
      <c r="V228" t="str">
        <f>'RESUMEN TOTAL'!AE231</f>
        <v>APAGADO</v>
      </c>
      <c r="W228" t="str">
        <f>'RESUMEN TOTAL'!AF231</f>
        <v>APAGADO</v>
      </c>
      <c r="X228" t="str">
        <f>'RESUMEN TOTAL'!AG231</f>
        <v>APAGADO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>
        <f>'RESUMEN TOTAL'!T232</f>
        <v>0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 t="str">
        <f>'RESUMEN TOTAL'!Y232</f>
        <v>APAGADO</v>
      </c>
      <c r="Q229" t="str">
        <f>'RESUMEN TOTAL'!Z232</f>
        <v>APAGADO</v>
      </c>
      <c r="R229" t="str">
        <f>'RESUMEN TOTAL'!AA232</f>
        <v>APAGADO</v>
      </c>
      <c r="S229" t="str">
        <f>'RESUMEN TOTAL'!AB232</f>
        <v>APAGADO</v>
      </c>
      <c r="T229" t="str">
        <f>'RESUMEN TOTAL'!AC232</f>
        <v>APAGADO</v>
      </c>
      <c r="U229" t="str">
        <f>'RESUMEN TOTAL'!AD232</f>
        <v>APAGADO</v>
      </c>
      <c r="V229" t="str">
        <f>'RESUMEN TOTAL'!AE232</f>
        <v>APAGADO</v>
      </c>
      <c r="W229" t="str">
        <f>'RESUMEN TOTAL'!AF232</f>
        <v>APAGADO</v>
      </c>
      <c r="X229" t="str">
        <f>'RESUMEN TOTAL'!AG232</f>
        <v>APAGADO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 t="str">
        <f>'RESUMEN TOTAL'!O239</f>
        <v>APAGADO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 t="str">
        <f>'RESUMEN TOTAL'!O240</f>
        <v>APAGADO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TOTAL'!O245</f>
        <v>APAGADO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 t="str">
        <f>'RESUMEN TOTAL'!W247</f>
        <v>APAGADO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 t="str">
        <f>'RESUMEN TOTAL'!W248</f>
        <v>APAGADO</v>
      </c>
      <c r="O245" t="str">
        <f>'RESUMEN TOTAL'!X248</f>
        <v>APAGADO</v>
      </c>
      <c r="P245" t="str">
        <f>'RESUMEN TOTAL'!Y248</f>
        <v>APAGADO</v>
      </c>
      <c r="Q245" t="str">
        <f>'RESUMEN TOTAL'!Z248</f>
        <v>APAGADO</v>
      </c>
      <c r="R245" t="str">
        <f>'RESUMEN TOTAL'!AA248</f>
        <v>APAGADO</v>
      </c>
      <c r="S245" t="str">
        <f>'RESUMEN TOTAL'!AB248</f>
        <v>APAGADO</v>
      </c>
      <c r="T245" t="str">
        <f>'RESUMEN TOTAL'!AC248</f>
        <v>APAGADO</v>
      </c>
      <c r="U245" t="str">
        <f>'RESUMEN TOTAL'!AD248</f>
        <v>APAGADO</v>
      </c>
      <c r="V245" t="str">
        <f>'RESUMEN TOTAL'!AE248</f>
        <v>APAGADO</v>
      </c>
      <c r="W245" t="str">
        <f>'RESUMEN TOTAL'!AF248</f>
        <v>APAGADO</v>
      </c>
      <c r="X245" t="str">
        <f>'RESUMEN TOTAL'!AG248</f>
        <v>APAGADO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 t="str">
        <f>'RESUMEN TOTAL'!W250</f>
        <v>APAGADO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 t="str">
        <f>'RESUMEN TOTAL'!AI254</f>
        <v>APAGADO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 t="str">
        <f>'RESUMEN TOTAL'!AI255</f>
        <v>APAGADO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 t="str">
        <f>'RESUMEN TOTAL'!AI272</f>
        <v>APAGADO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TOTAL'!O279</f>
        <v>0</v>
      </c>
      <c r="G276">
        <f>'RESUMEN TOTAL'!P279</f>
        <v>0</v>
      </c>
      <c r="H276" t="str">
        <f>'RESUMEN TOTAL'!Q279</f>
        <v>APAGADO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>
        <f>'RESUMEN TOTAL'!U281</f>
        <v>0</v>
      </c>
      <c r="M278">
        <f>'RESUMEN TOTAL'!V281</f>
        <v>0</v>
      </c>
      <c r="N278">
        <f>'RESUMEN TOTAL'!W281</f>
        <v>0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 t="str">
        <f>'RESUMEN TOTAL'!AI281</f>
        <v>APAGADO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>
        <f>'RESUMEN TOTAL'!U282</f>
        <v>0</v>
      </c>
      <c r="M279">
        <f>'RESUMEN TOTAL'!V282</f>
        <v>0</v>
      </c>
      <c r="N279">
        <f>'RESUMEN TOTAL'!W282</f>
        <v>0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 t="str">
        <f>'RESUMEN TOTAL'!O283</f>
        <v>APAGADO</v>
      </c>
      <c r="G280" t="str">
        <f>'RESUMEN TOTAL'!P283</f>
        <v>APAGADO</v>
      </c>
      <c r="H280" t="str">
        <f>'RESUMEN TOTAL'!Q283</f>
        <v>APAGADO</v>
      </c>
      <c r="I280" t="str">
        <f>'RESUMEN TOTAL'!R283</f>
        <v>APAGADO</v>
      </c>
      <c r="J280" t="str">
        <f>'RESUMEN TOTAL'!S283</f>
        <v>APAGADO</v>
      </c>
      <c r="K280">
        <f>'RESUMEN TOTAL'!T283</f>
        <v>0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 t="str">
        <f>'RESUMEN TOTAL'!X283</f>
        <v>APAGADO</v>
      </c>
      <c r="P280" t="str">
        <f>'RESUMEN TOTAL'!Y283</f>
        <v>APAGADO</v>
      </c>
      <c r="Q280" t="str">
        <f>'RESUMEN TOTAL'!Z283</f>
        <v>APAGADO</v>
      </c>
      <c r="R280" t="str">
        <f>'RESUMEN TOTAL'!AA283</f>
        <v>APAGADO</v>
      </c>
      <c r="S280" t="str">
        <f>'RESUMEN TOTAL'!AB283</f>
        <v>APAGADO</v>
      </c>
      <c r="T280" t="str">
        <f>'RESUMEN TOTAL'!AC283</f>
        <v>APAGADO</v>
      </c>
      <c r="U280" t="str">
        <f>'RESUMEN TOTAL'!AD283</f>
        <v>APAGADO</v>
      </c>
      <c r="V280" t="str">
        <f>'RESUMEN TOTAL'!AE283</f>
        <v>APAGADO</v>
      </c>
      <c r="W280" t="str">
        <f>'RESUMEN TOTAL'!AF283</f>
        <v>APAGADO</v>
      </c>
      <c r="X280" t="str">
        <f>'RESUMEN TOTAL'!AG283</f>
        <v>APAGADO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 t="str">
        <f>'RESUMEN TOTAL'!AE286</f>
        <v>APAGADO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 t="str">
        <f>'RESUMEN TOTAL'!AE287</f>
        <v>APAGADO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TOTAL'!O299</f>
        <v>0</v>
      </c>
      <c r="G296" t="str">
        <f>'RESUMEN TOTAL'!P299</f>
        <v>APAGADO</v>
      </c>
      <c r="H296" t="str">
        <f>'RESUMEN TOTAL'!Q299</f>
        <v>APAGADO</v>
      </c>
      <c r="I296" t="str">
        <f>'RESUMEN TOTAL'!R299</f>
        <v>APAGADO</v>
      </c>
      <c r="J296" t="str">
        <f>'RESUMEN TOTAL'!S299</f>
        <v>APAGADO</v>
      </c>
      <c r="K296">
        <f>'RESUMEN TOTAL'!T299</f>
        <v>0</v>
      </c>
      <c r="L296" t="str">
        <f>'RESUMEN TOTAL'!U299</f>
        <v>APAGADO</v>
      </c>
      <c r="M296" t="str">
        <f>'RESUMEN TOTAL'!V299</f>
        <v>APAGADO</v>
      </c>
      <c r="N296" t="str">
        <f>'RESUMEN TOTAL'!W299</f>
        <v>APAGADO</v>
      </c>
      <c r="O296" t="str">
        <f>'RESUMEN TOTAL'!X299</f>
        <v>APAGADO</v>
      </c>
      <c r="P296" t="str">
        <f>'RESUMEN TOTAL'!Y299</f>
        <v>APAGADO</v>
      </c>
      <c r="Q296" t="str">
        <f>'RESUMEN TOTAL'!Z299</f>
        <v>APAGADO</v>
      </c>
      <c r="R296" t="str">
        <f>'RESUMEN TOTAL'!AA299</f>
        <v>APAGADO</v>
      </c>
      <c r="S296" t="str">
        <f>'RESUMEN TOTAL'!AB299</f>
        <v>APAGADO</v>
      </c>
      <c r="T296" t="str">
        <f>'RESUMEN TOTAL'!AC299</f>
        <v>APAGADO</v>
      </c>
      <c r="U296" t="str">
        <f>'RESUMEN TOTAL'!AD299</f>
        <v>APAGADO</v>
      </c>
      <c r="V296" t="str">
        <f>'RESUMEN TOTAL'!AE299</f>
        <v>APAGADO</v>
      </c>
      <c r="W296" t="str">
        <f>'RESUMEN TOTAL'!AF299</f>
        <v>APAGADO</v>
      </c>
      <c r="X296" t="str">
        <f>'RESUMEN TOTAL'!AG299</f>
        <v>APAGADO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TOTAL'!O300</f>
        <v>0</v>
      </c>
      <c r="G297" t="str">
        <f>'RESUMEN TOTAL'!P300</f>
        <v>APAGADO</v>
      </c>
      <c r="H297" t="str">
        <f>'RESUMEN TOTAL'!Q300</f>
        <v>APAGADO</v>
      </c>
      <c r="I297" t="str">
        <f>'RESUMEN TOTAL'!R300</f>
        <v>APAGADO</v>
      </c>
      <c r="J297" t="str">
        <f>'RESUMEN TOTAL'!S300</f>
        <v>APAGADO</v>
      </c>
      <c r="K297">
        <f>'RESUMEN TOTAL'!T300</f>
        <v>0</v>
      </c>
      <c r="L297" t="str">
        <f>'RESUMEN TOTAL'!U300</f>
        <v>APAGADO</v>
      </c>
      <c r="M297" t="str">
        <f>'RESUMEN TOTAL'!V300</f>
        <v>APAGADO</v>
      </c>
      <c r="N297" t="str">
        <f>'RESUMEN TOTAL'!W300</f>
        <v>APAGADO</v>
      </c>
      <c r="O297" t="str">
        <f>'RESUMEN TOTAL'!X300</f>
        <v>APAGADO</v>
      </c>
      <c r="P297" t="str">
        <f>'RESUMEN TOTAL'!Y300</f>
        <v>APAGADO</v>
      </c>
      <c r="Q297" t="str">
        <f>'RESUMEN TOTAL'!Z300</f>
        <v>APAGADO</v>
      </c>
      <c r="R297" t="str">
        <f>'RESUMEN TOTAL'!AA300</f>
        <v>APAGADO</v>
      </c>
      <c r="S297" t="str">
        <f>'RESUMEN TOTAL'!AB300</f>
        <v>APAGADO</v>
      </c>
      <c r="T297" t="str">
        <f>'RESUMEN TOTAL'!AC300</f>
        <v>APAGADO</v>
      </c>
      <c r="U297" t="str">
        <f>'RESUMEN TOTAL'!AD300</f>
        <v>APAGADO</v>
      </c>
      <c r="V297" t="str">
        <f>'RESUMEN TOTAL'!AE300</f>
        <v>APAGADO</v>
      </c>
      <c r="W297" t="str">
        <f>'RESUMEN TOTAL'!AF300</f>
        <v>APAGADO</v>
      </c>
      <c r="X297" t="str">
        <f>'RESUMEN TOTAL'!AG300</f>
        <v>APAGADO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 t="str">
        <f>'RESUMEN TOTAL'!R301</f>
        <v>APAGADO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 t="str">
        <f>'RESUMEN TOTAL'!R302</f>
        <v>APAGADO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 t="str">
        <f>'RESUMEN TOTAL'!U303</f>
        <v>APAGADO</v>
      </c>
      <c r="M300">
        <f>'RESUMEN TOTAL'!V303</f>
        <v>0</v>
      </c>
      <c r="N300" t="str">
        <f>'RESUMEN TOTAL'!W303</f>
        <v>APAGADO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 t="str">
        <f>'RESUMEN TOTAL'!AA303</f>
        <v>APAGADO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 t="str">
        <f>'RESUMEN TOTAL'!U304</f>
        <v>APAGADO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 t="str">
        <f>'RESUMEN TOTAL'!U305</f>
        <v>APAGADO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 t="str">
        <f>'RESUMEN TOTAL'!U306</f>
        <v>APAGADO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 t="str">
        <f>'RESUMEN TOTAL'!U307</f>
        <v>APAGADO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 t="str">
        <f>'RESUMEN TOTAL'!O308</f>
        <v>APAGADO</v>
      </c>
      <c r="G305" t="str">
        <f>'RESUMEN TOTAL'!P308</f>
        <v>APAGADO</v>
      </c>
      <c r="H305" t="str">
        <f>'RESUMEN TOTAL'!Q308</f>
        <v>APAGADO</v>
      </c>
      <c r="I305" t="str">
        <f>'RESUMEN TOTAL'!R308</f>
        <v>APAGADO</v>
      </c>
      <c r="J305" t="str">
        <f>'RESUMEN TOTAL'!S308</f>
        <v>APAGADO</v>
      </c>
      <c r="K305">
        <f>'RESUMEN TOTAL'!T308</f>
        <v>0</v>
      </c>
      <c r="L305" t="str">
        <f>'RESUMEN TOTAL'!U308</f>
        <v>APAGADO</v>
      </c>
      <c r="M305" t="str">
        <f>'RESUMEN TOTAL'!V308</f>
        <v>APAGADO</v>
      </c>
      <c r="N305" t="str">
        <f>'RESUMEN TOTAL'!W308</f>
        <v>APAGADO</v>
      </c>
      <c r="O305">
        <f>'RESUMEN TOTAL'!X308</f>
        <v>0</v>
      </c>
      <c r="P305" t="str">
        <f>'RESUMEN TOTAL'!Y308</f>
        <v>APAGADO</v>
      </c>
      <c r="Q305" t="str">
        <f>'RESUMEN TOTAL'!Z308</f>
        <v>APAGADO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 t="str">
        <f>'RESUMEN TOTAL'!X309</f>
        <v>APAGADO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 t="str">
        <f>'RESUMEN TOTAL'!AI327</f>
        <v>APAGADO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 t="str">
        <f>'RESUMEN TOTAL'!AI328</f>
        <v>APAGADO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 t="str">
        <f>'RESUMEN TOTAL'!Z333</f>
        <v>APAGADO</v>
      </c>
      <c r="R330" t="str">
        <f>'RESUMEN TOTAL'!AA333</f>
        <v>APAGADO</v>
      </c>
      <c r="S330" t="str">
        <f>'RESUMEN TOTAL'!AB333</f>
        <v>APAGADO</v>
      </c>
      <c r="T330" t="str">
        <f>'RESUMEN TOTAL'!AC333</f>
        <v>APAGADO</v>
      </c>
      <c r="U330" t="str">
        <f>'RESUMEN TOTAL'!AD333</f>
        <v>APAGADO</v>
      </c>
      <c r="V330" t="str">
        <f>'RESUMEN TOTAL'!AE333</f>
        <v>APAGADO</v>
      </c>
      <c r="W330" t="str">
        <f>'RESUMEN TOTAL'!AF333</f>
        <v>APAGADO</v>
      </c>
      <c r="X330" t="str">
        <f>'RESUMEN TOTAL'!AG333</f>
        <v>APAGADO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25">
      <c r="A331" t="str">
        <f>'RESUMEN TOTAL'!A334</f>
        <v>VILLA VATTEONE CENTRO</v>
      </c>
      <c r="B331" t="str">
        <f>'RESUMEN TOTAL'!B334</f>
        <v>VAT 10</v>
      </c>
      <c r="C331" t="str">
        <f>'RESUMEN TOTAL'!D334</f>
        <v>Belgrano y Quintana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25">
      <c r="A332" t="str">
        <f>'RESUMEN TOTAL'!A335</f>
        <v>VILLA VATTEONE</v>
      </c>
      <c r="B332" t="str">
        <f>'RESUMEN TOTAL'!B335</f>
        <v>VAT 14</v>
      </c>
      <c r="C332" t="str">
        <f>'RESUMEN TOTAL'!D335</f>
        <v>FLORIDA Y MONTEVIDEO</v>
      </c>
      <c r="D332" t="str">
        <f>'RESUMEN TOTAL'!E335</f>
        <v>DOMO</v>
      </c>
      <c r="E332" t="str">
        <f>'RESUMEN TOTAL'!F335</f>
        <v>FIBRA OPTICA</v>
      </c>
      <c r="F332" t="str">
        <f>'RESUMEN TOTAL'!O335</f>
        <v>APAGADO</v>
      </c>
      <c r="G332" t="str">
        <f>'RESUMEN TOTAL'!P335</f>
        <v>APAGADO</v>
      </c>
      <c r="H332" t="str">
        <f>'RESUMEN TOTAL'!Q335</f>
        <v>APAGADO</v>
      </c>
      <c r="I332" t="str">
        <f>'RESUMEN TOTAL'!R335</f>
        <v>APAGADO</v>
      </c>
      <c r="J332" t="str">
        <f>'RESUMEN TOTAL'!S335</f>
        <v>APAGADO</v>
      </c>
      <c r="K332">
        <f>'RESUMEN TOTAL'!T335</f>
        <v>0</v>
      </c>
      <c r="L332" t="str">
        <f>'RESUMEN TOTAL'!U335</f>
        <v>APAGADO</v>
      </c>
      <c r="M332" t="str">
        <f>'RESUMEN TOTAL'!V335</f>
        <v>APAGADO</v>
      </c>
      <c r="N332" t="str">
        <f>'RESUMEN TOTAL'!W335</f>
        <v>APAGADO</v>
      </c>
      <c r="O332" t="str">
        <f>'RESUMEN TOTAL'!X335</f>
        <v>APAGADO</v>
      </c>
      <c r="P332" t="str">
        <f>'RESUMEN TOTAL'!Y335</f>
        <v>APAGADO</v>
      </c>
      <c r="Q332" t="str">
        <f>'RESUMEN TOTAL'!Z335</f>
        <v>APAGADO</v>
      </c>
      <c r="R332" t="str">
        <f>'RESUMEN TOTAL'!AA335</f>
        <v>APAGADO</v>
      </c>
      <c r="S332" t="str">
        <f>'RESUMEN TOTAL'!AB335</f>
        <v>APAGADO</v>
      </c>
      <c r="T332" t="str">
        <f>'RESUMEN TOTAL'!AC335</f>
        <v>APAGADO</v>
      </c>
      <c r="U332" t="str">
        <f>'RESUMEN TOTAL'!AD335</f>
        <v>APAGADO</v>
      </c>
      <c r="V332" t="str">
        <f>'RESUMEN TOTAL'!AE335</f>
        <v>APAGADO</v>
      </c>
      <c r="W332" t="str">
        <f>'RESUMEN TOTAL'!AF335</f>
        <v>APAGADO</v>
      </c>
      <c r="X332" t="str">
        <f>'RESUMEN TOTAL'!AG335</f>
        <v>APAGADO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25">
      <c r="A333" t="str">
        <f>'RESUMEN TOTAL'!A336</f>
        <v>VILLA VATTEONE</v>
      </c>
      <c r="B333" t="str">
        <f>'RESUMEN TOTAL'!B336</f>
        <v>VAT 15</v>
      </c>
      <c r="C333" t="str">
        <f>'RESUMEN TOTAL'!D336</f>
        <v>CORRIENTES Y VICENTE LOPEZ</v>
      </c>
      <c r="D333" t="str">
        <f>'RESUMEN TOTAL'!E336</f>
        <v>DOMO</v>
      </c>
      <c r="E333" t="str">
        <f>'RESUMEN TOTAL'!F336</f>
        <v>PTO A FO</v>
      </c>
      <c r="F333" t="str">
        <f>'RESUMEN TOTAL'!O336</f>
        <v>APAGADO</v>
      </c>
      <c r="G333" t="str">
        <f>'RESUMEN TOTAL'!P336</f>
        <v>APAGADO</v>
      </c>
      <c r="H333" t="str">
        <f>'RESUMEN TOTAL'!Q336</f>
        <v>APAGADO</v>
      </c>
      <c r="I333" t="str">
        <f>'RESUMEN TOTAL'!R336</f>
        <v>APAGADO</v>
      </c>
      <c r="J333" t="str">
        <f>'RESUMEN TOTAL'!S336</f>
        <v>APAGADO</v>
      </c>
      <c r="K333">
        <f>'RESUMEN TOTAL'!T336</f>
        <v>0</v>
      </c>
      <c r="L333" t="str">
        <f>'RESUMEN TOTAL'!U336</f>
        <v>APAGADO</v>
      </c>
      <c r="M333" t="str">
        <f>'RESUMEN TOTAL'!V336</f>
        <v>APAGADO</v>
      </c>
      <c r="N333" t="str">
        <f>'RESUMEN TOTAL'!W336</f>
        <v>APAGADO</v>
      </c>
      <c r="O333" t="str">
        <f>'RESUMEN TOTAL'!X336</f>
        <v>APAGADO</v>
      </c>
      <c r="P333" t="str">
        <f>'RESUMEN TOTAL'!Y336</f>
        <v>APAGADO</v>
      </c>
      <c r="Q333" t="str">
        <f>'RESUMEN TOTAL'!Z336</f>
        <v>APAGADO</v>
      </c>
      <c r="R333" t="str">
        <f>'RESUMEN TOTAL'!AA336</f>
        <v>APAGADO</v>
      </c>
      <c r="S333" t="str">
        <f>'RESUMEN TOTAL'!AB336</f>
        <v>APAGADO</v>
      </c>
      <c r="T333" t="str">
        <f>'RESUMEN TOTAL'!AC336</f>
        <v>APAGADO</v>
      </c>
      <c r="U333" t="str">
        <f>'RESUMEN TOTAL'!AD336</f>
        <v>APAGADO</v>
      </c>
      <c r="V333" t="str">
        <f>'RESUMEN TOTAL'!AE336</f>
        <v>APAGADO</v>
      </c>
      <c r="W333" t="str">
        <f>'RESUMEN TOTAL'!AF336</f>
        <v>APAGADO</v>
      </c>
      <c r="X333" t="str">
        <f>'RESUMEN TOTAL'!AG336</f>
        <v>APAGADO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25">
      <c r="A334" t="str">
        <f>'RESUMEN TOTAL'!A337</f>
        <v>VILLA VATTEONE</v>
      </c>
      <c r="B334" t="str">
        <f>'RESUMEN TOTAL'!B337</f>
        <v>VAT 16</v>
      </c>
      <c r="C334" t="str">
        <f>'RESUMEN TOTAL'!D337</f>
        <v>MONTEVIDEO Y CHACO</v>
      </c>
      <c r="D334" t="str">
        <f>'RESUMEN TOTAL'!E337</f>
        <v>DOMO</v>
      </c>
      <c r="E334" t="str">
        <f>'RESUMEN TOTAL'!F337</f>
        <v>PTO A FO</v>
      </c>
      <c r="F334" t="str">
        <f>'RESUMEN TOTAL'!O337</f>
        <v>APAGADO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25">
      <c r="A335" t="str">
        <f>'RESUMEN TOTAL'!A338</f>
        <v>VILLA VATTEONE</v>
      </c>
      <c r="B335" t="str">
        <f>'RESUMEN TOTAL'!B338</f>
        <v>VAT 17</v>
      </c>
      <c r="C335" t="str">
        <f>'RESUMEN TOTAL'!D338</f>
        <v>CHAÃ‘AR Y URUGUAY</v>
      </c>
      <c r="D335" t="str">
        <f>'RESUMEN TOTAL'!E338</f>
        <v>DOMO</v>
      </c>
      <c r="E335" t="str">
        <f>'RESUMEN TOTAL'!F338</f>
        <v>PTO A FO</v>
      </c>
      <c r="F335" t="str">
        <f>'RESUMEN TOTAL'!O338</f>
        <v>APAGADO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25">
      <c r="A336" t="str">
        <f>'RESUMEN TOTAL'!A339</f>
        <v>VILLA VATTEONE</v>
      </c>
      <c r="B336" t="str">
        <f>'RESUMEN TOTAL'!B339</f>
        <v>VAT 20</v>
      </c>
      <c r="C336" t="str">
        <f>'RESUMEN TOTAL'!D339</f>
        <v>URUGUAY Y PILCOMAYO</v>
      </c>
      <c r="D336" t="str">
        <f>'RESUMEN TOTAL'!E339</f>
        <v>FIJA</v>
      </c>
      <c r="E336" t="str">
        <f>'RESUMEN TOTAL'!F339</f>
        <v>Radio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25">
      <c r="A337" t="str">
        <f>'RESUMEN TOTAL'!A340</f>
        <v>VILLA VATTEONE CENTRO</v>
      </c>
      <c r="B337" t="str">
        <f>'RESUMEN TOTAL'!B340</f>
        <v>VAT 21 (fija 1)</v>
      </c>
      <c r="C337" t="str">
        <f>'RESUMEN TOTAL'!D340</f>
        <v>QUINTANA E/ BELGRANO Y FONROUGE</v>
      </c>
      <c r="D337" t="str">
        <f>'RESUMEN TOTAL'!E340</f>
        <v>Fija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25">
      <c r="A338" t="str">
        <f>'RESUMEN TOTAL'!A341</f>
        <v>VILLA VATTEONE CENTRO</v>
      </c>
      <c r="B338" t="str">
        <f>'RESUMEN TOTAL'!B341</f>
        <v>VAT 22 (fija 2)</v>
      </c>
      <c r="C338" t="str">
        <f>'RESUMEN TOTAL'!D341</f>
        <v>QUINTANA E/ BELGRANO Y FONROUGE</v>
      </c>
      <c r="D338" t="str">
        <f>'RESUMEN TOTAL'!E341</f>
        <v>Fija</v>
      </c>
      <c r="E338" t="str">
        <f>'RESUMEN TOTAL'!F341</f>
        <v>Fibra Optica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25">
      <c r="A339" t="str">
        <f>'RESUMEN TOTAL'!A342</f>
        <v>VILLA VATTEONE</v>
      </c>
      <c r="B339" t="str">
        <f>'RESUMEN TOTAL'!B342</f>
        <v>VAT01</v>
      </c>
      <c r="C339" t="str">
        <f>'RESUMEN TOTAL'!D342</f>
        <v>Montevideo y El ChaÃ±ar</v>
      </c>
      <c r="D339" t="str">
        <f>'RESUMEN TOTAL'!E342</f>
        <v>Domo</v>
      </c>
      <c r="E339" t="str">
        <f>'RESUMEN TOTAL'!F342</f>
        <v>Fibra Optica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25">
      <c r="A340" t="str">
        <f>'RESUMEN TOTAL'!A343</f>
        <v>VILLA VATTEONE CENTRO</v>
      </c>
      <c r="B340" t="str">
        <f>'RESUMEN TOTAL'!B343</f>
        <v>VAT02</v>
      </c>
      <c r="C340" t="str">
        <f>'RESUMEN TOTAL'!D343</f>
        <v>Eva PerÃ³n y 12 de Octubre</v>
      </c>
      <c r="D340" t="str">
        <f>'RESUMEN TOTAL'!E343</f>
        <v>Domo</v>
      </c>
      <c r="E340" t="str">
        <f>'RESUMEN TOTAL'!F343</f>
        <v>Fibra Optica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25">
      <c r="A341" t="str">
        <f>'RESUMEN TOTAL'!A344</f>
        <v>VILLA VATTEONE CENTRO</v>
      </c>
      <c r="B341" t="str">
        <f>'RESUMEN TOTAL'!B344</f>
        <v>VAT03</v>
      </c>
      <c r="C341" t="str">
        <f>'RESUMEN TOTAL'!D344</f>
        <v>Lavalle y Belgrano</v>
      </c>
      <c r="D341" t="str">
        <f>'RESUMEN TOTAL'!E344</f>
        <v>Domo</v>
      </c>
      <c r="E341" t="str">
        <f>'RESUMEN TOTAL'!F344</f>
        <v>Fibra Optica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25">
      <c r="A342" t="str">
        <f>'RESUMEN TOTAL'!A345</f>
        <v>VILLA VATTEONE CENTRO</v>
      </c>
      <c r="B342" t="str">
        <f>'RESUMEN TOTAL'!B345</f>
        <v>VAT04</v>
      </c>
      <c r="C342" t="str">
        <f>'RESUMEN TOTAL'!D345</f>
        <v>Lavalle y Entre Rios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 t="str">
        <f>'RESUMEN TOTAL'!AE345</f>
        <v>APAGADO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25">
      <c r="A343" t="str">
        <f>'RESUMEN TOTAL'!A346</f>
        <v>VILLA VATTEONE CENTRO</v>
      </c>
      <c r="B343" t="str">
        <f>'RESUMEN TOTAL'!B346</f>
        <v>VAT05</v>
      </c>
      <c r="C343" t="str">
        <f>'RESUMEN TOTAL'!D346</f>
        <v>Lavalle y Colombia</v>
      </c>
      <c r="D343" t="str">
        <f>'RESUMEN TOTAL'!E346</f>
        <v>Domo</v>
      </c>
      <c r="E343" t="str">
        <f>'RESUMEN TOTAL'!F346</f>
        <v>Radio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 t="str">
        <f>'RESUMEN TOTAL'!AE346</f>
        <v>APAGADO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25">
      <c r="A344" t="str">
        <f>'RESUMEN TOTAL'!A347</f>
        <v>VILLA VATTEONE CENTRO</v>
      </c>
      <c r="B344" t="str">
        <f>'RESUMEN TOTAL'!B347</f>
        <v>VAT06</v>
      </c>
      <c r="C344" t="str">
        <f>'RESUMEN TOTAL'!D347</f>
        <v>Eva Peron y PueyrredÃ³n</v>
      </c>
      <c r="D344" t="str">
        <f>'RESUMEN TOTAL'!E347</f>
        <v>Domo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 t="str">
        <f>'RESUMEN TOTAL'!AE347</f>
        <v>APAGADO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25">
      <c r="A345" t="str">
        <f>'RESUMEN TOTAL'!A348</f>
        <v>VILLA VATTEONE CENTRO</v>
      </c>
      <c r="B345" t="str">
        <f>'RESUMEN TOTAL'!B348</f>
        <v>VAT07</v>
      </c>
      <c r="C345" t="str">
        <f>'RESUMEN TOTAL'!D348</f>
        <v>Eva PerÃ³n y Lavalle</v>
      </c>
      <c r="D345" t="str">
        <f>'RESUMEN TOTAL'!E348</f>
        <v>f</v>
      </c>
      <c r="E345" t="str">
        <f>'RESUMEN TOTAL'!F348</f>
        <v>PTO A FO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 t="str">
        <f>'RESUMEN TOTAL'!AE348</f>
        <v>APAGADO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25">
      <c r="A346" t="str">
        <f>'RESUMEN TOTAL'!A349</f>
        <v>VILLA VATTEONE</v>
      </c>
      <c r="B346" t="str">
        <f>'RESUMEN TOTAL'!B349</f>
        <v>VAT08</v>
      </c>
      <c r="C346" t="str">
        <f>'RESUMEN TOTAL'!D349</f>
        <v>12 de Octubre y Florida</v>
      </c>
      <c r="D346" t="str">
        <f>'RESUMEN TOTAL'!E349</f>
        <v>Domo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25">
      <c r="A347" t="str">
        <f>'RESUMEN TOTAL'!A350</f>
        <v>VILLA VATTEONE</v>
      </c>
      <c r="B347" t="str">
        <f>'RESUMEN TOTAL'!B350</f>
        <v>VAT09</v>
      </c>
      <c r="C347" t="str">
        <f>'RESUMEN TOTAL'!D350</f>
        <v>Montevideo y Alsina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25">
      <c r="A348" t="str">
        <f>'RESUMEN TOTAL'!A351</f>
        <v>VILLA VATTEONE</v>
      </c>
      <c r="B348" t="str">
        <f>'RESUMEN TOTAL'!B351</f>
        <v>VAT11</v>
      </c>
      <c r="C348" t="str">
        <f>'RESUMEN TOTAL'!D351</f>
        <v>Mainini y Montevideo</v>
      </c>
      <c r="D348" t="str">
        <f>'RESUMEN TOTAL'!E351</f>
        <v>Domo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25">
      <c r="A349" t="str">
        <f>'RESUMEN TOTAL'!A352</f>
        <v>VILLA VATTEONE</v>
      </c>
      <c r="B349" t="str">
        <f>'RESUMEN TOTAL'!B352</f>
        <v>VAT12</v>
      </c>
      <c r="C349" t="str">
        <f>'RESUMEN TOTAL'!D352</f>
        <v>12 DE OCTUBRE Y CHACO</v>
      </c>
      <c r="D349" t="str">
        <f>'RESUMEN TOTAL'!E352</f>
        <v>DOMO</v>
      </c>
      <c r="E349" t="str">
        <f>'RESUMEN TOTAL'!F352</f>
        <v>PTO A FO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>
        <f>'RESUMEN TOTAL'!T352</f>
        <v>0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 t="str">
        <f>'RESUMEN TOTAL'!Z352</f>
        <v>APAGADO</v>
      </c>
      <c r="R349" t="str">
        <f>'RESUMEN TOTAL'!AA352</f>
        <v>APAGADO</v>
      </c>
      <c r="S349" t="str">
        <f>'RESUMEN TOTAL'!AB352</f>
        <v>APAGADO</v>
      </c>
      <c r="T349" t="str">
        <f>'RESUMEN TOTAL'!AC352</f>
        <v>APAGADO</v>
      </c>
      <c r="U349" t="str">
        <f>'RESUMEN TOTAL'!AD352</f>
        <v>APAGADO</v>
      </c>
      <c r="V349" t="str">
        <f>'RESUMEN TOTAL'!AE352</f>
        <v>APAGADO</v>
      </c>
      <c r="W349" t="str">
        <f>'RESUMEN TOTAL'!AF352</f>
        <v>APAGADO</v>
      </c>
      <c r="X349" t="str">
        <f>'RESUMEN TOTAL'!AG352</f>
        <v>APAGADO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25">
      <c r="A350" t="str">
        <f>'RESUMEN TOTAL'!A353</f>
        <v>VILLA VATTEONE CENTRO</v>
      </c>
      <c r="B350" t="str">
        <f>'RESUMEN TOTAL'!B353</f>
        <v>VAT13</v>
      </c>
      <c r="C350" t="str">
        <f>'RESUMEN TOTAL'!D353</f>
        <v>Av.12 de Octubre y Belgrano</v>
      </c>
      <c r="D350" t="str">
        <f>'RESUMEN TOTAL'!E353</f>
        <v>Domo</v>
      </c>
      <c r="E350" t="str">
        <f>'RESUMEN TOTAL'!F353</f>
        <v>PTO A FO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25">
      <c r="A351" t="str">
        <f>'RESUMEN TOTAL'!A354</f>
        <v>VILLA VATTEONE CENTRO</v>
      </c>
      <c r="B351" t="str">
        <f>'RESUMEN TOTAL'!B354</f>
        <v>VAT18</v>
      </c>
      <c r="C351" t="str">
        <f>'RESUMEN TOTAL'!D354</f>
        <v>LAVALLE Y FONROUGE</v>
      </c>
      <c r="D351" t="str">
        <f>'RESUMEN TOTAL'!E354</f>
        <v>DOMO</v>
      </c>
      <c r="E351" t="str">
        <f>'RESUMEN TOTAL'!F354</f>
        <v>PTO A FO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25">
      <c r="A352" t="str">
        <f>'RESUMEN TOTAL'!A355</f>
        <v>VILLA VATTEONE CENTRO</v>
      </c>
      <c r="B352" t="str">
        <f>'RESUMEN TOTAL'!B355</f>
        <v>VAT19</v>
      </c>
      <c r="C352" t="str">
        <f>'RESUMEN TOTAL'!D355</f>
        <v>QUINTANA Y FONROUGE ( TUCUMAN )</v>
      </c>
      <c r="D352" t="str">
        <f>'RESUMEN TOTAL'!E355</f>
        <v>DOMO</v>
      </c>
      <c r="E352" t="str">
        <f>'RESUMEN TOTAL'!F355</f>
        <v>Radio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25">
      <c r="A353" t="str">
        <f>'RESUMEN TOTAL'!A356</f>
        <v>VILLA VATTEONE CENTRO</v>
      </c>
      <c r="B353" t="str">
        <f>'RESUMEN TOTAL'!B356</f>
        <v>VAT23 (fija 1)</v>
      </c>
      <c r="C353" t="str">
        <f>'RESUMEN TOTAL'!D356</f>
        <v>EVA PERON Y "EL TUNEL" (BAJO NIVEL)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25">
      <c r="A354" t="str">
        <f>'RESUMEN TOTAL'!A357</f>
        <v>VILLA VATTEONE CENTRO</v>
      </c>
      <c r="B354" t="str">
        <f>'RESUMEN TOTAL'!B357</f>
        <v>VAT24 (fija 2)</v>
      </c>
      <c r="C354" t="str">
        <f>'RESUMEN TOTAL'!D357</f>
        <v>EVA PERON Y "EL TUNEL" (BAJO NIVEL)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25">
      <c r="A355" t="str">
        <f>'RESUMEN TOTAL'!A358</f>
        <v>VILLA AURORA</v>
      </c>
      <c r="B355" t="str">
        <f>'RESUMEN TOTAL'!B358</f>
        <v>VAU 01</v>
      </c>
      <c r="C355" t="str">
        <f>'RESUMEN TOTAL'!D358</f>
        <v>San Martin y Monteverde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25">
      <c r="A356" t="str">
        <f>'RESUMEN TOTAL'!A359</f>
        <v>SAN EMILIO</v>
      </c>
      <c r="B356" t="str">
        <f>'RESUMEN TOTAL'!B359</f>
        <v>VAU 02</v>
      </c>
      <c r="C356" t="str">
        <f>'RESUMEN TOTAL'!D359</f>
        <v>San Martin y Lope de Vega</v>
      </c>
      <c r="D356" t="str">
        <f>'RESUMEN TOTAL'!E359</f>
        <v>Domo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>
        <f>'RESUMEN TOTAL'!T359</f>
        <v>0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 t="str">
        <f>'RESUMEN TOTAL'!Y359</f>
        <v>APAGADO</v>
      </c>
      <c r="Q356" t="str">
        <f>'RESUMEN TOTAL'!Z359</f>
        <v>APAGADO</v>
      </c>
      <c r="R356" t="str">
        <f>'RESUMEN TOTAL'!AA359</f>
        <v>APAGADO</v>
      </c>
      <c r="S356" t="str">
        <f>'RESUMEN TOTAL'!AB359</f>
        <v>APAGADO</v>
      </c>
      <c r="T356" t="str">
        <f>'RESUMEN TOTAL'!AC359</f>
        <v>APAGADO</v>
      </c>
      <c r="U356" t="str">
        <f>'RESUMEN TOTAL'!AD359</f>
        <v>APAGADO</v>
      </c>
      <c r="V356" t="str">
        <f>'RESUMEN TOTAL'!AE359</f>
        <v>APAGADO</v>
      </c>
      <c r="W356" t="str">
        <f>'RESUMEN TOTAL'!AF359</f>
        <v>APAGADO</v>
      </c>
      <c r="X356" t="str">
        <f>'RESUMEN TOTAL'!AG359</f>
        <v>APAGADO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25">
      <c r="A357" t="str">
        <f>'RESUMEN TOTAL'!A360</f>
        <v>VILLA AURORA</v>
      </c>
      <c r="B357" t="str">
        <f>'RESUMEN TOTAL'!B360</f>
        <v>VAU 07</v>
      </c>
      <c r="C357" t="str">
        <f>'RESUMEN TOTAL'!D360</f>
        <v>VICTORINO DE LA PLAZA Y MONTEVERDE</v>
      </c>
      <c r="D357" t="str">
        <f>'RESUMEN TOTAL'!E360</f>
        <v>Domo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>
        <f>'RESUMEN TOTAL'!T360</f>
        <v>0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 t="str">
        <f>'RESUMEN TOTAL'!Y360</f>
        <v>APAGADO</v>
      </c>
      <c r="Q357" t="str">
        <f>'RESUMEN TOTAL'!Z360</f>
        <v>APAGADO</v>
      </c>
      <c r="R357" t="str">
        <f>'RESUMEN TOTAL'!AA360</f>
        <v>APAGADO</v>
      </c>
      <c r="S357" t="str">
        <f>'RESUMEN TOTAL'!AB360</f>
        <v>APAGADO</v>
      </c>
      <c r="T357" t="str">
        <f>'RESUMEN TOTAL'!AC360</f>
        <v>APAGADO</v>
      </c>
      <c r="U357" t="str">
        <f>'RESUMEN TOTAL'!AD360</f>
        <v>APAGADO</v>
      </c>
      <c r="V357" t="str">
        <f>'RESUMEN TOTAL'!AE360</f>
        <v>APAGADO</v>
      </c>
      <c r="W357" t="str">
        <f>'RESUMEN TOTAL'!AF360</f>
        <v>APAGADO</v>
      </c>
      <c r="X357" t="str">
        <f>'RESUMEN TOTAL'!AG360</f>
        <v>APAGADO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25">
      <c r="A358" t="str">
        <f>'RESUMEN TOTAL'!A361</f>
        <v>VILLA AURORA</v>
      </c>
      <c r="B358" t="str">
        <f>'RESUMEN TOTAL'!B361</f>
        <v>VAU03 (fija 1)</v>
      </c>
      <c r="C358" t="str">
        <f>'RESUMEN TOTAL'!D361</f>
        <v>PIZZURNO Y NUESTRAS MALVINAS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>
        <f>'RESUMEN TOTAL'!T361</f>
        <v>0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 t="str">
        <f>'RESUMEN TOTAL'!Y361</f>
        <v>APAGADO</v>
      </c>
      <c r="Q358" t="str">
        <f>'RESUMEN TOTAL'!Z361</f>
        <v>APAGADO</v>
      </c>
      <c r="R358" t="str">
        <f>'RESUMEN TOTAL'!AA361</f>
        <v>APAGADO</v>
      </c>
      <c r="S358" t="str">
        <f>'RESUMEN TOTAL'!AB361</f>
        <v>APAGADO</v>
      </c>
      <c r="T358" t="str">
        <f>'RESUMEN TOTAL'!AC361</f>
        <v>APAGADO</v>
      </c>
      <c r="U358" t="str">
        <f>'RESUMEN TOTAL'!AD361</f>
        <v>APAGADO</v>
      </c>
      <c r="V358" t="str">
        <f>'RESUMEN TOTAL'!AE361</f>
        <v>APAGADO</v>
      </c>
      <c r="W358" t="str">
        <f>'RESUMEN TOTAL'!AF361</f>
        <v>APAGADO</v>
      </c>
      <c r="X358" t="str">
        <f>'RESUMEN TOTAL'!AG361</f>
        <v>APAGADO</v>
      </c>
      <c r="Y358">
        <f>'RESUMEN TOTAL'!AH361</f>
        <v>0</v>
      </c>
      <c r="Z358" t="str">
        <f>'RESUMEN TOTAL'!AI361</f>
        <v>APAGADO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25">
      <c r="A359" t="str">
        <f>'RESUMEN TOTAL'!A362</f>
        <v>VILLA AURORA</v>
      </c>
      <c r="B359" t="str">
        <f>'RESUMEN TOTAL'!B362</f>
        <v>VAU04 (fija 2)</v>
      </c>
      <c r="C359" t="str">
        <f>'RESUMEN TOTAL'!D362</f>
        <v>PIZZURNO Y NUESTRAS MALVINAS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>
        <f>'RESUMEN TOTAL'!T362</f>
        <v>0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 t="str">
        <f>'RESUMEN TOTAL'!Y362</f>
        <v>APAGADO</v>
      </c>
      <c r="Q359" t="str">
        <f>'RESUMEN TOTAL'!Z362</f>
        <v>APAGADO</v>
      </c>
      <c r="R359" t="str">
        <f>'RESUMEN TOTAL'!AA362</f>
        <v>APAGADO</v>
      </c>
      <c r="S359" t="str">
        <f>'RESUMEN TOTAL'!AB362</f>
        <v>APAGADO</v>
      </c>
      <c r="T359" t="str">
        <f>'RESUMEN TOTAL'!AC362</f>
        <v>APAGADO</v>
      </c>
      <c r="U359" t="str">
        <f>'RESUMEN TOTAL'!AD362</f>
        <v>APAGADO</v>
      </c>
      <c r="V359" t="str">
        <f>'RESUMEN TOTAL'!AE362</f>
        <v>APAGADO</v>
      </c>
      <c r="W359" t="str">
        <f>'RESUMEN TOTAL'!AF362</f>
        <v>APAGADO</v>
      </c>
      <c r="X359" t="str">
        <f>'RESUMEN TOTAL'!AG362</f>
        <v>APAGADO</v>
      </c>
      <c r="Y359">
        <f>'RESUMEN TOTAL'!AH362</f>
        <v>0</v>
      </c>
      <c r="Z359" t="str">
        <f>'RESUMEN TOTAL'!AI362</f>
        <v>APAGADO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25">
      <c r="A360" t="str">
        <f>'RESUMEN TOTAL'!A363</f>
        <v>VILLA AURORA</v>
      </c>
      <c r="B360" t="str">
        <f>'RESUMEN TOTAL'!B363</f>
        <v>VAU05 (fija 1)</v>
      </c>
      <c r="C360" t="str">
        <f>'RESUMEN TOTAL'!D363</f>
        <v>GUIDO SPANO Y VICTORINO DE LA PLAZA</v>
      </c>
      <c r="D360" t="str">
        <f>'RESUMEN TOTAL'!E363</f>
        <v>Fija</v>
      </c>
      <c r="E360" t="str">
        <f>'RESUMEN TOTAL'!F363</f>
        <v>Fibra Optica</v>
      </c>
      <c r="F360" t="str">
        <f>'RESUMEN TOTAL'!O363</f>
        <v>APAGADO</v>
      </c>
      <c r="G360" t="str">
        <f>'RESUMEN TOTAL'!P363</f>
        <v>APAGADO</v>
      </c>
      <c r="H360" t="str">
        <f>'RESUMEN TOTAL'!Q363</f>
        <v>APAGADO</v>
      </c>
      <c r="I360" t="str">
        <f>'RESUMEN TOTAL'!R363</f>
        <v>APAGADO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25">
      <c r="A361" t="str">
        <f>'RESUMEN TOTAL'!A364</f>
        <v>VILLA AURORA</v>
      </c>
      <c r="B361" t="str">
        <f>'RESUMEN TOTAL'!B364</f>
        <v>VAU06 (fija 2)</v>
      </c>
      <c r="C361" t="str">
        <f>'RESUMEN TOTAL'!D364</f>
        <v>GUIDO SPANO Y VICTORINO DE LA PLAZA</v>
      </c>
      <c r="D361" t="str">
        <f>'RESUMEN TOTAL'!E364</f>
        <v>Fija</v>
      </c>
      <c r="E361" t="str">
        <f>'RESUMEN TOTAL'!F364</f>
        <v>Fibra Optica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25">
      <c r="A362" t="str">
        <f>'RESUMEN TOTAL'!A365</f>
        <v>VILLA AURORA</v>
      </c>
      <c r="B362" t="str">
        <f>'RESUMEN TOTAL'!B365</f>
        <v>VAU08</v>
      </c>
      <c r="C362" t="str">
        <f>'RESUMEN TOTAL'!D365</f>
        <v>MONTEVERDE Y WASHINGTON</v>
      </c>
      <c r="D362" t="str">
        <f>'RESUMEN TOTAL'!E365</f>
        <v>DOMO</v>
      </c>
      <c r="E362" t="str">
        <f>'RESUMEN TOTAL'!F365</f>
        <v>Fibra Optica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25">
      <c r="A363" t="str">
        <f>'RESUMEN TOTAL'!A366</f>
        <v>VILLA DEL PLATA</v>
      </c>
      <c r="B363" t="str">
        <f>'RESUMEN TOTAL'!B366</f>
        <v>VDPL02</v>
      </c>
      <c r="C363" t="str">
        <f>'RESUMEN TOTAL'!D366</f>
        <v>Thevenet y Berutti</v>
      </c>
      <c r="D363" t="str">
        <f>'RESUMEN TOTAL'!E366</f>
        <v>Domo</v>
      </c>
      <c r="E363" t="str">
        <f>'RESUMEN TOTAL'!F366</f>
        <v>Fibra Optica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25">
      <c r="A364" t="str">
        <f>'RESUMEN TOTAL'!A367</f>
        <v>VILLA DEL PLATA</v>
      </c>
      <c r="B364" t="str">
        <f>'RESUMEN TOTAL'!B367</f>
        <v>VDPL03</v>
      </c>
      <c r="C364" t="str">
        <f>'RESUMEN TOTAL'!D367</f>
        <v>Neuquen y Alvarado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25">
      <c r="A365" t="str">
        <f>'RESUMEN TOTAL'!A368</f>
        <v>VILLA DEL PLATA</v>
      </c>
      <c r="B365" t="str">
        <f>'RESUMEN TOTAL'!B368</f>
        <v>VDPL04</v>
      </c>
      <c r="C365" t="str">
        <f>'RESUMEN TOTAL'!D368</f>
        <v>Neuquen y Diagonal Guemes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VDPL05</v>
      </c>
      <c r="C366" t="str">
        <f>'RESUMEN TOTAL'!D369</f>
        <v>Ruta 36 y Abraham</v>
      </c>
      <c r="D366" t="str">
        <f>'RESUMEN TOTAL'!E369</f>
        <v>Domo</v>
      </c>
      <c r="E366" t="str">
        <f>'RESUMEN TOTAL'!F369</f>
        <v>PTO A FO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VDPL06</v>
      </c>
      <c r="C367" t="str">
        <f>'RESUMEN TOTAL'!D370</f>
        <v>Thevenet e/ Islas Orcadas y Gardel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25">
      <c r="A368" t="str">
        <f>'RESUMEN TOTAL'!A371</f>
        <v>VILLA HUDSON</v>
      </c>
      <c r="B368" t="str">
        <f>'RESUMEN TOTAL'!B371</f>
        <v>VHS 01</v>
      </c>
      <c r="C368" t="str">
        <f>'RESUMEN TOTAL'!D371</f>
        <v>AV. HUDSON Y AV. LUJAN</v>
      </c>
      <c r="D368" t="str">
        <f>'RESUMEN TOTAL'!E371</f>
        <v>DOMO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25">
      <c r="A369" t="str">
        <f>'RESUMEN TOTAL'!A372</f>
        <v>VILLA HUDSON</v>
      </c>
      <c r="B369" t="str">
        <f>'RESUMEN TOTAL'!B372</f>
        <v>VHS 02</v>
      </c>
      <c r="C369" t="str">
        <f>'RESUMEN TOTAL'!D372</f>
        <v>AV. LUJAN Y CALLE 909 A</v>
      </c>
      <c r="D369" t="str">
        <f>'RESUMEN TOTAL'!E372</f>
        <v>DOMO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25">
      <c r="A370" t="str">
        <f>'RESUMEN TOTAL'!A373</f>
        <v>VILLA HUDSON</v>
      </c>
      <c r="B370" t="str">
        <f>'RESUMEN TOTAL'!B373</f>
        <v>VHS 03 (fija 1)</v>
      </c>
      <c r="C370" t="str">
        <f>'RESUMEN TOTAL'!D373</f>
        <v>AV. HUDSON Y LOS INMIGRANTES</v>
      </c>
      <c r="D370" t="str">
        <f>'RESUMEN TOTAL'!E373</f>
        <v>Fija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 t="str">
        <f>'RESUMEN TOTAL'!AE373</f>
        <v>APAGADO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25">
      <c r="A371" t="str">
        <f>'RESUMEN TOTAL'!A374</f>
        <v>VILLA HUDSON</v>
      </c>
      <c r="B371" t="str">
        <f>'RESUMEN TOTAL'!B374</f>
        <v>VHS 04 (fija 2)</v>
      </c>
      <c r="C371" t="str">
        <f>'RESUMEN TOTAL'!D374</f>
        <v>AV. HUDSON Y LOS INMIGRANTES</v>
      </c>
      <c r="D371" t="str">
        <f>'RESUMEN TOTAL'!E374</f>
        <v>Fija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 t="str">
        <f>'RESUMEN TOTAL'!AE374</f>
        <v>APAGADO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25">
      <c r="A372" t="str">
        <f>'RESUMEN TOTAL'!A375</f>
        <v>VILLA ARIAS</v>
      </c>
      <c r="B372" t="str">
        <f>'RESUMEN TOTAL'!B375</f>
        <v>VLA 01 (fija 1)</v>
      </c>
      <c r="C372" t="str">
        <f>'RESUMEN TOTAL'!D375</f>
        <v>820 Y SOLER</v>
      </c>
      <c r="D372" t="str">
        <f>'RESUMEN TOTAL'!E375</f>
        <v>Fija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 t="str">
        <f>'RESUMEN TOTAL'!AE375</f>
        <v>APAGADO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25">
      <c r="A373" t="str">
        <f>'RESUMEN TOTAL'!A376</f>
        <v>VILLA ARIAS</v>
      </c>
      <c r="B373" t="str">
        <f>'RESUMEN TOTAL'!B376</f>
        <v>VLA 02</v>
      </c>
      <c r="C373" t="str">
        <f>'RESUMEN TOTAL'!D376</f>
        <v>ESPORA Y HUDSON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 t="str">
        <f>'RESUMEN TOTAL'!AE376</f>
        <v>APAGADO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25">
      <c r="A374" t="str">
        <f>'RESUMEN TOTAL'!A377</f>
        <v>VILLA ARIAS</v>
      </c>
      <c r="B374" t="str">
        <f>'RESUMEN TOTAL'!B377</f>
        <v>VLA03 (fija 2)</v>
      </c>
      <c r="C374" t="str">
        <f>'RESUMEN TOTAL'!D377</f>
        <v>820 y SOLER</v>
      </c>
      <c r="D374" t="str">
        <f>'RESUMEN TOTAL'!E377</f>
        <v>Fija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1"/>
  </cols>
  <sheetData>
    <row r="1" spans="1:35" ht="21" x14ac:dyDescent="0.35">
      <c r="E1" s="26" t="s">
        <v>821</v>
      </c>
      <c r="F1" s="26">
        <f t="shared" ref="F1:AC1" si="0">COUNTIF(F3:F366, "APAGADO")</f>
        <v>35</v>
      </c>
      <c r="G1" s="26">
        <f t="shared" si="0"/>
        <v>33</v>
      </c>
      <c r="H1" s="26">
        <f t="shared" si="0"/>
        <v>36</v>
      </c>
      <c r="I1" s="26">
        <f t="shared" si="0"/>
        <v>40</v>
      </c>
      <c r="J1" s="26">
        <f t="shared" si="0"/>
        <v>32</v>
      </c>
      <c r="K1" s="26">
        <f t="shared" si="0"/>
        <v>0</v>
      </c>
      <c r="L1" s="26">
        <f t="shared" si="0"/>
        <v>57</v>
      </c>
      <c r="M1" s="26">
        <f t="shared" si="0"/>
        <v>48</v>
      </c>
      <c r="N1" s="26">
        <f t="shared" si="0"/>
        <v>34</v>
      </c>
      <c r="O1" s="26">
        <f t="shared" si="0"/>
        <v>29</v>
      </c>
      <c r="P1" s="26">
        <f t="shared" si="0"/>
        <v>29</v>
      </c>
      <c r="Q1" s="26">
        <f t="shared" si="0"/>
        <v>33</v>
      </c>
      <c r="R1" s="26">
        <f t="shared" si="0"/>
        <v>36</v>
      </c>
      <c r="S1" s="26">
        <f t="shared" si="0"/>
        <v>34</v>
      </c>
      <c r="T1" s="26">
        <f t="shared" si="0"/>
        <v>33</v>
      </c>
      <c r="U1" s="26">
        <f t="shared" si="0"/>
        <v>28</v>
      </c>
      <c r="V1" s="26">
        <f t="shared" si="0"/>
        <v>48</v>
      </c>
      <c r="W1" s="26">
        <f>COUNTIF(W3:W447, "APAGADO")</f>
        <v>30</v>
      </c>
      <c r="X1" s="26">
        <f t="shared" si="0"/>
        <v>26</v>
      </c>
      <c r="Y1" s="26">
        <f t="shared" si="0"/>
        <v>0</v>
      </c>
      <c r="Z1" s="26">
        <f t="shared" si="0"/>
        <v>18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6">
        <f>ESTADISTICA!F1</f>
        <v>44743</v>
      </c>
      <c r="G2" s="56">
        <f>ESTADISTICA!G1</f>
        <v>44744</v>
      </c>
      <c r="H2" s="56">
        <f>ESTADISTICA!H1</f>
        <v>44745</v>
      </c>
      <c r="I2" s="56">
        <f>ESTADISTICA!I1</f>
        <v>44746</v>
      </c>
      <c r="J2" s="56">
        <f>ESTADISTICA!J1</f>
        <v>44747</v>
      </c>
      <c r="K2" s="56">
        <f>ESTADISTICA!K1</f>
        <v>44748</v>
      </c>
      <c r="L2" s="56">
        <f>ESTADISTICA!L1</f>
        <v>44749</v>
      </c>
      <c r="M2" s="56">
        <f>ESTADISTICA!M1</f>
        <v>44750</v>
      </c>
      <c r="N2" s="56">
        <f>ESTADISTICA!N1</f>
        <v>44751</v>
      </c>
      <c r="O2" s="56">
        <f>ESTADISTICA!O1</f>
        <v>44752</v>
      </c>
      <c r="P2" s="56">
        <f>ESTADISTICA!P1</f>
        <v>44753</v>
      </c>
      <c r="Q2" s="56">
        <f>ESTADISTICA!Q1</f>
        <v>44754</v>
      </c>
      <c r="R2" s="56">
        <f>ESTADISTICA!R1</f>
        <v>44755</v>
      </c>
      <c r="S2" s="56">
        <f>ESTADISTICA!S1</f>
        <v>44756</v>
      </c>
      <c r="T2" s="56">
        <f>ESTADISTICA!T1</f>
        <v>44757</v>
      </c>
      <c r="U2" s="56">
        <f>ESTADISTICA!U1</f>
        <v>44758</v>
      </c>
      <c r="V2" s="56">
        <f>ESTADISTICA!V1</f>
        <v>44759</v>
      </c>
      <c r="W2" s="56">
        <f>ESTADISTICA!W1</f>
        <v>44760</v>
      </c>
      <c r="X2" s="56">
        <f>ESTADISTICA!X1</f>
        <v>44761</v>
      </c>
      <c r="Y2" s="56">
        <f>ESTADISTICA!Y1</f>
        <v>44762</v>
      </c>
      <c r="Z2" s="56">
        <f>ESTADISTICA!Z1</f>
        <v>44763</v>
      </c>
      <c r="AA2" s="56">
        <f>ESTADISTICA!AA1</f>
        <v>44764</v>
      </c>
      <c r="AB2" s="56">
        <f>ESTADISTICA!AB1</f>
        <v>44765</v>
      </c>
      <c r="AC2" s="56">
        <f>ESTADISTICA!AC1</f>
        <v>44766</v>
      </c>
      <c r="AD2" s="56">
        <f>ESTADISTICA!AD1</f>
        <v>44767</v>
      </c>
      <c r="AE2" s="56">
        <f>ESTADISTICA!AE1</f>
        <v>44768</v>
      </c>
      <c r="AF2" s="56">
        <f>ESTADISTICA!AF1</f>
        <v>44769</v>
      </c>
      <c r="AG2" s="56">
        <f>ESTADISTICA!AG1</f>
        <v>44770</v>
      </c>
      <c r="AH2" s="56">
        <f>ESTADISTICA!AH1</f>
        <v>44771</v>
      </c>
      <c r="AI2" s="56">
        <f>ESTADISTICA!AI1</f>
        <v>44772</v>
      </c>
    </row>
    <row r="3" spans="1:35" hidden="1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>
        <f>ESTADISTICA!K4</f>
        <v>0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 t="str">
        <f>ESTADISTICA!U4</f>
        <v>APAGADO</v>
      </c>
      <c r="V5" t="str">
        <f>ESTADISTICA!V4</f>
        <v>APAGADO</v>
      </c>
      <c r="W5" t="str">
        <f>ESTADISTICA!W4</f>
        <v>APAGADO</v>
      </c>
      <c r="X5" t="str">
        <f>ESTADISTICA!X4</f>
        <v>APAGADO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 t="str">
        <f>ESTADISTICA!L10</f>
        <v>APAGADO</v>
      </c>
      <c r="M11" t="str">
        <f>ESTADISTICA!M10</f>
        <v>APAGADO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e/EspaÃ±a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 t="str">
        <f>ESTADISTICA!M14</f>
        <v>APAGADO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 t="str">
        <f>ESTADISTICA!L15</f>
        <v>APAGADO</v>
      </c>
      <c r="M16" t="str">
        <f>ESTADISTICA!M15</f>
        <v>APAGADO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 t="str">
        <f>ESTADISTICA!N18</f>
        <v>APAGADO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 t="str">
        <f>ESTADISTICA!Z31</f>
        <v>APAGADO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25">
      <c r="A34" t="str">
        <f>ESTADISTICA!A33</f>
        <v>CENTRO</v>
      </c>
      <c r="B34" t="str">
        <f>ESTADISTICA!B33</f>
        <v>CEN 76</v>
      </c>
      <c r="C34" t="str">
        <f>ESTADISTICA!C33</f>
        <v>ESPAÃ‘A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 t="str">
        <f>ESTADISTICA!G33</f>
        <v>APAGADO</v>
      </c>
      <c r="H34" t="str">
        <f>ESTADISTICA!H33</f>
        <v>APAGADO</v>
      </c>
      <c r="I34" t="str">
        <f>ESTADISTICA!I33</f>
        <v>APAGADO</v>
      </c>
      <c r="J34" t="str">
        <f>ESTADISTICA!J33</f>
        <v>APAGADO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 t="str">
        <f>ESTADISTICA!N33</f>
        <v>APAGADO</v>
      </c>
      <c r="O34" t="str">
        <f>ESTADISTICA!O33</f>
        <v>APAGADO</v>
      </c>
      <c r="P34" t="str">
        <f>ESTADISTICA!P33</f>
        <v>APAGADO</v>
      </c>
      <c r="Q34" t="str">
        <f>ESTADISTICA!Q33</f>
        <v>APAGADO</v>
      </c>
      <c r="R34" t="str">
        <f>ESTADISTICA!R33</f>
        <v>APAGADO</v>
      </c>
      <c r="S34" t="str">
        <f>ESTADISTICA!S33</f>
        <v>APAGADO</v>
      </c>
      <c r="T34" t="str">
        <f>ESTADISTICA!T33</f>
        <v>APAGADO</v>
      </c>
      <c r="U34" t="str">
        <f>ESTADISTICA!U33</f>
        <v>APAGADO</v>
      </c>
      <c r="V34" t="str">
        <f>ESTADISTICA!V33</f>
        <v>APAGADO</v>
      </c>
      <c r="W34" t="str">
        <f>ESTADISTICA!W33</f>
        <v>APAGADO</v>
      </c>
      <c r="X34" t="str">
        <f>ESTADISTICA!X33</f>
        <v>APAGADO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GÃ¼emes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Pte.PerÃ³n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PerÃ³n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Pte.PerÃ³n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 t="str">
        <f>ESTADISTICA!T47</f>
        <v>APAGADO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EspaÃ±a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EspaÃ±a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EspaÃ±a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EspaÃ±a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EspaÃ±a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25">
      <c r="A66" t="str">
        <f>ESTADISTICA!A65</f>
        <v>CENTRO</v>
      </c>
      <c r="B66" t="str">
        <f>ESTADISTICA!B65</f>
        <v>CEN35</v>
      </c>
      <c r="C66" t="str">
        <f>ESTADISTICA!C65</f>
        <v>EspaÃ±a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25">
      <c r="A67" t="str">
        <f>ESTADISTICA!A66</f>
        <v>CENTRO</v>
      </c>
      <c r="B67" t="str">
        <f>ESTADISTICA!B66</f>
        <v>CEN36</v>
      </c>
      <c r="C67" t="str">
        <f>ESTADISTICA!C66</f>
        <v>EspaÃ±a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 t="str">
        <f>ESTADISTICA!F71</f>
        <v>APAGADO</v>
      </c>
      <c r="G72" t="str">
        <f>ESTADISTICA!G71</f>
        <v>APAGADO</v>
      </c>
      <c r="H72" t="str">
        <f>ESTADISTICA!H71</f>
        <v>APAGADO</v>
      </c>
      <c r="I72" t="str">
        <f>ESTADISTICA!I71</f>
        <v>APAGADO</v>
      </c>
      <c r="J72" t="str">
        <f>ESTADISTICA!J71</f>
        <v>APAGADO</v>
      </c>
      <c r="K72">
        <f>ESTADISTICA!K71</f>
        <v>0</v>
      </c>
      <c r="L72" t="str">
        <f>ESTADISTICA!L71</f>
        <v>APAGADO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 t="str">
        <f>ESTADISTICA!Q77</f>
        <v>APAGADO</v>
      </c>
      <c r="R78" t="str">
        <f>ESTADISTICA!R77</f>
        <v>APAGADO</v>
      </c>
      <c r="S78" t="str">
        <f>ESTADISTICA!S77</f>
        <v>APAGADO</v>
      </c>
      <c r="T78" t="str">
        <f>ESTADISTICA!T77</f>
        <v>APAGADO</v>
      </c>
      <c r="U78" t="str">
        <f>ESTADISTICA!U77</f>
        <v>APAGADO</v>
      </c>
      <c r="V78" t="str">
        <f>ESTADISTICA!V77</f>
        <v>APAGADO</v>
      </c>
      <c r="W78" t="str">
        <f>ESTADISTICA!W77</f>
        <v>APAGADO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1">
        <f>ESTADISTICA!AH77</f>
        <v>0</v>
      </c>
      <c r="AI78" s="51">
        <f>ESTADISTICA!AI77</f>
        <v>0</v>
      </c>
    </row>
    <row r="79" spans="1:35" hidden="1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25">
      <c r="A82" t="str">
        <f>ESTADISTICA!A81</f>
        <v>CENTRO</v>
      </c>
      <c r="B82" t="str">
        <f>ESTADISTICA!B81</f>
        <v>CEN62</v>
      </c>
      <c r="C82" t="str">
        <f>ESTADISTICA!C81</f>
        <v>ESPAÃ‘A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1">
        <f>ESTADISTICA!AH86</f>
        <v>0</v>
      </c>
      <c r="AI87" s="51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1">
        <f>ESTADISTICA!AH87</f>
        <v>0</v>
      </c>
      <c r="AI88" s="51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1">
        <f>ESTADISTICA!AH88</f>
        <v>0</v>
      </c>
      <c r="AI89" s="51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1">
        <f>ESTADISTICA!AH89</f>
        <v>0</v>
      </c>
      <c r="AI90" s="51">
        <f>ESTADISTICA!AI89</f>
        <v>0</v>
      </c>
    </row>
    <row r="91" spans="1:35" hidden="1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 t="str">
        <f>ESTADISTICA!L101</f>
        <v>APAGADO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1">
        <f>ESTADISTICA!AH101</f>
        <v>0</v>
      </c>
      <c r="AI102" s="51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 t="str">
        <f>ESTADISTICA!L102</f>
        <v>APAGADO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1">
        <f>ESTADISTICA!AH102</f>
        <v>0</v>
      </c>
      <c r="AI103" s="51">
        <f>ESTADISTICA!AI102</f>
        <v>0</v>
      </c>
    </row>
    <row r="104" spans="1:35" hidden="1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 t="str">
        <f>ESTADISTICA!L104</f>
        <v>APAGADO</v>
      </c>
      <c r="M105" t="str">
        <f>ESTADISTICA!M104</f>
        <v>APAGADO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 t="str">
        <f>ESTADISTICA!L105</f>
        <v>APAGADO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 t="str">
        <f>ESTADISTICA!L106</f>
        <v>APAGADO</v>
      </c>
      <c r="M107" t="str">
        <f>ESTADISTICA!M106</f>
        <v>APAGADO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 t="str">
        <f>ESTADISTICA!F108</f>
        <v>APAGADO</v>
      </c>
      <c r="G109" t="str">
        <f>ESTADISTICA!G108</f>
        <v>APAGADO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 t="str">
        <f>ESTADISTICA!F110</f>
        <v>APAGADO</v>
      </c>
      <c r="G111" t="str">
        <f>ESTADISTICA!G110</f>
        <v>APAGADO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 t="str">
        <f>ESTADISTICA!Q112</f>
        <v>APAGADO</v>
      </c>
      <c r="R113" t="str">
        <f>ESTADISTICA!R112</f>
        <v>APAGADO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1">
        <f>ESTADISTICA!AH112</f>
        <v>0</v>
      </c>
      <c r="AI113" s="51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1">
        <f>ESTADISTICA!AH113</f>
        <v>0</v>
      </c>
      <c r="AI114" s="51">
        <f>ESTADISTICA!AI113</f>
        <v>0</v>
      </c>
    </row>
    <row r="115" spans="1:35" hidden="1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>
        <f>ESTADISTICA!K117</f>
        <v>0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 t="str">
        <f>ESTADISTICA!S117</f>
        <v>APAGADO</v>
      </c>
      <c r="T118" t="str">
        <f>ESTADISTICA!T117</f>
        <v>APAGADO</v>
      </c>
      <c r="U118" t="str">
        <f>ESTADISTICA!U117</f>
        <v>APAGADO</v>
      </c>
      <c r="V118" t="str">
        <f>ESTADISTICA!V117</f>
        <v>APAGADO</v>
      </c>
      <c r="W118" t="str">
        <f>ESTADISTICA!W117</f>
        <v>APAGADO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 t="str">
        <f>ESTADISTICA!S118</f>
        <v>APAGADO</v>
      </c>
      <c r="T119" t="str">
        <f>ESTADISTICA!T118</f>
        <v>APAGADO</v>
      </c>
      <c r="U119" t="str">
        <f>ESTADISTICA!U118</f>
        <v>APAGADO</v>
      </c>
      <c r="V119" t="str">
        <f>ESTADISTICA!V118</f>
        <v>APAGADO</v>
      </c>
      <c r="W119" t="str">
        <f>ESTADISTICA!W118</f>
        <v>APAGADO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 t="str">
        <f>ESTADISTICA!L120</f>
        <v>APAGADO</v>
      </c>
      <c r="M121" t="str">
        <f>ESTADISTICA!M120</f>
        <v>APAGADO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 t="str">
        <f>ESTADISTICA!Z125</f>
        <v>APAGADO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 t="str">
        <f>ESTADISTICA!L126</f>
        <v>APAGADO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 t="str">
        <f>ESTADISTICA!Z126</f>
        <v>APAGADO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1">
        <f>ESTADISTICA!AH126</f>
        <v>0</v>
      </c>
      <c r="AI127" s="51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 t="str">
        <f>ESTADISTICA!L127</f>
        <v>APAGADO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1">
        <f>ESTADISTICA!AH127</f>
        <v>0</v>
      </c>
      <c r="AI128" s="51">
        <f>ESTADISTICA!AI127</f>
        <v>0</v>
      </c>
    </row>
    <row r="129" spans="1:35" hidden="1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>
        <f>ESTADISTICA!K130</f>
        <v>0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1">
        <f>ESTADISTICA!AH130</f>
        <v>0</v>
      </c>
      <c r="AI131" s="51">
        <f>ESTADISTICA!AI130</f>
        <v>0</v>
      </c>
    </row>
    <row r="132" spans="1:35" hidden="1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 t="str">
        <f>ESTADISTICA!Z131</f>
        <v>APAGADO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 t="str">
        <f>ESTADISTICA!F133</f>
        <v>APAGADO</v>
      </c>
      <c r="G134" t="str">
        <f>ESTADISTICA!G133</f>
        <v>APAGADO</v>
      </c>
      <c r="H134" t="str">
        <f>ESTADISTICA!H133</f>
        <v>APAGADO</v>
      </c>
      <c r="I134" t="str">
        <f>ESTADISTICA!I133</f>
        <v>APAGADO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 t="str">
        <f>ESTADISTICA!L135</f>
        <v>APAGADO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 t="str">
        <f>ESTADISTICA!V135</f>
        <v>APAGADO</v>
      </c>
      <c r="W136" t="str">
        <f>ESTADISTICA!W135</f>
        <v>APAGADO</v>
      </c>
      <c r="X136" t="str">
        <f>ESTADISTICA!X135</f>
        <v>APAGADO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1">
        <f>ESTADISTICA!AH135</f>
        <v>0</v>
      </c>
      <c r="AI136" s="51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 t="str">
        <f>ESTADISTICA!L136</f>
        <v>APAGADO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 t="str">
        <f>ESTADISTICA!V136</f>
        <v>APAGADO</v>
      </c>
      <c r="W137" t="str">
        <f>ESTADISTICA!W136</f>
        <v>APAGADO</v>
      </c>
      <c r="X137" t="str">
        <f>ESTADISTICA!X136</f>
        <v>APAGADO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1">
        <f>ESTADISTICA!AH136</f>
        <v>0</v>
      </c>
      <c r="AI137" s="51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 t="str">
        <f>ESTADISTICA!L137</f>
        <v>APAGADO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1">
        <f>ESTADISTICA!AH137</f>
        <v>0</v>
      </c>
      <c r="AI138" s="51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 t="str">
        <f>ESTADISTICA!L138</f>
        <v>APAGADO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1">
        <f>ESTADISTICA!AH138</f>
        <v>0</v>
      </c>
      <c r="AI139" s="51">
        <f>ESTADISTICA!AI138</f>
        <v>0</v>
      </c>
    </row>
    <row r="140" spans="1:35" hidden="1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 t="str">
        <f>ESTADISTICA!S140</f>
        <v>APAGADO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MaipÃº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 t="str">
        <f>ESTADISTICA!S144</f>
        <v>APAGADO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 t="str">
        <f>ESTADISTICA!S145</f>
        <v>APAGADO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AmÃ©ricas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 t="str">
        <f>ESTADISTICA!Q149</f>
        <v>APAGADO</v>
      </c>
      <c r="R150" t="str">
        <f>ESTADISTICA!R149</f>
        <v>APAGADO</v>
      </c>
      <c r="S150" t="str">
        <f>ESTADISTICA!S149</f>
        <v>APAGADO</v>
      </c>
      <c r="T150" t="str">
        <f>ESTADISTICA!T149</f>
        <v>APAGADO</v>
      </c>
      <c r="U150" t="str">
        <f>ESTADISTICA!U149</f>
        <v>APAGADO</v>
      </c>
      <c r="V150" t="str">
        <f>ESTADISTICA!V149</f>
        <v>APAGADO</v>
      </c>
      <c r="W150" t="str">
        <f>ESTADISTICA!W149</f>
        <v>APAGADO</v>
      </c>
      <c r="X150" t="str">
        <f>ESTADISTICA!X149</f>
        <v>APAGADO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1">
        <f>ESTADISTICA!AH150</f>
        <v>0</v>
      </c>
      <c r="AI151" s="51">
        <f>ESTADISTICA!AI150</f>
        <v>0</v>
      </c>
    </row>
    <row r="152" spans="1:35" hidden="1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1">
        <f>ESTADISTICA!AH153</f>
        <v>0</v>
      </c>
      <c r="AI154" s="51">
        <f>ESTADISTICA!AI153</f>
        <v>0</v>
      </c>
    </row>
    <row r="155" spans="1:35" hidden="1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1">
        <f>ESTADISTICA!AH156</f>
        <v>0</v>
      </c>
      <c r="AI157" s="51">
        <f>ESTADISTICA!AI156</f>
        <v>0</v>
      </c>
    </row>
    <row r="158" spans="1:35" hidden="1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Ã‘andu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 t="str">
        <f>ESTADISTICA!X163</f>
        <v>APAGADO</v>
      </c>
      <c r="Y164">
        <f>ESTADISTICA!Y163</f>
        <v>0</v>
      </c>
      <c r="Z164" t="str">
        <f>ESTADISTICA!Z163</f>
        <v>APAGADO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 t="str">
        <f>ESTADISTICA!R165</f>
        <v>APAGADO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PerÃ³n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 t="str">
        <f>ESTADISTICA!L168</f>
        <v>APAGADO</v>
      </c>
      <c r="M169" t="str">
        <f>ESTADISTICA!M168</f>
        <v>APAGADO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CHAÃ‘AR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 t="str">
        <f>ESTADISTICA!L170</f>
        <v>APAGADO</v>
      </c>
      <c r="M171" t="str">
        <f>ESTADISTICA!M170</f>
        <v>APAGADO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 t="str">
        <f>ESTADISTICA!L171</f>
        <v>APAGADO</v>
      </c>
      <c r="M172" t="str">
        <f>ESTADISTICA!M171</f>
        <v>APAGADO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>
        <f>ESTADISTICA!K179</f>
        <v>0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 t="str">
        <f>ESTADISTICA!Q182</f>
        <v>APAGADO</v>
      </c>
      <c r="R183" t="str">
        <f>ESTADISTICA!R182</f>
        <v>APAGADO</v>
      </c>
      <c r="S183" t="str">
        <f>ESTADISTICA!S182</f>
        <v>APAGADO</v>
      </c>
      <c r="T183" t="str">
        <f>ESTADISTICA!T182</f>
        <v>APAGADO</v>
      </c>
      <c r="U183" t="str">
        <f>ESTADISTICA!U182</f>
        <v>APAGADO</v>
      </c>
      <c r="V183" t="str">
        <f>ESTADISTICA!V182</f>
        <v>APAGADO</v>
      </c>
      <c r="W183" t="str">
        <f>ESTADISTICA!W182</f>
        <v>APAGADO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 t="str">
        <f>ESTADISTICA!T183</f>
        <v>APAGADO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 t="str">
        <f>ESTADISTICA!F184</f>
        <v>APAGADO</v>
      </c>
      <c r="G185" t="str">
        <f>ESTADISTICA!G184</f>
        <v>APAGADO</v>
      </c>
      <c r="H185" t="str">
        <f>ESTADISTICA!H184</f>
        <v>APAGADO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 t="str">
        <f>ESTADISTICA!F188</f>
        <v>APAGADO</v>
      </c>
      <c r="G189" t="str">
        <f>ESTADISTICA!G188</f>
        <v>APAGADO</v>
      </c>
      <c r="H189" t="str">
        <f>ESTADISTICA!H188</f>
        <v>APAGADO</v>
      </c>
      <c r="I189" t="str">
        <f>ESTADISTICA!I188</f>
        <v>APAGADO</v>
      </c>
      <c r="J189" t="str">
        <f>ESTADISTICA!J188</f>
        <v>APAGADO</v>
      </c>
      <c r="K189">
        <f>ESTADISTICA!K188</f>
        <v>0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 t="str">
        <f>ESTADISTICA!X188</f>
        <v>APAGADO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1">
        <f>ESTADISTICA!AH188</f>
        <v>0</v>
      </c>
      <c r="AI189" s="51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 t="str">
        <f>ESTADISTICA!F189</f>
        <v>APAGADO</v>
      </c>
      <c r="G190" t="str">
        <f>ESTADISTICA!G189</f>
        <v>APAGADO</v>
      </c>
      <c r="H190" t="str">
        <f>ESTADISTICA!H189</f>
        <v>APAGADO</v>
      </c>
      <c r="I190" t="str">
        <f>ESTADISTICA!I189</f>
        <v>APAGADO</v>
      </c>
      <c r="J190" t="str">
        <f>ESTADISTICA!J189</f>
        <v>APAGADO</v>
      </c>
      <c r="K190">
        <f>ESTADISTICA!K189</f>
        <v>0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 t="str">
        <f>ESTADISTICA!X189</f>
        <v>APAGADO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1">
        <f>ESTADISTICA!AH189</f>
        <v>0</v>
      </c>
      <c r="AI190" s="51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1">
        <f>ESTADISTICA!AH190</f>
        <v>0</v>
      </c>
      <c r="AI191" s="51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1">
        <f>ESTADISTICA!AH191</f>
        <v>0</v>
      </c>
      <c r="AI192" s="51">
        <f>ESTADISTICA!AI191</f>
        <v>0</v>
      </c>
    </row>
    <row r="193" spans="1:35" hidden="1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 t="str">
        <f>ESTADISTICA!L194</f>
        <v>APAGADO</v>
      </c>
      <c r="M195" t="str">
        <f>ESTADISTICA!M194</f>
        <v>APAGADO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 t="str">
        <f>ESTADISTICA!L195</f>
        <v>APAGADO</v>
      </c>
      <c r="M196" t="str">
        <f>ESTADISTICA!M195</f>
        <v>APAGADO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 t="str">
        <f>ESTADISTICA!M196</f>
        <v>APAGADO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 t="str">
        <f>ESTADISTICA!M197</f>
        <v>APAGADO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>
        <f>ESTADISTICA!J198</f>
        <v>0</v>
      </c>
      <c r="K199">
        <f>ESTADISTICA!K198</f>
        <v>0</v>
      </c>
      <c r="L199">
        <f>ESTADISTICA!L198</f>
        <v>0</v>
      </c>
      <c r="M199" t="str">
        <f>ESTADISTICA!M198</f>
        <v>APAGADO</v>
      </c>
      <c r="N199" t="str">
        <f>ESTADISTICA!N198</f>
        <v>APAGADO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 t="str">
        <f>ESTADISTICA!N199</f>
        <v>APAGADO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>
        <f>ESTADISTICA!K203</f>
        <v>0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 t="str">
        <f>ESTADISTICA!U203</f>
        <v>APAGADO</v>
      </c>
      <c r="V204" t="str">
        <f>ESTADISTICA!V203</f>
        <v>APAGADO</v>
      </c>
      <c r="W204" t="str">
        <f>ESTADISTICA!W203</f>
        <v>APAGADO</v>
      </c>
      <c r="X204" t="str">
        <f>ESTADISTICA!X203</f>
        <v>APAGADO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1">
        <f>ESTADISTICA!AH203</f>
        <v>0</v>
      </c>
      <c r="AI204" s="51">
        <f>ESTADISTICA!AI203</f>
        <v>0</v>
      </c>
    </row>
    <row r="205" spans="1:35" hidden="1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>
        <f>ESTADISTICA!K204</f>
        <v>0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 t="str">
        <f>ESTADISTICA!Q204</f>
        <v>APAGADO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 t="str">
        <f>ESTADISTICA!Z207</f>
        <v>APAGADO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>
        <f>ESTADISTICA!K208</f>
        <v>0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 t="str">
        <f>ESTADISTICA!P208</f>
        <v>APAGADO</v>
      </c>
      <c r="Q209" t="str">
        <f>ESTADISTICA!Q208</f>
        <v>APAGADO</v>
      </c>
      <c r="R209" t="str">
        <f>ESTADISTICA!R208</f>
        <v>APAGADO</v>
      </c>
      <c r="S209" t="str">
        <f>ESTADISTICA!S208</f>
        <v>APAGADO</v>
      </c>
      <c r="T209" t="str">
        <f>ESTADISTICA!T208</f>
        <v>APAGADO</v>
      </c>
      <c r="U209" t="str">
        <f>ESTADISTICA!U208</f>
        <v>APAGADO</v>
      </c>
      <c r="V209" t="str">
        <f>ESTADISTICA!V208</f>
        <v>APAGADO</v>
      </c>
      <c r="W209" t="str">
        <f>ESTADISTICA!W208</f>
        <v>APAGADO</v>
      </c>
      <c r="X209" t="str">
        <f>ESTADISTICA!X208</f>
        <v>APAGADO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1">
        <f>ESTADISTICA!AH208</f>
        <v>0</v>
      </c>
      <c r="AI209" s="51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>
        <f>ESTADISTICA!K209</f>
        <v>0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 t="str">
        <f>ESTADISTICA!P209</f>
        <v>APAGADO</v>
      </c>
      <c r="Q210" t="str">
        <f>ESTADISTICA!Q209</f>
        <v>APAGADO</v>
      </c>
      <c r="R210" t="str">
        <f>ESTADISTICA!R209</f>
        <v>APAGADO</v>
      </c>
      <c r="S210" t="str">
        <f>ESTADISTICA!S209</f>
        <v>APAGADO</v>
      </c>
      <c r="T210" t="str">
        <f>ESTADISTICA!T209</f>
        <v>APAGADO</v>
      </c>
      <c r="U210" t="str">
        <f>ESTADISTICA!U209</f>
        <v>APAGADO</v>
      </c>
      <c r="V210" t="str">
        <f>ESTADISTICA!V209</f>
        <v>APAGADO</v>
      </c>
      <c r="W210" t="str">
        <f>ESTADISTICA!W209</f>
        <v>APAGADO</v>
      </c>
      <c r="X210" t="str">
        <f>ESTADISTICA!X209</f>
        <v>APAGADO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1">
        <f>ESTADISTICA!AH209</f>
        <v>0</v>
      </c>
      <c r="AI210" s="51">
        <f>ESTADISTICA!AI209</f>
        <v>0</v>
      </c>
    </row>
    <row r="211" spans="1:35" hidden="1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 t="str">
        <f>ESTADISTICA!R210</f>
        <v>APAGADO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 t="str">
        <f>ESTADISTICA!Q211</f>
        <v>APAGADO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 t="str">
        <f>ESTADISTICA!V212</f>
        <v>APAGADO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 t="str">
        <f>ESTADISTICA!V213</f>
        <v>APAGADO</v>
      </c>
      <c r="W214">
        <f>ESTADISTICA!W213</f>
        <v>0</v>
      </c>
      <c r="X214">
        <f>ESTADISTICA!X213</f>
        <v>0</v>
      </c>
      <c r="Y214">
        <f>ESTADISTICA!Y213</f>
        <v>0</v>
      </c>
      <c r="Z214" t="str">
        <f>ESTADISTICA!Z213</f>
        <v>APAGADO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 t="str">
        <f>ESTADISTICA!V214</f>
        <v>APAGADO</v>
      </c>
      <c r="W215">
        <f>ESTADISTICA!W214</f>
        <v>0</v>
      </c>
      <c r="X215">
        <f>ESTADISTICA!X214</f>
        <v>0</v>
      </c>
      <c r="Y215">
        <f>ESTADISTICA!Y214</f>
        <v>0</v>
      </c>
      <c r="Z215" t="str">
        <f>ESTADISTICA!Z214</f>
        <v>APAGADO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 t="str">
        <f>ESTADISTICA!V215</f>
        <v>APAGADO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 t="str">
        <f>ESTADISTICA!V216</f>
        <v>APAGADO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 t="str">
        <f>ESTADISTICA!V217</f>
        <v>APAGADO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 t="str">
        <f>ESTADISTICA!V218</f>
        <v>APAGADO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 t="str">
        <f>ESTADISTICA!V219</f>
        <v>APAGADO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 t="str">
        <f>ESTADISTICA!V220</f>
        <v>APAGADO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 t="str">
        <f>ESTADISTICA!V221</f>
        <v>APAGADO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 t="str">
        <f>ESTADISTICA!L227</f>
        <v>APAGADO</v>
      </c>
      <c r="M228" t="str">
        <f>ESTADISTICA!M227</f>
        <v>APAGADO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>
        <f>ESTADISTICA!K228</f>
        <v>0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 t="str">
        <f>ESTADISTICA!Q228</f>
        <v>APAGADO</v>
      </c>
      <c r="R229" t="str">
        <f>ESTADISTICA!R228</f>
        <v>APAGADO</v>
      </c>
      <c r="S229" t="str">
        <f>ESTADISTICA!S228</f>
        <v>APAGADO</v>
      </c>
      <c r="T229" t="str">
        <f>ESTADISTICA!T228</f>
        <v>APAGADO</v>
      </c>
      <c r="U229" t="str">
        <f>ESTADISTICA!U228</f>
        <v>APAGADO</v>
      </c>
      <c r="V229" t="str">
        <f>ESTADISTICA!V228</f>
        <v>APAGADO</v>
      </c>
      <c r="W229" t="str">
        <f>ESTADISTICA!W228</f>
        <v>APAGADO</v>
      </c>
      <c r="X229" t="str">
        <f>ESTADISTICA!X228</f>
        <v>APAGADO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>
        <f>ESTADISTICA!K229</f>
        <v>0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 t="str">
        <f>ESTADISTICA!P229</f>
        <v>APAGADO</v>
      </c>
      <c r="Q230" t="str">
        <f>ESTADISTICA!Q229</f>
        <v>APAGADO</v>
      </c>
      <c r="R230" t="str">
        <f>ESTADISTICA!R229</f>
        <v>APAGADO</v>
      </c>
      <c r="S230" t="str">
        <f>ESTADISTICA!S229</f>
        <v>APAGADO</v>
      </c>
      <c r="T230" t="str">
        <f>ESTADISTICA!T229</f>
        <v>APAGADO</v>
      </c>
      <c r="U230" t="str">
        <f>ESTADISTICA!U229</f>
        <v>APAGADO</v>
      </c>
      <c r="V230" t="str">
        <f>ESTADISTICA!V229</f>
        <v>APAGADO</v>
      </c>
      <c r="W230" t="str">
        <f>ESTADISTICA!W229</f>
        <v>APAGADO</v>
      </c>
      <c r="X230" t="str">
        <f>ESTADISTICA!X229</f>
        <v>APAGADO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 t="str">
        <f>ESTADISTICA!F237</f>
        <v>APAGADO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1">
        <f>ESTADISTICA!AH242</f>
        <v>0</v>
      </c>
      <c r="AI243" s="51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1">
        <f>ESTADISTICA!AH243</f>
        <v>0</v>
      </c>
      <c r="AI244" s="51">
        <f>ESTADISTICA!AI243</f>
        <v>0</v>
      </c>
    </row>
    <row r="245" spans="1:35" hidden="1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 t="str">
        <f>ESTADISTICA!N245</f>
        <v>APAGADO</v>
      </c>
      <c r="O246" t="str">
        <f>ESTADISTICA!O245</f>
        <v>APAGADO</v>
      </c>
      <c r="P246" t="str">
        <f>ESTADISTICA!P245</f>
        <v>APAGADO</v>
      </c>
      <c r="Q246" t="str">
        <f>ESTADISTICA!Q245</f>
        <v>APAGADO</v>
      </c>
      <c r="R246" t="str">
        <f>ESTADISTICA!R245</f>
        <v>APAGADO</v>
      </c>
      <c r="S246" t="str">
        <f>ESTADISTICA!S245</f>
        <v>APAGADO</v>
      </c>
      <c r="T246" t="str">
        <f>ESTADISTICA!T245</f>
        <v>APAGADO</v>
      </c>
      <c r="U246" t="str">
        <f>ESTADISTICA!U245</f>
        <v>APAGADO</v>
      </c>
      <c r="V246" t="str">
        <f>ESTADISTICA!V245</f>
        <v>APAGADO</v>
      </c>
      <c r="W246" t="str">
        <f>ESTADISTICA!W245</f>
        <v>APAGADO</v>
      </c>
      <c r="X246" t="str">
        <f>ESTADISTICA!X245</f>
        <v>APAGADO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1">
        <f>ESTADISTICA!AH248</f>
        <v>0</v>
      </c>
      <c r="AI249" s="51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1">
        <f>ESTADISTICA!AH249</f>
        <v>0</v>
      </c>
      <c r="AI250" s="51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1">
        <f>ESTADISTICA!AH250</f>
        <v>0</v>
      </c>
      <c r="AI251" s="51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 t="str">
        <f>ESTADISTICA!Z251</f>
        <v>APAGADO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1">
        <f>ESTADISTICA!AH251</f>
        <v>0</v>
      </c>
      <c r="AI252" s="51">
        <f>ESTADISTICA!AI251</f>
        <v>0</v>
      </c>
    </row>
    <row r="253" spans="1:35" hidden="1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 t="str">
        <f>ESTADISTICA!Z252</f>
        <v>APAGADO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1">
        <f>ESTADISTICA!AH259</f>
        <v>0</v>
      </c>
      <c r="AI260" s="51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1">
        <f>ESTADISTICA!AH260</f>
        <v>0</v>
      </c>
      <c r="AI261" s="51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1">
        <f>ESTADISTICA!AH261</f>
        <v>0</v>
      </c>
      <c r="AI262" s="51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1">
        <f>ESTADISTICA!AH262</f>
        <v>0</v>
      </c>
      <c r="AI263" s="51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1">
        <f>ESTADISTICA!AH263</f>
        <v>0</v>
      </c>
      <c r="AI264" s="51">
        <f>ESTADISTICA!AI263</f>
        <v>0</v>
      </c>
    </row>
    <row r="265" spans="1:35" hidden="1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 t="str">
        <f>ESTADISTICA!Z269</f>
        <v>APAGADO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 t="str">
        <f>ESTADISTICA!H276</f>
        <v>APAGADO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1">
        <f>ESTADISTICA!AH278</f>
        <v>0</v>
      </c>
      <c r="AI279" s="51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1">
        <f>ESTADISTICA!AH279</f>
        <v>0</v>
      </c>
      <c r="AI280" s="51">
        <f>ESTADISTICA!AI279</f>
        <v>0</v>
      </c>
    </row>
    <row r="281" spans="1:35" hidden="1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 t="str">
        <f>ESTADISTICA!F280</f>
        <v>APAGADO</v>
      </c>
      <c r="G281" t="str">
        <f>ESTADISTICA!G280</f>
        <v>APAGADO</v>
      </c>
      <c r="H281" t="str">
        <f>ESTADISTICA!H280</f>
        <v>APAGADO</v>
      </c>
      <c r="I281" t="str">
        <f>ESTADISTICA!I280</f>
        <v>APAGADO</v>
      </c>
      <c r="J281" t="str">
        <f>ESTADISTICA!J280</f>
        <v>APAGADO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 t="str">
        <f>ESTADISTICA!O280</f>
        <v>APAGADO</v>
      </c>
      <c r="P281" t="str">
        <f>ESTADISTICA!P280</f>
        <v>APAGADO</v>
      </c>
      <c r="Q281" t="str">
        <f>ESTADISTICA!Q280</f>
        <v>APAGADO</v>
      </c>
      <c r="R281" t="str">
        <f>ESTADISTICA!R280</f>
        <v>APAGADO</v>
      </c>
      <c r="S281" t="str">
        <f>ESTADISTICA!S280</f>
        <v>APAGADO</v>
      </c>
      <c r="T281" t="str">
        <f>ESTADISTICA!T280</f>
        <v>APAGADO</v>
      </c>
      <c r="U281" t="str">
        <f>ESTADISTICA!U280</f>
        <v>APAGADO</v>
      </c>
      <c r="V281" t="str">
        <f>ESTADISTICA!V280</f>
        <v>APAGADO</v>
      </c>
      <c r="W281" t="str">
        <f>ESTADISTICA!W280</f>
        <v>APAGADO</v>
      </c>
      <c r="X281" t="str">
        <f>ESTADISTICA!X280</f>
        <v>APAGADO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1">
        <f>ESTADISTICA!AH281</f>
        <v>0</v>
      </c>
      <c r="AI282" s="51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1">
        <f>ESTADISTICA!AH282</f>
        <v>0</v>
      </c>
      <c r="AI283" s="51">
        <f>ESTADISTICA!AI282</f>
        <v>0</v>
      </c>
    </row>
    <row r="284" spans="1:35" hidden="1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 t="str">
        <f>ESTADISTICA!V283</f>
        <v>APAGADO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 t="str">
        <f>ESTADISTICA!V284</f>
        <v>APAGADO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 t="str">
        <f>ESTADISTICA!G296</f>
        <v>APAGADO</v>
      </c>
      <c r="H297" t="str">
        <f>ESTADISTICA!H296</f>
        <v>APAGADO</v>
      </c>
      <c r="I297" t="str">
        <f>ESTADISTICA!I296</f>
        <v>APAGADO</v>
      </c>
      <c r="J297" t="str">
        <f>ESTADISTICA!J296</f>
        <v>APAGADO</v>
      </c>
      <c r="K297">
        <f>ESTADISTICA!K296</f>
        <v>0</v>
      </c>
      <c r="L297" t="str">
        <f>ESTADISTICA!L296</f>
        <v>APAGADO</v>
      </c>
      <c r="M297" t="str">
        <f>ESTADISTICA!M296</f>
        <v>APAGADO</v>
      </c>
      <c r="N297" t="str">
        <f>ESTADISTICA!N296</f>
        <v>APAGADO</v>
      </c>
      <c r="O297" t="str">
        <f>ESTADISTICA!O296</f>
        <v>APAGADO</v>
      </c>
      <c r="P297" t="str">
        <f>ESTADISTICA!P296</f>
        <v>APAGADO</v>
      </c>
      <c r="Q297" t="str">
        <f>ESTADISTICA!Q296</f>
        <v>APAGADO</v>
      </c>
      <c r="R297" t="str">
        <f>ESTADISTICA!R296</f>
        <v>APAGADO</v>
      </c>
      <c r="S297" t="str">
        <f>ESTADISTICA!S296</f>
        <v>APAGADO</v>
      </c>
      <c r="T297" t="str">
        <f>ESTADISTICA!T296</f>
        <v>APAGADO</v>
      </c>
      <c r="U297" t="str">
        <f>ESTADISTICA!U296</f>
        <v>APAGADO</v>
      </c>
      <c r="V297" t="str">
        <f>ESTADISTICA!V296</f>
        <v>APAGADO</v>
      </c>
      <c r="W297" t="str">
        <f>ESTADISTICA!W296</f>
        <v>APAGADO</v>
      </c>
      <c r="X297" t="str">
        <f>ESTADISTICA!X296</f>
        <v>APAGADO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 t="str">
        <f>ESTADISTICA!J297</f>
        <v>APAGADO</v>
      </c>
      <c r="K298">
        <f>ESTADISTICA!K297</f>
        <v>0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 t="str">
        <f>ESTADISTICA!O297</f>
        <v>APAGADO</v>
      </c>
      <c r="P298" t="str">
        <f>ESTADISTICA!P297</f>
        <v>APAGADO</v>
      </c>
      <c r="Q298" t="str">
        <f>ESTADISTICA!Q297</f>
        <v>APAGADO</v>
      </c>
      <c r="R298" t="str">
        <f>ESTADISTICA!R297</f>
        <v>APAGADO</v>
      </c>
      <c r="S298" t="str">
        <f>ESTADISTICA!S297</f>
        <v>APAGADO</v>
      </c>
      <c r="T298" t="str">
        <f>ESTADISTICA!T297</f>
        <v>APAGADO</v>
      </c>
      <c r="U298" t="str">
        <f>ESTADISTICA!U297</f>
        <v>APAGADO</v>
      </c>
      <c r="V298" t="str">
        <f>ESTADISTICA!V297</f>
        <v>APAGADO</v>
      </c>
      <c r="W298" t="str">
        <f>ESTADISTICA!W297</f>
        <v>APAGADO</v>
      </c>
      <c r="X298" t="str">
        <f>ESTADISTICA!X297</f>
        <v>APAGADO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 t="str">
        <f>ESTADISTICA!I298</f>
        <v>APAGADO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 t="str">
        <f>ESTADISTICA!I299</f>
        <v>APAGADO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 t="str">
        <f>ESTADISTICA!L300</f>
        <v>APAGADO</v>
      </c>
      <c r="M301">
        <f>ESTADISTICA!M300</f>
        <v>0</v>
      </c>
      <c r="N301" t="str">
        <f>ESTADISTICA!N300</f>
        <v>APAGADO</v>
      </c>
      <c r="O301">
        <f>ESTADISTICA!O300</f>
        <v>0</v>
      </c>
      <c r="P301">
        <f>ESTADISTICA!P300</f>
        <v>0</v>
      </c>
      <c r="Q301">
        <f>ESTADISTICA!Q300</f>
        <v>0</v>
      </c>
      <c r="R301" t="str">
        <f>ESTADISTICA!R300</f>
        <v>APAGADO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 t="str">
        <f>ESTADISTICA!L301</f>
        <v>APAGADO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1">
        <f>ESTADISTICA!AH301</f>
        <v>0</v>
      </c>
      <c r="AI302" s="51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 t="str">
        <f>ESTADISTICA!L302</f>
        <v>APAGADO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1">
        <f>ESTADISTICA!AH302</f>
        <v>0</v>
      </c>
      <c r="AI303" s="51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 t="str">
        <f>ESTADISTICA!L303</f>
        <v>APAGADO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1">
        <f>ESTADISTICA!AH303</f>
        <v>0</v>
      </c>
      <c r="AI304" s="51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 t="str">
        <f>ESTADISTICA!L304</f>
        <v>APAGADO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1">
        <f>ESTADISTICA!AH304</f>
        <v>0</v>
      </c>
      <c r="AI305" s="51">
        <f>ESTADISTICA!AI304</f>
        <v>0</v>
      </c>
    </row>
    <row r="306" spans="1:35" hidden="1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>
        <f>ESTADISTICA!K305</f>
        <v>0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 t="str">
        <f>ESTADISTICA!P305</f>
        <v>APAGADO</v>
      </c>
      <c r="Q306" t="str">
        <f>ESTADISTICA!Q305</f>
        <v>APAGADO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 t="str">
        <f>ESTADISTICA!O306</f>
        <v>APAGADO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1">
        <f>ESTADISTICA!AH308</f>
        <v>0</v>
      </c>
      <c r="AI309" s="51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1">
        <f>ESTADISTICA!AH309</f>
        <v>0</v>
      </c>
      <c r="AI310" s="51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1">
        <f>ESTADISTICA!AH310</f>
        <v>0</v>
      </c>
      <c r="AI311" s="51">
        <f>ESTADISTICA!AI310</f>
        <v>0</v>
      </c>
    </row>
    <row r="312" spans="1:35" hidden="1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1">
        <f>ESTADISTICA!AH318</f>
        <v>0</v>
      </c>
      <c r="AI319" s="51">
        <f>ESTADISTICA!AI318</f>
        <v>0</v>
      </c>
    </row>
    <row r="320" spans="1:35" hidden="1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1">
        <f>ESTADISTICA!AH321</f>
        <v>0</v>
      </c>
      <c r="AI322" s="51">
        <f>ESTADISTICA!AI321</f>
        <v>0</v>
      </c>
    </row>
    <row r="323" spans="1:35" hidden="1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 t="str">
        <f>ESTADISTICA!Z324</f>
        <v>APAGADO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 t="str">
        <f>ESTADISTICA!Z325</f>
        <v>APAGADO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 t="str">
        <f>ESTADISTICA!Q330</f>
        <v>APAGADO</v>
      </c>
      <c r="R331" t="str">
        <f>ESTADISTICA!R330</f>
        <v>APAGADO</v>
      </c>
      <c r="S331" t="str">
        <f>ESTADISTICA!S330</f>
        <v>APAGADO</v>
      </c>
      <c r="T331" t="str">
        <f>ESTADISTICA!T330</f>
        <v>APAGADO</v>
      </c>
      <c r="U331" t="str">
        <f>ESTADISTICA!U330</f>
        <v>APAGADO</v>
      </c>
      <c r="V331" t="str">
        <f>ESTADISTICA!V330</f>
        <v>APAGADO</v>
      </c>
      <c r="W331" t="str">
        <f>ESTADISTICA!W330</f>
        <v>APAGADO</v>
      </c>
      <c r="X331" t="str">
        <f>ESTADISTICA!X330</f>
        <v>APAGADO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 t="str">
        <f>ESTADISTICA!F332</f>
        <v>APAGADO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>
        <f>ESTADISTICA!K332</f>
        <v>0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 t="str">
        <f>ESTADISTICA!O332</f>
        <v>APAGADO</v>
      </c>
      <c r="P333" t="str">
        <f>ESTADISTICA!P332</f>
        <v>APAGADO</v>
      </c>
      <c r="Q333" t="str">
        <f>ESTADISTICA!Q332</f>
        <v>APAGADO</v>
      </c>
      <c r="R333" t="str">
        <f>ESTADISTICA!R332</f>
        <v>APAGADO</v>
      </c>
      <c r="S333" t="str">
        <f>ESTADISTICA!S332</f>
        <v>APAGADO</v>
      </c>
      <c r="T333" t="str">
        <f>ESTADISTICA!T332</f>
        <v>APAGADO</v>
      </c>
      <c r="U333" t="str">
        <f>ESTADISTICA!U332</f>
        <v>APAGADO</v>
      </c>
      <c r="V333" t="str">
        <f>ESTADISTICA!V332</f>
        <v>APAGADO</v>
      </c>
      <c r="W333" t="str">
        <f>ESTADISTICA!W332</f>
        <v>APAGADO</v>
      </c>
      <c r="X333" t="str">
        <f>ESTADISTICA!X332</f>
        <v>APAGADO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 t="str">
        <f>ESTADISTICA!F333</f>
        <v>APAGADO</v>
      </c>
      <c r="G334" t="str">
        <f>ESTADISTICA!G333</f>
        <v>APAGADO</v>
      </c>
      <c r="H334" t="str">
        <f>ESTADISTICA!H333</f>
        <v>APAGADO</v>
      </c>
      <c r="I334" t="str">
        <f>ESTADISTICA!I333</f>
        <v>APAGADO</v>
      </c>
      <c r="J334" t="str">
        <f>ESTADISTICA!J333</f>
        <v>APAGADO</v>
      </c>
      <c r="K334">
        <f>ESTADISTICA!K333</f>
        <v>0</v>
      </c>
      <c r="L334" t="str">
        <f>ESTADISTICA!L333</f>
        <v>APAGADO</v>
      </c>
      <c r="M334" t="str">
        <f>ESTADISTICA!M333</f>
        <v>APAGADO</v>
      </c>
      <c r="N334" t="str">
        <f>ESTADISTICA!N333</f>
        <v>APAGADO</v>
      </c>
      <c r="O334" t="str">
        <f>ESTADISTICA!O333</f>
        <v>APAGADO</v>
      </c>
      <c r="P334" t="str">
        <f>ESTADISTICA!P333</f>
        <v>APAGADO</v>
      </c>
      <c r="Q334" t="str">
        <f>ESTADISTICA!Q333</f>
        <v>APAGADO</v>
      </c>
      <c r="R334" t="str">
        <f>ESTADISTICA!R333</f>
        <v>APAGADO</v>
      </c>
      <c r="S334" t="str">
        <f>ESTADISTICA!S333</f>
        <v>APAGADO</v>
      </c>
      <c r="T334" t="str">
        <f>ESTADISTICA!T333</f>
        <v>APAGADO</v>
      </c>
      <c r="U334" t="str">
        <f>ESTADISTICA!U333</f>
        <v>APAGADO</v>
      </c>
      <c r="V334" t="str">
        <f>ESTADISTICA!V333</f>
        <v>APAGADO</v>
      </c>
      <c r="W334" t="str">
        <f>ESTADISTICA!W333</f>
        <v>APAGADO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 t="str">
        <f>ESTADISTICA!F334</f>
        <v>APAGADO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CHAÃ‘AR Y URUGUAY</v>
      </c>
      <c r="D336" t="str">
        <f>ESTADISTICA!D335</f>
        <v>DOMO</v>
      </c>
      <c r="E336" t="str">
        <f>ESTADISTICA!E335</f>
        <v>PTO A FO</v>
      </c>
      <c r="F336" t="str">
        <f>ESTADISTICA!F335</f>
        <v>APAGADO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PerÃ³n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 t="str">
        <f>ESTADISTICA!V343</f>
        <v>APAGADO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PueyrredÃ³n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PerÃ³n y Lavalle</v>
      </c>
      <c r="D346" t="str">
        <f>ESTADISTICA!D345</f>
        <v>f</v>
      </c>
      <c r="E346" t="str">
        <f>ESTADISTICA!E345</f>
        <v>PTO A FO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1">
        <f>ESTADISTICA!AH346</f>
        <v>0</v>
      </c>
      <c r="AI347" s="51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1">
        <f>ESTADISTICA!AH347</f>
        <v>0</v>
      </c>
      <c r="AI348" s="51">
        <f>ESTADISTICA!AI347</f>
        <v>0</v>
      </c>
    </row>
    <row r="349" spans="1:35" hidden="1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>
        <f>ESTADISTICA!K349</f>
        <v>0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 t="str">
        <f>ESTADISTICA!Q349</f>
        <v>APAGADO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>
        <f>ESTADISTICA!K356</f>
        <v>0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 t="str">
        <f>ESTADISTICA!Q356</f>
        <v>APAGADO</v>
      </c>
      <c r="R357" t="str">
        <f>ESTADISTICA!R356</f>
        <v>APAGADO</v>
      </c>
      <c r="S357" t="str">
        <f>ESTADISTICA!S356</f>
        <v>APAGADO</v>
      </c>
      <c r="T357" t="str">
        <f>ESTADISTICA!T356</f>
        <v>APAGADO</v>
      </c>
      <c r="U357" t="str">
        <f>ESTADISTICA!U356</f>
        <v>APAGADO</v>
      </c>
      <c r="V357" t="str">
        <f>ESTADISTICA!V356</f>
        <v>APAGADO</v>
      </c>
      <c r="W357" t="str">
        <f>ESTADISTICA!W356</f>
        <v>APAGADO</v>
      </c>
      <c r="X357" t="str">
        <f>ESTADISTICA!X356</f>
        <v>APAGADO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>
        <f>ESTADISTICA!K357</f>
        <v>0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 t="str">
        <f>ESTADISTICA!P357</f>
        <v>APAGADO</v>
      </c>
      <c r="Q358" t="str">
        <f>ESTADISTICA!Q357</f>
        <v>APAGADO</v>
      </c>
      <c r="R358" t="str">
        <f>ESTADISTICA!R357</f>
        <v>APAGADO</v>
      </c>
      <c r="S358" t="str">
        <f>ESTADISTICA!S357</f>
        <v>APAGADO</v>
      </c>
      <c r="T358" t="str">
        <f>ESTADISTICA!T357</f>
        <v>APAGADO</v>
      </c>
      <c r="U358" t="str">
        <f>ESTADISTICA!U357</f>
        <v>APAGADO</v>
      </c>
      <c r="V358" t="str">
        <f>ESTADISTICA!V357</f>
        <v>APAGADO</v>
      </c>
      <c r="W358" t="str">
        <f>ESTADISTICA!W357</f>
        <v>APAGADO</v>
      </c>
      <c r="X358" t="str">
        <f>ESTADISTICA!X357</f>
        <v>APAGADO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>
        <f>ESTADISTICA!K358</f>
        <v>0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 t="str">
        <f>ESTADISTICA!P358</f>
        <v>APAGADO</v>
      </c>
      <c r="Q359" t="str">
        <f>ESTADISTICA!Q358</f>
        <v>APAGADO</v>
      </c>
      <c r="R359" t="str">
        <f>ESTADISTICA!R358</f>
        <v>APAGADO</v>
      </c>
      <c r="S359" t="str">
        <f>ESTADISTICA!S358</f>
        <v>APAGADO</v>
      </c>
      <c r="T359" t="str">
        <f>ESTADISTICA!T358</f>
        <v>APAGADO</v>
      </c>
      <c r="U359" t="str">
        <f>ESTADISTICA!U358</f>
        <v>APAGADO</v>
      </c>
      <c r="V359" t="str">
        <f>ESTADISTICA!V358</f>
        <v>APAGADO</v>
      </c>
      <c r="W359" t="str">
        <f>ESTADISTICA!W358</f>
        <v>APAGADO</v>
      </c>
      <c r="X359" t="str">
        <f>ESTADISTICA!X358</f>
        <v>APAGADO</v>
      </c>
      <c r="Y359">
        <f>ESTADISTICA!Y358</f>
        <v>0</v>
      </c>
      <c r="Z359" t="str">
        <f>ESTADISTICA!Z358</f>
        <v>APAGADO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>
        <f>ESTADISTICA!K359</f>
        <v>0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 t="str">
        <f>ESTADISTICA!P359</f>
        <v>APAGADO</v>
      </c>
      <c r="Q360" t="str">
        <f>ESTADISTICA!Q359</f>
        <v>APAGADO</v>
      </c>
      <c r="R360" t="str">
        <f>ESTADISTICA!R359</f>
        <v>APAGADO</v>
      </c>
      <c r="S360" t="str">
        <f>ESTADISTICA!S359</f>
        <v>APAGADO</v>
      </c>
      <c r="T360" t="str">
        <f>ESTADISTICA!T359</f>
        <v>APAGADO</v>
      </c>
      <c r="U360" t="str">
        <f>ESTADISTICA!U359</f>
        <v>APAGADO</v>
      </c>
      <c r="V360" t="str">
        <f>ESTADISTICA!V359</f>
        <v>APAGADO</v>
      </c>
      <c r="W360" t="str">
        <f>ESTADISTICA!W359</f>
        <v>APAGADO</v>
      </c>
      <c r="X360" t="str">
        <f>ESTADISTICA!X359</f>
        <v>APAGADO</v>
      </c>
      <c r="Y360">
        <f>ESTADISTICA!Y359</f>
        <v>0</v>
      </c>
      <c r="Z360" t="str">
        <f>ESTADISTICA!Z359</f>
        <v>APAGADO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 t="str">
        <f>ESTADISTICA!H360</f>
        <v>APAGADO</v>
      </c>
      <c r="I361" t="str">
        <f>ESTADISTICA!I360</f>
        <v>APAGADO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 t="str">
        <f>ESTADISTICA!V370</f>
        <v>APAGADO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 t="str">
        <f>ESTADISTICA!V371</f>
        <v>APAGADO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 t="str">
        <f>ESTADISTICA!V372</f>
        <v>APAGADO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 t="str">
        <f>ESTADISTICA!V373</f>
        <v>APAGADO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25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25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25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25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134" priority="1" operator="equal">
      <formula>0</formula>
    </cfRule>
    <cfRule type="cellIs" dxfId="133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I369"/>
  <sheetViews>
    <sheetView workbookViewId="0">
      <pane xSplit="5" ySplit="8" topLeftCell="L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5" x14ac:dyDescent="0.25"/>
  <cols>
    <col min="3" max="3" width="26.42578125" customWidth="1"/>
    <col min="5" max="5" width="16.5703125" bestFit="1" customWidth="1"/>
  </cols>
  <sheetData>
    <row r="1" spans="1:35" ht="18.75" x14ac:dyDescent="0.3">
      <c r="C1" s="48" t="s">
        <v>1191</v>
      </c>
      <c r="D1" s="49">
        <f>COUNTIFS(E4:E369,"=Fibra Optica")</f>
        <v>242</v>
      </c>
    </row>
    <row r="2" spans="1:35" ht="21" x14ac:dyDescent="0.35">
      <c r="E2" s="26" t="s">
        <v>821</v>
      </c>
      <c r="F2" s="26">
        <f>COUNTIFS(F4:F367, "=APAGADO",E4:E367,"=Fibra Optica")</f>
        <v>20</v>
      </c>
      <c r="G2" s="26">
        <f>COUNTIFS(G4:G367, "=APAGADO",E4:E367,"=Fibra Optica")</f>
        <v>19</v>
      </c>
      <c r="H2" s="26">
        <f>COUNTIFS(H4:H367, "=APAGADO",E4:E367,"=Fibra Optica")</f>
        <v>20</v>
      </c>
      <c r="I2" s="26">
        <f>COUNTIFS(I4:I367, "=APAGADO",E4:E367,"=Fibra Optica")</f>
        <v>21</v>
      </c>
      <c r="J2" s="26">
        <f>COUNTIFS(J4:J367, "=APAGADO",E4:E367,"=Fibra Optica")</f>
        <v>18</v>
      </c>
      <c r="K2" s="26">
        <f>COUNTIFS(K4:K367, "=APAGADO",E4:E367,"=Fibra Optica")</f>
        <v>0</v>
      </c>
      <c r="L2" s="26">
        <f>COUNTIFS(L4:L367, "=APAGADO",E4:E367,"=Fibra Optica")</f>
        <v>31</v>
      </c>
      <c r="M2" s="26">
        <f>COUNTIFS(M4:M367, "=APAGADO",E4:E367,"=Fibra Optica")</f>
        <v>30</v>
      </c>
      <c r="N2" s="26">
        <f>COUNTIFS(N4:N367, "=APAGADO",E4:E367,"=Fibra Optica")</f>
        <v>22</v>
      </c>
      <c r="O2" s="26">
        <f>COUNTIFS(O4:O367, "=APAGADO",E4:E367,"=Fibra Optica")</f>
        <v>19</v>
      </c>
      <c r="P2" s="26">
        <f>COUNTIFS(P4:P367, "=APAGADO",E4:E367,"=Fibra Optica")</f>
        <v>19</v>
      </c>
      <c r="Q2" s="26">
        <f>COUNTIFS(Q4:Q367, "=APAGADO",E4:E367,"=Fibra Optica")</f>
        <v>20</v>
      </c>
      <c r="R2" s="26">
        <f>COUNTIFS(R4:R367, "=APAGADO",E4:E367,"=Fibra Optica")</f>
        <v>23</v>
      </c>
      <c r="S2" s="26">
        <f>COUNTIFS(S4:S367, "=APAGADO",E4:E367,"=Fibra Optica")</f>
        <v>21</v>
      </c>
      <c r="T2" s="26">
        <f>COUNTIFS(T4:T367, "=APAGADO",E4:E367,"=Fibra Optica")</f>
        <v>19</v>
      </c>
      <c r="U2" s="26">
        <f>COUNTIFS(U4:U367, "=APAGADO",E4:E367,"=Fibra Optica")</f>
        <v>18</v>
      </c>
      <c r="V2" s="26">
        <f>COUNTIFS(V4:V367, "=APAGADO",E4:E367,"=Fibra Optica")</f>
        <v>32</v>
      </c>
      <c r="W2" s="26">
        <f>COUNTIFS(W4:W367, "=APAGADO",E4:E367,"=Fibra Optica")</f>
        <v>18</v>
      </c>
      <c r="X2" s="26">
        <f>COUNTIFS(X4:X367, "=APAGADO",E4:E367,"=Fibra Optica")</f>
        <v>15</v>
      </c>
      <c r="Y2" s="26">
        <f>COUNTIFS(Y4:Y367, "=APAGADO",E4:E367,"=Fibra Optica")</f>
        <v>0</v>
      </c>
      <c r="Z2" s="26">
        <f>COUNTIFS(Z4:Z367, "=APAGADO",E4:E367,"=Fibra Optica")</f>
        <v>10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hidden="1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>
    <filterColumn colId="17">
      <filters>
        <filter val="APAGADO"/>
      </filters>
    </filterColumn>
  </autoFilter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132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</cols>
  <sheetData>
    <row r="1" spans="1:35" ht="21" x14ac:dyDescent="0.35">
      <c r="C1" s="50" t="s">
        <v>1192</v>
      </c>
      <c r="D1" s="50">
        <f>COUNTIFS(E4:E367,"=PTP A FO")</f>
        <v>0</v>
      </c>
    </row>
    <row r="2" spans="1:35" ht="21" x14ac:dyDescent="0.35">
      <c r="E2" s="26" t="s">
        <v>821</v>
      </c>
      <c r="F2" s="26">
        <f>COUNTIFS(F4:F367, "=APAGADO",E4:E367,"=PTP A FO")</f>
        <v>0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0</v>
      </c>
      <c r="J2" s="26">
        <f>COUNTIFS(J4:J367, "=APAGADO",E4:E367,"=PTP A FO")</f>
        <v>0</v>
      </c>
      <c r="K2" s="26">
        <f>COUNTIFS(K4:K367, "=APAGADO",E4:E367,"=PTP A FO")</f>
        <v>0</v>
      </c>
      <c r="L2" s="26">
        <f>COUNTIFS(L4:L367, "=APAGADO",E4:E367,"=PTP A FO")</f>
        <v>0</v>
      </c>
      <c r="M2" s="26">
        <f>COUNTIFS(M4:M367, "=APAGADO",E4:E367,"=PTP A FO")</f>
        <v>0</v>
      </c>
      <c r="N2" s="26">
        <f>COUNTIFS(N4:N367, "=APAGADO",E4:E367,"=PTP A FO")</f>
        <v>0</v>
      </c>
      <c r="O2" s="26">
        <f>COUNTIFS(O4:O367,"APAGADO", E4:E367,"=PTP A FO" )</f>
        <v>0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  <filterColumn colId="17">
      <filters>
        <filter val="APAGADO"/>
      </filters>
    </filterColumn>
  </autoFilter>
  <conditionalFormatting sqref="AE3:AE1048576">
    <cfRule type="containsText" dxfId="131" priority="2" operator="containsText" text="APAGADO">
      <formula>NOT(ISERROR(SEARCH("APAGADO",AE3)))</formula>
    </cfRule>
  </conditionalFormatting>
  <conditionalFormatting sqref="F4:AG370 AH4:AI369">
    <cfRule type="containsText" dxfId="13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K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</cols>
  <sheetData>
    <row r="1" spans="1:35" ht="21" x14ac:dyDescent="0.35">
      <c r="C1" s="50" t="s">
        <v>1193</v>
      </c>
      <c r="D1" s="50">
        <f>COUNTIFS(E4:E367,"=radio")</f>
        <v>86</v>
      </c>
    </row>
    <row r="2" spans="1:35" ht="21" x14ac:dyDescent="0.35">
      <c r="E2" s="26" t="s">
        <v>821</v>
      </c>
      <c r="F2" s="26">
        <f>COUNTIFS(F4:F367, "=APAGADO",E4:E367,"=radio")</f>
        <v>6</v>
      </c>
      <c r="G2" s="26">
        <f>COUNTIFS(G4:G367, "=APAGADO",E4:E367,"=radio")</f>
        <v>8</v>
      </c>
      <c r="H2" s="26">
        <f>COUNTIFS(H4:H367, "=APAGADO",E4:E367,"=radio")</f>
        <v>11</v>
      </c>
      <c r="I2" s="26">
        <f>COUNTIFS(I4:I367, "=APAGADO",E4:E367,"=radio")</f>
        <v>14</v>
      </c>
      <c r="J2" s="26">
        <f>COUNTIFS(J4:J367, "=APAGADO",E4:E367,"=radio")</f>
        <v>9</v>
      </c>
      <c r="K2" s="26">
        <f>COUNTIFS(K4:K367, "=APAGADO",E4:E367,"=radio")</f>
        <v>0</v>
      </c>
      <c r="L2" s="26">
        <f>COUNTIFS(L4:L367, "=APAGADO",E4:E367,"=radio")</f>
        <v>15</v>
      </c>
      <c r="M2" s="26">
        <f>COUNTIFS(M4:M367, "=APAGADO",E4:E367,"=radio")</f>
        <v>10</v>
      </c>
      <c r="N2" s="26">
        <f>COUNTIFS(N4:N367, "=APAGADO",E4:E367,"=radio")</f>
        <v>7</v>
      </c>
      <c r="O2" s="26">
        <f>COUNTIFS(O4:O367, "=APAGADO",E4:E367,"=radio")</f>
        <v>5</v>
      </c>
      <c r="P2" s="26">
        <f>COUNTIFS(P4:P367, "=APAGADO",E4:E367,"=radio")</f>
        <v>5</v>
      </c>
      <c r="Q2" s="26">
        <f>COUNTIFS(Q4:Q367, "=APAGADO",E4:E367,"=radio")</f>
        <v>8</v>
      </c>
      <c r="R2" s="26">
        <f>COUNTIFS(R4:R367, "=APAGADO",E4:E367,"=radio")</f>
        <v>8</v>
      </c>
      <c r="S2" s="26">
        <f>COUNTIFS(S4:S367, "=APAGADO",E4:E367,"=radio")</f>
        <v>7</v>
      </c>
      <c r="T2" s="26">
        <f>COUNTIFS(T4:T367, "=APAGADO",E4:E367,"=radio")</f>
        <v>7</v>
      </c>
      <c r="U2" s="26">
        <f>COUNTIFS(U4:U367, "=APAGADO",E4:E367,"=radio")</f>
        <v>5</v>
      </c>
      <c r="V2" s="26">
        <f>COUNTIFS(V4:V367, "=APAGADO",E4:E367,"=radio")</f>
        <v>10</v>
      </c>
      <c r="W2" s="26">
        <f>COUNTIFS(W4:W367, "=APAGADO",E4:E367,"=radio")</f>
        <v>7</v>
      </c>
      <c r="X2" s="26">
        <f>COUNTIFS(X4:X367, "=APAGADO",E4:E367,"=radio")</f>
        <v>6</v>
      </c>
      <c r="Y2" s="26">
        <f>COUNTIFS(Y4:Y367, "=APAGADO",E4:E367,"=radio")</f>
        <v>0</v>
      </c>
      <c r="Z2" s="26">
        <f>COUNTIFS(Z4:Z367, "=APAGADO",E4:E367,"=radio")</f>
        <v>6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6">
        <f>ESTADISTICA!F1</f>
        <v>44743</v>
      </c>
      <c r="G3" s="56">
        <f>ESTADISTICA!G1</f>
        <v>44744</v>
      </c>
      <c r="H3" s="56">
        <f>ESTADISTICA!H1</f>
        <v>44745</v>
      </c>
      <c r="I3" s="56">
        <f>ESTADISTICA!I1</f>
        <v>44746</v>
      </c>
      <c r="J3" s="56">
        <f>ESTADISTICA!J1</f>
        <v>44747</v>
      </c>
      <c r="K3" s="56">
        <f>ESTADISTICA!K1</f>
        <v>44748</v>
      </c>
      <c r="L3" s="56">
        <f>ESTADISTICA!L1</f>
        <v>44749</v>
      </c>
      <c r="M3" s="56">
        <f>ESTADISTICA!M1</f>
        <v>44750</v>
      </c>
      <c r="N3" s="56">
        <f>ESTADISTICA!N1</f>
        <v>44751</v>
      </c>
      <c r="O3" s="56">
        <f>ESTADISTICA!O1</f>
        <v>44752</v>
      </c>
      <c r="P3" s="56">
        <f>ESTADISTICA!P1</f>
        <v>44753</v>
      </c>
      <c r="Q3" s="56">
        <f>ESTADISTICA!Q1</f>
        <v>44754</v>
      </c>
      <c r="R3" s="56">
        <f>ESTADISTICA!R1</f>
        <v>44755</v>
      </c>
      <c r="S3" s="56">
        <f>ESTADISTICA!S1</f>
        <v>44756</v>
      </c>
      <c r="T3" s="56">
        <f>ESTADISTICA!T1</f>
        <v>44757</v>
      </c>
      <c r="U3" s="56">
        <f>ESTADISTICA!U1</f>
        <v>44758</v>
      </c>
      <c r="V3" s="56">
        <f>ESTADISTICA!V1</f>
        <v>44759</v>
      </c>
      <c r="W3" s="56">
        <f>ESTADISTICA!W1</f>
        <v>44760</v>
      </c>
      <c r="X3" s="56">
        <f>ESTADISTICA!X1</f>
        <v>44761</v>
      </c>
      <c r="Y3" s="56">
        <f>ESTADISTICA!Y1</f>
        <v>44762</v>
      </c>
      <c r="Z3" s="56">
        <f>ESTADISTICA!Z1</f>
        <v>44763</v>
      </c>
      <c r="AA3" s="56">
        <f>ESTADISTICA!AA1</f>
        <v>44764</v>
      </c>
      <c r="AB3" s="56">
        <f>ESTADISTICA!AB1</f>
        <v>44765</v>
      </c>
      <c r="AC3" s="56">
        <f>ESTADISTICA!AC1</f>
        <v>44766</v>
      </c>
      <c r="AD3" s="56">
        <f>ESTADISTICA!AD1</f>
        <v>44767</v>
      </c>
      <c r="AE3" s="56">
        <f>ESTADISTICA!AE1</f>
        <v>44768</v>
      </c>
      <c r="AF3" s="56">
        <f>ESTADISTICA!AF1</f>
        <v>44769</v>
      </c>
      <c r="AG3" s="56">
        <f>ESTADISTICA!AG1</f>
        <v>44770</v>
      </c>
      <c r="AH3" s="56">
        <f>ESTADISTICA!AH1</f>
        <v>44771</v>
      </c>
      <c r="AI3" s="56">
        <f>ESTADISTICA!AI1</f>
        <v>44772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 t="str">
        <f>ESTADISTICA!V2</f>
        <v>APAGADO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>
        <f>ESTADISTICA!K4</f>
        <v>0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 t="str">
        <f>ESTADISTICA!T4</f>
        <v>APAGADO</v>
      </c>
      <c r="U6" t="str">
        <f>ESTADISTICA!U4</f>
        <v>APAGADO</v>
      </c>
      <c r="V6" t="str">
        <f>ESTADISTICA!V4</f>
        <v>APAGADO</v>
      </c>
      <c r="W6" t="str">
        <f>ESTADISTICA!W4</f>
        <v>APAGADO</v>
      </c>
      <c r="X6" t="str">
        <f>ESTADISTICA!X4</f>
        <v>APAGADO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 t="str">
        <f>ESTADISTICA!P5</f>
        <v>APAGADO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>
        <f>ESTADISTICA!N7</f>
        <v>0</v>
      </c>
      <c r="O9">
        <f>ESTADISTICA!O7</f>
        <v>0</v>
      </c>
      <c r="P9">
        <f>ESTADISTICA!P7</f>
        <v>0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 t="str">
        <f>ESTADISTICA!L10</f>
        <v>APAGADO</v>
      </c>
      <c r="M12" t="str">
        <f>ESTADISTICA!M10</f>
        <v>APAGADO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 t="str">
        <f>ESTADISTICA!L11</f>
        <v>APAGADO</v>
      </c>
      <c r="M13" t="str">
        <f>ESTADISTICA!M11</f>
        <v>APAGADO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e/EspaÃ±a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 t="str">
        <f>ESTADISTICA!L14</f>
        <v>APAGADO</v>
      </c>
      <c r="M16" t="str">
        <f>ESTADISTICA!M14</f>
        <v>APAGADO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 t="str">
        <f>ESTADISTICA!L15</f>
        <v>APAGADO</v>
      </c>
      <c r="M17" t="str">
        <f>ESTADISTICA!M15</f>
        <v>APAGADO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 t="str">
        <f>ESTADISTICA!N18</f>
        <v>APAGADO</v>
      </c>
      <c r="O20" t="str">
        <f>ESTADISTICA!O18</f>
        <v>APAGADO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 t="str">
        <f>ESTADISTICA!Z31</f>
        <v>APAGADO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ESPAÃ‘A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 t="str">
        <f>ESTADISTICA!G33</f>
        <v>APAGADO</v>
      </c>
      <c r="H35" t="str">
        <f>ESTADISTICA!H33</f>
        <v>APAGADO</v>
      </c>
      <c r="I35" t="str">
        <f>ESTADISTICA!I33</f>
        <v>APAGADO</v>
      </c>
      <c r="J35" t="str">
        <f>ESTADISTICA!J33</f>
        <v>APAGADO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 t="str">
        <f>ESTADISTICA!N33</f>
        <v>APAGADO</v>
      </c>
      <c r="O35" t="str">
        <f>ESTADISTICA!O33</f>
        <v>APAGADO</v>
      </c>
      <c r="P35" t="str">
        <f>ESTADISTICA!P33</f>
        <v>APAGADO</v>
      </c>
      <c r="Q35" t="str">
        <f>ESTADISTICA!Q33</f>
        <v>APAGADO</v>
      </c>
      <c r="R35" t="str">
        <f>ESTADISTICA!R33</f>
        <v>APAGADO</v>
      </c>
      <c r="S35" t="str">
        <f>ESTADISTICA!S33</f>
        <v>APAGADO</v>
      </c>
      <c r="T35" t="str">
        <f>ESTADISTICA!T33</f>
        <v>APAGADO</v>
      </c>
      <c r="U35" t="str">
        <f>ESTADISTICA!U33</f>
        <v>APAGADO</v>
      </c>
      <c r="V35" t="str">
        <f>ESTADISTICA!V33</f>
        <v>APAGADO</v>
      </c>
      <c r="W35" t="str">
        <f>ESTADISTICA!W33</f>
        <v>APAGADO</v>
      </c>
      <c r="X35" t="str">
        <f>ESTADISTICA!X33</f>
        <v>APAGADO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GÃ¼emes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Pte.PerÃ³n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PerÃ³n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Pte.PerÃ³n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 t="str">
        <f>ESTADISTICA!T47</f>
        <v>APAGADO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EspaÃ±a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EspaÃ±a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EspaÃ±a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EspaÃ±a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EspaÃ±a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EspaÃ±a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EspaÃ±a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 t="str">
        <f>ESTADISTICA!R67</f>
        <v>APAGADO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 t="str">
        <f>ESTADISTICA!F71</f>
        <v>APAGADO</v>
      </c>
      <c r="G73" t="str">
        <f>ESTADISTICA!G71</f>
        <v>APAGADO</v>
      </c>
      <c r="H73" t="str">
        <f>ESTADISTICA!H71</f>
        <v>APAGADO</v>
      </c>
      <c r="I73" t="str">
        <f>ESTADISTICA!I71</f>
        <v>APAGADO</v>
      </c>
      <c r="J73" t="str">
        <f>ESTADISTICA!J71</f>
        <v>APAGADO</v>
      </c>
      <c r="K73">
        <f>ESTADISTICA!K71</f>
        <v>0</v>
      </c>
      <c r="L73" t="str">
        <f>ESTADISTICA!L71</f>
        <v>APAGADO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 t="str">
        <f>ESTADISTICA!Q77</f>
        <v>APAGADO</v>
      </c>
      <c r="R79" t="str">
        <f>ESTADISTICA!R77</f>
        <v>APAGADO</v>
      </c>
      <c r="S79" t="str">
        <f>ESTADISTICA!S77</f>
        <v>APAGADO</v>
      </c>
      <c r="T79" t="str">
        <f>ESTADISTICA!T77</f>
        <v>APAGADO</v>
      </c>
      <c r="U79" t="str">
        <f>ESTADISTICA!U77</f>
        <v>APAGADO</v>
      </c>
      <c r="V79" t="str">
        <f>ESTADISTICA!V77</f>
        <v>APAGADO</v>
      </c>
      <c r="W79" t="str">
        <f>ESTADISTICA!W77</f>
        <v>APAGADO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 t="str">
        <f>ESTADISTICA!Q80</f>
        <v>APAGADO</v>
      </c>
      <c r="R82" t="str">
        <f>ESTADISTICA!R80</f>
        <v>APAGADO</v>
      </c>
      <c r="S82" t="str">
        <f>ESTADISTICA!S80</f>
        <v>APAGADO</v>
      </c>
      <c r="T82" t="str">
        <f>ESTADISTICA!T80</f>
        <v>APAGADO</v>
      </c>
      <c r="U82" t="str">
        <f>ESTADISTICA!U80</f>
        <v>APAGADO</v>
      </c>
      <c r="V82" t="str">
        <f>ESTADISTICA!V80</f>
        <v>APAGADO</v>
      </c>
      <c r="W82" t="str">
        <f>ESTADISTICA!W80</f>
        <v>APAGADO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ESPAÃ‘A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 t="str">
        <f>ESTADISTICA!M99</f>
        <v>APAGADO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 t="str">
        <f>ESTADISTICA!L101</f>
        <v>APAGADO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 t="str">
        <f>ESTADISTICA!L102</f>
        <v>APAGADO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 t="str">
        <f>ESTADISTICA!L104</f>
        <v>APAGADO</v>
      </c>
      <c r="M106" t="str">
        <f>ESTADISTICA!M104</f>
        <v>APAGADO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 t="str">
        <f>ESTADISTICA!L105</f>
        <v>APAGADO</v>
      </c>
      <c r="M107" t="str">
        <f>ESTADISTICA!M105</f>
        <v>APAGADO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 t="str">
        <f>ESTADISTICA!L106</f>
        <v>APAGADO</v>
      </c>
      <c r="M108" t="str">
        <f>ESTADISTICA!M106</f>
        <v>APAGADO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 t="str">
        <f>ESTADISTICA!F108</f>
        <v>APAGADO</v>
      </c>
      <c r="G110" t="str">
        <f>ESTADISTICA!G108</f>
        <v>APAGADO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 t="str">
        <f>ESTADISTICA!F110</f>
        <v>APAGADO</v>
      </c>
      <c r="G112" t="str">
        <f>ESTADISTICA!G110</f>
        <v>APAGADO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 t="str">
        <f>ESTADISTICA!Q112</f>
        <v>APAGADO</v>
      </c>
      <c r="R114" t="str">
        <f>ESTADISTICA!R112</f>
        <v>APAGADO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>
        <f>ESTADISTICA!K117</f>
        <v>0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 t="str">
        <f>ESTADISTICA!P117</f>
        <v>APAGADO</v>
      </c>
      <c r="Q119" t="str">
        <f>ESTADISTICA!Q117</f>
        <v>APAGADO</v>
      </c>
      <c r="R119" t="str">
        <f>ESTADISTICA!R117</f>
        <v>APAGADO</v>
      </c>
      <c r="S119" t="str">
        <f>ESTADISTICA!S117</f>
        <v>APAGADO</v>
      </c>
      <c r="T119" t="str">
        <f>ESTADISTICA!T117</f>
        <v>APAGADO</v>
      </c>
      <c r="U119" t="str">
        <f>ESTADISTICA!U117</f>
        <v>APAGADO</v>
      </c>
      <c r="V119" t="str">
        <f>ESTADISTICA!V117</f>
        <v>APAGADO</v>
      </c>
      <c r="W119" t="str">
        <f>ESTADISTICA!W117</f>
        <v>APAGADO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>
        <f>ESTADISTICA!K118</f>
        <v>0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 t="str">
        <f>ESTADISTICA!P118</f>
        <v>APAGADO</v>
      </c>
      <c r="Q120" t="str">
        <f>ESTADISTICA!Q118</f>
        <v>APAGADO</v>
      </c>
      <c r="R120" t="str">
        <f>ESTADISTICA!R118</f>
        <v>APAGADO</v>
      </c>
      <c r="S120" t="str">
        <f>ESTADISTICA!S118</f>
        <v>APAGADO</v>
      </c>
      <c r="T120" t="str">
        <f>ESTADISTICA!T118</f>
        <v>APAGADO</v>
      </c>
      <c r="U120" t="str">
        <f>ESTADISTICA!U118</f>
        <v>APAGADO</v>
      </c>
      <c r="V120" t="str">
        <f>ESTADISTICA!V118</f>
        <v>APAGADO</v>
      </c>
      <c r="W120" t="str">
        <f>ESTADISTICA!W118</f>
        <v>APAGADO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 t="str">
        <f>ESTADISTICA!L119</f>
        <v>APAGADO</v>
      </c>
      <c r="M121" t="str">
        <f>ESTADISTICA!M119</f>
        <v>APAGADO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 t="str">
        <f>ESTADISTICA!L120</f>
        <v>APAGADO</v>
      </c>
      <c r="M122" t="str">
        <f>ESTADISTICA!M120</f>
        <v>APAGADO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 t="str">
        <f>ESTADISTICA!Z125</f>
        <v>APAGADO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 t="str">
        <f>ESTADISTICA!Z126</f>
        <v>APAGADO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>
        <f>ESTADISTICA!K130</f>
        <v>0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 t="str">
        <f>ESTADISTICA!Q130</f>
        <v>APAGADO</v>
      </c>
      <c r="R132" t="str">
        <f>ESTADISTICA!R130</f>
        <v>APAGADO</v>
      </c>
      <c r="S132" t="str">
        <f>ESTADISTICA!S130</f>
        <v>APAGADO</v>
      </c>
      <c r="T132" t="str">
        <f>ESTADISTICA!T130</f>
        <v>APAGADO</v>
      </c>
      <c r="U132" t="str">
        <f>ESTADISTICA!U130</f>
        <v>APAGADO</v>
      </c>
      <c r="V132" t="str">
        <f>ESTADISTICA!V130</f>
        <v>APAGADO</v>
      </c>
      <c r="W132" t="str">
        <f>ESTADISTICA!W130</f>
        <v>APAGADO</v>
      </c>
      <c r="X132" t="str">
        <f>ESTADISTICA!X130</f>
        <v>APAGADO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 t="str">
        <f>ESTADISTICA!Z131</f>
        <v>APAGADO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 t="str">
        <f>ESTADISTICA!F133</f>
        <v>APAGADO</v>
      </c>
      <c r="G135" t="str">
        <f>ESTADISTICA!G133</f>
        <v>APAGADO</v>
      </c>
      <c r="H135" t="str">
        <f>ESTADISTICA!H133</f>
        <v>APAGADO</v>
      </c>
      <c r="I135" t="str">
        <f>ESTADISTICA!I133</f>
        <v>APAGADO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 t="str">
        <f>ESTADISTICA!T133</f>
        <v>APAGADO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 t="str">
        <f>ESTADISTICA!L135</f>
        <v>APAGADO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 t="str">
        <f>ESTADISTICA!V135</f>
        <v>APAGADO</v>
      </c>
      <c r="W137" t="str">
        <f>ESTADISTICA!W135</f>
        <v>APAGADO</v>
      </c>
      <c r="X137" t="str">
        <f>ESTADISTICA!X135</f>
        <v>APAGADO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 t="str">
        <f>ESTADISTICA!L136</f>
        <v>APAGADO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 t="str">
        <f>ESTADISTICA!L137</f>
        <v>APAGADO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 t="str">
        <f>ESTADISTICA!L138</f>
        <v>APAGADO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 t="str">
        <f>ESTADISTICA!S140</f>
        <v>APAGADO</v>
      </c>
      <c r="T142" t="str">
        <f>ESTADISTICA!T140</f>
        <v>APAGADO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MaipÃº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 t="str">
        <f>ESTADISTICA!S142</f>
        <v>APAGADO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 t="str">
        <f>ESTADISTICA!S144</f>
        <v>APAGADO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 t="str">
        <f>ESTADISTICA!S145</f>
        <v>APAGADO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AmÃ©ricas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 t="str">
        <f>ESTADISTICA!Q149</f>
        <v>APAGADO</v>
      </c>
      <c r="R151" t="str">
        <f>ESTADISTICA!R149</f>
        <v>APAGADO</v>
      </c>
      <c r="S151" t="str">
        <f>ESTADISTICA!S149</f>
        <v>APAGADO</v>
      </c>
      <c r="T151" t="str">
        <f>ESTADISTICA!T149</f>
        <v>APAGADO</v>
      </c>
      <c r="U151" t="str">
        <f>ESTADISTICA!U149</f>
        <v>APAGADO</v>
      </c>
      <c r="V151" t="str">
        <f>ESTADISTICA!V149</f>
        <v>APAGADO</v>
      </c>
      <c r="W151" t="str">
        <f>ESTADISTICA!W149</f>
        <v>APAGADO</v>
      </c>
      <c r="X151" t="str">
        <f>ESTADISTICA!X149</f>
        <v>APAGADO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Ã‘andu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 t="str">
        <f>ESTADISTICA!X163</f>
        <v>APAGADO</v>
      </c>
      <c r="Y165">
        <f>ESTADISTICA!Y163</f>
        <v>0</v>
      </c>
      <c r="Z165" t="str">
        <f>ESTADISTICA!Z163</f>
        <v>APAGADO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 t="str">
        <f>ESTADISTICA!R165</f>
        <v>APAGADO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 t="str">
        <f>ESTADISTICA!L166</f>
        <v>APAGADO</v>
      </c>
      <c r="M168" t="str">
        <f>ESTADISTICA!M166</f>
        <v>APAGADO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PerÃ³n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CHAÃ‘AR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 t="str">
        <f>ESTADISTICA!L170</f>
        <v>APAGADO</v>
      </c>
      <c r="M172" t="str">
        <f>ESTADISTICA!M170</f>
        <v>APAGADO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 t="str">
        <f>ESTADISTICA!L171</f>
        <v>APAGADO</v>
      </c>
      <c r="M173" t="str">
        <f>ESTADISTICA!M171</f>
        <v>APAGADO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>
        <f>ESTADISTICA!K179</f>
        <v>0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 t="str">
        <f>ESTADISTICA!Q182</f>
        <v>APAGADO</v>
      </c>
      <c r="R184" t="str">
        <f>ESTADISTICA!R182</f>
        <v>APAGADO</v>
      </c>
      <c r="S184" t="str">
        <f>ESTADISTICA!S182</f>
        <v>APAGADO</v>
      </c>
      <c r="T184" t="str">
        <f>ESTADISTICA!T182</f>
        <v>APAGADO</v>
      </c>
      <c r="U184" t="str">
        <f>ESTADISTICA!U182</f>
        <v>APAGADO</v>
      </c>
      <c r="V184" t="str">
        <f>ESTADISTICA!V182</f>
        <v>APAGADO</v>
      </c>
      <c r="W184" t="str">
        <f>ESTADISTICA!W182</f>
        <v>APAGADO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 t="str">
        <f>ESTADISTICA!T183</f>
        <v>APAGADO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 t="str">
        <f>ESTADISTICA!F184</f>
        <v>APAGADO</v>
      </c>
      <c r="G186" t="str">
        <f>ESTADISTICA!G184</f>
        <v>APAGADO</v>
      </c>
      <c r="H186" t="str">
        <f>ESTADISTICA!H184</f>
        <v>APAGADO</v>
      </c>
      <c r="I186" t="str">
        <f>ESTADISTICA!I184</f>
        <v>APAGADO</v>
      </c>
      <c r="J186" t="str">
        <f>ESTADISTICA!J184</f>
        <v>APAGADO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 t="str">
        <f>ESTADISTICA!H188</f>
        <v>APAGADO</v>
      </c>
      <c r="I190" t="str">
        <f>ESTADISTICA!I188</f>
        <v>APAGADO</v>
      </c>
      <c r="J190" t="str">
        <f>ESTADISTICA!J188</f>
        <v>APAGADO</v>
      </c>
      <c r="K190">
        <f>ESTADISTICA!K188</f>
        <v>0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 t="str">
        <f>ESTADISTICA!S188</f>
        <v>APAGADO</v>
      </c>
      <c r="T190" t="str">
        <f>ESTADISTICA!T188</f>
        <v>APAGADO</v>
      </c>
      <c r="U190" t="str">
        <f>ESTADISTICA!U188</f>
        <v>APAGADO</v>
      </c>
      <c r="V190" t="str">
        <f>ESTADISTICA!V188</f>
        <v>APAGADO</v>
      </c>
      <c r="W190" t="str">
        <f>ESTADISTICA!W188</f>
        <v>APAGADO</v>
      </c>
      <c r="X190" t="str">
        <f>ESTADISTICA!X188</f>
        <v>APAGADO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 t="str">
        <f>ESTADISTICA!F189</f>
        <v>APAGADO</v>
      </c>
      <c r="G191" t="str">
        <f>ESTADISTICA!G189</f>
        <v>APAGADO</v>
      </c>
      <c r="H191" t="str">
        <f>ESTADISTICA!H189</f>
        <v>APAGADO</v>
      </c>
      <c r="I191" t="str">
        <f>ESTADISTICA!I189</f>
        <v>APAGADO</v>
      </c>
      <c r="J191" t="str">
        <f>ESTADISTICA!J189</f>
        <v>APAGADO</v>
      </c>
      <c r="K191">
        <f>ESTADISTICA!K189</f>
        <v>0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 t="str">
        <f>ESTADISTICA!Q189</f>
        <v>APAGADO</v>
      </c>
      <c r="R191" t="str">
        <f>ESTADISTICA!R189</f>
        <v>APAGADO</v>
      </c>
      <c r="S191" t="str">
        <f>ESTADISTICA!S189</f>
        <v>APAGADO</v>
      </c>
      <c r="T191" t="str">
        <f>ESTADISTICA!T189</f>
        <v>APAGADO</v>
      </c>
      <c r="U191" t="str">
        <f>ESTADISTICA!U189</f>
        <v>APAGADO</v>
      </c>
      <c r="V191" t="str">
        <f>ESTADISTICA!V189</f>
        <v>APAGADO</v>
      </c>
      <c r="W191" t="str">
        <f>ESTADISTICA!W189</f>
        <v>APAGADO</v>
      </c>
      <c r="X191" t="str">
        <f>ESTADISTICA!X189</f>
        <v>APAGADO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 t="str">
        <f>ESTADISTICA!Z194</f>
        <v>APAGADO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 t="str">
        <f>ESTADISTICA!L195</f>
        <v>APAGADO</v>
      </c>
      <c r="M197" t="str">
        <f>ESTADISTICA!M195</f>
        <v>APAGADO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 t="str">
        <f>ESTADISTICA!Z195</f>
        <v>APAGADO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 t="str">
        <f>ESTADISTICA!N198</f>
        <v>APAGADO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 t="str">
        <f>ESTADISTICA!N199</f>
        <v>APAGADO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>
        <f>ESTADISTICA!K203</f>
        <v>0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 t="str">
        <f>ESTADISTICA!Q203</f>
        <v>APAGADO</v>
      </c>
      <c r="R205" t="str">
        <f>ESTADISTICA!R203</f>
        <v>APAGADO</v>
      </c>
      <c r="S205" t="str">
        <f>ESTADISTICA!S203</f>
        <v>APAGADO</v>
      </c>
      <c r="T205" t="str">
        <f>ESTADISTICA!T203</f>
        <v>APAGADO</v>
      </c>
      <c r="U205" t="str">
        <f>ESTADISTICA!U203</f>
        <v>APAGADO</v>
      </c>
      <c r="V205" t="str">
        <f>ESTADISTICA!V203</f>
        <v>APAGADO</v>
      </c>
      <c r="W205" t="str">
        <f>ESTADISTICA!W203</f>
        <v>APAGADO</v>
      </c>
      <c r="X205" t="str">
        <f>ESTADISTICA!X203</f>
        <v>APAGADO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>
        <f>ESTADISTICA!K204</f>
        <v>0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 t="str">
        <f>ESTADISTICA!R205</f>
        <v>APAGADO</v>
      </c>
      <c r="S207" t="str">
        <f>ESTADISTICA!S205</f>
        <v>APAGADO</v>
      </c>
      <c r="T207" t="str">
        <f>ESTADISTICA!T205</f>
        <v>APAGADO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 t="str">
        <f>ESTADISTICA!Z207</f>
        <v>APAGADO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>
        <f>ESTADISTICA!K208</f>
        <v>0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 t="str">
        <f>ESTADISTICA!P208</f>
        <v>APAGADO</v>
      </c>
      <c r="Q210" t="str">
        <f>ESTADISTICA!Q208</f>
        <v>APAGADO</v>
      </c>
      <c r="R210" t="str">
        <f>ESTADISTICA!R208</f>
        <v>APAGADO</v>
      </c>
      <c r="S210" t="str">
        <f>ESTADISTICA!S208</f>
        <v>APAGADO</v>
      </c>
      <c r="T210" t="str">
        <f>ESTADISTICA!T208</f>
        <v>APAGADO</v>
      </c>
      <c r="U210" t="str">
        <f>ESTADISTICA!U208</f>
        <v>APAGADO</v>
      </c>
      <c r="V210" t="str">
        <f>ESTADISTICA!V208</f>
        <v>APAGADO</v>
      </c>
      <c r="W210" t="str">
        <f>ESTADISTICA!W208</f>
        <v>APAGADO</v>
      </c>
      <c r="X210" t="str">
        <f>ESTADISTICA!X208</f>
        <v>APAGADO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>
        <f>ESTADISTICA!K209</f>
        <v>0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 t="str">
        <f>ESTADISTICA!P209</f>
        <v>APAGADO</v>
      </c>
      <c r="Q211" t="str">
        <f>ESTADISTICA!Q209</f>
        <v>APAGADO</v>
      </c>
      <c r="R211" t="str">
        <f>ESTADISTICA!R209</f>
        <v>APAGADO</v>
      </c>
      <c r="S211" t="str">
        <f>ESTADISTICA!S209</f>
        <v>APAGADO</v>
      </c>
      <c r="T211" t="str">
        <f>ESTADISTICA!T209</f>
        <v>APAGADO</v>
      </c>
      <c r="U211" t="str">
        <f>ESTADISTICA!U209</f>
        <v>APAGADO</v>
      </c>
      <c r="V211" t="str">
        <f>ESTADISTICA!V209</f>
        <v>APAGADO</v>
      </c>
      <c r="W211" t="str">
        <f>ESTADISTICA!W209</f>
        <v>APAGADO</v>
      </c>
      <c r="X211" t="str">
        <f>ESTADISTICA!X209</f>
        <v>APAGADO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 t="str">
        <f>ESTADISTICA!R210</f>
        <v>APAGADO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 t="str">
        <f>ESTADISTICA!Q211</f>
        <v>APAGADO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 t="str">
        <f>ESTADISTICA!V211</f>
        <v>APAGADO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 t="str">
        <f>ESTADISTICA!V212</f>
        <v>APAGADO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 t="str">
        <f>ESTADISTICA!V213</f>
        <v>APAGADO</v>
      </c>
      <c r="W215">
        <f>ESTADISTICA!W213</f>
        <v>0</v>
      </c>
      <c r="X215">
        <f>ESTADISTICA!X213</f>
        <v>0</v>
      </c>
      <c r="Y215">
        <f>ESTADISTICA!Y213</f>
        <v>0</v>
      </c>
      <c r="Z215" t="str">
        <f>ESTADISTICA!Z213</f>
        <v>APAGADO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 t="str">
        <f>ESTADISTICA!V214</f>
        <v>APAGADO</v>
      </c>
      <c r="W216">
        <f>ESTADISTICA!W214</f>
        <v>0</v>
      </c>
      <c r="X216">
        <f>ESTADISTICA!X214</f>
        <v>0</v>
      </c>
      <c r="Y216">
        <f>ESTADISTICA!Y214</f>
        <v>0</v>
      </c>
      <c r="Z216" t="str">
        <f>ESTADISTICA!Z214</f>
        <v>APAGADO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 t="str">
        <f>ESTADISTICA!V215</f>
        <v>APAGADO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 t="str">
        <f>ESTADISTICA!V216</f>
        <v>APAGADO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 t="str">
        <f>ESTADISTICA!V217</f>
        <v>APAGADO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 t="str">
        <f>ESTADISTICA!V218</f>
        <v>APAGADO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 t="str">
        <f>ESTADISTICA!V219</f>
        <v>APAGADO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 t="str">
        <f>ESTADISTICA!V220</f>
        <v>APAGADO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 t="str">
        <f>ESTADISTICA!V221</f>
        <v>APAGADO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 t="str">
        <f>ESTADISTICA!L227</f>
        <v>APAGADO</v>
      </c>
      <c r="M229" t="str">
        <f>ESTADISTICA!M227</f>
        <v>APAGADO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>
        <f>ESTADISTICA!K228</f>
        <v>0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 t="str">
        <f>ESTADISTICA!Q228</f>
        <v>APAGADO</v>
      </c>
      <c r="R230" t="str">
        <f>ESTADISTICA!R228</f>
        <v>APAGADO</v>
      </c>
      <c r="S230" t="str">
        <f>ESTADISTICA!S228</f>
        <v>APAGADO</v>
      </c>
      <c r="T230" t="str">
        <f>ESTADISTICA!T228</f>
        <v>APAGADO</v>
      </c>
      <c r="U230" t="str">
        <f>ESTADISTICA!U228</f>
        <v>APAGADO</v>
      </c>
      <c r="V230" t="str">
        <f>ESTADISTICA!V228</f>
        <v>APAGADO</v>
      </c>
      <c r="W230" t="str">
        <f>ESTADISTICA!W228</f>
        <v>APAGADO</v>
      </c>
      <c r="X230" t="str">
        <f>ESTADISTICA!X228</f>
        <v>APAGADO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>
        <f>ESTADISTICA!K229</f>
        <v>0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 t="str">
        <f>ESTADISTICA!P229</f>
        <v>APAGADO</v>
      </c>
      <c r="Q231" t="str">
        <f>ESTADISTICA!Q229</f>
        <v>APAGADO</v>
      </c>
      <c r="R231" t="str">
        <f>ESTADISTICA!R229</f>
        <v>APAGADO</v>
      </c>
      <c r="S231" t="str">
        <f>ESTADISTICA!S229</f>
        <v>APAGADO</v>
      </c>
      <c r="T231" t="str">
        <f>ESTADISTICA!T229</f>
        <v>APAGADO</v>
      </c>
      <c r="U231" t="str">
        <f>ESTADISTICA!U229</f>
        <v>APAGADO</v>
      </c>
      <c r="V231" t="str">
        <f>ESTADISTICA!V229</f>
        <v>APAGADO</v>
      </c>
      <c r="W231" t="str">
        <f>ESTADISTICA!W229</f>
        <v>APAGADO</v>
      </c>
      <c r="X231" t="str">
        <f>ESTADISTICA!X229</f>
        <v>APAGADO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 t="str">
        <f>ESTADISTICA!F237</f>
        <v>APAGADO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 t="str">
        <f>ESTADISTICA!N244</f>
        <v>APAGADO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 t="str">
        <f>ESTADISTICA!N245</f>
        <v>APAGADO</v>
      </c>
      <c r="O247" t="str">
        <f>ESTADISTICA!O245</f>
        <v>APAGADO</v>
      </c>
      <c r="P247" t="str">
        <f>ESTADISTICA!P245</f>
        <v>APAGADO</v>
      </c>
      <c r="Q247" t="str">
        <f>ESTADISTICA!Q245</f>
        <v>APAGADO</v>
      </c>
      <c r="R247" t="str">
        <f>ESTADISTICA!R245</f>
        <v>APAGADO</v>
      </c>
      <c r="S247" t="str">
        <f>ESTADISTICA!S245</f>
        <v>APAGADO</v>
      </c>
      <c r="T247" t="str">
        <f>ESTADISTICA!T245</f>
        <v>APAGADO</v>
      </c>
      <c r="U247" t="str">
        <f>ESTADISTICA!U245</f>
        <v>APAGADO</v>
      </c>
      <c r="V247" t="str">
        <f>ESTADISTICA!V245</f>
        <v>APAGADO</v>
      </c>
      <c r="W247" t="str">
        <f>ESTADISTICA!W245</f>
        <v>APAGADO</v>
      </c>
      <c r="X247" t="str">
        <f>ESTADISTICA!X245</f>
        <v>APAGADO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 t="str">
        <f>ESTADISTICA!N247</f>
        <v>APAGADO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 t="str">
        <f>ESTADISTICA!Z251</f>
        <v>APAGADO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 t="str">
        <f>ESTADISTICA!Z252</f>
        <v>APAGADO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 t="str">
        <f>ESTADISTICA!Z269</f>
        <v>APAGADO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 t="str">
        <f>ESTADISTICA!H276</f>
        <v>APAGADO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826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 t="str">
        <f>ESTADISTICA!Z278</f>
        <v>APAGADO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 t="str">
        <f>ESTADISTICA!F280</f>
        <v>APAGADO</v>
      </c>
      <c r="G282" t="str">
        <f>ESTADISTICA!G280</f>
        <v>APAGADO</v>
      </c>
      <c r="H282" t="str">
        <f>ESTADISTICA!H280</f>
        <v>APAGADO</v>
      </c>
      <c r="I282" t="str">
        <f>ESTADISTICA!I280</f>
        <v>APAGADO</v>
      </c>
      <c r="J282" t="str">
        <f>ESTADISTICA!J280</f>
        <v>APAGADO</v>
      </c>
      <c r="K282">
        <f>ESTADISTICA!K280</f>
        <v>0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 t="str">
        <f>ESTADISTICA!O280</f>
        <v>APAGADO</v>
      </c>
      <c r="P282" t="str">
        <f>ESTADISTICA!P280</f>
        <v>APAGADO</v>
      </c>
      <c r="Q282" t="str">
        <f>ESTADISTICA!Q280</f>
        <v>APAGADO</v>
      </c>
      <c r="R282" t="str">
        <f>ESTADISTICA!R280</f>
        <v>APAGADO</v>
      </c>
      <c r="S282" t="str">
        <f>ESTADISTICA!S280</f>
        <v>APAGADO</v>
      </c>
      <c r="T282" t="str">
        <f>ESTADISTICA!T280</f>
        <v>APAGADO</v>
      </c>
      <c r="U282" t="str">
        <f>ESTADISTICA!U280</f>
        <v>APAGADO</v>
      </c>
      <c r="V282" t="str">
        <f>ESTADISTICA!V280</f>
        <v>APAGADO</v>
      </c>
      <c r="W282" t="str">
        <f>ESTADISTICA!W280</f>
        <v>APAGADO</v>
      </c>
      <c r="X282" t="str">
        <f>ESTADISTICA!X280</f>
        <v>APAGADO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 t="str">
        <f>ESTADISTICA!V283</f>
        <v>APAGADO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 t="str">
        <f>ESTADISTICA!V284</f>
        <v>APAGADO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 t="str">
        <f>ESTADISTICA!G296</f>
        <v>APAGADO</v>
      </c>
      <c r="H298" t="str">
        <f>ESTADISTICA!H296</f>
        <v>APAGADO</v>
      </c>
      <c r="I298" t="str">
        <f>ESTADISTICA!I296</f>
        <v>APAGADO</v>
      </c>
      <c r="J298" t="str">
        <f>ESTADISTICA!J296</f>
        <v>APAGADO</v>
      </c>
      <c r="K298">
        <f>ESTADISTICA!K296</f>
        <v>0</v>
      </c>
      <c r="L298" t="str">
        <f>ESTADISTICA!L296</f>
        <v>APAGADO</v>
      </c>
      <c r="M298" t="str">
        <f>ESTADISTICA!M296</f>
        <v>APAGADO</v>
      </c>
      <c r="N298" t="str">
        <f>ESTADISTICA!N296</f>
        <v>APAGADO</v>
      </c>
      <c r="O298" t="str">
        <f>ESTADISTICA!O296</f>
        <v>APAGADO</v>
      </c>
      <c r="P298" t="str">
        <f>ESTADISTICA!P296</f>
        <v>APAGADO</v>
      </c>
      <c r="Q298" t="str">
        <f>ESTADISTICA!Q296</f>
        <v>APAGADO</v>
      </c>
      <c r="R298" t="str">
        <f>ESTADISTICA!R296</f>
        <v>APAGADO</v>
      </c>
      <c r="S298" t="str">
        <f>ESTADISTICA!S296</f>
        <v>APAGADO</v>
      </c>
      <c r="T298" t="str">
        <f>ESTADISTICA!T296</f>
        <v>APAGADO</v>
      </c>
      <c r="U298" t="str">
        <f>ESTADISTICA!U296</f>
        <v>APAGADO</v>
      </c>
      <c r="V298" t="str">
        <f>ESTADISTICA!V296</f>
        <v>APAGADO</v>
      </c>
      <c r="W298" t="str">
        <f>ESTADISTICA!W296</f>
        <v>APAGADO</v>
      </c>
      <c r="X298" t="str">
        <f>ESTADISTICA!X296</f>
        <v>APAGADO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 t="str">
        <f>ESTADISTICA!G297</f>
        <v>APAGADO</v>
      </c>
      <c r="H299" t="str">
        <f>ESTADISTICA!H297</f>
        <v>APAGADO</v>
      </c>
      <c r="I299" t="str">
        <f>ESTADISTICA!I297</f>
        <v>APAGADO</v>
      </c>
      <c r="J299" t="str">
        <f>ESTADISTICA!J297</f>
        <v>APAGADO</v>
      </c>
      <c r="K299">
        <f>ESTADISTICA!K297</f>
        <v>0</v>
      </c>
      <c r="L299" t="str">
        <f>ESTADISTICA!L297</f>
        <v>APAGADO</v>
      </c>
      <c r="M299" t="str">
        <f>ESTADISTICA!M297</f>
        <v>APAGADO</v>
      </c>
      <c r="N299" t="str">
        <f>ESTADISTICA!N297</f>
        <v>APAGADO</v>
      </c>
      <c r="O299" t="str">
        <f>ESTADISTICA!O297</f>
        <v>APAGADO</v>
      </c>
      <c r="P299" t="str">
        <f>ESTADISTICA!P297</f>
        <v>APAGADO</v>
      </c>
      <c r="Q299" t="str">
        <f>ESTADISTICA!Q297</f>
        <v>APAGADO</v>
      </c>
      <c r="R299" t="str">
        <f>ESTADISTICA!R297</f>
        <v>APAGADO</v>
      </c>
      <c r="S299" t="str">
        <f>ESTADISTICA!S297</f>
        <v>APAGADO</v>
      </c>
      <c r="T299" t="str">
        <f>ESTADISTICA!T297</f>
        <v>APAGADO</v>
      </c>
      <c r="U299" t="str">
        <f>ESTADISTICA!U297</f>
        <v>APAGADO</v>
      </c>
      <c r="V299" t="str">
        <f>ESTADISTICA!V297</f>
        <v>APAGADO</v>
      </c>
      <c r="W299" t="str">
        <f>ESTADISTICA!W297</f>
        <v>APAGADO</v>
      </c>
      <c r="X299" t="str">
        <f>ESTADISTICA!X297</f>
        <v>APAGADO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 t="str">
        <f>ESTADISTICA!I298</f>
        <v>APAGADO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 t="str">
        <f>ESTADISTICA!I299</f>
        <v>APAGADO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 t="str">
        <f>ESTADISTICA!L300</f>
        <v>APAGADO</v>
      </c>
      <c r="M302">
        <f>ESTADISTICA!M300</f>
        <v>0</v>
      </c>
      <c r="N302" t="str">
        <f>ESTADISTICA!N300</f>
        <v>APAGADO</v>
      </c>
      <c r="O302">
        <f>ESTADISTICA!O300</f>
        <v>0</v>
      </c>
      <c r="P302">
        <f>ESTADISTICA!P300</f>
        <v>0</v>
      </c>
      <c r="Q302">
        <f>ESTADISTICA!Q300</f>
        <v>0</v>
      </c>
      <c r="R302" t="str">
        <f>ESTADISTICA!R300</f>
        <v>APAGADO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 t="str">
        <f>ESTADISTICA!L301</f>
        <v>APAGADO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 t="str">
        <f>ESTADISTICA!L302</f>
        <v>APAGADO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 t="str">
        <f>ESTADISTICA!L303</f>
        <v>APAGADO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 t="str">
        <f>ESTADISTICA!L304</f>
        <v>APAGADO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>
        <f>ESTADISTICA!K305</f>
        <v>0</v>
      </c>
      <c r="L307" t="str">
        <f>ESTADISTICA!L305</f>
        <v>APAGADO</v>
      </c>
      <c r="M307" t="str">
        <f>ESTADISTICA!M305</f>
        <v>APAGADO</v>
      </c>
      <c r="N307" t="str">
        <f>ESTADISTICA!N305</f>
        <v>APAGADO</v>
      </c>
      <c r="O307">
        <f>ESTADISTICA!O305</f>
        <v>0</v>
      </c>
      <c r="P307" t="str">
        <f>ESTADISTICA!P305</f>
        <v>APAGADO</v>
      </c>
      <c r="Q307" t="str">
        <f>ESTADISTICA!Q305</f>
        <v>APAGADO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 t="str">
        <f>ESTADISTICA!O306</f>
        <v>APAGADO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 t="str">
        <f>ESTADISTICA!Z324</f>
        <v>APAGADO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 t="str">
        <f>ESTADISTICA!Z325</f>
        <v>APAGADO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 t="str">
        <f>ESTADISTICA!Q330</f>
        <v>APAGADO</v>
      </c>
      <c r="R332" t="str">
        <f>ESTADISTICA!R330</f>
        <v>APAGADO</v>
      </c>
      <c r="S332" t="str">
        <f>ESTADISTICA!S330</f>
        <v>APAGADO</v>
      </c>
      <c r="T332" t="str">
        <f>ESTADISTICA!T330</f>
        <v>APAGADO</v>
      </c>
      <c r="U332" t="str">
        <f>ESTADISTICA!U330</f>
        <v>APAGADO</v>
      </c>
      <c r="V332" t="str">
        <f>ESTADISTICA!V330</f>
        <v>APAGADO</v>
      </c>
      <c r="W332" t="str">
        <f>ESTADISTICA!W330</f>
        <v>APAGADO</v>
      </c>
      <c r="X332" t="str">
        <f>ESTADISTICA!X330</f>
        <v>APAGADO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 t="str">
        <f>ESTADISTICA!F332</f>
        <v>APAGADO</v>
      </c>
      <c r="G334" t="str">
        <f>ESTADISTICA!G332</f>
        <v>APAGADO</v>
      </c>
      <c r="H334" t="str">
        <f>ESTADISTICA!H332</f>
        <v>APAGADO</v>
      </c>
      <c r="I334" t="str">
        <f>ESTADISTICA!I332</f>
        <v>APAGADO</v>
      </c>
      <c r="J334" t="str">
        <f>ESTADISTICA!J332</f>
        <v>APAGADO</v>
      </c>
      <c r="K334">
        <f>ESTADISTICA!K332</f>
        <v>0</v>
      </c>
      <c r="L334" t="str">
        <f>ESTADISTICA!L332</f>
        <v>APAGADO</v>
      </c>
      <c r="M334" t="str">
        <f>ESTADISTICA!M332</f>
        <v>APAGADO</v>
      </c>
      <c r="N334" t="str">
        <f>ESTADISTICA!N332</f>
        <v>APAGADO</v>
      </c>
      <c r="O334" t="str">
        <f>ESTADISTICA!O332</f>
        <v>APAGADO</v>
      </c>
      <c r="P334" t="str">
        <f>ESTADISTICA!P332</f>
        <v>APAGADO</v>
      </c>
      <c r="Q334" t="str">
        <f>ESTADISTICA!Q332</f>
        <v>APAGADO</v>
      </c>
      <c r="R334" t="str">
        <f>ESTADISTICA!R332</f>
        <v>APAGADO</v>
      </c>
      <c r="S334" t="str">
        <f>ESTADISTICA!S332</f>
        <v>APAGADO</v>
      </c>
      <c r="T334" t="str">
        <f>ESTADISTICA!T332</f>
        <v>APAGADO</v>
      </c>
      <c r="U334" t="str">
        <f>ESTADISTICA!U332</f>
        <v>APAGADO</v>
      </c>
      <c r="V334" t="str">
        <f>ESTADISTICA!V332</f>
        <v>APAGADO</v>
      </c>
      <c r="W334" t="str">
        <f>ESTADISTICA!W332</f>
        <v>APAGADO</v>
      </c>
      <c r="X334" t="str">
        <f>ESTADISTICA!X332</f>
        <v>APAGADO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 t="str">
        <f>ESTADISTICA!F333</f>
        <v>APAGADO</v>
      </c>
      <c r="G335" t="str">
        <f>ESTADISTICA!G333</f>
        <v>APAGADO</v>
      </c>
      <c r="H335" t="str">
        <f>ESTADISTICA!H333</f>
        <v>APAGADO</v>
      </c>
      <c r="I335" t="str">
        <f>ESTADISTICA!I333</f>
        <v>APAGADO</v>
      </c>
      <c r="J335" t="str">
        <f>ESTADISTICA!J333</f>
        <v>APAGADO</v>
      </c>
      <c r="K335">
        <f>ESTADISTICA!K333</f>
        <v>0</v>
      </c>
      <c r="L335" t="str">
        <f>ESTADISTICA!L333</f>
        <v>APAGADO</v>
      </c>
      <c r="M335" t="str">
        <f>ESTADISTICA!M333</f>
        <v>APAGADO</v>
      </c>
      <c r="N335" t="str">
        <f>ESTADISTICA!N333</f>
        <v>APAGADO</v>
      </c>
      <c r="O335" t="str">
        <f>ESTADISTICA!O333</f>
        <v>APAGADO</v>
      </c>
      <c r="P335" t="str">
        <f>ESTADISTICA!P333</f>
        <v>APAGADO</v>
      </c>
      <c r="Q335" t="str">
        <f>ESTADISTICA!Q333</f>
        <v>APAGADO</v>
      </c>
      <c r="R335" t="str">
        <f>ESTADISTICA!R333</f>
        <v>APAGADO</v>
      </c>
      <c r="S335" t="str">
        <f>ESTADISTICA!S333</f>
        <v>APAGADO</v>
      </c>
      <c r="T335" t="str">
        <f>ESTADISTICA!T333</f>
        <v>APAGADO</v>
      </c>
      <c r="U335" t="str">
        <f>ESTADISTICA!U333</f>
        <v>APAGADO</v>
      </c>
      <c r="V335" t="str">
        <f>ESTADISTICA!V333</f>
        <v>APAGADO</v>
      </c>
      <c r="W335" t="str">
        <f>ESTADISTICA!W333</f>
        <v>APAGADO</v>
      </c>
      <c r="X335" t="str">
        <f>ESTADISTICA!X333</f>
        <v>APAGADO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 t="str">
        <f>ESTADISTICA!F334</f>
        <v>APAGADO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CHAÃ‘AR Y URUGUAY</v>
      </c>
      <c r="D337" t="str">
        <f>ESTADISTICA!D335</f>
        <v>DOMO</v>
      </c>
      <c r="E337" t="str">
        <f>ESTADISTICA!E335</f>
        <v>PTO A FO</v>
      </c>
      <c r="F337" t="str">
        <f>ESTADISTICA!F335</f>
        <v>APAGADO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PerÃ³n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 t="str">
        <f>ESTADISTICA!V342</f>
        <v>APAGADO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 t="str">
        <f>ESTADISTICA!V343</f>
        <v>APAGADO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PueyrredÃ³n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 t="str">
        <f>ESTADISTICA!V344</f>
        <v>APAGADO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PerÃ³n y Lavalle</v>
      </c>
      <c r="D347" t="str">
        <f>ESTADISTICA!D345</f>
        <v>f</v>
      </c>
      <c r="E347" t="str">
        <f>ESTADISTICA!E345</f>
        <v>PTO A FO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 t="str">
        <f>ESTADISTICA!V345</f>
        <v>APAGADO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>
        <f>ESTADISTICA!K349</f>
        <v>0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 t="str">
        <f>ESTADISTICA!Q349</f>
        <v>APAGADO</v>
      </c>
      <c r="R351" t="str">
        <f>ESTADISTICA!R349</f>
        <v>APAGADO</v>
      </c>
      <c r="S351" t="str">
        <f>ESTADISTICA!S349</f>
        <v>APAGADO</v>
      </c>
      <c r="T351" t="str">
        <f>ESTADISTICA!T349</f>
        <v>APAGADO</v>
      </c>
      <c r="U351" t="str">
        <f>ESTADISTICA!U349</f>
        <v>APAGADO</v>
      </c>
      <c r="V351" t="str">
        <f>ESTADISTICA!V349</f>
        <v>APAGADO</v>
      </c>
      <c r="W351" t="str">
        <f>ESTADISTICA!W349</f>
        <v>APAGADO</v>
      </c>
      <c r="X351" t="str">
        <f>ESTADISTICA!X349</f>
        <v>APAGADO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>
        <f>ESTADISTICA!K356</f>
        <v>0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 t="str">
        <f>ESTADISTICA!Q356</f>
        <v>APAGADO</v>
      </c>
      <c r="R358" t="str">
        <f>ESTADISTICA!R356</f>
        <v>APAGADO</v>
      </c>
      <c r="S358" t="str">
        <f>ESTADISTICA!S356</f>
        <v>APAGADO</v>
      </c>
      <c r="T358" t="str">
        <f>ESTADISTICA!T356</f>
        <v>APAGADO</v>
      </c>
      <c r="U358" t="str">
        <f>ESTADISTICA!U356</f>
        <v>APAGADO</v>
      </c>
      <c r="V358" t="str">
        <f>ESTADISTICA!V356</f>
        <v>APAGADO</v>
      </c>
      <c r="W358" t="str">
        <f>ESTADISTICA!W356</f>
        <v>APAGADO</v>
      </c>
      <c r="X358" t="str">
        <f>ESTADISTICA!X356</f>
        <v>APAGADO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>
        <f>ESTADISTICA!K357</f>
        <v>0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 t="str">
        <f>ESTADISTICA!P357</f>
        <v>APAGADO</v>
      </c>
      <c r="Q359" t="str">
        <f>ESTADISTICA!Q357</f>
        <v>APAGADO</v>
      </c>
      <c r="R359" t="str">
        <f>ESTADISTICA!R357</f>
        <v>APAGADO</v>
      </c>
      <c r="S359" t="str">
        <f>ESTADISTICA!S357</f>
        <v>APAGADO</v>
      </c>
      <c r="T359" t="str">
        <f>ESTADISTICA!T357</f>
        <v>APAGADO</v>
      </c>
      <c r="U359" t="str">
        <f>ESTADISTICA!U357</f>
        <v>APAGADO</v>
      </c>
      <c r="V359" t="str">
        <f>ESTADISTICA!V357</f>
        <v>APAGADO</v>
      </c>
      <c r="W359" t="str">
        <f>ESTADISTICA!W357</f>
        <v>APAGADO</v>
      </c>
      <c r="X359" t="str">
        <f>ESTADISTICA!X357</f>
        <v>APAGADO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>
        <f>ESTADISTICA!K358</f>
        <v>0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 t="str">
        <f>ESTADISTICA!P358</f>
        <v>APAGADO</v>
      </c>
      <c r="Q360" t="str">
        <f>ESTADISTICA!Q358</f>
        <v>APAGADO</v>
      </c>
      <c r="R360" t="str">
        <f>ESTADISTICA!R358</f>
        <v>APAGADO</v>
      </c>
      <c r="S360" t="str">
        <f>ESTADISTICA!S358</f>
        <v>APAGADO</v>
      </c>
      <c r="T360" t="str">
        <f>ESTADISTICA!T358</f>
        <v>APAGADO</v>
      </c>
      <c r="U360" t="str">
        <f>ESTADISTICA!U358</f>
        <v>APAGADO</v>
      </c>
      <c r="V360" t="str">
        <f>ESTADISTICA!V358</f>
        <v>APAGADO</v>
      </c>
      <c r="W360" t="str">
        <f>ESTADISTICA!W358</f>
        <v>APAGADO</v>
      </c>
      <c r="X360" t="str">
        <f>ESTADISTICA!X358</f>
        <v>APAGADO</v>
      </c>
      <c r="Y360">
        <f>ESTADISTICA!Y358</f>
        <v>0</v>
      </c>
      <c r="Z360" t="str">
        <f>ESTADISTICA!Z358</f>
        <v>APAGADO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>
        <f>ESTADISTICA!K359</f>
        <v>0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 t="str">
        <f>ESTADISTICA!P359</f>
        <v>APAGADO</v>
      </c>
      <c r="Q361" t="str">
        <f>ESTADISTICA!Q359</f>
        <v>APAGADO</v>
      </c>
      <c r="R361" t="str">
        <f>ESTADISTICA!R359</f>
        <v>APAGADO</v>
      </c>
      <c r="S361" t="str">
        <f>ESTADISTICA!S359</f>
        <v>APAGADO</v>
      </c>
      <c r="T361" t="str">
        <f>ESTADISTICA!T359</f>
        <v>APAGADO</v>
      </c>
      <c r="U361" t="str">
        <f>ESTADISTICA!U359</f>
        <v>APAGADO</v>
      </c>
      <c r="V361" t="str">
        <f>ESTADISTICA!V359</f>
        <v>APAGADO</v>
      </c>
      <c r="W361" t="str">
        <f>ESTADISTICA!W359</f>
        <v>APAGADO</v>
      </c>
      <c r="X361" t="str">
        <f>ESTADISTICA!X359</f>
        <v>APAGADO</v>
      </c>
      <c r="Y361">
        <f>ESTADISTICA!Y359</f>
        <v>0</v>
      </c>
      <c r="Z361" t="str">
        <f>ESTADISTICA!Z359</f>
        <v>APAGADO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 t="str">
        <f>ESTADISTICA!F360</f>
        <v>APAGADO</v>
      </c>
      <c r="G362" t="str">
        <f>ESTADISTICA!G360</f>
        <v>APAGADO</v>
      </c>
      <c r="H362" t="str">
        <f>ESTADISTICA!H360</f>
        <v>APAGADO</v>
      </c>
      <c r="I362" t="str">
        <f>ESTADISTICA!I360</f>
        <v>APAGADO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17">
      <filters>
        <filter val="APAGADO"/>
      </filters>
    </filterColumn>
  </autoFilter>
  <conditionalFormatting sqref="AE3:AE1048576">
    <cfRule type="containsText" dxfId="129" priority="2" operator="containsText" text="APAGADO">
      <formula>NOT(ISERROR(SEARCH("APAGADO",AE3)))</formula>
    </cfRule>
  </conditionalFormatting>
  <conditionalFormatting sqref="F4:AG370 AH4:AI369">
    <cfRule type="containsText" dxfId="12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4" workbookViewId="0">
      <selection activeCell="R19" sqref="R19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B15" sqref="B15"/>
    </sheetView>
  </sheetViews>
  <sheetFormatPr baseColWidth="10" defaultRowHeight="15" x14ac:dyDescent="0.25"/>
  <cols>
    <col min="5" max="5" width="15.7109375" bestFit="1" customWidth="1"/>
    <col min="7" max="7" width="11.5703125" style="55"/>
  </cols>
  <sheetData>
    <row r="1" spans="1:7" x14ac:dyDescent="0.25">
      <c r="A1" t="s">
        <v>822</v>
      </c>
      <c r="B1" t="s">
        <v>20</v>
      </c>
      <c r="C1" t="s">
        <v>823</v>
      </c>
      <c r="D1" t="s">
        <v>1186</v>
      </c>
      <c r="E1" t="s">
        <v>825</v>
      </c>
      <c r="F1" t="s">
        <v>824</v>
      </c>
      <c r="G1" s="55" t="s">
        <v>1204</v>
      </c>
    </row>
    <row r="2" spans="1:7" x14ac:dyDescent="0.25">
      <c r="A2" s="25">
        <f>'APAGADOS RADIO'!F3</f>
        <v>44743</v>
      </c>
      <c r="B2">
        <f>'APAGADOS RADIO'!F2+D2</f>
        <v>6</v>
      </c>
      <c r="C2">
        <f>'APAGADOS FIBRA'!F2</f>
        <v>20</v>
      </c>
      <c r="D2">
        <f>'APAGADOS ANTENA'!F2</f>
        <v>0</v>
      </c>
      <c r="E2">
        <f t="shared" ref="E2" si="0">B2+C2</f>
        <v>26</v>
      </c>
      <c r="F2">
        <f>'RESUMEN TOTAL'!B1</f>
        <v>392</v>
      </c>
      <c r="G2" s="55">
        <f t="shared" ref="G2:G3" si="1">E2/F2</f>
        <v>6.6326530612244902E-2</v>
      </c>
    </row>
    <row r="3" spans="1:7" x14ac:dyDescent="0.25">
      <c r="A3" s="25">
        <f>'APAGADOS RADIO'!G3</f>
        <v>44744</v>
      </c>
      <c r="B3" s="51">
        <f>'APAGADOS RADIO'!G2+D3</f>
        <v>8</v>
      </c>
      <c r="C3" s="51">
        <f>'APAGADOS FIBRA'!G2</f>
        <v>19</v>
      </c>
      <c r="D3" s="51">
        <f>'APAGADOS ANTENA'!G2</f>
        <v>0</v>
      </c>
      <c r="E3" s="51">
        <f t="shared" ref="E3" si="2">B3+C3</f>
        <v>27</v>
      </c>
      <c r="F3" s="51">
        <f>'RESUMEN TOTAL'!B1</f>
        <v>392</v>
      </c>
      <c r="G3" s="55">
        <f t="shared" si="1"/>
        <v>6.8877551020408156E-2</v>
      </c>
    </row>
    <row r="4" spans="1:7" x14ac:dyDescent="0.25">
      <c r="A4" s="25">
        <f>'APAGADOS RADIO'!H3</f>
        <v>44745</v>
      </c>
      <c r="B4" s="51">
        <f>'APAGADOS RADIO'!H2+D4</f>
        <v>11</v>
      </c>
      <c r="C4" s="51">
        <f>'APAGADOS FIBRA'!H2</f>
        <v>20</v>
      </c>
      <c r="D4" s="51">
        <f>'APAGADOS ANTENA'!H2</f>
        <v>0</v>
      </c>
      <c r="E4" s="51">
        <f t="shared" ref="E4" si="3">B4+C4</f>
        <v>31</v>
      </c>
      <c r="F4" s="51">
        <f>'RESUMEN TOTAL'!B1</f>
        <v>392</v>
      </c>
      <c r="G4" s="55">
        <f t="shared" ref="G4" si="4">E4/F4</f>
        <v>7.9081632653061229E-2</v>
      </c>
    </row>
    <row r="5" spans="1:7" x14ac:dyDescent="0.25">
      <c r="A5" s="25">
        <f>'APAGADOS RADIO'!I3</f>
        <v>44746</v>
      </c>
      <c r="B5" s="51">
        <f>'APAGADOS RADIO'!I2+D5</f>
        <v>14</v>
      </c>
      <c r="C5" s="51">
        <f>'APAGADOS FIBRA'!I2</f>
        <v>21</v>
      </c>
      <c r="D5" s="51">
        <f>'APAGADOS ANTENA'!I2</f>
        <v>0</v>
      </c>
      <c r="E5" s="51">
        <f t="shared" ref="E5:E6" si="5">B5+C5</f>
        <v>35</v>
      </c>
      <c r="F5" s="51">
        <f>'RESUMEN TOTAL'!B1</f>
        <v>392</v>
      </c>
      <c r="G5" s="55">
        <f t="shared" ref="G5:G7" si="6">E5/F5</f>
        <v>8.9285714285714288E-2</v>
      </c>
    </row>
    <row r="6" spans="1:7" x14ac:dyDescent="0.25">
      <c r="A6" s="25">
        <f>'APAGADOS RADIO'!J3</f>
        <v>44747</v>
      </c>
      <c r="B6" s="51">
        <f>'APAGADOS RADIO'!J2+D6</f>
        <v>9</v>
      </c>
      <c r="C6" s="51">
        <f>'APAGADOS FIBRA'!J2</f>
        <v>18</v>
      </c>
      <c r="D6" s="51">
        <f>'APAGADOS ANTENA'!J2</f>
        <v>0</v>
      </c>
      <c r="E6" s="51">
        <f t="shared" si="5"/>
        <v>27</v>
      </c>
      <c r="F6" s="51">
        <f>'RESUMEN TOTAL'!B1</f>
        <v>392</v>
      </c>
      <c r="G6" s="55">
        <f t="shared" si="6"/>
        <v>6.8877551020408156E-2</v>
      </c>
    </row>
    <row r="7" spans="1:7" x14ac:dyDescent="0.25">
      <c r="A7" s="25">
        <f>'APAGADOS RADIO'!K3</f>
        <v>44748</v>
      </c>
      <c r="B7" s="51">
        <v>8</v>
      </c>
      <c r="C7" s="51">
        <v>24</v>
      </c>
      <c r="D7" s="51">
        <v>3</v>
      </c>
      <c r="E7" s="51">
        <v>32</v>
      </c>
      <c r="F7" s="51">
        <f>'RESUMEN TOTAL'!B1</f>
        <v>392</v>
      </c>
      <c r="G7" s="55">
        <f t="shared" si="6"/>
        <v>8.1632653061224483E-2</v>
      </c>
    </row>
    <row r="8" spans="1:7" x14ac:dyDescent="0.25">
      <c r="A8" s="25">
        <f>'APAGADOS RADIO'!L3</f>
        <v>44749</v>
      </c>
      <c r="B8" s="51">
        <f>'APAGADOS RADIO'!L2+D8</f>
        <v>15</v>
      </c>
      <c r="C8" s="51">
        <f>'APAGADOS FIBRA'!L2</f>
        <v>31</v>
      </c>
      <c r="D8" s="51">
        <f>'APAGADOS ANTENA'!L2</f>
        <v>0</v>
      </c>
      <c r="E8" s="51">
        <f t="shared" ref="E8" si="7">B8+C8</f>
        <v>46</v>
      </c>
      <c r="F8" s="51">
        <f>'RESUMEN TOTAL'!B1</f>
        <v>392</v>
      </c>
      <c r="G8" s="55">
        <f t="shared" ref="G8" si="8">E8/F8</f>
        <v>0.11734693877551021</v>
      </c>
    </row>
    <row r="9" spans="1:7" x14ac:dyDescent="0.25">
      <c r="A9" s="25">
        <f>'APAGADOS RADIO'!M3</f>
        <v>44750</v>
      </c>
      <c r="B9" s="51">
        <f>'APAGADOS RADIO'!M2+D9</f>
        <v>10</v>
      </c>
      <c r="C9" s="51">
        <f>'APAGADOS FIBRA'!M2</f>
        <v>30</v>
      </c>
      <c r="D9" s="51">
        <f>'APAGADOS ANTENA'!M2</f>
        <v>0</v>
      </c>
      <c r="E9" s="51">
        <f t="shared" ref="E9" si="9">B9+C9</f>
        <v>40</v>
      </c>
      <c r="F9" s="51">
        <f>'RESUMEN TOTAL'!B1</f>
        <v>392</v>
      </c>
      <c r="G9" s="55">
        <f t="shared" ref="G9" si="10">E9/F9</f>
        <v>0.10204081632653061</v>
      </c>
    </row>
    <row r="10" spans="1:7" x14ac:dyDescent="0.25">
      <c r="A10" s="25">
        <f>'APAGADOS RADIO'!N3</f>
        <v>44751</v>
      </c>
      <c r="B10" s="51">
        <f>'APAGADOS RADIO'!N2+D10</f>
        <v>7</v>
      </c>
      <c r="C10" s="51">
        <f>'APAGADOS FIBRA'!N2</f>
        <v>22</v>
      </c>
      <c r="D10" s="51">
        <f>'APAGADOS ANTENA'!N2</f>
        <v>0</v>
      </c>
      <c r="E10" s="51">
        <f t="shared" ref="E10" si="11">B10+C10</f>
        <v>29</v>
      </c>
      <c r="F10" s="51">
        <f>'RESUMEN TOTAL'!B1</f>
        <v>392</v>
      </c>
      <c r="G10" s="55">
        <f t="shared" ref="G10" si="12">E10/F10</f>
        <v>7.3979591836734693E-2</v>
      </c>
    </row>
    <row r="11" spans="1:7" x14ac:dyDescent="0.25">
      <c r="A11" s="25">
        <f>'APAGADOS RADIO'!O3</f>
        <v>44752</v>
      </c>
      <c r="B11" s="51">
        <f>'APAGADOS RADIO'!O2+D11</f>
        <v>5</v>
      </c>
      <c r="C11" s="51">
        <f>'APAGADOS FIBRA'!O2</f>
        <v>19</v>
      </c>
      <c r="D11" s="51">
        <f>'APAGADOS ANTENA'!O2</f>
        <v>0</v>
      </c>
      <c r="E11" s="51">
        <f t="shared" ref="E11" si="13">B11+C11</f>
        <v>24</v>
      </c>
      <c r="F11" s="51">
        <f>'RESUMEN TOTAL'!B1</f>
        <v>392</v>
      </c>
      <c r="G11" s="55">
        <f t="shared" ref="G11" si="14">E11/F11</f>
        <v>6.1224489795918366E-2</v>
      </c>
    </row>
    <row r="12" spans="1:7" x14ac:dyDescent="0.25">
      <c r="A12" s="25">
        <f>'APAGADOS RADIO'!P3</f>
        <v>44753</v>
      </c>
      <c r="B12" s="51">
        <f>'APAGADOS RADIO'!P2+D12</f>
        <v>5</v>
      </c>
      <c r="C12" s="51">
        <f>'APAGADOS FIBRA'!P2</f>
        <v>19</v>
      </c>
      <c r="D12" s="51">
        <f>'APAGADOS ANTENA'!P2</f>
        <v>0</v>
      </c>
      <c r="E12" s="51">
        <f t="shared" ref="E12" si="15">B12+C12</f>
        <v>24</v>
      </c>
      <c r="F12" s="51">
        <f>'RESUMEN TOTAL'!B1</f>
        <v>392</v>
      </c>
      <c r="G12" s="55">
        <f t="shared" ref="G12" si="16">E12/F12</f>
        <v>6.1224489795918366E-2</v>
      </c>
    </row>
    <row r="13" spans="1:7" x14ac:dyDescent="0.25">
      <c r="A13" s="25">
        <f>'APAGADOS RADIO'!Q3</f>
        <v>44754</v>
      </c>
      <c r="B13" s="51">
        <f>'APAGADOS RADIO'!Q2+D13</f>
        <v>8</v>
      </c>
      <c r="C13" s="51">
        <f>'APAGADOS FIBRA'!Q2</f>
        <v>20</v>
      </c>
      <c r="D13" s="51">
        <f>'APAGADOS ANTENA'!Q2</f>
        <v>0</v>
      </c>
      <c r="E13" s="51">
        <f t="shared" ref="E13:E14" si="17">B13+C13</f>
        <v>28</v>
      </c>
      <c r="F13" s="51">
        <f>'RESUMEN TOTAL'!B1</f>
        <v>392</v>
      </c>
      <c r="G13" s="55">
        <f t="shared" ref="G13:G14" si="18">E13/F13</f>
        <v>7.1428571428571425E-2</v>
      </c>
    </row>
    <row r="14" spans="1:7" x14ac:dyDescent="0.25">
      <c r="A14" s="25">
        <f>'APAGADOS RADIO'!R3</f>
        <v>44755</v>
      </c>
      <c r="B14" s="51">
        <f>'APAGADOS RADIO'!R2+D14</f>
        <v>8</v>
      </c>
      <c r="C14" s="51">
        <f>'APAGADOS FIBRA'!R2</f>
        <v>23</v>
      </c>
      <c r="D14" s="51">
        <f>'APAGADOS ANTENA'!R2</f>
        <v>0</v>
      </c>
      <c r="E14" s="51">
        <f t="shared" si="17"/>
        <v>31</v>
      </c>
      <c r="F14" s="51">
        <f>'RESUMEN TOTAL'!B1</f>
        <v>392</v>
      </c>
      <c r="G14" s="55">
        <f t="shared" si="18"/>
        <v>7.9081632653061229E-2</v>
      </c>
    </row>
    <row r="15" spans="1:7" x14ac:dyDescent="0.25">
      <c r="A15" s="25">
        <f>'APAGADOS RADIO'!S3</f>
        <v>44756</v>
      </c>
      <c r="B15" s="51">
        <f>'APAGADOS RADIO'!S2+D15</f>
        <v>7</v>
      </c>
      <c r="C15" s="51">
        <f>'APAGADOS FIBRA'!S2</f>
        <v>21</v>
      </c>
      <c r="D15" s="51">
        <f>'APAGADOS ANTENA'!S2</f>
        <v>0</v>
      </c>
      <c r="E15" s="51">
        <f t="shared" ref="E15" si="19">B15+C15</f>
        <v>28</v>
      </c>
      <c r="F15" s="51">
        <f>'RESUMEN TOTAL'!B1</f>
        <v>392</v>
      </c>
      <c r="G15" s="55">
        <f t="shared" ref="G15" si="20">E15/F15</f>
        <v>7.1428571428571425E-2</v>
      </c>
    </row>
    <row r="16" spans="1:7" x14ac:dyDescent="0.25">
      <c r="A16" s="25">
        <f>'APAGADOS RADIO'!T3</f>
        <v>44757</v>
      </c>
      <c r="B16" s="51"/>
      <c r="C16" s="51"/>
      <c r="D16" s="51"/>
      <c r="E16" s="51"/>
      <c r="F16" s="51"/>
    </row>
    <row r="17" spans="1:6" x14ac:dyDescent="0.25">
      <c r="A17" s="25">
        <f>'APAGADOS RADIO'!U3</f>
        <v>44758</v>
      </c>
      <c r="B17" s="51"/>
      <c r="C17" s="51"/>
      <c r="D17" s="51"/>
      <c r="E17" s="51"/>
      <c r="F17" s="51"/>
    </row>
    <row r="18" spans="1:6" x14ac:dyDescent="0.25">
      <c r="A18" s="25">
        <f>'APAGADOS RADIO'!V3</f>
        <v>44759</v>
      </c>
      <c r="B18" s="51"/>
      <c r="C18" s="51"/>
      <c r="D18" s="51"/>
      <c r="E18" s="51"/>
      <c r="F18" s="51"/>
    </row>
    <row r="19" spans="1:6" x14ac:dyDescent="0.25">
      <c r="A19" s="25">
        <f>'APAGADOS RADIO'!W3</f>
        <v>44760</v>
      </c>
      <c r="B19" s="51"/>
      <c r="C19" s="51"/>
      <c r="D19" s="51"/>
      <c r="E19" s="51"/>
      <c r="F19" s="51"/>
    </row>
    <row r="20" spans="1:6" x14ac:dyDescent="0.25">
      <c r="A20" s="25">
        <f>'APAGADOS RADIO'!X3</f>
        <v>44761</v>
      </c>
      <c r="B20" s="51"/>
      <c r="C20" s="51"/>
      <c r="D20" s="51"/>
      <c r="E20" s="51"/>
      <c r="F20" s="51"/>
    </row>
    <row r="21" spans="1:6" x14ac:dyDescent="0.25">
      <c r="A21" s="25">
        <f>'APAGADOS RADIO'!Y3</f>
        <v>44762</v>
      </c>
      <c r="B21" s="51"/>
      <c r="C21" s="51"/>
      <c r="D21" s="51"/>
      <c r="E21" s="51"/>
      <c r="F21" s="51"/>
    </row>
    <row r="22" spans="1:6" x14ac:dyDescent="0.25">
      <c r="A22" s="25">
        <f>'APAGADOS RADIO'!Z3</f>
        <v>44763</v>
      </c>
      <c r="B22" s="51"/>
      <c r="C22" s="51"/>
      <c r="D22" s="51"/>
      <c r="E22" s="51"/>
      <c r="F22" s="51"/>
    </row>
    <row r="23" spans="1:6" x14ac:dyDescent="0.25">
      <c r="A23" s="25">
        <f>'APAGADOS RADIO'!AA3</f>
        <v>44764</v>
      </c>
      <c r="B23" s="51"/>
      <c r="C23" s="51"/>
      <c r="D23" s="51"/>
      <c r="E23" s="51"/>
      <c r="F23" s="51"/>
    </row>
    <row r="24" spans="1:6" x14ac:dyDescent="0.25">
      <c r="A24" s="25">
        <f>'APAGADOS RADIO'!AB3</f>
        <v>44765</v>
      </c>
      <c r="B24" s="51"/>
      <c r="C24" s="51"/>
      <c r="D24" s="51"/>
      <c r="E24" s="51"/>
      <c r="F24" s="51"/>
    </row>
    <row r="25" spans="1:6" x14ac:dyDescent="0.25">
      <c r="A25" s="25">
        <f>'APAGADOS RADIO'!AC3</f>
        <v>44766</v>
      </c>
      <c r="B25" s="51"/>
      <c r="C25" s="51"/>
      <c r="D25" s="51"/>
      <c r="E25" s="51"/>
    </row>
    <row r="26" spans="1:6" x14ac:dyDescent="0.25">
      <c r="A26" s="25">
        <f>'APAGADOS RADIO'!AD3</f>
        <v>44767</v>
      </c>
      <c r="B26" s="51"/>
      <c r="C26" s="51"/>
      <c r="D26" s="51"/>
      <c r="E26" s="51"/>
    </row>
    <row r="27" spans="1:6" x14ac:dyDescent="0.25">
      <c r="A27" s="25">
        <f>'APAGADOS RADIO'!AE3</f>
        <v>44768</v>
      </c>
      <c r="B27" s="51"/>
      <c r="C27" s="51"/>
      <c r="D27" s="51"/>
      <c r="E27" s="51"/>
    </row>
    <row r="28" spans="1:6" x14ac:dyDescent="0.25">
      <c r="A28" s="25">
        <f>'APAGADOS RADIO'!AF3</f>
        <v>44769</v>
      </c>
      <c r="B28" s="51"/>
      <c r="C28" s="51"/>
      <c r="D28" s="51"/>
      <c r="E28" s="51"/>
    </row>
    <row r="29" spans="1:6" x14ac:dyDescent="0.25">
      <c r="A29" s="25">
        <f>'APAGADOS RADIO'!AG3</f>
        <v>44770</v>
      </c>
      <c r="B29" s="51"/>
      <c r="C29" s="51"/>
      <c r="D29" s="51"/>
      <c r="E29" s="51"/>
    </row>
    <row r="30" spans="1:6" x14ac:dyDescent="0.25">
      <c r="A30" s="25">
        <f>'APAGADOS RADIO'!AH3</f>
        <v>44771</v>
      </c>
      <c r="B30" s="51"/>
      <c r="C30" s="51"/>
      <c r="D30" s="51"/>
      <c r="E30" s="51"/>
    </row>
    <row r="31" spans="1:6" x14ac:dyDescent="0.25">
      <c r="A31" s="25">
        <f>'APAGADOS RADIO'!AI3</f>
        <v>44772</v>
      </c>
      <c r="B31" s="51"/>
      <c r="C31" s="51"/>
      <c r="D31" s="51"/>
      <c r="E31" s="51"/>
    </row>
    <row r="33" spans="1:30" x14ac:dyDescent="0.25">
      <c r="A33" s="31"/>
      <c r="B33" s="31"/>
      <c r="C33" s="31"/>
      <c r="D33" s="31"/>
      <c r="E33" s="31"/>
      <c r="F33" s="31"/>
    </row>
    <row r="34" spans="1:30" x14ac:dyDescent="0.25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25">
      <c r="G35" s="55"/>
    </row>
    <row r="36" spans="1:30" s="30" customFormat="1" x14ac:dyDescent="0.25">
      <c r="A36" s="20"/>
      <c r="B36" s="20"/>
      <c r="C36" s="20"/>
      <c r="D36" s="20"/>
      <c r="E36" s="20"/>
      <c r="F36" s="20"/>
      <c r="G36" s="55"/>
    </row>
    <row r="37" spans="1:30" s="20" customFormat="1" x14ac:dyDescent="0.25">
      <c r="A37"/>
      <c r="B37"/>
      <c r="C37"/>
      <c r="D37"/>
      <c r="E37"/>
      <c r="F37"/>
      <c r="G37" s="55"/>
    </row>
    <row r="39" spans="1:30" x14ac:dyDescent="0.25">
      <c r="A39" s="51"/>
      <c r="B39" s="51"/>
    </row>
    <row r="40" spans="1:30" x14ac:dyDescent="0.25">
      <c r="A40" s="51"/>
      <c r="B40" s="51"/>
      <c r="D40" s="25"/>
      <c r="E40" s="55"/>
    </row>
    <row r="41" spans="1:30" x14ac:dyDescent="0.25">
      <c r="A41" s="51"/>
      <c r="B41" s="51"/>
      <c r="D41" s="25"/>
      <c r="E41" s="55"/>
    </row>
    <row r="42" spans="1:30" x14ac:dyDescent="0.25">
      <c r="A42" s="51"/>
      <c r="B42" s="51"/>
      <c r="D42" s="25"/>
      <c r="E42" s="55"/>
    </row>
    <row r="43" spans="1:30" x14ac:dyDescent="0.25">
      <c r="A43" s="51"/>
      <c r="B43" s="51"/>
      <c r="D43" s="25"/>
      <c r="E43" s="55"/>
    </row>
    <row r="44" spans="1:30" x14ac:dyDescent="0.25">
      <c r="A44" s="51"/>
      <c r="B44" s="51"/>
      <c r="D44" s="25"/>
      <c r="E44" s="55"/>
    </row>
    <row r="45" spans="1:30" x14ac:dyDescent="0.25">
      <c r="A45" s="51"/>
      <c r="B45" s="51"/>
      <c r="D45" s="25"/>
      <c r="E45" s="55"/>
    </row>
    <row r="46" spans="1:30" x14ac:dyDescent="0.25">
      <c r="A46" s="51"/>
      <c r="B46" s="51"/>
      <c r="D46" s="25"/>
      <c r="E46" s="55"/>
    </row>
    <row r="47" spans="1:30" x14ac:dyDescent="0.25">
      <c r="A47" s="51"/>
      <c r="B47" s="51"/>
      <c r="D47" s="25"/>
      <c r="E47" s="55"/>
    </row>
    <row r="48" spans="1:30" x14ac:dyDescent="0.25">
      <c r="A48" s="51"/>
      <c r="B48" s="51"/>
      <c r="D48" s="25"/>
      <c r="E48" s="55"/>
    </row>
    <row r="49" spans="1:5" x14ac:dyDescent="0.25">
      <c r="A49" s="51"/>
      <c r="B49" s="51"/>
      <c r="D49" s="25"/>
      <c r="E49" s="55"/>
    </row>
    <row r="50" spans="1:5" x14ac:dyDescent="0.25">
      <c r="A50" s="51"/>
      <c r="B50" s="51"/>
      <c r="D50" s="25"/>
      <c r="E50" s="55"/>
    </row>
    <row r="51" spans="1:5" x14ac:dyDescent="0.25">
      <c r="A51" s="51"/>
      <c r="B51" s="51"/>
      <c r="D51" s="25"/>
      <c r="E51" s="55"/>
    </row>
    <row r="52" spans="1:5" x14ac:dyDescent="0.25">
      <c r="A52" s="51"/>
      <c r="B52" s="51"/>
      <c r="D52" s="25"/>
      <c r="E52" s="55"/>
    </row>
    <row r="53" spans="1:5" x14ac:dyDescent="0.25">
      <c r="A53" s="51"/>
      <c r="B53" s="51"/>
      <c r="D53" s="25"/>
      <c r="E53" s="55"/>
    </row>
    <row r="54" spans="1:5" x14ac:dyDescent="0.25">
      <c r="A54" s="51"/>
      <c r="B54" s="51"/>
      <c r="D54" s="25"/>
      <c r="E54" s="55"/>
    </row>
    <row r="55" spans="1:5" x14ac:dyDescent="0.25">
      <c r="A55" s="51"/>
      <c r="B55" s="51"/>
      <c r="D55" s="25"/>
      <c r="E55" s="55"/>
    </row>
    <row r="56" spans="1:5" x14ac:dyDescent="0.25">
      <c r="A56" s="51"/>
      <c r="B56" s="51"/>
      <c r="D56" s="25"/>
      <c r="E56" s="55"/>
    </row>
    <row r="57" spans="1:5" x14ac:dyDescent="0.25">
      <c r="A57" s="51"/>
      <c r="B57" s="51"/>
      <c r="D57" s="25"/>
      <c r="E57" s="55"/>
    </row>
    <row r="58" spans="1:5" x14ac:dyDescent="0.25">
      <c r="A58" s="51"/>
      <c r="B58" s="51"/>
      <c r="D58" s="25"/>
      <c r="E58" s="55"/>
    </row>
    <row r="59" spans="1:5" x14ac:dyDescent="0.25">
      <c r="A59" s="51"/>
      <c r="B59" s="51"/>
      <c r="D59" s="25"/>
      <c r="E59" s="55"/>
    </row>
    <row r="60" spans="1:5" x14ac:dyDescent="0.25">
      <c r="A60" s="51"/>
      <c r="B60" s="51"/>
      <c r="D60" s="25"/>
    </row>
    <row r="61" spans="1:5" x14ac:dyDescent="0.25">
      <c r="A61" s="51"/>
      <c r="B61" s="51"/>
      <c r="D61" s="25"/>
    </row>
    <row r="62" spans="1:5" x14ac:dyDescent="0.25">
      <c r="A62" s="51"/>
      <c r="B62" s="51"/>
      <c r="D62" s="25"/>
    </row>
    <row r="63" spans="1:5" x14ac:dyDescent="0.25">
      <c r="A63" s="51"/>
      <c r="B63" s="51"/>
      <c r="D63" s="25"/>
    </row>
    <row r="64" spans="1:5" x14ac:dyDescent="0.25">
      <c r="A64" s="51"/>
      <c r="B64" s="51"/>
      <c r="D64" s="25"/>
    </row>
    <row r="65" spans="1:4" x14ac:dyDescent="0.25">
      <c r="A65" s="51"/>
      <c r="B65" s="51"/>
      <c r="D65" s="25"/>
    </row>
    <row r="66" spans="1:4" x14ac:dyDescent="0.25">
      <c r="A66" s="51"/>
      <c r="B66" s="51"/>
      <c r="D66" s="25"/>
    </row>
    <row r="67" spans="1:4" x14ac:dyDescent="0.25">
      <c r="A67" s="51"/>
      <c r="B67" s="51"/>
      <c r="D67" s="25"/>
    </row>
    <row r="68" spans="1:4" x14ac:dyDescent="0.25">
      <c r="A68" s="51"/>
      <c r="B68" s="51"/>
      <c r="D68" s="25"/>
    </row>
    <row r="69" spans="1:4" x14ac:dyDescent="0.25">
      <c r="A69" s="51"/>
      <c r="B69" s="51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53"/>
  <sheetViews>
    <sheetView workbookViewId="0">
      <selection activeCell="A12" sqref="A12:E16"/>
    </sheetView>
  </sheetViews>
  <sheetFormatPr baseColWidth="10" defaultRowHeight="15" x14ac:dyDescent="0.25"/>
  <cols>
    <col min="1" max="1" width="20.28515625" bestFit="1" customWidth="1"/>
    <col min="2" max="2" width="11.5703125" style="68"/>
    <col min="3" max="3" width="11.5703125" style="11"/>
    <col min="4" max="4" width="11.5703125" style="61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11" t="s">
        <v>1208</v>
      </c>
      <c r="D1" s="61" t="s">
        <v>1209</v>
      </c>
    </row>
    <row r="2" spans="1:13" ht="16.5" thickTop="1" thickBot="1" x14ac:dyDescent="0.3">
      <c r="A2" s="58" t="s">
        <v>1205</v>
      </c>
      <c r="B2" s="69">
        <v>375</v>
      </c>
      <c r="C2" s="65"/>
      <c r="D2" s="62"/>
      <c r="E2" s="106">
        <v>44753</v>
      </c>
    </row>
    <row r="3" spans="1:13" ht="15" customHeight="1" thickTop="1" x14ac:dyDescent="0.25">
      <c r="A3" s="59" t="s">
        <v>6</v>
      </c>
      <c r="B3" s="70">
        <v>29</v>
      </c>
      <c r="C3" s="66">
        <v>83</v>
      </c>
      <c r="D3" s="63">
        <f>C3/B2</f>
        <v>0.22133333333333333</v>
      </c>
      <c r="E3" s="107"/>
      <c r="G3" s="85" t="s">
        <v>29</v>
      </c>
      <c r="H3" s="86" t="s">
        <v>820</v>
      </c>
      <c r="I3" s="86" t="s">
        <v>19</v>
      </c>
      <c r="J3" s="86" t="s">
        <v>828</v>
      </c>
      <c r="K3" s="87" t="s">
        <v>988</v>
      </c>
      <c r="L3" s="88" t="s">
        <v>1212</v>
      </c>
      <c r="M3" s="103">
        <v>44753</v>
      </c>
    </row>
    <row r="4" spans="1:13" x14ac:dyDescent="0.25">
      <c r="A4" s="59" t="s">
        <v>1207</v>
      </c>
      <c r="B4" s="70">
        <v>6</v>
      </c>
      <c r="C4" s="66">
        <f>B3-B4</f>
        <v>23</v>
      </c>
      <c r="D4" s="63">
        <f>C4/B2</f>
        <v>6.133333333333333E-2</v>
      </c>
      <c r="E4" s="107"/>
      <c r="G4" s="89" t="s">
        <v>441</v>
      </c>
      <c r="H4" s="90" t="s">
        <v>442</v>
      </c>
      <c r="I4" s="90" t="s">
        <v>24</v>
      </c>
      <c r="J4" s="90" t="s">
        <v>828</v>
      </c>
      <c r="K4" s="91" t="s">
        <v>1001</v>
      </c>
      <c r="L4" s="92" t="s">
        <v>1212</v>
      </c>
      <c r="M4" s="104"/>
    </row>
    <row r="5" spans="1:13" x14ac:dyDescent="0.25">
      <c r="A5" s="59" t="s">
        <v>1206</v>
      </c>
      <c r="B5" s="70">
        <v>3</v>
      </c>
      <c r="C5" s="66">
        <f>C4-B5</f>
        <v>20</v>
      </c>
      <c r="D5" s="63">
        <f>C5/B2</f>
        <v>5.3333333333333337E-2</v>
      </c>
      <c r="E5" s="107"/>
      <c r="G5" s="89" t="s">
        <v>694</v>
      </c>
      <c r="H5" s="90" t="s">
        <v>695</v>
      </c>
      <c r="I5" s="90" t="s">
        <v>19</v>
      </c>
      <c r="J5" s="90" t="s">
        <v>828</v>
      </c>
      <c r="K5" s="91" t="s">
        <v>1136</v>
      </c>
      <c r="L5" s="92" t="s">
        <v>1213</v>
      </c>
      <c r="M5" s="104"/>
    </row>
    <row r="6" spans="1:13" ht="15.75" thickBot="1" x14ac:dyDescent="0.3">
      <c r="A6" s="60" t="s">
        <v>20</v>
      </c>
      <c r="B6" s="71">
        <v>5</v>
      </c>
      <c r="C6" s="67">
        <f>C5-B6</f>
        <v>15</v>
      </c>
      <c r="D6" s="64">
        <f>C6/B2</f>
        <v>0.04</v>
      </c>
      <c r="E6" s="108"/>
      <c r="G6" s="89" t="s">
        <v>494</v>
      </c>
      <c r="H6" s="90" t="s">
        <v>495</v>
      </c>
      <c r="I6" s="90" t="s">
        <v>19</v>
      </c>
      <c r="J6" s="90" t="s">
        <v>828</v>
      </c>
      <c r="K6" s="91" t="s">
        <v>1025</v>
      </c>
      <c r="L6" s="92" t="s">
        <v>1210</v>
      </c>
      <c r="M6" s="104"/>
    </row>
    <row r="7" spans="1:13" ht="15" customHeight="1" thickTop="1" x14ac:dyDescent="0.25">
      <c r="A7" s="58" t="s">
        <v>1205</v>
      </c>
      <c r="B7" s="69">
        <v>375</v>
      </c>
      <c r="C7" s="65"/>
      <c r="D7" s="62"/>
      <c r="E7" s="106">
        <v>44755</v>
      </c>
      <c r="G7" s="89" t="s">
        <v>501</v>
      </c>
      <c r="H7" s="90" t="s">
        <v>502</v>
      </c>
      <c r="I7" s="90" t="s">
        <v>19</v>
      </c>
      <c r="J7" s="90" t="s">
        <v>36</v>
      </c>
      <c r="K7" s="91" t="s">
        <v>1028</v>
      </c>
      <c r="L7" s="92" t="s">
        <v>1210</v>
      </c>
      <c r="M7" s="104"/>
    </row>
    <row r="8" spans="1:13" ht="15.75" thickBot="1" x14ac:dyDescent="0.3">
      <c r="A8" s="59" t="s">
        <v>6</v>
      </c>
      <c r="B8" s="70">
        <v>36</v>
      </c>
      <c r="C8" s="66">
        <v>83</v>
      </c>
      <c r="D8" s="63">
        <f>C8/B7</f>
        <v>0.22133333333333333</v>
      </c>
      <c r="E8" s="107"/>
      <c r="G8" s="93" t="s">
        <v>503</v>
      </c>
      <c r="H8" s="94" t="s">
        <v>502</v>
      </c>
      <c r="I8" s="94" t="s">
        <v>102</v>
      </c>
      <c r="J8" s="94" t="s">
        <v>36</v>
      </c>
      <c r="K8" s="95" t="s">
        <v>1027</v>
      </c>
      <c r="L8" s="96" t="s">
        <v>1210</v>
      </c>
      <c r="M8" s="109"/>
    </row>
    <row r="9" spans="1:13" ht="16.5" thickTop="1" thickBot="1" x14ac:dyDescent="0.3">
      <c r="A9" s="59" t="s">
        <v>1207</v>
      </c>
      <c r="B9" s="70">
        <v>6</v>
      </c>
      <c r="C9" s="66">
        <f>B8-B9</f>
        <v>30</v>
      </c>
      <c r="D9" s="63">
        <f>C9/B7</f>
        <v>0.08</v>
      </c>
      <c r="E9" s="107"/>
      <c r="G9" s="97"/>
      <c r="H9" s="77"/>
      <c r="I9" s="77"/>
      <c r="J9" s="77"/>
      <c r="K9" s="78"/>
      <c r="L9" s="77"/>
      <c r="M9" s="98"/>
    </row>
    <row r="10" spans="1:13" ht="15.75" thickTop="1" x14ac:dyDescent="0.25">
      <c r="A10" s="59" t="s">
        <v>1206</v>
      </c>
      <c r="B10" s="70">
        <v>3</v>
      </c>
      <c r="C10" s="66">
        <f>C9-B10</f>
        <v>27</v>
      </c>
      <c r="D10" s="63">
        <f>C10/B7</f>
        <v>7.1999999999999995E-2</v>
      </c>
      <c r="E10" s="107"/>
      <c r="G10" s="72" t="s">
        <v>833</v>
      </c>
      <c r="H10" s="73" t="s">
        <v>35</v>
      </c>
      <c r="I10" s="73" t="s">
        <v>24</v>
      </c>
      <c r="J10" s="73" t="s">
        <v>828</v>
      </c>
      <c r="K10" s="74" t="s">
        <v>834</v>
      </c>
      <c r="L10" s="75" t="s">
        <v>1212</v>
      </c>
      <c r="M10" s="103">
        <v>44755</v>
      </c>
    </row>
    <row r="11" spans="1:13" ht="15.75" thickBot="1" x14ac:dyDescent="0.3">
      <c r="A11" s="60" t="s">
        <v>20</v>
      </c>
      <c r="B11" s="71">
        <v>5</v>
      </c>
      <c r="C11" s="67">
        <f>C10-B11</f>
        <v>22</v>
      </c>
      <c r="D11" s="64">
        <f>C11/B7</f>
        <v>5.8666666666666666E-2</v>
      </c>
      <c r="E11" s="108"/>
      <c r="G11" s="76" t="s">
        <v>290</v>
      </c>
      <c r="H11" s="77" t="s">
        <v>291</v>
      </c>
      <c r="I11" s="77" t="s">
        <v>24</v>
      </c>
      <c r="J11" s="77" t="s">
        <v>36</v>
      </c>
      <c r="K11" s="78" t="s">
        <v>933</v>
      </c>
      <c r="L11" s="79" t="s">
        <v>1214</v>
      </c>
      <c r="M11" s="104"/>
    </row>
    <row r="12" spans="1:13" ht="15.75" thickTop="1" x14ac:dyDescent="0.25">
      <c r="A12" s="58" t="s">
        <v>1205</v>
      </c>
      <c r="B12" s="69">
        <v>375</v>
      </c>
      <c r="C12" s="65"/>
      <c r="D12" s="62"/>
      <c r="E12" s="106">
        <v>44756</v>
      </c>
      <c r="G12" s="76" t="s">
        <v>371</v>
      </c>
      <c r="H12" s="77" t="s">
        <v>372</v>
      </c>
      <c r="I12" s="77" t="s">
        <v>65</v>
      </c>
      <c r="J12" s="77" t="s">
        <v>36</v>
      </c>
      <c r="K12" s="78" t="s">
        <v>969</v>
      </c>
      <c r="L12" s="79" t="s">
        <v>1214</v>
      </c>
      <c r="M12" s="104"/>
    </row>
    <row r="13" spans="1:13" x14ac:dyDescent="0.25">
      <c r="A13" s="59" t="s">
        <v>6</v>
      </c>
      <c r="B13" s="70">
        <v>34</v>
      </c>
      <c r="C13" s="66">
        <v>83</v>
      </c>
      <c r="D13" s="63">
        <f>C13/B12</f>
        <v>0.22133333333333333</v>
      </c>
      <c r="E13" s="107"/>
      <c r="G13" s="76" t="s">
        <v>746</v>
      </c>
      <c r="H13" s="77" t="s">
        <v>747</v>
      </c>
      <c r="I13" s="77" t="s">
        <v>24</v>
      </c>
      <c r="J13" s="77" t="s">
        <v>36</v>
      </c>
      <c r="K13" s="78" t="s">
        <v>1150</v>
      </c>
      <c r="L13" s="79" t="s">
        <v>1215</v>
      </c>
      <c r="M13" s="104"/>
    </row>
    <row r="14" spans="1:13" x14ac:dyDescent="0.25">
      <c r="A14" s="59" t="s">
        <v>1207</v>
      </c>
      <c r="B14" s="70">
        <v>6</v>
      </c>
      <c r="C14" s="66">
        <f>B13-B14</f>
        <v>28</v>
      </c>
      <c r="D14" s="63">
        <f>C14/B12</f>
        <v>7.4666666666666673E-2</v>
      </c>
      <c r="E14" s="107"/>
      <c r="G14" s="76" t="s">
        <v>494</v>
      </c>
      <c r="H14" s="77" t="s">
        <v>495</v>
      </c>
      <c r="I14" s="77" t="s">
        <v>19</v>
      </c>
      <c r="J14" s="77" t="s">
        <v>828</v>
      </c>
      <c r="K14" s="78" t="s">
        <v>1025</v>
      </c>
      <c r="L14" s="79" t="s">
        <v>1210</v>
      </c>
      <c r="M14" s="104"/>
    </row>
    <row r="15" spans="1:13" ht="15" customHeight="1" thickBot="1" x14ac:dyDescent="0.3">
      <c r="A15" s="59" t="s">
        <v>1206</v>
      </c>
      <c r="B15" s="70">
        <v>3</v>
      </c>
      <c r="C15" s="66">
        <f>C14-B15</f>
        <v>25</v>
      </c>
      <c r="D15" s="63">
        <f>C15/B12</f>
        <v>6.6666666666666666E-2</v>
      </c>
      <c r="E15" s="107"/>
      <c r="G15" s="80" t="s">
        <v>503</v>
      </c>
      <c r="H15" s="81" t="s">
        <v>502</v>
      </c>
      <c r="I15" s="81" t="s">
        <v>102</v>
      </c>
      <c r="J15" s="81" t="s">
        <v>36</v>
      </c>
      <c r="K15" s="81" t="s">
        <v>1027</v>
      </c>
      <c r="L15" s="82" t="s">
        <v>1210</v>
      </c>
      <c r="M15" s="105"/>
    </row>
    <row r="16" spans="1:13" ht="16.5" thickTop="1" thickBot="1" x14ac:dyDescent="0.3">
      <c r="A16" s="60" t="s">
        <v>20</v>
      </c>
      <c r="B16" s="71">
        <v>6</v>
      </c>
      <c r="C16" s="67">
        <f>C15-B16</f>
        <v>19</v>
      </c>
      <c r="D16" s="64">
        <f>C16/B12</f>
        <v>5.0666666666666665E-2</v>
      </c>
      <c r="E16" s="108"/>
      <c r="G16" s="72"/>
      <c r="H16" s="73"/>
      <c r="I16" s="73"/>
      <c r="J16" s="73"/>
      <c r="K16" s="74"/>
      <c r="L16" s="75"/>
      <c r="M16" s="103"/>
    </row>
    <row r="17" spans="1:13" ht="15.75" thickTop="1" x14ac:dyDescent="0.25">
      <c r="A17" s="58"/>
      <c r="B17" s="69"/>
      <c r="C17" s="65"/>
      <c r="D17" s="62"/>
      <c r="E17" s="106"/>
      <c r="G17" s="76"/>
      <c r="H17" s="77"/>
      <c r="I17" s="77"/>
      <c r="J17" s="77"/>
      <c r="K17" s="78"/>
      <c r="L17" s="79"/>
      <c r="M17" s="104"/>
    </row>
    <row r="18" spans="1:13" x14ac:dyDescent="0.25">
      <c r="A18" s="59"/>
      <c r="B18" s="70"/>
      <c r="C18" s="66"/>
      <c r="D18" s="63"/>
      <c r="E18" s="107"/>
      <c r="G18" s="76"/>
      <c r="H18" s="77"/>
      <c r="I18" s="77"/>
      <c r="J18" s="77"/>
      <c r="K18" s="78"/>
      <c r="L18" s="79"/>
      <c r="M18" s="104"/>
    </row>
    <row r="19" spans="1:13" x14ac:dyDescent="0.25">
      <c r="A19" s="59"/>
      <c r="B19" s="70"/>
      <c r="C19" s="66"/>
      <c r="D19" s="63"/>
      <c r="E19" s="107"/>
      <c r="G19" s="76"/>
      <c r="H19" s="77"/>
      <c r="I19" s="77"/>
      <c r="J19" s="77"/>
      <c r="K19" s="78"/>
      <c r="L19" s="79"/>
      <c r="M19" s="104"/>
    </row>
    <row r="20" spans="1:13" x14ac:dyDescent="0.25">
      <c r="A20" s="59"/>
      <c r="B20" s="70"/>
      <c r="C20" s="66"/>
      <c r="D20" s="63"/>
      <c r="E20" s="107"/>
      <c r="G20" s="76"/>
      <c r="H20" s="77"/>
      <c r="I20" s="77"/>
      <c r="J20" s="77"/>
      <c r="K20" s="78"/>
      <c r="L20" s="79"/>
      <c r="M20" s="104"/>
    </row>
    <row r="21" spans="1:13" ht="15.75" thickBot="1" x14ac:dyDescent="0.3">
      <c r="A21" s="60"/>
      <c r="B21" s="71"/>
      <c r="C21" s="67"/>
      <c r="D21" s="64"/>
      <c r="E21" s="108"/>
      <c r="G21" s="80"/>
      <c r="H21" s="81"/>
      <c r="I21" s="81"/>
      <c r="J21" s="81"/>
      <c r="K21" s="81"/>
      <c r="L21" s="82"/>
      <c r="M21" s="105"/>
    </row>
    <row r="22" spans="1:13" ht="15.75" thickTop="1" x14ac:dyDescent="0.25">
      <c r="A22" s="58"/>
      <c r="B22" s="69"/>
      <c r="C22" s="65"/>
      <c r="D22" s="62"/>
      <c r="E22" s="106"/>
    </row>
    <row r="23" spans="1:13" ht="15.75" thickBot="1" x14ac:dyDescent="0.3">
      <c r="A23" s="59"/>
      <c r="B23" s="70"/>
      <c r="C23" s="66"/>
      <c r="D23" s="63"/>
      <c r="E23" s="107"/>
    </row>
    <row r="24" spans="1:13" ht="15.75" thickTop="1" x14ac:dyDescent="0.25">
      <c r="A24" s="59"/>
      <c r="B24" s="70"/>
      <c r="C24" s="66"/>
      <c r="D24" s="63"/>
      <c r="E24" s="107"/>
      <c r="G24" s="72"/>
      <c r="H24" s="73"/>
      <c r="I24" s="73"/>
      <c r="J24" s="73"/>
      <c r="K24" s="74"/>
      <c r="L24" s="75"/>
      <c r="M24" s="103"/>
    </row>
    <row r="25" spans="1:13" x14ac:dyDescent="0.25">
      <c r="A25" s="59"/>
      <c r="B25" s="70"/>
      <c r="C25" s="66"/>
      <c r="D25" s="63"/>
      <c r="E25" s="107"/>
      <c r="G25" s="76"/>
      <c r="H25" s="77"/>
      <c r="I25" s="77"/>
      <c r="J25" s="77"/>
      <c r="K25" s="78"/>
      <c r="L25" s="79"/>
      <c r="M25" s="104"/>
    </row>
    <row r="26" spans="1:13" ht="15.75" thickBot="1" x14ac:dyDescent="0.3">
      <c r="A26" s="60"/>
      <c r="B26" s="71"/>
      <c r="C26" s="67"/>
      <c r="D26" s="64"/>
      <c r="E26" s="108"/>
      <c r="G26" s="76"/>
      <c r="H26" s="77"/>
      <c r="I26" s="77"/>
      <c r="J26" s="77"/>
      <c r="K26" s="78"/>
      <c r="L26" s="79"/>
      <c r="M26" s="104"/>
    </row>
    <row r="27" spans="1:13" ht="15.75" thickTop="1" x14ac:dyDescent="0.25">
      <c r="A27" s="58"/>
      <c r="B27" s="69"/>
      <c r="C27" s="65"/>
      <c r="D27" s="62"/>
      <c r="E27" s="106"/>
      <c r="G27" s="76"/>
      <c r="H27" s="77"/>
      <c r="I27" s="77"/>
      <c r="J27" s="77"/>
      <c r="K27" s="78"/>
      <c r="L27" s="79"/>
      <c r="M27" s="104"/>
    </row>
    <row r="28" spans="1:13" x14ac:dyDescent="0.25">
      <c r="A28" s="59"/>
      <c r="B28" s="70"/>
      <c r="C28" s="66"/>
      <c r="D28" s="63"/>
      <c r="E28" s="107"/>
      <c r="G28" s="76"/>
      <c r="H28" s="77"/>
      <c r="I28" s="77"/>
      <c r="J28" s="77"/>
      <c r="K28" s="78"/>
      <c r="L28" s="79"/>
      <c r="M28" s="104"/>
    </row>
    <row r="29" spans="1:13" ht="15.75" thickBot="1" x14ac:dyDescent="0.3">
      <c r="A29" s="59"/>
      <c r="B29" s="70"/>
      <c r="C29" s="66"/>
      <c r="D29" s="63"/>
      <c r="E29" s="107"/>
      <c r="G29" s="80"/>
      <c r="H29" s="81"/>
      <c r="I29" s="81"/>
      <c r="J29" s="81"/>
      <c r="K29" s="81"/>
      <c r="L29" s="82"/>
      <c r="M29" s="105"/>
    </row>
    <row r="30" spans="1:13" ht="15.75" thickTop="1" x14ac:dyDescent="0.25">
      <c r="A30" s="59"/>
      <c r="B30" s="70"/>
      <c r="C30" s="66"/>
      <c r="D30" s="63"/>
      <c r="E30" s="107"/>
    </row>
    <row r="31" spans="1:13" ht="15.75" thickBot="1" x14ac:dyDescent="0.3">
      <c r="A31" s="60"/>
      <c r="B31" s="71"/>
      <c r="C31" s="67"/>
      <c r="D31" s="64"/>
      <c r="E31" s="108"/>
    </row>
    <row r="32" spans="1:13" ht="15.75" thickTop="1" x14ac:dyDescent="0.25">
      <c r="A32" s="58"/>
      <c r="B32" s="69"/>
      <c r="C32" s="65"/>
      <c r="D32" s="62"/>
      <c r="E32" s="106"/>
      <c r="G32" s="52"/>
      <c r="H32" s="51"/>
      <c r="I32" s="51"/>
      <c r="J32" s="51"/>
      <c r="K32" s="16"/>
      <c r="L32" s="83"/>
    </row>
    <row r="33" spans="1:13" x14ac:dyDescent="0.25">
      <c r="A33" s="59"/>
      <c r="B33" s="70"/>
      <c r="C33" s="66"/>
      <c r="D33" s="63"/>
      <c r="E33" s="107"/>
      <c r="G33" s="52"/>
      <c r="H33" s="51"/>
      <c r="I33" s="51"/>
      <c r="J33" s="51"/>
      <c r="K33" s="16"/>
      <c r="L33" s="83"/>
    </row>
    <row r="34" spans="1:13" x14ac:dyDescent="0.25">
      <c r="A34" s="59"/>
      <c r="B34" s="70"/>
      <c r="C34" s="66"/>
      <c r="D34" s="63"/>
      <c r="E34" s="107"/>
      <c r="G34" s="52"/>
      <c r="H34" s="51"/>
      <c r="I34" s="51"/>
      <c r="J34" s="51"/>
      <c r="K34" s="16"/>
      <c r="L34" s="83"/>
    </row>
    <row r="35" spans="1:13" x14ac:dyDescent="0.25">
      <c r="A35" s="59"/>
      <c r="B35" s="70"/>
      <c r="C35" s="66"/>
      <c r="D35" s="63"/>
      <c r="E35" s="107"/>
      <c r="G35" s="52"/>
      <c r="H35" s="51"/>
      <c r="I35" s="51"/>
      <c r="J35" s="51"/>
      <c r="K35" s="16"/>
      <c r="L35" s="83"/>
    </row>
    <row r="36" spans="1:13" ht="15.75" thickBot="1" x14ac:dyDescent="0.3">
      <c r="A36" s="60"/>
      <c r="B36" s="71"/>
      <c r="C36" s="67"/>
      <c r="D36" s="64"/>
      <c r="E36" s="108"/>
      <c r="G36" s="52"/>
      <c r="H36" s="51"/>
      <c r="I36" s="51"/>
      <c r="J36" s="51"/>
      <c r="K36" s="16"/>
      <c r="L36" s="83"/>
    </row>
    <row r="37" spans="1:13" ht="15.75" thickTop="1" x14ac:dyDescent="0.25">
      <c r="A37" s="58"/>
      <c r="B37" s="69"/>
      <c r="C37" s="65"/>
      <c r="D37" s="62"/>
      <c r="E37" s="106"/>
      <c r="G37" s="52"/>
      <c r="H37" s="51"/>
      <c r="I37" s="51"/>
      <c r="J37" s="51"/>
      <c r="K37" s="16"/>
      <c r="L37" s="83"/>
    </row>
    <row r="38" spans="1:13" x14ac:dyDescent="0.25">
      <c r="A38" s="59"/>
      <c r="B38" s="70"/>
      <c r="C38" s="66"/>
      <c r="D38" s="63"/>
      <c r="E38" s="107"/>
      <c r="G38" s="52"/>
      <c r="H38" s="51"/>
      <c r="I38" s="51"/>
      <c r="J38" s="51"/>
      <c r="K38" s="16"/>
      <c r="L38" s="84"/>
    </row>
    <row r="39" spans="1:13" ht="15.75" thickBot="1" x14ac:dyDescent="0.3">
      <c r="A39" s="59"/>
      <c r="B39" s="70"/>
      <c r="C39" s="66"/>
      <c r="D39" s="63"/>
      <c r="E39" s="107"/>
    </row>
    <row r="40" spans="1:13" ht="15.75" thickTop="1" x14ac:dyDescent="0.25">
      <c r="A40" s="59"/>
      <c r="B40" s="70"/>
      <c r="C40" s="66"/>
      <c r="D40" s="63"/>
      <c r="E40" s="107"/>
      <c r="G40" s="72"/>
      <c r="H40" s="73"/>
      <c r="I40" s="73"/>
      <c r="J40" s="73"/>
      <c r="K40" s="74"/>
      <c r="L40" s="75"/>
      <c r="M40" s="103"/>
    </row>
    <row r="41" spans="1:13" ht="15.75" thickBot="1" x14ac:dyDescent="0.3">
      <c r="A41" s="60"/>
      <c r="B41" s="71"/>
      <c r="C41" s="67"/>
      <c r="D41" s="64"/>
      <c r="E41" s="108"/>
      <c r="G41" s="76"/>
      <c r="H41" s="77"/>
      <c r="I41" s="77"/>
      <c r="J41" s="77"/>
      <c r="K41" s="78"/>
      <c r="L41" s="79"/>
      <c r="M41" s="104"/>
    </row>
    <row r="42" spans="1:13" ht="15.75" thickTop="1" x14ac:dyDescent="0.25">
      <c r="G42" s="76"/>
      <c r="H42" s="77"/>
      <c r="I42" s="77"/>
      <c r="J42" s="77"/>
      <c r="K42" s="78"/>
      <c r="L42" s="79"/>
      <c r="M42" s="104"/>
    </row>
    <row r="43" spans="1:13" x14ac:dyDescent="0.25">
      <c r="G43" s="76"/>
      <c r="H43" s="77"/>
      <c r="I43" s="77"/>
      <c r="J43" s="77"/>
      <c r="K43" s="78"/>
      <c r="L43" s="79"/>
      <c r="M43" s="104"/>
    </row>
    <row r="44" spans="1:13" x14ac:dyDescent="0.25">
      <c r="G44" s="76"/>
      <c r="H44" s="77"/>
      <c r="I44" s="77"/>
      <c r="J44" s="77"/>
      <c r="K44" s="78"/>
      <c r="L44" s="79"/>
      <c r="M44" s="104"/>
    </row>
    <row r="45" spans="1:13" ht="15.75" thickBot="1" x14ac:dyDescent="0.3">
      <c r="G45" s="80"/>
      <c r="H45" s="81"/>
      <c r="I45" s="81"/>
      <c r="J45" s="81"/>
      <c r="K45" s="81"/>
      <c r="L45" s="82"/>
      <c r="M45" s="105"/>
    </row>
    <row r="46" spans="1:13" ht="15.75" thickTop="1" x14ac:dyDescent="0.25"/>
    <row r="47" spans="1:13" x14ac:dyDescent="0.25">
      <c r="G47" s="52"/>
      <c r="H47" s="51"/>
      <c r="I47" s="51"/>
      <c r="J47" s="51"/>
      <c r="K47" s="16"/>
      <c r="L47" s="83"/>
    </row>
    <row r="48" spans="1:13" x14ac:dyDescent="0.25">
      <c r="G48" s="52"/>
      <c r="H48" s="51"/>
      <c r="I48" s="51"/>
      <c r="J48" s="51"/>
      <c r="K48" s="16"/>
      <c r="L48" s="83"/>
    </row>
    <row r="49" spans="7:12" x14ac:dyDescent="0.25">
      <c r="G49" s="52"/>
      <c r="H49" s="51"/>
      <c r="I49" s="51"/>
      <c r="J49" s="51"/>
      <c r="K49" s="16"/>
      <c r="L49" s="83"/>
    </row>
    <row r="50" spans="7:12" x14ac:dyDescent="0.25">
      <c r="G50" s="52"/>
      <c r="H50" s="51"/>
      <c r="I50" s="51"/>
      <c r="J50" s="51"/>
      <c r="K50" s="16"/>
      <c r="L50" s="83"/>
    </row>
    <row r="51" spans="7:12" x14ac:dyDescent="0.25">
      <c r="G51" s="52"/>
      <c r="H51" s="51"/>
      <c r="I51" s="51"/>
      <c r="J51" s="51"/>
      <c r="K51" s="16"/>
      <c r="L51" s="83"/>
    </row>
    <row r="52" spans="7:12" x14ac:dyDescent="0.25">
      <c r="G52" s="52"/>
      <c r="H52" s="51"/>
      <c r="I52" s="51"/>
      <c r="J52" s="51"/>
      <c r="K52" s="16"/>
      <c r="L52" s="83"/>
    </row>
    <row r="53" spans="7:12" x14ac:dyDescent="0.25">
      <c r="G53" s="52"/>
      <c r="H53" s="51"/>
      <c r="I53" s="51"/>
      <c r="J53" s="51"/>
      <c r="K53" s="16"/>
      <c r="L53" s="83"/>
    </row>
  </sheetData>
  <mergeCells count="13">
    <mergeCell ref="M40:M45"/>
    <mergeCell ref="E22:E26"/>
    <mergeCell ref="E2:E6"/>
    <mergeCell ref="E7:E11"/>
    <mergeCell ref="E12:E16"/>
    <mergeCell ref="E17:E21"/>
    <mergeCell ref="M16:M21"/>
    <mergeCell ref="M24:M29"/>
    <mergeCell ref="E27:E31"/>
    <mergeCell ref="E32:E36"/>
    <mergeCell ref="E37:E41"/>
    <mergeCell ref="M3:M8"/>
    <mergeCell ref="M10:M15"/>
  </mergeCells>
  <conditionalFormatting sqref="I9:L9">
    <cfRule type="containsText" dxfId="127" priority="242" operator="containsText" text="Radio">
      <formula>NOT(ISERROR(SEARCH("Radio",I9)))</formula>
    </cfRule>
  </conditionalFormatting>
  <conditionalFormatting sqref="I9">
    <cfRule type="containsText" dxfId="126" priority="234" operator="containsText" text="fija">
      <formula>NOT(ISERROR(SEARCH("fija",I9)))</formula>
    </cfRule>
    <cfRule type="containsText" dxfId="125" priority="235" operator="containsText" text="domo">
      <formula>NOT(ISERROR(SEARCH("domo",I9)))</formula>
    </cfRule>
  </conditionalFormatting>
  <conditionalFormatting sqref="J9">
    <cfRule type="cellIs" dxfId="124" priority="233" operator="equal">
      <formula>"PTP A FO"</formula>
    </cfRule>
  </conditionalFormatting>
  <conditionalFormatting sqref="I16:L19 L20">
    <cfRule type="containsText" dxfId="123" priority="200" operator="containsText" text="Radio">
      <formula>NOT(ISERROR(SEARCH("Radio",I16)))</formula>
    </cfRule>
  </conditionalFormatting>
  <conditionalFormatting sqref="I19">
    <cfRule type="containsText" dxfId="122" priority="198" operator="containsText" text="fija">
      <formula>NOT(ISERROR(SEARCH("fija",I19)))</formula>
    </cfRule>
    <cfRule type="containsText" dxfId="121" priority="199" operator="containsText" text="domo">
      <formula>NOT(ISERROR(SEARCH("domo",I19)))</formula>
    </cfRule>
  </conditionalFormatting>
  <conditionalFormatting sqref="J19">
    <cfRule type="cellIs" dxfId="120" priority="197" operator="equal">
      <formula>"PTP A FO"</formula>
    </cfRule>
  </conditionalFormatting>
  <conditionalFormatting sqref="I16">
    <cfRule type="containsText" dxfId="119" priority="195" operator="containsText" text="fija">
      <formula>NOT(ISERROR(SEARCH("fija",I16)))</formula>
    </cfRule>
    <cfRule type="containsText" dxfId="118" priority="196" operator="containsText" text="domo">
      <formula>NOT(ISERROR(SEARCH("domo",I16)))</formula>
    </cfRule>
  </conditionalFormatting>
  <conditionalFormatting sqref="J16">
    <cfRule type="cellIs" dxfId="117" priority="194" operator="equal">
      <formula>"PTP A FO"</formula>
    </cfRule>
  </conditionalFormatting>
  <conditionalFormatting sqref="I17:I18">
    <cfRule type="containsText" dxfId="116" priority="192" operator="containsText" text="fija">
      <formula>NOT(ISERROR(SEARCH("fija",I17)))</formula>
    </cfRule>
    <cfRule type="containsText" dxfId="115" priority="193" operator="containsText" text="domo">
      <formula>NOT(ISERROR(SEARCH("domo",I17)))</formula>
    </cfRule>
  </conditionalFormatting>
  <conditionalFormatting sqref="J17:J18">
    <cfRule type="cellIs" dxfId="114" priority="191" operator="equal">
      <formula>"PTP A FO"</formula>
    </cfRule>
  </conditionalFormatting>
  <conditionalFormatting sqref="I20:K20">
    <cfRule type="containsText" dxfId="113" priority="190" operator="containsText" text="Radio">
      <formula>NOT(ISERROR(SEARCH("Radio",I20)))</formula>
    </cfRule>
  </conditionalFormatting>
  <conditionalFormatting sqref="I20">
    <cfRule type="containsText" dxfId="112" priority="188" operator="containsText" text="fija">
      <formula>NOT(ISERROR(SEARCH("fija",I20)))</formula>
    </cfRule>
    <cfRule type="containsText" dxfId="111" priority="189" operator="containsText" text="domo">
      <formula>NOT(ISERROR(SEARCH("domo",I20)))</formula>
    </cfRule>
  </conditionalFormatting>
  <conditionalFormatting sqref="J20">
    <cfRule type="cellIs" dxfId="110" priority="187" operator="equal">
      <formula>"PTP A FO"</formula>
    </cfRule>
  </conditionalFormatting>
  <conditionalFormatting sqref="I24:L27 L28">
    <cfRule type="containsText" dxfId="109" priority="162" operator="containsText" text="Radio">
      <formula>NOT(ISERROR(SEARCH("Radio",I24)))</formula>
    </cfRule>
  </conditionalFormatting>
  <conditionalFormatting sqref="I27">
    <cfRule type="containsText" dxfId="108" priority="160" operator="containsText" text="fija">
      <formula>NOT(ISERROR(SEARCH("fija",I27)))</formula>
    </cfRule>
    <cfRule type="containsText" dxfId="107" priority="161" operator="containsText" text="domo">
      <formula>NOT(ISERROR(SEARCH("domo",I27)))</formula>
    </cfRule>
  </conditionalFormatting>
  <conditionalFormatting sqref="J27">
    <cfRule type="cellIs" dxfId="106" priority="159" operator="equal">
      <formula>"PTP A FO"</formula>
    </cfRule>
  </conditionalFormatting>
  <conditionalFormatting sqref="I24">
    <cfRule type="containsText" dxfId="105" priority="157" operator="containsText" text="fija">
      <formula>NOT(ISERROR(SEARCH("fija",I24)))</formula>
    </cfRule>
    <cfRule type="containsText" dxfId="104" priority="158" operator="containsText" text="domo">
      <formula>NOT(ISERROR(SEARCH("domo",I24)))</formula>
    </cfRule>
  </conditionalFormatting>
  <conditionalFormatting sqref="J24">
    <cfRule type="cellIs" dxfId="103" priority="156" operator="equal">
      <formula>"PTP A FO"</formula>
    </cfRule>
  </conditionalFormatting>
  <conditionalFormatting sqref="I25:I26">
    <cfRule type="containsText" dxfId="102" priority="154" operator="containsText" text="fija">
      <formula>NOT(ISERROR(SEARCH("fija",I25)))</formula>
    </cfRule>
    <cfRule type="containsText" dxfId="101" priority="155" operator="containsText" text="domo">
      <formula>NOT(ISERROR(SEARCH("domo",I25)))</formula>
    </cfRule>
  </conditionalFormatting>
  <conditionalFormatting sqref="J25:J26">
    <cfRule type="cellIs" dxfId="100" priority="153" operator="equal">
      <formula>"PTP A FO"</formula>
    </cfRule>
  </conditionalFormatting>
  <conditionalFormatting sqref="I28:K28">
    <cfRule type="containsText" dxfId="99" priority="152" operator="containsText" text="Radio">
      <formula>NOT(ISERROR(SEARCH("Radio",I28)))</formula>
    </cfRule>
  </conditionalFormatting>
  <conditionalFormatting sqref="I28">
    <cfRule type="containsText" dxfId="98" priority="150" operator="containsText" text="fija">
      <formula>NOT(ISERROR(SEARCH("fija",I28)))</formula>
    </cfRule>
    <cfRule type="containsText" dxfId="97" priority="151" operator="containsText" text="domo">
      <formula>NOT(ISERROR(SEARCH("domo",I28)))</formula>
    </cfRule>
  </conditionalFormatting>
  <conditionalFormatting sqref="J28">
    <cfRule type="cellIs" dxfId="96" priority="149" operator="equal">
      <formula>"PTP A FO"</formula>
    </cfRule>
  </conditionalFormatting>
  <conditionalFormatting sqref="I32:L32 I34:L34">
    <cfRule type="containsText" dxfId="95" priority="148" operator="containsText" text="Radio">
      <formula>NOT(ISERROR(SEARCH("Radio",I32)))</formula>
    </cfRule>
  </conditionalFormatting>
  <conditionalFormatting sqref="I32 I34">
    <cfRule type="containsText" dxfId="94" priority="146" operator="containsText" text="fija">
      <formula>NOT(ISERROR(SEARCH("fija",I32)))</formula>
    </cfRule>
    <cfRule type="containsText" dxfId="93" priority="147" operator="containsText" text="domo">
      <formula>NOT(ISERROR(SEARCH("domo",I32)))</formula>
    </cfRule>
  </conditionalFormatting>
  <conditionalFormatting sqref="J32 L34 J34">
    <cfRule type="cellIs" dxfId="92" priority="145" operator="equal">
      <formula>"PTP A FO"</formula>
    </cfRule>
  </conditionalFormatting>
  <conditionalFormatting sqref="I33:L33">
    <cfRule type="containsText" dxfId="91" priority="144" operator="containsText" text="Radio">
      <formula>NOT(ISERROR(SEARCH("Radio",I33)))</formula>
    </cfRule>
  </conditionalFormatting>
  <conditionalFormatting sqref="I33">
    <cfRule type="containsText" dxfId="90" priority="142" operator="containsText" text="fija">
      <formula>NOT(ISERROR(SEARCH("fija",I33)))</formula>
    </cfRule>
    <cfRule type="containsText" dxfId="89" priority="143" operator="containsText" text="domo">
      <formula>NOT(ISERROR(SEARCH("domo",I33)))</formula>
    </cfRule>
  </conditionalFormatting>
  <conditionalFormatting sqref="J33">
    <cfRule type="cellIs" dxfId="88" priority="141" operator="equal">
      <formula>"PTP A FO"</formula>
    </cfRule>
  </conditionalFormatting>
  <conditionalFormatting sqref="L35">
    <cfRule type="containsText" dxfId="87" priority="140" operator="containsText" text="Radio">
      <formula>NOT(ISERROR(SEARCH("Radio",L35)))</formula>
    </cfRule>
  </conditionalFormatting>
  <conditionalFormatting sqref="L35">
    <cfRule type="cellIs" dxfId="86" priority="139" operator="equal">
      <formula>"PTP A FO"</formula>
    </cfRule>
  </conditionalFormatting>
  <conditionalFormatting sqref="I35:K35">
    <cfRule type="containsText" dxfId="85" priority="138" operator="containsText" text="Radio">
      <formula>NOT(ISERROR(SEARCH("Radio",I35)))</formula>
    </cfRule>
  </conditionalFormatting>
  <conditionalFormatting sqref="I35">
    <cfRule type="containsText" dxfId="84" priority="136" operator="containsText" text="fija">
      <formula>NOT(ISERROR(SEARCH("fija",I35)))</formula>
    </cfRule>
    <cfRule type="containsText" dxfId="83" priority="137" operator="containsText" text="domo">
      <formula>NOT(ISERROR(SEARCH("domo",I35)))</formula>
    </cfRule>
  </conditionalFormatting>
  <conditionalFormatting sqref="J35">
    <cfRule type="cellIs" dxfId="82" priority="135" operator="equal">
      <formula>"PTP A FO"</formula>
    </cfRule>
  </conditionalFormatting>
  <conditionalFormatting sqref="I36:L37">
    <cfRule type="containsText" dxfId="81" priority="134" operator="containsText" text="Radio">
      <formula>NOT(ISERROR(SEARCH("Radio",I36)))</formula>
    </cfRule>
  </conditionalFormatting>
  <conditionalFormatting sqref="I36:I37">
    <cfRule type="containsText" dxfId="80" priority="132" operator="containsText" text="fija">
      <formula>NOT(ISERROR(SEARCH("fija",I36)))</formula>
    </cfRule>
    <cfRule type="containsText" dxfId="79" priority="133" operator="containsText" text="domo">
      <formula>NOT(ISERROR(SEARCH("domo",I36)))</formula>
    </cfRule>
  </conditionalFormatting>
  <conditionalFormatting sqref="J36:J37">
    <cfRule type="cellIs" dxfId="78" priority="131" operator="equal">
      <formula>"PTP A FO"</formula>
    </cfRule>
  </conditionalFormatting>
  <conditionalFormatting sqref="I38:L38">
    <cfRule type="containsText" dxfId="77" priority="130" operator="containsText" text="Radio">
      <formula>NOT(ISERROR(SEARCH("Radio",I38)))</formula>
    </cfRule>
  </conditionalFormatting>
  <conditionalFormatting sqref="I38">
    <cfRule type="containsText" dxfId="76" priority="128" operator="containsText" text="fija">
      <formula>NOT(ISERROR(SEARCH("fija",I38)))</formula>
    </cfRule>
    <cfRule type="containsText" dxfId="75" priority="129" operator="containsText" text="domo">
      <formula>NOT(ISERROR(SEARCH("domo",I38)))</formula>
    </cfRule>
  </conditionalFormatting>
  <conditionalFormatting sqref="J38">
    <cfRule type="cellIs" dxfId="74" priority="127" operator="equal">
      <formula>"PTP A FO"</formula>
    </cfRule>
  </conditionalFormatting>
  <conditionalFormatting sqref="I40:L43 L44">
    <cfRule type="containsText" dxfId="73" priority="96" operator="containsText" text="Radio">
      <formula>NOT(ISERROR(SEARCH("Radio",I40)))</formula>
    </cfRule>
  </conditionalFormatting>
  <conditionalFormatting sqref="I43">
    <cfRule type="containsText" dxfId="72" priority="94" operator="containsText" text="fija">
      <formula>NOT(ISERROR(SEARCH("fija",I43)))</formula>
    </cfRule>
    <cfRule type="containsText" dxfId="71" priority="95" operator="containsText" text="domo">
      <formula>NOT(ISERROR(SEARCH("domo",I43)))</formula>
    </cfRule>
  </conditionalFormatting>
  <conditionalFormatting sqref="J43">
    <cfRule type="cellIs" dxfId="70" priority="93" operator="equal">
      <formula>"PTP A FO"</formula>
    </cfRule>
  </conditionalFormatting>
  <conditionalFormatting sqref="I40">
    <cfRule type="containsText" dxfId="69" priority="91" operator="containsText" text="fija">
      <formula>NOT(ISERROR(SEARCH("fija",I40)))</formula>
    </cfRule>
    <cfRule type="containsText" dxfId="68" priority="92" operator="containsText" text="domo">
      <formula>NOT(ISERROR(SEARCH("domo",I40)))</formula>
    </cfRule>
  </conditionalFormatting>
  <conditionalFormatting sqref="J40">
    <cfRule type="cellIs" dxfId="67" priority="90" operator="equal">
      <formula>"PTP A FO"</formula>
    </cfRule>
  </conditionalFormatting>
  <conditionalFormatting sqref="I41:I42">
    <cfRule type="containsText" dxfId="66" priority="88" operator="containsText" text="fija">
      <formula>NOT(ISERROR(SEARCH("fija",I41)))</formula>
    </cfRule>
    <cfRule type="containsText" dxfId="65" priority="89" operator="containsText" text="domo">
      <formula>NOT(ISERROR(SEARCH("domo",I41)))</formula>
    </cfRule>
  </conditionalFormatting>
  <conditionalFormatting sqref="J41:J42">
    <cfRule type="cellIs" dxfId="64" priority="87" operator="equal">
      <formula>"PTP A FO"</formula>
    </cfRule>
  </conditionalFormatting>
  <conditionalFormatting sqref="I44:K44">
    <cfRule type="containsText" dxfId="63" priority="86" operator="containsText" text="Radio">
      <formula>NOT(ISERROR(SEARCH("Radio",I44)))</formula>
    </cfRule>
  </conditionalFormatting>
  <conditionalFormatting sqref="I44">
    <cfRule type="containsText" dxfId="62" priority="84" operator="containsText" text="fija">
      <formula>NOT(ISERROR(SEARCH("fija",I44)))</formula>
    </cfRule>
    <cfRule type="containsText" dxfId="61" priority="85" operator="containsText" text="domo">
      <formula>NOT(ISERROR(SEARCH("domo",I44)))</formula>
    </cfRule>
  </conditionalFormatting>
  <conditionalFormatting sqref="J44">
    <cfRule type="cellIs" dxfId="60" priority="83" operator="equal">
      <formula>"PTP A FO"</formula>
    </cfRule>
  </conditionalFormatting>
  <conditionalFormatting sqref="I47:L49">
    <cfRule type="containsText" dxfId="59" priority="82" operator="containsText" text="Radio">
      <formula>NOT(ISERROR(SEARCH("Radio",I47)))</formula>
    </cfRule>
  </conditionalFormatting>
  <conditionalFormatting sqref="I47">
    <cfRule type="containsText" dxfId="58" priority="80" operator="containsText" text="fija">
      <formula>NOT(ISERROR(SEARCH("fija",I47)))</formula>
    </cfRule>
    <cfRule type="containsText" dxfId="57" priority="81" operator="containsText" text="domo">
      <formula>NOT(ISERROR(SEARCH("domo",I47)))</formula>
    </cfRule>
  </conditionalFormatting>
  <conditionalFormatting sqref="J47">
    <cfRule type="cellIs" dxfId="56" priority="79" operator="equal">
      <formula>"PTP A FO"</formula>
    </cfRule>
  </conditionalFormatting>
  <conditionalFormatting sqref="I48">
    <cfRule type="containsText" dxfId="55" priority="77" operator="containsText" text="fija">
      <formula>NOT(ISERROR(SEARCH("fija",I48)))</formula>
    </cfRule>
    <cfRule type="containsText" dxfId="54" priority="78" operator="containsText" text="domo">
      <formula>NOT(ISERROR(SEARCH("domo",I48)))</formula>
    </cfRule>
  </conditionalFormatting>
  <conditionalFormatting sqref="J48">
    <cfRule type="cellIs" dxfId="53" priority="76" operator="equal">
      <formula>"PTP A FO"</formula>
    </cfRule>
  </conditionalFormatting>
  <conditionalFormatting sqref="I49">
    <cfRule type="containsText" dxfId="52" priority="74" operator="containsText" text="fija">
      <formula>NOT(ISERROR(SEARCH("fija",I49)))</formula>
    </cfRule>
    <cfRule type="containsText" dxfId="51" priority="75" operator="containsText" text="domo">
      <formula>NOT(ISERROR(SEARCH("domo",I49)))</formula>
    </cfRule>
  </conditionalFormatting>
  <conditionalFormatting sqref="J49">
    <cfRule type="cellIs" dxfId="50" priority="73" operator="equal">
      <formula>"PTP A FO"</formula>
    </cfRule>
  </conditionalFormatting>
  <conditionalFormatting sqref="I50:L50">
    <cfRule type="containsText" dxfId="49" priority="72" operator="containsText" text="Radio">
      <formula>NOT(ISERROR(SEARCH("Radio",I50)))</formula>
    </cfRule>
  </conditionalFormatting>
  <conditionalFormatting sqref="I50">
    <cfRule type="containsText" dxfId="48" priority="70" operator="containsText" text="fija">
      <formula>NOT(ISERROR(SEARCH("fija",I50)))</formula>
    </cfRule>
    <cfRule type="containsText" dxfId="47" priority="71" operator="containsText" text="domo">
      <formula>NOT(ISERROR(SEARCH("domo",I50)))</formula>
    </cfRule>
  </conditionalFormatting>
  <conditionalFormatting sqref="J50">
    <cfRule type="cellIs" dxfId="46" priority="69" operator="equal">
      <formula>"PTP A FO"</formula>
    </cfRule>
  </conditionalFormatting>
  <conditionalFormatting sqref="L51">
    <cfRule type="containsText" dxfId="45" priority="68" operator="containsText" text="Radio">
      <formula>NOT(ISERROR(SEARCH("Radio",L51)))</formula>
    </cfRule>
  </conditionalFormatting>
  <conditionalFormatting sqref="L51">
    <cfRule type="cellIs" dxfId="44" priority="67" operator="equal">
      <formula>"PTP A FO"</formula>
    </cfRule>
  </conditionalFormatting>
  <conditionalFormatting sqref="I51:K51">
    <cfRule type="containsText" dxfId="43" priority="66" operator="containsText" text="Radio">
      <formula>NOT(ISERROR(SEARCH("Radio",I51)))</formula>
    </cfRule>
  </conditionalFormatting>
  <conditionalFormatting sqref="I51">
    <cfRule type="containsText" dxfId="42" priority="64" operator="containsText" text="fija">
      <formula>NOT(ISERROR(SEARCH("fija",I51)))</formula>
    </cfRule>
    <cfRule type="containsText" dxfId="41" priority="65" operator="containsText" text="domo">
      <formula>NOT(ISERROR(SEARCH("domo",I51)))</formula>
    </cfRule>
  </conditionalFormatting>
  <conditionalFormatting sqref="J51">
    <cfRule type="cellIs" dxfId="40" priority="63" operator="equal">
      <formula>"PTP A FO"</formula>
    </cfRule>
  </conditionalFormatting>
  <conditionalFormatting sqref="I52:L53">
    <cfRule type="containsText" dxfId="39" priority="62" operator="containsText" text="Radio">
      <formula>NOT(ISERROR(SEARCH("Radio",I52)))</formula>
    </cfRule>
  </conditionalFormatting>
  <conditionalFormatting sqref="I52:I53">
    <cfRule type="containsText" dxfId="38" priority="60" operator="containsText" text="fija">
      <formula>NOT(ISERROR(SEARCH("fija",I52)))</formula>
    </cfRule>
    <cfRule type="containsText" dxfId="37" priority="61" operator="containsText" text="domo">
      <formula>NOT(ISERROR(SEARCH("domo",I52)))</formula>
    </cfRule>
  </conditionalFormatting>
  <conditionalFormatting sqref="J52:J53">
    <cfRule type="cellIs" dxfId="36" priority="59" operator="equal">
      <formula>"PTP A FO"</formula>
    </cfRule>
  </conditionalFormatting>
  <conditionalFormatting sqref="I3:L3">
    <cfRule type="containsText" dxfId="35" priority="58" operator="containsText" text="Radio">
      <formula>NOT(ISERROR(SEARCH("Radio",I3)))</formula>
    </cfRule>
  </conditionalFormatting>
  <conditionalFormatting sqref="I3">
    <cfRule type="containsText" dxfId="34" priority="56" operator="containsText" text="fija">
      <formula>NOT(ISERROR(SEARCH("fija",I3)))</formula>
    </cfRule>
    <cfRule type="containsText" dxfId="33" priority="57" operator="containsText" text="domo">
      <formula>NOT(ISERROR(SEARCH("domo",I3)))</formula>
    </cfRule>
  </conditionalFormatting>
  <conditionalFormatting sqref="J3">
    <cfRule type="cellIs" dxfId="32" priority="55" operator="equal">
      <formula>"PTP A FO"</formula>
    </cfRule>
  </conditionalFormatting>
  <conditionalFormatting sqref="I4:L4">
    <cfRule type="containsText" dxfId="31" priority="54" operator="containsText" text="Radio">
      <formula>NOT(ISERROR(SEARCH("Radio",I4)))</formula>
    </cfRule>
  </conditionalFormatting>
  <conditionalFormatting sqref="I4">
    <cfRule type="containsText" dxfId="30" priority="52" operator="containsText" text="fija">
      <formula>NOT(ISERROR(SEARCH("fija",I4)))</formula>
    </cfRule>
    <cfRule type="containsText" dxfId="29" priority="53" operator="containsText" text="domo">
      <formula>NOT(ISERROR(SEARCH("domo",I4)))</formula>
    </cfRule>
  </conditionalFormatting>
  <conditionalFormatting sqref="J4">
    <cfRule type="cellIs" dxfId="28" priority="51" operator="equal">
      <formula>"PTP A FO"</formula>
    </cfRule>
  </conditionalFormatting>
  <conditionalFormatting sqref="I5:L5">
    <cfRule type="containsText" dxfId="27" priority="50" operator="containsText" text="Radio">
      <formula>NOT(ISERROR(SEARCH("Radio",I5)))</formula>
    </cfRule>
  </conditionalFormatting>
  <conditionalFormatting sqref="I5">
    <cfRule type="containsText" dxfId="26" priority="48" operator="containsText" text="fija">
      <formula>NOT(ISERROR(SEARCH("fija",I5)))</formula>
    </cfRule>
    <cfRule type="containsText" dxfId="25" priority="49" operator="containsText" text="domo">
      <formula>NOT(ISERROR(SEARCH("domo",I5)))</formula>
    </cfRule>
  </conditionalFormatting>
  <conditionalFormatting sqref="J5">
    <cfRule type="cellIs" dxfId="24" priority="47" operator="equal">
      <formula>"PTP A FO"</formula>
    </cfRule>
  </conditionalFormatting>
  <conditionalFormatting sqref="L6">
    <cfRule type="containsText" dxfId="23" priority="46" operator="containsText" text="Radio">
      <formula>NOT(ISERROR(SEARCH("Radio",L6)))</formula>
    </cfRule>
  </conditionalFormatting>
  <conditionalFormatting sqref="L6">
    <cfRule type="cellIs" dxfId="22" priority="45" operator="equal">
      <formula>"PTP A FO"</formula>
    </cfRule>
  </conditionalFormatting>
  <conditionalFormatting sqref="I6:K6">
    <cfRule type="containsText" dxfId="21" priority="44" operator="containsText" text="Radio">
      <formula>NOT(ISERROR(SEARCH("Radio",I6)))</formula>
    </cfRule>
  </conditionalFormatting>
  <conditionalFormatting sqref="I6">
    <cfRule type="containsText" dxfId="20" priority="42" operator="containsText" text="fija">
      <formula>NOT(ISERROR(SEARCH("fija",I6)))</formula>
    </cfRule>
    <cfRule type="containsText" dxfId="19" priority="43" operator="containsText" text="domo">
      <formula>NOT(ISERROR(SEARCH("domo",I6)))</formula>
    </cfRule>
  </conditionalFormatting>
  <conditionalFormatting sqref="J6">
    <cfRule type="cellIs" dxfId="18" priority="41" operator="equal">
      <formula>"PTP A FO"</formula>
    </cfRule>
  </conditionalFormatting>
  <conditionalFormatting sqref="I7:L8">
    <cfRule type="containsText" dxfId="17" priority="40" operator="containsText" text="Radio">
      <formula>NOT(ISERROR(SEARCH("Radio",I7)))</formula>
    </cfRule>
  </conditionalFormatting>
  <conditionalFormatting sqref="I7:I8">
    <cfRule type="containsText" dxfId="16" priority="38" operator="containsText" text="fija">
      <formula>NOT(ISERROR(SEARCH("fija",I7)))</formula>
    </cfRule>
    <cfRule type="containsText" dxfId="15" priority="39" operator="containsText" text="domo">
      <formula>NOT(ISERROR(SEARCH("domo",I7)))</formula>
    </cfRule>
  </conditionalFormatting>
  <conditionalFormatting sqref="J7:J8">
    <cfRule type="cellIs" dxfId="14" priority="37" operator="equal">
      <formula>"PTP A FO"</formula>
    </cfRule>
  </conditionalFormatting>
  <conditionalFormatting sqref="I10:L13 L14">
    <cfRule type="containsText" dxfId="13" priority="14" operator="containsText" text="Radio">
      <formula>NOT(ISERROR(SEARCH("Radio",I10)))</formula>
    </cfRule>
  </conditionalFormatting>
  <conditionalFormatting sqref="I13">
    <cfRule type="containsText" dxfId="12" priority="12" operator="containsText" text="fija">
      <formula>NOT(ISERROR(SEARCH("fija",I13)))</formula>
    </cfRule>
    <cfRule type="containsText" dxfId="11" priority="13" operator="containsText" text="domo">
      <formula>NOT(ISERROR(SEARCH("domo",I13)))</formula>
    </cfRule>
  </conditionalFormatting>
  <conditionalFormatting sqref="J13">
    <cfRule type="cellIs" dxfId="10" priority="11" operator="equal">
      <formula>"PTP A FO"</formula>
    </cfRule>
  </conditionalFormatting>
  <conditionalFormatting sqref="I10">
    <cfRule type="containsText" dxfId="9" priority="9" operator="containsText" text="fija">
      <formula>NOT(ISERROR(SEARCH("fija",I10)))</formula>
    </cfRule>
    <cfRule type="containsText" dxfId="8" priority="10" operator="containsText" text="domo">
      <formula>NOT(ISERROR(SEARCH("domo",I10)))</formula>
    </cfRule>
  </conditionalFormatting>
  <conditionalFormatting sqref="J10">
    <cfRule type="cellIs" dxfId="7" priority="8" operator="equal">
      <formula>"PTP A FO"</formula>
    </cfRule>
  </conditionalFormatting>
  <conditionalFormatting sqref="I11:I12">
    <cfRule type="containsText" dxfId="6" priority="6" operator="containsText" text="fija">
      <formula>NOT(ISERROR(SEARCH("fija",I11)))</formula>
    </cfRule>
    <cfRule type="containsText" dxfId="5" priority="7" operator="containsText" text="domo">
      <formula>NOT(ISERROR(SEARCH("domo",I11)))</formula>
    </cfRule>
  </conditionalFormatting>
  <conditionalFormatting sqref="J11:J12">
    <cfRule type="cellIs" dxfId="4" priority="5" operator="equal">
      <formula>"PTP A FO"</formula>
    </cfRule>
  </conditionalFormatting>
  <conditionalFormatting sqref="I14:K14">
    <cfRule type="containsText" dxfId="3" priority="4" operator="containsText" text="Radio">
      <formula>NOT(ISERROR(SEARCH("Radio",I14)))</formula>
    </cfRule>
  </conditionalFormatting>
  <conditionalFormatting sqref="I14">
    <cfRule type="containsText" dxfId="2" priority="2" operator="containsText" text="fija">
      <formula>NOT(ISERROR(SEARCH("fija",I14)))</formula>
    </cfRule>
    <cfRule type="containsText" dxfId="1" priority="3" operator="containsText" text="domo">
      <formula>NOT(ISERROR(SEARCH("domo",I14)))</formula>
    </cfRule>
  </conditionalFormatting>
  <conditionalFormatting sqref="J14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2022-07-21T10:39:27Z</dcterms:modified>
</cp:coreProperties>
</file>