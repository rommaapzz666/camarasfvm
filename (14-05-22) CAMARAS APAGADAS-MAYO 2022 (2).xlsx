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YO\"/>
    </mc:Choice>
  </mc:AlternateContent>
  <xr:revisionPtr revIDLastSave="0" documentId="13_ncr:1_{6AC85B38-8EC6-4A8B-95E9-2B94D37F25E2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BARRAS" sheetId="18" r:id="rId9"/>
    <sheet name="PORCENTAJE" sheetId="15" r:id="rId10"/>
    <sheet name="GRAFICO2" sheetId="16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ANTENA'!$A$3:$AJ$369</definedName>
    <definedName name="_xlnm._FilterDatabase" localSheetId="5" hidden="1">'APAGADOS FIBRA'!$A$3:$AJ$369</definedName>
    <definedName name="_xlnm._FilterDatabase" localSheetId="7" hidden="1">'APAGADOS RADIO'!$A$3:$AJ$369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14" l="1"/>
  <c r="D13" i="14"/>
  <c r="D12" i="14"/>
  <c r="C14" i="14"/>
  <c r="C13" i="14"/>
  <c r="C12" i="14"/>
  <c r="B14" i="14"/>
  <c r="B13" i="14"/>
  <c r="E13" i="14" s="1"/>
  <c r="G13" i="14" s="1"/>
  <c r="B12" i="14"/>
  <c r="E14" i="14"/>
  <c r="G14" i="14" s="1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O2" i="2"/>
  <c r="B11" i="14"/>
  <c r="E11" i="14" s="1"/>
  <c r="G11" i="14" s="1"/>
  <c r="D11" i="14"/>
  <c r="C11" i="14"/>
  <c r="C8" i="14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1" i="8"/>
  <c r="E12" i="14" l="1"/>
  <c r="G12" i="14" s="1"/>
  <c r="M377" i="2"/>
  <c r="L377" i="2"/>
  <c r="M376" i="2"/>
  <c r="L376" i="2"/>
  <c r="M375" i="2"/>
  <c r="L375" i="2"/>
  <c r="M374" i="2"/>
  <c r="L374" i="2"/>
  <c r="M373" i="2"/>
  <c r="L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N308" i="2" s="1"/>
  <c r="M309" i="2"/>
  <c r="M310" i="2"/>
  <c r="M311" i="2"/>
  <c r="M312" i="2"/>
  <c r="M313" i="2"/>
  <c r="M314" i="2"/>
  <c r="M315" i="2"/>
  <c r="M316" i="2"/>
  <c r="N316" i="2" s="1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N332" i="2" s="1"/>
  <c r="M333" i="2"/>
  <c r="M334" i="2"/>
  <c r="M335" i="2"/>
  <c r="M336" i="2"/>
  <c r="M337" i="2"/>
  <c r="M338" i="2"/>
  <c r="M339" i="2"/>
  <c r="M340" i="2"/>
  <c r="N340" i="2" s="1"/>
  <c r="M341" i="2"/>
  <c r="M342" i="2"/>
  <c r="M343" i="2"/>
  <c r="M344" i="2"/>
  <c r="M345" i="2"/>
  <c r="M346" i="2"/>
  <c r="M347" i="2"/>
  <c r="M348" i="2"/>
  <c r="N348" i="2" s="1"/>
  <c r="M349" i="2"/>
  <c r="M350" i="2"/>
  <c r="M351" i="2"/>
  <c r="M352" i="2"/>
  <c r="M353" i="2"/>
  <c r="M354" i="2"/>
  <c r="M355" i="2"/>
  <c r="M356" i="2"/>
  <c r="N356" i="2" s="1"/>
  <c r="M357" i="2"/>
  <c r="M358" i="2"/>
  <c r="M359" i="2"/>
  <c r="M360" i="2"/>
  <c r="M361" i="2"/>
  <c r="M362" i="2"/>
  <c r="M363" i="2"/>
  <c r="M364" i="2"/>
  <c r="N364" i="2" s="1"/>
  <c r="M365" i="2"/>
  <c r="M366" i="2"/>
  <c r="M367" i="2"/>
  <c r="M368" i="2"/>
  <c r="M369" i="2"/>
  <c r="M370" i="2"/>
  <c r="M371" i="2"/>
  <c r="M372" i="2"/>
  <c r="N372" i="2" s="1"/>
  <c r="L247" i="2"/>
  <c r="L248" i="2"/>
  <c r="N248" i="2" s="1"/>
  <c r="L249" i="2"/>
  <c r="N249" i="2" s="1"/>
  <c r="L250" i="2"/>
  <c r="N250" i="2" s="1"/>
  <c r="L251" i="2"/>
  <c r="L252" i="2"/>
  <c r="L253" i="2"/>
  <c r="L254" i="2"/>
  <c r="L255" i="2"/>
  <c r="L256" i="2"/>
  <c r="N256" i="2" s="1"/>
  <c r="L257" i="2"/>
  <c r="N257" i="2" s="1"/>
  <c r="L258" i="2"/>
  <c r="N258" i="2" s="1"/>
  <c r="L259" i="2"/>
  <c r="N259" i="2" s="1"/>
  <c r="L260" i="2"/>
  <c r="L261" i="2"/>
  <c r="L262" i="2"/>
  <c r="L263" i="2"/>
  <c r="L264" i="2"/>
  <c r="L265" i="2"/>
  <c r="N265" i="2" s="1"/>
  <c r="L266" i="2"/>
  <c r="L267" i="2"/>
  <c r="N267" i="2" s="1"/>
  <c r="L268" i="2"/>
  <c r="L269" i="2"/>
  <c r="L270" i="2"/>
  <c r="L271" i="2"/>
  <c r="L272" i="2"/>
  <c r="L273" i="2"/>
  <c r="L274" i="2"/>
  <c r="N274" i="2" s="1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N290" i="2" s="1"/>
  <c r="L291" i="2"/>
  <c r="L292" i="2"/>
  <c r="L293" i="2"/>
  <c r="L294" i="2"/>
  <c r="L295" i="2"/>
  <c r="L296" i="2"/>
  <c r="L297" i="2"/>
  <c r="L298" i="2"/>
  <c r="N298" i="2" s="1"/>
  <c r="L299" i="2"/>
  <c r="N299" i="2" s="1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N314" i="2" s="1"/>
  <c r="L315" i="2"/>
  <c r="N315" i="2" s="1"/>
  <c r="L316" i="2"/>
  <c r="L317" i="2"/>
  <c r="L318" i="2"/>
  <c r="L319" i="2"/>
  <c r="L320" i="2"/>
  <c r="L321" i="2"/>
  <c r="L322" i="2"/>
  <c r="N322" i="2" s="1"/>
  <c r="L323" i="2"/>
  <c r="L324" i="2"/>
  <c r="L325" i="2"/>
  <c r="L326" i="2"/>
  <c r="L327" i="2"/>
  <c r="L328" i="2"/>
  <c r="L329" i="2"/>
  <c r="L330" i="2"/>
  <c r="N330" i="2" s="1"/>
  <c r="L331" i="2"/>
  <c r="N331" i="2" s="1"/>
  <c r="L332" i="2"/>
  <c r="L333" i="2"/>
  <c r="L334" i="2"/>
  <c r="L335" i="2"/>
  <c r="L336" i="2"/>
  <c r="L337" i="2"/>
  <c r="L338" i="2"/>
  <c r="N338" i="2" s="1"/>
  <c r="L339" i="2"/>
  <c r="N339" i="2" s="1"/>
  <c r="L340" i="2"/>
  <c r="L341" i="2"/>
  <c r="L342" i="2"/>
  <c r="L343" i="2"/>
  <c r="L344" i="2"/>
  <c r="L345" i="2"/>
  <c r="L346" i="2"/>
  <c r="N346" i="2" s="1"/>
  <c r="L347" i="2"/>
  <c r="L348" i="2"/>
  <c r="L349" i="2"/>
  <c r="L350" i="2"/>
  <c r="L351" i="2"/>
  <c r="L352" i="2"/>
  <c r="L353" i="2"/>
  <c r="N353" i="2" s="1"/>
  <c r="L354" i="2"/>
  <c r="N354" i="2" s="1"/>
  <c r="L355" i="2"/>
  <c r="L356" i="2"/>
  <c r="L357" i="2"/>
  <c r="L358" i="2"/>
  <c r="L359" i="2"/>
  <c r="L360" i="2"/>
  <c r="L361" i="2"/>
  <c r="N361" i="2" s="1"/>
  <c r="L362" i="2"/>
  <c r="N362" i="2" s="1"/>
  <c r="L363" i="2"/>
  <c r="L364" i="2"/>
  <c r="L365" i="2"/>
  <c r="L366" i="2"/>
  <c r="L367" i="2"/>
  <c r="L368" i="2"/>
  <c r="L369" i="2"/>
  <c r="N369" i="2" s="1"/>
  <c r="L370" i="2"/>
  <c r="N370" i="2" s="1"/>
  <c r="L371" i="2"/>
  <c r="N371" i="2" s="1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J90" i="10"/>
  <c r="AJ82" i="10"/>
  <c r="AJ78" i="10"/>
  <c r="AJ74" i="10"/>
  <c r="AJ70" i="10"/>
  <c r="AJ66" i="10"/>
  <c r="AJ62" i="10"/>
  <c r="AJ35" i="10"/>
  <c r="AJ32" i="10"/>
  <c r="AJ27" i="10"/>
  <c r="AJ18" i="10"/>
  <c r="AJ17" i="10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J12" i="10"/>
  <c r="AH11" i="8"/>
  <c r="AI11" i="8"/>
  <c r="AI13" i="10" s="1"/>
  <c r="AJ13" i="10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J20" i="10"/>
  <c r="AH19" i="8"/>
  <c r="AI19" i="8"/>
  <c r="AI21" i="10" s="1"/>
  <c r="AJ21" i="10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J34" i="10"/>
  <c r="AH33" i="8"/>
  <c r="AH35" i="10" s="1"/>
  <c r="AI33" i="8"/>
  <c r="AH34" i="8"/>
  <c r="AI34" i="8"/>
  <c r="AH35" i="8"/>
  <c r="AH37" i="10" s="1"/>
  <c r="AI35" i="8"/>
  <c r="AI37" i="10" s="1"/>
  <c r="AJ37" i="10"/>
  <c r="AH36" i="8"/>
  <c r="AH38" i="10" s="1"/>
  <c r="AI36" i="8"/>
  <c r="AH37" i="8"/>
  <c r="AI37" i="8"/>
  <c r="AH38" i="8"/>
  <c r="AH40" i="10" s="1"/>
  <c r="AI38" i="8"/>
  <c r="AI40" i="10" s="1"/>
  <c r="AJ40" i="10"/>
  <c r="AH39" i="8"/>
  <c r="AH41" i="10" s="1"/>
  <c r="AI39" i="8"/>
  <c r="AH40" i="8"/>
  <c r="AI40" i="8"/>
  <c r="AI42" i="10" s="1"/>
  <c r="AJ42" i="10"/>
  <c r="AH41" i="8"/>
  <c r="AH43" i="10" s="1"/>
  <c r="AI41" i="8"/>
  <c r="AI43" i="10" s="1"/>
  <c r="AH42" i="8"/>
  <c r="AI42" i="8"/>
  <c r="AI44" i="10" s="1"/>
  <c r="AJ44" i="10"/>
  <c r="AH43" i="8"/>
  <c r="AI43" i="8"/>
  <c r="AI45" i="10" s="1"/>
  <c r="AJ45" i="10"/>
  <c r="AH44" i="8"/>
  <c r="AH46" i="10" s="1"/>
  <c r="AI44" i="8"/>
  <c r="AH45" i="8"/>
  <c r="AI45" i="8"/>
  <c r="AH46" i="8"/>
  <c r="AI46" i="8"/>
  <c r="AI48" i="10" s="1"/>
  <c r="AJ48" i="10"/>
  <c r="AH47" i="8"/>
  <c r="AH49" i="10" s="1"/>
  <c r="AI47" i="8"/>
  <c r="AH48" i="8"/>
  <c r="AI48" i="8"/>
  <c r="AI50" i="10" s="1"/>
  <c r="AJ50" i="10"/>
  <c r="AH49" i="8"/>
  <c r="AH51" i="10" s="1"/>
  <c r="AI49" i="8"/>
  <c r="AH50" i="8"/>
  <c r="AI50" i="8"/>
  <c r="AH51" i="8"/>
  <c r="AI51" i="8"/>
  <c r="AI53" i="10" s="1"/>
  <c r="AJ53" i="10"/>
  <c r="AH52" i="8"/>
  <c r="AI52" i="8"/>
  <c r="AI54" i="10" s="1"/>
  <c r="AH53" i="8"/>
  <c r="AI53" i="8"/>
  <c r="AI55" i="10" s="1"/>
  <c r="AJ55" i="10"/>
  <c r="AH54" i="8"/>
  <c r="AI54" i="8"/>
  <c r="AH55" i="8"/>
  <c r="AI55" i="8"/>
  <c r="AH56" i="8"/>
  <c r="AI56" i="8"/>
  <c r="AI58" i="10" s="1"/>
  <c r="AH57" i="8"/>
  <c r="AH59" i="10" s="1"/>
  <c r="AI57" i="8"/>
  <c r="AI59" i="10" s="1"/>
  <c r="AJ59" i="10"/>
  <c r="AH58" i="8"/>
  <c r="AI58" i="8"/>
  <c r="AJ60" i="10"/>
  <c r="AH59" i="8"/>
  <c r="AH61" i="21" s="1"/>
  <c r="AI59" i="8"/>
  <c r="AI61" i="10" s="1"/>
  <c r="AH60" i="8"/>
  <c r="AH62" i="10" s="1"/>
  <c r="AI60" i="8"/>
  <c r="AH61" i="8"/>
  <c r="AI61" i="8"/>
  <c r="AI63" i="11" s="1"/>
  <c r="AJ63" i="10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J67" i="10"/>
  <c r="AH66" i="8"/>
  <c r="AH68" i="10" s="1"/>
  <c r="AI66" i="8"/>
  <c r="AJ68" i="10"/>
  <c r="AH67" i="8"/>
  <c r="AI67" i="8"/>
  <c r="AI69" i="10" s="1"/>
  <c r="AH68" i="8"/>
  <c r="AH70" i="10" s="1"/>
  <c r="AI68" i="8"/>
  <c r="AH69" i="8"/>
  <c r="AI69" i="8"/>
  <c r="AI71" i="10" s="1"/>
  <c r="AJ71" i="10"/>
  <c r="AH70" i="8"/>
  <c r="AI70" i="8"/>
  <c r="AI72" i="10" s="1"/>
  <c r="AH71" i="8"/>
  <c r="AI71" i="8"/>
  <c r="AH72" i="8"/>
  <c r="AI72" i="8"/>
  <c r="AH73" i="8"/>
  <c r="AH75" i="10" s="1"/>
  <c r="AI73" i="8"/>
  <c r="AI75" i="10" s="1"/>
  <c r="AJ75" i="10"/>
  <c r="AH74" i="8"/>
  <c r="AI74" i="8"/>
  <c r="AJ76" i="10"/>
  <c r="AH75" i="8"/>
  <c r="AI75" i="8"/>
  <c r="AI77" i="10" s="1"/>
  <c r="AH76" i="8"/>
  <c r="AH78" i="10" s="1"/>
  <c r="AI76" i="8"/>
  <c r="AH77" i="8"/>
  <c r="AI77" i="8"/>
  <c r="AJ79" i="10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J87" i="10"/>
  <c r="AH86" i="8"/>
  <c r="AI86" i="8"/>
  <c r="AI88" i="10" s="1"/>
  <c r="AH87" i="8"/>
  <c r="AI87" i="8"/>
  <c r="AH88" i="8"/>
  <c r="AH90" i="10" s="1"/>
  <c r="AI88" i="8"/>
  <c r="AH89" i="8"/>
  <c r="AI89" i="8"/>
  <c r="AI91" i="10" s="1"/>
  <c r="AJ91" i="10"/>
  <c r="AH90" i="8"/>
  <c r="AI90" i="8"/>
  <c r="AJ92" i="10"/>
  <c r="AH91" i="8"/>
  <c r="AH93" i="21" s="1"/>
  <c r="AI91" i="8"/>
  <c r="AH92" i="8"/>
  <c r="AI92" i="8"/>
  <c r="AI94" i="10" s="1"/>
  <c r="AJ94" i="10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J98" i="10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J106" i="10"/>
  <c r="AH105" i="8"/>
  <c r="AI105" i="8"/>
  <c r="AI107" i="10" s="1"/>
  <c r="AH106" i="8"/>
  <c r="AI106" i="8"/>
  <c r="AJ108" i="10"/>
  <c r="AH107" i="8"/>
  <c r="AI107" i="8"/>
  <c r="AH108" i="8"/>
  <c r="AI108" i="8"/>
  <c r="AH109" i="8"/>
  <c r="AI109" i="8"/>
  <c r="AH110" i="8"/>
  <c r="AI110" i="8"/>
  <c r="AH111" i="8"/>
  <c r="AI111" i="8"/>
  <c r="AH112" i="8"/>
  <c r="AH114" i="10" s="1"/>
  <c r="AI112" i="8"/>
  <c r="AI114" i="10" s="1"/>
  <c r="AH113" i="8"/>
  <c r="AI113" i="8"/>
  <c r="AI115" i="10" s="1"/>
  <c r="AJ115" i="10"/>
  <c r="AH114" i="8"/>
  <c r="AI114" i="8"/>
  <c r="AH115" i="8"/>
  <c r="AH117" i="10" s="1"/>
  <c r="AI115" i="8"/>
  <c r="AI117" i="10" s="1"/>
  <c r="AJ117" i="10"/>
  <c r="AH116" i="8"/>
  <c r="AI116" i="8"/>
  <c r="AH117" i="8"/>
  <c r="AI117" i="8"/>
  <c r="AH118" i="8"/>
  <c r="AI118" i="8"/>
  <c r="AI120" i="10" s="1"/>
  <c r="AJ120" i="10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H128" i="21" s="1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J136" i="10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J146" i="10"/>
  <c r="AH145" i="8"/>
  <c r="AI145" i="8"/>
  <c r="AH146" i="8"/>
  <c r="AH148" i="10" s="1"/>
  <c r="AI146" i="8"/>
  <c r="AJ148" i="10"/>
  <c r="AH147" i="8"/>
  <c r="AI147" i="8"/>
  <c r="AI149" i="10" s="1"/>
  <c r="AJ149" i="10"/>
  <c r="AH148" i="8"/>
  <c r="AI148" i="8"/>
  <c r="AH149" i="8"/>
  <c r="AI149" i="8"/>
  <c r="AI151" i="10" s="1"/>
  <c r="AJ151" i="10"/>
  <c r="AH150" i="8"/>
  <c r="AI150" i="8"/>
  <c r="AH151" i="8"/>
  <c r="AI151" i="8"/>
  <c r="AI153" i="10" s="1"/>
  <c r="AH152" i="8"/>
  <c r="AH154" i="10" s="1"/>
  <c r="AI152" i="8"/>
  <c r="AI154" i="10" s="1"/>
  <c r="AJ154" i="10"/>
  <c r="AH153" i="8"/>
  <c r="AI153" i="8"/>
  <c r="AH154" i="8"/>
  <c r="AI154" i="8"/>
  <c r="AH155" i="8"/>
  <c r="AH157" i="21" s="1"/>
  <c r="AI155" i="8"/>
  <c r="AI157" i="10" s="1"/>
  <c r="AJ157" i="10"/>
  <c r="AH156" i="8"/>
  <c r="AI156" i="8"/>
  <c r="AH157" i="8"/>
  <c r="AI157" i="8"/>
  <c r="AI159" i="11" s="1"/>
  <c r="AJ159" i="10"/>
  <c r="AH158" i="8"/>
  <c r="AH160" i="21" s="1"/>
  <c r="AI158" i="8"/>
  <c r="AH159" i="8"/>
  <c r="AI159" i="8"/>
  <c r="AI161" i="10" s="1"/>
  <c r="AH160" i="8"/>
  <c r="AI160" i="8"/>
  <c r="AJ162" i="10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J172" i="10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H191" i="10" s="1"/>
  <c r="AI189" i="8"/>
  <c r="AI191" i="21" s="1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J200" i="10"/>
  <c r="AH199" i="8"/>
  <c r="AI199" i="8"/>
  <c r="AH200" i="8"/>
  <c r="AI200" i="8"/>
  <c r="AH201" i="8"/>
  <c r="AI201" i="8"/>
  <c r="AH202" i="8"/>
  <c r="AI202" i="8"/>
  <c r="AJ204" i="10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J210" i="10"/>
  <c r="AH209" i="8"/>
  <c r="AI209" i="8"/>
  <c r="AH210" i="8"/>
  <c r="AI210" i="8"/>
  <c r="AJ212" i="21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J224" i="21"/>
  <c r="AH223" i="8"/>
  <c r="AH225" i="10" s="1"/>
  <c r="AI223" i="8"/>
  <c r="AH224" i="8"/>
  <c r="AI224" i="8"/>
  <c r="AH225" i="8"/>
  <c r="AI225" i="8"/>
  <c r="AH226" i="8"/>
  <c r="AI226" i="8"/>
  <c r="AJ228" i="21"/>
  <c r="AH227" i="8"/>
  <c r="AI227" i="8"/>
  <c r="AH228" i="8"/>
  <c r="AI228" i="8"/>
  <c r="AH229" i="8"/>
  <c r="AH231" i="10" s="1"/>
  <c r="AI229" i="8"/>
  <c r="AJ231" i="10"/>
  <c r="AH230" i="8"/>
  <c r="AI230" i="8"/>
  <c r="AJ232" i="11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J242" i="10"/>
  <c r="AH241" i="8"/>
  <c r="AI241" i="8"/>
  <c r="AH242" i="8"/>
  <c r="AI242" i="8"/>
  <c r="AH243" i="8"/>
  <c r="AI243" i="8"/>
  <c r="AH244" i="8"/>
  <c r="AI244" i="8"/>
  <c r="AH245" i="8"/>
  <c r="AI245" i="8"/>
  <c r="AH246" i="8"/>
  <c r="AH248" i="11" s="1"/>
  <c r="AI246" i="8"/>
  <c r="AJ248" i="11"/>
  <c r="AH247" i="8"/>
  <c r="AI247" i="8"/>
  <c r="AH248" i="8"/>
  <c r="AI248" i="8"/>
  <c r="AI250" i="10" s="1"/>
  <c r="AH249" i="8"/>
  <c r="AH251" i="21" s="1"/>
  <c r="AI249" i="8"/>
  <c r="AH250" i="8"/>
  <c r="AH252" i="10" s="1"/>
  <c r="AI250" i="8"/>
  <c r="AJ252" i="21"/>
  <c r="AH251" i="8"/>
  <c r="AI251" i="8"/>
  <c r="AH252" i="8"/>
  <c r="AI252" i="8"/>
  <c r="AH253" i="8"/>
  <c r="AI253" i="8"/>
  <c r="AH254" i="8"/>
  <c r="AH256" i="21" s="1"/>
  <c r="AI254" i="8"/>
  <c r="AJ256" i="11"/>
  <c r="AH255" i="8"/>
  <c r="AI255" i="8"/>
  <c r="AH256" i="8"/>
  <c r="AI256" i="8"/>
  <c r="AH257" i="8"/>
  <c r="AI257" i="8"/>
  <c r="AH258" i="8"/>
  <c r="AI258" i="8"/>
  <c r="AJ260" i="11"/>
  <c r="AH259" i="8"/>
  <c r="AI259" i="8"/>
  <c r="AH260" i="8"/>
  <c r="AI260" i="8"/>
  <c r="AH261" i="8"/>
  <c r="AH263" i="11" s="1"/>
  <c r="AI261" i="8"/>
  <c r="AH262" i="8"/>
  <c r="AI262" i="8"/>
  <c r="AH263" i="8"/>
  <c r="AI263" i="8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J276" i="11"/>
  <c r="AH275" i="8"/>
  <c r="AI275" i="8"/>
  <c r="AH276" i="8"/>
  <c r="AI276" i="8"/>
  <c r="AH277" i="8"/>
  <c r="AI277" i="8"/>
  <c r="AH278" i="8"/>
  <c r="AI278" i="8"/>
  <c r="AJ280" i="11"/>
  <c r="AH279" i="8"/>
  <c r="AI279" i="8"/>
  <c r="AH280" i="8"/>
  <c r="AH282" i="10" s="1"/>
  <c r="AI280" i="8"/>
  <c r="AH281" i="8"/>
  <c r="AI281" i="8"/>
  <c r="AI283" i="10" s="1"/>
  <c r="AH282" i="8"/>
  <c r="AI282" i="8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J288" i="21"/>
  <c r="AH287" i="8"/>
  <c r="AI287" i="8"/>
  <c r="AH288" i="8"/>
  <c r="AI288" i="8"/>
  <c r="AH289" i="8"/>
  <c r="AH291" i="10" s="1"/>
  <c r="AI289" i="8"/>
  <c r="AH290" i="8"/>
  <c r="AI290" i="8"/>
  <c r="AJ292" i="21"/>
  <c r="AH291" i="8"/>
  <c r="AI291" i="8"/>
  <c r="AH292" i="8"/>
  <c r="AI292" i="8"/>
  <c r="AH293" i="8"/>
  <c r="AI293" i="8"/>
  <c r="AH294" i="8"/>
  <c r="AI294" i="8"/>
  <c r="AJ296" i="11"/>
  <c r="AH295" i="8"/>
  <c r="AI295" i="8"/>
  <c r="AH296" i="8"/>
  <c r="AI296" i="8"/>
  <c r="AH297" i="8"/>
  <c r="AH299" i="11" s="1"/>
  <c r="AI297" i="8"/>
  <c r="AH298" i="8"/>
  <c r="AI298" i="8"/>
  <c r="AJ300" i="11"/>
  <c r="AH299" i="8"/>
  <c r="AI299" i="8"/>
  <c r="AH300" i="8"/>
  <c r="AH302" i="10" s="1"/>
  <c r="AI300" i="8"/>
  <c r="AH301" i="8"/>
  <c r="AI301" i="8"/>
  <c r="AH302" i="8"/>
  <c r="AI302" i="8"/>
  <c r="AI304" i="10" s="1"/>
  <c r="AH303" i="8"/>
  <c r="AH305" i="21" s="1"/>
  <c r="AI303" i="8"/>
  <c r="AH304" i="8"/>
  <c r="AI304" i="8"/>
  <c r="AH305" i="8"/>
  <c r="AI305" i="8"/>
  <c r="AH306" i="8"/>
  <c r="AI306" i="8"/>
  <c r="AJ308" i="11"/>
  <c r="AH307" i="8"/>
  <c r="AI307" i="8"/>
  <c r="AH308" i="8"/>
  <c r="AI308" i="8"/>
  <c r="AH309" i="8"/>
  <c r="AH311" i="11" s="1"/>
  <c r="AI309" i="8"/>
  <c r="AH310" i="8"/>
  <c r="AI310" i="8"/>
  <c r="AJ312" i="1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I318" i="8"/>
  <c r="AJ320" i="21"/>
  <c r="AH319" i="8"/>
  <c r="AI319" i="8"/>
  <c r="AH320" i="8"/>
  <c r="AH322" i="11" s="1"/>
  <c r="AI320" i="8"/>
  <c r="AI322" i="10" s="1"/>
  <c r="AJ322" i="11"/>
  <c r="AH321" i="8"/>
  <c r="AI321" i="8"/>
  <c r="AH322" i="8"/>
  <c r="AI322" i="8"/>
  <c r="AJ324" i="21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J340" i="11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J352" i="21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J368" i="11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Q366" i="8"/>
  <c r="Q367" i="9" s="1"/>
  <c r="R366" i="8"/>
  <c r="R367" i="9" s="1"/>
  <c r="S366" i="8"/>
  <c r="S368" i="21" s="1"/>
  <c r="T366" i="8"/>
  <c r="U366" i="8"/>
  <c r="U367" i="9" s="1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T370" i="8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M371" i="8"/>
  <c r="M372" i="9" s="1"/>
  <c r="N371" i="8"/>
  <c r="N372" i="9" s="1"/>
  <c r="O371" i="8"/>
  <c r="O372" i="9" s="1"/>
  <c r="P371" i="8"/>
  <c r="P372" i="9" s="1"/>
  <c r="Q371" i="8"/>
  <c r="R371" i="8"/>
  <c r="S371" i="8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I372" i="8"/>
  <c r="J372" i="8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Q372" i="8"/>
  <c r="Q373" i="9" s="1"/>
  <c r="R372" i="8"/>
  <c r="S372" i="8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D373" i="8"/>
  <c r="D374" i="9" s="1"/>
  <c r="E373" i="8"/>
  <c r="E374" i="9" s="1"/>
  <c r="F373" i="8"/>
  <c r="F374" i="9" s="1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P373" i="8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F375" i="9" s="1"/>
  <c r="AG374" i="8"/>
  <c r="AG375" i="9" s="1"/>
  <c r="G369" i="9"/>
  <c r="I371" i="9"/>
  <c r="S373" i="9"/>
  <c r="G367" i="9"/>
  <c r="H367" i="9"/>
  <c r="N367" i="9"/>
  <c r="O367" i="9"/>
  <c r="P367" i="9"/>
  <c r="S367" i="9"/>
  <c r="V367" i="9"/>
  <c r="W367" i="9"/>
  <c r="AF367" i="9"/>
  <c r="F368" i="9"/>
  <c r="G368" i="9"/>
  <c r="M368" i="9"/>
  <c r="N368" i="9"/>
  <c r="O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R371" i="9"/>
  <c r="S371" i="9"/>
  <c r="T371" i="9"/>
  <c r="Z371" i="9"/>
  <c r="AA371" i="9"/>
  <c r="AB371" i="9"/>
  <c r="G372" i="9"/>
  <c r="I372" i="9"/>
  <c r="J372" i="9"/>
  <c r="L372" i="9"/>
  <c r="Q372" i="9"/>
  <c r="R372" i="9"/>
  <c r="S372" i="9"/>
  <c r="Z372" i="9"/>
  <c r="AA372" i="9"/>
  <c r="AG372" i="9"/>
  <c r="H373" i="9"/>
  <c r="I373" i="9"/>
  <c r="J373" i="9"/>
  <c r="P373" i="9"/>
  <c r="R373" i="9"/>
  <c r="Y373" i="9"/>
  <c r="Z373" i="9"/>
  <c r="AD373" i="9"/>
  <c r="AG373" i="9"/>
  <c r="G374" i="9"/>
  <c r="H374" i="9"/>
  <c r="I374" i="9"/>
  <c r="O374" i="9"/>
  <c r="P374" i="9"/>
  <c r="W374" i="9"/>
  <c r="Y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AD368" i="10"/>
  <c r="AF368" i="10"/>
  <c r="AG368" i="11"/>
  <c r="AC369" i="11"/>
  <c r="AD369" i="21"/>
  <c r="AE369" i="21"/>
  <c r="AF369" i="11"/>
  <c r="O368" i="10"/>
  <c r="P368" i="21"/>
  <c r="Q368" i="10"/>
  <c r="V368" i="10"/>
  <c r="W368" i="10"/>
  <c r="Y368" i="10"/>
  <c r="O369" i="21"/>
  <c r="U369" i="11"/>
  <c r="V369" i="11"/>
  <c r="W369" i="21"/>
  <c r="X369" i="11"/>
  <c r="E368" i="11"/>
  <c r="F368" i="10"/>
  <c r="G368" i="10"/>
  <c r="H368" i="11"/>
  <c r="I368" i="11"/>
  <c r="J368" i="10"/>
  <c r="N368" i="10"/>
  <c r="E369" i="11"/>
  <c r="F369" i="11"/>
  <c r="G369" i="21"/>
  <c r="H369" i="11"/>
  <c r="L369" i="11"/>
  <c r="M369" i="11"/>
  <c r="N369" i="11"/>
  <c r="A368" i="10"/>
  <c r="B368" i="10"/>
  <c r="D369" i="11"/>
  <c r="AJ3" i="21"/>
  <c r="AH1" i="8"/>
  <c r="AH3" i="11" s="1"/>
  <c r="A30" i="14" s="1"/>
  <c r="AI1" i="8"/>
  <c r="AI3" i="11" s="1"/>
  <c r="A31" i="14" s="1"/>
  <c r="AQ3" i="2"/>
  <c r="AR3" i="2"/>
  <c r="N266" i="2" l="1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C7" i="14" s="1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C6" i="14" s="1"/>
  <c r="O2" i="10"/>
  <c r="N2" i="10"/>
  <c r="C10" i="14" s="1"/>
  <c r="M2" i="10"/>
  <c r="C9" i="14" s="1"/>
  <c r="L2" i="10"/>
  <c r="P2" i="11"/>
  <c r="AB2" i="11"/>
  <c r="V2" i="11"/>
  <c r="G2" i="11"/>
  <c r="B3" i="14" s="1"/>
  <c r="Q2" i="11"/>
  <c r="K2" i="11"/>
  <c r="B7" i="14" s="1"/>
  <c r="AA2" i="11"/>
  <c r="L2" i="11"/>
  <c r="B8" i="14" s="1"/>
  <c r="E8" i="14" s="1"/>
  <c r="G8" i="14" s="1"/>
  <c r="AC2" i="11"/>
  <c r="F2" i="11"/>
  <c r="B2" i="14" s="1"/>
  <c r="U2" i="11"/>
  <c r="AE2" i="11"/>
  <c r="AF2" i="11"/>
  <c r="X2" i="11"/>
  <c r="AD2" i="11"/>
  <c r="Y2" i="11"/>
  <c r="Z2" i="11"/>
  <c r="S2" i="11"/>
  <c r="M2" i="11"/>
  <c r="B9" i="14" s="1"/>
  <c r="H2" i="11"/>
  <c r="B4" i="14" s="1"/>
  <c r="T2" i="11"/>
  <c r="N2" i="11"/>
  <c r="B10" i="14" s="1"/>
  <c r="I2" i="11"/>
  <c r="B5" i="14" s="1"/>
  <c r="J2" i="11"/>
  <c r="B6" i="14" s="1"/>
  <c r="W2" i="1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9" i="14" l="1"/>
  <c r="G9" i="14" s="1"/>
  <c r="E10" i="14"/>
  <c r="G10" i="14" s="1"/>
  <c r="E7" i="14"/>
  <c r="G7" i="14" s="1"/>
  <c r="E6" i="14"/>
  <c r="G6" i="14" s="1"/>
  <c r="E5" i="14"/>
  <c r="G5" i="14" s="1"/>
  <c r="E3" i="14"/>
  <c r="G3" i="14" s="1"/>
  <c r="E4" i="14"/>
  <c r="G4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<sst xmlns="http://schemas.openxmlformats.org/spreadsheetml/2006/main" count="3394" uniqueCount="1350">
  <si>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</si>
  <si>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</si>
  <si>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</si>
  <si>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</si>
  <si>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</si>
  <si>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</si>
  <si>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</si>
  <si>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</si>
  <si>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</si>
  <si>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</si>
  <si>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</si>
  <si>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</si>
  <si>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</si>
  <si>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</si>
  <si>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</si>
  <si>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</si>
  <si>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</si>
  <si>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</si>
  <si>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</si>
  <si>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</si>
  <si>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</si>
  <si>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</si>
  <si>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</si>
  <si>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</si>
  <si>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</si>
  <si>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</si>
  <si>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</si>
  <si>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</si>
  <si>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</si>
  <si>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</si>
  <si>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</si>
  <si>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</si>
  <si>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</si>
  <si>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</si>
  <si>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</si>
  <si>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</si>
  <si>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</si>
  <si>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</si>
  <si>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</si>
  <si>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</si>
  <si>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</si>
  <si>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</si>
  <si>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</si>
  <si>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</si>
  <si>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</si>
  <si>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</si>
  <si>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</si>
  <si>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</si>
  <si>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</si>
  <si>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</si>
  <si>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</si>
  <si>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</si>
  <si>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</si>
  <si>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</si>
  <si>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</si>
  <si>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</si>
  <si>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</si>
  <si>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</si>
  <si>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</si>
  <si>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</si>
  <si>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</si>
  <si>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</si>
  <si>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</si>
  <si>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</si>
  <si>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</si>
  <si>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</si>
  <si>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</si>
  <si>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</si>
  <si>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</si>
  <si>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</si>
  <si>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</si>
  <si>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</si>
  <si>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</si>
  <si>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</si>
  <si>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</si>
  <si>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</si>
  <si>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</si>
  <si>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</si>
  <si>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</si>
  <si>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</si>
  <si>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</si>
  <si>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</si>
  <si>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</si>
  <si>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</si>
  <si>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</si>
  <si>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</si>
  <si>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</si>
  <si>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</si>
  <si>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</si>
  <si>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</si>
  <si>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</si>
  <si>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</si>
  <si>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</si>
  <si>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</si>
  <si>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</si>
  <si>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</si>
  <si>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</si>
  <si>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</si>
  <si>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</si>
  <si>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</si>
  <si>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</si>
  <si>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</si>
  <si>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</si>
  <si>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</si>
  <si>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</si>
  <si>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</si>
  <si>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</si>
  <si>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</si>
  <si>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</si>
  <si>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</si>
  <si>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</si>
  <si>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</si>
  <si>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</si>
  <si>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</si>
  <si>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</si>
  <si>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</si>
  <si>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</si>
  <si>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</si>
  <si>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</si>
  <si>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</si>
  <si>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</si>
  <si>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</si>
  <si>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</si>
  <si>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</si>
  <si>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</si>
  <si>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</si>
  <si>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</si>
  <si>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</si>
  <si>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</si>
  <si>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</si>
  <si>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</si>
  <si>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</si>
  <si>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</si>
  <si>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</si>
  <si>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</si>
  <si>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</si>
  <si>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</si>
  <si>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</si>
  <si>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</si>
  <si>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</si>
  <si>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</si>
  <si>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</si>
  <si>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</si>
  <si>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</si>
  <si>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</si>
  <si>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</si>
  <si>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</si>
  <si>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</si>
  <si>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</si>
  <si>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</si>
  <si>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</si>
  <si>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</si>
  <si>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</si>
  <si>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</si>
  <si>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</si>
  <si>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</si>
  <si>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</si>
  <si>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</si>
  <si>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</si>
  <si>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</si>
  <si>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</si>
  <si>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</si>
  <si>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</si>
  <si>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</si>
  <si>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</si>
  <si>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</si>
  <si>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</si>
  <si>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</si>
  <si>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</si>
  <si>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</si>
  <si>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</si>
  <si>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</si>
  <si>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</si>
  <si>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</si>
  <si>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</si>
  <si>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</si>
  <si>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</si>
  <si>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</si>
  <si>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</si>
  <si>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</si>
  <si>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</si>
  <si>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</si>
  <si>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</si>
  <si>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</si>
  <si>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</si>
  <si>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</si>
  <si>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</si>
  <si>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</si>
  <si>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</si>
  <si>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</si>
  <si>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</si>
  <si>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</si>
  <si>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</si>
  <si>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</si>
  <si>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</si>
  <si>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</si>
  <si>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</si>
  <si>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</si>
  <si>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</si>
  <si>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</si>
  <si>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</si>
  <si>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</si>
  <si>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</si>
  <si>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</si>
  <si>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</si>
  <si>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</si>
  <si>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</si>
  <si>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</si>
  <si>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</si>
  <si>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</si>
  <si>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</si>
  <si>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</si>
  <si>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</si>
  <si>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</si>
  <si>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</si>
  <si>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</si>
  <si>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</si>
  <si>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</si>
  <si>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</si>
  <si>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</si>
  <si>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</si>
  <si>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</si>
  <si>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</si>
  <si>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</si>
  <si>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</si>
  <si>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</si>
  <si>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</si>
  <si>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</si>
  <si>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</si>
  <si>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</si>
  <si>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</si>
  <si>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</si>
  <si>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</si>
  <si>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</si>
  <si>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</si>
  <si>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</si>
  <si>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</si>
  <si>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</si>
  <si>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</si>
  <si>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</si>
  <si>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</si>
  <si>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</si>
  <si>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</si>
  <si>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</si>
  <si>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</si>
  <si>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</si>
  <si>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</si>
  <si>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</si>
  <si>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</si>
  <si>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</si>
  <si>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</si>
  <si>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</si>
  <si>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</si>
  <si>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</si>
  <si>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</si>
  <si>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</si>
  <si>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</si>
  <si>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</si>
  <si>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</si>
  <si>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</si>
  <si>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</si>
  <si>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</si>
  <si>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</si>
  <si>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</si>
  <si>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</si>
  <si>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</si>
  <si>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</si>
  <si>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</si>
  <si>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</si>
  <si>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</si>
  <si>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</si>
  <si>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</si>
  <si>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</si>
  <si>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</si>
  <si>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</si>
  <si>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</si>
  <si>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</si>
  <si>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</si>
  <si>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</si>
  <si>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</si>
  <si>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</si>
  <si>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</si>
  <si>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</si>
  <si>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</si>
  <si>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</si>
  <si>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</si>
  <si>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</si>
  <si>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</si>
  <si>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</si>
  <si>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</si>
  <si>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</si>
  <si>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</si>
  <si>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</si>
  <si>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</si>
  <si>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</si>
  <si>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</si>
  <si>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</si>
  <si>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</si>
  <si>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</si>
  <si>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</si>
  <si>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</si>
  <si>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</si>
  <si>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</si>
  <si>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</si>
  <si>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</si>
  <si>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</si>
  <si>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</si>
  <si>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</si>
  <si>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</si>
  <si>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</si>
  <si>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</si>
  <si>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</si>
  <si>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</si>
  <si>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</si>
  <si>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</si>
  <si>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</si>
  <si>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</si>
  <si>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</si>
  <si>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</si>
  <si>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</si>
  <si>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</si>
  <si>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</si>
  <si>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</si>
  <si>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</si>
  <si>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</si>
  <si>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</si>
  <si>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</si>
  <si>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</si>
  <si>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</si>
  <si>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</si>
  <si>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</si>
  <si>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</si>
  <si>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</si>
  <si>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</si>
  <si>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</si>
  <si>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</si>
  <si>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</si>
  <si>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</si>
  <si>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</si>
  <si>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</si>
  <si>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</si>
  <si>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</si>
  <si>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</si>
  <si>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</si>
  <si>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</si>
  <si>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</si>
  <si>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</si>
  <si>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</si>
  <si>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</si>
  <si>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</si>
  <si>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</si>
  <si>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</si>
  <si>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</si>
  <si>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</si>
  <si>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</si>
  <si>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</si>
  <si>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</si>
  <si>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</si>
  <si>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</si>
  <si>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</si>
  <si>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</si>
  <si>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</si>
  <si>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</si>
  <si>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</si>
  <si>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</si>
  <si>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</si>
  <si>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</si>
  <si>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</si>
  <si>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</si>
  <si>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</si>
  <si>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</si>
  <si>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</si>
  <si>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</si>
  <si>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</si>
  <si>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</si>
  <si>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</si>
  <si>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</si>
  <si>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</si>
  <si>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</si>
  <si>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</si>
  <si>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</si>
  <si>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</si>
  <si>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</si>
  <si>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</si>
  <si>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</si>
  <si>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</si>
  <si>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</si>
  <si>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</si>
  <si>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</si>
  <si>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</si>
  <si>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</si>
  <si>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</si>
  <si>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</si>
  <si>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</si>
  <si>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</si>
  <si>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</si>
  <si>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</si>
  <si>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</si>
  <si>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</si>
  <si>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</si>
  <si>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</si>
  <si>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</si>
  <si>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</si>
  <si>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</si>
  <si>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</si>
  <si>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</si>
  <si>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</si>
  <si>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</si>
  <si>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</si>
  <si>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</si>
  <si>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</si>
  <si>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</si>
  <si>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</si>
  <si>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</si>
  <si>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</si>
  <si>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</si>
  <si>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</si>
  <si>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</si>
  <si>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</si>
  <si>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</si>
  <si>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</si>
  <si>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</si>
  <si>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</si>
  <si>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</si>
  <si>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</si>
  <si>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</si>
  <si>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</si>
  <si>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</si>
  <si>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</si>
  <si>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</si>
  <si>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</si>
  <si>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</si>
  <si>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</si>
  <si>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</si>
  <si>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</si>
  <si>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</si>
  <si>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</si>
  <si>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</si>
  <si>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</si>
  <si>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</si>
  <si>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</si>
  <si>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</si>
  <si>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</si>
  <si>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</si>
  <si>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</si>
  <si>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</si>
  <si>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</si>
  <si>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</si>
  <si>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</si>
  <si>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</si>
  <si>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</si>
  <si>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</si>
  <si>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</si>
  <si>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</si>
  <si>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</si>
  <si>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</si>
  <si>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</si>
  <si>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</si>
  <si>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</si>
  <si>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</si>
  <si>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</si>
  <si>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</si>
  <si>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</si>
  <si>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</si>
  <si>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</si>
  <si>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</si>
  <si>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</si>
  <si>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</si>
  <si>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</si>
  <si>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</si>
  <si>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</si>
  <si>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</si>
  <si>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</si>
  <si>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</si>
  <si>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</si>
  <si>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</si>
  <si>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</si>
  <si>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</si>
  <si>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</si>
  <si>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</si>
  <si>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</si>
  <si>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</si>
  <si>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</si>
  <si>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</si>
  <si>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</si>
  <si>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</si>
  <si>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</si>
  <si>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</si>
  <si>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</si>
  <si>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</si>
  <si>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</si>
  <si>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</si>
  <si>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</si>
  <si>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</si>
  <si>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</si>
  <si>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</si>
  <si>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</si>
  <si>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</si>
  <si>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</si>
  <si>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</si>
  <si>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</si>
  <si>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</si>
  <si>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</si>
  <si>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</si>
  <si>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</si>
  <si>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</si>
  <si>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</si>
  <si>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</si>
  <si>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</si>
  <si>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</si>
  <si>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</si>
  <si>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</si>
  <si>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</si>
  <si>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</si>
  <si>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</si>
  <si>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</si>
  <si>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</si>
  <si>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</si>
  <si>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</si>
  <si>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</si>
  <si>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</si>
  <si>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</si>
  <si>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</si>
  <si>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</si>
  <si>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</si>
  <si>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</si>
  <si>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</si>
  <si>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</si>
  <si>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</si>
  <si>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</si>
  <si>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</si>
  <si>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</si>
  <si>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</si>
  <si>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</si>
  <si>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</si>
  <si>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</si>
  <si>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</si>
  <si>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</si>
  <si>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</si>
  <si>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</si>
  <si>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</si>
  <si>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</si>
  <si>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</si>
  <si>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</si>
  <si>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</si>
  <si>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</si>
  <si>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</si>
  <si>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</si>
  <si>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</si>
  <si>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</si>
  <si>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</si>
  <si>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</si>
  <si>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</si>
  <si>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</si>
  <si>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</si>
  <si>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</si>
  <si>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</si>
  <si>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</si>
  <si>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</si>
  <si>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</si>
  <si>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</si>
  <si>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</si>
  <si>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</si>
  <si>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</si>
  <si>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</si>
  <si>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</si>
  <si>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</si>
  <si>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</si>
  <si>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</si>
  <si>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</si>
  <si>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</si>
  <si>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</si>
  <si>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</si>
  <si>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</si>
  <si>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</si>
  <si>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</si>
  <si>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</si>
  <si>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</si>
  <si>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</si>
  <si>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</si>
  <si>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</si>
  <si>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</si>
  <si>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</si>
  <si>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</si>
  <si>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</si>
  <si>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</si>
  <si>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</si>
  <si>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</si>
  <si>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</si>
  <si>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</si>
  <si>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</si>
  <si>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</si>
  <si>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</si>
  <si>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</si>
  <si>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</si>
  <si>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</si>
  <si>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</si>
  <si>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</si>
  <si>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</si>
  <si>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</si>
  <si>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</si>
  <si>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</si>
  <si>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</si>
  <si>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</si>
  <si>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</si>
  <si>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</si>
  <si>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</si>
  <si>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</si>
  <si>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</si>
  <si>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</si>
  <si>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</si>
  <si>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</si>
  <si>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</si>
  <si>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</si>
  <si>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</si>
  <si>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</si>
  <si>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</si>
  <si>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</si>
  <si>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</si>
  <si>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</si>
  <si>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</si>
  <si>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</si>
  <si>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</si>
  <si>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</si>
  <si>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</si>
  <si>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</si>
  <si>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</si>
  <si>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</si>
  <si>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</si>
  <si>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</si>
  <si>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</si>
  <si>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</si>
  <si>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</si>
  <si>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</si>
  <si>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</si>
  <si>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</si>
  <si>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</si>
  <si>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</si>
  <si>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</si>
  <si>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</si>
  <si>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</si>
  <si>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</si>
  <si>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</si>
  <si>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</si>
  <si>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</si>
  <si>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</si>
  <si>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</si>
  <si>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</si>
  <si>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</si>
  <si>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</si>
  <si>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</si>
  <si>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</si>
  <si>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</si>
  <si>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</si>
  <si>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</si>
  <si>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</si>
  <si>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</si>
  <si>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</si>
  <si>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</si>
  <si>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</si>
  <si>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</si>
  <si>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</si>
  <si>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</si>
  <si>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</si>
  <si>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</si>
  <si>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</si>
  <si>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</si>
  <si>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</si>
  <si>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</si>
  <si>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</si>
  <si>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</si>
  <si>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</si>
  <si>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</si>
  <si>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</si>
  <si>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</si>
  <si>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</si>
  <si>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</si>
  <si>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</si>
  <si>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</si>
  <si>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</si>
  <si>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</si>
  <si>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</si>
  <si>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</si>
  <si>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</si>
  <si>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</si>
  <si>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</si>
  <si>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</si>
  <si>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</si>
  <si>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</si>
  <si>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</si>
  <si>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</si>
  <si>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</si>
  <si>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</si>
  <si>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</si>
  <si>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</si>
  <si>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</si>
  <si>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</si>
  <si>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</si>
  <si>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</si>
  <si>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</si>
  <si>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</si>
  <si>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</si>
  <si>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</si>
  <si>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</si>
  <si>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</si>
  <si>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</si>
  <si>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</si>
  <si>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</si>
  <si>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</si>
  <si>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</si>
  <si>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</si>
  <si>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</si>
  <si>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</si>
  <si>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</si>
  <si>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</si>
  <si>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</si>
  <si>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</si>
  <si>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</si>
  <si>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</si>
  <si>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</si>
  <si>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</si>
  <si>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</si>
  <si>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</si>
  <si>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</si>
  <si>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</si>
  <si>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</si>
  <si>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</si>
  <si>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</si>
  <si>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</si>
  <si>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</si>
  <si>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</si>
  <si>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</si>
  <si>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</si>
  <si>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</si>
  <si>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</si>
  <si>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</si>
  <si>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</si>
  <si>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</si>
  <si>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</si>
  <si>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</si>
  <si>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</si>
  <si>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</si>
  <si>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</si>
  <si>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</si>
  <si>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</si>
  <si>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</si>
  <si>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</si>
  <si>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</si>
  <si>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</si>
  <si>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</si>
  <si>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</si>
  <si>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</si>
  <si>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</si>
  <si>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</si>
  <si>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</si>
  <si>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</si>
  <si>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</si>
  <si>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</si>
  <si>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</si>
  <si>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</si>
  <si>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</si>
  <si>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</si>
  <si>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</si>
  <si>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</si>
  <si>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</si>
  <si>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</si>
  <si>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</si>
  <si>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</si>
  <si>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</si>
  <si>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</si>
  <si>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</si>
  <si>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</si>
  <si>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</si>
  <si>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</si>
  <si>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</si>
  <si>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</si>
  <si>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</si>
  <si>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</si>
  <si>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</si>
  <si>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</si>
  <si>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</si>
  <si>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</si>
  <si>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</si>
  <si>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</si>
  <si>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</si>
  <si>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</si>
  <si>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</si>
  <si>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</si>
  <si>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</si>
  <si>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</si>
  <si>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</si>
  <si>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</si>
  <si>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</si>
  <si>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</si>
  <si>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</si>
  <si>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</si>
  <si>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</si>
  <si>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</si>
  <si>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</si>
  <si>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</si>
  <si>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</si>
  <si>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</si>
  <si>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</si>
  <si>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</si>
  <si>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</si>
  <si>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</si>
  <si>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</si>
  <si>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</si>
  <si>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</si>
  <si>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</si>
  <si>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</si>
  <si>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</si>
  <si>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</si>
  <si>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</si>
  <si>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</si>
  <si>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</si>
  <si>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</si>
  <si>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</si>
  <si>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</si>
  <si>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</si>
  <si>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</si>
  <si>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</si>
  <si>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</si>
  <si>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</si>
  <si>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</si>
  <si>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</si>
  <si>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</si>
  <si>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</si>
  <si>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</si>
  <si>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</si>
  <si>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</si>
  <si>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</si>
  <si>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</si>
  <si>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</si>
  <si>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</si>
  <si>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</si>
  <si>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</si>
  <si>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</si>
  <si>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</si>
  <si>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</si>
  <si>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</si>
  <si>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</si>
  <si>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</si>
  <si>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</si>
  <si>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</si>
  <si>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</si>
  <si>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</si>
  <si>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</si>
  <si>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</si>
  <si>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</si>
  <si>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</si>
  <si>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</si>
  <si>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</si>
  <si>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</si>
  <si>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</si>
  <si>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</si>
  <si>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</si>
  <si>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</si>
  <si>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</si>
  <si>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</si>
  <si>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</si>
  <si>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</si>
  <si>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</si>
  <si>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</si>
  <si>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</si>
  <si>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</si>
  <si>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</si>
  <si>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</si>
  <si>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</si>
  <si>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</si>
  <si>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</si>
  <si>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</si>
  <si>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</si>
  <si>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</si>
  <si>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</si>
  <si>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</si>
  <si>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</si>
  <si>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</si>
  <si>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</si>
  <si>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</si>
  <si>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</si>
  <si>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</si>
  <si>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</si>
  <si>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</si>
  <si>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</si>
  <si>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</si>
  <si>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</si>
  <si>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</si>
  <si>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</si>
  <si>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</si>
  <si>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</si>
  <si>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</si>
  <si>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</si>
  <si>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</si>
  <si>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</si>
  <si>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</si>
  <si>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</si>
  <si>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</si>
  <si>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</si>
  <si>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</si>
  <si>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</si>
  <si>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</si>
  <si>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</si>
  <si>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</si>
  <si>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</si>
  <si>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</si>
  <si>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</si>
  <si>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</si>
  <si>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</si>
  <si>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</si>
  <si>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</si>
  <si>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</si>
  <si>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</si>
  <si>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</si>
  <si>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</si>
  <si>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</si>
  <si>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</si>
  <si>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</si>
  <si>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</si>
  <si>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</si>
  <si>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</si>
  <si>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</si>
  <si>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</si>
  <si>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</si>
  <si>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</si>
  <si>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</si>
  <si>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</si>
  <si>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</si>
  <si>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</si>
  <si>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</si>
  <si>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</si>
  <si>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</si>
  <si>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</si>
  <si>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</si>
  <si>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</si>
  <si>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</si>
  <si>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</si>
  <si>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</si>
  <si>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</si>
  <si>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</si>
  <si>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</si>
  <si>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</si>
  <si>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</si>
  <si>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</si>
  <si>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</si>
  <si>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</si>
  <si>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</si>
  <si>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</si>
  <si>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</si>
  <si>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</si>
  <si>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</si>
  <si>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</si>
  <si>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</si>
  <si>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</si>
  <si>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</si>
  <si>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</si>
  <si>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</si>
  <si>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</si>
  <si>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</si>
  <si>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</si>
  <si>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</si>
  <si>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</si>
  <si>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</si>
  <si>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</si>
  <si>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</si>
  <si>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</si>
  <si>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</si>
  <si>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</si>
  <si>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</si>
  <si>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</si>
  <si>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</si>
  <si>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</si>
  <si>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</si>
  <si>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</si>
  <si>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</si>
  <si>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</si>
  <si>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</si>
  <si>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</si>
  <si>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</si>
  <si>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</si>
  <si>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</si>
  <si>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</si>
  <si>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</si>
  <si>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</si>
  <si>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</si>
  <si>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</si>
  <si>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</si>
  <si>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</si>
  <si>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</si>
  <si>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</si>
  <si>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</si>
  <si>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</si>
  <si>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</si>
  <si>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</si>
  <si>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</si>
  <si>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</si>
  <si>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</si>
  <si>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</si>
  <si>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</si>
  <si>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</si>
  <si>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</si>
  <si>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</si>
  <si>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</si>
  <si>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</si>
  <si>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</si>
  <si>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</si>
  <si>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</si>
  <si>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</si>
  <si>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</si>
  <si>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</si>
  <si>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</si>
  <si>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</si>
  <si>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</si>
  <si>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</si>
  <si>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</si>
  <si>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</si>
  <si>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</si>
  <si>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</si>
  <si>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</si>
  <si>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</si>
  <si>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</si>
  <si>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</si>
  <si>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</si>
  <si>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</si>
  <si>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</si>
  <si>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</si>
  <si>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</si>
  <si>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</si>
  <si>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</si>
  <si>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</si>
  <si>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</si>
  <si>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</si>
  <si>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</si>
  <si>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</si>
  <si>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</si>
  <si>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</si>
  <si>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</si>
  <si>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</si>
  <si>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</si>
  <si>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</si>
  <si>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</si>
  <si>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</si>
  <si>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</si>
  <si>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</si>
  <si>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</si>
  <si>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</si>
  <si>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</si>
  <si>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</si>
  <si>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</si>
  <si>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</si>
  <si>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</si>
  <si>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</si>
  <si>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</si>
  <si>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</si>
  <si>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</si>
  <si>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</si>
  <si>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</si>
  <si>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</si>
  <si>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</si>
  <si>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</si>
  <si>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</si>
  <si>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</si>
  <si>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</si>
  <si>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</si>
  <si>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</si>
  <si>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</si>
  <si>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</si>
  <si>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</si>
  <si>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</si>
  <si>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</si>
  <si>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</si>
  <si>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</si>
  <si>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</si>
  <si>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</si>
  <si>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</si>
  <si>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</si>
  <si>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</si>
  <si>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</si>
  <si>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</si>
  <si>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</si>
  <si>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</si>
  <si>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</si>
  <si>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</si>
  <si>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</si>
  <si>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</si>
  <si>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</si>
  <si>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</si>
  <si>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</si>
  <si>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</si>
  <si>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</si>
  <si>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</si>
  <si>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</si>
  <si>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</si>
  <si>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</si>
  <si>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</si>
  <si>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</si>
  <si>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</si>
  <si>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</si>
  <si>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</si>
  <si>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</si>
  <si>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</si>
  <si>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</si>
  <si>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</si>
  <si>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</si>
  <si>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</si>
  <si>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</si>
  <si>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</si>
  <si>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</si>
  <si>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</si>
  <si>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</si>
  <si>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</si>
  <si>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</si>
  <si>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</si>
  <si>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</si>
  <si>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</si>
  <si>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</si>
  <si>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</si>
  <si>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</si>
  <si>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</si>
  <si>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</si>
  <si>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</si>
  <si>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</si>
  <si>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</si>
  <si>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</si>
  <si>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</si>
  <si>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</si>
  <si>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</si>
  <si>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</si>
  <si>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</si>
  <si>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</si>
  <si>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</si>
  <si>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</si>
  <si>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</si>
  <si>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</si>
  <si>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</si>
  <si>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</si>
  <si>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</si>
  <si>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</si>
  <si>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</si>
  <si>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</si>
  <si>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</si>
  <si>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</si>
  <si>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</si>
  <si>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</si>
  <si>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</si>
  <si>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</si>
  <si>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</si>
  <si>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</si>
  <si>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</si>
  <si>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</si>
  <si>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</si>
  <si>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</si>
  <si>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</si>
  <si>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</si>
  <si>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</si>
  <si>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</si>
  <si>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</si>
  <si>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</si>
  <si>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</si>
  <si>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</si>
  <si>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</si>
  <si>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</si>
  <si>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</si>
  <si>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</si>
  <si>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</si>
  <si>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</si>
  <si>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</si>
  <si>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</si>
  <si>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</si>
  <si>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</si>
  <si>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</si>
  <si>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</si>
  <si>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</si>
  <si>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</si>
  <si>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</si>
  <si>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</si>
  <si>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</si>
  <si>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</si>
  <si>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</si>
  <si>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</si>
  <si>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</si>
  <si>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</si>
  <si>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</si>
  <si>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</si>
  <si>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</si>
  <si>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</si>
  <si>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</si>
  <si>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</si>
  <si>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</si>
  <si>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</si>
  <si>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</si>
  <si>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</si>
  <si>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</si>
  <si>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</si>
  <si>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</si>
  <si>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</si>
  <si>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</si>
  <si>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</si>
  <si>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</si>
  <si>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</si>
  <si>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</si>
  <si>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</si>
  <si>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</si>
  <si>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</si>
  <si>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</si>
  <si>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</si>
  <si>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</si>
  <si>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</si>
  <si>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</si>
  <si>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</si>
  <si>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</si>
  <si>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</si>
  <si>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</si>
  <si>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</si>
  <si>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</si>
  <si>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</si>
  <si>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</si>
  <si>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</si>
  <si>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</si>
  <si>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</si>
  <si>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</si>
  <si>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</si>
  <si>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</si>
  <si>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</si>
  <si>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</si>
  <si>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</si>
  <si>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</si>
  <si>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</si>
  <si>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</si>
  <si>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</si>
  <si>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</si>
  <si>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</si>
  <si>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</si>
  <si>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</si>
  <si>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</si>
  <si>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</si>
  <si>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</si>
  <si>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</si>
  <si>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</si>
  <si>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</si>
  <si>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</si>
  <si>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</si>
  <si>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</si>
  <si>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</si>
  <si>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</si>
  <si>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</si>
  <si>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</si>
  <si>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</si>
  <si>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</si>
  <si>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</si>
  <si>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</si>
  <si>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</si>
  <si>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</si>
  <si>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</si>
  <si>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</si>
  <si>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</si>
  <si>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</si>
  <si>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</si>
  <si>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</si>
  <si>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</si>
  <si>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</si>
  <si>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</si>
  <si>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</si>
  <si>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</si>
  <si>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</si>
  <si>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</si>
  <si>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</si>
  <si>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</si>
  <si>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</si>
  <si>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</si>
  <si>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</si>
  <si>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</si>
  <si>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</si>
  <si>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</si>
  <si>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</si>
  <si>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</si>
  <si>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</si>
  <si>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</si>
  <si>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</si>
  <si>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</si>
  <si>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</si>
  <si>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</si>
  <si>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</si>
  <si>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</si>
  <si>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</si>
  <si>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</si>
  <si>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</si>
  <si>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</si>
  <si>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</si>
  <si>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</si>
  <si>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</si>
  <si>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</si>
  <si>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</si>
  <si>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</si>
  <si>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</si>
  <si>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</si>
  <si>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</si>
  <si>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</si>
  <si>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</si>
  <si>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</si>
  <si>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</si>
  <si>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</si>
  <si>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</si>
  <si>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</si>
  <si>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</si>
  <si>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</si>
  <si>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</si>
  <si>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</si>
  <si>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</si>
  <si>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</si>
  <si>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</si>
  <si>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</si>
  <si>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</si>
  <si>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</si>
  <si>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</si>
  <si>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</si>
  <si>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</si>
  <si>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</si>
  <si>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</si>
  <si>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</si>
  <si>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</si>
  <si>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</si>
  <si>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</si>
  <si>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</si>
  <si>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</si>
  <si>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</si>
  <si>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</si>
  <si>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</si>
  <si>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</si>
  <si>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</si>
  <si>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</si>
  <si>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</si>
  <si>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</si>
  <si>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</si>
  <si>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</si>
  <si>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</si>
  <si>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</si>
  <si>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</si>
  <si>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</si>
  <si>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</si>
  <si>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</si>
  <si>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</si>
  <si>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</si>
  <si>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</si>
  <si>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</si>
  <si>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</si>
  <si>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</si>
  <si>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</si>
  <si>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APAGADO</t>
  </si>
  <si>
    <t>SANTA SOFIA Y ALVAR NUÑEZ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</si>
</sst>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8" borderId="0" xfId="0" applyFill="1" applyAlignment="1">
      <alignment horizontal="right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</cellXfs>
  <cellStyles count="2">
    <cellStyle name="Normal" xfId="0" builtinId="0"/>
    <cellStyle name="Porcentaje" xfId="1" builtinId="5"/>
  </cellStyles>
  <dxfs count="545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  <c:pt idx="9">
                  <c:v>0.11528150134048257</c:v>
                </c:pt>
                <c:pt idx="10">
                  <c:v>0.11528150134048257</c:v>
                </c:pt>
                <c:pt idx="11">
                  <c:v>9.6514745308310987E-2</c:v>
                </c:pt>
                <c:pt idx="12">
                  <c:v>7.7747989276139406E-2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  <c:pt idx="9">
                  <c:v>0.11528150134048257</c:v>
                </c:pt>
                <c:pt idx="10">
                  <c:v>0.11528150134048257</c:v>
                </c:pt>
                <c:pt idx="11">
                  <c:v>9.6514745308310987E-2</c:v>
                </c:pt>
                <c:pt idx="12">
                  <c:v>7.7747989276139406E-2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AC197" activePane="bottomRight" state="frozen"/>
      <selection pane="topRight" activeCell="M1" sqref="M1"/>
      <selection pane="bottomLeft" activeCell="A5" sqref="A5"/>
      <selection pane="bottomRight" activeCell="AB207" sqref="AB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5" width="9.42578125" style="22" bestFit="1" customWidth="1"/>
  </cols>
  <sheetData>
    <row r="1" spans="1:45" s="5" customFormat="1" ht="27.75" customHeight="1" thickTop="1" x14ac:dyDescent="0.25">
      <c r="A1" s="1" t="s">
        <v>0</v>
      </c>
      <c r="B1" s="55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0.12332439678284182</v>
      </c>
      <c r="P1" s="4">
        <f t="shared" si="0"/>
        <v>9.1152815013404831E-2</v>
      </c>
      <c r="Q1" s="4">
        <f t="shared" si="0"/>
        <v>8.5790884718498661E-2</v>
      </c>
      <c r="R1" s="4">
        <f t="shared" si="0"/>
        <v>0.42627345844504022</v>
      </c>
      <c r="S1" s="4">
        <f t="shared" si="0"/>
        <v>0.15549597855227881</v>
      </c>
      <c r="T1" s="4">
        <f t="shared" si="0"/>
        <v>0.16085790884718498</v>
      </c>
      <c r="U1" s="4">
        <f t="shared" si="0"/>
        <v>0.13136729222520108</v>
      </c>
      <c r="V1" s="4">
        <f t="shared" si="0"/>
        <v>0.13404825737265416</v>
      </c>
      <c r="W1" s="4">
        <f t="shared" si="0"/>
        <v>0.12600536193029491</v>
      </c>
      <c r="X1" s="4">
        <f t="shared" si="0"/>
        <v>0.11528150134048257</v>
      </c>
      <c r="Y1" s="4">
        <f t="shared" si="0"/>
        <v>0.11796246648793565</v>
      </c>
      <c r="Z1" s="4">
        <f t="shared" si="0"/>
        <v>9.9195710455764072E-2</v>
      </c>
      <c r="AA1" s="4">
        <f t="shared" si="0"/>
        <v>7.7747989276139406E-2</v>
      </c>
      <c r="AB1" s="4">
        <f t="shared" si="0"/>
        <v>9.9195710455764072E-2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/>
    </row>
    <row r="2" spans="1:45" s="11" customFormat="1" x14ac:dyDescent="0.25">
      <c r="A2" s="6"/>
      <c r="B2" s="56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0"/>
      <c r="O2" s="10">
        <f>COUNTIF(O5:O377, "")</f>
        <v>327</v>
      </c>
      <c r="P2" s="10">
        <f>COUNTIF(P5:P377, "")</f>
        <v>339</v>
      </c>
      <c r="Q2" s="10">
        <f t="shared" ref="Q2:AS2" si="2">COUNTIF(Q5:Q377, "")</f>
        <v>341</v>
      </c>
      <c r="R2" s="10">
        <f t="shared" si="2"/>
        <v>214</v>
      </c>
      <c r="S2" s="10">
        <f t="shared" si="2"/>
        <v>315</v>
      </c>
      <c r="T2" s="10">
        <f t="shared" si="2"/>
        <v>313</v>
      </c>
      <c r="U2" s="10">
        <f t="shared" si="2"/>
        <v>324</v>
      </c>
      <c r="V2" s="10">
        <f t="shared" si="2"/>
        <v>323</v>
      </c>
      <c r="W2" s="10">
        <f t="shared" si="2"/>
        <v>326</v>
      </c>
      <c r="X2" s="10">
        <f t="shared" si="2"/>
        <v>330</v>
      </c>
      <c r="Y2" s="10">
        <f t="shared" si="2"/>
        <v>329</v>
      </c>
      <c r="Z2" s="10">
        <f t="shared" si="2"/>
        <v>336</v>
      </c>
      <c r="AA2" s="10">
        <f t="shared" si="2"/>
        <v>344</v>
      </c>
      <c r="AB2" s="10">
        <f t="shared" si="2"/>
        <v>336</v>
      </c>
      <c r="AC2" s="10">
        <f t="shared" si="2"/>
        <v>373</v>
      </c>
      <c r="AD2" s="10">
        <f t="shared" si="2"/>
        <v>373</v>
      </c>
      <c r="AE2" s="10">
        <f t="shared" si="2"/>
        <v>373</v>
      </c>
      <c r="AF2" s="10">
        <f t="shared" si="2"/>
        <v>373</v>
      </c>
      <c r="AG2" s="10">
        <f t="shared" si="2"/>
        <v>373</v>
      </c>
      <c r="AH2" s="10">
        <f t="shared" si="2"/>
        <v>373</v>
      </c>
      <c r="AI2" s="10">
        <f t="shared" si="2"/>
        <v>373</v>
      </c>
      <c r="AJ2" s="10">
        <f t="shared" si="2"/>
        <v>373</v>
      </c>
      <c r="AK2" s="10">
        <f t="shared" si="2"/>
        <v>373</v>
      </c>
      <c r="AL2" s="10">
        <f t="shared" si="2"/>
        <v>373</v>
      </c>
      <c r="AM2" s="10">
        <f t="shared" si="2"/>
        <v>373</v>
      </c>
      <c r="AN2" s="10">
        <f t="shared" si="2"/>
        <v>373</v>
      </c>
      <c r="AO2" s="10">
        <f t="shared" si="2"/>
        <v>373</v>
      </c>
      <c r="AP2" s="10">
        <f t="shared" si="2"/>
        <v>373</v>
      </c>
      <c r="AQ2" s="10">
        <f t="shared" si="2"/>
        <v>373</v>
      </c>
      <c r="AR2" s="10">
        <f t="shared" si="2"/>
        <v>373</v>
      </c>
      <c r="AS2" s="10">
        <f t="shared" si="2"/>
        <v>373</v>
      </c>
    </row>
    <row r="3" spans="1:45" s="11" customFormat="1" ht="15.75" thickBot="1" x14ac:dyDescent="0.3">
      <c r="A3" s="12"/>
      <c r="B3" s="57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1"/>
      <c r="O3" s="14">
        <f>COUNTIF(O4:O447, "apagado")</f>
        <v>46</v>
      </c>
      <c r="P3" s="14">
        <f t="shared" ref="P3:AP3" si="3">COUNTIF(P4:P447, "apagado")</f>
        <v>34</v>
      </c>
      <c r="Q3" s="14">
        <f t="shared" si="3"/>
        <v>32</v>
      </c>
      <c r="R3" s="14">
        <f t="shared" si="3"/>
        <v>159</v>
      </c>
      <c r="S3" s="14">
        <f t="shared" si="3"/>
        <v>58</v>
      </c>
      <c r="T3" s="14">
        <f t="shared" si="3"/>
        <v>60</v>
      </c>
      <c r="U3" s="14">
        <f t="shared" si="3"/>
        <v>49</v>
      </c>
      <c r="V3" s="14">
        <f t="shared" si="3"/>
        <v>50</v>
      </c>
      <c r="W3" s="14">
        <f t="shared" si="3"/>
        <v>47</v>
      </c>
      <c r="X3" s="14">
        <f t="shared" si="3"/>
        <v>43</v>
      </c>
      <c r="Y3" s="14">
        <f t="shared" si="3"/>
        <v>44</v>
      </c>
      <c r="Z3" s="14">
        <f t="shared" si="3"/>
        <v>37</v>
      </c>
      <c r="AA3" s="14">
        <f t="shared" si="3"/>
        <v>29</v>
      </c>
      <c r="AB3" s="14">
        <f t="shared" si="3"/>
        <v>37</v>
      </c>
      <c r="AC3" s="14">
        <f t="shared" si="3"/>
        <v>0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  <c r="AS3" s="14"/>
    </row>
    <row r="4" spans="1:45" s="11" customFormat="1" ht="31.5" thickTop="1" thickBot="1" x14ac:dyDescent="0.35">
      <c r="A4" t="s">
        <v>7</v>
      </c>
      <c r="B4" t="s">
        <v>1323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44682</v>
      </c>
      <c r="P4" s="15">
        <v>44683</v>
      </c>
      <c r="Q4" s="15">
        <v>44684</v>
      </c>
      <c r="R4" s="15">
        <v>44685</v>
      </c>
      <c r="S4" s="15">
        <v>44686</v>
      </c>
      <c r="T4" s="15">
        <v>44687</v>
      </c>
      <c r="U4" s="15">
        <v>44688</v>
      </c>
      <c r="V4" s="15">
        <v>44689</v>
      </c>
      <c r="W4" s="15">
        <v>44690</v>
      </c>
      <c r="X4" s="15">
        <v>44691</v>
      </c>
      <c r="Y4" s="15">
        <v>44692</v>
      </c>
      <c r="Z4" s="15">
        <v>44693</v>
      </c>
      <c r="AA4" s="15">
        <v>44694</v>
      </c>
      <c r="AB4" s="15">
        <v>44695</v>
      </c>
      <c r="AC4" s="15">
        <v>44696</v>
      </c>
      <c r="AD4" s="15">
        <v>44697</v>
      </c>
      <c r="AE4" s="15">
        <v>44698</v>
      </c>
      <c r="AF4" s="15">
        <v>44699</v>
      </c>
      <c r="AG4" s="15">
        <v>44700</v>
      </c>
      <c r="AH4" s="15">
        <v>44701</v>
      </c>
      <c r="AI4" s="15">
        <v>44702</v>
      </c>
      <c r="AJ4" s="15">
        <v>44703</v>
      </c>
      <c r="AK4" s="15">
        <v>44704</v>
      </c>
      <c r="AL4" s="15">
        <v>44705</v>
      </c>
      <c r="AM4" s="15">
        <v>44706</v>
      </c>
      <c r="AN4" s="15">
        <v>44707</v>
      </c>
      <c r="AO4" s="15">
        <v>44708</v>
      </c>
      <c r="AP4" s="15">
        <v>44709</v>
      </c>
      <c r="AQ4" s="15">
        <v>44710</v>
      </c>
      <c r="AR4" s="15">
        <v>44711</v>
      </c>
      <c r="AS4" s="15">
        <v>44712</v>
      </c>
    </row>
    <row r="5" spans="1:45" ht="16.5" thickTop="1" thickBot="1" x14ac:dyDescent="0.3">
      <c r="A5" t="s">
        <v>16</v>
      </c>
      <c r="B5" s="66">
        <v>44629</v>
      </c>
      <c r="C5" s="67" t="s">
        <v>17</v>
      </c>
      <c r="D5" s="68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 t="shared" ref="L5:L68" si="5">COUNTIF(O5:AP5,"")</f>
        <v>26</v>
      </c>
      <c r="M5" s="17">
        <f t="shared" ref="M5:M68" si="6">COUNTIF(O5:AP5,"APAGADO")</f>
        <v>2</v>
      </c>
      <c r="N5" s="18">
        <f t="shared" ref="N5:N68" si="7">(L5)/(M5+L5)</f>
        <v>0.9285714285714286</v>
      </c>
      <c r="O5" s="29"/>
      <c r="P5" s="19"/>
      <c r="Q5" s="19"/>
      <c r="R5" s="19"/>
      <c r="S5" s="29"/>
      <c r="T5" s="29" t="s">
        <v>1348</v>
      </c>
      <c r="U5" s="19"/>
      <c r="V5" s="19"/>
      <c r="W5" s="19"/>
      <c r="X5" s="29"/>
      <c r="Y5" s="29"/>
      <c r="Z5" s="29" t="s">
        <v>1348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t="s">
        <v>22</v>
      </c>
      <c r="B6" s="68"/>
      <c r="C6" s="67" t="s">
        <v>23</v>
      </c>
      <c r="D6" s="68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17">
        <f t="shared" si="5"/>
        <v>26</v>
      </c>
      <c r="M6" s="17">
        <f t="shared" si="6"/>
        <v>2</v>
      </c>
      <c r="N6" s="18">
        <f t="shared" si="7"/>
        <v>0.9285714285714286</v>
      </c>
      <c r="O6" s="27"/>
      <c r="P6" s="8"/>
      <c r="Q6" s="8"/>
      <c r="R6" s="8" t="s">
        <v>1348</v>
      </c>
      <c r="S6" s="27"/>
      <c r="T6" s="27"/>
      <c r="U6" s="8"/>
      <c r="V6" s="8"/>
      <c r="W6" s="8"/>
      <c r="X6" s="27"/>
      <c r="Y6" s="27"/>
      <c r="Z6" s="27" t="s">
        <v>1348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B7" s="68"/>
      <c r="C7" s="67" t="s">
        <v>27</v>
      </c>
      <c r="D7" s="68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17">
        <f t="shared" si="5"/>
        <v>16</v>
      </c>
      <c r="M7" s="17">
        <f t="shared" si="6"/>
        <v>12</v>
      </c>
      <c r="N7" s="18">
        <f t="shared" si="7"/>
        <v>0.5714285714285714</v>
      </c>
      <c r="O7" s="27" t="s">
        <v>1348</v>
      </c>
      <c r="P7" s="8" t="s">
        <v>1348</v>
      </c>
      <c r="Q7" s="8" t="s">
        <v>1348</v>
      </c>
      <c r="R7" s="8" t="s">
        <v>1348</v>
      </c>
      <c r="S7" s="27" t="s">
        <v>1348</v>
      </c>
      <c r="T7" s="27" t="s">
        <v>1348</v>
      </c>
      <c r="U7" s="8" t="s">
        <v>1348</v>
      </c>
      <c r="V7" s="8" t="s">
        <v>1348</v>
      </c>
      <c r="W7" s="8" t="s">
        <v>1348</v>
      </c>
      <c r="X7" s="27" t="s">
        <v>1348</v>
      </c>
      <c r="Y7" s="27"/>
      <c r="Z7" s="27"/>
      <c r="AA7" s="27" t="s">
        <v>1348</v>
      </c>
      <c r="AB7" s="27" t="s">
        <v>1348</v>
      </c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t="s">
        <v>22</v>
      </c>
      <c r="B8" s="68"/>
      <c r="C8" s="67" t="s">
        <v>29</v>
      </c>
      <c r="D8" s="68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17">
        <f t="shared" si="5"/>
        <v>27</v>
      </c>
      <c r="M8" s="17">
        <f t="shared" si="6"/>
        <v>1</v>
      </c>
      <c r="N8" s="18">
        <f t="shared" si="7"/>
        <v>0.9642857142857143</v>
      </c>
      <c r="O8" s="27"/>
      <c r="P8" s="8"/>
      <c r="Q8" s="8"/>
      <c r="R8" s="8" t="s">
        <v>1348</v>
      </c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B9" s="68"/>
      <c r="C9" s="67" t="s">
        <v>31</v>
      </c>
      <c r="D9" s="68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B10" s="68"/>
      <c r="C10" s="69" t="s">
        <v>948</v>
      </c>
      <c r="D10" s="68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17">
        <f t="shared" si="5"/>
        <v>25</v>
      </c>
      <c r="M10" s="17">
        <f t="shared" si="6"/>
        <v>3</v>
      </c>
      <c r="N10" s="18">
        <f t="shared" si="7"/>
        <v>0.8928571428571429</v>
      </c>
      <c r="O10" s="27"/>
      <c r="P10" s="8"/>
      <c r="Q10" s="8"/>
      <c r="R10" s="8" t="s">
        <v>1348</v>
      </c>
      <c r="S10" s="27" t="s">
        <v>1348</v>
      </c>
      <c r="T10" s="27" t="s">
        <v>1348</v>
      </c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B11" s="68"/>
      <c r="C11" s="69" t="s">
        <v>38</v>
      </c>
      <c r="D11" s="68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17">
        <f t="shared" si="5"/>
        <v>21</v>
      </c>
      <c r="M11" s="17">
        <f t="shared" si="6"/>
        <v>7</v>
      </c>
      <c r="N11" s="18">
        <f t="shared" si="7"/>
        <v>0.75</v>
      </c>
      <c r="O11" s="27" t="s">
        <v>1348</v>
      </c>
      <c r="P11" s="8" t="s">
        <v>1348</v>
      </c>
      <c r="Q11" s="8" t="s">
        <v>1348</v>
      </c>
      <c r="R11" s="8" t="s">
        <v>1348</v>
      </c>
      <c r="S11" s="27" t="s">
        <v>1348</v>
      </c>
      <c r="T11" s="27"/>
      <c r="U11" s="8"/>
      <c r="V11" s="8"/>
      <c r="W11" s="8"/>
      <c r="X11" s="27"/>
      <c r="Y11" s="27"/>
      <c r="Z11" s="27"/>
      <c r="AA11" s="27" t="s">
        <v>1348</v>
      </c>
      <c r="AB11" s="27" t="s">
        <v>1348</v>
      </c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B12" s="68"/>
      <c r="C12" s="69" t="s">
        <v>41</v>
      </c>
      <c r="D12" s="68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17">
        <f t="shared" si="5"/>
        <v>22</v>
      </c>
      <c r="M12" s="17">
        <f t="shared" si="6"/>
        <v>6</v>
      </c>
      <c r="N12" s="18">
        <f t="shared" si="7"/>
        <v>0.7857142857142857</v>
      </c>
      <c r="O12" s="27"/>
      <c r="P12" s="8"/>
      <c r="Q12" s="8"/>
      <c r="R12" s="8" t="s">
        <v>1348</v>
      </c>
      <c r="S12" s="27" t="s">
        <v>1348</v>
      </c>
      <c r="T12" s="27"/>
      <c r="U12" s="8" t="s">
        <v>1348</v>
      </c>
      <c r="V12" s="8" t="s">
        <v>1348</v>
      </c>
      <c r="W12" s="8" t="s">
        <v>1348</v>
      </c>
      <c r="X12" s="27" t="s">
        <v>1348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6">
        <v>44642</v>
      </c>
      <c r="C13" s="69" t="s">
        <v>44</v>
      </c>
      <c r="D13" s="68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B14" s="66">
        <v>44642</v>
      </c>
      <c r="C14" s="69" t="s">
        <v>47</v>
      </c>
      <c r="D14" s="68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17">
        <f t="shared" si="5"/>
        <v>28</v>
      </c>
      <c r="M14" s="17">
        <f t="shared" si="6"/>
        <v>0</v>
      </c>
      <c r="N14" s="18">
        <f t="shared" si="7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B15" s="68"/>
      <c r="C15" s="69" t="s">
        <v>50</v>
      </c>
      <c r="D15" s="68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B16" s="68"/>
      <c r="C16" s="69" t="s">
        <v>53</v>
      </c>
      <c r="D16" s="68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 t="s">
        <v>1348</v>
      </c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6">
        <v>44642</v>
      </c>
      <c r="C17" s="69" t="s">
        <v>56</v>
      </c>
      <c r="D17" s="68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6">
        <v>44642</v>
      </c>
      <c r="C18" s="69" t="s">
        <v>59</v>
      </c>
      <c r="D18" s="6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B19" s="68"/>
      <c r="C19" s="69" t="s">
        <v>63</v>
      </c>
      <c r="D19" s="68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17">
        <f t="shared" si="5"/>
        <v>27</v>
      </c>
      <c r="M19" s="17">
        <f t="shared" si="6"/>
        <v>1</v>
      </c>
      <c r="N19" s="18">
        <f t="shared" si="7"/>
        <v>0.9642857142857143</v>
      </c>
      <c r="O19" s="27"/>
      <c r="P19" s="8"/>
      <c r="Q19" s="8"/>
      <c r="R19" s="8" t="s">
        <v>1348</v>
      </c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B20" s="68"/>
      <c r="C20" s="69" t="s">
        <v>954</v>
      </c>
      <c r="D20" s="68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B21" s="68"/>
      <c r="C21" s="69" t="s">
        <v>69</v>
      </c>
      <c r="D21" s="68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B22" s="68"/>
      <c r="C22" s="69" t="s">
        <v>1007</v>
      </c>
      <c r="D22" s="68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17">
        <f t="shared" si="5"/>
        <v>26</v>
      </c>
      <c r="M22" s="17">
        <f t="shared" si="6"/>
        <v>2</v>
      </c>
      <c r="N22" s="18">
        <f t="shared" si="7"/>
        <v>0.9285714285714286</v>
      </c>
      <c r="O22" s="27" t="s">
        <v>1348</v>
      </c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 t="s">
        <v>1348</v>
      </c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B23" s="68"/>
      <c r="C23" s="69" t="s">
        <v>1010</v>
      </c>
      <c r="D23" s="68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B24" s="68"/>
      <c r="C24" s="69" t="s">
        <v>76</v>
      </c>
      <c r="D24" s="68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B25" s="68"/>
      <c r="C25" s="69" t="s">
        <v>78</v>
      </c>
      <c r="D25" s="68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B26" s="68"/>
      <c r="C26" s="69" t="s">
        <v>81</v>
      </c>
      <c r="D26" s="68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17">
        <f t="shared" si="5"/>
        <v>27</v>
      </c>
      <c r="M26" s="17">
        <f t="shared" si="6"/>
        <v>1</v>
      </c>
      <c r="N26" s="18">
        <f t="shared" si="7"/>
        <v>0.9642857142857143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 t="s">
        <v>1348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B27" s="68"/>
      <c r="C27" s="69" t="s">
        <v>84</v>
      </c>
      <c r="D27" s="68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B28" s="68"/>
      <c r="C28" s="69" t="s">
        <v>86</v>
      </c>
      <c r="D28" s="6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17">
        <f t="shared" si="5"/>
        <v>23</v>
      </c>
      <c r="M28" s="17">
        <f t="shared" si="6"/>
        <v>5</v>
      </c>
      <c r="N28" s="18">
        <f t="shared" si="7"/>
        <v>0.8214285714285714</v>
      </c>
      <c r="O28" s="27" t="s">
        <v>1348</v>
      </c>
      <c r="P28" s="8" t="s">
        <v>1348</v>
      </c>
      <c r="Q28" s="8" t="s">
        <v>1348</v>
      </c>
      <c r="R28" s="8" t="s">
        <v>1348</v>
      </c>
      <c r="S28" s="27" t="s">
        <v>1348</v>
      </c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B29" s="68"/>
      <c r="C29" s="69" t="s">
        <v>89</v>
      </c>
      <c r="D29" s="68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17">
        <f t="shared" si="5"/>
        <v>27</v>
      </c>
      <c r="M29" s="17">
        <f t="shared" si="6"/>
        <v>1</v>
      </c>
      <c r="N29" s="18">
        <f t="shared" si="7"/>
        <v>0.9642857142857143</v>
      </c>
      <c r="O29" s="27"/>
      <c r="P29" s="8"/>
      <c r="Q29" s="8"/>
      <c r="R29" s="8" t="s">
        <v>1348</v>
      </c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B30" s="68"/>
      <c r="C30" s="69" t="s">
        <v>92</v>
      </c>
      <c r="D30" s="68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17">
        <f t="shared" si="5"/>
        <v>27</v>
      </c>
      <c r="M30" s="17">
        <f t="shared" si="6"/>
        <v>1</v>
      </c>
      <c r="N30" s="18">
        <f t="shared" si="7"/>
        <v>0.9642857142857143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 t="s">
        <v>1348</v>
      </c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t="s">
        <v>80</v>
      </c>
      <c r="B31" s="68"/>
      <c r="C31" s="69" t="s">
        <v>95</v>
      </c>
      <c r="D31" s="68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B32" s="68"/>
      <c r="C32" s="69" t="s">
        <v>98</v>
      </c>
      <c r="D32" s="68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17">
        <f t="shared" si="5"/>
        <v>26</v>
      </c>
      <c r="M32" s="17">
        <f t="shared" si="6"/>
        <v>2</v>
      </c>
      <c r="N32" s="18">
        <f t="shared" si="7"/>
        <v>0.9285714285714286</v>
      </c>
      <c r="O32" s="27" t="s">
        <v>1348</v>
      </c>
      <c r="P32" s="8"/>
      <c r="Q32" s="8"/>
      <c r="R32" s="8" t="s">
        <v>1348</v>
      </c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B33" s="68"/>
      <c r="C33" s="69" t="s">
        <v>100</v>
      </c>
      <c r="D33" s="68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17">
        <f t="shared" si="5"/>
        <v>27</v>
      </c>
      <c r="M33" s="17">
        <f t="shared" si="6"/>
        <v>1</v>
      </c>
      <c r="N33" s="18">
        <f t="shared" si="7"/>
        <v>0.9642857142857143</v>
      </c>
      <c r="O33" s="27"/>
      <c r="P33" s="8"/>
      <c r="Q33" s="8"/>
      <c r="R33" s="8" t="s">
        <v>1348</v>
      </c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B34" s="68"/>
      <c r="C34" s="69" t="s">
        <v>103</v>
      </c>
      <c r="D34" s="68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B35" s="68"/>
      <c r="C35" s="69" t="s">
        <v>106</v>
      </c>
      <c r="D35" s="68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B36" s="68"/>
      <c r="C36" s="69" t="s">
        <v>108</v>
      </c>
      <c r="D36" s="68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B37" s="68"/>
      <c r="C37" s="69" t="s">
        <v>111</v>
      </c>
      <c r="D37" s="68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B38" s="68"/>
      <c r="C38" s="69" t="s">
        <v>115</v>
      </c>
      <c r="D38" s="6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B39" s="68"/>
      <c r="C39" s="69" t="s">
        <v>118</v>
      </c>
      <c r="D39" s="68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B40" s="68"/>
      <c r="C40" s="69" t="s">
        <v>121</v>
      </c>
      <c r="D40" s="68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17">
        <f t="shared" si="5"/>
        <v>27</v>
      </c>
      <c r="M40" s="17">
        <f t="shared" si="6"/>
        <v>1</v>
      </c>
      <c r="N40" s="18">
        <f t="shared" si="7"/>
        <v>0.9642857142857143</v>
      </c>
      <c r="O40" s="27"/>
      <c r="P40" s="8"/>
      <c r="Q40" s="8"/>
      <c r="R40" s="8" t="s">
        <v>1348</v>
      </c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B41" s="68"/>
      <c r="C41" s="69" t="s">
        <v>124</v>
      </c>
      <c r="D41" s="68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B42" s="68"/>
      <c r="C42" s="69" t="s">
        <v>127</v>
      </c>
      <c r="D42" s="68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17">
        <f t="shared" si="5"/>
        <v>27</v>
      </c>
      <c r="M42" s="17">
        <f t="shared" si="6"/>
        <v>1</v>
      </c>
      <c r="N42" s="18">
        <f t="shared" si="7"/>
        <v>0.9642857142857143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 t="s">
        <v>1348</v>
      </c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B43" s="68"/>
      <c r="C43" s="69" t="s">
        <v>130</v>
      </c>
      <c r="D43" s="68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B44" s="68"/>
      <c r="C44" s="69" t="s">
        <v>133</v>
      </c>
      <c r="D44" s="68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B45" s="68"/>
      <c r="C45" s="69" t="s">
        <v>135</v>
      </c>
      <c r="D45" s="68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 t="s">
        <v>1348</v>
      </c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B46" s="68"/>
      <c r="C46" s="69" t="s">
        <v>138</v>
      </c>
      <c r="D46" s="68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17">
        <f t="shared" si="5"/>
        <v>27</v>
      </c>
      <c r="M46" s="17">
        <f t="shared" si="6"/>
        <v>1</v>
      </c>
      <c r="N46" s="18">
        <f t="shared" si="7"/>
        <v>0.9642857142857143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 t="s">
        <v>1348</v>
      </c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B47" s="68"/>
      <c r="C47" s="69" t="s">
        <v>141</v>
      </c>
      <c r="D47" s="68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17">
        <f t="shared" si="5"/>
        <v>27</v>
      </c>
      <c r="M47" s="17">
        <f t="shared" si="6"/>
        <v>1</v>
      </c>
      <c r="N47" s="18">
        <f t="shared" si="7"/>
        <v>0.9642857142857143</v>
      </c>
      <c r="O47" s="27"/>
      <c r="P47" s="8"/>
      <c r="Q47" s="8"/>
      <c r="R47" s="8" t="s">
        <v>1348</v>
      </c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B48" s="68"/>
      <c r="C48" s="69" t="s">
        <v>145</v>
      </c>
      <c r="D48" s="6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17">
        <f t="shared" si="5"/>
        <v>23</v>
      </c>
      <c r="M48" s="17">
        <f t="shared" si="6"/>
        <v>5</v>
      </c>
      <c r="N48" s="18">
        <f t="shared" si="7"/>
        <v>0.8214285714285714</v>
      </c>
      <c r="O48" s="27"/>
      <c r="P48" s="8"/>
      <c r="Q48" s="8"/>
      <c r="R48" s="8" t="s">
        <v>1348</v>
      </c>
      <c r="S48" s="27"/>
      <c r="T48" s="27"/>
      <c r="U48" s="8" t="s">
        <v>1348</v>
      </c>
      <c r="V48" s="8" t="s">
        <v>1348</v>
      </c>
      <c r="W48" s="8" t="s">
        <v>1348</v>
      </c>
      <c r="X48" s="27" t="s">
        <v>1348</v>
      </c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B49" s="68"/>
      <c r="C49" s="69" t="s">
        <v>148</v>
      </c>
      <c r="D49" s="68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B50" s="68"/>
      <c r="C50" s="69" t="s">
        <v>150</v>
      </c>
      <c r="D50" s="68" t="s">
        <v>1325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B51" s="68"/>
      <c r="C51" s="69" t="s">
        <v>152</v>
      </c>
      <c r="D51" s="68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17">
        <f t="shared" si="5"/>
        <v>28</v>
      </c>
      <c r="M51" s="17">
        <f t="shared" si="6"/>
        <v>0</v>
      </c>
      <c r="N51" s="18">
        <f t="shared" si="7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B52" s="68"/>
      <c r="C52" s="69" t="s">
        <v>155</v>
      </c>
      <c r="D52" s="68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17">
        <f t="shared" si="5"/>
        <v>24</v>
      </c>
      <c r="M52" s="17">
        <f t="shared" si="6"/>
        <v>4</v>
      </c>
      <c r="N52" s="18">
        <f t="shared" si="7"/>
        <v>0.8571428571428571</v>
      </c>
      <c r="O52" s="27"/>
      <c r="P52" s="8"/>
      <c r="Q52" s="8"/>
      <c r="R52" s="8"/>
      <c r="S52" s="27"/>
      <c r="T52" s="27"/>
      <c r="U52" s="8" t="s">
        <v>1348</v>
      </c>
      <c r="V52" s="8" t="s">
        <v>1348</v>
      </c>
      <c r="W52" s="8" t="s">
        <v>1348</v>
      </c>
      <c r="X52" s="27" t="s">
        <v>1348</v>
      </c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B53" s="68"/>
      <c r="C53" s="69" t="s">
        <v>159</v>
      </c>
      <c r="D53" s="68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B54" s="68"/>
      <c r="C54" s="69" t="s">
        <v>163</v>
      </c>
      <c r="D54" s="68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17">
        <f t="shared" si="5"/>
        <v>27</v>
      </c>
      <c r="M54" s="17">
        <f t="shared" si="6"/>
        <v>1</v>
      </c>
      <c r="N54" s="18">
        <f t="shared" si="7"/>
        <v>0.9642857142857143</v>
      </c>
      <c r="O54" s="27"/>
      <c r="P54" s="8"/>
      <c r="Q54" s="8"/>
      <c r="R54" s="8" t="s">
        <v>1348</v>
      </c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B55" s="68"/>
      <c r="C55" s="69" t="s">
        <v>166</v>
      </c>
      <c r="D55" s="68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17">
        <f t="shared" si="5"/>
        <v>27</v>
      </c>
      <c r="M55" s="17">
        <f t="shared" si="6"/>
        <v>1</v>
      </c>
      <c r="N55" s="18">
        <f t="shared" si="7"/>
        <v>0.9642857142857143</v>
      </c>
      <c r="O55" s="27"/>
      <c r="P55" s="8"/>
      <c r="Q55" s="8"/>
      <c r="R55" s="8" t="s">
        <v>1348</v>
      </c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167</v>
      </c>
      <c r="B56" s="68"/>
      <c r="C56" s="69" t="s">
        <v>168</v>
      </c>
      <c r="D56" s="68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17">
        <f t="shared" si="5"/>
        <v>23</v>
      </c>
      <c r="M56" s="17">
        <f t="shared" si="6"/>
        <v>5</v>
      </c>
      <c r="N56" s="18">
        <f t="shared" si="7"/>
        <v>0.8214285714285714</v>
      </c>
      <c r="O56" s="27"/>
      <c r="P56" s="8"/>
      <c r="Q56" s="8"/>
      <c r="R56" s="8" t="s">
        <v>1348</v>
      </c>
      <c r="S56" s="27"/>
      <c r="T56" s="27"/>
      <c r="U56" s="8" t="s">
        <v>1348</v>
      </c>
      <c r="V56" s="8" t="s">
        <v>1348</v>
      </c>
      <c r="W56" s="8" t="s">
        <v>1348</v>
      </c>
      <c r="X56" s="27"/>
      <c r="Y56" s="27"/>
      <c r="Z56" s="27"/>
      <c r="AA56" s="27"/>
      <c r="AB56" s="27" t="s">
        <v>1348</v>
      </c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B57" s="68"/>
      <c r="C57" s="69" t="s">
        <v>171</v>
      </c>
      <c r="D57" s="68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B58" s="68"/>
      <c r="C58" s="69" t="s">
        <v>173</v>
      </c>
      <c r="D58" s="6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17">
        <f t="shared" si="5"/>
        <v>25</v>
      </c>
      <c r="M58" s="17">
        <f t="shared" si="6"/>
        <v>3</v>
      </c>
      <c r="N58" s="18">
        <f t="shared" si="7"/>
        <v>0.8928571428571429</v>
      </c>
      <c r="O58" s="27" t="s">
        <v>1348</v>
      </c>
      <c r="P58" s="8" t="s">
        <v>1348</v>
      </c>
      <c r="Q58" s="8"/>
      <c r="R58" s="8" t="s">
        <v>1348</v>
      </c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B59" s="68"/>
      <c r="C59" s="69" t="s">
        <v>176</v>
      </c>
      <c r="D59" s="68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B60" s="68"/>
      <c r="C60" s="69" t="s">
        <v>179</v>
      </c>
      <c r="D60" s="68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17">
        <f t="shared" si="5"/>
        <v>27</v>
      </c>
      <c r="M60" s="17">
        <f t="shared" si="6"/>
        <v>1</v>
      </c>
      <c r="N60" s="18">
        <f t="shared" si="7"/>
        <v>0.9642857142857143</v>
      </c>
      <c r="O60" s="27"/>
      <c r="P60" s="8"/>
      <c r="Q60" s="8"/>
      <c r="R60" s="8" t="s">
        <v>1348</v>
      </c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B61" s="68"/>
      <c r="C61" s="69" t="s">
        <v>181</v>
      </c>
      <c r="D61" s="68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B62" s="68"/>
      <c r="C62" s="69" t="s">
        <v>184</v>
      </c>
      <c r="D62" s="68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7"/>
      <c r="P62" s="8"/>
      <c r="Q62" s="8"/>
      <c r="R62" s="8" t="s">
        <v>1348</v>
      </c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B63" s="68"/>
      <c r="C63" s="69" t="s">
        <v>186</v>
      </c>
      <c r="D63" s="68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17">
        <f t="shared" si="5"/>
        <v>28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B64" s="68"/>
      <c r="C64" s="69" t="s">
        <v>187</v>
      </c>
      <c r="D64" s="68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B65" s="68"/>
      <c r="C65" s="69" t="s">
        <v>189</v>
      </c>
      <c r="D65" s="68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17">
        <f t="shared" si="5"/>
        <v>28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t="s">
        <v>80</v>
      </c>
      <c r="B66" s="68"/>
      <c r="C66" s="69" t="s">
        <v>191</v>
      </c>
      <c r="D66" s="68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17">
        <f t="shared" si="5"/>
        <v>18</v>
      </c>
      <c r="M66" s="17">
        <f t="shared" si="6"/>
        <v>10</v>
      </c>
      <c r="N66" s="18">
        <f t="shared" si="7"/>
        <v>0.6428571428571429</v>
      </c>
      <c r="O66" s="27" t="s">
        <v>1348</v>
      </c>
      <c r="P66" s="8" t="s">
        <v>1348</v>
      </c>
      <c r="Q66" s="8" t="s">
        <v>1348</v>
      </c>
      <c r="R66" s="8" t="s">
        <v>1348</v>
      </c>
      <c r="S66" s="27" t="s">
        <v>1348</v>
      </c>
      <c r="T66" s="27" t="s">
        <v>1348</v>
      </c>
      <c r="U66" s="8" t="s">
        <v>1348</v>
      </c>
      <c r="V66" s="8" t="s">
        <v>1348</v>
      </c>
      <c r="W66" s="8" t="s">
        <v>1348</v>
      </c>
      <c r="X66" s="27" t="s">
        <v>1348</v>
      </c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B67" s="68"/>
      <c r="C67" s="69" t="s">
        <v>194</v>
      </c>
      <c r="D67" s="68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B68" s="68"/>
      <c r="C68" s="69" t="s">
        <v>197</v>
      </c>
      <c r="D68" s="68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17">
        <f t="shared" si="5"/>
        <v>28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B69" s="68"/>
      <c r="C69" s="69" t="s">
        <v>198</v>
      </c>
      <c r="D69" s="68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B70" s="68"/>
      <c r="C70" s="69" t="s">
        <v>200</v>
      </c>
      <c r="D70" s="68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B71" s="68"/>
      <c r="C71" s="69" t="s">
        <v>201</v>
      </c>
      <c r="D71" s="68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B72" s="68"/>
      <c r="C72" s="69" t="s">
        <v>202</v>
      </c>
      <c r="D72" s="68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17">
        <f t="shared" si="8"/>
        <v>27</v>
      </c>
      <c r="M72" s="17">
        <f t="shared" si="9"/>
        <v>1</v>
      </c>
      <c r="N72" s="18">
        <f t="shared" si="10"/>
        <v>0.9642857142857143</v>
      </c>
      <c r="O72" s="27"/>
      <c r="P72" s="8"/>
      <c r="Q72" s="8"/>
      <c r="R72" s="8" t="s">
        <v>1348</v>
      </c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B73" s="68"/>
      <c r="C73" s="69" t="s">
        <v>203</v>
      </c>
      <c r="D73" s="68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B74" s="68"/>
      <c r="C74" s="69" t="s">
        <v>205</v>
      </c>
      <c r="D74" s="68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17">
        <f t="shared" si="8"/>
        <v>26</v>
      </c>
      <c r="M74" s="17">
        <f t="shared" si="9"/>
        <v>2</v>
      </c>
      <c r="N74" s="18">
        <f t="shared" si="10"/>
        <v>0.9285714285714286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 t="s">
        <v>1348</v>
      </c>
      <c r="Z74" s="27" t="s">
        <v>1348</v>
      </c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B75" s="68"/>
      <c r="C75" s="69" t="s">
        <v>207</v>
      </c>
      <c r="D75" s="68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17">
        <f t="shared" si="8"/>
        <v>27</v>
      </c>
      <c r="M75" s="17">
        <f t="shared" si="9"/>
        <v>1</v>
      </c>
      <c r="N75" s="18">
        <f t="shared" si="10"/>
        <v>0.9642857142857143</v>
      </c>
      <c r="O75" s="27"/>
      <c r="P75" s="8"/>
      <c r="Q75" s="8"/>
      <c r="R75" s="8" t="s">
        <v>1348</v>
      </c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B76" s="68"/>
      <c r="C76" s="69" t="s">
        <v>210</v>
      </c>
      <c r="D76" s="68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17">
        <f t="shared" si="8"/>
        <v>27</v>
      </c>
      <c r="M76" s="17">
        <f t="shared" si="9"/>
        <v>1</v>
      </c>
      <c r="N76" s="18">
        <f t="shared" si="10"/>
        <v>0.9642857142857143</v>
      </c>
      <c r="O76" s="27"/>
      <c r="P76" s="8"/>
      <c r="Q76" s="8"/>
      <c r="R76" s="8" t="s">
        <v>1348</v>
      </c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B77" s="68"/>
      <c r="C77" s="69" t="s">
        <v>212</v>
      </c>
      <c r="D77" s="68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17">
        <f t="shared" si="8"/>
        <v>27</v>
      </c>
      <c r="M77" s="17">
        <f t="shared" si="9"/>
        <v>1</v>
      </c>
      <c r="N77" s="18">
        <f t="shared" si="10"/>
        <v>0.9642857142857143</v>
      </c>
      <c r="O77" s="27"/>
      <c r="P77" s="8"/>
      <c r="Q77" s="8"/>
      <c r="R77" s="8" t="s">
        <v>1348</v>
      </c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B78" s="68"/>
      <c r="C78" s="69" t="s">
        <v>215</v>
      </c>
      <c r="D78" s="6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1348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B79" s="68"/>
      <c r="C79" s="69" t="s">
        <v>217</v>
      </c>
      <c r="D79" s="68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B80" s="68"/>
      <c r="C80" s="69" t="s">
        <v>220</v>
      </c>
      <c r="D80" s="68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17">
        <f t="shared" si="8"/>
        <v>16</v>
      </c>
      <c r="M80" s="17">
        <f t="shared" si="9"/>
        <v>12</v>
      </c>
      <c r="N80" s="18">
        <f t="shared" si="10"/>
        <v>0.5714285714285714</v>
      </c>
      <c r="O80" s="27" t="s">
        <v>1348</v>
      </c>
      <c r="P80" s="8" t="s">
        <v>1348</v>
      </c>
      <c r="Q80" s="8" t="s">
        <v>1348</v>
      </c>
      <c r="R80" s="8" t="s">
        <v>1348</v>
      </c>
      <c r="S80" s="27" t="s">
        <v>1348</v>
      </c>
      <c r="T80" s="27" t="s">
        <v>1348</v>
      </c>
      <c r="U80" s="8" t="s">
        <v>1348</v>
      </c>
      <c r="V80" s="8" t="s">
        <v>1348</v>
      </c>
      <c r="W80" s="8" t="s">
        <v>1348</v>
      </c>
      <c r="X80" s="27" t="s">
        <v>1348</v>
      </c>
      <c r="Y80" s="27"/>
      <c r="Z80" s="27"/>
      <c r="AA80" s="27" t="s">
        <v>1348</v>
      </c>
      <c r="AB80" s="27" t="s">
        <v>1348</v>
      </c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t="s">
        <v>80</v>
      </c>
      <c r="B81" s="68"/>
      <c r="C81" s="69" t="s">
        <v>222</v>
      </c>
      <c r="D81" s="68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17">
        <f t="shared" si="8"/>
        <v>23</v>
      </c>
      <c r="M81" s="17">
        <f t="shared" si="9"/>
        <v>5</v>
      </c>
      <c r="N81" s="18">
        <f t="shared" si="10"/>
        <v>0.8214285714285714</v>
      </c>
      <c r="O81" s="27" t="s">
        <v>1348</v>
      </c>
      <c r="P81" s="8" t="s">
        <v>1348</v>
      </c>
      <c r="Q81" s="8" t="s">
        <v>1348</v>
      </c>
      <c r="R81" s="8" t="s">
        <v>1348</v>
      </c>
      <c r="S81" s="27" t="s">
        <v>1348</v>
      </c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B82" s="68"/>
      <c r="C82" s="69" t="s">
        <v>224</v>
      </c>
      <c r="D82" s="68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17">
        <f t="shared" si="8"/>
        <v>23</v>
      </c>
      <c r="M82" s="17">
        <f t="shared" si="9"/>
        <v>5</v>
      </c>
      <c r="N82" s="18">
        <f t="shared" si="10"/>
        <v>0.8214285714285714</v>
      </c>
      <c r="O82" s="27" t="s">
        <v>1348</v>
      </c>
      <c r="P82" s="8" t="s">
        <v>1348</v>
      </c>
      <c r="Q82" s="8" t="s">
        <v>1348</v>
      </c>
      <c r="R82" s="8" t="s">
        <v>1348</v>
      </c>
      <c r="S82" s="27" t="s">
        <v>1348</v>
      </c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B83" s="68"/>
      <c r="C83" s="69" t="s">
        <v>225</v>
      </c>
      <c r="D83" s="68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17">
        <f t="shared" si="8"/>
        <v>26</v>
      </c>
      <c r="M83" s="17">
        <f t="shared" si="9"/>
        <v>2</v>
      </c>
      <c r="N83" s="18">
        <f t="shared" si="10"/>
        <v>0.9285714285714286</v>
      </c>
      <c r="O83" s="27"/>
      <c r="P83" s="8"/>
      <c r="Q83" s="8"/>
      <c r="R83" s="8" t="s">
        <v>1348</v>
      </c>
      <c r="S83" s="27"/>
      <c r="T83" s="27" t="s">
        <v>1348</v>
      </c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B84" s="68"/>
      <c r="C84" s="69" t="s">
        <v>227</v>
      </c>
      <c r="D84" s="68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 t="s">
        <v>1348</v>
      </c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B85" s="68"/>
      <c r="C85" s="69" t="s">
        <v>231</v>
      </c>
      <c r="D85" s="68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B86" s="68"/>
      <c r="C86" s="69" t="s">
        <v>234</v>
      </c>
      <c r="D86" s="68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B87" s="68"/>
      <c r="C87" s="69" t="s">
        <v>238</v>
      </c>
      <c r="D87" s="68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B88" s="68"/>
      <c r="C88" s="69" t="s">
        <v>241</v>
      </c>
      <c r="D88" s="6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B89" s="68"/>
      <c r="C89" s="69" t="s">
        <v>243</v>
      </c>
      <c r="D89" s="68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1342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B90" s="68"/>
      <c r="C90" s="69" t="s">
        <v>245</v>
      </c>
      <c r="D90" s="68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B91" s="68"/>
      <c r="C91" s="69" t="s">
        <v>246</v>
      </c>
      <c r="D91" s="68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17">
        <f t="shared" si="8"/>
        <v>27</v>
      </c>
      <c r="M91" s="17">
        <f t="shared" si="9"/>
        <v>1</v>
      </c>
      <c r="N91" s="18">
        <f t="shared" si="10"/>
        <v>0.9642857142857143</v>
      </c>
      <c r="O91" s="27"/>
      <c r="P91" s="8"/>
      <c r="Q91" s="8"/>
      <c r="R91" s="8" t="s">
        <v>1348</v>
      </c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B92" s="68"/>
      <c r="C92" s="69" t="s">
        <v>249</v>
      </c>
      <c r="D92" s="68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17">
        <f t="shared" si="8"/>
        <v>27</v>
      </c>
      <c r="M92" s="17">
        <f t="shared" si="9"/>
        <v>1</v>
      </c>
      <c r="N92" s="18">
        <f t="shared" si="10"/>
        <v>0.9642857142857143</v>
      </c>
      <c r="O92" s="27"/>
      <c r="P92" s="8"/>
      <c r="Q92" s="8"/>
      <c r="R92" s="8" t="s">
        <v>1348</v>
      </c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B93" s="68"/>
      <c r="C93" s="69" t="s">
        <v>250</v>
      </c>
      <c r="D93" s="68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B94" s="68"/>
      <c r="C94" s="69" t="s">
        <v>253</v>
      </c>
      <c r="D94" s="68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17">
        <f t="shared" si="8"/>
        <v>27</v>
      </c>
      <c r="M94" s="17">
        <f t="shared" si="9"/>
        <v>1</v>
      </c>
      <c r="N94" s="18">
        <f t="shared" si="10"/>
        <v>0.9642857142857143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 t="s">
        <v>1348</v>
      </c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B95" s="68"/>
      <c r="C95" s="69" t="s">
        <v>256</v>
      </c>
      <c r="D95" s="68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258</v>
      </c>
      <c r="B96" s="68"/>
      <c r="C96" s="69" t="s">
        <v>259</v>
      </c>
      <c r="D96" s="68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t="s">
        <v>261</v>
      </c>
      <c r="B97" s="68"/>
      <c r="C97" s="69" t="s">
        <v>262</v>
      </c>
      <c r="D97" s="68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261</v>
      </c>
      <c r="B98" s="68"/>
      <c r="C98" s="69" t="s">
        <v>265</v>
      </c>
      <c r="D98" s="6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261</v>
      </c>
      <c r="B99" s="68"/>
      <c r="C99" s="69" t="s">
        <v>268</v>
      </c>
      <c r="D99" s="68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17">
        <f t="shared" si="8"/>
        <v>27</v>
      </c>
      <c r="M99" s="17">
        <f t="shared" si="9"/>
        <v>1</v>
      </c>
      <c r="N99" s="18">
        <f t="shared" si="10"/>
        <v>0.9642857142857143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 t="s">
        <v>1348</v>
      </c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t="s">
        <v>271</v>
      </c>
      <c r="B100" s="68"/>
      <c r="C100" s="69" t="s">
        <v>272</v>
      </c>
      <c r="D100" s="68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17">
        <f t="shared" si="8"/>
        <v>27</v>
      </c>
      <c r="M100" s="17">
        <f t="shared" si="9"/>
        <v>1</v>
      </c>
      <c r="N100" s="18">
        <f t="shared" si="10"/>
        <v>0.9642857142857143</v>
      </c>
      <c r="O100" s="27"/>
      <c r="P100" s="8"/>
      <c r="Q100" s="8"/>
      <c r="R100" s="8" t="s">
        <v>1348</v>
      </c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274</v>
      </c>
      <c r="B101" s="68"/>
      <c r="C101" s="69" t="s">
        <v>275</v>
      </c>
      <c r="D101" s="68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17">
        <f t="shared" si="8"/>
        <v>26</v>
      </c>
      <c r="M101" s="17">
        <f t="shared" si="9"/>
        <v>2</v>
      </c>
      <c r="N101" s="18">
        <f t="shared" si="10"/>
        <v>0.9285714285714286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 t="s">
        <v>1348</v>
      </c>
      <c r="Z101" s="27" t="s">
        <v>1348</v>
      </c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274</v>
      </c>
      <c r="B102" s="68"/>
      <c r="C102" s="69" t="s">
        <v>278</v>
      </c>
      <c r="D102" s="68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B103" s="68"/>
      <c r="C103" s="69" t="s">
        <v>281</v>
      </c>
      <c r="D103" s="68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17">
        <f t="shared" si="8"/>
        <v>25</v>
      </c>
      <c r="M103" s="17">
        <f t="shared" si="9"/>
        <v>3</v>
      </c>
      <c r="N103" s="18">
        <f t="shared" si="10"/>
        <v>0.8928571428571429</v>
      </c>
      <c r="O103" s="27"/>
      <c r="P103" s="8"/>
      <c r="Q103" s="8"/>
      <c r="R103" s="8" t="s">
        <v>1348</v>
      </c>
      <c r="S103" s="27"/>
      <c r="T103" s="27"/>
      <c r="U103" s="8"/>
      <c r="V103" s="8"/>
      <c r="W103" s="8"/>
      <c r="X103" s="27"/>
      <c r="Y103" s="27" t="s">
        <v>1348</v>
      </c>
      <c r="Z103" s="27" t="s">
        <v>1348</v>
      </c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283</v>
      </c>
      <c r="B104" s="68"/>
      <c r="C104" s="69" t="s">
        <v>284</v>
      </c>
      <c r="D104" s="68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17">
        <f t="shared" si="8"/>
        <v>25</v>
      </c>
      <c r="M104" s="17">
        <f t="shared" si="9"/>
        <v>3</v>
      </c>
      <c r="N104" s="18">
        <f t="shared" si="10"/>
        <v>0.8928571428571429</v>
      </c>
      <c r="O104" s="27"/>
      <c r="P104" s="8"/>
      <c r="Q104" s="8"/>
      <c r="R104" s="8" t="s">
        <v>1348</v>
      </c>
      <c r="S104" s="27" t="s">
        <v>1348</v>
      </c>
      <c r="T104" s="27" t="s">
        <v>1348</v>
      </c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283</v>
      </c>
      <c r="B105" s="68"/>
      <c r="C105" s="69" t="s">
        <v>287</v>
      </c>
      <c r="D105" s="68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17">
        <f t="shared" si="8"/>
        <v>25</v>
      </c>
      <c r="M105" s="17">
        <f t="shared" si="9"/>
        <v>3</v>
      </c>
      <c r="N105" s="18">
        <f t="shared" si="10"/>
        <v>0.8928571428571429</v>
      </c>
      <c r="O105" s="27"/>
      <c r="P105" s="8"/>
      <c r="Q105" s="8"/>
      <c r="R105" s="8" t="s">
        <v>1348</v>
      </c>
      <c r="S105" s="27" t="s">
        <v>1348</v>
      </c>
      <c r="T105" s="27" t="s">
        <v>1348</v>
      </c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289</v>
      </c>
      <c r="B106" s="68"/>
      <c r="C106" s="69" t="s">
        <v>290</v>
      </c>
      <c r="D106" s="68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17">
        <f t="shared" si="8"/>
        <v>27</v>
      </c>
      <c r="M106" s="17">
        <f t="shared" si="9"/>
        <v>1</v>
      </c>
      <c r="N106" s="18">
        <f t="shared" si="10"/>
        <v>0.9642857142857143</v>
      </c>
      <c r="O106" s="27"/>
      <c r="P106" s="8"/>
      <c r="Q106" s="8"/>
      <c r="R106" s="8" t="s">
        <v>1348</v>
      </c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t="s">
        <v>289</v>
      </c>
      <c r="B107" s="68"/>
      <c r="C107" s="69" t="s">
        <v>293</v>
      </c>
      <c r="D107" s="68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17">
        <f t="shared" si="8"/>
        <v>27</v>
      </c>
      <c r="M107" s="17">
        <f t="shared" si="9"/>
        <v>1</v>
      </c>
      <c r="N107" s="18">
        <f t="shared" si="10"/>
        <v>0.9642857142857143</v>
      </c>
      <c r="O107" s="27"/>
      <c r="P107" s="8"/>
      <c r="Q107" s="8"/>
      <c r="R107" s="8" t="s">
        <v>1348</v>
      </c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t="s">
        <v>289</v>
      </c>
      <c r="B108" s="68"/>
      <c r="C108" s="69" t="s">
        <v>295</v>
      </c>
      <c r="D108" s="6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17">
        <f t="shared" si="8"/>
        <v>27</v>
      </c>
      <c r="M108" s="17">
        <f t="shared" si="9"/>
        <v>1</v>
      </c>
      <c r="N108" s="18">
        <f t="shared" si="10"/>
        <v>0.9642857142857143</v>
      </c>
      <c r="O108" s="27"/>
      <c r="P108" s="8"/>
      <c r="Q108" s="8"/>
      <c r="R108" s="8" t="s">
        <v>1348</v>
      </c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t="s">
        <v>289</v>
      </c>
      <c r="B109" s="68"/>
      <c r="C109" s="69" t="s">
        <v>298</v>
      </c>
      <c r="D109" s="68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17">
        <f t="shared" si="8"/>
        <v>27</v>
      </c>
      <c r="M109" s="17">
        <f t="shared" si="9"/>
        <v>1</v>
      </c>
      <c r="N109" s="18">
        <f t="shared" si="10"/>
        <v>0.9642857142857143</v>
      </c>
      <c r="O109" s="27"/>
      <c r="P109" s="8"/>
      <c r="Q109" s="8"/>
      <c r="R109" s="8" t="s">
        <v>1348</v>
      </c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t="s">
        <v>301</v>
      </c>
      <c r="B110" s="68"/>
      <c r="C110" s="69" t="s">
        <v>302</v>
      </c>
      <c r="D110" s="68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17">
        <f t="shared" si="8"/>
        <v>27</v>
      </c>
      <c r="M110" s="17">
        <f t="shared" si="9"/>
        <v>1</v>
      </c>
      <c r="N110" s="18">
        <f t="shared" si="10"/>
        <v>0.9642857142857143</v>
      </c>
      <c r="O110" s="27"/>
      <c r="P110" s="8"/>
      <c r="Q110" s="8"/>
      <c r="R110" s="8" t="s">
        <v>1348</v>
      </c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301</v>
      </c>
      <c r="B111" s="68"/>
      <c r="C111" s="69" t="s">
        <v>305</v>
      </c>
      <c r="D111" s="68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301</v>
      </c>
      <c r="B112" s="68"/>
      <c r="C112" s="69" t="s">
        <v>308</v>
      </c>
      <c r="D112" s="68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17">
        <f t="shared" si="8"/>
        <v>27</v>
      </c>
      <c r="M112" s="17">
        <f t="shared" si="9"/>
        <v>1</v>
      </c>
      <c r="N112" s="18">
        <f t="shared" si="10"/>
        <v>0.9642857142857143</v>
      </c>
      <c r="O112" s="27"/>
      <c r="P112" s="8"/>
      <c r="Q112" s="8"/>
      <c r="R112" s="8" t="s">
        <v>1348</v>
      </c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310</v>
      </c>
      <c r="B113" s="68"/>
      <c r="C113" s="69" t="s">
        <v>311</v>
      </c>
      <c r="D113" s="68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17">
        <f t="shared" si="8"/>
        <v>27</v>
      </c>
      <c r="M113" s="17">
        <f t="shared" si="9"/>
        <v>1</v>
      </c>
      <c r="N113" s="18">
        <f t="shared" si="10"/>
        <v>0.9642857142857143</v>
      </c>
      <c r="O113" s="27"/>
      <c r="P113" s="8"/>
      <c r="Q113" s="8"/>
      <c r="R113" s="8" t="s">
        <v>1348</v>
      </c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313</v>
      </c>
      <c r="B114" s="68"/>
      <c r="C114" s="69" t="s">
        <v>314</v>
      </c>
      <c r="D114" s="68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17">
        <f t="shared" si="8"/>
        <v>27</v>
      </c>
      <c r="M114" s="17">
        <f t="shared" si="9"/>
        <v>1</v>
      </c>
      <c r="N114" s="18">
        <f t="shared" si="10"/>
        <v>0.9642857142857143</v>
      </c>
      <c r="O114" s="27"/>
      <c r="P114" s="8"/>
      <c r="Q114" s="8"/>
      <c r="R114" s="8" t="s">
        <v>1348</v>
      </c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301</v>
      </c>
      <c r="B115" s="68"/>
      <c r="C115" s="69" t="s">
        <v>317</v>
      </c>
      <c r="D115" s="68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17">
        <f t="shared" si="8"/>
        <v>19</v>
      </c>
      <c r="M115" s="17">
        <f t="shared" si="9"/>
        <v>9</v>
      </c>
      <c r="N115" s="18">
        <f t="shared" si="10"/>
        <v>0.6785714285714286</v>
      </c>
      <c r="O115" s="27"/>
      <c r="P115" s="8"/>
      <c r="Q115" s="8"/>
      <c r="R115" s="8" t="s">
        <v>1348</v>
      </c>
      <c r="S115" s="27" t="s">
        <v>1348</v>
      </c>
      <c r="T115" s="27" t="s">
        <v>1348</v>
      </c>
      <c r="U115" s="8" t="s">
        <v>1348</v>
      </c>
      <c r="V115" s="8" t="s">
        <v>1348</v>
      </c>
      <c r="W115" s="8" t="s">
        <v>1348</v>
      </c>
      <c r="X115" s="27" t="s">
        <v>1348</v>
      </c>
      <c r="Y115" s="27"/>
      <c r="Z115" s="27"/>
      <c r="AA115" s="27" t="s">
        <v>1348</v>
      </c>
      <c r="AB115" s="27" t="s">
        <v>1348</v>
      </c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t="s">
        <v>301</v>
      </c>
      <c r="B116" s="68"/>
      <c r="C116" s="69" t="s">
        <v>319</v>
      </c>
      <c r="D116" s="68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17">
        <f t="shared" si="8"/>
        <v>19</v>
      </c>
      <c r="M116" s="17">
        <f t="shared" si="9"/>
        <v>9</v>
      </c>
      <c r="N116" s="18">
        <f t="shared" si="10"/>
        <v>0.6785714285714286</v>
      </c>
      <c r="O116" s="27"/>
      <c r="P116" s="8"/>
      <c r="Q116" s="8"/>
      <c r="R116" s="8" t="s">
        <v>1348</v>
      </c>
      <c r="S116" s="27" t="s">
        <v>1348</v>
      </c>
      <c r="T116" s="27" t="s">
        <v>1348</v>
      </c>
      <c r="U116" s="8" t="s">
        <v>1348</v>
      </c>
      <c r="V116" s="8" t="s">
        <v>1348</v>
      </c>
      <c r="W116" s="8" t="s">
        <v>1348</v>
      </c>
      <c r="X116" s="27" t="s">
        <v>1348</v>
      </c>
      <c r="Y116" s="27"/>
      <c r="Z116" s="27"/>
      <c r="AA116" s="27" t="s">
        <v>1348</v>
      </c>
      <c r="AB116" s="27" t="s">
        <v>1348</v>
      </c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t="s">
        <v>301</v>
      </c>
      <c r="B117" s="68"/>
      <c r="C117" s="69" t="s">
        <v>322</v>
      </c>
      <c r="D117" s="68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17">
        <f t="shared" si="8"/>
        <v>27</v>
      </c>
      <c r="M117" s="17">
        <f t="shared" si="9"/>
        <v>1</v>
      </c>
      <c r="N117" s="18">
        <f t="shared" si="10"/>
        <v>0.9642857142857143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 t="s">
        <v>1348</v>
      </c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301</v>
      </c>
      <c r="B118" s="68"/>
      <c r="C118" s="69" t="s">
        <v>325</v>
      </c>
      <c r="D118" s="6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17">
        <f t="shared" si="8"/>
        <v>23</v>
      </c>
      <c r="M118" s="17">
        <f t="shared" si="9"/>
        <v>5</v>
      </c>
      <c r="N118" s="18">
        <f t="shared" si="10"/>
        <v>0.8214285714285714</v>
      </c>
      <c r="O118" s="27" t="s">
        <v>1348</v>
      </c>
      <c r="P118" s="8" t="s">
        <v>1348</v>
      </c>
      <c r="Q118" s="8" t="s">
        <v>1348</v>
      </c>
      <c r="R118" s="8" t="s">
        <v>1348</v>
      </c>
      <c r="S118" s="27" t="s">
        <v>1348</v>
      </c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301</v>
      </c>
      <c r="B119" s="68"/>
      <c r="C119" s="69" t="s">
        <v>328</v>
      </c>
      <c r="D119" s="68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17">
        <f t="shared" si="8"/>
        <v>23</v>
      </c>
      <c r="M119" s="17">
        <f t="shared" si="9"/>
        <v>5</v>
      </c>
      <c r="N119" s="18">
        <f t="shared" si="10"/>
        <v>0.8214285714285714</v>
      </c>
      <c r="O119" s="27" t="s">
        <v>1348</v>
      </c>
      <c r="P119" s="8" t="s">
        <v>1348</v>
      </c>
      <c r="Q119" s="8" t="s">
        <v>1348</v>
      </c>
      <c r="R119" s="8" t="s">
        <v>1348</v>
      </c>
      <c r="S119" s="27" t="s">
        <v>1348</v>
      </c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301</v>
      </c>
      <c r="B120" s="68"/>
      <c r="C120" s="69" t="s">
        <v>330</v>
      </c>
      <c r="D120" s="68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17">
        <f t="shared" si="8"/>
        <v>26</v>
      </c>
      <c r="M120" s="17">
        <f t="shared" si="9"/>
        <v>2</v>
      </c>
      <c r="N120" s="18">
        <f t="shared" si="10"/>
        <v>0.9285714285714286</v>
      </c>
      <c r="O120" s="27"/>
      <c r="P120" s="8"/>
      <c r="Q120" s="8"/>
      <c r="R120" s="8" t="s">
        <v>1348</v>
      </c>
      <c r="S120" s="27"/>
      <c r="T120" s="27"/>
      <c r="U120" s="8"/>
      <c r="V120" s="8"/>
      <c r="W120" s="8"/>
      <c r="X120" s="27"/>
      <c r="Y120" s="27" t="s">
        <v>1348</v>
      </c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t="s">
        <v>301</v>
      </c>
      <c r="B121" s="68"/>
      <c r="C121" s="69" t="s">
        <v>332</v>
      </c>
      <c r="D121" s="68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17">
        <f t="shared" si="8"/>
        <v>27</v>
      </c>
      <c r="M121" s="17">
        <f t="shared" si="9"/>
        <v>1</v>
      </c>
      <c r="N121" s="18">
        <f t="shared" si="10"/>
        <v>0.9642857142857143</v>
      </c>
      <c r="O121" s="27"/>
      <c r="P121" s="8"/>
      <c r="Q121" s="8"/>
      <c r="R121" s="8" t="s">
        <v>1348</v>
      </c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t="s">
        <v>333</v>
      </c>
      <c r="B122" s="68"/>
      <c r="C122" s="69" t="s">
        <v>334</v>
      </c>
      <c r="D122" s="68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17">
        <f t="shared" si="8"/>
        <v>27</v>
      </c>
      <c r="M122" s="17">
        <f t="shared" si="9"/>
        <v>1</v>
      </c>
      <c r="N122" s="18">
        <f t="shared" si="10"/>
        <v>0.9642857142857143</v>
      </c>
      <c r="O122" s="27"/>
      <c r="P122" s="8"/>
      <c r="Q122" s="8"/>
      <c r="R122" s="8" t="s">
        <v>1348</v>
      </c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t="s">
        <v>333</v>
      </c>
      <c r="B123" s="68"/>
      <c r="C123" s="69" t="s">
        <v>336</v>
      </c>
      <c r="D123" s="68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17">
        <f t="shared" si="8"/>
        <v>27</v>
      </c>
      <c r="M123" s="17">
        <f t="shared" si="9"/>
        <v>1</v>
      </c>
      <c r="N123" s="18">
        <f t="shared" si="10"/>
        <v>0.9642857142857143</v>
      </c>
      <c r="O123" s="27"/>
      <c r="P123" s="8"/>
      <c r="Q123" s="8"/>
      <c r="R123" s="8" t="s">
        <v>1348</v>
      </c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t="s">
        <v>338</v>
      </c>
      <c r="B124" s="68"/>
      <c r="C124" s="69" t="s">
        <v>339</v>
      </c>
      <c r="D124" s="68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342</v>
      </c>
      <c r="B125" s="68"/>
      <c r="C125" s="69" t="s">
        <v>343</v>
      </c>
      <c r="D125" s="68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342</v>
      </c>
      <c r="B126" s="68"/>
      <c r="C126" s="69" t="s">
        <v>346</v>
      </c>
      <c r="D126" s="68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17">
        <f t="shared" si="8"/>
        <v>27</v>
      </c>
      <c r="M126" s="17">
        <f t="shared" si="9"/>
        <v>1</v>
      </c>
      <c r="N126" s="18">
        <f t="shared" si="10"/>
        <v>0.9642857142857143</v>
      </c>
      <c r="O126" s="27"/>
      <c r="P126" s="8"/>
      <c r="Q126" s="8"/>
      <c r="R126" s="8" t="s">
        <v>1348</v>
      </c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342</v>
      </c>
      <c r="B127" s="68"/>
      <c r="C127" s="69" t="s">
        <v>349</v>
      </c>
      <c r="D127" s="68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17">
        <f t="shared" si="8"/>
        <v>27</v>
      </c>
      <c r="M127" s="17">
        <f t="shared" si="9"/>
        <v>1</v>
      </c>
      <c r="N127" s="18">
        <f t="shared" si="10"/>
        <v>0.9642857142857143</v>
      </c>
      <c r="O127" s="27"/>
      <c r="P127" s="8"/>
      <c r="Q127" s="8"/>
      <c r="R127" s="8" t="s">
        <v>1348</v>
      </c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342</v>
      </c>
      <c r="B128" s="68"/>
      <c r="C128" s="69" t="s">
        <v>352</v>
      </c>
      <c r="D128" s="6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17">
        <f t="shared" si="8"/>
        <v>26</v>
      </c>
      <c r="M128" s="17">
        <f t="shared" si="9"/>
        <v>2</v>
      </c>
      <c r="N128" s="18">
        <f t="shared" si="10"/>
        <v>0.9285714285714286</v>
      </c>
      <c r="O128" s="27" t="s">
        <v>1348</v>
      </c>
      <c r="P128" s="8"/>
      <c r="Q128" s="8"/>
      <c r="R128" s="8" t="s">
        <v>1348</v>
      </c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342</v>
      </c>
      <c r="B129" s="68"/>
      <c r="C129" s="69" t="s">
        <v>355</v>
      </c>
      <c r="D129" s="68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17">
        <f t="shared" si="8"/>
        <v>25</v>
      </c>
      <c r="M129" s="17">
        <f t="shared" si="9"/>
        <v>3</v>
      </c>
      <c r="N129" s="18">
        <f t="shared" si="10"/>
        <v>0.8928571428571429</v>
      </c>
      <c r="O129" s="27"/>
      <c r="P129" s="8"/>
      <c r="Q129" s="8"/>
      <c r="R129" s="8" t="s">
        <v>1348</v>
      </c>
      <c r="S129" s="27" t="s">
        <v>1348</v>
      </c>
      <c r="T129" s="27" t="s">
        <v>1348</v>
      </c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342</v>
      </c>
      <c r="B130" s="68"/>
      <c r="C130" s="69" t="s">
        <v>357</v>
      </c>
      <c r="D130" s="68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17">
        <f t="shared" si="8"/>
        <v>25</v>
      </c>
      <c r="M130" s="17">
        <f t="shared" si="9"/>
        <v>3</v>
      </c>
      <c r="N130" s="18">
        <f t="shared" si="10"/>
        <v>0.8928571428571429</v>
      </c>
      <c r="O130" s="27"/>
      <c r="P130" s="8"/>
      <c r="Q130" s="8"/>
      <c r="R130" s="8" t="s">
        <v>1348</v>
      </c>
      <c r="S130" s="27" t="s">
        <v>1348</v>
      </c>
      <c r="T130" s="27" t="s">
        <v>1348</v>
      </c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358</v>
      </c>
      <c r="B131" s="68"/>
      <c r="C131" s="69" t="s">
        <v>359</v>
      </c>
      <c r="D131" s="68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261</v>
      </c>
      <c r="B132" s="68"/>
      <c r="C132" s="69" t="s">
        <v>362</v>
      </c>
      <c r="D132" s="68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342</v>
      </c>
      <c r="B133" s="68"/>
      <c r="C133" s="69" t="s">
        <v>365</v>
      </c>
      <c r="D133" s="68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17">
        <f t="shared" ref="L133:L196" si="11">COUNTIF(O133:AP133,"")</f>
        <v>16</v>
      </c>
      <c r="M133" s="17">
        <f t="shared" ref="M133:M196" si="12">COUNTIF(O133:AP133,"APAGADO")</f>
        <v>12</v>
      </c>
      <c r="N133" s="18">
        <f t="shared" ref="N133:N196" si="13">(L133)/(M133+L133)</f>
        <v>0.5714285714285714</v>
      </c>
      <c r="O133" s="27" t="s">
        <v>1348</v>
      </c>
      <c r="P133" s="8" t="s">
        <v>1348</v>
      </c>
      <c r="Q133" s="8" t="s">
        <v>1348</v>
      </c>
      <c r="R133" s="8" t="s">
        <v>1348</v>
      </c>
      <c r="S133" s="27" t="s">
        <v>1348</v>
      </c>
      <c r="T133" s="27" t="s">
        <v>1348</v>
      </c>
      <c r="U133" s="8" t="s">
        <v>1348</v>
      </c>
      <c r="V133" s="8" t="s">
        <v>1348</v>
      </c>
      <c r="W133" s="8" t="s">
        <v>1348</v>
      </c>
      <c r="X133" s="27" t="s">
        <v>1348</v>
      </c>
      <c r="Y133" s="27"/>
      <c r="Z133" s="27"/>
      <c r="AA133" s="27" t="s">
        <v>1348</v>
      </c>
      <c r="AB133" s="27" t="s">
        <v>1348</v>
      </c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t="s">
        <v>342</v>
      </c>
      <c r="B134" s="68"/>
      <c r="C134" s="69" t="s">
        <v>368</v>
      </c>
      <c r="D134" s="68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17">
        <f t="shared" si="11"/>
        <v>25</v>
      </c>
      <c r="M134" s="17">
        <f t="shared" si="12"/>
        <v>3</v>
      </c>
      <c r="N134" s="18">
        <f t="shared" si="13"/>
        <v>0.8928571428571429</v>
      </c>
      <c r="O134" s="27"/>
      <c r="P134" s="8"/>
      <c r="Q134" s="8"/>
      <c r="R134" s="8" t="s">
        <v>1348</v>
      </c>
      <c r="S134" s="27"/>
      <c r="T134" s="27"/>
      <c r="U134" s="8"/>
      <c r="V134" s="8"/>
      <c r="W134" s="8"/>
      <c r="X134" s="27"/>
      <c r="Y134" s="27" t="s">
        <v>1348</v>
      </c>
      <c r="Z134" s="27" t="s">
        <v>1348</v>
      </c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342</v>
      </c>
      <c r="B135" s="68"/>
      <c r="C135" s="69" t="s">
        <v>371</v>
      </c>
      <c r="D135" s="68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17">
        <f t="shared" si="11"/>
        <v>17</v>
      </c>
      <c r="M135" s="17">
        <f t="shared" si="12"/>
        <v>11</v>
      </c>
      <c r="N135" s="18">
        <f t="shared" si="13"/>
        <v>0.6071428571428571</v>
      </c>
      <c r="O135" s="27"/>
      <c r="P135" s="8" t="s">
        <v>1348</v>
      </c>
      <c r="Q135" s="8" t="s">
        <v>1348</v>
      </c>
      <c r="R135" s="8" t="s">
        <v>1348</v>
      </c>
      <c r="S135" s="27" t="s">
        <v>1348</v>
      </c>
      <c r="T135" s="27" t="s">
        <v>1348</v>
      </c>
      <c r="U135" s="8" t="s">
        <v>1348</v>
      </c>
      <c r="V135" s="8" t="s">
        <v>1348</v>
      </c>
      <c r="W135" s="8" t="s">
        <v>1348</v>
      </c>
      <c r="X135" s="27" t="s">
        <v>1348</v>
      </c>
      <c r="Y135" s="27"/>
      <c r="Z135" s="27"/>
      <c r="AA135" s="27" t="s">
        <v>1348</v>
      </c>
      <c r="AB135" s="27" t="s">
        <v>1348</v>
      </c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t="s">
        <v>342</v>
      </c>
      <c r="B136" s="68"/>
      <c r="C136" s="69" t="s">
        <v>373</v>
      </c>
      <c r="D136" s="68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17">
        <f t="shared" si="11"/>
        <v>27</v>
      </c>
      <c r="M136" s="17">
        <f t="shared" si="12"/>
        <v>1</v>
      </c>
      <c r="N136" s="18">
        <f t="shared" si="13"/>
        <v>0.9642857142857143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 t="s">
        <v>1348</v>
      </c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t="s">
        <v>342</v>
      </c>
      <c r="B137" s="68"/>
      <c r="C137" s="69" t="s">
        <v>376</v>
      </c>
      <c r="D137" s="68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342</v>
      </c>
      <c r="B138" s="68"/>
      <c r="C138" s="69" t="s">
        <v>378</v>
      </c>
      <c r="D138" s="68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17">
        <f t="shared" si="11"/>
        <v>25</v>
      </c>
      <c r="M138" s="17">
        <f t="shared" si="12"/>
        <v>3</v>
      </c>
      <c r="N138" s="18">
        <f t="shared" si="13"/>
        <v>0.8928571428571429</v>
      </c>
      <c r="O138" s="27"/>
      <c r="P138" s="8"/>
      <c r="Q138" s="8"/>
      <c r="R138" s="8" t="s">
        <v>1348</v>
      </c>
      <c r="S138" s="27" t="s">
        <v>1348</v>
      </c>
      <c r="T138" s="27" t="s">
        <v>1348</v>
      </c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342</v>
      </c>
      <c r="B139" s="68"/>
      <c r="C139" s="69" t="s">
        <v>381</v>
      </c>
      <c r="D139" s="68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17">
        <f t="shared" si="11"/>
        <v>25</v>
      </c>
      <c r="M139" s="17">
        <f t="shared" si="12"/>
        <v>3</v>
      </c>
      <c r="N139" s="18">
        <f t="shared" si="13"/>
        <v>0.8928571428571429</v>
      </c>
      <c r="O139" s="27"/>
      <c r="P139" s="8"/>
      <c r="Q139" s="8"/>
      <c r="R139" s="8" t="s">
        <v>1348</v>
      </c>
      <c r="S139" s="27" t="s">
        <v>1348</v>
      </c>
      <c r="T139" s="27" t="s">
        <v>1348</v>
      </c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342</v>
      </c>
      <c r="B140" s="68"/>
      <c r="C140" s="69" t="s">
        <v>383</v>
      </c>
      <c r="D140" s="68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17">
        <f t="shared" si="11"/>
        <v>25</v>
      </c>
      <c r="M140" s="17">
        <f t="shared" si="12"/>
        <v>3</v>
      </c>
      <c r="N140" s="18">
        <f t="shared" si="13"/>
        <v>0.8928571428571429</v>
      </c>
      <c r="O140" s="27"/>
      <c r="P140" s="8"/>
      <c r="Q140" s="8"/>
      <c r="R140" s="8" t="s">
        <v>1348</v>
      </c>
      <c r="S140" s="27" t="s">
        <v>1348</v>
      </c>
      <c r="T140" s="27" t="s">
        <v>1348</v>
      </c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342</v>
      </c>
      <c r="B141" s="68"/>
      <c r="C141" s="69" t="s">
        <v>386</v>
      </c>
      <c r="D141" s="68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17">
        <f t="shared" si="11"/>
        <v>23</v>
      </c>
      <c r="M141" s="17">
        <f t="shared" si="12"/>
        <v>5</v>
      </c>
      <c r="N141" s="18">
        <f t="shared" si="13"/>
        <v>0.8214285714285714</v>
      </c>
      <c r="O141" s="27"/>
      <c r="P141" s="8"/>
      <c r="Q141" s="8"/>
      <c r="R141" s="8" t="s">
        <v>1348</v>
      </c>
      <c r="S141" s="27" t="s">
        <v>1348</v>
      </c>
      <c r="T141" s="27" t="s">
        <v>1348</v>
      </c>
      <c r="U141" s="8"/>
      <c r="V141" s="8"/>
      <c r="W141" s="8"/>
      <c r="X141" s="27"/>
      <c r="Y141" s="27" t="s">
        <v>1348</v>
      </c>
      <c r="Z141" s="27" t="s">
        <v>1348</v>
      </c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167</v>
      </c>
      <c r="B142" s="68"/>
      <c r="C142" s="69" t="s">
        <v>387</v>
      </c>
      <c r="D142" s="68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17">
        <f t="shared" si="11"/>
        <v>26</v>
      </c>
      <c r="M142" s="17">
        <f t="shared" si="12"/>
        <v>2</v>
      </c>
      <c r="N142" s="18">
        <f t="shared" si="13"/>
        <v>0.9285714285714286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 t="s">
        <v>1348</v>
      </c>
      <c r="AA142" s="27"/>
      <c r="AB142" s="27" t="s">
        <v>1348</v>
      </c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t="s">
        <v>167</v>
      </c>
      <c r="B143" s="68"/>
      <c r="C143" s="69" t="s">
        <v>390</v>
      </c>
      <c r="D143" s="68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17">
        <f t="shared" si="11"/>
        <v>27</v>
      </c>
      <c r="M143" s="17">
        <f t="shared" si="12"/>
        <v>1</v>
      </c>
      <c r="N143" s="18">
        <f t="shared" si="13"/>
        <v>0.9642857142857143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1348</v>
      </c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t="s">
        <v>167</v>
      </c>
      <c r="B144" s="66">
        <v>44629</v>
      </c>
      <c r="C144" s="69" t="s">
        <v>392</v>
      </c>
      <c r="D144" s="68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17">
        <f t="shared" si="11"/>
        <v>21</v>
      </c>
      <c r="M144" s="17">
        <f t="shared" si="12"/>
        <v>7</v>
      </c>
      <c r="N144" s="18">
        <f t="shared" si="13"/>
        <v>0.75</v>
      </c>
      <c r="O144" s="27"/>
      <c r="P144" s="8"/>
      <c r="Q144" s="8"/>
      <c r="R144" s="8"/>
      <c r="S144" s="27" t="s">
        <v>1348</v>
      </c>
      <c r="T144" s="27"/>
      <c r="U144" s="8" t="s">
        <v>1348</v>
      </c>
      <c r="V144" s="8" t="s">
        <v>1348</v>
      </c>
      <c r="W144" s="8" t="s">
        <v>1348</v>
      </c>
      <c r="X144" s="27" t="s">
        <v>1348</v>
      </c>
      <c r="Y144" s="27" t="s">
        <v>1348</v>
      </c>
      <c r="Z144" s="27"/>
      <c r="AA144" s="27"/>
      <c r="AB144" s="27" t="s">
        <v>1348</v>
      </c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t="s">
        <v>261</v>
      </c>
      <c r="B145" s="68"/>
      <c r="C145" s="69" t="s">
        <v>394</v>
      </c>
      <c r="D145" s="68" t="s">
        <v>1319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17">
        <f t="shared" si="11"/>
        <v>27</v>
      </c>
      <c r="M145" s="17">
        <f t="shared" si="12"/>
        <v>1</v>
      </c>
      <c r="N145" s="18">
        <f t="shared" si="13"/>
        <v>0.9642857142857143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 t="s">
        <v>1348</v>
      </c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B146" s="68"/>
      <c r="C146" s="69" t="s">
        <v>395</v>
      </c>
      <c r="D146" s="68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17">
        <f t="shared" si="11"/>
        <v>27</v>
      </c>
      <c r="M146" s="17">
        <f t="shared" si="12"/>
        <v>1</v>
      </c>
      <c r="N146" s="18">
        <f t="shared" si="13"/>
        <v>0.9642857142857143</v>
      </c>
      <c r="O146" s="27"/>
      <c r="P146" s="8"/>
      <c r="Q146" s="8"/>
      <c r="R146" s="8" t="s">
        <v>1348</v>
      </c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399</v>
      </c>
      <c r="B147" s="68"/>
      <c r="C147" s="69" t="s">
        <v>400</v>
      </c>
      <c r="D147" s="68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399</v>
      </c>
      <c r="B148" s="68"/>
      <c r="C148" s="69" t="s">
        <v>402</v>
      </c>
      <c r="D148" s="6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403</v>
      </c>
      <c r="B149" s="68"/>
      <c r="C149" s="69" t="s">
        <v>404</v>
      </c>
      <c r="D149" s="68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403</v>
      </c>
      <c r="B150" s="68"/>
      <c r="C150" s="69" t="s">
        <v>406</v>
      </c>
      <c r="D150" s="68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403</v>
      </c>
      <c r="B151" s="68"/>
      <c r="C151" s="69" t="s">
        <v>408</v>
      </c>
      <c r="D151" s="68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B152" s="68"/>
      <c r="C152" s="69" t="s">
        <v>409</v>
      </c>
      <c r="D152" s="68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17">
        <f t="shared" si="11"/>
        <v>23</v>
      </c>
      <c r="M152" s="17">
        <f t="shared" si="12"/>
        <v>5</v>
      </c>
      <c r="N152" s="18">
        <f t="shared" si="13"/>
        <v>0.8214285714285714</v>
      </c>
      <c r="O152" s="27"/>
      <c r="P152" s="8"/>
      <c r="Q152" s="8"/>
      <c r="R152" s="8" t="s">
        <v>1348</v>
      </c>
      <c r="S152" s="27"/>
      <c r="T152" s="27"/>
      <c r="U152" s="8" t="s">
        <v>1348</v>
      </c>
      <c r="V152" s="8" t="s">
        <v>1348</v>
      </c>
      <c r="W152" s="8" t="s">
        <v>1348</v>
      </c>
      <c r="X152" s="27" t="s">
        <v>1348</v>
      </c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412</v>
      </c>
      <c r="B153" s="66">
        <v>44642</v>
      </c>
      <c r="C153" s="69" t="s">
        <v>413</v>
      </c>
      <c r="D153" s="68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17">
        <f t="shared" si="11"/>
        <v>25</v>
      </c>
      <c r="M153" s="17">
        <f t="shared" si="12"/>
        <v>3</v>
      </c>
      <c r="N153" s="18">
        <f t="shared" si="13"/>
        <v>0.8928571428571429</v>
      </c>
      <c r="O153" s="27"/>
      <c r="P153" s="8"/>
      <c r="Q153" s="8"/>
      <c r="R153" s="8" t="s">
        <v>1348</v>
      </c>
      <c r="S153" s="27"/>
      <c r="T153" s="27"/>
      <c r="U153" s="8"/>
      <c r="V153" s="8"/>
      <c r="W153" s="8"/>
      <c r="X153" s="27"/>
      <c r="Y153" s="27" t="s">
        <v>1348</v>
      </c>
      <c r="Z153" s="27" t="s">
        <v>1348</v>
      </c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415</v>
      </c>
      <c r="B154" s="68"/>
      <c r="C154" s="69" t="s">
        <v>416</v>
      </c>
      <c r="D154" s="68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415</v>
      </c>
      <c r="B155" s="68"/>
      <c r="C155" s="69" t="s">
        <v>418</v>
      </c>
      <c r="D155" s="68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17">
        <f t="shared" si="11"/>
        <v>23</v>
      </c>
      <c r="M155" s="17">
        <f t="shared" si="12"/>
        <v>5</v>
      </c>
      <c r="N155" s="18">
        <f t="shared" si="13"/>
        <v>0.8214285714285714</v>
      </c>
      <c r="O155" s="27"/>
      <c r="P155" s="8"/>
      <c r="Q155" s="8"/>
      <c r="R155" s="8"/>
      <c r="S155" s="27"/>
      <c r="T155" s="27"/>
      <c r="U155" s="8" t="s">
        <v>1348</v>
      </c>
      <c r="V155" s="8" t="s">
        <v>1348</v>
      </c>
      <c r="W155" s="8" t="s">
        <v>1348</v>
      </c>
      <c r="X155" s="27" t="s">
        <v>1348</v>
      </c>
      <c r="Y155" s="27" t="s">
        <v>1348</v>
      </c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415</v>
      </c>
      <c r="B156" s="66">
        <v>44642</v>
      </c>
      <c r="C156" s="69" t="s">
        <v>421</v>
      </c>
      <c r="D156" s="68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17">
        <f t="shared" si="11"/>
        <v>27</v>
      </c>
      <c r="M156" s="17">
        <f t="shared" si="12"/>
        <v>1</v>
      </c>
      <c r="N156" s="18">
        <f t="shared" si="13"/>
        <v>0.9642857142857143</v>
      </c>
      <c r="O156" s="27"/>
      <c r="P156" s="8"/>
      <c r="Q156" s="8"/>
      <c r="R156" s="8" t="s">
        <v>1348</v>
      </c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t="s">
        <v>412</v>
      </c>
      <c r="B157" s="68"/>
      <c r="C157" s="69" t="s">
        <v>423</v>
      </c>
      <c r="D157" s="68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17">
        <f t="shared" si="11"/>
        <v>27</v>
      </c>
      <c r="M157" s="17">
        <f t="shared" si="12"/>
        <v>1</v>
      </c>
      <c r="N157" s="18">
        <f t="shared" si="13"/>
        <v>0.9642857142857143</v>
      </c>
      <c r="O157" s="27"/>
      <c r="P157" s="8"/>
      <c r="Q157" s="8"/>
      <c r="R157" s="8" t="s">
        <v>1348</v>
      </c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415</v>
      </c>
      <c r="B158" s="68"/>
      <c r="C158" s="69" t="s">
        <v>426</v>
      </c>
      <c r="D158" s="6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1348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415</v>
      </c>
      <c r="B159" s="66">
        <v>44642</v>
      </c>
      <c r="C159" s="69" t="s">
        <v>428</v>
      </c>
      <c r="D159" s="68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415</v>
      </c>
      <c r="B160" s="68"/>
      <c r="C160" s="69" t="s">
        <v>430</v>
      </c>
      <c r="D160" s="68" t="s">
        <v>1324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415</v>
      </c>
      <c r="B161" s="68"/>
      <c r="C161" s="69" t="s">
        <v>431</v>
      </c>
      <c r="D161" s="68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 t="s">
        <v>1348</v>
      </c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415</v>
      </c>
      <c r="B162" s="68"/>
      <c r="C162" s="69" t="s">
        <v>433</v>
      </c>
      <c r="D162" s="68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415</v>
      </c>
      <c r="B163" s="68"/>
      <c r="C163" s="69" t="s">
        <v>436</v>
      </c>
      <c r="D163" s="68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415</v>
      </c>
      <c r="B164" s="68"/>
      <c r="C164" s="69" t="s">
        <v>439</v>
      </c>
      <c r="D164" s="68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415</v>
      </c>
      <c r="B165" s="68"/>
      <c r="C165" s="69" t="s">
        <v>440</v>
      </c>
      <c r="D165" s="68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358</v>
      </c>
      <c r="B166" s="68"/>
      <c r="C166" s="69" t="s">
        <v>442</v>
      </c>
      <c r="D166" s="68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17">
        <f t="shared" si="11"/>
        <v>16</v>
      </c>
      <c r="M166" s="17">
        <f t="shared" si="12"/>
        <v>12</v>
      </c>
      <c r="N166" s="18">
        <f t="shared" si="13"/>
        <v>0.5714285714285714</v>
      </c>
      <c r="O166" s="27" t="s">
        <v>1348</v>
      </c>
      <c r="P166" s="8" t="s">
        <v>1348</v>
      </c>
      <c r="Q166" s="8" t="s">
        <v>1348</v>
      </c>
      <c r="R166" s="8" t="s">
        <v>1348</v>
      </c>
      <c r="S166" s="27" t="s">
        <v>1348</v>
      </c>
      <c r="T166" s="27" t="s">
        <v>1348</v>
      </c>
      <c r="U166" s="8" t="s">
        <v>1348</v>
      </c>
      <c r="V166" s="8" t="s">
        <v>1348</v>
      </c>
      <c r="W166" s="8" t="s">
        <v>1348</v>
      </c>
      <c r="X166" s="27" t="s">
        <v>1348</v>
      </c>
      <c r="Y166" s="27"/>
      <c r="Z166" s="27"/>
      <c r="AA166" s="27" t="s">
        <v>1348</v>
      </c>
      <c r="AB166" s="27" t="s">
        <v>1348</v>
      </c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t="s">
        <v>445</v>
      </c>
      <c r="B167" s="68"/>
      <c r="C167" s="69" t="s">
        <v>446</v>
      </c>
      <c r="D167" s="68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445</v>
      </c>
      <c r="B168" s="68"/>
      <c r="C168" s="69" t="s">
        <v>447</v>
      </c>
      <c r="D168" s="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17">
        <f t="shared" si="11"/>
        <v>27</v>
      </c>
      <c r="M168" s="17">
        <f t="shared" si="12"/>
        <v>1</v>
      </c>
      <c r="N168" s="18">
        <f t="shared" si="13"/>
        <v>0.9642857142857143</v>
      </c>
      <c r="O168" s="27"/>
      <c r="P168" s="8"/>
      <c r="Q168" s="8"/>
      <c r="R168" s="8" t="s">
        <v>1348</v>
      </c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450</v>
      </c>
      <c r="B169" s="68"/>
      <c r="C169" s="69" t="s">
        <v>451</v>
      </c>
      <c r="D169" s="68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415</v>
      </c>
      <c r="B170" s="68"/>
      <c r="C170" s="69" t="s">
        <v>454</v>
      </c>
      <c r="D170" s="68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17">
        <f t="shared" si="11"/>
        <v>22</v>
      </c>
      <c r="M170" s="17">
        <f t="shared" si="12"/>
        <v>6</v>
      </c>
      <c r="N170" s="18">
        <f t="shared" si="13"/>
        <v>0.7857142857142857</v>
      </c>
      <c r="O170" s="27"/>
      <c r="P170" s="8"/>
      <c r="Q170" s="8"/>
      <c r="R170" s="8" t="s">
        <v>1348</v>
      </c>
      <c r="S170" s="27"/>
      <c r="T170" s="27"/>
      <c r="U170" s="8" t="s">
        <v>1348</v>
      </c>
      <c r="V170" s="8" t="s">
        <v>1348</v>
      </c>
      <c r="W170" s="8" t="s">
        <v>1348</v>
      </c>
      <c r="X170" s="27" t="s">
        <v>1348</v>
      </c>
      <c r="Y170" s="27"/>
      <c r="Z170" s="27"/>
      <c r="AA170" s="27" t="s">
        <v>1348</v>
      </c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456</v>
      </c>
      <c r="B171" s="68"/>
      <c r="C171" s="69" t="s">
        <v>457</v>
      </c>
      <c r="D171" s="68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17">
        <f t="shared" si="11"/>
        <v>28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450</v>
      </c>
      <c r="B172" s="68"/>
      <c r="C172" s="69" t="s">
        <v>460</v>
      </c>
      <c r="D172" s="68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17">
        <f t="shared" si="11"/>
        <v>24</v>
      </c>
      <c r="M172" s="17">
        <f t="shared" si="12"/>
        <v>4</v>
      </c>
      <c r="N172" s="18">
        <f t="shared" si="13"/>
        <v>0.8571428571428571</v>
      </c>
      <c r="O172" s="27"/>
      <c r="P172" s="8"/>
      <c r="Q172" s="8"/>
      <c r="R172" s="8"/>
      <c r="S172" s="27"/>
      <c r="T172" s="27"/>
      <c r="U172" s="8" t="s">
        <v>1348</v>
      </c>
      <c r="V172" s="8" t="s">
        <v>1348</v>
      </c>
      <c r="W172" s="8" t="s">
        <v>1348</v>
      </c>
      <c r="X172" s="27" t="s">
        <v>1348</v>
      </c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B173" s="68"/>
      <c r="C173" s="69" t="s">
        <v>463</v>
      </c>
      <c r="D173" s="68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456</v>
      </c>
      <c r="B174" s="68"/>
      <c r="C174" s="69" t="s">
        <v>466</v>
      </c>
      <c r="D174" s="68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17">
        <f t="shared" si="11"/>
        <v>28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469</v>
      </c>
      <c r="B175" s="68"/>
      <c r="C175" s="69" t="s">
        <v>470</v>
      </c>
      <c r="D175" s="68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469</v>
      </c>
      <c r="B176" s="68"/>
      <c r="C176" s="69" t="s">
        <v>472</v>
      </c>
      <c r="D176" s="68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469</v>
      </c>
      <c r="B177" s="68"/>
      <c r="C177" s="69" t="s">
        <v>475</v>
      </c>
      <c r="D177" s="68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17">
        <f t="shared" si="11"/>
        <v>16</v>
      </c>
      <c r="M177" s="17">
        <f t="shared" si="12"/>
        <v>12</v>
      </c>
      <c r="N177" s="18">
        <f t="shared" si="13"/>
        <v>0.5714285714285714</v>
      </c>
      <c r="O177" s="27" t="s">
        <v>1348</v>
      </c>
      <c r="P177" s="8" t="s">
        <v>1348</v>
      </c>
      <c r="Q177" s="8" t="s">
        <v>1348</v>
      </c>
      <c r="R177" s="8" t="s">
        <v>1348</v>
      </c>
      <c r="S177" s="27" t="s">
        <v>1348</v>
      </c>
      <c r="T177" s="27" t="s">
        <v>1348</v>
      </c>
      <c r="U177" s="8" t="s">
        <v>1348</v>
      </c>
      <c r="V177" s="8" t="s">
        <v>1348</v>
      </c>
      <c r="W177" s="8" t="s">
        <v>1348</v>
      </c>
      <c r="X177" s="27" t="s">
        <v>1348</v>
      </c>
      <c r="Y177" s="27"/>
      <c r="Z177" s="27"/>
      <c r="AA177" s="27" t="s">
        <v>1348</v>
      </c>
      <c r="AB177" s="27" t="s">
        <v>1348</v>
      </c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t="s">
        <v>469</v>
      </c>
      <c r="B178" s="68"/>
      <c r="C178" s="69" t="s">
        <v>477</v>
      </c>
      <c r="D178" s="6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17">
        <f t="shared" si="11"/>
        <v>27</v>
      </c>
      <c r="M178" s="17">
        <f t="shared" si="12"/>
        <v>1</v>
      </c>
      <c r="N178" s="18">
        <f t="shared" si="13"/>
        <v>0.9642857142857143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 t="s">
        <v>1348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480</v>
      </c>
      <c r="B179" s="68"/>
      <c r="C179" s="69" t="s">
        <v>481</v>
      </c>
      <c r="D179" s="68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480</v>
      </c>
      <c r="B180" s="68"/>
      <c r="C180" s="69" t="s">
        <v>483</v>
      </c>
      <c r="D180" s="68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17">
        <f t="shared" si="11"/>
        <v>26</v>
      </c>
      <c r="M180" s="17">
        <f t="shared" si="12"/>
        <v>2</v>
      </c>
      <c r="N180" s="18">
        <f t="shared" si="13"/>
        <v>0.9285714285714286</v>
      </c>
      <c r="O180" s="27"/>
      <c r="P180" s="8"/>
      <c r="Q180" s="8"/>
      <c r="R180" s="8"/>
      <c r="S180" s="27"/>
      <c r="T180" s="27"/>
      <c r="U180" s="8" t="s">
        <v>1348</v>
      </c>
      <c r="V180" s="8" t="s">
        <v>1348</v>
      </c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B181" s="68"/>
      <c r="C181" s="69" t="s">
        <v>486</v>
      </c>
      <c r="D181" s="68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17">
        <f t="shared" si="11"/>
        <v>24</v>
      </c>
      <c r="M181" s="17">
        <f t="shared" si="12"/>
        <v>4</v>
      </c>
      <c r="N181" s="18">
        <f t="shared" si="13"/>
        <v>0.8571428571428571</v>
      </c>
      <c r="O181" s="27"/>
      <c r="P181" s="8"/>
      <c r="Q181" s="8"/>
      <c r="R181" s="8"/>
      <c r="S181" s="27"/>
      <c r="T181" s="27"/>
      <c r="U181" s="8" t="s">
        <v>1348</v>
      </c>
      <c r="V181" s="8" t="s">
        <v>1348</v>
      </c>
      <c r="W181" s="8" t="s">
        <v>1348</v>
      </c>
      <c r="X181" s="27" t="s">
        <v>1348</v>
      </c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480</v>
      </c>
      <c r="B182" s="68"/>
      <c r="C182" s="69" t="s">
        <v>489</v>
      </c>
      <c r="D182" s="68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480</v>
      </c>
      <c r="B183" s="68"/>
      <c r="C183" s="69" t="s">
        <v>493</v>
      </c>
      <c r="D183" s="68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495</v>
      </c>
      <c r="B184" s="68"/>
      <c r="C184" s="69" t="s">
        <v>496</v>
      </c>
      <c r="D184" s="68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B185" s="68"/>
      <c r="C185" s="69" t="s">
        <v>498</v>
      </c>
      <c r="D185" s="68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17">
        <f t="shared" si="11"/>
        <v>27</v>
      </c>
      <c r="M185" s="17">
        <f t="shared" si="12"/>
        <v>1</v>
      </c>
      <c r="N185" s="18">
        <f t="shared" si="13"/>
        <v>0.9642857142857143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 t="s">
        <v>1348</v>
      </c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480</v>
      </c>
      <c r="B186" s="68"/>
      <c r="C186" s="69" t="s">
        <v>500</v>
      </c>
      <c r="D186" s="68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17">
        <f t="shared" si="11"/>
        <v>22</v>
      </c>
      <c r="M186" s="17">
        <f t="shared" si="12"/>
        <v>6</v>
      </c>
      <c r="N186" s="18">
        <f t="shared" si="13"/>
        <v>0.7857142857142857</v>
      </c>
      <c r="O186" s="27"/>
      <c r="P186" s="8"/>
      <c r="Q186" s="8"/>
      <c r="R186" s="8" t="s">
        <v>1348</v>
      </c>
      <c r="S186" s="27" t="s">
        <v>1348</v>
      </c>
      <c r="T186" s="27" t="s">
        <v>1348</v>
      </c>
      <c r="U186" s="8" t="s">
        <v>1348</v>
      </c>
      <c r="V186" s="8" t="s">
        <v>1348</v>
      </c>
      <c r="W186" s="8" t="s">
        <v>1348</v>
      </c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B187" s="68"/>
      <c r="C187" s="69" t="s">
        <v>503</v>
      </c>
      <c r="D187" s="68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B188" s="68"/>
      <c r="C188" s="69" t="s">
        <v>506</v>
      </c>
      <c r="D188" s="6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508</v>
      </c>
      <c r="B189" s="68"/>
      <c r="C189" s="69" t="s">
        <v>509</v>
      </c>
      <c r="D189" s="68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508</v>
      </c>
      <c r="B190" s="68"/>
      <c r="C190" s="69" t="s">
        <v>512</v>
      </c>
      <c r="D190" s="68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508</v>
      </c>
      <c r="B191" s="68"/>
      <c r="C191" s="69" t="s">
        <v>513</v>
      </c>
      <c r="D191" s="68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17">
        <f t="shared" si="11"/>
        <v>16</v>
      </c>
      <c r="M191" s="17">
        <f t="shared" si="12"/>
        <v>12</v>
      </c>
      <c r="N191" s="18">
        <f t="shared" si="13"/>
        <v>0.5714285714285714</v>
      </c>
      <c r="O191" s="27" t="s">
        <v>1348</v>
      </c>
      <c r="P191" s="8" t="s">
        <v>1348</v>
      </c>
      <c r="Q191" s="8" t="s">
        <v>1348</v>
      </c>
      <c r="R191" s="8" t="s">
        <v>1348</v>
      </c>
      <c r="S191" s="27" t="s">
        <v>1348</v>
      </c>
      <c r="T191" s="27" t="s">
        <v>1348</v>
      </c>
      <c r="U191" s="8" t="s">
        <v>1348</v>
      </c>
      <c r="V191" s="8" t="s">
        <v>1348</v>
      </c>
      <c r="W191" s="8" t="s">
        <v>1348</v>
      </c>
      <c r="X191" s="27" t="s">
        <v>1348</v>
      </c>
      <c r="Y191" s="27"/>
      <c r="Z191" s="27"/>
      <c r="AA191" s="27" t="s">
        <v>1348</v>
      </c>
      <c r="AB191" s="27" t="s">
        <v>1348</v>
      </c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t="s">
        <v>508</v>
      </c>
      <c r="B192" s="68"/>
      <c r="C192" s="69" t="s">
        <v>516</v>
      </c>
      <c r="D192" s="68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17">
        <f t="shared" si="11"/>
        <v>16</v>
      </c>
      <c r="M192" s="17">
        <f t="shared" si="12"/>
        <v>12</v>
      </c>
      <c r="N192" s="18">
        <f t="shared" si="13"/>
        <v>0.5714285714285714</v>
      </c>
      <c r="O192" s="27" t="s">
        <v>1348</v>
      </c>
      <c r="P192" s="8" t="s">
        <v>1348</v>
      </c>
      <c r="Q192" s="8" t="s">
        <v>1348</v>
      </c>
      <c r="R192" s="8" t="s">
        <v>1348</v>
      </c>
      <c r="S192" s="27" t="s">
        <v>1348</v>
      </c>
      <c r="T192" s="27" t="s">
        <v>1348</v>
      </c>
      <c r="U192" s="8" t="s">
        <v>1348</v>
      </c>
      <c r="V192" s="8" t="s">
        <v>1348</v>
      </c>
      <c r="W192" s="8" t="s">
        <v>1348</v>
      </c>
      <c r="X192" s="27" t="s">
        <v>1348</v>
      </c>
      <c r="Y192" s="27"/>
      <c r="Z192" s="27"/>
      <c r="AA192" s="27" t="s">
        <v>1348</v>
      </c>
      <c r="AB192" s="27" t="s">
        <v>1348</v>
      </c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t="s">
        <v>412</v>
      </c>
      <c r="B193" s="68"/>
      <c r="C193" s="69" t="s">
        <v>517</v>
      </c>
      <c r="D193" s="68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17">
        <f t="shared" si="11"/>
        <v>28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412</v>
      </c>
      <c r="B194" s="66">
        <v>44642</v>
      </c>
      <c r="C194" s="69" t="s">
        <v>519</v>
      </c>
      <c r="D194" s="68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17">
        <f t="shared" si="11"/>
        <v>17</v>
      </c>
      <c r="M194" s="17">
        <f t="shared" si="12"/>
        <v>11</v>
      </c>
      <c r="N194" s="18">
        <f t="shared" si="13"/>
        <v>0.6071428571428571</v>
      </c>
      <c r="O194" s="27" t="s">
        <v>1348</v>
      </c>
      <c r="P194" s="8" t="s">
        <v>1348</v>
      </c>
      <c r="Q194" s="8" t="s">
        <v>1348</v>
      </c>
      <c r="R194" s="8" t="s">
        <v>1348</v>
      </c>
      <c r="S194" s="27" t="s">
        <v>1348</v>
      </c>
      <c r="T194" s="27" t="s">
        <v>1348</v>
      </c>
      <c r="U194" s="8" t="s">
        <v>1348</v>
      </c>
      <c r="V194" s="8" t="s">
        <v>1348</v>
      </c>
      <c r="W194" s="8" t="s">
        <v>1348</v>
      </c>
      <c r="X194" s="27" t="s">
        <v>1348</v>
      </c>
      <c r="Y194" s="27"/>
      <c r="Z194" s="27"/>
      <c r="AA194" s="27" t="s">
        <v>1348</v>
      </c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t="s">
        <v>62</v>
      </c>
      <c r="B195" s="68"/>
      <c r="C195" s="69" t="s">
        <v>520</v>
      </c>
      <c r="D195" s="68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17">
        <f t="shared" si="11"/>
        <v>27</v>
      </c>
      <c r="M195" s="17">
        <f t="shared" si="12"/>
        <v>1</v>
      </c>
      <c r="N195" s="18">
        <f t="shared" si="13"/>
        <v>0.9642857142857143</v>
      </c>
      <c r="O195" s="27"/>
      <c r="P195" s="8"/>
      <c r="Q195" s="8"/>
      <c r="R195" s="8" t="s">
        <v>1348</v>
      </c>
      <c r="S195" s="27"/>
      <c r="T195" s="27"/>
      <c r="U195" s="8"/>
      <c r="V195" s="8"/>
      <c r="W195" s="8"/>
      <c r="X195" s="27"/>
      <c r="Y195" s="71"/>
      <c r="Z195" s="71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B196" s="68"/>
      <c r="C196" s="69" t="s">
        <v>523</v>
      </c>
      <c r="D196" s="68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17">
        <f t="shared" si="11"/>
        <v>23</v>
      </c>
      <c r="M196" s="17">
        <f t="shared" si="12"/>
        <v>5</v>
      </c>
      <c r="N196" s="18">
        <f t="shared" si="13"/>
        <v>0.8214285714285714</v>
      </c>
      <c r="O196" s="27"/>
      <c r="P196" s="8"/>
      <c r="Q196" s="8"/>
      <c r="R196" s="8" t="s">
        <v>1348</v>
      </c>
      <c r="S196" s="27"/>
      <c r="T196" s="27"/>
      <c r="U196" s="8" t="s">
        <v>1348</v>
      </c>
      <c r="V196" s="8" t="s">
        <v>1348</v>
      </c>
      <c r="W196" s="8" t="s">
        <v>1348</v>
      </c>
      <c r="X196" s="27" t="s">
        <v>1348</v>
      </c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289</v>
      </c>
      <c r="B197" s="68"/>
      <c r="C197" s="69" t="s">
        <v>524</v>
      </c>
      <c r="D197" s="68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17">
        <f t="shared" ref="L197:L262" si="14">COUNTIF(O197:AP197,"")</f>
        <v>27</v>
      </c>
      <c r="M197" s="17">
        <f t="shared" ref="M197:M262" si="15">COUNTIF(O197:AP197,"APAGADO")</f>
        <v>1</v>
      </c>
      <c r="N197" s="18">
        <f t="shared" ref="N197:N262" si="16">(L197)/(M197+L197)</f>
        <v>0.9642857142857143</v>
      </c>
      <c r="O197" s="27"/>
      <c r="P197" s="8"/>
      <c r="Q197" s="8"/>
      <c r="R197" s="8" t="s">
        <v>1348</v>
      </c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t="s">
        <v>289</v>
      </c>
      <c r="B198" s="68"/>
      <c r="C198" s="69" t="s">
        <v>527</v>
      </c>
      <c r="D198" s="6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17">
        <f t="shared" si="14"/>
        <v>21</v>
      </c>
      <c r="M198" s="17">
        <f t="shared" si="15"/>
        <v>7</v>
      </c>
      <c r="N198" s="18">
        <f t="shared" si="16"/>
        <v>0.75</v>
      </c>
      <c r="O198" s="27"/>
      <c r="P198" s="8"/>
      <c r="Q198" s="8"/>
      <c r="R198" s="8" t="s">
        <v>1348</v>
      </c>
      <c r="S198" s="27"/>
      <c r="T198" s="27" t="s">
        <v>1348</v>
      </c>
      <c r="U198" s="8" t="s">
        <v>1348</v>
      </c>
      <c r="V198" s="8" t="s">
        <v>1348</v>
      </c>
      <c r="W198" s="8" t="s">
        <v>1348</v>
      </c>
      <c r="X198" s="27"/>
      <c r="Y198" s="27" t="s">
        <v>1348</v>
      </c>
      <c r="Z198" s="27" t="s">
        <v>1348</v>
      </c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t="s">
        <v>333</v>
      </c>
      <c r="B199" s="68"/>
      <c r="C199" s="69" t="s">
        <v>529</v>
      </c>
      <c r="D199" s="68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17">
        <f t="shared" si="14"/>
        <v>23</v>
      </c>
      <c r="M199" s="17">
        <f t="shared" si="15"/>
        <v>5</v>
      </c>
      <c r="N199" s="18">
        <f t="shared" si="16"/>
        <v>0.8214285714285714</v>
      </c>
      <c r="O199" s="27"/>
      <c r="P199" s="8"/>
      <c r="Q199" s="8"/>
      <c r="R199" s="8" t="s">
        <v>1348</v>
      </c>
      <c r="S199" s="27"/>
      <c r="T199" s="27"/>
      <c r="U199" s="8" t="s">
        <v>1348</v>
      </c>
      <c r="V199" s="8" t="s">
        <v>1348</v>
      </c>
      <c r="W199" s="8" t="s">
        <v>1348</v>
      </c>
      <c r="X199" s="27" t="s">
        <v>1348</v>
      </c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333</v>
      </c>
      <c r="B200" s="68"/>
      <c r="C200" s="69" t="s">
        <v>531</v>
      </c>
      <c r="D200" s="68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7"/>
      <c r="P200" s="8"/>
      <c r="Q200" s="8"/>
      <c r="R200" s="8" t="s">
        <v>1348</v>
      </c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358</v>
      </c>
      <c r="B201" s="68"/>
      <c r="C201" s="69" t="s">
        <v>1151</v>
      </c>
      <c r="D201" s="68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17">
        <f t="shared" si="14"/>
        <v>27</v>
      </c>
      <c r="M201" s="17">
        <f t="shared" si="15"/>
        <v>1</v>
      </c>
      <c r="N201" s="18">
        <f t="shared" si="16"/>
        <v>0.9642857142857143</v>
      </c>
      <c r="O201" s="27"/>
      <c r="P201" s="8"/>
      <c r="Q201" s="8"/>
      <c r="R201" s="8" t="s">
        <v>1348</v>
      </c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t="s">
        <v>358</v>
      </c>
      <c r="B202" s="68"/>
      <c r="C202" s="69" t="s">
        <v>533</v>
      </c>
      <c r="D202" s="68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17">
        <f t="shared" si="14"/>
        <v>27</v>
      </c>
      <c r="M202" s="17">
        <f t="shared" si="15"/>
        <v>1</v>
      </c>
      <c r="N202" s="18">
        <f t="shared" si="16"/>
        <v>0.9642857142857143</v>
      </c>
      <c r="O202" s="27"/>
      <c r="P202" s="8"/>
      <c r="Q202" s="8"/>
      <c r="R202" s="8" t="s">
        <v>1348</v>
      </c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t="s">
        <v>445</v>
      </c>
      <c r="B203" s="68"/>
      <c r="C203" s="69" t="s">
        <v>535</v>
      </c>
      <c r="D203" s="68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17">
        <f t="shared" si="14"/>
        <v>27</v>
      </c>
      <c r="M203" s="17">
        <f t="shared" si="15"/>
        <v>1</v>
      </c>
      <c r="N203" s="18">
        <f t="shared" si="16"/>
        <v>0.9642857142857143</v>
      </c>
      <c r="O203" s="27"/>
      <c r="P203" s="8"/>
      <c r="Q203" s="8"/>
      <c r="R203" s="8" t="s">
        <v>1348</v>
      </c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538</v>
      </c>
      <c r="B204" s="68"/>
      <c r="C204" s="69" t="s">
        <v>539</v>
      </c>
      <c r="D204" s="68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17">
        <f t="shared" si="14"/>
        <v>20</v>
      </c>
      <c r="M204" s="17">
        <f t="shared" si="15"/>
        <v>8</v>
      </c>
      <c r="N204" s="18">
        <f t="shared" si="16"/>
        <v>0.7142857142857143</v>
      </c>
      <c r="O204" s="27" t="s">
        <v>1348</v>
      </c>
      <c r="P204" s="8" t="s">
        <v>1348</v>
      </c>
      <c r="Q204" s="8" t="s">
        <v>1348</v>
      </c>
      <c r="R204" s="8" t="s">
        <v>1348</v>
      </c>
      <c r="S204" s="27" t="s">
        <v>1348</v>
      </c>
      <c r="T204" s="27" t="s">
        <v>1348</v>
      </c>
      <c r="U204" s="8" t="s">
        <v>1348</v>
      </c>
      <c r="V204" s="8" t="s">
        <v>1348</v>
      </c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538</v>
      </c>
      <c r="B205" s="68"/>
      <c r="C205" s="69" t="s">
        <v>541</v>
      </c>
      <c r="D205" s="68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17">
        <f t="shared" si="14"/>
        <v>27</v>
      </c>
      <c r="M205" s="17">
        <f t="shared" si="15"/>
        <v>1</v>
      </c>
      <c r="N205" s="18">
        <f t="shared" si="16"/>
        <v>0.9642857142857143</v>
      </c>
      <c r="O205" s="27" t="s">
        <v>1348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542</v>
      </c>
      <c r="B206" s="68"/>
      <c r="C206" s="69" t="s">
        <v>543</v>
      </c>
      <c r="D206" s="68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17">
        <f t="shared" si="14"/>
        <v>16</v>
      </c>
      <c r="M206" s="17">
        <f t="shared" si="15"/>
        <v>12</v>
      </c>
      <c r="N206" s="18">
        <f t="shared" si="16"/>
        <v>0.5714285714285714</v>
      </c>
      <c r="O206" s="27" t="s">
        <v>1348</v>
      </c>
      <c r="P206" s="8" t="s">
        <v>1348</v>
      </c>
      <c r="Q206" s="8" t="s">
        <v>1348</v>
      </c>
      <c r="R206" s="8" t="s">
        <v>1348</v>
      </c>
      <c r="S206" s="27" t="s">
        <v>1348</v>
      </c>
      <c r="T206" s="27" t="s">
        <v>1348</v>
      </c>
      <c r="U206" s="8" t="s">
        <v>1348</v>
      </c>
      <c r="V206" s="8" t="s">
        <v>1348</v>
      </c>
      <c r="W206" s="8" t="s">
        <v>1348</v>
      </c>
      <c r="X206" s="27" t="s">
        <v>1348</v>
      </c>
      <c r="Y206" s="27"/>
      <c r="Z206" s="27"/>
      <c r="AA206" s="27" t="s">
        <v>1348</v>
      </c>
      <c r="AB206" s="27" t="s">
        <v>1348</v>
      </c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t="s">
        <v>310</v>
      </c>
      <c r="B207" s="68"/>
      <c r="C207" s="69" t="s">
        <v>545</v>
      </c>
      <c r="D207" s="68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17">
        <f t="shared" si="14"/>
        <v>20</v>
      </c>
      <c r="M207" s="17">
        <f t="shared" si="15"/>
        <v>8</v>
      </c>
      <c r="N207" s="18">
        <f t="shared" si="16"/>
        <v>0.7142857142857143</v>
      </c>
      <c r="O207" s="27"/>
      <c r="P207" s="8"/>
      <c r="Q207" s="8"/>
      <c r="R207" s="8" t="s">
        <v>1348</v>
      </c>
      <c r="S207" s="27" t="s">
        <v>1348</v>
      </c>
      <c r="T207" s="27" t="s">
        <v>1348</v>
      </c>
      <c r="U207" s="8" t="s">
        <v>1348</v>
      </c>
      <c r="V207" s="8" t="s">
        <v>1348</v>
      </c>
      <c r="W207" s="8" t="s">
        <v>1348</v>
      </c>
      <c r="X207" s="27" t="s">
        <v>1348</v>
      </c>
      <c r="Y207" s="27"/>
      <c r="Z207" s="27"/>
      <c r="AA207" s="27"/>
      <c r="AB207" s="27" t="s">
        <v>1348</v>
      </c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t="s">
        <v>310</v>
      </c>
      <c r="B208" s="68"/>
      <c r="C208" s="69" t="s">
        <v>548</v>
      </c>
      <c r="D208" s="68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17">
        <f t="shared" si="14"/>
        <v>26</v>
      </c>
      <c r="M208" s="17">
        <f t="shared" si="15"/>
        <v>2</v>
      </c>
      <c r="N208" s="18">
        <f t="shared" si="16"/>
        <v>0.9285714285714286</v>
      </c>
      <c r="O208" s="27"/>
      <c r="P208" s="8"/>
      <c r="Q208" s="8"/>
      <c r="R208" s="8" t="s">
        <v>1348</v>
      </c>
      <c r="S208" s="27"/>
      <c r="T208" s="27"/>
      <c r="U208" s="8"/>
      <c r="V208" s="8"/>
      <c r="W208" s="8"/>
      <c r="X208" s="27"/>
      <c r="Y208" s="27"/>
      <c r="Z208" s="27" t="s">
        <v>1348</v>
      </c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549</v>
      </c>
      <c r="B209" s="68"/>
      <c r="C209" s="69" t="s">
        <v>550</v>
      </c>
      <c r="D209" s="68" t="s">
        <v>1349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17">
        <f t="shared" si="14"/>
        <v>23</v>
      </c>
      <c r="M209" s="17">
        <f t="shared" si="15"/>
        <v>5</v>
      </c>
      <c r="N209" s="18">
        <f t="shared" si="16"/>
        <v>0.8214285714285714</v>
      </c>
      <c r="O209" s="27"/>
      <c r="P209" s="8"/>
      <c r="Q209" s="8"/>
      <c r="R209" s="8"/>
      <c r="S209" s="27"/>
      <c r="T209" s="27"/>
      <c r="U209" s="8" t="s">
        <v>1348</v>
      </c>
      <c r="V209" s="8" t="s">
        <v>1348</v>
      </c>
      <c r="W209" s="8" t="s">
        <v>1348</v>
      </c>
      <c r="X209" s="27" t="s">
        <v>1348</v>
      </c>
      <c r="Y209" s="27"/>
      <c r="Z209" s="27" t="s">
        <v>1348</v>
      </c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549</v>
      </c>
      <c r="B210" s="68"/>
      <c r="C210" s="69" t="s">
        <v>551</v>
      </c>
      <c r="D210" s="68" t="s">
        <v>1349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17">
        <f t="shared" si="14"/>
        <v>23</v>
      </c>
      <c r="M210" s="17">
        <f t="shared" si="15"/>
        <v>5</v>
      </c>
      <c r="N210" s="18">
        <f t="shared" si="16"/>
        <v>0.8214285714285714</v>
      </c>
      <c r="O210" s="27"/>
      <c r="P210" s="8"/>
      <c r="Q210" s="8"/>
      <c r="R210" s="8"/>
      <c r="S210" s="27"/>
      <c r="T210" s="27"/>
      <c r="U210" s="8"/>
      <c r="V210" s="8"/>
      <c r="W210" s="8" t="s">
        <v>1348</v>
      </c>
      <c r="X210" s="27" t="s">
        <v>1348</v>
      </c>
      <c r="Y210" s="27"/>
      <c r="Z210" s="27" t="s">
        <v>1348</v>
      </c>
      <c r="AA210" s="27" t="s">
        <v>1348</v>
      </c>
      <c r="AB210" s="27" t="s">
        <v>1348</v>
      </c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538</v>
      </c>
      <c r="B211" s="68"/>
      <c r="C211" s="69" t="s">
        <v>552</v>
      </c>
      <c r="D211" s="68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17">
        <f t="shared" si="14"/>
        <v>17</v>
      </c>
      <c r="M211" s="17">
        <f t="shared" si="15"/>
        <v>11</v>
      </c>
      <c r="N211" s="18">
        <f t="shared" si="16"/>
        <v>0.6071428571428571</v>
      </c>
      <c r="O211" s="27" t="s">
        <v>1348</v>
      </c>
      <c r="P211" s="8" t="s">
        <v>1348</v>
      </c>
      <c r="Q211" s="8" t="s">
        <v>1348</v>
      </c>
      <c r="R211" s="8" t="s">
        <v>1348</v>
      </c>
      <c r="S211" s="27" t="s">
        <v>1348</v>
      </c>
      <c r="T211" s="27" t="s">
        <v>1348</v>
      </c>
      <c r="U211" s="8" t="s">
        <v>1348</v>
      </c>
      <c r="V211" s="8" t="s">
        <v>1348</v>
      </c>
      <c r="W211" s="8"/>
      <c r="X211" s="27"/>
      <c r="Y211" s="27"/>
      <c r="Z211" s="27" t="s">
        <v>1348</v>
      </c>
      <c r="AA211" s="27" t="s">
        <v>1348</v>
      </c>
      <c r="AB211" s="27" t="s">
        <v>1348</v>
      </c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t="s">
        <v>538</v>
      </c>
      <c r="B212" s="68"/>
      <c r="C212" s="69" t="s">
        <v>554</v>
      </c>
      <c r="D212" s="68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17">
        <f t="shared" si="14"/>
        <v>16</v>
      </c>
      <c r="M212" s="17">
        <f t="shared" si="15"/>
        <v>12</v>
      </c>
      <c r="N212" s="18">
        <f t="shared" si="16"/>
        <v>0.5714285714285714</v>
      </c>
      <c r="O212" s="27" t="s">
        <v>1348</v>
      </c>
      <c r="P212" s="8" t="s">
        <v>1348</v>
      </c>
      <c r="Q212" s="8" t="s">
        <v>1348</v>
      </c>
      <c r="R212" s="8" t="s">
        <v>1348</v>
      </c>
      <c r="S212" s="27" t="s">
        <v>1348</v>
      </c>
      <c r="T212" s="27" t="s">
        <v>1348</v>
      </c>
      <c r="U212" s="8" t="s">
        <v>1348</v>
      </c>
      <c r="V212" s="8" t="s">
        <v>1348</v>
      </c>
      <c r="W212" s="8" t="s">
        <v>1348</v>
      </c>
      <c r="X212" s="27" t="s">
        <v>1348</v>
      </c>
      <c r="Y212" s="27"/>
      <c r="Z212" s="27"/>
      <c r="AA212" s="27" t="s">
        <v>1348</v>
      </c>
      <c r="AB212" s="27" t="s">
        <v>1348</v>
      </c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t="s">
        <v>445</v>
      </c>
      <c r="B213" s="68"/>
      <c r="C213" s="69" t="s">
        <v>555</v>
      </c>
      <c r="D213" s="68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17">
        <f t="shared" si="14"/>
        <v>27</v>
      </c>
      <c r="M213" s="17">
        <f t="shared" si="15"/>
        <v>1</v>
      </c>
      <c r="N213" s="18">
        <f t="shared" si="16"/>
        <v>0.9642857142857143</v>
      </c>
      <c r="O213" s="27"/>
      <c r="P213" s="8"/>
      <c r="Q213" s="8"/>
      <c r="R213" s="8" t="s">
        <v>1348</v>
      </c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556</v>
      </c>
      <c r="B214" s="68"/>
      <c r="C214" s="69" t="s">
        <v>557</v>
      </c>
      <c r="D214" s="68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17">
        <f t="shared" si="14"/>
        <v>25</v>
      </c>
      <c r="M214" s="17">
        <f t="shared" si="15"/>
        <v>3</v>
      </c>
      <c r="N214" s="18">
        <f t="shared" si="16"/>
        <v>0.8928571428571429</v>
      </c>
      <c r="O214" s="27"/>
      <c r="P214" s="8"/>
      <c r="Q214" s="8"/>
      <c r="R214" s="8" t="s">
        <v>1348</v>
      </c>
      <c r="S214" s="27"/>
      <c r="T214" s="27" t="s">
        <v>1348</v>
      </c>
      <c r="U214" s="8"/>
      <c r="V214" s="8"/>
      <c r="W214" s="8" t="s">
        <v>1348</v>
      </c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t="s">
        <v>556</v>
      </c>
      <c r="B215" s="68"/>
      <c r="C215" s="69" t="s">
        <v>560</v>
      </c>
      <c r="D215" s="68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17">
        <f t="shared" si="14"/>
        <v>26</v>
      </c>
      <c r="M215" s="17">
        <f t="shared" si="15"/>
        <v>2</v>
      </c>
      <c r="N215" s="18">
        <f t="shared" si="16"/>
        <v>0.9285714285714286</v>
      </c>
      <c r="O215" s="27"/>
      <c r="P215" s="8"/>
      <c r="Q215" s="8"/>
      <c r="R215" s="8" t="s">
        <v>1348</v>
      </c>
      <c r="S215" s="27"/>
      <c r="T215" s="27" t="s">
        <v>1348</v>
      </c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t="s">
        <v>556</v>
      </c>
      <c r="B216" s="68"/>
      <c r="C216" s="69" t="s">
        <v>562</v>
      </c>
      <c r="D216" s="68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17">
        <f t="shared" si="14"/>
        <v>19</v>
      </c>
      <c r="M216" s="17">
        <f t="shared" si="15"/>
        <v>9</v>
      </c>
      <c r="N216" s="18">
        <f t="shared" si="16"/>
        <v>0.6785714285714286</v>
      </c>
      <c r="O216" s="27"/>
      <c r="P216" s="8"/>
      <c r="Q216" s="8"/>
      <c r="R216" s="8" t="s">
        <v>1348</v>
      </c>
      <c r="S216" s="27" t="s">
        <v>1348</v>
      </c>
      <c r="T216" s="27" t="s">
        <v>1348</v>
      </c>
      <c r="U216" s="8" t="s">
        <v>1348</v>
      </c>
      <c r="V216" s="8" t="s">
        <v>1348</v>
      </c>
      <c r="W216" s="8" t="s">
        <v>1348</v>
      </c>
      <c r="X216" s="27" t="s">
        <v>1348</v>
      </c>
      <c r="Y216" s="27"/>
      <c r="Z216" s="27"/>
      <c r="AA216" s="27" t="s">
        <v>1348</v>
      </c>
      <c r="AB216" s="27" t="s">
        <v>1348</v>
      </c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t="s">
        <v>556</v>
      </c>
      <c r="B217" s="68"/>
      <c r="C217" s="69" t="s">
        <v>565</v>
      </c>
      <c r="D217" s="68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17">
        <f t="shared" si="14"/>
        <v>17</v>
      </c>
      <c r="M217" s="17">
        <f t="shared" si="15"/>
        <v>11</v>
      </c>
      <c r="N217" s="18">
        <f t="shared" si="16"/>
        <v>0.6071428571428571</v>
      </c>
      <c r="O217" s="27"/>
      <c r="P217" s="8"/>
      <c r="Q217" s="8"/>
      <c r="R217" s="8" t="s">
        <v>1348</v>
      </c>
      <c r="S217" s="27" t="s">
        <v>1348</v>
      </c>
      <c r="T217" s="27" t="s">
        <v>1348</v>
      </c>
      <c r="U217" s="8" t="s">
        <v>1348</v>
      </c>
      <c r="V217" s="8" t="s">
        <v>1348</v>
      </c>
      <c r="W217" s="8" t="s">
        <v>1348</v>
      </c>
      <c r="X217" s="27" t="s">
        <v>1348</v>
      </c>
      <c r="Y217" s="27" t="s">
        <v>1348</v>
      </c>
      <c r="Z217" s="27" t="s">
        <v>1348</v>
      </c>
      <c r="AA217" s="27" t="s">
        <v>1348</v>
      </c>
      <c r="AB217" s="27" t="s">
        <v>1348</v>
      </c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t="s">
        <v>556</v>
      </c>
      <c r="B218" s="68"/>
      <c r="C218" s="69" t="s">
        <v>566</v>
      </c>
      <c r="D218" s="68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17">
        <f t="shared" si="14"/>
        <v>18</v>
      </c>
      <c r="M218" s="17">
        <f t="shared" si="15"/>
        <v>10</v>
      </c>
      <c r="N218" s="18">
        <f t="shared" si="16"/>
        <v>0.6428571428571429</v>
      </c>
      <c r="O218" s="27"/>
      <c r="P218" s="8"/>
      <c r="Q218" s="8"/>
      <c r="R218" s="8" t="s">
        <v>1348</v>
      </c>
      <c r="S218" s="27" t="s">
        <v>1348</v>
      </c>
      <c r="T218" s="27" t="s">
        <v>1348</v>
      </c>
      <c r="U218" s="8" t="s">
        <v>1348</v>
      </c>
      <c r="V218" s="8" t="s">
        <v>1348</v>
      </c>
      <c r="W218" s="8" t="s">
        <v>1348</v>
      </c>
      <c r="X218" s="27" t="s">
        <v>1348</v>
      </c>
      <c r="Y218" s="27"/>
      <c r="Z218" s="27" t="s">
        <v>1348</v>
      </c>
      <c r="AA218" s="27" t="s">
        <v>1348</v>
      </c>
      <c r="AB218" s="27" t="s">
        <v>1348</v>
      </c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t="s">
        <v>556</v>
      </c>
      <c r="B219" s="68"/>
      <c r="C219" s="69" t="s">
        <v>568</v>
      </c>
      <c r="D219" s="68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17">
        <f t="shared" si="14"/>
        <v>18</v>
      </c>
      <c r="M219" s="17">
        <f t="shared" si="15"/>
        <v>10</v>
      </c>
      <c r="N219" s="18">
        <f t="shared" si="16"/>
        <v>0.6428571428571429</v>
      </c>
      <c r="O219" s="27"/>
      <c r="P219" s="8"/>
      <c r="Q219" s="8"/>
      <c r="R219" s="8" t="s">
        <v>1348</v>
      </c>
      <c r="S219" s="27" t="s">
        <v>1348</v>
      </c>
      <c r="T219" s="27" t="s">
        <v>1348</v>
      </c>
      <c r="U219" s="8" t="s">
        <v>1348</v>
      </c>
      <c r="V219" s="8" t="s">
        <v>1348</v>
      </c>
      <c r="W219" s="8" t="s">
        <v>1348</v>
      </c>
      <c r="X219" s="27" t="s">
        <v>1348</v>
      </c>
      <c r="Y219" s="27" t="s">
        <v>1348</v>
      </c>
      <c r="Z219" s="27"/>
      <c r="AA219" s="27" t="s">
        <v>1348</v>
      </c>
      <c r="AB219" s="27" t="s">
        <v>1348</v>
      </c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t="s">
        <v>570</v>
      </c>
      <c r="B220" s="68"/>
      <c r="C220" s="69" t="s">
        <v>571</v>
      </c>
      <c r="D220" s="68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17">
        <f t="shared" si="14"/>
        <v>26</v>
      </c>
      <c r="M220" s="17">
        <f t="shared" si="15"/>
        <v>2</v>
      </c>
      <c r="N220" s="18">
        <f t="shared" si="16"/>
        <v>0.9285714285714286</v>
      </c>
      <c r="O220" s="27"/>
      <c r="P220" s="8"/>
      <c r="Q220" s="8"/>
      <c r="R220" s="8" t="s">
        <v>1348</v>
      </c>
      <c r="S220" s="27"/>
      <c r="T220" s="27" t="s">
        <v>1348</v>
      </c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t="s">
        <v>570</v>
      </c>
      <c r="B221" s="68"/>
      <c r="C221" s="69" t="s">
        <v>573</v>
      </c>
      <c r="D221" s="68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17">
        <f t="shared" si="14"/>
        <v>26</v>
      </c>
      <c r="M221" s="17">
        <f t="shared" si="15"/>
        <v>2</v>
      </c>
      <c r="N221" s="18">
        <f t="shared" si="16"/>
        <v>0.9285714285714286</v>
      </c>
      <c r="O221" s="27"/>
      <c r="P221" s="8"/>
      <c r="Q221" s="8"/>
      <c r="R221" s="8" t="s">
        <v>1348</v>
      </c>
      <c r="S221" s="27"/>
      <c r="T221" s="27" t="s">
        <v>1348</v>
      </c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t="s">
        <v>570</v>
      </c>
      <c r="B222" s="68"/>
      <c r="C222" s="69" t="s">
        <v>575</v>
      </c>
      <c r="D222" s="68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17">
        <f t="shared" si="14"/>
        <v>27</v>
      </c>
      <c r="M222" s="17">
        <f t="shared" si="15"/>
        <v>1</v>
      </c>
      <c r="N222" s="18">
        <f t="shared" si="16"/>
        <v>0.9642857142857143</v>
      </c>
      <c r="O222" s="27"/>
      <c r="P222" s="8"/>
      <c r="Q222" s="8"/>
      <c r="R222" s="8"/>
      <c r="S222" s="27"/>
      <c r="T222" s="27" t="s">
        <v>1348</v>
      </c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t="s">
        <v>570</v>
      </c>
      <c r="B223" s="68"/>
      <c r="C223" s="69" t="s">
        <v>577</v>
      </c>
      <c r="D223" s="68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17">
        <f t="shared" si="14"/>
        <v>27</v>
      </c>
      <c r="M223" s="17">
        <f t="shared" si="15"/>
        <v>1</v>
      </c>
      <c r="N223" s="18">
        <f t="shared" si="16"/>
        <v>0.9642857142857143</v>
      </c>
      <c r="O223" s="27"/>
      <c r="P223" s="8"/>
      <c r="Q223" s="8"/>
      <c r="R223" s="8"/>
      <c r="S223" s="27"/>
      <c r="T223" s="27" t="s">
        <v>1348</v>
      </c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t="s">
        <v>570</v>
      </c>
      <c r="B224" s="66">
        <v>44629</v>
      </c>
      <c r="C224" s="69" t="s">
        <v>579</v>
      </c>
      <c r="D224" s="68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17">
        <f t="shared" si="14"/>
        <v>26</v>
      </c>
      <c r="M224" s="17">
        <f t="shared" si="15"/>
        <v>2</v>
      </c>
      <c r="N224" s="18">
        <f t="shared" si="16"/>
        <v>0.9285714285714286</v>
      </c>
      <c r="O224" s="27"/>
      <c r="P224" s="8"/>
      <c r="Q224" s="8"/>
      <c r="R224" s="8"/>
      <c r="S224" s="27"/>
      <c r="T224" s="27" t="s">
        <v>1348</v>
      </c>
      <c r="U224" s="8"/>
      <c r="V224" s="8"/>
      <c r="W224" s="8"/>
      <c r="X224" s="27"/>
      <c r="Y224" s="27"/>
      <c r="Z224" s="27" t="s">
        <v>1348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t="s">
        <v>412</v>
      </c>
      <c r="B225" s="68"/>
      <c r="C225" s="69" t="s">
        <v>582</v>
      </c>
      <c r="D225" s="68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7"/>
      <c r="P225" s="8"/>
      <c r="Q225" s="8"/>
      <c r="R225" s="8" t="s">
        <v>1348</v>
      </c>
      <c r="S225" s="27"/>
      <c r="T225" s="27"/>
      <c r="U225" s="8"/>
      <c r="V225" s="8"/>
      <c r="W225" s="8"/>
      <c r="X225" s="27"/>
      <c r="Y225" s="27"/>
      <c r="Z225" s="27" t="s">
        <v>1348</v>
      </c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585</v>
      </c>
      <c r="B226" s="68"/>
      <c r="C226" s="69" t="s">
        <v>586</v>
      </c>
      <c r="D226" s="68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17">
        <f t="shared" si="14"/>
        <v>24</v>
      </c>
      <c r="M226" s="17">
        <f t="shared" si="15"/>
        <v>4</v>
      </c>
      <c r="N226" s="18">
        <f t="shared" si="16"/>
        <v>0.8571428571428571</v>
      </c>
      <c r="O226" s="27"/>
      <c r="P226" s="8"/>
      <c r="Q226" s="8"/>
      <c r="R226" s="8"/>
      <c r="S226" s="27"/>
      <c r="T226" s="27"/>
      <c r="U226" s="8" t="s">
        <v>1348</v>
      </c>
      <c r="V226" s="8" t="s">
        <v>1348</v>
      </c>
      <c r="W226" s="8" t="s">
        <v>1348</v>
      </c>
      <c r="X226" s="27" t="s">
        <v>1348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585</v>
      </c>
      <c r="B227" s="68"/>
      <c r="C227" s="69" t="s">
        <v>589</v>
      </c>
      <c r="D227" s="68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17">
        <f t="shared" si="14"/>
        <v>27</v>
      </c>
      <c r="M227" s="17">
        <f t="shared" si="15"/>
        <v>1</v>
      </c>
      <c r="N227" s="18">
        <f t="shared" si="16"/>
        <v>0.9642857142857143</v>
      </c>
      <c r="O227" s="27"/>
      <c r="P227" s="8"/>
      <c r="Q227" s="8"/>
      <c r="R227" s="8" t="s">
        <v>1348</v>
      </c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592</v>
      </c>
      <c r="B228" s="68"/>
      <c r="C228" s="69" t="s">
        <v>593</v>
      </c>
      <c r="D228" s="68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17">
        <f t="shared" si="14"/>
        <v>27</v>
      </c>
      <c r="M228" s="17">
        <f t="shared" si="15"/>
        <v>1</v>
      </c>
      <c r="N228" s="18">
        <f t="shared" si="16"/>
        <v>0.9642857142857143</v>
      </c>
      <c r="O228" s="27"/>
      <c r="P228" s="8"/>
      <c r="Q228" s="8"/>
      <c r="R228" s="8" t="s">
        <v>1348</v>
      </c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456</v>
      </c>
      <c r="B229" s="68"/>
      <c r="C229" s="69" t="s">
        <v>595</v>
      </c>
      <c r="D229" s="68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17">
        <f t="shared" si="14"/>
        <v>24</v>
      </c>
      <c r="M229" s="17">
        <f t="shared" si="15"/>
        <v>4</v>
      </c>
      <c r="N229" s="18">
        <f t="shared" si="16"/>
        <v>0.8571428571428571</v>
      </c>
      <c r="O229" s="27"/>
      <c r="P229" s="8"/>
      <c r="Q229" s="8"/>
      <c r="R229" s="8"/>
      <c r="S229" s="27"/>
      <c r="T229" s="27"/>
      <c r="U229" s="8" t="s">
        <v>1348</v>
      </c>
      <c r="V229" s="8" t="s">
        <v>1348</v>
      </c>
      <c r="W229" s="8" t="s">
        <v>1348</v>
      </c>
      <c r="X229" s="27" t="s">
        <v>1348</v>
      </c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456</v>
      </c>
      <c r="B230" s="66">
        <v>44642</v>
      </c>
      <c r="C230" s="69" t="s">
        <v>598</v>
      </c>
      <c r="D230" s="68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17">
        <f t="shared" si="14"/>
        <v>28</v>
      </c>
      <c r="M230" s="17">
        <f t="shared" si="15"/>
        <v>0</v>
      </c>
      <c r="N230" s="18">
        <f t="shared" si="16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456</v>
      </c>
      <c r="B231" s="68"/>
      <c r="C231" s="69" t="s">
        <v>601</v>
      </c>
      <c r="D231" s="68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17">
        <f t="shared" si="14"/>
        <v>26</v>
      </c>
      <c r="M231" s="17">
        <f t="shared" si="15"/>
        <v>2</v>
      </c>
      <c r="N231" s="18">
        <f t="shared" si="16"/>
        <v>0.9285714285714286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1348</v>
      </c>
      <c r="Z231" s="27" t="s">
        <v>1348</v>
      </c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456</v>
      </c>
      <c r="B232" s="68"/>
      <c r="C232" s="69" t="s">
        <v>603</v>
      </c>
      <c r="D232" s="68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585</v>
      </c>
      <c r="B233" s="68"/>
      <c r="C233" s="69" t="s">
        <v>604</v>
      </c>
      <c r="D233" s="68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B234" s="68"/>
      <c r="C234" s="69" t="s">
        <v>606</v>
      </c>
      <c r="D234" s="68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608</v>
      </c>
      <c r="B235" s="68"/>
      <c r="C235" s="69" t="s">
        <v>609</v>
      </c>
      <c r="D235" s="68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17">
        <f t="shared" si="14"/>
        <v>26</v>
      </c>
      <c r="M235" s="17">
        <f t="shared" si="15"/>
        <v>2</v>
      </c>
      <c r="N235" s="18">
        <f t="shared" si="16"/>
        <v>0.9285714285714286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 t="s">
        <v>1348</v>
      </c>
      <c r="Z235" s="27" t="s">
        <v>1348</v>
      </c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608</v>
      </c>
      <c r="B236" s="68"/>
      <c r="C236" s="69" t="s">
        <v>612</v>
      </c>
      <c r="D236" s="68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17">
        <f t="shared" si="14"/>
        <v>26</v>
      </c>
      <c r="M236" s="17">
        <f t="shared" si="15"/>
        <v>2</v>
      </c>
      <c r="N236" s="18">
        <f t="shared" si="16"/>
        <v>0.9285714285714286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1348</v>
      </c>
      <c r="Z236" s="27" t="s">
        <v>1348</v>
      </c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608</v>
      </c>
      <c r="B237" s="68"/>
      <c r="C237" s="69" t="s">
        <v>614</v>
      </c>
      <c r="D237" s="68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17">
        <f t="shared" si="14"/>
        <v>27</v>
      </c>
      <c r="M237" s="17">
        <f t="shared" si="15"/>
        <v>1</v>
      </c>
      <c r="N237" s="18">
        <f t="shared" si="16"/>
        <v>0.9642857142857143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 t="s">
        <v>1348</v>
      </c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608</v>
      </c>
      <c r="B238" s="68"/>
      <c r="C238" s="69" t="s">
        <v>615</v>
      </c>
      <c r="D238" s="68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17">
        <f t="shared" si="14"/>
        <v>26</v>
      </c>
      <c r="M238" s="17">
        <f t="shared" si="15"/>
        <v>2</v>
      </c>
      <c r="N238" s="18">
        <f t="shared" si="16"/>
        <v>0.9285714285714286</v>
      </c>
      <c r="O238" s="27"/>
      <c r="P238" s="8"/>
      <c r="Q238" s="8"/>
      <c r="R238" s="8" t="s">
        <v>1348</v>
      </c>
      <c r="S238" s="27"/>
      <c r="T238" s="27"/>
      <c r="U238" s="8"/>
      <c r="V238" s="8"/>
      <c r="W238" s="8"/>
      <c r="X238" s="27"/>
      <c r="Y238" s="27"/>
      <c r="Z238" s="27" t="s">
        <v>1348</v>
      </c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618</v>
      </c>
      <c r="B239" s="68"/>
      <c r="C239" s="69" t="s">
        <v>619</v>
      </c>
      <c r="D239" s="68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17">
        <f t="shared" si="14"/>
        <v>25</v>
      </c>
      <c r="M239" s="17">
        <f t="shared" si="15"/>
        <v>3</v>
      </c>
      <c r="N239" s="18">
        <f t="shared" si="16"/>
        <v>0.8928571428571429</v>
      </c>
      <c r="O239" s="27" t="s">
        <v>1348</v>
      </c>
      <c r="P239" s="8"/>
      <c r="Q239" s="8"/>
      <c r="R239" s="8"/>
      <c r="S239" s="27"/>
      <c r="T239" s="27"/>
      <c r="U239" s="8"/>
      <c r="V239" s="8"/>
      <c r="W239" s="8"/>
      <c r="X239" s="27"/>
      <c r="Y239" s="27" t="s">
        <v>1348</v>
      </c>
      <c r="Z239" s="27" t="s">
        <v>1348</v>
      </c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618</v>
      </c>
      <c r="B240" s="68"/>
      <c r="C240" s="69" t="s">
        <v>621</v>
      </c>
      <c r="D240" s="68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17">
        <f t="shared" si="14"/>
        <v>26</v>
      </c>
      <c r="M240" s="17">
        <f t="shared" si="15"/>
        <v>2</v>
      </c>
      <c r="N240" s="18">
        <f t="shared" si="16"/>
        <v>0.9285714285714286</v>
      </c>
      <c r="O240" s="27" t="s">
        <v>1348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 t="s">
        <v>1348</v>
      </c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608</v>
      </c>
      <c r="B241" s="68"/>
      <c r="C241" s="69" t="s">
        <v>622</v>
      </c>
      <c r="D241" s="68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17">
        <f t="shared" si="14"/>
        <v>28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608</v>
      </c>
      <c r="B242" s="68"/>
      <c r="C242" s="69" t="s">
        <v>625</v>
      </c>
      <c r="D242" s="68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608</v>
      </c>
      <c r="B243" s="68"/>
      <c r="C243" s="69" t="s">
        <v>626</v>
      </c>
      <c r="D243" s="68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608</v>
      </c>
      <c r="B244" s="68"/>
      <c r="C244" s="69" t="s">
        <v>629</v>
      </c>
      <c r="D244" s="68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17">
        <f t="shared" si="14"/>
        <v>28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618</v>
      </c>
      <c r="B245" s="68"/>
      <c r="C245" s="69" t="s">
        <v>1326</v>
      </c>
      <c r="D245" s="68" t="s">
        <v>1327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1342</v>
      </c>
      <c r="L245" s="17">
        <f t="shared" si="14"/>
        <v>25</v>
      </c>
      <c r="M245" s="17">
        <f t="shared" si="15"/>
        <v>3</v>
      </c>
      <c r="N245" s="18">
        <f t="shared" si="16"/>
        <v>0.8928571428571429</v>
      </c>
      <c r="O245" s="27" t="s">
        <v>1348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 t="s">
        <v>1348</v>
      </c>
      <c r="Z245" s="27" t="s">
        <v>1348</v>
      </c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608</v>
      </c>
      <c r="B246" s="68"/>
      <c r="C246" s="69" t="s">
        <v>1328</v>
      </c>
      <c r="D246" s="68" t="s">
        <v>1329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1343</v>
      </c>
      <c r="L246" s="17">
        <f t="shared" si="14"/>
        <v>26</v>
      </c>
      <c r="M246" s="17">
        <f t="shared" si="15"/>
        <v>2</v>
      </c>
      <c r="N246" s="18">
        <f t="shared" si="16"/>
        <v>0.9285714285714286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1348</v>
      </c>
      <c r="Z246" s="27" t="s">
        <v>1348</v>
      </c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310</v>
      </c>
      <c r="B247" s="68"/>
      <c r="C247" s="69" t="s">
        <v>630</v>
      </c>
      <c r="D247" s="68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 t="s">
        <v>1348</v>
      </c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310</v>
      </c>
      <c r="B248" s="68"/>
      <c r="C248" s="69" t="s">
        <v>633</v>
      </c>
      <c r="D248" s="68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17">
        <f t="shared" si="14"/>
        <v>27</v>
      </c>
      <c r="M248" s="17">
        <f t="shared" si="15"/>
        <v>1</v>
      </c>
      <c r="N248" s="18">
        <f t="shared" si="16"/>
        <v>0.9642857142857143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 t="s">
        <v>1348</v>
      </c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310</v>
      </c>
      <c r="B249" s="68"/>
      <c r="C249" s="69" t="s">
        <v>635</v>
      </c>
      <c r="D249" s="68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17">
        <f t="shared" si="14"/>
        <v>26</v>
      </c>
      <c r="M249" s="17">
        <f t="shared" si="15"/>
        <v>2</v>
      </c>
      <c r="N249" s="18">
        <f t="shared" si="16"/>
        <v>0.9285714285714286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 t="s">
        <v>1348</v>
      </c>
      <c r="Z249" s="27" t="s">
        <v>1348</v>
      </c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310</v>
      </c>
      <c r="B250" s="68"/>
      <c r="C250" s="69" t="s">
        <v>637</v>
      </c>
      <c r="D250" s="68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310</v>
      </c>
      <c r="B251" s="66">
        <v>44634</v>
      </c>
      <c r="C251" s="69" t="s">
        <v>640</v>
      </c>
      <c r="D251" s="68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17">
        <f t="shared" si="14"/>
        <v>26</v>
      </c>
      <c r="M251" s="17">
        <f t="shared" si="15"/>
        <v>2</v>
      </c>
      <c r="N251" s="18">
        <f t="shared" si="16"/>
        <v>0.9285714285714286</v>
      </c>
      <c r="O251" s="27"/>
      <c r="P251" s="8"/>
      <c r="Q251" s="8"/>
      <c r="R251" s="8" t="s">
        <v>1348</v>
      </c>
      <c r="S251" s="27"/>
      <c r="T251" s="27"/>
      <c r="U251" s="8"/>
      <c r="V251" s="8"/>
      <c r="W251" s="8"/>
      <c r="X251" s="27"/>
      <c r="Y251" s="27" t="s">
        <v>1348</v>
      </c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310</v>
      </c>
      <c r="B252" s="66">
        <v>44634</v>
      </c>
      <c r="C252" s="69" t="s">
        <v>642</v>
      </c>
      <c r="D252" s="68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17">
        <f t="shared" si="14"/>
        <v>27</v>
      </c>
      <c r="M252" s="17">
        <f t="shared" si="15"/>
        <v>1</v>
      </c>
      <c r="N252" s="18">
        <f t="shared" si="16"/>
        <v>0.9642857142857143</v>
      </c>
      <c r="O252" s="27"/>
      <c r="P252" s="8"/>
      <c r="Q252" s="8"/>
      <c r="R252" s="8" t="s">
        <v>1348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310</v>
      </c>
      <c r="B253" s="66">
        <v>44634</v>
      </c>
      <c r="C253" s="69" t="s">
        <v>643</v>
      </c>
      <c r="D253" s="68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17">
        <f t="shared" si="14"/>
        <v>27</v>
      </c>
      <c r="M253" s="17">
        <f t="shared" si="15"/>
        <v>1</v>
      </c>
      <c r="N253" s="18">
        <f t="shared" si="16"/>
        <v>0.9642857142857143</v>
      </c>
      <c r="O253" s="27"/>
      <c r="P253" s="8"/>
      <c r="Q253" s="8"/>
      <c r="R253" s="8" t="s">
        <v>1348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310</v>
      </c>
      <c r="B254" s="66">
        <v>44634</v>
      </c>
      <c r="C254" s="69" t="s">
        <v>645</v>
      </c>
      <c r="D254" s="68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17">
        <f t="shared" si="14"/>
        <v>27</v>
      </c>
      <c r="M254" s="17">
        <f t="shared" si="15"/>
        <v>1</v>
      </c>
      <c r="N254" s="18">
        <f t="shared" si="16"/>
        <v>0.9642857142857143</v>
      </c>
      <c r="O254" s="27"/>
      <c r="P254" s="8"/>
      <c r="Q254" s="8"/>
      <c r="R254" s="8" t="s">
        <v>1348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646</v>
      </c>
      <c r="B255" s="68"/>
      <c r="C255" s="69" t="s">
        <v>647</v>
      </c>
      <c r="D255" s="68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17">
        <f t="shared" si="14"/>
        <v>26</v>
      </c>
      <c r="M255" s="17">
        <f t="shared" si="15"/>
        <v>2</v>
      </c>
      <c r="N255" s="18">
        <f t="shared" si="16"/>
        <v>0.9285714285714286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 t="s">
        <v>1348</v>
      </c>
      <c r="Z255" s="27" t="s">
        <v>1348</v>
      </c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B256" s="68"/>
      <c r="C256" s="69" t="s">
        <v>651</v>
      </c>
      <c r="D256" s="68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17">
        <f t="shared" si="14"/>
        <v>26</v>
      </c>
      <c r="M256" s="17">
        <f t="shared" si="15"/>
        <v>2</v>
      </c>
      <c r="N256" s="18">
        <f t="shared" si="16"/>
        <v>0.9285714285714286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 t="s">
        <v>1348</v>
      </c>
      <c r="Z256" s="27" t="s">
        <v>1348</v>
      </c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653</v>
      </c>
      <c r="B257" s="68"/>
      <c r="C257" s="69" t="s">
        <v>654</v>
      </c>
      <c r="D257" s="68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17">
        <f t="shared" si="14"/>
        <v>26</v>
      </c>
      <c r="M257" s="17">
        <f t="shared" si="15"/>
        <v>2</v>
      </c>
      <c r="N257" s="18">
        <f t="shared" si="16"/>
        <v>0.9285714285714286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 t="s">
        <v>1348</v>
      </c>
      <c r="Z257" s="27" t="s">
        <v>1348</v>
      </c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653</v>
      </c>
      <c r="B258" s="68"/>
      <c r="C258" s="69" t="s">
        <v>658</v>
      </c>
      <c r="D258" s="68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17">
        <f t="shared" si="14"/>
        <v>25</v>
      </c>
      <c r="M258" s="17">
        <f t="shared" si="15"/>
        <v>3</v>
      </c>
      <c r="N258" s="18">
        <f t="shared" si="16"/>
        <v>0.8928571428571429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 t="s">
        <v>1348</v>
      </c>
      <c r="Z258" s="27" t="s">
        <v>1348</v>
      </c>
      <c r="AA258" s="27" t="s">
        <v>1348</v>
      </c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653</v>
      </c>
      <c r="B259" s="68"/>
      <c r="C259" s="69" t="s">
        <v>660</v>
      </c>
      <c r="D259" s="68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653</v>
      </c>
      <c r="B260" s="68"/>
      <c r="C260" s="69" t="s">
        <v>662</v>
      </c>
      <c r="D260" s="68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653</v>
      </c>
      <c r="B261" s="66">
        <v>44629</v>
      </c>
      <c r="C261" s="69" t="s">
        <v>664</v>
      </c>
      <c r="D261" s="68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653</v>
      </c>
      <c r="B262" s="68"/>
      <c r="C262" s="69" t="s">
        <v>666</v>
      </c>
      <c r="D262" s="68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 t="s">
        <v>1348</v>
      </c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258</v>
      </c>
      <c r="B263" s="68"/>
      <c r="C263" s="69" t="s">
        <v>669</v>
      </c>
      <c r="D263" s="68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17">
        <f t="shared" ref="L263:L326" si="17">COUNTIF(O263:AP263,"")</f>
        <v>27</v>
      </c>
      <c r="M263" s="17">
        <f t="shared" ref="M263:M326" si="18">COUNTIF(O263:AP263,"APAGADO")</f>
        <v>1</v>
      </c>
      <c r="N263" s="18">
        <f t="shared" ref="N263:N326" si="19">(L263)/(M263+L263)</f>
        <v>0.9642857142857143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 t="s">
        <v>1348</v>
      </c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t="s">
        <v>258</v>
      </c>
      <c r="B264" s="68"/>
      <c r="C264" s="69" t="s">
        <v>672</v>
      </c>
      <c r="D264" s="68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17">
        <f t="shared" si="17"/>
        <v>27</v>
      </c>
      <c r="M264" s="17">
        <f t="shared" si="18"/>
        <v>1</v>
      </c>
      <c r="N264" s="18">
        <f t="shared" si="19"/>
        <v>0.9642857142857143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 t="s">
        <v>1348</v>
      </c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t="s">
        <v>258</v>
      </c>
      <c r="B265" s="68"/>
      <c r="C265" s="69" t="s">
        <v>673</v>
      </c>
      <c r="D265" s="68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17">
        <f t="shared" si="17"/>
        <v>27</v>
      </c>
      <c r="M265" s="17">
        <f t="shared" si="18"/>
        <v>1</v>
      </c>
      <c r="N265" s="18">
        <f t="shared" si="19"/>
        <v>0.9642857142857143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 t="s">
        <v>1348</v>
      </c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t="s">
        <v>258</v>
      </c>
      <c r="B266" s="68"/>
      <c r="C266" s="69" t="s">
        <v>675</v>
      </c>
      <c r="D266" s="68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17">
        <f t="shared" si="17"/>
        <v>27</v>
      </c>
      <c r="M266" s="17">
        <f t="shared" si="18"/>
        <v>1</v>
      </c>
      <c r="N266" s="18">
        <f t="shared" si="19"/>
        <v>0.9642857142857143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 t="s">
        <v>1348</v>
      </c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t="s">
        <v>676</v>
      </c>
      <c r="B267" s="68"/>
      <c r="C267" s="69" t="s">
        <v>677</v>
      </c>
      <c r="D267" s="68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676</v>
      </c>
      <c r="B268" s="68"/>
      <c r="C268" s="69" t="s">
        <v>679</v>
      </c>
      <c r="D268" s="68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17">
        <f t="shared" si="17"/>
        <v>27</v>
      </c>
      <c r="M268" s="17">
        <f t="shared" si="18"/>
        <v>1</v>
      </c>
      <c r="N268" s="18">
        <f t="shared" si="19"/>
        <v>0.9642857142857143</v>
      </c>
      <c r="O268" s="27"/>
      <c r="P268" s="8"/>
      <c r="Q268" s="8"/>
      <c r="R268" s="8" t="s">
        <v>1348</v>
      </c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676</v>
      </c>
      <c r="B269" s="68"/>
      <c r="C269" s="69" t="s">
        <v>682</v>
      </c>
      <c r="D269" s="68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17">
        <f t="shared" si="17"/>
        <v>27</v>
      </c>
      <c r="M269" s="17">
        <f t="shared" si="18"/>
        <v>1</v>
      </c>
      <c r="N269" s="18">
        <f t="shared" si="19"/>
        <v>0.9642857142857143</v>
      </c>
      <c r="O269" s="27"/>
      <c r="P269" s="8"/>
      <c r="Q269" s="8"/>
      <c r="R269" s="8" t="s">
        <v>1348</v>
      </c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676</v>
      </c>
      <c r="B270" s="68"/>
      <c r="C270" s="69" t="s">
        <v>684</v>
      </c>
      <c r="D270" s="68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17">
        <f t="shared" si="17"/>
        <v>27</v>
      </c>
      <c r="M270" s="17">
        <f t="shared" si="18"/>
        <v>1</v>
      </c>
      <c r="N270" s="18">
        <f t="shared" si="19"/>
        <v>0.9642857142857143</v>
      </c>
      <c r="O270" s="27"/>
      <c r="P270" s="8"/>
      <c r="Q270" s="8"/>
      <c r="R270" s="8" t="s">
        <v>1348</v>
      </c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676</v>
      </c>
      <c r="B271" s="68"/>
      <c r="C271" s="69" t="s">
        <v>686</v>
      </c>
      <c r="D271" s="68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676</v>
      </c>
      <c r="B272" s="66">
        <v>44629</v>
      </c>
      <c r="C272" s="69" t="s">
        <v>689</v>
      </c>
      <c r="D272" s="68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17">
        <f t="shared" si="17"/>
        <v>27</v>
      </c>
      <c r="M272" s="17">
        <f t="shared" si="18"/>
        <v>1</v>
      </c>
      <c r="N272" s="18">
        <f t="shared" si="19"/>
        <v>0.9642857142857143</v>
      </c>
      <c r="O272" s="27"/>
      <c r="P272" s="8"/>
      <c r="Q272" s="8"/>
      <c r="R272" s="8" t="s">
        <v>1348</v>
      </c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676</v>
      </c>
      <c r="B273" s="66">
        <v>44634</v>
      </c>
      <c r="C273" s="69" t="s">
        <v>692</v>
      </c>
      <c r="D273" s="68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17">
        <f t="shared" si="17"/>
        <v>27</v>
      </c>
      <c r="M273" s="17">
        <f t="shared" si="18"/>
        <v>1</v>
      </c>
      <c r="N273" s="18">
        <f t="shared" si="19"/>
        <v>0.9642857142857143</v>
      </c>
      <c r="O273" s="27"/>
      <c r="P273" s="8"/>
      <c r="Q273" s="8"/>
      <c r="R273" s="8" t="s">
        <v>1348</v>
      </c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676</v>
      </c>
      <c r="B274" s="66">
        <v>44634</v>
      </c>
      <c r="C274" s="69" t="s">
        <v>695</v>
      </c>
      <c r="D274" s="68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17">
        <f t="shared" si="17"/>
        <v>26</v>
      </c>
      <c r="M274" s="17">
        <f t="shared" si="18"/>
        <v>2</v>
      </c>
      <c r="N274" s="18">
        <f t="shared" si="19"/>
        <v>0.9285714285714286</v>
      </c>
      <c r="O274" s="27"/>
      <c r="P274" s="8"/>
      <c r="Q274" s="8"/>
      <c r="R274" s="8" t="s">
        <v>1348</v>
      </c>
      <c r="S274" s="27"/>
      <c r="T274" s="27"/>
      <c r="U274" s="8"/>
      <c r="V274" s="8"/>
      <c r="W274" s="8"/>
      <c r="X274" s="27"/>
      <c r="Y274" s="27"/>
      <c r="Z274" s="27" t="s">
        <v>1348</v>
      </c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676</v>
      </c>
      <c r="B275" s="68"/>
      <c r="C275" s="69" t="s">
        <v>696</v>
      </c>
      <c r="D275" s="68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17">
        <f t="shared" si="17"/>
        <v>24</v>
      </c>
      <c r="M275" s="17">
        <f t="shared" si="18"/>
        <v>4</v>
      </c>
      <c r="N275" s="18">
        <f t="shared" si="19"/>
        <v>0.8571428571428571</v>
      </c>
      <c r="O275" s="27"/>
      <c r="P275" s="8"/>
      <c r="Q275" s="8"/>
      <c r="R275" s="8"/>
      <c r="S275" s="27"/>
      <c r="T275" s="27"/>
      <c r="U275" s="8" t="s">
        <v>1348</v>
      </c>
      <c r="V275" s="8" t="s">
        <v>1348</v>
      </c>
      <c r="W275" s="8" t="s">
        <v>1348</v>
      </c>
      <c r="X275" s="27" t="s">
        <v>1348</v>
      </c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538</v>
      </c>
      <c r="B276" s="68"/>
      <c r="C276" s="69" t="s">
        <v>697</v>
      </c>
      <c r="D276" s="68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676</v>
      </c>
      <c r="B277" s="68"/>
      <c r="C277" s="69" t="s">
        <v>699</v>
      </c>
      <c r="D277" s="68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17">
        <f t="shared" si="17"/>
        <v>27</v>
      </c>
      <c r="M277" s="17">
        <f t="shared" si="18"/>
        <v>1</v>
      </c>
      <c r="N277" s="18">
        <f t="shared" si="19"/>
        <v>0.9642857142857143</v>
      </c>
      <c r="O277" s="27"/>
      <c r="P277" s="8"/>
      <c r="Q277" s="8"/>
      <c r="R277" s="8" t="s">
        <v>1348</v>
      </c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676</v>
      </c>
      <c r="B278" s="68"/>
      <c r="C278" s="69" t="s">
        <v>702</v>
      </c>
      <c r="D278" s="68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676</v>
      </c>
      <c r="B279" s="68"/>
      <c r="C279" s="69" t="s">
        <v>705</v>
      </c>
      <c r="D279" s="68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17">
        <f t="shared" si="17"/>
        <v>28</v>
      </c>
      <c r="M279" s="17">
        <f t="shared" si="18"/>
        <v>0</v>
      </c>
      <c r="N279" s="18">
        <f t="shared" si="19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676</v>
      </c>
      <c r="B280" s="68"/>
      <c r="C280" s="69" t="s">
        <v>708</v>
      </c>
      <c r="D280" s="68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17">
        <f t="shared" si="17"/>
        <v>27</v>
      </c>
      <c r="M280" s="17">
        <f t="shared" si="18"/>
        <v>1</v>
      </c>
      <c r="N280" s="18">
        <f t="shared" si="19"/>
        <v>0.9642857142857143</v>
      </c>
      <c r="O280" s="27"/>
      <c r="P280" s="8"/>
      <c r="Q280" s="8"/>
      <c r="R280" s="8" t="s">
        <v>1348</v>
      </c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538</v>
      </c>
      <c r="B281" s="66">
        <v>44634</v>
      </c>
      <c r="C281" s="69" t="s">
        <v>710</v>
      </c>
      <c r="D281" s="68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17">
        <f t="shared" si="17"/>
        <v>27</v>
      </c>
      <c r="M281" s="17">
        <f t="shared" si="18"/>
        <v>1</v>
      </c>
      <c r="N281" s="18">
        <f t="shared" si="19"/>
        <v>0.9642857142857143</v>
      </c>
      <c r="O281" s="27"/>
      <c r="P281" s="8"/>
      <c r="Q281" s="8"/>
      <c r="R281" s="8"/>
      <c r="S281" s="27" t="s">
        <v>1348</v>
      </c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t="s">
        <v>538</v>
      </c>
      <c r="B282" s="66">
        <v>44634</v>
      </c>
      <c r="C282" s="69" t="s">
        <v>712</v>
      </c>
      <c r="D282" s="68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17">
        <f t="shared" si="17"/>
        <v>25</v>
      </c>
      <c r="M282" s="17">
        <f t="shared" si="18"/>
        <v>3</v>
      </c>
      <c r="N282" s="18">
        <f t="shared" si="19"/>
        <v>0.8928571428571429</v>
      </c>
      <c r="O282" s="27"/>
      <c r="P282" s="8"/>
      <c r="Q282" s="8"/>
      <c r="R282" s="8"/>
      <c r="S282" s="27" t="s">
        <v>1348</v>
      </c>
      <c r="T282" s="27"/>
      <c r="U282" s="8"/>
      <c r="V282" s="8" t="s">
        <v>1348</v>
      </c>
      <c r="W282" s="8"/>
      <c r="X282" s="27"/>
      <c r="Y282" s="27"/>
      <c r="Z282" s="27"/>
      <c r="AA282" s="27"/>
      <c r="AB282" s="27" t="s">
        <v>1348</v>
      </c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t="s">
        <v>676</v>
      </c>
      <c r="B283" s="68"/>
      <c r="C283" s="69" t="s">
        <v>713</v>
      </c>
      <c r="D283" s="68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17">
        <f t="shared" si="17"/>
        <v>27</v>
      </c>
      <c r="M283" s="17">
        <f t="shared" si="18"/>
        <v>1</v>
      </c>
      <c r="N283" s="18">
        <f t="shared" si="19"/>
        <v>0.9642857142857143</v>
      </c>
      <c r="O283" s="27"/>
      <c r="P283" s="8"/>
      <c r="Q283" s="8"/>
      <c r="R283" s="8" t="s">
        <v>1348</v>
      </c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676</v>
      </c>
      <c r="B284" s="68"/>
      <c r="C284" s="69" t="s">
        <v>716</v>
      </c>
      <c r="D284" s="68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 t="s">
        <v>1348</v>
      </c>
      <c r="S284" s="27" t="s">
        <v>1348</v>
      </c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676</v>
      </c>
      <c r="B285" s="68"/>
      <c r="C285" s="69" t="s">
        <v>719</v>
      </c>
      <c r="D285" s="68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 t="s">
        <v>1348</v>
      </c>
      <c r="S285" s="27" t="s">
        <v>1348</v>
      </c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549</v>
      </c>
      <c r="B286" s="68"/>
      <c r="C286" s="69" t="s">
        <v>720</v>
      </c>
      <c r="D286" s="68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17">
        <f t="shared" si="17"/>
        <v>27</v>
      </c>
      <c r="M286" s="17">
        <f t="shared" si="18"/>
        <v>1</v>
      </c>
      <c r="N286" s="18">
        <f t="shared" si="19"/>
        <v>0.9642857142857143</v>
      </c>
      <c r="O286" s="27"/>
      <c r="P286" s="8"/>
      <c r="Q286" s="8"/>
      <c r="R286" s="8"/>
      <c r="S286" s="27"/>
      <c r="T286" s="27" t="s">
        <v>1348</v>
      </c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t="s">
        <v>549</v>
      </c>
      <c r="B287" s="68"/>
      <c r="C287" s="69" t="s">
        <v>722</v>
      </c>
      <c r="D287" s="68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17">
        <f t="shared" si="17"/>
        <v>26</v>
      </c>
      <c r="M287" s="17">
        <f t="shared" si="18"/>
        <v>2</v>
      </c>
      <c r="N287" s="18">
        <f t="shared" si="19"/>
        <v>0.9285714285714286</v>
      </c>
      <c r="O287" s="27"/>
      <c r="P287" s="8"/>
      <c r="Q287" s="8"/>
      <c r="R287" s="8"/>
      <c r="S287" s="27"/>
      <c r="T287" s="27" t="s">
        <v>1348</v>
      </c>
      <c r="U287" s="8"/>
      <c r="V287" s="8"/>
      <c r="W287" s="8"/>
      <c r="X287" s="27"/>
      <c r="Y287" s="27" t="s">
        <v>1348</v>
      </c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t="s">
        <v>723</v>
      </c>
      <c r="B288" s="68"/>
      <c r="C288" s="69" t="s">
        <v>724</v>
      </c>
      <c r="D288" s="68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7"/>
      <c r="P288" s="8"/>
      <c r="Q288" s="8"/>
      <c r="R288" s="8" t="s">
        <v>1348</v>
      </c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723</v>
      </c>
      <c r="B289" s="68"/>
      <c r="C289" s="69" t="s">
        <v>727</v>
      </c>
      <c r="D289" s="68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17">
        <f t="shared" si="17"/>
        <v>16</v>
      </c>
      <c r="M289" s="17">
        <f t="shared" si="18"/>
        <v>12</v>
      </c>
      <c r="N289" s="18">
        <f t="shared" si="19"/>
        <v>0.5714285714285714</v>
      </c>
      <c r="O289" s="27" t="s">
        <v>1348</v>
      </c>
      <c r="P289" s="8" t="s">
        <v>1348</v>
      </c>
      <c r="Q289" s="8" t="s">
        <v>1348</v>
      </c>
      <c r="R289" s="8" t="s">
        <v>1348</v>
      </c>
      <c r="S289" s="27" t="s">
        <v>1348</v>
      </c>
      <c r="T289" s="27" t="s">
        <v>1348</v>
      </c>
      <c r="U289" s="8" t="s">
        <v>1348</v>
      </c>
      <c r="V289" s="8" t="s">
        <v>1348</v>
      </c>
      <c r="W289" s="8" t="s">
        <v>1348</v>
      </c>
      <c r="X289" s="27" t="s">
        <v>1348</v>
      </c>
      <c r="Y289" s="27"/>
      <c r="Z289" s="27"/>
      <c r="AA289" s="27" t="s">
        <v>1348</v>
      </c>
      <c r="AB289" s="27" t="s">
        <v>1348</v>
      </c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729</v>
      </c>
      <c r="B290" s="68"/>
      <c r="C290" s="69" t="s">
        <v>730</v>
      </c>
      <c r="D290" s="68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17">
        <f t="shared" si="17"/>
        <v>27</v>
      </c>
      <c r="M290" s="17">
        <f t="shared" si="18"/>
        <v>1</v>
      </c>
      <c r="N290" s="18">
        <f t="shared" si="19"/>
        <v>0.9642857142857143</v>
      </c>
      <c r="O290" s="27"/>
      <c r="P290" s="8"/>
      <c r="Q290" s="8"/>
      <c r="R290" s="8" t="s">
        <v>1348</v>
      </c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723</v>
      </c>
      <c r="B291" s="68"/>
      <c r="C291" s="69" t="s">
        <v>732</v>
      </c>
      <c r="D291" s="68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17">
        <f t="shared" si="17"/>
        <v>27</v>
      </c>
      <c r="M291" s="17">
        <f t="shared" si="18"/>
        <v>1</v>
      </c>
      <c r="N291" s="18">
        <f t="shared" si="19"/>
        <v>0.9642857142857143</v>
      </c>
      <c r="O291" s="27"/>
      <c r="P291" s="8"/>
      <c r="Q291" s="8"/>
      <c r="R291" s="8" t="s">
        <v>1348</v>
      </c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723</v>
      </c>
      <c r="B292" s="68"/>
      <c r="C292" s="69" t="s">
        <v>736</v>
      </c>
      <c r="D292" s="68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17">
        <f t="shared" si="17"/>
        <v>27</v>
      </c>
      <c r="M292" s="17">
        <f t="shared" si="18"/>
        <v>1</v>
      </c>
      <c r="N292" s="18">
        <f t="shared" si="19"/>
        <v>0.9642857142857143</v>
      </c>
      <c r="O292" s="27"/>
      <c r="P292" s="8"/>
      <c r="Q292" s="8"/>
      <c r="R292" s="8" t="s">
        <v>1348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723</v>
      </c>
      <c r="B293" s="68"/>
      <c r="C293" s="69" t="s">
        <v>738</v>
      </c>
      <c r="D293" s="68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17">
        <f t="shared" si="17"/>
        <v>27</v>
      </c>
      <c r="M293" s="17">
        <f t="shared" si="18"/>
        <v>1</v>
      </c>
      <c r="N293" s="18">
        <f t="shared" si="19"/>
        <v>0.9642857142857143</v>
      </c>
      <c r="O293" s="27"/>
      <c r="P293" s="8"/>
      <c r="Q293" s="8"/>
      <c r="R293" s="8" t="s">
        <v>1348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723</v>
      </c>
      <c r="B294" s="68"/>
      <c r="C294" s="69" t="s">
        <v>741</v>
      </c>
      <c r="D294" s="68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17">
        <f t="shared" si="17"/>
        <v>27</v>
      </c>
      <c r="M294" s="17">
        <f t="shared" si="18"/>
        <v>1</v>
      </c>
      <c r="N294" s="18">
        <f t="shared" si="19"/>
        <v>0.9642857142857143</v>
      </c>
      <c r="O294" s="27"/>
      <c r="P294" s="8"/>
      <c r="Q294" s="8"/>
      <c r="R294" s="8" t="s">
        <v>1348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723</v>
      </c>
      <c r="B295" s="68"/>
      <c r="C295" s="69" t="s">
        <v>743</v>
      </c>
      <c r="D295" s="68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17">
        <f t="shared" si="17"/>
        <v>27</v>
      </c>
      <c r="M295" s="17">
        <f t="shared" si="18"/>
        <v>1</v>
      </c>
      <c r="N295" s="18">
        <f t="shared" si="19"/>
        <v>0.9642857142857143</v>
      </c>
      <c r="O295" s="27"/>
      <c r="P295" s="8"/>
      <c r="Q295" s="8"/>
      <c r="R295" s="8" t="s">
        <v>1348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412</v>
      </c>
      <c r="B296" s="68"/>
      <c r="C296" s="69" t="s">
        <v>745</v>
      </c>
      <c r="D296" s="68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17">
        <f t="shared" si="17"/>
        <v>28</v>
      </c>
      <c r="M296" s="17">
        <f t="shared" si="18"/>
        <v>0</v>
      </c>
      <c r="N296" s="18">
        <f t="shared" si="19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358</v>
      </c>
      <c r="B297" s="68"/>
      <c r="C297" s="69" t="s">
        <v>747</v>
      </c>
      <c r="D297" s="68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358</v>
      </c>
      <c r="B298" s="68"/>
      <c r="C298" s="69" t="s">
        <v>750</v>
      </c>
      <c r="D298" s="68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358</v>
      </c>
      <c r="B299" s="68"/>
      <c r="C299" s="69" t="s">
        <v>752</v>
      </c>
      <c r="D299" s="68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358</v>
      </c>
      <c r="B300" s="68"/>
      <c r="C300" s="69" t="s">
        <v>754</v>
      </c>
      <c r="D300" s="68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358</v>
      </c>
      <c r="B301" s="68"/>
      <c r="C301" s="69" t="s">
        <v>755</v>
      </c>
      <c r="D301" s="68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17">
        <f t="shared" si="17"/>
        <v>26</v>
      </c>
      <c r="M301" s="17">
        <f t="shared" si="18"/>
        <v>2</v>
      </c>
      <c r="N301" s="18">
        <f t="shared" si="19"/>
        <v>0.9285714285714286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1348</v>
      </c>
      <c r="Z301" s="27" t="s">
        <v>1348</v>
      </c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358</v>
      </c>
      <c r="B302" s="68"/>
      <c r="C302" s="69" t="s">
        <v>757</v>
      </c>
      <c r="D302" s="68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358</v>
      </c>
      <c r="B303" s="68"/>
      <c r="C303" s="69" t="s">
        <v>758</v>
      </c>
      <c r="D303" s="68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17">
        <f t="shared" si="17"/>
        <v>16</v>
      </c>
      <c r="M303" s="17">
        <f t="shared" si="18"/>
        <v>12</v>
      </c>
      <c r="N303" s="18">
        <f t="shared" si="19"/>
        <v>0.5714285714285714</v>
      </c>
      <c r="O303" s="27" t="s">
        <v>1348</v>
      </c>
      <c r="P303" s="8" t="s">
        <v>1348</v>
      </c>
      <c r="Q303" s="8" t="s">
        <v>1348</v>
      </c>
      <c r="R303" s="8" t="s">
        <v>1348</v>
      </c>
      <c r="S303" s="27" t="s">
        <v>1348</v>
      </c>
      <c r="T303" s="27" t="s">
        <v>1348</v>
      </c>
      <c r="U303" s="8" t="s">
        <v>1348</v>
      </c>
      <c r="V303" s="8" t="s">
        <v>1348</v>
      </c>
      <c r="W303" s="8" t="s">
        <v>1348</v>
      </c>
      <c r="X303" s="27" t="s">
        <v>1348</v>
      </c>
      <c r="Y303" s="27"/>
      <c r="Z303" s="27"/>
      <c r="AA303" s="27" t="s">
        <v>1348</v>
      </c>
      <c r="AB303" s="27" t="s">
        <v>1348</v>
      </c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t="s">
        <v>358</v>
      </c>
      <c r="B304" s="66">
        <v>44634</v>
      </c>
      <c r="C304" s="69" t="s">
        <v>760</v>
      </c>
      <c r="D304" s="68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17">
        <f t="shared" si="17"/>
        <v>25</v>
      </c>
      <c r="M304" s="17">
        <f t="shared" si="18"/>
        <v>3</v>
      </c>
      <c r="N304" s="18">
        <f t="shared" si="19"/>
        <v>0.8928571428571429</v>
      </c>
      <c r="O304" s="27"/>
      <c r="P304" s="8"/>
      <c r="Q304" s="8"/>
      <c r="R304" s="8" t="s">
        <v>1348</v>
      </c>
      <c r="S304" s="27" t="s">
        <v>1348</v>
      </c>
      <c r="T304" s="27" t="s">
        <v>1348</v>
      </c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358</v>
      </c>
      <c r="B305" s="66">
        <v>44634</v>
      </c>
      <c r="C305" s="69" t="s">
        <v>763</v>
      </c>
      <c r="D305" s="68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17">
        <f t="shared" si="17"/>
        <v>25</v>
      </c>
      <c r="M305" s="17">
        <f t="shared" si="18"/>
        <v>3</v>
      </c>
      <c r="N305" s="18">
        <f t="shared" si="19"/>
        <v>0.8928571428571429</v>
      </c>
      <c r="O305" s="27"/>
      <c r="P305" s="8"/>
      <c r="Q305" s="8"/>
      <c r="R305" s="8" t="s">
        <v>1348</v>
      </c>
      <c r="S305" s="27" t="s">
        <v>1348</v>
      </c>
      <c r="T305" s="27" t="s">
        <v>1348</v>
      </c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358</v>
      </c>
      <c r="B306" s="66">
        <v>44634</v>
      </c>
      <c r="C306" s="69" t="s">
        <v>764</v>
      </c>
      <c r="D306" s="68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17">
        <f t="shared" si="17"/>
        <v>25</v>
      </c>
      <c r="M306" s="17">
        <f t="shared" si="18"/>
        <v>3</v>
      </c>
      <c r="N306" s="18">
        <f t="shared" si="19"/>
        <v>0.8928571428571429</v>
      </c>
      <c r="O306" s="27"/>
      <c r="P306" s="8"/>
      <c r="Q306" s="8"/>
      <c r="R306" s="8" t="s">
        <v>1348</v>
      </c>
      <c r="S306" s="27" t="s">
        <v>1348</v>
      </c>
      <c r="T306" s="27" t="s">
        <v>1348</v>
      </c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358</v>
      </c>
      <c r="B307" s="66">
        <v>44634</v>
      </c>
      <c r="C307" s="69" t="s">
        <v>767</v>
      </c>
      <c r="D307" s="68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17">
        <f t="shared" si="17"/>
        <v>25</v>
      </c>
      <c r="M307" s="17">
        <f t="shared" si="18"/>
        <v>3</v>
      </c>
      <c r="N307" s="18">
        <f t="shared" si="19"/>
        <v>0.8928571428571429</v>
      </c>
      <c r="O307" s="27"/>
      <c r="P307" s="8"/>
      <c r="Q307" s="8"/>
      <c r="R307" s="8" t="s">
        <v>1348</v>
      </c>
      <c r="S307" s="27" t="s">
        <v>1348</v>
      </c>
      <c r="T307" s="27" t="s">
        <v>1348</v>
      </c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B308" s="68"/>
      <c r="C308" s="69" t="s">
        <v>768</v>
      </c>
      <c r="D308" s="68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17">
        <f t="shared" si="17"/>
        <v>27</v>
      </c>
      <c r="M308" s="17">
        <f t="shared" si="18"/>
        <v>1</v>
      </c>
      <c r="N308" s="18">
        <f t="shared" si="19"/>
        <v>0.9642857142857143</v>
      </c>
      <c r="O308" s="27"/>
      <c r="P308" s="8"/>
      <c r="Q308" s="8"/>
      <c r="R308" s="8" t="s">
        <v>1348</v>
      </c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771</v>
      </c>
      <c r="B309" s="68"/>
      <c r="C309" s="69" t="s">
        <v>772</v>
      </c>
      <c r="D309" s="68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17">
        <f t="shared" si="17"/>
        <v>26</v>
      </c>
      <c r="M309" s="17">
        <f t="shared" si="18"/>
        <v>2</v>
      </c>
      <c r="N309" s="18">
        <f t="shared" si="19"/>
        <v>0.9285714285714286</v>
      </c>
      <c r="O309" s="27"/>
      <c r="P309" s="8"/>
      <c r="Q309" s="8"/>
      <c r="R309" s="8" t="s">
        <v>1348</v>
      </c>
      <c r="S309" s="27"/>
      <c r="T309" s="27"/>
      <c r="U309" s="8"/>
      <c r="V309" s="8"/>
      <c r="W309" s="8"/>
      <c r="X309" s="27"/>
      <c r="Y309" s="27" t="s">
        <v>1348</v>
      </c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B310" s="68"/>
      <c r="C310" s="69" t="s">
        <v>775</v>
      </c>
      <c r="D310" s="68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17">
        <f t="shared" si="17"/>
        <v>20</v>
      </c>
      <c r="M310" s="17">
        <f t="shared" si="18"/>
        <v>8</v>
      </c>
      <c r="N310" s="18">
        <f t="shared" si="19"/>
        <v>0.7142857142857143</v>
      </c>
      <c r="O310" s="27" t="s">
        <v>1348</v>
      </c>
      <c r="P310" s="8" t="s">
        <v>1348</v>
      </c>
      <c r="Q310" s="8" t="s">
        <v>1348</v>
      </c>
      <c r="R310" s="8" t="s">
        <v>1348</v>
      </c>
      <c r="S310" s="27" t="s">
        <v>1348</v>
      </c>
      <c r="T310" s="27"/>
      <c r="U310" s="8" t="s">
        <v>1348</v>
      </c>
      <c r="V310" s="8" t="s">
        <v>1348</v>
      </c>
      <c r="W310" s="8"/>
      <c r="X310" s="27"/>
      <c r="Y310" s="27" t="s">
        <v>1348</v>
      </c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778</v>
      </c>
      <c r="B311" s="68"/>
      <c r="C311" s="69" t="s">
        <v>779</v>
      </c>
      <c r="D311" s="68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778</v>
      </c>
      <c r="B312" s="68"/>
      <c r="C312" s="69" t="s">
        <v>782</v>
      </c>
      <c r="D312" s="68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771</v>
      </c>
      <c r="B313" s="68"/>
      <c r="C313" s="69" t="s">
        <v>783</v>
      </c>
      <c r="D313" s="68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17">
        <f t="shared" si="17"/>
        <v>23</v>
      </c>
      <c r="M313" s="17">
        <f t="shared" si="18"/>
        <v>5</v>
      </c>
      <c r="N313" s="18">
        <f t="shared" si="19"/>
        <v>0.8214285714285714</v>
      </c>
      <c r="O313" s="27" t="s">
        <v>1348</v>
      </c>
      <c r="P313" s="8" t="s">
        <v>1348</v>
      </c>
      <c r="Q313" s="8" t="s">
        <v>1348</v>
      </c>
      <c r="R313" s="8" t="s">
        <v>1348</v>
      </c>
      <c r="S313" s="27" t="s">
        <v>1348</v>
      </c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771</v>
      </c>
      <c r="B314" s="68"/>
      <c r="C314" s="69" t="s">
        <v>785</v>
      </c>
      <c r="D314" s="68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 t="s">
        <v>1348</v>
      </c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778</v>
      </c>
      <c r="B315" s="68"/>
      <c r="C315" s="69" t="s">
        <v>787</v>
      </c>
      <c r="D315" s="68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17">
        <f t="shared" si="17"/>
        <v>26</v>
      </c>
      <c r="M315" s="17">
        <f t="shared" si="18"/>
        <v>2</v>
      </c>
      <c r="N315" s="18">
        <f t="shared" si="19"/>
        <v>0.9285714285714286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 t="s">
        <v>1348</v>
      </c>
      <c r="Z315" s="27" t="s">
        <v>1348</v>
      </c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778</v>
      </c>
      <c r="B316" s="68"/>
      <c r="C316" s="69" t="s">
        <v>789</v>
      </c>
      <c r="D316" s="68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17">
        <f t="shared" si="17"/>
        <v>27</v>
      </c>
      <c r="M316" s="17">
        <f t="shared" si="18"/>
        <v>1</v>
      </c>
      <c r="N316" s="18">
        <f t="shared" si="19"/>
        <v>0.9642857142857143</v>
      </c>
      <c r="O316" s="27"/>
      <c r="P316" s="8"/>
      <c r="Q316" s="8"/>
      <c r="R316" s="8" t="s">
        <v>1348</v>
      </c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771</v>
      </c>
      <c r="B317" s="68"/>
      <c r="C317" s="69" t="s">
        <v>791</v>
      </c>
      <c r="D317" s="68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17">
        <f t="shared" si="17"/>
        <v>23</v>
      </c>
      <c r="M317" s="17">
        <f t="shared" si="18"/>
        <v>5</v>
      </c>
      <c r="N317" s="18">
        <f t="shared" si="19"/>
        <v>0.8214285714285714</v>
      </c>
      <c r="O317" s="27"/>
      <c r="P317" s="8"/>
      <c r="Q317" s="8"/>
      <c r="R317" s="8" t="s">
        <v>1348</v>
      </c>
      <c r="S317" s="27"/>
      <c r="T317" s="27"/>
      <c r="U317" s="8" t="s">
        <v>1348</v>
      </c>
      <c r="V317" s="8" t="s">
        <v>1348</v>
      </c>
      <c r="W317" s="8" t="s">
        <v>1348</v>
      </c>
      <c r="X317" s="27" t="s">
        <v>1348</v>
      </c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771</v>
      </c>
      <c r="B318" s="68"/>
      <c r="C318" s="69" t="s">
        <v>792</v>
      </c>
      <c r="D318" s="68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17">
        <f t="shared" si="17"/>
        <v>23</v>
      </c>
      <c r="M318" s="17">
        <f t="shared" si="18"/>
        <v>5</v>
      </c>
      <c r="N318" s="18">
        <f t="shared" si="19"/>
        <v>0.8214285714285714</v>
      </c>
      <c r="O318" s="27" t="s">
        <v>1348</v>
      </c>
      <c r="P318" s="8" t="s">
        <v>1348</v>
      </c>
      <c r="Q318" s="8" t="s">
        <v>1348</v>
      </c>
      <c r="R318" s="8" t="s">
        <v>1348</v>
      </c>
      <c r="S318" s="27" t="s">
        <v>1348</v>
      </c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771</v>
      </c>
      <c r="B319" s="68"/>
      <c r="C319" s="69" t="s">
        <v>795</v>
      </c>
      <c r="D319" s="68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17">
        <f t="shared" si="17"/>
        <v>23</v>
      </c>
      <c r="M319" s="17">
        <f t="shared" si="18"/>
        <v>5</v>
      </c>
      <c r="N319" s="18">
        <f t="shared" si="19"/>
        <v>0.8214285714285714</v>
      </c>
      <c r="O319" s="27" t="s">
        <v>1348</v>
      </c>
      <c r="P319" s="8" t="s">
        <v>1348</v>
      </c>
      <c r="Q319" s="8" t="s">
        <v>1348</v>
      </c>
      <c r="R319" s="8" t="s">
        <v>1348</v>
      </c>
      <c r="S319" s="27" t="s">
        <v>1348</v>
      </c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771</v>
      </c>
      <c r="B320" s="68"/>
      <c r="C320" s="69" t="s">
        <v>798</v>
      </c>
      <c r="D320" s="68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17">
        <f t="shared" si="17"/>
        <v>27</v>
      </c>
      <c r="M320" s="17">
        <f t="shared" si="18"/>
        <v>1</v>
      </c>
      <c r="N320" s="18">
        <f t="shared" si="19"/>
        <v>0.9642857142857143</v>
      </c>
      <c r="O320" s="27"/>
      <c r="P320" s="8"/>
      <c r="Q320" s="8"/>
      <c r="R320" s="8" t="s">
        <v>1348</v>
      </c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771</v>
      </c>
      <c r="B321" s="68"/>
      <c r="C321" s="69" t="s">
        <v>801</v>
      </c>
      <c r="D321" s="68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17">
        <f t="shared" si="17"/>
        <v>24</v>
      </c>
      <c r="M321" s="17">
        <f t="shared" si="18"/>
        <v>4</v>
      </c>
      <c r="N321" s="18">
        <f t="shared" si="19"/>
        <v>0.8571428571428571</v>
      </c>
      <c r="O321" s="27"/>
      <c r="P321" s="8"/>
      <c r="Q321" s="8"/>
      <c r="R321" s="8"/>
      <c r="S321" s="27"/>
      <c r="T321" s="27"/>
      <c r="U321" s="8" t="s">
        <v>1348</v>
      </c>
      <c r="V321" s="8" t="s">
        <v>1348</v>
      </c>
      <c r="W321" s="8" t="s">
        <v>1348</v>
      </c>
      <c r="X321" s="27" t="s">
        <v>1348</v>
      </c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771</v>
      </c>
      <c r="B322" s="68"/>
      <c r="C322" s="69" t="s">
        <v>802</v>
      </c>
      <c r="D322" s="68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17">
        <f t="shared" si="17"/>
        <v>27</v>
      </c>
      <c r="M322" s="17">
        <f t="shared" si="18"/>
        <v>1</v>
      </c>
      <c r="N322" s="18">
        <f t="shared" si="19"/>
        <v>0.9642857142857143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 t="s">
        <v>1348</v>
      </c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778</v>
      </c>
      <c r="B323" s="68"/>
      <c r="C323" s="69" t="s">
        <v>804</v>
      </c>
      <c r="D323" s="68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 t="s">
        <v>1348</v>
      </c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778</v>
      </c>
      <c r="B324" s="68"/>
      <c r="C324" s="69" t="s">
        <v>806</v>
      </c>
      <c r="D324" s="68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 t="s">
        <v>1348</v>
      </c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771</v>
      </c>
      <c r="B325" s="68"/>
      <c r="C325" s="69" t="s">
        <v>809</v>
      </c>
      <c r="D325" s="68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17">
        <f t="shared" si="17"/>
        <v>23</v>
      </c>
      <c r="M325" s="17">
        <f t="shared" si="18"/>
        <v>5</v>
      </c>
      <c r="N325" s="18">
        <f t="shared" si="19"/>
        <v>0.8214285714285714</v>
      </c>
      <c r="O325" s="27" t="s">
        <v>1348</v>
      </c>
      <c r="P325" s="8" t="s">
        <v>1348</v>
      </c>
      <c r="Q325" s="8" t="s">
        <v>1348</v>
      </c>
      <c r="R325" s="8" t="s">
        <v>1348</v>
      </c>
      <c r="S325" s="27" t="s">
        <v>1348</v>
      </c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778</v>
      </c>
      <c r="B326" s="68"/>
      <c r="C326" s="69" t="s">
        <v>811</v>
      </c>
      <c r="D326" s="68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17">
        <f t="shared" si="17"/>
        <v>27</v>
      </c>
      <c r="M326" s="17">
        <f t="shared" si="18"/>
        <v>1</v>
      </c>
      <c r="N326" s="18">
        <f t="shared" si="19"/>
        <v>0.9642857142857143</v>
      </c>
      <c r="O326" s="27"/>
      <c r="P326" s="8"/>
      <c r="Q326" s="8"/>
      <c r="R326" s="8" t="s">
        <v>1348</v>
      </c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B327" s="68"/>
      <c r="C327" s="69" t="s">
        <v>813</v>
      </c>
      <c r="D327" s="68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17">
        <f t="shared" ref="L327:L372" si="20">COUNTIF(O327:AP327,"")</f>
        <v>23</v>
      </c>
      <c r="M327" s="17">
        <f t="shared" ref="M327:M372" si="21">COUNTIF(O327:AP327,"APAGADO")</f>
        <v>5</v>
      </c>
      <c r="N327" s="18">
        <f t="shared" ref="N327:N372" si="22">(L327)/(M327+L327)</f>
        <v>0.8214285714285714</v>
      </c>
      <c r="O327" s="27" t="s">
        <v>1348</v>
      </c>
      <c r="P327" s="8" t="s">
        <v>1348</v>
      </c>
      <c r="Q327" s="8" t="s">
        <v>1348</v>
      </c>
      <c r="R327" s="8" t="s">
        <v>1348</v>
      </c>
      <c r="S327" s="27"/>
      <c r="T327" s="27"/>
      <c r="U327" s="8"/>
      <c r="V327" s="8"/>
      <c r="W327" s="8"/>
      <c r="X327" s="27"/>
      <c r="Y327" s="27"/>
      <c r="Z327" s="27"/>
      <c r="AA327" s="27" t="s">
        <v>1348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771</v>
      </c>
      <c r="B328" s="68"/>
      <c r="C328" s="69" t="s">
        <v>817</v>
      </c>
      <c r="D328" s="68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17">
        <f t="shared" si="20"/>
        <v>23</v>
      </c>
      <c r="M328" s="17">
        <f t="shared" si="21"/>
        <v>5</v>
      </c>
      <c r="N328" s="18">
        <f t="shared" si="22"/>
        <v>0.8214285714285714</v>
      </c>
      <c r="O328" s="27" t="s">
        <v>1348</v>
      </c>
      <c r="P328" s="8" t="s">
        <v>1348</v>
      </c>
      <c r="Q328" s="8" t="s">
        <v>1348</v>
      </c>
      <c r="R328" s="8" t="s">
        <v>1348</v>
      </c>
      <c r="S328" s="27" t="s">
        <v>1348</v>
      </c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771</v>
      </c>
      <c r="B329" s="68"/>
      <c r="C329" s="69" t="s">
        <v>819</v>
      </c>
      <c r="D329" s="68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17">
        <f t="shared" si="20"/>
        <v>22</v>
      </c>
      <c r="M329" s="17">
        <f t="shared" si="21"/>
        <v>6</v>
      </c>
      <c r="N329" s="18">
        <f t="shared" si="22"/>
        <v>0.7857142857142857</v>
      </c>
      <c r="O329" s="27" t="s">
        <v>1348</v>
      </c>
      <c r="P329" s="8" t="s">
        <v>1348</v>
      </c>
      <c r="Q329" s="8" t="s">
        <v>1348</v>
      </c>
      <c r="R329" s="8" t="s">
        <v>1348</v>
      </c>
      <c r="S329" s="27" t="s">
        <v>1348</v>
      </c>
      <c r="T329" s="27"/>
      <c r="U329" s="8"/>
      <c r="V329" s="8"/>
      <c r="W329" s="8"/>
      <c r="X329" s="27"/>
      <c r="Y329" s="27" t="s">
        <v>1348</v>
      </c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771</v>
      </c>
      <c r="B330" s="68"/>
      <c r="C330" s="69" t="s">
        <v>820</v>
      </c>
      <c r="D330" s="68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771</v>
      </c>
      <c r="B331" s="68"/>
      <c r="C331" s="69" t="s">
        <v>822</v>
      </c>
      <c r="D331" s="68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618</v>
      </c>
      <c r="B332" s="68"/>
      <c r="C332" s="69" t="s">
        <v>823</v>
      </c>
      <c r="D332" s="68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 t="s">
        <v>1348</v>
      </c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618</v>
      </c>
      <c r="B333" s="68"/>
      <c r="C333" s="69" t="s">
        <v>827</v>
      </c>
      <c r="D333" s="68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17">
        <f t="shared" si="20"/>
        <v>23</v>
      </c>
      <c r="M333" s="17">
        <f t="shared" si="21"/>
        <v>5</v>
      </c>
      <c r="N333" s="18">
        <f t="shared" si="22"/>
        <v>0.8214285714285714</v>
      </c>
      <c r="O333" s="27"/>
      <c r="P333" s="8"/>
      <c r="Q333" s="8"/>
      <c r="R333" s="8"/>
      <c r="S333" s="27"/>
      <c r="T333" s="27"/>
      <c r="U333" s="8" t="s">
        <v>1348</v>
      </c>
      <c r="V333" s="8" t="s">
        <v>1348</v>
      </c>
      <c r="W333" s="8" t="s">
        <v>1348</v>
      </c>
      <c r="X333" s="27" t="s">
        <v>1348</v>
      </c>
      <c r="Y333" s="27" t="s">
        <v>1348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456</v>
      </c>
      <c r="B334" s="68"/>
      <c r="C334" s="69" t="s">
        <v>829</v>
      </c>
      <c r="D334" s="68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618</v>
      </c>
      <c r="B335" s="68"/>
      <c r="C335" s="69" t="s">
        <v>831</v>
      </c>
      <c r="D335" s="68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618</v>
      </c>
      <c r="B336" s="68"/>
      <c r="C336" s="69" t="s">
        <v>833</v>
      </c>
      <c r="D336" s="68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618</v>
      </c>
      <c r="B337" s="68"/>
      <c r="C337" s="69" t="s">
        <v>834</v>
      </c>
      <c r="D337" s="68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 t="s">
        <v>1348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618</v>
      </c>
      <c r="B338" s="68"/>
      <c r="C338" s="69" t="s">
        <v>837</v>
      </c>
      <c r="D338" s="68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 t="s">
        <v>1348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618</v>
      </c>
      <c r="B339" s="68"/>
      <c r="C339" s="69" t="s">
        <v>838</v>
      </c>
      <c r="D339" s="68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17">
        <f t="shared" si="20"/>
        <v>26</v>
      </c>
      <c r="M339" s="17">
        <f t="shared" si="21"/>
        <v>2</v>
      </c>
      <c r="N339" s="18">
        <f t="shared" si="22"/>
        <v>0.9285714285714286</v>
      </c>
      <c r="O339" s="27" t="s">
        <v>1348</v>
      </c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1348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729</v>
      </c>
      <c r="B340" s="68"/>
      <c r="C340" s="69" t="s">
        <v>840</v>
      </c>
      <c r="D340" s="68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17">
        <f t="shared" si="20"/>
        <v>27</v>
      </c>
      <c r="M340" s="17">
        <f t="shared" si="21"/>
        <v>1</v>
      </c>
      <c r="N340" s="18">
        <f t="shared" si="22"/>
        <v>0.9642857142857143</v>
      </c>
      <c r="O340" s="27"/>
      <c r="P340" s="8"/>
      <c r="Q340" s="8"/>
      <c r="R340" s="8" t="s">
        <v>1348</v>
      </c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729</v>
      </c>
      <c r="B341" s="68"/>
      <c r="C341" s="69" t="s">
        <v>842</v>
      </c>
      <c r="D341" s="68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729</v>
      </c>
      <c r="B342" s="68"/>
      <c r="C342" s="69" t="s">
        <v>845</v>
      </c>
      <c r="D342" s="68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17">
        <f t="shared" si="20"/>
        <v>27</v>
      </c>
      <c r="M342" s="17">
        <f t="shared" si="21"/>
        <v>1</v>
      </c>
      <c r="N342" s="18">
        <f t="shared" si="22"/>
        <v>0.9642857142857143</v>
      </c>
      <c r="O342" s="27"/>
      <c r="P342" s="8"/>
      <c r="Q342" s="8"/>
      <c r="R342" s="8" t="s">
        <v>1348</v>
      </c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729</v>
      </c>
      <c r="B343" s="68"/>
      <c r="C343" s="69" t="s">
        <v>847</v>
      </c>
      <c r="D343" s="68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17">
        <f t="shared" si="20"/>
        <v>16</v>
      </c>
      <c r="M343" s="17">
        <f t="shared" si="21"/>
        <v>12</v>
      </c>
      <c r="N343" s="18">
        <f t="shared" si="22"/>
        <v>0.5714285714285714</v>
      </c>
      <c r="O343" s="27" t="s">
        <v>1348</v>
      </c>
      <c r="P343" s="8" t="s">
        <v>1348</v>
      </c>
      <c r="Q343" s="8" t="s">
        <v>1348</v>
      </c>
      <c r="R343" s="8" t="s">
        <v>1348</v>
      </c>
      <c r="S343" s="27" t="s">
        <v>1348</v>
      </c>
      <c r="T343" s="27" t="s">
        <v>1348</v>
      </c>
      <c r="U343" s="8" t="s">
        <v>1348</v>
      </c>
      <c r="V343" s="8" t="s">
        <v>1348</v>
      </c>
      <c r="W343" s="8" t="s">
        <v>1348</v>
      </c>
      <c r="X343" s="27" t="s">
        <v>1348</v>
      </c>
      <c r="Y343" s="27"/>
      <c r="Z343" s="27"/>
      <c r="AA343" s="27" t="s">
        <v>1348</v>
      </c>
      <c r="AB343" s="27" t="s">
        <v>1348</v>
      </c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723</v>
      </c>
      <c r="B344" s="68"/>
      <c r="C344" s="69" t="s">
        <v>849</v>
      </c>
      <c r="D344" s="68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17">
        <f t="shared" si="20"/>
        <v>26</v>
      </c>
      <c r="M344" s="17">
        <f t="shared" si="21"/>
        <v>2</v>
      </c>
      <c r="N344" s="18">
        <f t="shared" si="22"/>
        <v>0.9285714285714286</v>
      </c>
      <c r="O344" s="27"/>
      <c r="P344" s="8" t="s">
        <v>1348</v>
      </c>
      <c r="Q344" s="8"/>
      <c r="R344" s="8" t="s">
        <v>1348</v>
      </c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852</v>
      </c>
      <c r="B345" s="68"/>
      <c r="C345" s="69" t="s">
        <v>853</v>
      </c>
      <c r="D345" s="68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17">
        <f t="shared" si="20"/>
        <v>27</v>
      </c>
      <c r="M345" s="17">
        <f t="shared" si="21"/>
        <v>1</v>
      </c>
      <c r="N345" s="18">
        <f t="shared" si="22"/>
        <v>0.9642857142857143</v>
      </c>
      <c r="O345" s="27"/>
      <c r="P345" s="8"/>
      <c r="Q345" s="8"/>
      <c r="R345" s="8"/>
      <c r="S345" s="27"/>
      <c r="T345" s="27" t="s">
        <v>1348</v>
      </c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852</v>
      </c>
      <c r="B346" s="68"/>
      <c r="C346" s="69" t="s">
        <v>855</v>
      </c>
      <c r="D346" s="68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17">
        <f t="shared" si="20"/>
        <v>27</v>
      </c>
      <c r="M346" s="17">
        <f t="shared" si="21"/>
        <v>1</v>
      </c>
      <c r="N346" s="18">
        <f t="shared" si="22"/>
        <v>0.9642857142857143</v>
      </c>
      <c r="O346" s="27"/>
      <c r="P346" s="8"/>
      <c r="Q346" s="8"/>
      <c r="R346" s="8"/>
      <c r="S346" s="27"/>
      <c r="T346" s="27" t="s">
        <v>1348</v>
      </c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t="s">
        <v>852</v>
      </c>
      <c r="B347" s="66">
        <v>44629</v>
      </c>
      <c r="C347" s="69" t="s">
        <v>857</v>
      </c>
      <c r="D347" s="68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17">
        <f t="shared" si="20"/>
        <v>25</v>
      </c>
      <c r="M347" s="17">
        <f t="shared" si="21"/>
        <v>3</v>
      </c>
      <c r="N347" s="18">
        <f t="shared" si="22"/>
        <v>0.8928571428571429</v>
      </c>
      <c r="O347" s="27"/>
      <c r="P347" s="8"/>
      <c r="Q347" s="8"/>
      <c r="R347" s="8"/>
      <c r="S347" s="27"/>
      <c r="T347" s="27" t="s">
        <v>1348</v>
      </c>
      <c r="U347" s="8"/>
      <c r="V347" s="8"/>
      <c r="W347" s="8"/>
      <c r="X347" s="27"/>
      <c r="Y347" s="27" t="s">
        <v>1348</v>
      </c>
      <c r="Z347" s="27" t="s">
        <v>1348</v>
      </c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852</v>
      </c>
      <c r="B348" s="66">
        <v>44629</v>
      </c>
      <c r="C348" s="69" t="s">
        <v>859</v>
      </c>
      <c r="D348" s="68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17">
        <f t="shared" si="20"/>
        <v>27</v>
      </c>
      <c r="M348" s="17">
        <f t="shared" si="21"/>
        <v>1</v>
      </c>
      <c r="N348" s="18">
        <f t="shared" si="22"/>
        <v>0.9642857142857143</v>
      </c>
      <c r="O348" s="27"/>
      <c r="P348" s="8"/>
      <c r="Q348" s="8"/>
      <c r="R348" s="8"/>
      <c r="S348" s="27"/>
      <c r="T348" s="27" t="s">
        <v>1348</v>
      </c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860</v>
      </c>
      <c r="B349" s="66">
        <v>44629</v>
      </c>
      <c r="C349" s="69" t="s">
        <v>861</v>
      </c>
      <c r="D349" s="68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860</v>
      </c>
      <c r="B350" s="68"/>
      <c r="C350" s="69" t="s">
        <v>864</v>
      </c>
      <c r="D350" s="68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860</v>
      </c>
      <c r="B351" s="66">
        <v>44629</v>
      </c>
      <c r="C351" s="69" t="s">
        <v>866</v>
      </c>
      <c r="D351" s="68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860</v>
      </c>
      <c r="B352" s="68"/>
      <c r="C352" s="69" t="s">
        <v>869</v>
      </c>
      <c r="D352" s="68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17">
        <f t="shared" si="20"/>
        <v>16</v>
      </c>
      <c r="M352" s="17">
        <f t="shared" si="21"/>
        <v>12</v>
      </c>
      <c r="N352" s="18">
        <f t="shared" si="22"/>
        <v>0.5714285714285714</v>
      </c>
      <c r="O352" s="27" t="s">
        <v>1348</v>
      </c>
      <c r="P352" s="8" t="s">
        <v>1348</v>
      </c>
      <c r="Q352" s="8" t="s">
        <v>1348</v>
      </c>
      <c r="R352" s="8" t="s">
        <v>1348</v>
      </c>
      <c r="S352" s="27" t="s">
        <v>1348</v>
      </c>
      <c r="T352" s="27" t="s">
        <v>1348</v>
      </c>
      <c r="U352" s="8" t="s">
        <v>1348</v>
      </c>
      <c r="V352" s="8" t="s">
        <v>1348</v>
      </c>
      <c r="W352" s="8" t="s">
        <v>1348</v>
      </c>
      <c r="X352" s="27" t="s">
        <v>1348</v>
      </c>
      <c r="Y352" s="27"/>
      <c r="Z352" s="27"/>
      <c r="AA352" s="27" t="s">
        <v>1348</v>
      </c>
      <c r="AB352" s="27" t="s">
        <v>1348</v>
      </c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t="s">
        <v>860</v>
      </c>
      <c r="B353" s="68"/>
      <c r="C353" s="69" t="s">
        <v>871</v>
      </c>
      <c r="D353" s="68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271</v>
      </c>
      <c r="B354" s="68"/>
      <c r="C354" s="69" t="s">
        <v>873</v>
      </c>
      <c r="D354" s="68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B355" s="68"/>
      <c r="C355" s="69" t="s">
        <v>874</v>
      </c>
      <c r="D355" s="68" t="s">
        <v>929</v>
      </c>
      <c r="E355" t="s">
        <v>19</v>
      </c>
      <c r="F355"/>
      <c r="G355" t="s">
        <v>875</v>
      </c>
      <c r="H355" t="s">
        <v>876</v>
      </c>
      <c r="I355" s="16">
        <v>-348339360000</v>
      </c>
      <c r="J355" s="16">
        <v>-582778770000</v>
      </c>
      <c r="K355" s="16"/>
      <c r="L355" s="17">
        <f t="shared" si="20"/>
        <v>25</v>
      </c>
      <c r="M355" s="17">
        <f t="shared" si="21"/>
        <v>3</v>
      </c>
      <c r="N355" s="18">
        <f t="shared" si="22"/>
        <v>0.8928571428571429</v>
      </c>
      <c r="O355" s="27" t="s">
        <v>1348</v>
      </c>
      <c r="P355" s="8"/>
      <c r="Q355" s="8"/>
      <c r="R355" s="8"/>
      <c r="S355" s="27"/>
      <c r="T355" s="27"/>
      <c r="U355" s="8"/>
      <c r="V355" s="8"/>
      <c r="W355" s="8"/>
      <c r="X355" s="27"/>
      <c r="Y355" s="27" t="s">
        <v>1348</v>
      </c>
      <c r="Z355" s="27" t="s">
        <v>1348</v>
      </c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t="s">
        <v>271</v>
      </c>
      <c r="B356" s="68"/>
      <c r="C356" s="69" t="s">
        <v>877</v>
      </c>
      <c r="D356" s="68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271</v>
      </c>
      <c r="B357" s="68"/>
      <c r="C357" s="69" t="s">
        <v>879</v>
      </c>
      <c r="D357" s="68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271</v>
      </c>
      <c r="B358" s="68"/>
      <c r="C358" s="69" t="s">
        <v>881</v>
      </c>
      <c r="D358" s="68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883</v>
      </c>
      <c r="B359" s="68"/>
      <c r="C359" s="69" t="s">
        <v>884</v>
      </c>
      <c r="D359" s="68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t="s">
        <v>883</v>
      </c>
      <c r="B360" s="68"/>
      <c r="C360" s="69" t="s">
        <v>887</v>
      </c>
      <c r="D360" s="68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t="s">
        <v>883</v>
      </c>
      <c r="B361" s="68"/>
      <c r="C361" s="69" t="s">
        <v>888</v>
      </c>
      <c r="D361" s="68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t="s">
        <v>883</v>
      </c>
      <c r="B362" s="68"/>
      <c r="C362" s="69" t="s">
        <v>890</v>
      </c>
      <c r="D362" s="68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t="s">
        <v>891</v>
      </c>
      <c r="B363" s="68"/>
      <c r="C363" s="69" t="s">
        <v>892</v>
      </c>
      <c r="D363" s="68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17">
        <f t="shared" si="20"/>
        <v>27</v>
      </c>
      <c r="M363" s="17">
        <f t="shared" si="21"/>
        <v>1</v>
      </c>
      <c r="N363" s="18">
        <f t="shared" si="22"/>
        <v>0.9642857142857143</v>
      </c>
      <c r="O363" s="27"/>
      <c r="P363" s="8"/>
      <c r="Q363" s="8"/>
      <c r="R363" s="8"/>
      <c r="S363" s="27"/>
      <c r="T363" s="27" t="s">
        <v>1348</v>
      </c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894</v>
      </c>
      <c r="B364" s="68"/>
      <c r="C364" s="69" t="s">
        <v>895</v>
      </c>
      <c r="D364" s="68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17">
        <f t="shared" si="20"/>
        <v>27</v>
      </c>
      <c r="M364" s="17">
        <f t="shared" si="21"/>
        <v>1</v>
      </c>
      <c r="N364" s="18">
        <f t="shared" si="22"/>
        <v>0.9642857142857143</v>
      </c>
      <c r="O364" s="27"/>
      <c r="P364" s="8"/>
      <c r="Q364" s="8"/>
      <c r="R364" s="8" t="s">
        <v>1348</v>
      </c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894</v>
      </c>
      <c r="B365" s="68"/>
      <c r="C365" s="69" t="s">
        <v>897</v>
      </c>
      <c r="D365" s="68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894</v>
      </c>
      <c r="B366" s="68"/>
      <c r="C366" s="69" t="s">
        <v>900</v>
      </c>
      <c r="D366" s="68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B367" s="68"/>
      <c r="C367" s="69" t="s">
        <v>902</v>
      </c>
      <c r="D367" s="68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904</v>
      </c>
      <c r="B368" s="68"/>
      <c r="C368" s="69" t="s">
        <v>905</v>
      </c>
      <c r="D368" s="68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17">
        <f t="shared" si="20"/>
        <v>24</v>
      </c>
      <c r="M368" s="17">
        <f t="shared" si="21"/>
        <v>4</v>
      </c>
      <c r="N368" s="18">
        <f t="shared" si="22"/>
        <v>0.8571428571428571</v>
      </c>
      <c r="O368" s="27"/>
      <c r="P368" s="8"/>
      <c r="Q368" s="8"/>
      <c r="R368" s="8"/>
      <c r="S368" s="27"/>
      <c r="T368" s="27"/>
      <c r="U368" s="8" t="s">
        <v>1348</v>
      </c>
      <c r="V368" s="8" t="s">
        <v>1348</v>
      </c>
      <c r="W368" s="8" t="s">
        <v>1348</v>
      </c>
      <c r="X368" s="27" t="s">
        <v>1348</v>
      </c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480</v>
      </c>
      <c r="B369" s="66">
        <v>44629</v>
      </c>
      <c r="C369" s="69" t="s">
        <v>907</v>
      </c>
      <c r="D369" s="68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B370" s="68"/>
      <c r="C370" s="69" t="s">
        <v>909</v>
      </c>
      <c r="D370" s="68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1315</v>
      </c>
      <c r="B371" s="68"/>
      <c r="C371" s="69" t="s">
        <v>1311</v>
      </c>
      <c r="D371" s="68" t="s">
        <v>1313</v>
      </c>
      <c r="E371" s="45" t="s">
        <v>113</v>
      </c>
      <c r="F371" s="45" t="s">
        <v>36</v>
      </c>
      <c r="G371" s="9"/>
      <c r="H371" s="9" t="s">
        <v>1318</v>
      </c>
      <c r="I371" s="9"/>
      <c r="J371" s="9"/>
      <c r="K371" s="28" t="s">
        <v>1316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1315</v>
      </c>
      <c r="B372" s="68"/>
      <c r="C372" s="69" t="s">
        <v>1312</v>
      </c>
      <c r="D372" s="68" t="s">
        <v>1314</v>
      </c>
      <c r="E372" s="45" t="s">
        <v>113</v>
      </c>
      <c r="F372" s="45" t="s">
        <v>36</v>
      </c>
      <c r="G372" s="9" t="s">
        <v>1318</v>
      </c>
      <c r="H372" s="9"/>
      <c r="I372" s="9"/>
      <c r="J372" s="9"/>
      <c r="K372" s="28" t="s">
        <v>1317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ht="15.75" thickBot="1" x14ac:dyDescent="0.3">
      <c r="A373" s="58" t="s">
        <v>570</v>
      </c>
      <c r="B373" s="68"/>
      <c r="C373" s="69" t="s">
        <v>1330</v>
      </c>
      <c r="D373" s="68" t="s">
        <v>1334</v>
      </c>
      <c r="E373" s="59" t="s">
        <v>19</v>
      </c>
      <c r="F373" s="60" t="s">
        <v>36</v>
      </c>
      <c r="G373" s="9"/>
      <c r="H373" s="9"/>
      <c r="I373" s="9"/>
      <c r="J373" s="9"/>
      <c r="K373" s="61" t="s">
        <v>1338</v>
      </c>
      <c r="L373" s="62">
        <f t="shared" ref="L373:L377" si="23">COUNTIF(O373:AP373,"")</f>
        <v>27</v>
      </c>
      <c r="M373" s="62">
        <f t="shared" ref="M373:M377" si="24">COUNTIF(O373:AP373,"APAGADO")</f>
        <v>1</v>
      </c>
      <c r="N373" s="63">
        <f t="shared" ref="N373:N377" si="25">(L373)/(M373+L373)</f>
        <v>0.9642857142857143</v>
      </c>
      <c r="O373" s="64"/>
      <c r="P373" s="64"/>
      <c r="Q373" s="64"/>
      <c r="R373" s="64"/>
      <c r="S373" s="64"/>
      <c r="T373" s="64" t="s">
        <v>1348</v>
      </c>
      <c r="U373" s="64"/>
      <c r="V373" s="64"/>
      <c r="W373" s="64"/>
      <c r="X373" s="64"/>
      <c r="Y373" s="61"/>
      <c r="Z373" s="61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</row>
    <row r="374" spans="1:45" ht="15.75" thickBot="1" x14ac:dyDescent="0.3">
      <c r="A374" s="58" t="s">
        <v>570</v>
      </c>
      <c r="B374" s="68"/>
      <c r="C374" s="69" t="s">
        <v>1331</v>
      </c>
      <c r="D374" s="68" t="s">
        <v>1335</v>
      </c>
      <c r="E374" s="59" t="s">
        <v>19</v>
      </c>
      <c r="F374" s="60" t="s">
        <v>36</v>
      </c>
      <c r="G374" s="9"/>
      <c r="H374" s="9"/>
      <c r="I374" s="9"/>
      <c r="J374" s="9"/>
      <c r="K374" s="61" t="s">
        <v>1339</v>
      </c>
      <c r="L374" s="62">
        <f t="shared" si="23"/>
        <v>27</v>
      </c>
      <c r="M374" s="62">
        <f t="shared" si="24"/>
        <v>1</v>
      </c>
      <c r="N374" s="63">
        <f t="shared" si="25"/>
        <v>0.9642857142857143</v>
      </c>
      <c r="O374" s="64"/>
      <c r="P374" s="64"/>
      <c r="Q374" s="64"/>
      <c r="R374" s="64"/>
      <c r="S374" s="64"/>
      <c r="T374" s="64" t="s">
        <v>1348</v>
      </c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</row>
    <row r="375" spans="1:45" ht="15.75" thickBot="1" x14ac:dyDescent="0.3">
      <c r="A375" s="58" t="s">
        <v>570</v>
      </c>
      <c r="B375" s="68"/>
      <c r="C375" s="69" t="s">
        <v>1332</v>
      </c>
      <c r="D375" s="68" t="s">
        <v>1336</v>
      </c>
      <c r="E375" s="59" t="s">
        <v>19</v>
      </c>
      <c r="F375" s="60" t="s">
        <v>36</v>
      </c>
      <c r="G375" s="9"/>
      <c r="H375" s="9"/>
      <c r="I375" s="9"/>
      <c r="J375" s="9"/>
      <c r="K375" s="61" t="s">
        <v>1340</v>
      </c>
      <c r="L375" s="62">
        <f t="shared" si="23"/>
        <v>27</v>
      </c>
      <c r="M375" s="62">
        <f t="shared" si="24"/>
        <v>1</v>
      </c>
      <c r="N375" s="63">
        <f t="shared" si="25"/>
        <v>0.9642857142857143</v>
      </c>
      <c r="O375" s="64"/>
      <c r="P375" s="64"/>
      <c r="Q375" s="64"/>
      <c r="R375" s="64"/>
      <c r="S375" s="64"/>
      <c r="T375" s="64" t="s">
        <v>1348</v>
      </c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</row>
    <row r="376" spans="1:45" ht="15.75" thickBot="1" x14ac:dyDescent="0.3">
      <c r="A376" s="58" t="s">
        <v>570</v>
      </c>
      <c r="B376" s="68"/>
      <c r="C376" s="69" t="s">
        <v>1333</v>
      </c>
      <c r="D376" s="68" t="s">
        <v>1337</v>
      </c>
      <c r="E376" s="59" t="s">
        <v>19</v>
      </c>
      <c r="F376" s="60" t="s">
        <v>36</v>
      </c>
      <c r="G376" s="9"/>
      <c r="H376" s="9"/>
      <c r="I376" s="9"/>
      <c r="J376" s="9"/>
      <c r="K376" s="61" t="s">
        <v>1341</v>
      </c>
      <c r="L376" s="62">
        <f t="shared" si="23"/>
        <v>27</v>
      </c>
      <c r="M376" s="62">
        <f t="shared" si="24"/>
        <v>1</v>
      </c>
      <c r="N376" s="63">
        <f t="shared" si="25"/>
        <v>0.9642857142857143</v>
      </c>
      <c r="O376" s="64"/>
      <c r="P376" s="64"/>
      <c r="Q376" s="64"/>
      <c r="R376" s="64"/>
      <c r="S376" s="64"/>
      <c r="T376" s="64" t="s">
        <v>1348</v>
      </c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</row>
    <row r="377" spans="1:45" s="59" customFormat="1" ht="15.75" thickBot="1" x14ac:dyDescent="0.3">
      <c r="A377" s="59" t="s">
        <v>80</v>
      </c>
      <c r="B377" s="68"/>
      <c r="C377" s="69" t="s">
        <v>1346</v>
      </c>
      <c r="D377" s="68" t="s">
        <v>1344</v>
      </c>
      <c r="E377" s="59" t="s">
        <v>19</v>
      </c>
      <c r="F377" s="60" t="s">
        <v>36</v>
      </c>
      <c r="G377" s="61"/>
      <c r="H377" s="61"/>
      <c r="I377" s="61"/>
      <c r="J377" s="61"/>
      <c r="K377" s="61" t="s">
        <v>1345</v>
      </c>
      <c r="L377" s="62">
        <f t="shared" si="23"/>
        <v>28</v>
      </c>
      <c r="M377" s="62">
        <f t="shared" si="24"/>
        <v>0</v>
      </c>
      <c r="N377" s="63">
        <f t="shared" si="25"/>
        <v>1</v>
      </c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</row>
    <row r="378" spans="1:45" x14ac:dyDescent="0.25">
      <c r="B378" s="68"/>
      <c r="C378" s="69"/>
      <c r="D378" s="68"/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61"/>
    </row>
    <row r="379" spans="1:45" x14ac:dyDescent="0.25">
      <c r="B379" s="68"/>
      <c r="C379" s="69"/>
      <c r="D379" s="68"/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61"/>
    </row>
    <row r="380" spans="1:45" x14ac:dyDescent="0.25">
      <c r="B380" s="68"/>
      <c r="C380" s="69"/>
      <c r="D380" s="68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61"/>
    </row>
    <row r="381" spans="1:45" x14ac:dyDescent="0.25">
      <c r="B381" s="68"/>
      <c r="C381" s="69"/>
      <c r="D381" s="68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61"/>
    </row>
    <row r="382" spans="1:45" x14ac:dyDescent="0.25">
      <c r="B382" s="68"/>
      <c r="C382" s="69"/>
      <c r="D382" s="68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61"/>
    </row>
    <row r="383" spans="1:45" x14ac:dyDescent="0.25">
      <c r="B383" s="68"/>
      <c r="C383" s="69"/>
      <c r="D383" s="68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61"/>
    </row>
    <row r="384" spans="1:45" x14ac:dyDescent="0.25">
      <c r="B384" s="68"/>
      <c r="C384" s="69"/>
      <c r="D384" s="68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61"/>
    </row>
    <row r="385" spans="2:45" x14ac:dyDescent="0.25">
      <c r="B385" s="68"/>
      <c r="C385" s="69"/>
      <c r="D385" s="68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61"/>
    </row>
    <row r="386" spans="2:45" x14ac:dyDescent="0.25">
      <c r="B386" s="68"/>
      <c r="C386" s="69"/>
      <c r="D386" s="68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61"/>
    </row>
    <row r="387" spans="2:45" x14ac:dyDescent="0.25">
      <c r="B387" s="68"/>
      <c r="C387" s="69"/>
      <c r="D387" s="68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61"/>
    </row>
    <row r="388" spans="2:45" x14ac:dyDescent="0.25">
      <c r="B388" s="68"/>
      <c r="C388" s="69"/>
      <c r="D388" s="68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61"/>
    </row>
    <row r="389" spans="2:45" x14ac:dyDescent="0.25">
      <c r="B389" s="68"/>
      <c r="C389" s="69"/>
      <c r="D389" s="68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61"/>
    </row>
    <row r="390" spans="2:45" x14ac:dyDescent="0.25">
      <c r="B390" s="68"/>
      <c r="C390" s="69"/>
      <c r="D390" s="68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61"/>
    </row>
    <row r="391" spans="2:45" x14ac:dyDescent="0.25">
      <c r="B391" s="68"/>
      <c r="C391" s="69"/>
      <c r="D391" s="68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61"/>
    </row>
    <row r="392" spans="2:45" x14ac:dyDescent="0.25">
      <c r="B392" s="68"/>
      <c r="C392" s="69"/>
      <c r="D392" s="68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61"/>
    </row>
    <row r="393" spans="2:45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61"/>
    </row>
    <row r="394" spans="2:45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61"/>
    </row>
    <row r="395" spans="2:45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61"/>
    </row>
    <row r="396" spans="2:45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61"/>
    </row>
    <row r="397" spans="2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61"/>
    </row>
    <row r="398" spans="2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61"/>
    </row>
    <row r="399" spans="2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61"/>
    </row>
    <row r="400" spans="2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61"/>
    </row>
    <row r="401" spans="5:45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61"/>
    </row>
    <row r="402" spans="5:45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61"/>
    </row>
    <row r="403" spans="5:45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61"/>
    </row>
    <row r="404" spans="5:45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61"/>
    </row>
    <row r="405" spans="5:45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61"/>
    </row>
    <row r="406" spans="5:45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61"/>
    </row>
    <row r="407" spans="5:45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61"/>
    </row>
    <row r="408" spans="5:45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61"/>
    </row>
    <row r="409" spans="5:45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61"/>
    </row>
    <row r="410" spans="5:45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61"/>
    </row>
    <row r="411" spans="5:45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61"/>
    </row>
    <row r="412" spans="5:45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61"/>
    </row>
    <row r="413" spans="5:45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61"/>
    </row>
    <row r="414" spans="5:45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61"/>
    </row>
    <row r="415" spans="5:45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61"/>
    </row>
    <row r="416" spans="5:45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61"/>
    </row>
    <row r="417" spans="5:45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61"/>
    </row>
    <row r="418" spans="5:45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61"/>
    </row>
    <row r="419" spans="5:45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61"/>
    </row>
    <row r="420" spans="5:45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61"/>
    </row>
    <row r="421" spans="5:45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61"/>
    </row>
    <row r="422" spans="5:45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61"/>
    </row>
    <row r="423" spans="5:45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61"/>
    </row>
    <row r="424" spans="5:45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61"/>
    </row>
    <row r="425" spans="5:45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61"/>
    </row>
    <row r="426" spans="5:45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61"/>
    </row>
    <row r="427" spans="5:45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61"/>
    </row>
    <row r="428" spans="5:45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61"/>
    </row>
    <row r="429" spans="5:45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61"/>
    </row>
    <row r="430" spans="5:45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61"/>
    </row>
    <row r="431" spans="5:45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61"/>
    </row>
    <row r="432" spans="5:45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61"/>
    </row>
    <row r="433" spans="5:45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61"/>
    </row>
    <row r="434" spans="5:45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61"/>
    </row>
    <row r="435" spans="5:45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61"/>
    </row>
    <row r="436" spans="5:45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61"/>
    </row>
    <row r="437" spans="5:45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61"/>
    </row>
    <row r="438" spans="5:45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61"/>
    </row>
    <row r="439" spans="5:45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61"/>
    </row>
    <row r="440" spans="5:45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61"/>
    </row>
    <row r="441" spans="5:45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61"/>
    </row>
    <row r="442" spans="5:45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61"/>
    </row>
    <row r="443" spans="5:45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61"/>
    </row>
    <row r="444" spans="5:45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61"/>
    </row>
    <row r="445" spans="5:45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61"/>
    </row>
    <row r="446" spans="5:45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61"/>
    </row>
    <row r="447" spans="5:45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61"/>
    </row>
    <row r="448" spans="5:45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61"/>
    </row>
    <row r="449" spans="5:45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61"/>
    </row>
    <row r="450" spans="5:45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61"/>
    </row>
    <row r="451" spans="5:45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61"/>
    </row>
    <row r="452" spans="5:45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61"/>
    </row>
    <row r="453" spans="5:45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61"/>
    </row>
    <row r="454" spans="5:45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61"/>
    </row>
    <row r="455" spans="5:45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61"/>
    </row>
    <row r="456" spans="5:45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61"/>
    </row>
    <row r="457" spans="5:45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61"/>
    </row>
    <row r="458" spans="5:45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61"/>
    </row>
    <row r="459" spans="5:45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61"/>
    </row>
    <row r="460" spans="5:45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61"/>
    </row>
    <row r="461" spans="5:45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61"/>
    </row>
    <row r="462" spans="5:45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61"/>
    </row>
    <row r="463" spans="5:45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61"/>
    </row>
    <row r="464" spans="5:45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61"/>
    </row>
    <row r="465" spans="5:45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61"/>
    </row>
    <row r="466" spans="5:45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61"/>
    </row>
    <row r="467" spans="5:45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61"/>
    </row>
    <row r="468" spans="5:45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61"/>
    </row>
    <row r="469" spans="5:45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61"/>
    </row>
    <row r="470" spans="5:45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61"/>
    </row>
    <row r="471" spans="5:45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61"/>
    </row>
    <row r="472" spans="5:45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61"/>
    </row>
    <row r="473" spans="5:45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61"/>
    </row>
    <row r="474" spans="5:45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61"/>
    </row>
    <row r="475" spans="5:45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61"/>
    </row>
    <row r="476" spans="5:45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61"/>
    </row>
    <row r="477" spans="5:45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61"/>
    </row>
    <row r="478" spans="5:45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61"/>
    </row>
    <row r="479" spans="5:45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61"/>
    </row>
    <row r="480" spans="5:45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61"/>
    </row>
    <row r="481" spans="5:45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61"/>
    </row>
    <row r="482" spans="5:45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61"/>
    </row>
    <row r="483" spans="5:45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61"/>
    </row>
    <row r="484" spans="5:45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61"/>
    </row>
    <row r="485" spans="5:45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61"/>
    </row>
    <row r="486" spans="5:45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61"/>
    </row>
    <row r="487" spans="5:45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61"/>
    </row>
    <row r="488" spans="5:45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61"/>
    </row>
    <row r="489" spans="5:45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61"/>
    </row>
    <row r="490" spans="5:45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61"/>
    </row>
    <row r="491" spans="5:45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61"/>
    </row>
    <row r="492" spans="5:45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61"/>
    </row>
    <row r="493" spans="5:45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61"/>
    </row>
    <row r="494" spans="5:45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61"/>
    </row>
    <row r="495" spans="5:45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61"/>
    </row>
    <row r="496" spans="5:45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61"/>
    </row>
    <row r="497" spans="5:45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61"/>
    </row>
    <row r="498" spans="5:45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61"/>
    </row>
    <row r="499" spans="5:45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61"/>
    </row>
    <row r="500" spans="5:45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61"/>
    </row>
    <row r="501" spans="5:45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61"/>
    </row>
    <row r="502" spans="5:45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61"/>
    </row>
    <row r="503" spans="5:45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61"/>
    </row>
    <row r="504" spans="5:45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61"/>
    </row>
    <row r="505" spans="5:45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61"/>
    </row>
    <row r="506" spans="5:45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61"/>
    </row>
    <row r="507" spans="5:45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61"/>
    </row>
    <row r="508" spans="5:45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61"/>
    </row>
    <row r="509" spans="5:45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61"/>
    </row>
    <row r="510" spans="5:45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61"/>
    </row>
    <row r="511" spans="5:45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61"/>
    </row>
    <row r="512" spans="5:45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61"/>
    </row>
    <row r="513" spans="5:45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61"/>
    </row>
    <row r="514" spans="5:45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61"/>
    </row>
    <row r="515" spans="5:45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61"/>
    </row>
    <row r="516" spans="5:45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61"/>
    </row>
    <row r="517" spans="5:45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61"/>
    </row>
    <row r="518" spans="5:45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61"/>
    </row>
    <row r="519" spans="5:45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61"/>
    </row>
    <row r="520" spans="5:45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61"/>
    </row>
    <row r="521" spans="5:45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61"/>
    </row>
    <row r="522" spans="5:45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61"/>
    </row>
    <row r="523" spans="5:45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61"/>
    </row>
    <row r="524" spans="5:45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61"/>
    </row>
    <row r="525" spans="5:45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61"/>
    </row>
    <row r="526" spans="5:45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61"/>
    </row>
    <row r="527" spans="5:45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61"/>
    </row>
    <row r="528" spans="5:45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61"/>
    </row>
    <row r="529" spans="5:45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61"/>
    </row>
    <row r="530" spans="5:45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61"/>
    </row>
    <row r="531" spans="5:45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61"/>
    </row>
    <row r="532" spans="5:45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61"/>
    </row>
    <row r="533" spans="5:45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61"/>
    </row>
    <row r="534" spans="5:45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61"/>
    </row>
    <row r="535" spans="5:45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61"/>
    </row>
    <row r="536" spans="5:45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61"/>
    </row>
    <row r="537" spans="5:45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61"/>
    </row>
    <row r="538" spans="5:45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61"/>
    </row>
    <row r="539" spans="5:45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61"/>
    </row>
    <row r="540" spans="5:45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61"/>
    </row>
    <row r="541" spans="5:45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61"/>
    </row>
    <row r="542" spans="5:45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61"/>
    </row>
    <row r="543" spans="5:45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61"/>
    </row>
    <row r="544" spans="5:45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61"/>
    </row>
    <row r="545" spans="5:45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61"/>
    </row>
    <row r="546" spans="5:45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61"/>
    </row>
    <row r="547" spans="5:45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61"/>
    </row>
    <row r="548" spans="5:45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61"/>
    </row>
    <row r="549" spans="5:45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61"/>
    </row>
    <row r="550" spans="5:45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61"/>
    </row>
    <row r="551" spans="5:45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61"/>
    </row>
    <row r="552" spans="5:45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61"/>
    </row>
    <row r="553" spans="5:45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61"/>
    </row>
    <row r="554" spans="5:45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61"/>
    </row>
    <row r="555" spans="5:45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61"/>
    </row>
    <row r="556" spans="5:45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61"/>
    </row>
    <row r="557" spans="5:45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61"/>
    </row>
    <row r="558" spans="5:45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61"/>
    </row>
    <row r="559" spans="5:45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61"/>
    </row>
    <row r="560" spans="5:45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61"/>
    </row>
    <row r="561" spans="5:45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61"/>
    </row>
    <row r="562" spans="5:45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61"/>
    </row>
    <row r="563" spans="5:45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61"/>
    </row>
    <row r="564" spans="5:45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61"/>
    </row>
    <row r="565" spans="5:45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61"/>
    </row>
    <row r="566" spans="5:45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61"/>
    </row>
    <row r="567" spans="5:45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61"/>
    </row>
    <row r="568" spans="5:45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61"/>
    </row>
    <row r="569" spans="5:45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61"/>
    </row>
    <row r="570" spans="5:45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61"/>
    </row>
    <row r="571" spans="5:45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61"/>
    </row>
    <row r="572" spans="5:45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61"/>
    </row>
    <row r="573" spans="5:45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61"/>
    </row>
    <row r="574" spans="5:45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61"/>
    </row>
    <row r="575" spans="5:45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61"/>
    </row>
    <row r="576" spans="5:45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61"/>
    </row>
    <row r="577" spans="5:45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61"/>
    </row>
    <row r="578" spans="5:45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61"/>
    </row>
    <row r="579" spans="5:45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61"/>
    </row>
    <row r="580" spans="5:45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61"/>
    </row>
    <row r="581" spans="5:45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61"/>
    </row>
    <row r="582" spans="5:45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61"/>
    </row>
    <row r="583" spans="5:45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61"/>
    </row>
    <row r="584" spans="5:45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61"/>
    </row>
    <row r="585" spans="5:45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61"/>
    </row>
    <row r="586" spans="5:45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61"/>
    </row>
    <row r="587" spans="5:45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61"/>
    </row>
    <row r="588" spans="5:45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61"/>
    </row>
    <row r="589" spans="5:45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61"/>
    </row>
    <row r="590" spans="5:45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61"/>
    </row>
    <row r="591" spans="5:45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61"/>
    </row>
    <row r="592" spans="5:45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61"/>
    </row>
    <row r="593" spans="5:45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61"/>
    </row>
    <row r="594" spans="5:45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61"/>
    </row>
    <row r="595" spans="5:45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61"/>
    </row>
    <row r="596" spans="5:45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61"/>
    </row>
    <row r="597" spans="5:45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61"/>
    </row>
    <row r="598" spans="5:45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61"/>
    </row>
    <row r="599" spans="5:45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61"/>
    </row>
    <row r="600" spans="5:45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61"/>
    </row>
    <row r="601" spans="5:45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61"/>
    </row>
    <row r="602" spans="5:45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61"/>
    </row>
    <row r="603" spans="5:45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61"/>
    </row>
    <row r="604" spans="5:45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61"/>
    </row>
    <row r="605" spans="5:45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61"/>
    </row>
    <row r="606" spans="5:45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61"/>
    </row>
    <row r="607" spans="5:45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61"/>
    </row>
    <row r="608" spans="5:45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61"/>
    </row>
    <row r="609" spans="5:45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61"/>
    </row>
    <row r="610" spans="5:45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61"/>
    </row>
    <row r="611" spans="5:45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61"/>
    </row>
    <row r="612" spans="5:45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61"/>
    </row>
    <row r="613" spans="5:45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61"/>
    </row>
    <row r="614" spans="5:45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61"/>
    </row>
    <row r="615" spans="5:45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61"/>
    </row>
    <row r="616" spans="5:45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61"/>
    </row>
    <row r="617" spans="5:45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61"/>
    </row>
    <row r="618" spans="5:45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61"/>
    </row>
    <row r="619" spans="5:45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61"/>
    </row>
    <row r="620" spans="5:45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61"/>
    </row>
    <row r="621" spans="5:45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61"/>
    </row>
    <row r="622" spans="5:45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61"/>
    </row>
    <row r="623" spans="5:45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61"/>
    </row>
    <row r="624" spans="5:45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61"/>
    </row>
    <row r="625" spans="5:45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61"/>
    </row>
    <row r="626" spans="5:45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61"/>
    </row>
    <row r="627" spans="5:45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61"/>
    </row>
    <row r="628" spans="5:45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61"/>
    </row>
    <row r="629" spans="5:45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61"/>
    </row>
    <row r="630" spans="5:45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61"/>
    </row>
    <row r="631" spans="5:45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61"/>
    </row>
    <row r="632" spans="5:45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61"/>
    </row>
    <row r="633" spans="5:45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61"/>
    </row>
    <row r="634" spans="5:45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61"/>
    </row>
    <row r="635" spans="5:45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61"/>
    </row>
    <row r="636" spans="5:45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61"/>
    </row>
    <row r="637" spans="5:45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61"/>
    </row>
    <row r="638" spans="5:45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61"/>
    </row>
    <row r="639" spans="5:45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61"/>
    </row>
    <row r="640" spans="5:45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61"/>
    </row>
    <row r="641" spans="5:45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61"/>
    </row>
    <row r="642" spans="5:45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61"/>
    </row>
    <row r="643" spans="5:45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61"/>
    </row>
    <row r="644" spans="5:45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61"/>
    </row>
    <row r="645" spans="5:45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61"/>
    </row>
    <row r="646" spans="5:45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61"/>
    </row>
    <row r="647" spans="5:45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61"/>
    </row>
    <row r="648" spans="5:45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61"/>
    </row>
    <row r="649" spans="5:45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61"/>
    </row>
    <row r="650" spans="5:45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61"/>
    </row>
    <row r="651" spans="5:45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61"/>
    </row>
    <row r="652" spans="5:45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61"/>
    </row>
    <row r="653" spans="5:45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61"/>
    </row>
    <row r="654" spans="5:45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61"/>
    </row>
    <row r="655" spans="5:45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61"/>
    </row>
    <row r="656" spans="5:45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61"/>
    </row>
    <row r="657" spans="5:45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61"/>
    </row>
    <row r="658" spans="5:45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61"/>
    </row>
    <row r="659" spans="5:45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61"/>
    </row>
    <row r="660" spans="5:45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61"/>
    </row>
    <row r="661" spans="5:45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61"/>
    </row>
    <row r="662" spans="5:45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61"/>
    </row>
    <row r="663" spans="5:45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61"/>
    </row>
    <row r="664" spans="5:45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61"/>
    </row>
    <row r="665" spans="5:45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61"/>
    </row>
    <row r="666" spans="5:45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61"/>
    </row>
    <row r="667" spans="5:45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61"/>
    </row>
    <row r="668" spans="5:45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61"/>
    </row>
    <row r="669" spans="5:45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61"/>
    </row>
    <row r="670" spans="5:45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61"/>
    </row>
    <row r="671" spans="5:45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61"/>
    </row>
    <row r="672" spans="5:45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A96:AJ372 AK95:AP369 AR95:AR369 N245:X246 N247:N377">
    <cfRule type="cellIs" dxfId="544" priority="1953" operator="lessThan">
      <formula>0.8</formula>
    </cfRule>
    <cfRule type="cellIs" dxfId="543" priority="1954" operator="greaterThan">
      <formula>0.8</formula>
    </cfRule>
  </conditionalFormatting>
  <conditionalFormatting sqref="E1:K3 E284:K334 E236:K236 E5:K32 E36:K91 E94:K230 E337:K364 E369:K372 E243:K281 E391:K1048576">
    <cfRule type="containsText" dxfId="542" priority="1952" operator="containsText" text="Radio">
      <formula>NOT(ISERROR(SEARCH("Radio",E1)))</formula>
    </cfRule>
  </conditionalFormatting>
  <conditionalFormatting sqref="P236:U244 P247:U281 O95:O244 O247:O372 V96:X244 V247:X372 O245:X246 AA96:AJ372 AK95:AP372 V391:AP1048576 AR391:AR1048576 AR95:AR372">
    <cfRule type="notContainsText" dxfId="541" priority="1948" operator="notContains" text="Caida">
      <formula>ISERROR(SEARCH("Caida",O95))</formula>
    </cfRule>
    <cfRule type="containsText" dxfId="540" priority="1949" operator="containsText" text="Caida">
      <formula>NOT(ISERROR(SEARCH("Caida",O95)))</formula>
    </cfRule>
  </conditionalFormatting>
  <conditionalFormatting sqref="E282:K282">
    <cfRule type="containsText" dxfId="539" priority="1921" operator="containsText" text="Radio">
      <formula>NOT(ISERROR(SEARCH("Radio",E282)))</formula>
    </cfRule>
  </conditionalFormatting>
  <conditionalFormatting sqref="E283:K283">
    <cfRule type="containsText" dxfId="538" priority="1896" operator="containsText" text="Radio">
      <formula>NOT(ISERROR(SEARCH("Radio",E283)))</formula>
    </cfRule>
  </conditionalFormatting>
  <conditionalFormatting sqref="E4:K4">
    <cfRule type="containsText" dxfId="537" priority="1871" operator="containsText" text="Radio">
      <formula>NOT(ISERROR(SEARCH("Radio",E4)))</formula>
    </cfRule>
  </conditionalFormatting>
  <conditionalFormatting sqref="E231:K231">
    <cfRule type="containsText" dxfId="536" priority="1870" operator="containsText" text="Radio">
      <formula>NOT(ISERROR(SEARCH("Radio",E231)))</formula>
    </cfRule>
  </conditionalFormatting>
  <conditionalFormatting sqref="E232:K232">
    <cfRule type="containsText" dxfId="535" priority="1845" operator="containsText" text="Radio">
      <formula>NOT(ISERROR(SEARCH("Radio",E232)))</formula>
    </cfRule>
  </conditionalFormatting>
  <conditionalFormatting sqref="E233:K233">
    <cfRule type="containsText" dxfId="534" priority="1820" operator="containsText" text="Radio">
      <formula>NOT(ISERROR(SEARCH("Radio",E233)))</formula>
    </cfRule>
  </conditionalFormatting>
  <conditionalFormatting sqref="E234:K234">
    <cfRule type="containsText" dxfId="533" priority="1795" operator="containsText" text="Radio">
      <formula>NOT(ISERROR(SEARCH("Radio",E234)))</formula>
    </cfRule>
  </conditionalFormatting>
  <conditionalFormatting sqref="E235:K235">
    <cfRule type="containsText" dxfId="532" priority="1770" operator="containsText" text="Radio">
      <formula>NOT(ISERROR(SEARCH("Radio",E235)))</formula>
    </cfRule>
  </conditionalFormatting>
  <conditionalFormatting sqref="E335:K335">
    <cfRule type="containsText" dxfId="531" priority="1721" operator="containsText" text="Radio">
      <formula>NOT(ISERROR(SEARCH("Radio",E335)))</formula>
    </cfRule>
  </conditionalFormatting>
  <conditionalFormatting sqref="E336:K336">
    <cfRule type="containsText" dxfId="530" priority="1696" operator="containsText" text="Radio">
      <formula>NOT(ISERROR(SEARCH("Radio",E336)))</formula>
    </cfRule>
  </conditionalFormatting>
  <conditionalFormatting sqref="E237:K237">
    <cfRule type="containsText" dxfId="529" priority="1671" operator="containsText" text="Radio">
      <formula>NOT(ISERROR(SEARCH("Radio",E237)))</formula>
    </cfRule>
  </conditionalFormatting>
  <conditionalFormatting sqref="E238:K238">
    <cfRule type="containsText" dxfId="528" priority="1646" operator="containsText" text="Radio">
      <formula>NOT(ISERROR(SEARCH("Radio",E238)))</formula>
    </cfRule>
  </conditionalFormatting>
  <conditionalFormatting sqref="E33:K35">
    <cfRule type="containsText" dxfId="527" priority="1621" operator="containsText" text="Radio">
      <formula>NOT(ISERROR(SEARCH("Radio",E33)))</formula>
    </cfRule>
  </conditionalFormatting>
  <conditionalFormatting sqref="E239:K239">
    <cfRule type="containsText" dxfId="526" priority="1596" operator="containsText" text="Radio">
      <formula>NOT(ISERROR(SEARCH("Radio",E239)))</formula>
    </cfRule>
  </conditionalFormatting>
  <conditionalFormatting sqref="E240:K240">
    <cfRule type="containsText" dxfId="525" priority="1571" operator="containsText" text="Radio">
      <formula>NOT(ISERROR(SEARCH("Radio",E240)))</formula>
    </cfRule>
  </conditionalFormatting>
  <conditionalFormatting sqref="E241:K241">
    <cfRule type="containsText" dxfId="524" priority="1546" operator="containsText" text="Radio">
      <formula>NOT(ISERROR(SEARCH("Radio",E241)))</formula>
    </cfRule>
  </conditionalFormatting>
  <conditionalFormatting sqref="E242:K242">
    <cfRule type="containsText" dxfId="523" priority="1521" operator="containsText" text="Radio">
      <formula>NOT(ISERROR(SEARCH("Radio",E242)))</formula>
    </cfRule>
  </conditionalFormatting>
  <conditionalFormatting sqref="P6:P92 P96:P230">
    <cfRule type="cellIs" dxfId="522" priority="1446" operator="lessThan">
      <formula>0.8</formula>
    </cfRule>
    <cfRule type="cellIs" dxfId="521" priority="1447" operator="greaterThan">
      <formula>0.8</formula>
    </cfRule>
  </conditionalFormatting>
  <conditionalFormatting sqref="P6:P92 P96:P230">
    <cfRule type="notContainsText" dxfId="520" priority="1444" operator="notContains" text="Caida">
      <formula>ISERROR(SEARCH("Caida",P6))</formula>
    </cfRule>
    <cfRule type="containsText" dxfId="519" priority="1445" operator="containsText" text="Caida">
      <formula>NOT(ISERROR(SEARCH("Caida",P6)))</formula>
    </cfRule>
  </conditionalFormatting>
  <conditionalFormatting sqref="P337:P366 P284:P334">
    <cfRule type="cellIs" dxfId="518" priority="1442" operator="lessThan">
      <formula>0.8</formula>
    </cfRule>
    <cfRule type="cellIs" dxfId="517" priority="1443" operator="greaterThan">
      <formula>0.8</formula>
    </cfRule>
  </conditionalFormatting>
  <conditionalFormatting sqref="P337:P366 P284:P334 P391:P1048576">
    <cfRule type="notContainsText" dxfId="516" priority="1440" operator="notContains" text="Caida">
      <formula>ISERROR(SEARCH("Caida",P284))</formula>
    </cfRule>
    <cfRule type="containsText" dxfId="515" priority="1441" operator="containsText" text="Caida">
      <formula>NOT(ISERROR(SEARCH("Caida",P284)))</formula>
    </cfRule>
  </conditionalFormatting>
  <conditionalFormatting sqref="O391:O1048576">
    <cfRule type="notContainsText" dxfId="514" priority="1489" operator="notContains" text="Caida">
      <formula>ISERROR(SEARCH("Caida",O391))</formula>
    </cfRule>
    <cfRule type="containsText" dxfId="513" priority="1490" operator="containsText" text="Caida">
      <formula>NOT(ISERROR(SEARCH("Caida",O391)))</formula>
    </cfRule>
  </conditionalFormatting>
  <conditionalFormatting sqref="P336">
    <cfRule type="cellIs" dxfId="512" priority="1401" operator="lessThan">
      <formula>0.8</formula>
    </cfRule>
    <cfRule type="cellIs" dxfId="511" priority="1402" operator="greaterThan">
      <formula>0.8</formula>
    </cfRule>
  </conditionalFormatting>
  <conditionalFormatting sqref="P336">
    <cfRule type="notContainsText" dxfId="510" priority="1399" operator="notContains" text="Caida">
      <formula>ISERROR(SEARCH("Caida",P336))</formula>
    </cfRule>
    <cfRule type="containsText" dxfId="509" priority="1400" operator="containsText" text="Caida">
      <formula>NOT(ISERROR(SEARCH("Caida",P336)))</formula>
    </cfRule>
  </conditionalFormatting>
  <conditionalFormatting sqref="P22">
    <cfRule type="containsText" dxfId="508" priority="1439" operator="containsText" text="Instaladas en Funcionamiento Caida">
      <formula>NOT(ISERROR(SEARCH("Instaladas en Funcionamiento Caida",P22)))</formula>
    </cfRule>
  </conditionalFormatting>
  <conditionalFormatting sqref="P282">
    <cfRule type="cellIs" dxfId="507" priority="1437" operator="lessThan">
      <formula>0.8</formula>
    </cfRule>
    <cfRule type="cellIs" dxfId="506" priority="1438" operator="greaterThan">
      <formula>0.8</formula>
    </cfRule>
  </conditionalFormatting>
  <conditionalFormatting sqref="P282">
    <cfRule type="notContainsText" dxfId="505" priority="1435" operator="notContains" text="Caida">
      <formula>ISERROR(SEARCH("Caida",P282))</formula>
    </cfRule>
    <cfRule type="containsText" dxfId="504" priority="1436" operator="containsText" text="Caida">
      <formula>NOT(ISERROR(SEARCH("Caida",P282)))</formula>
    </cfRule>
  </conditionalFormatting>
  <conditionalFormatting sqref="P283">
    <cfRule type="cellIs" dxfId="503" priority="1433" operator="lessThan">
      <formula>0.8</formula>
    </cfRule>
    <cfRule type="cellIs" dxfId="502" priority="1434" operator="greaterThan">
      <formula>0.8</formula>
    </cfRule>
  </conditionalFormatting>
  <conditionalFormatting sqref="P283">
    <cfRule type="notContainsText" dxfId="501" priority="1431" operator="notContains" text="Caida">
      <formula>ISERROR(SEARCH("Caida",P283))</formula>
    </cfRule>
    <cfRule type="containsText" dxfId="500" priority="1432" operator="containsText" text="Caida">
      <formula>NOT(ISERROR(SEARCH("Caida",P283)))</formula>
    </cfRule>
  </conditionalFormatting>
  <conditionalFormatting sqref="P5">
    <cfRule type="cellIs" dxfId="499" priority="1429" operator="lessThan">
      <formula>0.8</formula>
    </cfRule>
    <cfRule type="cellIs" dxfId="498" priority="1430" operator="greaterThan">
      <formula>0.8</formula>
    </cfRule>
  </conditionalFormatting>
  <conditionalFormatting sqref="P5">
    <cfRule type="notContainsText" dxfId="497" priority="1427" operator="notContains" text="Caida">
      <formula>ISERROR(SEARCH("Caida",P5))</formula>
    </cfRule>
    <cfRule type="containsText" dxfId="496" priority="1428" operator="containsText" text="Caida">
      <formula>NOT(ISERROR(SEARCH("Caida",P5)))</formula>
    </cfRule>
  </conditionalFormatting>
  <conditionalFormatting sqref="P231">
    <cfRule type="cellIs" dxfId="495" priority="1425" operator="lessThan">
      <formula>0.8</formula>
    </cfRule>
    <cfRule type="cellIs" dxfId="494" priority="1426" operator="greaterThan">
      <formula>0.8</formula>
    </cfRule>
  </conditionalFormatting>
  <conditionalFormatting sqref="P231">
    <cfRule type="notContainsText" dxfId="493" priority="1423" operator="notContains" text="Caida">
      <formula>ISERROR(SEARCH("Caida",P231))</formula>
    </cfRule>
    <cfRule type="containsText" dxfId="492" priority="1424" operator="containsText" text="Caida">
      <formula>NOT(ISERROR(SEARCH("Caida",P231)))</formula>
    </cfRule>
  </conditionalFormatting>
  <conditionalFormatting sqref="P232">
    <cfRule type="cellIs" dxfId="491" priority="1421" operator="lessThan">
      <formula>0.8</formula>
    </cfRule>
    <cfRule type="cellIs" dxfId="490" priority="1422" operator="greaterThan">
      <formula>0.8</formula>
    </cfRule>
  </conditionalFormatting>
  <conditionalFormatting sqref="P232">
    <cfRule type="notContainsText" dxfId="489" priority="1419" operator="notContains" text="Caida">
      <formula>ISERROR(SEARCH("Caida",P232))</formula>
    </cfRule>
    <cfRule type="containsText" dxfId="488" priority="1420" operator="containsText" text="Caida">
      <formula>NOT(ISERROR(SEARCH("Caida",P232)))</formula>
    </cfRule>
  </conditionalFormatting>
  <conditionalFormatting sqref="P233">
    <cfRule type="cellIs" dxfId="487" priority="1417" operator="lessThan">
      <formula>0.8</formula>
    </cfRule>
    <cfRule type="cellIs" dxfId="486" priority="1418" operator="greaterThan">
      <formula>0.8</formula>
    </cfRule>
  </conditionalFormatting>
  <conditionalFormatting sqref="P233">
    <cfRule type="notContainsText" dxfId="485" priority="1415" operator="notContains" text="Caida">
      <formula>ISERROR(SEARCH("Caida",P233))</formula>
    </cfRule>
    <cfRule type="containsText" dxfId="484" priority="1416" operator="containsText" text="Caida">
      <formula>NOT(ISERROR(SEARCH("Caida",P233)))</formula>
    </cfRule>
  </conditionalFormatting>
  <conditionalFormatting sqref="P234">
    <cfRule type="cellIs" dxfId="483" priority="1413" operator="lessThan">
      <formula>0.8</formula>
    </cfRule>
    <cfRule type="cellIs" dxfId="482" priority="1414" operator="greaterThan">
      <formula>0.8</formula>
    </cfRule>
  </conditionalFormatting>
  <conditionalFormatting sqref="P234">
    <cfRule type="notContainsText" dxfId="481" priority="1411" operator="notContains" text="Caida">
      <formula>ISERROR(SEARCH("Caida",P234))</formula>
    </cfRule>
    <cfRule type="containsText" dxfId="480" priority="1412" operator="containsText" text="Caida">
      <formula>NOT(ISERROR(SEARCH("Caida",P234)))</formula>
    </cfRule>
  </conditionalFormatting>
  <conditionalFormatting sqref="P235">
    <cfRule type="cellIs" dxfId="479" priority="1409" operator="lessThan">
      <formula>0.8</formula>
    </cfRule>
    <cfRule type="cellIs" dxfId="478" priority="1410" operator="greaterThan">
      <formula>0.8</formula>
    </cfRule>
  </conditionalFormatting>
  <conditionalFormatting sqref="P235">
    <cfRule type="notContainsText" dxfId="477" priority="1407" operator="notContains" text="Caida">
      <formula>ISERROR(SEARCH("Caida",P235))</formula>
    </cfRule>
    <cfRule type="containsText" dxfId="476" priority="1408" operator="containsText" text="Caida">
      <formula>NOT(ISERROR(SEARCH("Caida",P235)))</formula>
    </cfRule>
  </conditionalFormatting>
  <conditionalFormatting sqref="P335">
    <cfRule type="cellIs" dxfId="475" priority="1405" operator="lessThan">
      <formula>0.8</formula>
    </cfRule>
    <cfRule type="cellIs" dxfId="474" priority="1406" operator="greaterThan">
      <formula>0.8</formula>
    </cfRule>
  </conditionalFormatting>
  <conditionalFormatting sqref="P335">
    <cfRule type="notContainsText" dxfId="473" priority="1403" operator="notContains" text="Caida">
      <formula>ISERROR(SEARCH("Caida",P335))</formula>
    </cfRule>
    <cfRule type="containsText" dxfId="472" priority="1404" operator="containsText" text="Caida">
      <formula>NOT(ISERROR(SEARCH("Caida",P335)))</formula>
    </cfRule>
  </conditionalFormatting>
  <conditionalFormatting sqref="Q6:Q92 Q96:Q230">
    <cfRule type="cellIs" dxfId="471" priority="1397" operator="lessThan">
      <formula>0.8</formula>
    </cfRule>
    <cfRule type="cellIs" dxfId="470" priority="1398" operator="greaterThan">
      <formula>0.8</formula>
    </cfRule>
  </conditionalFormatting>
  <conditionalFormatting sqref="Q6:Q92 Q96:Q230">
    <cfRule type="notContainsText" dxfId="469" priority="1395" operator="notContains" text="Caida">
      <formula>ISERROR(SEARCH("Caida",Q6))</formula>
    </cfRule>
    <cfRule type="containsText" dxfId="468" priority="1396" operator="containsText" text="Caida">
      <formula>NOT(ISERROR(SEARCH("Caida",Q6)))</formula>
    </cfRule>
  </conditionalFormatting>
  <conditionalFormatting sqref="Q336">
    <cfRule type="cellIs" dxfId="467" priority="1352" operator="lessThan">
      <formula>0.8</formula>
    </cfRule>
    <cfRule type="cellIs" dxfId="466" priority="1353" operator="greaterThan">
      <formula>0.8</formula>
    </cfRule>
  </conditionalFormatting>
  <conditionalFormatting sqref="Q336">
    <cfRule type="notContainsText" dxfId="465" priority="1350" operator="notContains" text="Caida">
      <formula>ISERROR(SEARCH("Caida",Q336))</formula>
    </cfRule>
    <cfRule type="containsText" dxfId="464" priority="1351" operator="containsText" text="Caida">
      <formula>NOT(ISERROR(SEARCH("Caida",Q336)))</formula>
    </cfRule>
  </conditionalFormatting>
  <conditionalFormatting sqref="Q337:Q366 Q284:Q334">
    <cfRule type="cellIs" dxfId="463" priority="1393" operator="lessThan">
      <formula>0.8</formula>
    </cfRule>
    <cfRule type="cellIs" dxfId="462" priority="1394" operator="greaterThan">
      <formula>0.8</formula>
    </cfRule>
  </conditionalFormatting>
  <conditionalFormatting sqref="Q337:Q366 Q284:Q334 Q391:Q1048576">
    <cfRule type="notContainsText" dxfId="461" priority="1391" operator="notContains" text="Caida">
      <formula>ISERROR(SEARCH("Caida",Q284))</formula>
    </cfRule>
    <cfRule type="containsText" dxfId="460" priority="1392" operator="containsText" text="Caida">
      <formula>NOT(ISERROR(SEARCH("Caida",Q284)))</formula>
    </cfRule>
  </conditionalFormatting>
  <conditionalFormatting sqref="Q22">
    <cfRule type="containsText" dxfId="459" priority="1390" operator="containsText" text="Instaladas en Funcionamiento Caida">
      <formula>NOT(ISERROR(SEARCH("Instaladas en Funcionamiento Caida",Q22)))</formula>
    </cfRule>
  </conditionalFormatting>
  <conditionalFormatting sqref="Q282">
    <cfRule type="cellIs" dxfId="458" priority="1388" operator="lessThan">
      <formula>0.8</formula>
    </cfRule>
    <cfRule type="cellIs" dxfId="457" priority="1389" operator="greaterThan">
      <formula>0.8</formula>
    </cfRule>
  </conditionalFormatting>
  <conditionalFormatting sqref="Q282">
    <cfRule type="notContainsText" dxfId="456" priority="1386" operator="notContains" text="Caida">
      <formula>ISERROR(SEARCH("Caida",Q282))</formula>
    </cfRule>
    <cfRule type="containsText" dxfId="455" priority="1387" operator="containsText" text="Caida">
      <formula>NOT(ISERROR(SEARCH("Caida",Q282)))</formula>
    </cfRule>
  </conditionalFormatting>
  <conditionalFormatting sqref="Q283">
    <cfRule type="cellIs" dxfId="454" priority="1384" operator="lessThan">
      <formula>0.8</formula>
    </cfRule>
    <cfRule type="cellIs" dxfId="453" priority="1385" operator="greaterThan">
      <formula>0.8</formula>
    </cfRule>
  </conditionalFormatting>
  <conditionalFormatting sqref="Q283">
    <cfRule type="notContainsText" dxfId="452" priority="1382" operator="notContains" text="Caida">
      <formula>ISERROR(SEARCH("Caida",Q283))</formula>
    </cfRule>
    <cfRule type="containsText" dxfId="451" priority="1383" operator="containsText" text="Caida">
      <formula>NOT(ISERROR(SEARCH("Caida",Q283)))</formula>
    </cfRule>
  </conditionalFormatting>
  <conditionalFormatting sqref="Q5">
    <cfRule type="cellIs" dxfId="450" priority="1380" operator="lessThan">
      <formula>0.8</formula>
    </cfRule>
    <cfRule type="cellIs" dxfId="449" priority="1381" operator="greaterThan">
      <formula>0.8</formula>
    </cfRule>
  </conditionalFormatting>
  <conditionalFormatting sqref="Q5">
    <cfRule type="notContainsText" dxfId="448" priority="1378" operator="notContains" text="Caida">
      <formula>ISERROR(SEARCH("Caida",Q5))</formula>
    </cfRule>
    <cfRule type="containsText" dxfId="447" priority="1379" operator="containsText" text="Caida">
      <formula>NOT(ISERROR(SEARCH("Caida",Q5)))</formula>
    </cfRule>
  </conditionalFormatting>
  <conditionalFormatting sqref="Q231">
    <cfRule type="cellIs" dxfId="446" priority="1376" operator="lessThan">
      <formula>0.8</formula>
    </cfRule>
    <cfRule type="cellIs" dxfId="445" priority="1377" operator="greaterThan">
      <formula>0.8</formula>
    </cfRule>
  </conditionalFormatting>
  <conditionalFormatting sqref="Q231">
    <cfRule type="notContainsText" dxfId="444" priority="1374" operator="notContains" text="Caida">
      <formula>ISERROR(SEARCH("Caida",Q231))</formula>
    </cfRule>
    <cfRule type="containsText" dxfId="443" priority="1375" operator="containsText" text="Caida">
      <formula>NOT(ISERROR(SEARCH("Caida",Q231)))</formula>
    </cfRule>
  </conditionalFormatting>
  <conditionalFormatting sqref="Q232">
    <cfRule type="cellIs" dxfId="442" priority="1372" operator="lessThan">
      <formula>0.8</formula>
    </cfRule>
    <cfRule type="cellIs" dxfId="441" priority="1373" operator="greaterThan">
      <formula>0.8</formula>
    </cfRule>
  </conditionalFormatting>
  <conditionalFormatting sqref="Q232">
    <cfRule type="notContainsText" dxfId="440" priority="1370" operator="notContains" text="Caida">
      <formula>ISERROR(SEARCH("Caida",Q232))</formula>
    </cfRule>
    <cfRule type="containsText" dxfId="439" priority="1371" operator="containsText" text="Caida">
      <formula>NOT(ISERROR(SEARCH("Caida",Q232)))</formula>
    </cfRule>
  </conditionalFormatting>
  <conditionalFormatting sqref="Q233">
    <cfRule type="cellIs" dxfId="438" priority="1368" operator="lessThan">
      <formula>0.8</formula>
    </cfRule>
    <cfRule type="cellIs" dxfId="437" priority="1369" operator="greaterThan">
      <formula>0.8</formula>
    </cfRule>
  </conditionalFormatting>
  <conditionalFormatting sqref="Q233">
    <cfRule type="notContainsText" dxfId="436" priority="1366" operator="notContains" text="Caida">
      <formula>ISERROR(SEARCH("Caida",Q233))</formula>
    </cfRule>
    <cfRule type="containsText" dxfId="435" priority="1367" operator="containsText" text="Caida">
      <formula>NOT(ISERROR(SEARCH("Caida",Q233)))</formula>
    </cfRule>
  </conditionalFormatting>
  <conditionalFormatting sqref="Q234">
    <cfRule type="cellIs" dxfId="434" priority="1364" operator="lessThan">
      <formula>0.8</formula>
    </cfRule>
    <cfRule type="cellIs" dxfId="433" priority="1365" operator="greaterThan">
      <formula>0.8</formula>
    </cfRule>
  </conditionalFormatting>
  <conditionalFormatting sqref="Q234">
    <cfRule type="notContainsText" dxfId="432" priority="1362" operator="notContains" text="Caida">
      <formula>ISERROR(SEARCH("Caida",Q234))</formula>
    </cfRule>
    <cfRule type="containsText" dxfId="431" priority="1363" operator="containsText" text="Caida">
      <formula>NOT(ISERROR(SEARCH("Caida",Q234)))</formula>
    </cfRule>
  </conditionalFormatting>
  <conditionalFormatting sqref="Q235">
    <cfRule type="cellIs" dxfId="430" priority="1360" operator="lessThan">
      <formula>0.8</formula>
    </cfRule>
    <cfRule type="cellIs" dxfId="429" priority="1361" operator="greaterThan">
      <formula>0.8</formula>
    </cfRule>
  </conditionalFormatting>
  <conditionalFormatting sqref="Q235">
    <cfRule type="notContainsText" dxfId="428" priority="1358" operator="notContains" text="Caida">
      <formula>ISERROR(SEARCH("Caida",Q235))</formula>
    </cfRule>
    <cfRule type="containsText" dxfId="427" priority="1359" operator="containsText" text="Caida">
      <formula>NOT(ISERROR(SEARCH("Caida",Q235)))</formula>
    </cfRule>
  </conditionalFormatting>
  <conditionalFormatting sqref="Q335">
    <cfRule type="cellIs" dxfId="426" priority="1356" operator="lessThan">
      <formula>0.8</formula>
    </cfRule>
    <cfRule type="cellIs" dxfId="425" priority="1357" operator="greaterThan">
      <formula>0.8</formula>
    </cfRule>
  </conditionalFormatting>
  <conditionalFormatting sqref="Q335">
    <cfRule type="notContainsText" dxfId="424" priority="1354" operator="notContains" text="Caida">
      <formula>ISERROR(SEARCH("Caida",Q335))</formula>
    </cfRule>
    <cfRule type="containsText" dxfId="423" priority="1355" operator="containsText" text="Caida">
      <formula>NOT(ISERROR(SEARCH("Caida",Q335)))</formula>
    </cfRule>
  </conditionalFormatting>
  <conditionalFormatting sqref="R6:R92 R96:R230">
    <cfRule type="cellIs" dxfId="422" priority="1348" operator="lessThan">
      <formula>0.8</formula>
    </cfRule>
    <cfRule type="cellIs" dxfId="421" priority="1349" operator="greaterThan">
      <formula>0.8</formula>
    </cfRule>
  </conditionalFormatting>
  <conditionalFormatting sqref="R6:R92 R96:R230">
    <cfRule type="notContainsText" dxfId="420" priority="1346" operator="notContains" text="Caida">
      <formula>ISERROR(SEARCH("Caida",R6))</formula>
    </cfRule>
    <cfRule type="containsText" dxfId="419" priority="1347" operator="containsText" text="Caida">
      <formula>NOT(ISERROR(SEARCH("Caida",R6)))</formula>
    </cfRule>
  </conditionalFormatting>
  <conditionalFormatting sqref="R336:T336">
    <cfRule type="cellIs" dxfId="418" priority="1303" operator="lessThan">
      <formula>0.8</formula>
    </cfRule>
    <cfRule type="cellIs" dxfId="417" priority="1304" operator="greaterThan">
      <formula>0.8</formula>
    </cfRule>
  </conditionalFormatting>
  <conditionalFormatting sqref="R336:T336">
    <cfRule type="notContainsText" dxfId="416" priority="1301" operator="notContains" text="Caida">
      <formula>ISERROR(SEARCH("Caida",R336))</formula>
    </cfRule>
    <cfRule type="containsText" dxfId="415" priority="1302" operator="containsText" text="Caida">
      <formula>NOT(ISERROR(SEARCH("Caida",R336)))</formula>
    </cfRule>
  </conditionalFormatting>
  <conditionalFormatting sqref="R337:R366 R284:R334">
    <cfRule type="cellIs" dxfId="414" priority="1344" operator="lessThan">
      <formula>0.8</formula>
    </cfRule>
    <cfRule type="cellIs" dxfId="413" priority="1345" operator="greaterThan">
      <formula>0.8</formula>
    </cfRule>
  </conditionalFormatting>
  <conditionalFormatting sqref="R337:R366 R284:R334 R391:R1048576">
    <cfRule type="notContainsText" dxfId="412" priority="1342" operator="notContains" text="Caida">
      <formula>ISERROR(SEARCH("Caida",R284))</formula>
    </cfRule>
    <cfRule type="containsText" dxfId="411" priority="1343" operator="containsText" text="Caida">
      <formula>NOT(ISERROR(SEARCH("Caida",R284)))</formula>
    </cfRule>
  </conditionalFormatting>
  <conditionalFormatting sqref="R22:T22">
    <cfRule type="containsText" dxfId="410" priority="1341" operator="containsText" text="Instaladas en Funcionamiento Caida">
      <formula>NOT(ISERROR(SEARCH("Instaladas en Funcionamiento Caida",R22)))</formula>
    </cfRule>
  </conditionalFormatting>
  <conditionalFormatting sqref="R282:T282">
    <cfRule type="cellIs" dxfId="409" priority="1339" operator="lessThan">
      <formula>0.8</formula>
    </cfRule>
    <cfRule type="cellIs" dxfId="408" priority="1340" operator="greaterThan">
      <formula>0.8</formula>
    </cfRule>
  </conditionalFormatting>
  <conditionalFormatting sqref="R282:T282">
    <cfRule type="notContainsText" dxfId="407" priority="1337" operator="notContains" text="Caida">
      <formula>ISERROR(SEARCH("Caida",R282))</formula>
    </cfRule>
    <cfRule type="containsText" dxfId="406" priority="1338" operator="containsText" text="Caida">
      <formula>NOT(ISERROR(SEARCH("Caida",R282)))</formula>
    </cfRule>
  </conditionalFormatting>
  <conditionalFormatting sqref="R283:T283">
    <cfRule type="cellIs" dxfId="405" priority="1335" operator="lessThan">
      <formula>0.8</formula>
    </cfRule>
    <cfRule type="cellIs" dxfId="404" priority="1336" operator="greaterThan">
      <formula>0.8</formula>
    </cfRule>
  </conditionalFormatting>
  <conditionalFormatting sqref="R283:T283">
    <cfRule type="notContainsText" dxfId="403" priority="1333" operator="notContains" text="Caida">
      <formula>ISERROR(SEARCH("Caida",R283))</formula>
    </cfRule>
    <cfRule type="containsText" dxfId="402" priority="1334" operator="containsText" text="Caida">
      <formula>NOT(ISERROR(SEARCH("Caida",R283)))</formula>
    </cfRule>
  </conditionalFormatting>
  <conditionalFormatting sqref="R5:T5">
    <cfRule type="cellIs" dxfId="401" priority="1331" operator="lessThan">
      <formula>0.8</formula>
    </cfRule>
    <cfRule type="cellIs" dxfId="400" priority="1332" operator="greaterThan">
      <formula>0.8</formula>
    </cfRule>
  </conditionalFormatting>
  <conditionalFormatting sqref="R5:T5">
    <cfRule type="notContainsText" dxfId="399" priority="1329" operator="notContains" text="Caida">
      <formula>ISERROR(SEARCH("Caida",R5))</formula>
    </cfRule>
    <cfRule type="containsText" dxfId="398" priority="1330" operator="containsText" text="Caida">
      <formula>NOT(ISERROR(SEARCH("Caida",R5)))</formula>
    </cfRule>
  </conditionalFormatting>
  <conditionalFormatting sqref="R231:T231">
    <cfRule type="cellIs" dxfId="397" priority="1327" operator="lessThan">
      <formula>0.8</formula>
    </cfRule>
    <cfRule type="cellIs" dxfId="396" priority="1328" operator="greaterThan">
      <formula>0.8</formula>
    </cfRule>
  </conditionalFormatting>
  <conditionalFormatting sqref="R231:T231">
    <cfRule type="notContainsText" dxfId="395" priority="1325" operator="notContains" text="Caida">
      <formula>ISERROR(SEARCH("Caida",R231))</formula>
    </cfRule>
    <cfRule type="containsText" dxfId="394" priority="1326" operator="containsText" text="Caida">
      <formula>NOT(ISERROR(SEARCH("Caida",R231)))</formula>
    </cfRule>
  </conditionalFormatting>
  <conditionalFormatting sqref="R232:T232">
    <cfRule type="cellIs" dxfId="393" priority="1323" operator="lessThan">
      <formula>0.8</formula>
    </cfRule>
    <cfRule type="cellIs" dxfId="392" priority="1324" operator="greaterThan">
      <formula>0.8</formula>
    </cfRule>
  </conditionalFormatting>
  <conditionalFormatting sqref="R232:T232">
    <cfRule type="notContainsText" dxfId="391" priority="1321" operator="notContains" text="Caida">
      <formula>ISERROR(SEARCH("Caida",R232))</formula>
    </cfRule>
    <cfRule type="containsText" dxfId="390" priority="1322" operator="containsText" text="Caida">
      <formula>NOT(ISERROR(SEARCH("Caida",R232)))</formula>
    </cfRule>
  </conditionalFormatting>
  <conditionalFormatting sqref="R233:T233">
    <cfRule type="cellIs" dxfId="389" priority="1319" operator="lessThan">
      <formula>0.8</formula>
    </cfRule>
    <cfRule type="cellIs" dxfId="388" priority="1320" operator="greaterThan">
      <formula>0.8</formula>
    </cfRule>
  </conditionalFormatting>
  <conditionalFormatting sqref="R233:T233">
    <cfRule type="notContainsText" dxfId="387" priority="1317" operator="notContains" text="Caida">
      <formula>ISERROR(SEARCH("Caida",R233))</formula>
    </cfRule>
    <cfRule type="containsText" dxfId="386" priority="1318" operator="containsText" text="Caida">
      <formula>NOT(ISERROR(SEARCH("Caida",R233)))</formula>
    </cfRule>
  </conditionalFormatting>
  <conditionalFormatting sqref="R234:T234">
    <cfRule type="cellIs" dxfId="385" priority="1315" operator="lessThan">
      <formula>0.8</formula>
    </cfRule>
    <cfRule type="cellIs" dxfId="384" priority="1316" operator="greaterThan">
      <formula>0.8</formula>
    </cfRule>
  </conditionalFormatting>
  <conditionalFormatting sqref="R234:T234">
    <cfRule type="notContainsText" dxfId="383" priority="1313" operator="notContains" text="Caida">
      <formula>ISERROR(SEARCH("Caida",R234))</formula>
    </cfRule>
    <cfRule type="containsText" dxfId="382" priority="1314" operator="containsText" text="Caida">
      <formula>NOT(ISERROR(SEARCH("Caida",R234)))</formula>
    </cfRule>
  </conditionalFormatting>
  <conditionalFormatting sqref="R235:T235">
    <cfRule type="cellIs" dxfId="381" priority="1311" operator="lessThan">
      <formula>0.8</formula>
    </cfRule>
    <cfRule type="cellIs" dxfId="380" priority="1312" operator="greaterThan">
      <formula>0.8</formula>
    </cfRule>
  </conditionalFormatting>
  <conditionalFormatting sqref="R235:T235">
    <cfRule type="notContainsText" dxfId="379" priority="1309" operator="notContains" text="Caida">
      <formula>ISERROR(SEARCH("Caida",R235))</formula>
    </cfRule>
    <cfRule type="containsText" dxfId="378" priority="1310" operator="containsText" text="Caida">
      <formula>NOT(ISERROR(SEARCH("Caida",R235)))</formula>
    </cfRule>
  </conditionalFormatting>
  <conditionalFormatting sqref="R335:T335">
    <cfRule type="cellIs" dxfId="377" priority="1307" operator="lessThan">
      <formula>0.8</formula>
    </cfRule>
    <cfRule type="cellIs" dxfId="376" priority="1308" operator="greaterThan">
      <formula>0.8</formula>
    </cfRule>
  </conditionalFormatting>
  <conditionalFormatting sqref="R335:T335">
    <cfRule type="notContainsText" dxfId="375" priority="1305" operator="notContains" text="Caida">
      <formula>ISERROR(SEARCH("Caida",R335))</formula>
    </cfRule>
    <cfRule type="containsText" dxfId="374" priority="1306" operator="containsText" text="Caida">
      <formula>NOT(ISERROR(SEARCH("Caida",R335)))</formula>
    </cfRule>
  </conditionalFormatting>
  <conditionalFormatting sqref="S391:S1048576">
    <cfRule type="notContainsText" dxfId="373" priority="1293" operator="notContains" text="Caida">
      <formula>ISERROR(SEARCH("Caida",S391))</formula>
    </cfRule>
    <cfRule type="containsText" dxfId="372" priority="1294" operator="containsText" text="Caida">
      <formula>NOT(ISERROR(SEARCH("Caida",S391)))</formula>
    </cfRule>
  </conditionalFormatting>
  <conditionalFormatting sqref="T391:T1048576">
    <cfRule type="notContainsText" dxfId="371" priority="1244" operator="notContains" text="Caida">
      <formula>ISERROR(SEARCH("Caida",T391))</formula>
    </cfRule>
    <cfRule type="containsText" dxfId="370" priority="1245" operator="containsText" text="Caida">
      <formula>NOT(ISERROR(SEARCH("Caida",T391)))</formula>
    </cfRule>
  </conditionalFormatting>
  <conditionalFormatting sqref="E92:K93">
    <cfRule type="containsText" dxfId="369" priority="1200" operator="containsText" text="Radio">
      <formula>NOT(ISERROR(SEARCH("Radio",E92)))</formula>
    </cfRule>
  </conditionalFormatting>
  <conditionalFormatting sqref="P93:P95">
    <cfRule type="cellIs" dxfId="368" priority="1170" operator="lessThan">
      <formula>0.8</formula>
    </cfRule>
    <cfRule type="cellIs" dxfId="367" priority="1171" operator="greaterThan">
      <formula>0.8</formula>
    </cfRule>
  </conditionalFormatting>
  <conditionalFormatting sqref="P93:P95">
    <cfRule type="notContainsText" dxfId="366" priority="1168" operator="notContains" text="Caida">
      <formula>ISERROR(SEARCH("Caida",P93))</formula>
    </cfRule>
    <cfRule type="containsText" dxfId="365" priority="1169" operator="containsText" text="Caida">
      <formula>NOT(ISERROR(SEARCH("Caida",P93)))</formula>
    </cfRule>
  </conditionalFormatting>
  <conditionalFormatting sqref="Q93:Q95">
    <cfRule type="cellIs" dxfId="364" priority="1166" operator="lessThan">
      <formula>0.8</formula>
    </cfRule>
    <cfRule type="cellIs" dxfId="363" priority="1167" operator="greaterThan">
      <formula>0.8</formula>
    </cfRule>
  </conditionalFormatting>
  <conditionalFormatting sqref="Q93:Q95">
    <cfRule type="notContainsText" dxfId="362" priority="1164" operator="notContains" text="Caida">
      <formula>ISERROR(SEARCH("Caida",Q93))</formula>
    </cfRule>
    <cfRule type="containsText" dxfId="361" priority="1165" operator="containsText" text="Caida">
      <formula>NOT(ISERROR(SEARCH("Caida",Q93)))</formula>
    </cfRule>
  </conditionalFormatting>
  <conditionalFormatting sqref="R93:R95">
    <cfRule type="cellIs" dxfId="360" priority="1162" operator="lessThan">
      <formula>0.8</formula>
    </cfRule>
    <cfRule type="cellIs" dxfId="359" priority="1163" operator="greaterThan">
      <formula>0.8</formula>
    </cfRule>
  </conditionalFormatting>
  <conditionalFormatting sqref="R93:R95">
    <cfRule type="notContainsText" dxfId="358" priority="1160" operator="notContains" text="Caida">
      <formula>ISERROR(SEARCH("Caida",R93))</formula>
    </cfRule>
    <cfRule type="containsText" dxfId="357" priority="1161" operator="containsText" text="Caida">
      <formula>NOT(ISERROR(SEARCH("Caida",R93)))</formula>
    </cfRule>
  </conditionalFormatting>
  <conditionalFormatting sqref="E365:K365">
    <cfRule type="containsText" dxfId="356" priority="1149" operator="containsText" text="Radio">
      <formula>NOT(ISERROR(SEARCH("Radio",E365)))</formula>
    </cfRule>
  </conditionalFormatting>
  <conditionalFormatting sqref="P367">
    <cfRule type="cellIs" dxfId="355" priority="1131" operator="lessThan">
      <formula>0.8</formula>
    </cfRule>
    <cfRule type="cellIs" dxfId="354" priority="1132" operator="greaterThan">
      <formula>0.8</formula>
    </cfRule>
  </conditionalFormatting>
  <conditionalFormatting sqref="P367">
    <cfRule type="notContainsText" dxfId="353" priority="1129" operator="notContains" text="Caida">
      <formula>ISERROR(SEARCH("Caida",P367))</formula>
    </cfRule>
    <cfRule type="containsText" dxfId="352" priority="1130" operator="containsText" text="Caida">
      <formula>NOT(ISERROR(SEARCH("Caida",P367)))</formula>
    </cfRule>
  </conditionalFormatting>
  <conditionalFormatting sqref="Q367">
    <cfRule type="cellIs" dxfId="351" priority="1127" operator="lessThan">
      <formula>0.8</formula>
    </cfRule>
    <cfRule type="cellIs" dxfId="350" priority="1128" operator="greaterThan">
      <formula>0.8</formula>
    </cfRule>
  </conditionalFormatting>
  <conditionalFormatting sqref="Q367">
    <cfRule type="notContainsText" dxfId="349" priority="1125" operator="notContains" text="Caida">
      <formula>ISERROR(SEARCH("Caida",Q367))</formula>
    </cfRule>
    <cfRule type="containsText" dxfId="348" priority="1126" operator="containsText" text="Caida">
      <formula>NOT(ISERROR(SEARCH("Caida",Q367)))</formula>
    </cfRule>
  </conditionalFormatting>
  <conditionalFormatting sqref="R367:T367">
    <cfRule type="cellIs" dxfId="347" priority="1123" operator="lessThan">
      <formula>0.8</formula>
    </cfRule>
    <cfRule type="cellIs" dxfId="346" priority="1124" operator="greaterThan">
      <formula>0.8</formula>
    </cfRule>
  </conditionalFormatting>
  <conditionalFormatting sqref="R367:T367">
    <cfRule type="notContainsText" dxfId="345" priority="1121" operator="notContains" text="Caida">
      <formula>ISERROR(SEARCH("Caida",R367))</formula>
    </cfRule>
    <cfRule type="containsText" dxfId="344" priority="1122" operator="containsText" text="Caida">
      <formula>NOT(ISERROR(SEARCH("Caida",R367)))</formula>
    </cfRule>
  </conditionalFormatting>
  <conditionalFormatting sqref="E366:K366">
    <cfRule type="containsText" dxfId="343" priority="1110" operator="containsText" text="Radio">
      <formula>NOT(ISERROR(SEARCH("Radio",E366)))</formula>
    </cfRule>
  </conditionalFormatting>
  <conditionalFormatting sqref="P368">
    <cfRule type="cellIs" dxfId="342" priority="1092" operator="lessThan">
      <formula>0.8</formula>
    </cfRule>
    <cfRule type="cellIs" dxfId="341" priority="1093" operator="greaterThan">
      <formula>0.8</formula>
    </cfRule>
  </conditionalFormatting>
  <conditionalFormatting sqref="P368">
    <cfRule type="notContainsText" dxfId="340" priority="1090" operator="notContains" text="Caida">
      <formula>ISERROR(SEARCH("Caida",P368))</formula>
    </cfRule>
    <cfRule type="containsText" dxfId="339" priority="1091" operator="containsText" text="Caida">
      <formula>NOT(ISERROR(SEARCH("Caida",P368)))</formula>
    </cfRule>
  </conditionalFormatting>
  <conditionalFormatting sqref="Q368">
    <cfRule type="cellIs" dxfId="338" priority="1088" operator="lessThan">
      <formula>0.8</formula>
    </cfRule>
    <cfRule type="cellIs" dxfId="337" priority="1089" operator="greaterThan">
      <formula>0.8</formula>
    </cfRule>
  </conditionalFormatting>
  <conditionalFormatting sqref="Q368">
    <cfRule type="notContainsText" dxfId="336" priority="1086" operator="notContains" text="Caida">
      <formula>ISERROR(SEARCH("Caida",Q368))</formula>
    </cfRule>
    <cfRule type="containsText" dxfId="335" priority="1087" operator="containsText" text="Caida">
      <formula>NOT(ISERROR(SEARCH("Caida",Q368)))</formula>
    </cfRule>
  </conditionalFormatting>
  <conditionalFormatting sqref="R368:T368">
    <cfRule type="cellIs" dxfId="334" priority="1084" operator="lessThan">
      <formula>0.8</formula>
    </cfRule>
    <cfRule type="cellIs" dxfId="333" priority="1085" operator="greaterThan">
      <formula>0.8</formula>
    </cfRule>
  </conditionalFormatting>
  <conditionalFormatting sqref="R368:T368">
    <cfRule type="notContainsText" dxfId="332" priority="1082" operator="notContains" text="Caida">
      <formula>ISERROR(SEARCH("Caida",R368))</formula>
    </cfRule>
    <cfRule type="containsText" dxfId="331" priority="1083" operator="containsText" text="Caida">
      <formula>NOT(ISERROR(SEARCH("Caida",R368)))</formula>
    </cfRule>
  </conditionalFormatting>
  <conditionalFormatting sqref="E367:K367">
    <cfRule type="containsText" dxfId="330" priority="1071" operator="containsText" text="Radio">
      <formula>NOT(ISERROR(SEARCH("Radio",E367)))</formula>
    </cfRule>
  </conditionalFormatting>
  <conditionalFormatting sqref="P369">
    <cfRule type="cellIs" dxfId="329" priority="1053" operator="lessThan">
      <formula>0.8</formula>
    </cfRule>
    <cfRule type="cellIs" dxfId="328" priority="1054" operator="greaterThan">
      <formula>0.8</formula>
    </cfRule>
  </conditionalFormatting>
  <conditionalFormatting sqref="P369">
    <cfRule type="notContainsText" dxfId="327" priority="1051" operator="notContains" text="Caida">
      <formula>ISERROR(SEARCH("Caida",P369))</formula>
    </cfRule>
    <cfRule type="containsText" dxfId="326" priority="1052" operator="containsText" text="Caida">
      <formula>NOT(ISERROR(SEARCH("Caida",P369)))</formula>
    </cfRule>
  </conditionalFormatting>
  <conditionalFormatting sqref="Q369">
    <cfRule type="cellIs" dxfId="325" priority="1049" operator="lessThan">
      <formula>0.8</formula>
    </cfRule>
    <cfRule type="cellIs" dxfId="324" priority="1050" operator="greaterThan">
      <formula>0.8</formula>
    </cfRule>
  </conditionalFormatting>
  <conditionalFormatting sqref="Q369">
    <cfRule type="notContainsText" dxfId="323" priority="1047" operator="notContains" text="Caida">
      <formula>ISERROR(SEARCH("Caida",Q369))</formula>
    </cfRule>
    <cfRule type="containsText" dxfId="322" priority="1048" operator="containsText" text="Caida">
      <formula>NOT(ISERROR(SEARCH("Caida",Q369)))</formula>
    </cfRule>
  </conditionalFormatting>
  <conditionalFormatting sqref="R369:T369">
    <cfRule type="cellIs" dxfId="321" priority="1045" operator="lessThan">
      <formula>0.8</formula>
    </cfRule>
    <cfRule type="cellIs" dxfId="320" priority="1046" operator="greaterThan">
      <formula>0.8</formula>
    </cfRule>
  </conditionalFormatting>
  <conditionalFormatting sqref="R369:T369">
    <cfRule type="notContainsText" dxfId="319" priority="1043" operator="notContains" text="Caida">
      <formula>ISERROR(SEARCH("Caida",R369))</formula>
    </cfRule>
    <cfRule type="containsText" dxfId="318" priority="1044" operator="containsText" text="Caida">
      <formula>NOT(ISERROR(SEARCH("Caida",R369)))</formula>
    </cfRule>
  </conditionalFormatting>
  <conditionalFormatting sqref="E368:K368">
    <cfRule type="containsText" dxfId="317" priority="1032" operator="containsText" text="Radio">
      <formula>NOT(ISERROR(SEARCH("Radio",E368)))</formula>
    </cfRule>
  </conditionalFormatting>
  <conditionalFormatting sqref="U231">
    <cfRule type="cellIs" dxfId="316" priority="973" operator="lessThan">
      <formula>0.8</formula>
    </cfRule>
    <cfRule type="cellIs" dxfId="315" priority="974" operator="greaterThan">
      <formula>0.8</formula>
    </cfRule>
  </conditionalFormatting>
  <conditionalFormatting sqref="U231">
    <cfRule type="notContainsText" dxfId="314" priority="971" operator="notContains" text="Caida">
      <formula>ISERROR(SEARCH("Caida",U231))</formula>
    </cfRule>
    <cfRule type="containsText" dxfId="313" priority="972" operator="containsText" text="Caida">
      <formula>NOT(ISERROR(SEARCH("Caida",U231)))</formula>
    </cfRule>
  </conditionalFormatting>
  <conditionalFormatting sqref="U232">
    <cfRule type="cellIs" dxfId="312" priority="969" operator="lessThan">
      <formula>0.8</formula>
    </cfRule>
    <cfRule type="cellIs" dxfId="311" priority="970" operator="greaterThan">
      <formula>0.8</formula>
    </cfRule>
  </conditionalFormatting>
  <conditionalFormatting sqref="U232">
    <cfRule type="notContainsText" dxfId="310" priority="967" operator="notContains" text="Caida">
      <formula>ISERROR(SEARCH("Caida",U232))</formula>
    </cfRule>
    <cfRule type="containsText" dxfId="309" priority="968" operator="containsText" text="Caida">
      <formula>NOT(ISERROR(SEARCH("Caida",U232)))</formula>
    </cfRule>
  </conditionalFormatting>
  <conditionalFormatting sqref="P370:P372">
    <cfRule type="cellIs" dxfId="308" priority="1014" operator="lessThan">
      <formula>0.8</formula>
    </cfRule>
    <cfRule type="cellIs" dxfId="307" priority="1015" operator="greaterThan">
      <formula>0.8</formula>
    </cfRule>
  </conditionalFormatting>
  <conditionalFormatting sqref="P370:P372">
    <cfRule type="notContainsText" dxfId="306" priority="1012" operator="notContains" text="Caida">
      <formula>ISERROR(SEARCH("Caida",P370))</formula>
    </cfRule>
    <cfRule type="containsText" dxfId="305" priority="1013" operator="containsText" text="Caida">
      <formula>NOT(ISERROR(SEARCH("Caida",P370)))</formula>
    </cfRule>
  </conditionalFormatting>
  <conditionalFormatting sqref="Q370:Q372">
    <cfRule type="cellIs" dxfId="304" priority="1010" operator="lessThan">
      <formula>0.8</formula>
    </cfRule>
    <cfRule type="cellIs" dxfId="303" priority="1011" operator="greaterThan">
      <formula>0.8</formula>
    </cfRule>
  </conditionalFormatting>
  <conditionalFormatting sqref="Q370:Q372">
    <cfRule type="notContainsText" dxfId="302" priority="1008" operator="notContains" text="Caida">
      <formula>ISERROR(SEARCH("Caida",Q370))</formula>
    </cfRule>
    <cfRule type="containsText" dxfId="301" priority="1009" operator="containsText" text="Caida">
      <formula>NOT(ISERROR(SEARCH("Caida",Q370)))</formula>
    </cfRule>
  </conditionalFormatting>
  <conditionalFormatting sqref="R370:T370">
    <cfRule type="cellIs" dxfId="300" priority="1006" operator="lessThan">
      <formula>0.8</formula>
    </cfRule>
    <cfRule type="cellIs" dxfId="299" priority="1007" operator="greaterThan">
      <formula>0.8</formula>
    </cfRule>
  </conditionalFormatting>
  <conditionalFormatting sqref="R370:T370">
    <cfRule type="notContainsText" dxfId="298" priority="1004" operator="notContains" text="Caida">
      <formula>ISERROR(SEARCH("Caida",R370))</formula>
    </cfRule>
    <cfRule type="containsText" dxfId="297" priority="1005" operator="containsText" text="Caida">
      <formula>NOT(ISERROR(SEARCH("Caida",R370)))</formula>
    </cfRule>
  </conditionalFormatting>
  <conditionalFormatting sqref="U368">
    <cfRule type="cellIs" dxfId="296" priority="937" operator="lessThan">
      <formula>0.8</formula>
    </cfRule>
    <cfRule type="cellIs" dxfId="295" priority="938" operator="greaterThan">
      <formula>0.8</formula>
    </cfRule>
  </conditionalFormatting>
  <conditionalFormatting sqref="U368">
    <cfRule type="notContainsText" dxfId="294" priority="935" operator="notContains" text="Caida">
      <formula>ISERROR(SEARCH("Caida",U368))</formula>
    </cfRule>
    <cfRule type="containsText" dxfId="293" priority="936" operator="containsText" text="Caida">
      <formula>NOT(ISERROR(SEARCH("Caida",U368)))</formula>
    </cfRule>
  </conditionalFormatting>
  <conditionalFormatting sqref="U369">
    <cfRule type="cellIs" dxfId="292" priority="933" operator="lessThan">
      <formula>0.8</formula>
    </cfRule>
    <cfRule type="cellIs" dxfId="291" priority="934" operator="greaterThan">
      <formula>0.8</formula>
    </cfRule>
  </conditionalFormatting>
  <conditionalFormatting sqref="U369">
    <cfRule type="notContainsText" dxfId="290" priority="931" operator="notContains" text="Caida">
      <formula>ISERROR(SEARCH("Caida",U369))</formula>
    </cfRule>
    <cfRule type="containsText" dxfId="289" priority="932" operator="containsText" text="Caida">
      <formula>NOT(ISERROR(SEARCH("Caida",U369)))</formula>
    </cfRule>
  </conditionalFormatting>
  <conditionalFormatting sqref="U370:U372">
    <cfRule type="cellIs" dxfId="288" priority="929" operator="lessThan">
      <formula>0.8</formula>
    </cfRule>
    <cfRule type="cellIs" dxfId="287" priority="930" operator="greaterThan">
      <formula>0.8</formula>
    </cfRule>
  </conditionalFormatting>
  <conditionalFormatting sqref="U370:U372">
    <cfRule type="notContainsText" dxfId="286" priority="927" operator="notContains" text="Caida">
      <formula>ISERROR(SEARCH("Caida",U370))</formula>
    </cfRule>
    <cfRule type="containsText" dxfId="285" priority="928" operator="containsText" text="Caida">
      <formula>NOT(ISERROR(SEARCH("Caida",U370)))</formula>
    </cfRule>
  </conditionalFormatting>
  <conditionalFormatting sqref="U6:U92 U96:U230">
    <cfRule type="cellIs" dxfId="284" priority="994" operator="lessThan">
      <formula>0.8</formula>
    </cfRule>
    <cfRule type="cellIs" dxfId="283" priority="995" operator="greaterThan">
      <formula>0.8</formula>
    </cfRule>
  </conditionalFormatting>
  <conditionalFormatting sqref="U6:U92 U96:U230">
    <cfRule type="notContainsText" dxfId="282" priority="992" operator="notContains" text="Caida">
      <formula>ISERROR(SEARCH("Caida",U6))</formula>
    </cfRule>
    <cfRule type="containsText" dxfId="281" priority="993" operator="containsText" text="Caida">
      <formula>NOT(ISERROR(SEARCH("Caida",U6)))</formula>
    </cfRule>
  </conditionalFormatting>
  <conditionalFormatting sqref="U336">
    <cfRule type="cellIs" dxfId="280" priority="949" operator="lessThan">
      <formula>0.8</formula>
    </cfRule>
    <cfRule type="cellIs" dxfId="279" priority="950" operator="greaterThan">
      <formula>0.8</formula>
    </cfRule>
  </conditionalFormatting>
  <conditionalFormatting sqref="U336">
    <cfRule type="notContainsText" dxfId="278" priority="947" operator="notContains" text="Caida">
      <formula>ISERROR(SEARCH("Caida",U336))</formula>
    </cfRule>
    <cfRule type="containsText" dxfId="277" priority="948" operator="containsText" text="Caida">
      <formula>NOT(ISERROR(SEARCH("Caida",U336)))</formula>
    </cfRule>
  </conditionalFormatting>
  <conditionalFormatting sqref="U337:U366 U284:U334">
    <cfRule type="cellIs" dxfId="276" priority="990" operator="lessThan">
      <formula>0.8</formula>
    </cfRule>
    <cfRule type="cellIs" dxfId="275" priority="991" operator="greaterThan">
      <formula>0.8</formula>
    </cfRule>
  </conditionalFormatting>
  <conditionalFormatting sqref="U337:U366 U284:U334 U391:U1048576">
    <cfRule type="notContainsText" dxfId="274" priority="988" operator="notContains" text="Caida">
      <formula>ISERROR(SEARCH("Caida",U284))</formula>
    </cfRule>
    <cfRule type="containsText" dxfId="273" priority="989" operator="containsText" text="Caida">
      <formula>NOT(ISERROR(SEARCH("Caida",U284)))</formula>
    </cfRule>
  </conditionalFormatting>
  <conditionalFormatting sqref="U22">
    <cfRule type="containsText" dxfId="272" priority="987" operator="containsText" text="Instaladas en Funcionamiento Caida">
      <formula>NOT(ISERROR(SEARCH("Instaladas en Funcionamiento Caida",U22)))</formula>
    </cfRule>
  </conditionalFormatting>
  <conditionalFormatting sqref="U282">
    <cfRule type="cellIs" dxfId="271" priority="985" operator="lessThan">
      <formula>0.8</formula>
    </cfRule>
    <cfRule type="cellIs" dxfId="270" priority="986" operator="greaterThan">
      <formula>0.8</formula>
    </cfRule>
  </conditionalFormatting>
  <conditionalFormatting sqref="U282">
    <cfRule type="notContainsText" dxfId="269" priority="983" operator="notContains" text="Caida">
      <formula>ISERROR(SEARCH("Caida",U282))</formula>
    </cfRule>
    <cfRule type="containsText" dxfId="268" priority="984" operator="containsText" text="Caida">
      <formula>NOT(ISERROR(SEARCH("Caida",U282)))</formula>
    </cfRule>
  </conditionalFormatting>
  <conditionalFormatting sqref="U283">
    <cfRule type="cellIs" dxfId="267" priority="981" operator="lessThan">
      <formula>0.8</formula>
    </cfRule>
    <cfRule type="cellIs" dxfId="266" priority="982" operator="greaterThan">
      <formula>0.8</formula>
    </cfRule>
  </conditionalFormatting>
  <conditionalFormatting sqref="U283">
    <cfRule type="notContainsText" dxfId="265" priority="979" operator="notContains" text="Caida">
      <formula>ISERROR(SEARCH("Caida",U283))</formula>
    </cfRule>
    <cfRule type="containsText" dxfId="264" priority="980" operator="containsText" text="Caida">
      <formula>NOT(ISERROR(SEARCH("Caida",U283)))</formula>
    </cfRule>
  </conditionalFormatting>
  <conditionalFormatting sqref="U5">
    <cfRule type="cellIs" dxfId="263" priority="977" operator="lessThan">
      <formula>0.8</formula>
    </cfRule>
    <cfRule type="cellIs" dxfId="262" priority="978" operator="greaterThan">
      <formula>0.8</formula>
    </cfRule>
  </conditionalFormatting>
  <conditionalFormatting sqref="U5">
    <cfRule type="notContainsText" dxfId="261" priority="975" operator="notContains" text="Caida">
      <formula>ISERROR(SEARCH("Caida",U5))</formula>
    </cfRule>
    <cfRule type="containsText" dxfId="260" priority="976" operator="containsText" text="Caida">
      <formula>NOT(ISERROR(SEARCH("Caida",U5)))</formula>
    </cfRule>
  </conditionalFormatting>
  <conditionalFormatting sqref="U233">
    <cfRule type="cellIs" dxfId="259" priority="965" operator="lessThan">
      <formula>0.8</formula>
    </cfRule>
    <cfRule type="cellIs" dxfId="258" priority="966" operator="greaterThan">
      <formula>0.8</formula>
    </cfRule>
  </conditionalFormatting>
  <conditionalFormatting sqref="U233">
    <cfRule type="notContainsText" dxfId="257" priority="963" operator="notContains" text="Caida">
      <formula>ISERROR(SEARCH("Caida",U233))</formula>
    </cfRule>
    <cfRule type="containsText" dxfId="256" priority="964" operator="containsText" text="Caida">
      <formula>NOT(ISERROR(SEARCH("Caida",U233)))</formula>
    </cfRule>
  </conditionalFormatting>
  <conditionalFormatting sqref="U234">
    <cfRule type="cellIs" dxfId="255" priority="961" operator="lessThan">
      <formula>0.8</formula>
    </cfRule>
    <cfRule type="cellIs" dxfId="254" priority="962" operator="greaterThan">
      <formula>0.8</formula>
    </cfRule>
  </conditionalFormatting>
  <conditionalFormatting sqref="U234">
    <cfRule type="notContainsText" dxfId="253" priority="959" operator="notContains" text="Caida">
      <formula>ISERROR(SEARCH("Caida",U234))</formula>
    </cfRule>
    <cfRule type="containsText" dxfId="252" priority="960" operator="containsText" text="Caida">
      <formula>NOT(ISERROR(SEARCH("Caida",U234)))</formula>
    </cfRule>
  </conditionalFormatting>
  <conditionalFormatting sqref="U235">
    <cfRule type="cellIs" dxfId="251" priority="957" operator="lessThan">
      <formula>0.8</formula>
    </cfRule>
    <cfRule type="cellIs" dxfId="250" priority="958" operator="greaterThan">
      <formula>0.8</formula>
    </cfRule>
  </conditionalFormatting>
  <conditionalFormatting sqref="U235">
    <cfRule type="notContainsText" dxfId="249" priority="955" operator="notContains" text="Caida">
      <formula>ISERROR(SEARCH("Caida",U235))</formula>
    </cfRule>
    <cfRule type="containsText" dxfId="248" priority="956" operator="containsText" text="Caida">
      <formula>NOT(ISERROR(SEARCH("Caida",U235)))</formula>
    </cfRule>
  </conditionalFormatting>
  <conditionalFormatting sqref="U335">
    <cfRule type="cellIs" dxfId="247" priority="953" operator="lessThan">
      <formula>0.8</formula>
    </cfRule>
    <cfRule type="cellIs" dxfId="246" priority="954" operator="greaterThan">
      <formula>0.8</formula>
    </cfRule>
  </conditionalFormatting>
  <conditionalFormatting sqref="U335">
    <cfRule type="notContainsText" dxfId="245" priority="951" operator="notContains" text="Caida">
      <formula>ISERROR(SEARCH("Caida",U335))</formula>
    </cfRule>
    <cfRule type="containsText" dxfId="244" priority="952" operator="containsText" text="Caida">
      <formula>NOT(ISERROR(SEARCH("Caida",U335)))</formula>
    </cfRule>
  </conditionalFormatting>
  <conditionalFormatting sqref="U93:U95">
    <cfRule type="cellIs" dxfId="243" priority="945" operator="lessThan">
      <formula>0.8</formula>
    </cfRule>
    <cfRule type="cellIs" dxfId="242" priority="946" operator="greaterThan">
      <formula>0.8</formula>
    </cfRule>
  </conditionalFormatting>
  <conditionalFormatting sqref="U93:U95">
    <cfRule type="notContainsText" dxfId="241" priority="943" operator="notContains" text="Caida">
      <formula>ISERROR(SEARCH("Caida",U93))</formula>
    </cfRule>
    <cfRule type="containsText" dxfId="240" priority="944" operator="containsText" text="Caida">
      <formula>NOT(ISERROR(SEARCH("Caida",U93)))</formula>
    </cfRule>
  </conditionalFormatting>
  <conditionalFormatting sqref="U367">
    <cfRule type="cellIs" dxfId="239" priority="941" operator="lessThan">
      <formula>0.8</formula>
    </cfRule>
    <cfRule type="cellIs" dxfId="238" priority="942" operator="greaterThan">
      <formula>0.8</formula>
    </cfRule>
  </conditionalFormatting>
  <conditionalFormatting sqref="U367">
    <cfRule type="notContainsText" dxfId="237" priority="939" operator="notContains" text="Caida">
      <formula>ISERROR(SEARCH("Caida",U367))</formula>
    </cfRule>
    <cfRule type="containsText" dxfId="236" priority="940" operator="containsText" text="Caida">
      <formula>NOT(ISERROR(SEARCH("Caida",U367)))</formula>
    </cfRule>
  </conditionalFormatting>
  <conditionalFormatting sqref="V6:X92">
    <cfRule type="cellIs" dxfId="235" priority="925" operator="lessThan">
      <formula>0.8</formula>
    </cfRule>
    <cfRule type="cellIs" dxfId="234" priority="926" operator="greaterThan">
      <formula>0.8</formula>
    </cfRule>
  </conditionalFormatting>
  <conditionalFormatting sqref="V6:X92">
    <cfRule type="notContainsText" dxfId="233" priority="923" operator="notContains" text="Caida">
      <formula>ISERROR(SEARCH("Caida",V6))</formula>
    </cfRule>
    <cfRule type="containsText" dxfId="232" priority="924" operator="containsText" text="Caida">
      <formula>NOT(ISERROR(SEARCH("Caida",V6)))</formula>
    </cfRule>
  </conditionalFormatting>
  <conditionalFormatting sqref="V22:X22 AA22:AJ22">
    <cfRule type="containsText" dxfId="231" priority="922" operator="containsText" text="Instaladas en Funcionamiento Caida">
      <formula>NOT(ISERROR(SEARCH("Instaladas en Funcionamiento Caida",V22)))</formula>
    </cfRule>
  </conditionalFormatting>
  <conditionalFormatting sqref="V5:X5 AA5:AJ5">
    <cfRule type="cellIs" dxfId="230" priority="920" operator="lessThan">
      <formula>0.8</formula>
    </cfRule>
    <cfRule type="cellIs" dxfId="229" priority="921" operator="greaterThan">
      <formula>0.8</formula>
    </cfRule>
  </conditionalFormatting>
  <conditionalFormatting sqref="V5:X5 AA5:AJ5">
    <cfRule type="notContainsText" dxfId="228" priority="918" operator="notContains" text="Caida">
      <formula>ISERROR(SEARCH("Caida",V5))</formula>
    </cfRule>
    <cfRule type="containsText" dxfId="227" priority="919" operator="containsText" text="Caida">
      <formula>NOT(ISERROR(SEARCH("Caida",V5)))</formula>
    </cfRule>
  </conditionalFormatting>
  <conditionalFormatting sqref="V93:X95">
    <cfRule type="cellIs" dxfId="226" priority="916" operator="lessThan">
      <formula>0.8</formula>
    </cfRule>
    <cfRule type="cellIs" dxfId="225" priority="917" operator="greaterThan">
      <formula>0.8</formula>
    </cfRule>
  </conditionalFormatting>
  <conditionalFormatting sqref="V93:X95">
    <cfRule type="notContainsText" dxfId="224" priority="914" operator="notContains" text="Caida">
      <formula>ISERROR(SEARCH("Caida",V93))</formula>
    </cfRule>
    <cfRule type="containsText" dxfId="223" priority="915" operator="containsText" text="Caida">
      <formula>NOT(ISERROR(SEARCH("Caida",V93)))</formula>
    </cfRule>
  </conditionalFormatting>
  <conditionalFormatting sqref="E1:E372 E391:E1048576">
    <cfRule type="containsText" dxfId="222" priority="774" operator="containsText" text="fija">
      <formula>NOT(ISERROR(SEARCH("fija",E1)))</formula>
    </cfRule>
    <cfRule type="containsText" dxfId="221" priority="775" operator="containsText" text="domo">
      <formula>NOT(ISERROR(SEARCH("domo",E1)))</formula>
    </cfRule>
  </conditionalFormatting>
  <conditionalFormatting sqref="AK6:AP92">
    <cfRule type="cellIs" dxfId="220" priority="750" operator="lessThan">
      <formula>0.8</formula>
    </cfRule>
    <cfRule type="cellIs" dxfId="219" priority="751" operator="greaterThan">
      <formula>0.8</formula>
    </cfRule>
  </conditionalFormatting>
  <conditionalFormatting sqref="AK6:AP92">
    <cfRule type="notContainsText" dxfId="218" priority="748" operator="notContains" text="Caida">
      <formula>ISERROR(SEARCH("Caida",AK6))</formula>
    </cfRule>
    <cfRule type="containsText" dxfId="217" priority="749" operator="containsText" text="Caida">
      <formula>NOT(ISERROR(SEARCH("Caida",AK6)))</formula>
    </cfRule>
  </conditionalFormatting>
  <conditionalFormatting sqref="AK22:AR22">
    <cfRule type="containsText" dxfId="216" priority="747" operator="containsText" text="Instaladas en Funcionamiento Caida">
      <formula>NOT(ISERROR(SEARCH("Instaladas en Funcionamiento Caida",AK22)))</formula>
    </cfRule>
  </conditionalFormatting>
  <conditionalFormatting sqref="AK5:AR5">
    <cfRule type="cellIs" dxfId="215" priority="745" operator="lessThan">
      <formula>0.8</formula>
    </cfRule>
    <cfRule type="cellIs" dxfId="214" priority="746" operator="greaterThan">
      <formula>0.8</formula>
    </cfRule>
  </conditionalFormatting>
  <conditionalFormatting sqref="AK5:AR5">
    <cfRule type="notContainsText" dxfId="213" priority="743" operator="notContains" text="Caida">
      <formula>ISERROR(SEARCH("Caida",AK5))</formula>
    </cfRule>
    <cfRule type="containsText" dxfId="212" priority="744" operator="containsText" text="Caida">
      <formula>NOT(ISERROR(SEARCH("Caida",AK5)))</formula>
    </cfRule>
  </conditionalFormatting>
  <conditionalFormatting sqref="AK93:AP94">
    <cfRule type="cellIs" dxfId="211" priority="741" operator="lessThan">
      <formula>0.8</formula>
    </cfRule>
    <cfRule type="cellIs" dxfId="210" priority="742" operator="greaterThan">
      <formula>0.8</formula>
    </cfRule>
  </conditionalFormatting>
  <conditionalFormatting sqref="AK93:AP94">
    <cfRule type="notContainsText" dxfId="209" priority="739" operator="notContains" text="Caida">
      <formula>ISERROR(SEARCH("Caida",AK93))</formula>
    </cfRule>
    <cfRule type="containsText" dxfId="208" priority="740" operator="containsText" text="Caida">
      <formula>NOT(ISERROR(SEARCH("Caida",AK93)))</formula>
    </cfRule>
  </conditionalFormatting>
  <conditionalFormatting sqref="O247:O372 O5:X369 AK1:AR1 AK391:AR1048576 AK5:AR372 AA5:AJ369">
    <cfRule type="cellIs" dxfId="207" priority="738" operator="equal">
      <formula>"APAGADO"</formula>
    </cfRule>
  </conditionalFormatting>
  <conditionalFormatting sqref="S6:S92 S96:S230">
    <cfRule type="cellIs" dxfId="206" priority="722" operator="lessThan">
      <formula>0.8</formula>
    </cfRule>
    <cfRule type="cellIs" dxfId="205" priority="723" operator="greaterThan">
      <formula>0.8</formula>
    </cfRule>
  </conditionalFormatting>
  <conditionalFormatting sqref="S6:S92 S96:S230">
    <cfRule type="notContainsText" dxfId="204" priority="720" operator="notContains" text="Caida">
      <formula>ISERROR(SEARCH("Caida",S6))</formula>
    </cfRule>
    <cfRule type="containsText" dxfId="203" priority="721" operator="containsText" text="Caida">
      <formula>NOT(ISERROR(SEARCH("Caida",S6)))</formula>
    </cfRule>
  </conditionalFormatting>
  <conditionalFormatting sqref="S337:S366 S284:S334">
    <cfRule type="cellIs" dxfId="202" priority="718" operator="lessThan">
      <formula>0.8</formula>
    </cfRule>
    <cfRule type="cellIs" dxfId="201" priority="719" operator="greaterThan">
      <formula>0.8</formula>
    </cfRule>
  </conditionalFormatting>
  <conditionalFormatting sqref="S337:S366 S284:S334">
    <cfRule type="notContainsText" dxfId="200" priority="716" operator="notContains" text="Caida">
      <formula>ISERROR(SEARCH("Caida",S284))</formula>
    </cfRule>
    <cfRule type="containsText" dxfId="199" priority="717" operator="containsText" text="Caida">
      <formula>NOT(ISERROR(SEARCH("Caida",S284)))</formula>
    </cfRule>
  </conditionalFormatting>
  <conditionalFormatting sqref="S93:S95">
    <cfRule type="cellIs" dxfId="198" priority="714" operator="lessThan">
      <formula>0.8</formula>
    </cfRule>
    <cfRule type="cellIs" dxfId="197" priority="715" operator="greaterThan">
      <formula>0.8</formula>
    </cfRule>
  </conditionalFormatting>
  <conditionalFormatting sqref="S93:S95">
    <cfRule type="notContainsText" dxfId="196" priority="712" operator="notContains" text="Caida">
      <formula>ISERROR(SEARCH("Caida",S93))</formula>
    </cfRule>
    <cfRule type="containsText" dxfId="195" priority="713" operator="containsText" text="Caida">
      <formula>NOT(ISERROR(SEARCH("Caida",S93)))</formula>
    </cfRule>
  </conditionalFormatting>
  <conditionalFormatting sqref="T6:T92 T96:T230">
    <cfRule type="cellIs" dxfId="194" priority="710" operator="lessThan">
      <formula>0.8</formula>
    </cfRule>
    <cfRule type="cellIs" dxfId="193" priority="711" operator="greaterThan">
      <formula>0.8</formula>
    </cfRule>
  </conditionalFormatting>
  <conditionalFormatting sqref="T6:T92 T96:T230">
    <cfRule type="notContainsText" dxfId="192" priority="708" operator="notContains" text="Caida">
      <formula>ISERROR(SEARCH("Caida",T6))</formula>
    </cfRule>
    <cfRule type="containsText" dxfId="191" priority="709" operator="containsText" text="Caida">
      <formula>NOT(ISERROR(SEARCH("Caida",T6)))</formula>
    </cfRule>
  </conditionalFormatting>
  <conditionalFormatting sqref="T337:T366 T284:T334">
    <cfRule type="cellIs" dxfId="190" priority="706" operator="lessThan">
      <formula>0.8</formula>
    </cfRule>
    <cfRule type="cellIs" dxfId="189" priority="707" operator="greaterThan">
      <formula>0.8</formula>
    </cfRule>
  </conditionalFormatting>
  <conditionalFormatting sqref="T337:T366 T284:T334">
    <cfRule type="notContainsText" dxfId="188" priority="704" operator="notContains" text="Caida">
      <formula>ISERROR(SEARCH("Caida",T284))</formula>
    </cfRule>
    <cfRule type="containsText" dxfId="187" priority="705" operator="containsText" text="Caida">
      <formula>NOT(ISERROR(SEARCH("Caida",T284)))</formula>
    </cfRule>
  </conditionalFormatting>
  <conditionalFormatting sqref="T93:T95">
    <cfRule type="cellIs" dxfId="186" priority="702" operator="lessThan">
      <formula>0.8</formula>
    </cfRule>
    <cfRule type="cellIs" dxfId="185" priority="703" operator="greaterThan">
      <formula>0.8</formula>
    </cfRule>
  </conditionalFormatting>
  <conditionalFormatting sqref="T93:T95">
    <cfRule type="notContainsText" dxfId="184" priority="700" operator="notContains" text="Caida">
      <formula>ISERROR(SEARCH("Caida",T93))</formula>
    </cfRule>
    <cfRule type="containsText" dxfId="183" priority="701" operator="containsText" text="Caida">
      <formula>NOT(ISERROR(SEARCH("Caida",T93)))</formula>
    </cfRule>
  </conditionalFormatting>
  <conditionalFormatting sqref="F1:F372 F391:F1048576">
    <cfRule type="cellIs" dxfId="182" priority="629" operator="equal">
      <formula>"PTP A FO"</formula>
    </cfRule>
  </conditionalFormatting>
  <conditionalFormatting sqref="R371:T372">
    <cfRule type="cellIs" dxfId="181" priority="258" operator="lessThan">
      <formula>0.8</formula>
    </cfRule>
    <cfRule type="cellIs" dxfId="180" priority="259" operator="greaterThan">
      <formula>0.8</formula>
    </cfRule>
  </conditionalFormatting>
  <conditionalFormatting sqref="R371:T372">
    <cfRule type="notContainsText" dxfId="179" priority="256" operator="notContains" text="Caida">
      <formula>ISERROR(SEARCH("Caida",R371))</formula>
    </cfRule>
    <cfRule type="containsText" dxfId="178" priority="257" operator="containsText" text="Caida">
      <formula>NOT(ISERROR(SEARCH("Caida",R371)))</formula>
    </cfRule>
  </conditionalFormatting>
  <conditionalFormatting sqref="O6:O92">
    <cfRule type="cellIs" dxfId="177" priority="246" operator="lessThan">
      <formula>0.8</formula>
    </cfRule>
    <cfRule type="cellIs" dxfId="176" priority="247" operator="greaterThan">
      <formula>0.8</formula>
    </cfRule>
  </conditionalFormatting>
  <conditionalFormatting sqref="O6:O92">
    <cfRule type="notContainsText" dxfId="175" priority="244" operator="notContains" text="Caida">
      <formula>ISERROR(SEARCH("Caida",O6))</formula>
    </cfRule>
    <cfRule type="containsText" dxfId="174" priority="245" operator="containsText" text="Caida">
      <formula>NOT(ISERROR(SEARCH("Caida",O6)))</formula>
    </cfRule>
  </conditionalFormatting>
  <conditionalFormatting sqref="O22">
    <cfRule type="containsText" dxfId="173" priority="243" operator="containsText" text="Instaladas en Funcionamiento Caida">
      <formula>NOT(ISERROR(SEARCH("Instaladas en Funcionamiento Caida",O22)))</formula>
    </cfRule>
  </conditionalFormatting>
  <conditionalFormatting sqref="O5">
    <cfRule type="cellIs" dxfId="172" priority="241" operator="lessThan">
      <formula>0.8</formula>
    </cfRule>
    <cfRule type="cellIs" dxfId="171" priority="242" operator="greaterThan">
      <formula>0.8</formula>
    </cfRule>
  </conditionalFormatting>
  <conditionalFormatting sqref="O5">
    <cfRule type="notContainsText" dxfId="170" priority="239" operator="notContains" text="Caida">
      <formula>ISERROR(SEARCH("Caida",O5))</formula>
    </cfRule>
    <cfRule type="containsText" dxfId="169" priority="240" operator="containsText" text="Caida">
      <formula>NOT(ISERROR(SEARCH("Caida",O5)))</formula>
    </cfRule>
  </conditionalFormatting>
  <conditionalFormatting sqref="O93:O94">
    <cfRule type="cellIs" dxfId="168" priority="237" operator="lessThan">
      <formula>0.8</formula>
    </cfRule>
    <cfRule type="cellIs" dxfId="167" priority="238" operator="greaterThan">
      <formula>0.8</formula>
    </cfRule>
  </conditionalFormatting>
  <conditionalFormatting sqref="O93:O94">
    <cfRule type="notContainsText" dxfId="166" priority="235" operator="notContains" text="Caida">
      <formula>ISERROR(SEARCH("Caida",O93))</formula>
    </cfRule>
    <cfRule type="containsText" dxfId="165" priority="236" operator="containsText" text="Caida">
      <formula>NOT(ISERROR(SEARCH("Caida",O93)))</formula>
    </cfRule>
  </conditionalFormatting>
  <conditionalFormatting sqref="AR6:AR92">
    <cfRule type="cellIs" dxfId="164" priority="228" operator="lessThan">
      <formula>0.8</formula>
    </cfRule>
    <cfRule type="cellIs" dxfId="163" priority="229" operator="greaterThan">
      <formula>0.8</formula>
    </cfRule>
  </conditionalFormatting>
  <conditionalFormatting sqref="AR6:AR92">
    <cfRule type="notContainsText" dxfId="162" priority="226" operator="notContains" text="Caida">
      <formula>ISERROR(SEARCH("Caida",AR6))</formula>
    </cfRule>
    <cfRule type="containsText" dxfId="161" priority="227" operator="containsText" text="Caida">
      <formula>NOT(ISERROR(SEARCH("Caida",AR6)))</formula>
    </cfRule>
  </conditionalFormatting>
  <conditionalFormatting sqref="AR93:AR94">
    <cfRule type="cellIs" dxfId="160" priority="224" operator="lessThan">
      <formula>0.8</formula>
    </cfRule>
    <cfRule type="cellIs" dxfId="159" priority="225" operator="greaterThan">
      <formula>0.8</formula>
    </cfRule>
  </conditionalFormatting>
  <conditionalFormatting sqref="AR93:AR94">
    <cfRule type="notContainsText" dxfId="158" priority="222" operator="notContains" text="Caida">
      <formula>ISERROR(SEARCH("Caida",AR93))</formula>
    </cfRule>
    <cfRule type="containsText" dxfId="157" priority="223" operator="containsText" text="Caida">
      <formula>NOT(ISERROR(SEARCH("Caida",AR93)))</formula>
    </cfRule>
  </conditionalFormatting>
  <conditionalFormatting sqref="AA6:AF92">
    <cfRule type="cellIs" dxfId="156" priority="163" operator="lessThan">
      <formula>0.8</formula>
    </cfRule>
    <cfRule type="cellIs" dxfId="155" priority="164" operator="greaterThan">
      <formula>0.8</formula>
    </cfRule>
  </conditionalFormatting>
  <conditionalFormatting sqref="AA6:AF92">
    <cfRule type="notContainsText" dxfId="154" priority="161" operator="notContains" text="Caida">
      <formula>ISERROR(SEARCH("Caida",AA6))</formula>
    </cfRule>
    <cfRule type="containsText" dxfId="153" priority="162" operator="containsText" text="Caida">
      <formula>NOT(ISERROR(SEARCH("Caida",AA6)))</formula>
    </cfRule>
  </conditionalFormatting>
  <conditionalFormatting sqref="AA93:AF95">
    <cfRule type="cellIs" dxfId="152" priority="159" operator="lessThan">
      <formula>0.8</formula>
    </cfRule>
    <cfRule type="cellIs" dxfId="151" priority="160" operator="greaterThan">
      <formula>0.8</formula>
    </cfRule>
  </conditionalFormatting>
  <conditionalFormatting sqref="AA93:AF95">
    <cfRule type="notContainsText" dxfId="150" priority="157" operator="notContains" text="Caida">
      <formula>ISERROR(SEARCH("Caida",AA93))</formula>
    </cfRule>
    <cfRule type="containsText" dxfId="149" priority="158" operator="containsText" text="Caida">
      <formula>NOT(ISERROR(SEARCH("Caida",AA93)))</formula>
    </cfRule>
  </conditionalFormatting>
  <conditionalFormatting sqref="AF1 AF5:AF376 AF378:AF1048576 AF3">
    <cfRule type="cellIs" dxfId="148" priority="156" operator="equal">
      <formula>"apagado"</formula>
    </cfRule>
  </conditionalFormatting>
  <conditionalFormatting sqref="AE1 AE5:AE376 AE378:AE1048576 AE3">
    <cfRule type="cellIs" dxfId="147" priority="155" operator="equal">
      <formula>"apagado"</formula>
    </cfRule>
  </conditionalFormatting>
  <conditionalFormatting sqref="AD1 AD5:AD376 AD378:AD1048576 AD3">
    <cfRule type="cellIs" dxfId="146" priority="154" operator="equal">
      <formula>"apagado"</formula>
    </cfRule>
  </conditionalFormatting>
  <conditionalFormatting sqref="AC1 AC5:AC376 AC378:AC1048576 AC3">
    <cfRule type="cellIs" dxfId="145" priority="153" operator="equal">
      <formula>"apagado"</formula>
    </cfRule>
  </conditionalFormatting>
  <conditionalFormatting sqref="AB1 AB5:AB376 AB378:AB1048576 AB3">
    <cfRule type="cellIs" dxfId="144" priority="152" operator="equal">
      <formula>"apagado"</formula>
    </cfRule>
  </conditionalFormatting>
  <conditionalFormatting sqref="AA1 AA5:AA376 AA378:AA1048576 AA3">
    <cfRule type="cellIs" dxfId="143" priority="151" operator="equal">
      <formula>"apagado"</formula>
    </cfRule>
  </conditionalFormatting>
  <conditionalFormatting sqref="Z1 Z378:Z1048576 Z3">
    <cfRule type="cellIs" dxfId="142" priority="150" operator="equal">
      <formula>"apagado"</formula>
    </cfRule>
  </conditionalFormatting>
  <conditionalFormatting sqref="Y1 Y378:Y1048576 Y3">
    <cfRule type="cellIs" dxfId="141" priority="149" operator="equal">
      <formula>"apagado"</formula>
    </cfRule>
  </conditionalFormatting>
  <conditionalFormatting sqref="AG6:AG92">
    <cfRule type="cellIs" dxfId="140" priority="147" operator="lessThan">
      <formula>0.8</formula>
    </cfRule>
    <cfRule type="cellIs" dxfId="139" priority="148" operator="greaterThan">
      <formula>0.8</formula>
    </cfRule>
  </conditionalFormatting>
  <conditionalFormatting sqref="AG6:AG92">
    <cfRule type="notContainsText" dxfId="138" priority="145" operator="notContains" text="Caida">
      <formula>ISERROR(SEARCH("Caida",AG6))</formula>
    </cfRule>
    <cfRule type="containsText" dxfId="137" priority="146" operator="containsText" text="Caida">
      <formula>NOT(ISERROR(SEARCH("Caida",AG6)))</formula>
    </cfRule>
  </conditionalFormatting>
  <conditionalFormatting sqref="AG93:AG95">
    <cfRule type="cellIs" dxfId="136" priority="143" operator="lessThan">
      <formula>0.8</formula>
    </cfRule>
    <cfRule type="cellIs" dxfId="135" priority="144" operator="greaterThan">
      <formula>0.8</formula>
    </cfRule>
  </conditionalFormatting>
  <conditionalFormatting sqref="AG93:AG95">
    <cfRule type="notContainsText" dxfId="134" priority="141" operator="notContains" text="Caida">
      <formula>ISERROR(SEARCH("Caida",AG93))</formula>
    </cfRule>
    <cfRule type="containsText" dxfId="133" priority="142" operator="containsText" text="Caida">
      <formula>NOT(ISERROR(SEARCH("Caida",AG93)))</formula>
    </cfRule>
  </conditionalFormatting>
  <conditionalFormatting sqref="AG1 AG5:AG376 AG378:AG1048576 AG3">
    <cfRule type="cellIs" dxfId="132" priority="140" operator="equal">
      <formula>"apagado"</formula>
    </cfRule>
  </conditionalFormatting>
  <conditionalFormatting sqref="AH6:AH92">
    <cfRule type="cellIs" dxfId="131" priority="138" operator="lessThan">
      <formula>0.8</formula>
    </cfRule>
    <cfRule type="cellIs" dxfId="130" priority="139" operator="greaterThan">
      <formula>0.8</formula>
    </cfRule>
  </conditionalFormatting>
  <conditionalFormatting sqref="AH6:AH92">
    <cfRule type="notContainsText" dxfId="129" priority="136" operator="notContains" text="Caida">
      <formula>ISERROR(SEARCH("Caida",AH6))</formula>
    </cfRule>
    <cfRule type="containsText" dxfId="128" priority="137" operator="containsText" text="Caida">
      <formula>NOT(ISERROR(SEARCH("Caida",AH6)))</formula>
    </cfRule>
  </conditionalFormatting>
  <conditionalFormatting sqref="AH93:AH95">
    <cfRule type="cellIs" dxfId="127" priority="134" operator="lessThan">
      <formula>0.8</formula>
    </cfRule>
    <cfRule type="cellIs" dxfId="126" priority="135" operator="greaterThan">
      <formula>0.8</formula>
    </cfRule>
  </conditionalFormatting>
  <conditionalFormatting sqref="AH93:AH95">
    <cfRule type="notContainsText" dxfId="125" priority="132" operator="notContains" text="Caida">
      <formula>ISERROR(SEARCH("Caida",AH93))</formula>
    </cfRule>
    <cfRule type="containsText" dxfId="124" priority="133" operator="containsText" text="Caida">
      <formula>NOT(ISERROR(SEARCH("Caida",AH93)))</formula>
    </cfRule>
  </conditionalFormatting>
  <conditionalFormatting sqref="AH1 AH5:AH376 AH378:AH1048576 AH3">
    <cfRule type="cellIs" dxfId="123" priority="131" operator="equal">
      <formula>"apagado"</formula>
    </cfRule>
  </conditionalFormatting>
  <conditionalFormatting sqref="AI6:AI92">
    <cfRule type="cellIs" dxfId="122" priority="129" operator="lessThan">
      <formula>0.8</formula>
    </cfRule>
    <cfRule type="cellIs" dxfId="121" priority="130" operator="greaterThan">
      <formula>0.8</formula>
    </cfRule>
  </conditionalFormatting>
  <conditionalFormatting sqref="AI6:AI92">
    <cfRule type="notContainsText" dxfId="120" priority="127" operator="notContains" text="Caida">
      <formula>ISERROR(SEARCH("Caida",AI6))</formula>
    </cfRule>
    <cfRule type="containsText" dxfId="119" priority="128" operator="containsText" text="Caida">
      <formula>NOT(ISERROR(SEARCH("Caida",AI6)))</formula>
    </cfRule>
  </conditionalFormatting>
  <conditionalFormatting sqref="AI93:AI95">
    <cfRule type="cellIs" dxfId="118" priority="125" operator="lessThan">
      <formula>0.8</formula>
    </cfRule>
    <cfRule type="cellIs" dxfId="117" priority="126" operator="greaterThan">
      <formula>0.8</formula>
    </cfRule>
  </conditionalFormatting>
  <conditionalFormatting sqref="AI93:AI95">
    <cfRule type="notContainsText" dxfId="116" priority="123" operator="notContains" text="Caida">
      <formula>ISERROR(SEARCH("Caida",AI93))</formula>
    </cfRule>
    <cfRule type="containsText" dxfId="115" priority="124" operator="containsText" text="Caida">
      <formula>NOT(ISERROR(SEARCH("Caida",AI93)))</formula>
    </cfRule>
  </conditionalFormatting>
  <conditionalFormatting sqref="AI1 AI5:AI376 AI378:AI1048576 AI3">
    <cfRule type="cellIs" dxfId="114" priority="122" operator="equal">
      <formula>"apagado"</formula>
    </cfRule>
  </conditionalFormatting>
  <conditionalFormatting sqref="AJ6:AJ92">
    <cfRule type="cellIs" dxfId="113" priority="120" operator="lessThan">
      <formula>0.8</formula>
    </cfRule>
    <cfRule type="cellIs" dxfId="112" priority="121" operator="greaterThan">
      <formula>0.8</formula>
    </cfRule>
  </conditionalFormatting>
  <conditionalFormatting sqref="AJ6:AJ92">
    <cfRule type="notContainsText" dxfId="111" priority="118" operator="notContains" text="Caida">
      <formula>ISERROR(SEARCH("Caida",AJ6))</formula>
    </cfRule>
    <cfRule type="containsText" dxfId="110" priority="119" operator="containsText" text="Caida">
      <formula>NOT(ISERROR(SEARCH("Caida",AJ6)))</formula>
    </cfRule>
  </conditionalFormatting>
  <conditionalFormatting sqref="AJ93:AJ95">
    <cfRule type="cellIs" dxfId="109" priority="116" operator="lessThan">
      <formula>0.8</formula>
    </cfRule>
    <cfRule type="cellIs" dxfId="108" priority="117" operator="greaterThan">
      <formula>0.8</formula>
    </cfRule>
  </conditionalFormatting>
  <conditionalFormatting sqref="AJ93:AJ95">
    <cfRule type="notContainsText" dxfId="107" priority="114" operator="notContains" text="Caida">
      <formula>ISERROR(SEARCH("Caida",AJ93))</formula>
    </cfRule>
    <cfRule type="containsText" dxfId="106" priority="115" operator="containsText" text="Caida">
      <formula>NOT(ISERROR(SEARCH("Caida",AJ93)))</formula>
    </cfRule>
  </conditionalFormatting>
  <conditionalFormatting sqref="AJ1 AJ5:AJ376 AJ378:AJ1048576 AJ3">
    <cfRule type="cellIs" dxfId="105" priority="113" operator="equal">
      <formula>"apagado"</formula>
    </cfRule>
  </conditionalFormatting>
  <conditionalFormatting sqref="AQ95:AQ369">
    <cfRule type="cellIs" dxfId="104" priority="94" operator="lessThan">
      <formula>0.8</formula>
    </cfRule>
    <cfRule type="cellIs" dxfId="103" priority="95" operator="greaterThan">
      <formula>0.8</formula>
    </cfRule>
  </conditionalFormatting>
  <conditionalFormatting sqref="AQ95:AQ372 AQ391:AQ1048576">
    <cfRule type="notContainsText" dxfId="102" priority="92" operator="notContains" text="Caida">
      <formula>ISERROR(SEARCH("Caida",AQ95))</formula>
    </cfRule>
    <cfRule type="containsText" dxfId="101" priority="93" operator="containsText" text="Caida">
      <formula>NOT(ISERROR(SEARCH("Caida",AQ95)))</formula>
    </cfRule>
  </conditionalFormatting>
  <conditionalFormatting sqref="AQ6:AQ92">
    <cfRule type="cellIs" dxfId="100" priority="90" operator="lessThan">
      <formula>0.8</formula>
    </cfRule>
    <cfRule type="cellIs" dxfId="99" priority="91" operator="greaterThan">
      <formula>0.8</formula>
    </cfRule>
  </conditionalFormatting>
  <conditionalFormatting sqref="AQ6:AQ92">
    <cfRule type="notContainsText" dxfId="98" priority="88" operator="notContains" text="Caida">
      <formula>ISERROR(SEARCH("Caida",AQ6))</formula>
    </cfRule>
    <cfRule type="containsText" dxfId="97" priority="89" operator="containsText" text="Caida">
      <formula>NOT(ISERROR(SEARCH("Caida",AQ6)))</formula>
    </cfRule>
  </conditionalFormatting>
  <conditionalFormatting sqref="AQ93:AQ94">
    <cfRule type="cellIs" dxfId="96" priority="86" operator="lessThan">
      <formula>0.8</formula>
    </cfRule>
    <cfRule type="cellIs" dxfId="95" priority="87" operator="greaterThan">
      <formula>0.8</formula>
    </cfRule>
  </conditionalFormatting>
  <conditionalFormatting sqref="AQ93:AQ94">
    <cfRule type="notContainsText" dxfId="94" priority="84" operator="notContains" text="Caida">
      <formula>ISERROR(SEARCH("Caida",AQ93))</formula>
    </cfRule>
    <cfRule type="containsText" dxfId="93" priority="85" operator="containsText" text="Caida">
      <formula>NOT(ISERROR(SEARCH("Caida",AQ93)))</formula>
    </cfRule>
  </conditionalFormatting>
  <conditionalFormatting sqref="AQ10">
    <cfRule type="cellIs" dxfId="92" priority="79" operator="equal">
      <formula>"apagado"</formula>
    </cfRule>
    <cfRule type="cellIs" dxfId="91" priority="82" operator="lessThan">
      <formula>0.8</formula>
    </cfRule>
    <cfRule type="cellIs" dxfId="90" priority="83" operator="greaterThan">
      <formula>0.8</formula>
    </cfRule>
  </conditionalFormatting>
  <conditionalFormatting sqref="AQ10">
    <cfRule type="notContainsText" dxfId="89" priority="80" operator="notContains" text="Caida">
      <formula>ISERROR(SEARCH("Caida",AQ10))</formula>
    </cfRule>
    <cfRule type="containsText" dxfId="88" priority="81" operator="containsText" text="Caida">
      <formula>NOT(ISERROR(SEARCH("Caida",AQ10)))</formula>
    </cfRule>
  </conditionalFormatting>
  <conditionalFormatting sqref="AQ1 AQ5:AQ376 AQ378:AQ1048576 AQ3">
    <cfRule type="cellIs" dxfId="87" priority="78" operator="equal">
      <formula>"apagado"</formula>
    </cfRule>
  </conditionalFormatting>
  <conditionalFormatting sqref="O5:X376 AA5:AR376">
    <cfRule type="cellIs" dxfId="86" priority="77" operator="equal">
      <formula>"APAGADO"</formula>
    </cfRule>
  </conditionalFormatting>
  <conditionalFormatting sqref="AF377">
    <cfRule type="cellIs" dxfId="85" priority="74" operator="equal">
      <formula>"apagado"</formula>
    </cfRule>
  </conditionalFormatting>
  <conditionalFormatting sqref="AE377">
    <cfRule type="cellIs" dxfId="84" priority="73" operator="equal">
      <formula>"apagado"</formula>
    </cfRule>
  </conditionalFormatting>
  <conditionalFormatting sqref="AD377">
    <cfRule type="cellIs" dxfId="83" priority="72" operator="equal">
      <formula>"apagado"</formula>
    </cfRule>
  </conditionalFormatting>
  <conditionalFormatting sqref="AC377">
    <cfRule type="cellIs" dxfId="82" priority="71" operator="equal">
      <formula>"apagado"</formula>
    </cfRule>
  </conditionalFormatting>
  <conditionalFormatting sqref="AB377">
    <cfRule type="cellIs" dxfId="81" priority="70" operator="equal">
      <formula>"apagado"</formula>
    </cfRule>
  </conditionalFormatting>
  <conditionalFormatting sqref="AA377">
    <cfRule type="cellIs" dxfId="80" priority="69" operator="equal">
      <formula>"apagado"</formula>
    </cfRule>
  </conditionalFormatting>
  <conditionalFormatting sqref="AG377">
    <cfRule type="cellIs" dxfId="79" priority="66" operator="equal">
      <formula>"apagado"</formula>
    </cfRule>
  </conditionalFormatting>
  <conditionalFormatting sqref="AH377">
    <cfRule type="cellIs" dxfId="78" priority="65" operator="equal">
      <formula>"apagado"</formula>
    </cfRule>
  </conditionalFormatting>
  <conditionalFormatting sqref="AI377">
    <cfRule type="cellIs" dxfId="77" priority="64" operator="equal">
      <formula>"apagado"</formula>
    </cfRule>
  </conditionalFormatting>
  <conditionalFormatting sqref="AJ377">
    <cfRule type="cellIs" dxfId="76" priority="63" operator="equal">
      <formula>"apagado"</formula>
    </cfRule>
  </conditionalFormatting>
  <conditionalFormatting sqref="AQ377">
    <cfRule type="cellIs" dxfId="75" priority="62" operator="equal">
      <formula>"apagado"</formula>
    </cfRule>
  </conditionalFormatting>
  <conditionalFormatting sqref="O377:X377 AA377:AR377">
    <cfRule type="cellIs" dxfId="74" priority="61" operator="equal">
      <formula>"APAGADO"</formula>
    </cfRule>
  </conditionalFormatting>
  <conditionalFormatting sqref="AS95:AS369">
    <cfRule type="cellIs" dxfId="73" priority="59" operator="lessThan">
      <formula>0.8</formula>
    </cfRule>
    <cfRule type="cellIs" dxfId="72" priority="60" operator="greaterThan">
      <formula>0.8</formula>
    </cfRule>
  </conditionalFormatting>
  <conditionalFormatting sqref="AS391:AS1048576 AS95:AS372">
    <cfRule type="notContainsText" dxfId="71" priority="57" operator="notContains" text="Caida">
      <formula>ISERROR(SEARCH("Caida",AS95))</formula>
    </cfRule>
    <cfRule type="containsText" dxfId="70" priority="58" operator="containsText" text="Caida">
      <formula>NOT(ISERROR(SEARCH("Caida",AS95)))</formula>
    </cfRule>
  </conditionalFormatting>
  <conditionalFormatting sqref="AS22">
    <cfRule type="containsText" dxfId="69" priority="56" operator="containsText" text="Instaladas en Funcionamiento Caida">
      <formula>NOT(ISERROR(SEARCH("Instaladas en Funcionamiento Caida",AS22)))</formula>
    </cfRule>
  </conditionalFormatting>
  <conditionalFormatting sqref="AS5">
    <cfRule type="cellIs" dxfId="68" priority="54" operator="lessThan">
      <formula>0.8</formula>
    </cfRule>
    <cfRule type="cellIs" dxfId="67" priority="55" operator="greaterThan">
      <formula>0.8</formula>
    </cfRule>
  </conditionalFormatting>
  <conditionalFormatting sqref="AS5">
    <cfRule type="notContainsText" dxfId="66" priority="52" operator="notContains" text="Caida">
      <formula>ISERROR(SEARCH("Caida",AS5))</formula>
    </cfRule>
    <cfRule type="containsText" dxfId="65" priority="53" operator="containsText" text="Caida">
      <formula>NOT(ISERROR(SEARCH("Caida",AS5)))</formula>
    </cfRule>
  </conditionalFormatting>
  <conditionalFormatting sqref="AS1 AS391:AS1048576 AS5:AS372">
    <cfRule type="cellIs" dxfId="64" priority="51" operator="equal">
      <formula>"APAGADO"</formula>
    </cfRule>
  </conditionalFormatting>
  <conditionalFormatting sqref="AS6:AS92">
    <cfRule type="cellIs" dxfId="63" priority="49" operator="lessThan">
      <formula>0.8</formula>
    </cfRule>
    <cfRule type="cellIs" dxfId="62" priority="50" operator="greaterThan">
      <formula>0.8</formula>
    </cfRule>
  </conditionalFormatting>
  <conditionalFormatting sqref="AS6:AS92">
    <cfRule type="notContainsText" dxfId="61" priority="47" operator="notContains" text="Caida">
      <formula>ISERROR(SEARCH("Caida",AS6))</formula>
    </cfRule>
    <cfRule type="containsText" dxfId="60" priority="48" operator="containsText" text="Caida">
      <formula>NOT(ISERROR(SEARCH("Caida",AS6)))</formula>
    </cfRule>
  </conditionalFormatting>
  <conditionalFormatting sqref="AS93:AS94">
    <cfRule type="cellIs" dxfId="59" priority="45" operator="lessThan">
      <formula>0.8</formula>
    </cfRule>
    <cfRule type="cellIs" dxfId="58" priority="46" operator="greaterThan">
      <formula>0.8</formula>
    </cfRule>
  </conditionalFormatting>
  <conditionalFormatting sqref="AS93:AS94">
    <cfRule type="notContainsText" dxfId="57" priority="43" operator="notContains" text="Caida">
      <formula>ISERROR(SEARCH("Caida",AS93))</formula>
    </cfRule>
    <cfRule type="containsText" dxfId="56" priority="44" operator="containsText" text="Caida">
      <formula>NOT(ISERROR(SEARCH("Caida",AS93)))</formula>
    </cfRule>
  </conditionalFormatting>
  <conditionalFormatting sqref="AS5:AS376">
    <cfRule type="cellIs" dxfId="55" priority="42" operator="equal">
      <formula>"APAGADO"</formula>
    </cfRule>
  </conditionalFormatting>
  <conditionalFormatting sqref="AS377">
    <cfRule type="cellIs" dxfId="54" priority="41" operator="equal">
      <formula>"APAGADO"</formula>
    </cfRule>
  </conditionalFormatting>
  <conditionalFormatting sqref="Y96:Y372">
    <cfRule type="cellIs" dxfId="53" priority="39" operator="lessThan">
      <formula>0.8</formula>
    </cfRule>
    <cfRule type="cellIs" dxfId="52" priority="40" operator="greaterThan">
      <formula>0.8</formula>
    </cfRule>
  </conditionalFormatting>
  <conditionalFormatting sqref="Y96:Y372">
    <cfRule type="notContainsText" dxfId="51" priority="37" operator="notContains" text="Caida">
      <formula>ISERROR(SEARCH("Caida",Y96))</formula>
    </cfRule>
    <cfRule type="containsText" dxfId="50" priority="38" operator="containsText" text="Caida">
      <formula>NOT(ISERROR(SEARCH("Caida",Y96)))</formula>
    </cfRule>
  </conditionalFormatting>
  <conditionalFormatting sqref="Y22">
    <cfRule type="containsText" dxfId="49" priority="36" operator="containsText" text="Instaladas en Funcionamiento Caida">
      <formula>NOT(ISERROR(SEARCH("Instaladas en Funcionamiento Caida",Y22)))</formula>
    </cfRule>
  </conditionalFormatting>
  <conditionalFormatting sqref="Y5">
    <cfRule type="cellIs" dxfId="48" priority="34" operator="lessThan">
      <formula>0.8</formula>
    </cfRule>
    <cfRule type="cellIs" dxfId="47" priority="35" operator="greaterThan">
      <formula>0.8</formula>
    </cfRule>
  </conditionalFormatting>
  <conditionalFormatting sqref="Y5">
    <cfRule type="notContainsText" dxfId="46" priority="32" operator="notContains" text="Caida">
      <formula>ISERROR(SEARCH("Caida",Y5))</formula>
    </cfRule>
    <cfRule type="containsText" dxfId="45" priority="33" operator="containsText" text="Caida">
      <formula>NOT(ISERROR(SEARCH("Caida",Y5)))</formula>
    </cfRule>
  </conditionalFormatting>
  <conditionalFormatting sqref="Y5:Y377">
    <cfRule type="cellIs" dxfId="44" priority="31" operator="equal">
      <formula>"APAGADO"</formula>
    </cfRule>
  </conditionalFormatting>
  <conditionalFormatting sqref="Y6:Y92">
    <cfRule type="cellIs" dxfId="43" priority="29" operator="lessThan">
      <formula>0.8</formula>
    </cfRule>
    <cfRule type="cellIs" dxfId="42" priority="30" operator="greaterThan">
      <formula>0.8</formula>
    </cfRule>
  </conditionalFormatting>
  <conditionalFormatting sqref="Y6:Y92">
    <cfRule type="notContainsText" dxfId="41" priority="27" operator="notContains" text="Caida">
      <formula>ISERROR(SEARCH("Caida",Y6))</formula>
    </cfRule>
    <cfRule type="containsText" dxfId="40" priority="28" operator="containsText" text="Caida">
      <formula>NOT(ISERROR(SEARCH("Caida",Y6)))</formula>
    </cfRule>
  </conditionalFormatting>
  <conditionalFormatting sqref="Y93:Y95">
    <cfRule type="cellIs" dxfId="39" priority="25" operator="lessThan">
      <formula>0.8</formula>
    </cfRule>
    <cfRule type="cellIs" dxfId="38" priority="26" operator="greaterThan">
      <formula>0.8</formula>
    </cfRule>
  </conditionalFormatting>
  <conditionalFormatting sqref="Y93:Y95">
    <cfRule type="notContainsText" dxfId="37" priority="23" operator="notContains" text="Caida">
      <formula>ISERROR(SEARCH("Caida",Y93))</formula>
    </cfRule>
    <cfRule type="containsText" dxfId="36" priority="24" operator="containsText" text="Caida">
      <formula>NOT(ISERROR(SEARCH("Caida",Y93)))</formula>
    </cfRule>
  </conditionalFormatting>
  <conditionalFormatting sqref="Y5:Y376">
    <cfRule type="cellIs" dxfId="35" priority="22" operator="equal">
      <formula>"apagado"</formula>
    </cfRule>
  </conditionalFormatting>
  <conditionalFormatting sqref="Y377">
    <cfRule type="cellIs" dxfId="34" priority="21" operator="equal">
      <formula>"apagado"</formula>
    </cfRule>
  </conditionalFormatting>
  <conditionalFormatting sqref="Z96:Z372">
    <cfRule type="cellIs" dxfId="33" priority="19" operator="lessThan">
      <formula>0.8</formula>
    </cfRule>
    <cfRule type="cellIs" dxfId="32" priority="20" operator="greaterThan">
      <formula>0.8</formula>
    </cfRule>
  </conditionalFormatting>
  <conditionalFormatting sqref="Z96:Z372">
    <cfRule type="notContainsText" dxfId="31" priority="17" operator="notContains" text="Caida">
      <formula>ISERROR(SEARCH("Caida",Z96))</formula>
    </cfRule>
    <cfRule type="containsText" dxfId="30" priority="18" operator="containsText" text="Caida">
      <formula>NOT(ISERROR(SEARCH("Caida",Z96)))</formula>
    </cfRule>
  </conditionalFormatting>
  <conditionalFormatting sqref="Z22">
    <cfRule type="containsText" dxfId="29" priority="16" operator="containsText" text="Instaladas en Funcionamiento Caida">
      <formula>NOT(ISERROR(SEARCH("Instaladas en Funcionamiento Caida",Z22)))</formula>
    </cfRule>
  </conditionalFormatting>
  <conditionalFormatting sqref="Z5">
    <cfRule type="cellIs" dxfId="28" priority="14" operator="lessThan">
      <formula>0.8</formula>
    </cfRule>
    <cfRule type="cellIs" dxfId="27" priority="15" operator="greaterThan">
      <formula>0.8</formula>
    </cfRule>
  </conditionalFormatting>
  <conditionalFormatting sqref="Z5">
    <cfRule type="notContainsText" dxfId="26" priority="12" operator="notContains" text="Caida">
      <formula>ISERROR(SEARCH("Caida",Z5))</formula>
    </cfRule>
    <cfRule type="containsText" dxfId="25" priority="13" operator="containsText" text="Caida">
      <formula>NOT(ISERROR(SEARCH("Caida",Z5)))</formula>
    </cfRule>
  </conditionalFormatting>
  <conditionalFormatting sqref="Z5:Z377">
    <cfRule type="cellIs" dxfId="24" priority="11" operator="equal">
      <formula>"APAGADO"</formula>
    </cfRule>
  </conditionalFormatting>
  <conditionalFormatting sqref="Z6:Z92">
    <cfRule type="cellIs" dxfId="23" priority="9" operator="lessThan">
      <formula>0.8</formula>
    </cfRule>
    <cfRule type="cellIs" dxfId="22" priority="10" operator="greaterThan">
      <formula>0.8</formula>
    </cfRule>
  </conditionalFormatting>
  <conditionalFormatting sqref="Z6:Z92">
    <cfRule type="notContainsText" dxfId="21" priority="7" operator="notContains" text="Caida">
      <formula>ISERROR(SEARCH("Caida",Z6))</formula>
    </cfRule>
    <cfRule type="containsText" dxfId="20" priority="8" operator="containsText" text="Caida">
      <formula>NOT(ISERROR(SEARCH("Caida",Z6)))</formula>
    </cfRule>
  </conditionalFormatting>
  <conditionalFormatting sqref="Z93:Z95">
    <cfRule type="cellIs" dxfId="19" priority="5" operator="lessThan">
      <formula>0.8</formula>
    </cfRule>
    <cfRule type="cellIs" dxfId="18" priority="6" operator="greaterThan">
      <formula>0.8</formula>
    </cfRule>
  </conditionalFormatting>
  <conditionalFormatting sqref="Z93:Z95">
    <cfRule type="notContainsText" dxfId="17" priority="3" operator="notContains" text="Caida">
      <formula>ISERROR(SEARCH("Caida",Z93))</formula>
    </cfRule>
    <cfRule type="containsText" dxfId="16" priority="4" operator="containsText" text="Caida">
      <formula>NOT(ISERROR(SEARCH("Caida",Z93)))</formula>
    </cfRule>
  </conditionalFormatting>
  <conditionalFormatting sqref="Z5:Z376">
    <cfRule type="cellIs" dxfId="15" priority="2" operator="equal">
      <formula>"apagado"</formula>
    </cfRule>
  </conditionalFormatting>
  <conditionalFormatting sqref="Z377">
    <cfRule type="cellIs" dxfId="14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6:E23"/>
  <sheetViews>
    <sheetView workbookViewId="0">
      <selection activeCell="A22" sqref="A22:E23"/>
    </sheetView>
  </sheetViews>
  <sheetFormatPr baseColWidth="10" defaultRowHeight="15" x14ac:dyDescent="0.25"/>
  <cols>
    <col min="1" max="1" width="37.7109375" bestFit="1" customWidth="1"/>
    <col min="2" max="2" width="26.7109375" bestFit="1" customWidth="1"/>
    <col min="3" max="3" width="37.7109375" bestFit="1" customWidth="1"/>
    <col min="4" max="4" width="34.28515625" bestFit="1" customWidth="1"/>
  </cols>
  <sheetData>
    <row r="16" spans="1:5" x14ac:dyDescent="0.25">
      <c r="A16" s="69" t="s">
        <v>550</v>
      </c>
      <c r="B16" s="68" t="s">
        <v>1349</v>
      </c>
      <c r="C16" s="59" t="s">
        <v>19</v>
      </c>
      <c r="D16" s="59" t="s">
        <v>36</v>
      </c>
      <c r="E16" s="16" t="s">
        <v>1154</v>
      </c>
    </row>
    <row r="17" spans="1:5" x14ac:dyDescent="0.25">
      <c r="A17" s="69" t="s">
        <v>554</v>
      </c>
      <c r="B17" s="68" t="s">
        <v>553</v>
      </c>
      <c r="C17" s="59" t="s">
        <v>113</v>
      </c>
      <c r="D17" s="59" t="s">
        <v>36</v>
      </c>
      <c r="E17" s="16" t="s">
        <v>1149</v>
      </c>
    </row>
    <row r="18" spans="1:5" x14ac:dyDescent="0.25">
      <c r="A18" s="69" t="s">
        <v>562</v>
      </c>
      <c r="B18" s="68" t="s">
        <v>563</v>
      </c>
      <c r="C18" s="59" t="s">
        <v>113</v>
      </c>
      <c r="D18" s="59" t="s">
        <v>36</v>
      </c>
      <c r="E18" s="16" t="s">
        <v>1158</v>
      </c>
    </row>
    <row r="19" spans="1:5" x14ac:dyDescent="0.25">
      <c r="A19" s="69" t="s">
        <v>565</v>
      </c>
      <c r="B19" s="68" t="s">
        <v>563</v>
      </c>
      <c r="C19" s="59" t="s">
        <v>113</v>
      </c>
      <c r="D19" s="59" t="s">
        <v>36</v>
      </c>
      <c r="E19" s="16" t="s">
        <v>1159</v>
      </c>
    </row>
    <row r="20" spans="1:5" x14ac:dyDescent="0.25">
      <c r="A20" s="69" t="s">
        <v>566</v>
      </c>
      <c r="B20" s="68" t="s">
        <v>567</v>
      </c>
      <c r="C20" s="59" t="s">
        <v>113</v>
      </c>
      <c r="D20" s="59" t="s">
        <v>36</v>
      </c>
      <c r="E20" s="16" t="s">
        <v>1160</v>
      </c>
    </row>
    <row r="21" spans="1:5" x14ac:dyDescent="0.25">
      <c r="A21" s="69" t="s">
        <v>568</v>
      </c>
      <c r="B21" s="68" t="s">
        <v>567</v>
      </c>
      <c r="C21" s="59" t="s">
        <v>73</v>
      </c>
      <c r="D21" s="59" t="s">
        <v>36</v>
      </c>
      <c r="E21" s="16" t="s">
        <v>1161</v>
      </c>
    </row>
    <row r="22" spans="1:5" x14ac:dyDescent="0.25">
      <c r="A22" s="69" t="s">
        <v>527</v>
      </c>
      <c r="B22" s="68" t="s">
        <v>525</v>
      </c>
      <c r="C22" s="59" t="s">
        <v>113</v>
      </c>
      <c r="D22" s="59" t="s">
        <v>36</v>
      </c>
      <c r="E22" s="16" t="s">
        <v>1139</v>
      </c>
    </row>
    <row r="23" spans="1:5" x14ac:dyDescent="0.25">
      <c r="A23" s="69" t="s">
        <v>529</v>
      </c>
      <c r="B23" s="68" t="s">
        <v>530</v>
      </c>
      <c r="C23" s="59" t="s">
        <v>19</v>
      </c>
      <c r="D23" s="59" t="s">
        <v>36</v>
      </c>
      <c r="E23" s="16" t="s">
        <v>1140</v>
      </c>
    </row>
  </sheetData>
  <conditionalFormatting sqref="C16:E23">
    <cfRule type="containsText" dxfId="13" priority="8" operator="containsText" text="Radio">
      <formula>NOT(ISERROR(SEARCH("Radio",C16)))</formula>
    </cfRule>
  </conditionalFormatting>
  <conditionalFormatting sqref="C16:C21">
    <cfRule type="containsText" dxfId="12" priority="6" operator="containsText" text="fija">
      <formula>NOT(ISERROR(SEARCH("fija",C16)))</formula>
    </cfRule>
    <cfRule type="containsText" dxfId="11" priority="7" operator="containsText" text="domo">
      <formula>NOT(ISERROR(SEARCH("domo",C16)))</formula>
    </cfRule>
  </conditionalFormatting>
  <conditionalFormatting sqref="D16:D21">
    <cfRule type="cellIs" dxfId="10" priority="5" operator="equal">
      <formula>"PTP A FO"</formula>
    </cfRule>
  </conditionalFormatting>
  <conditionalFormatting sqref="C22:C23">
    <cfRule type="containsText" dxfId="9" priority="2" operator="containsText" text="fija">
      <formula>NOT(ISERROR(SEARCH("fija",C22)))</formula>
    </cfRule>
    <cfRule type="containsText" dxfId="8" priority="3" operator="containsText" text="domo">
      <formula>NOT(ISERROR(SEARCH("domo",C22)))</formula>
    </cfRule>
  </conditionalFormatting>
  <conditionalFormatting sqref="D22:D23">
    <cfRule type="cellIs" dxfId="7" priority="1" operator="equal">
      <formula>"PTP A FO"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F33"/>
  <sheetViews>
    <sheetView workbookViewId="0">
      <selection activeCell="D4" sqref="D4:F10"/>
    </sheetView>
  </sheetViews>
  <sheetFormatPr baseColWidth="10" defaultColWidth="11.5703125" defaultRowHeight="15" x14ac:dyDescent="0.25"/>
  <cols>
    <col min="1" max="1" width="18.28515625" style="46" bestFit="1" customWidth="1"/>
    <col min="2" max="2" width="81.140625" style="46" bestFit="1" customWidth="1"/>
    <col min="3" max="4" width="11.5703125" style="46"/>
    <col min="5" max="5" width="33.7109375" style="46" bestFit="1" customWidth="1"/>
    <col min="6" max="16384" width="11.5703125" style="46"/>
  </cols>
  <sheetData>
    <row r="1" spans="1:6" x14ac:dyDescent="0.25">
      <c r="A1" s="46" t="s">
        <v>1309</v>
      </c>
    </row>
    <row r="2" spans="1:6" ht="15.75" thickBot="1" x14ac:dyDescent="0.3"/>
    <row r="3" spans="1:6" ht="20.25" thickTop="1" thickBot="1" x14ac:dyDescent="0.3">
      <c r="A3" s="47">
        <v>44682</v>
      </c>
    </row>
    <row r="4" spans="1:6" ht="20.25" thickTop="1" thickBot="1" x14ac:dyDescent="0.3">
      <c r="A4" s="47">
        <v>44683</v>
      </c>
      <c r="D4" s="59"/>
      <c r="E4" s="59"/>
      <c r="F4" s="59"/>
    </row>
    <row r="5" spans="1:6" ht="20.25" thickTop="1" thickBot="1" x14ac:dyDescent="0.3">
      <c r="A5" s="47">
        <v>44684</v>
      </c>
      <c r="D5" s="59"/>
      <c r="E5" s="59"/>
      <c r="F5" s="59"/>
    </row>
    <row r="6" spans="1:6" ht="20.25" thickTop="1" thickBot="1" x14ac:dyDescent="0.3">
      <c r="A6" s="47">
        <v>44685</v>
      </c>
      <c r="D6" s="59"/>
      <c r="E6" s="59"/>
      <c r="F6" s="59"/>
    </row>
    <row r="7" spans="1:6" ht="20.25" thickTop="1" thickBot="1" x14ac:dyDescent="0.3">
      <c r="A7" s="47">
        <v>44686</v>
      </c>
      <c r="D7" s="59"/>
      <c r="E7" s="59"/>
      <c r="F7" s="59"/>
    </row>
    <row r="8" spans="1:6" ht="20.25" thickTop="1" thickBot="1" x14ac:dyDescent="0.3">
      <c r="A8" s="47">
        <v>44687</v>
      </c>
      <c r="D8" s="59"/>
      <c r="E8" s="59"/>
      <c r="F8" s="59"/>
    </row>
    <row r="9" spans="1:6" ht="20.25" thickTop="1" thickBot="1" x14ac:dyDescent="0.3">
      <c r="A9" s="47">
        <v>44688</v>
      </c>
      <c r="D9" s="59"/>
      <c r="E9" s="59"/>
      <c r="F9" s="59"/>
    </row>
    <row r="10" spans="1:6" ht="20.25" thickTop="1" thickBot="1" x14ac:dyDescent="0.3">
      <c r="A10" s="47">
        <v>44689</v>
      </c>
      <c r="D10" s="59"/>
      <c r="E10" s="59"/>
      <c r="F10" s="59"/>
    </row>
    <row r="11" spans="1:6" ht="20.25" thickTop="1" thickBot="1" x14ac:dyDescent="0.3">
      <c r="A11" s="47">
        <v>44690</v>
      </c>
    </row>
    <row r="12" spans="1:6" ht="20.25" thickTop="1" thickBot="1" x14ac:dyDescent="0.3">
      <c r="A12" s="47">
        <v>44691</v>
      </c>
    </row>
    <row r="13" spans="1:6" ht="20.25" thickTop="1" thickBot="1" x14ac:dyDescent="0.3">
      <c r="A13" s="47">
        <v>44692</v>
      </c>
    </row>
    <row r="14" spans="1:6" ht="20.25" thickTop="1" thickBot="1" x14ac:dyDescent="0.3">
      <c r="A14" s="47">
        <v>44693</v>
      </c>
    </row>
    <row r="15" spans="1:6" ht="20.25" thickTop="1" thickBot="1" x14ac:dyDescent="0.3">
      <c r="A15" s="47">
        <v>44694</v>
      </c>
    </row>
    <row r="16" spans="1:6" ht="20.25" thickTop="1" thickBot="1" x14ac:dyDescent="0.3">
      <c r="A16" s="47">
        <v>44695</v>
      </c>
    </row>
    <row r="17" spans="1:2" ht="20.25" thickTop="1" thickBot="1" x14ac:dyDescent="0.3">
      <c r="A17" s="47">
        <v>44696</v>
      </c>
    </row>
    <row r="18" spans="1:2" ht="20.25" thickTop="1" thickBot="1" x14ac:dyDescent="0.3">
      <c r="A18" s="47">
        <v>44697</v>
      </c>
    </row>
    <row r="19" spans="1:2" ht="20.25" thickTop="1" thickBot="1" x14ac:dyDescent="0.3">
      <c r="A19" s="47">
        <v>44698</v>
      </c>
    </row>
    <row r="20" spans="1:2" ht="20.25" thickTop="1" thickBot="1" x14ac:dyDescent="0.3">
      <c r="A20" s="47">
        <v>44699</v>
      </c>
    </row>
    <row r="21" spans="1:2" ht="20.25" thickTop="1" thickBot="1" x14ac:dyDescent="0.3">
      <c r="A21" s="47">
        <v>44700</v>
      </c>
    </row>
    <row r="22" spans="1:2" ht="20.25" thickTop="1" thickBot="1" x14ac:dyDescent="0.3">
      <c r="A22" s="47">
        <v>44701</v>
      </c>
    </row>
    <row r="23" spans="1:2" ht="20.25" thickTop="1" thickBot="1" x14ac:dyDescent="0.3">
      <c r="A23" s="47">
        <v>44702</v>
      </c>
      <c r="B23" s="48"/>
    </row>
    <row r="24" spans="1:2" ht="20.25" thickTop="1" thickBot="1" x14ac:dyDescent="0.3">
      <c r="A24" s="47">
        <v>44703</v>
      </c>
      <c r="B24" s="49"/>
    </row>
    <row r="25" spans="1:2" ht="20.25" thickTop="1" thickBot="1" x14ac:dyDescent="0.3">
      <c r="A25" s="47">
        <v>44704</v>
      </c>
    </row>
    <row r="26" spans="1:2" ht="20.25" thickTop="1" thickBot="1" x14ac:dyDescent="0.3">
      <c r="A26" s="47">
        <v>44705</v>
      </c>
    </row>
    <row r="27" spans="1:2" ht="20.25" thickTop="1" thickBot="1" x14ac:dyDescent="0.3">
      <c r="A27" s="47">
        <v>44706</v>
      </c>
    </row>
    <row r="28" spans="1:2" ht="20.25" thickTop="1" thickBot="1" x14ac:dyDescent="0.3">
      <c r="A28" s="47">
        <v>44707</v>
      </c>
    </row>
    <row r="29" spans="1:2" ht="20.25" thickTop="1" thickBot="1" x14ac:dyDescent="0.3">
      <c r="A29" s="47">
        <v>44708</v>
      </c>
    </row>
    <row r="30" spans="1:2" ht="20.25" thickTop="1" thickBot="1" x14ac:dyDescent="0.3">
      <c r="A30" s="47">
        <v>44709</v>
      </c>
    </row>
    <row r="31" spans="1:2" ht="20.25" thickTop="1" thickBot="1" x14ac:dyDescent="0.3">
      <c r="A31" s="47">
        <v>44710</v>
      </c>
    </row>
    <row r="32" spans="1:2" ht="20.25" thickTop="1" thickBot="1" x14ac:dyDescent="0.3">
      <c r="A32" s="47">
        <v>44711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workbookViewId="0">
      <selection activeCell="AJ375" sqref="AJ375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44682</v>
      </c>
      <c r="G1" s="25">
        <f>'RESUMEN TOTAL'!P4</f>
        <v>44683</v>
      </c>
      <c r="H1" s="25">
        <f>'RESUMEN TOTAL'!Q4</f>
        <v>44684</v>
      </c>
      <c r="I1" s="25">
        <f>'RESUMEN TOTAL'!R4</f>
        <v>44685</v>
      </c>
      <c r="J1" s="25">
        <f>'RESUMEN TOTAL'!S4</f>
        <v>44686</v>
      </c>
      <c r="K1" s="25">
        <f>'RESUMEN TOTAL'!T4</f>
        <v>44687</v>
      </c>
      <c r="L1" s="25">
        <f>'RESUMEN TOTAL'!U4</f>
        <v>44688</v>
      </c>
      <c r="M1" s="25">
        <f>'RESUMEN TOTAL'!V4</f>
        <v>44689</v>
      </c>
      <c r="N1" s="25">
        <f>'RESUMEN TOTAL'!W4</f>
        <v>44690</v>
      </c>
      <c r="O1" s="25">
        <f>'RESUMEN TOTAL'!X4</f>
        <v>44691</v>
      </c>
      <c r="P1" s="25">
        <f>'RESUMEN TOTAL'!Y4</f>
        <v>44692</v>
      </c>
      <c r="Q1" s="25">
        <f>'RESUMEN TOTAL'!Z4</f>
        <v>44693</v>
      </c>
      <c r="R1" s="25">
        <f>'RESUMEN TOTAL'!AA4</f>
        <v>44694</v>
      </c>
      <c r="S1" s="25">
        <f>'RESUMEN TOTAL'!AB4</f>
        <v>44695</v>
      </c>
      <c r="T1" s="25">
        <f>'RESUMEN TOTAL'!AC4</f>
        <v>44696</v>
      </c>
      <c r="U1" s="25">
        <f>'RESUMEN TOTAL'!AD4</f>
        <v>44697</v>
      </c>
      <c r="V1" s="25">
        <f>'RESUMEN TOTAL'!AE4</f>
        <v>44698</v>
      </c>
      <c r="W1" s="25">
        <f>'RESUMEN TOTAL'!AF4</f>
        <v>44699</v>
      </c>
      <c r="X1" s="25">
        <f>'RESUMEN TOTAL'!AG4</f>
        <v>44700</v>
      </c>
      <c r="Y1" s="25">
        <f>'RESUMEN TOTAL'!AH4</f>
        <v>44701</v>
      </c>
      <c r="Z1" s="25">
        <f>'RESUMEN TOTAL'!AI4</f>
        <v>44702</v>
      </c>
      <c r="AA1" s="25">
        <f>'RESUMEN TOTAL'!AJ4</f>
        <v>44703</v>
      </c>
      <c r="AB1" s="25">
        <f>'RESUMEN TOTAL'!AK4</f>
        <v>44704</v>
      </c>
      <c r="AC1" s="25">
        <f>'RESUMEN TOTAL'!AL4</f>
        <v>44705</v>
      </c>
      <c r="AD1" s="25">
        <f>'RESUMEN TOTAL'!AM4</f>
        <v>44706</v>
      </c>
      <c r="AE1" s="25">
        <f>'RESUMEN TOTAL'!AN4</f>
        <v>44707</v>
      </c>
      <c r="AF1" s="25">
        <f>'RESUMEN TOTAL'!AO4</f>
        <v>44708</v>
      </c>
      <c r="AG1" s="25">
        <f>'RESUMEN TOTAL'!AP4</f>
        <v>44709</v>
      </c>
      <c r="AH1" s="25">
        <f>'RESUMEN TOTAL'!AQ4</f>
        <v>44710</v>
      </c>
      <c r="AI1" s="25">
        <f>'RESUMEN TOTAL'!AR4</f>
        <v>44711</v>
      </c>
      <c r="AJ1" s="25">
        <f>'RESUMEN TOTAL'!AS4</f>
        <v>44712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 t="str">
        <f>'RESUMEN TOTAL'!T5</f>
        <v>APAGADO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 t="str">
        <f>'RESUMEN TOTAL'!Z5</f>
        <v>APAGADO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s="59">
        <f>'RESUMEN TOTAL'!AS5</f>
        <v>0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 t="str">
        <f>'RESUMEN TOTAL'!R6</f>
        <v>APAGADO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s="59">
        <f>'RESUMEN TOTAL'!AS6</f>
        <v>0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>
        <f>'RESUMEN TOTAL'!Y7</f>
        <v>0</v>
      </c>
      <c r="Q4">
        <f>'RESUMEN TOTAL'!Z7</f>
        <v>0</v>
      </c>
      <c r="R4" t="str">
        <f>'RESUMEN TOTAL'!AA7</f>
        <v>APAGADO</v>
      </c>
      <c r="S4" t="str">
        <f>'RESUMEN TOTAL'!AB7</f>
        <v>APAGADO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s="59">
        <f>'RESUMEN TOTAL'!AS7</f>
        <v>0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 t="str">
        <f>'RESUMEN TOTAL'!R8</f>
        <v>APAGADO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s="59">
        <f>'RESUMEN TOTAL'!AS8</f>
        <v>0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s="59">
        <f>'RESUMEN TOTAL'!AS9</f>
        <v>0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 t="str">
        <f>'RESUMEN TOTAL'!R10</f>
        <v>APAGADO</v>
      </c>
      <c r="J7" t="str">
        <f>'RESUMEN TOTAL'!S10</f>
        <v>APAGADO</v>
      </c>
      <c r="K7" t="str">
        <f>'RESUMEN TOTAL'!T10</f>
        <v>APAGADO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s="59">
        <f>'RESUMEN TOTAL'!AS10</f>
        <v>0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 t="str">
        <f>'RESUMEN TOTAL'!Q11</f>
        <v>APAGADO</v>
      </c>
      <c r="I8" t="str">
        <f>'RESUMEN TOTAL'!R11</f>
        <v>APAGADO</v>
      </c>
      <c r="J8" t="str">
        <f>'RESUMEN TOTAL'!S11</f>
        <v>APAGADO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 t="str">
        <f>'RESUMEN TOTAL'!AA11</f>
        <v>APAGADO</v>
      </c>
      <c r="S8" t="str">
        <f>'RESUMEN TOTAL'!AB11</f>
        <v>APAGADO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s="59">
        <f>'RESUMEN TOTAL'!AS11</f>
        <v>0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 t="str">
        <f>'RESUMEN TOTAL'!R12</f>
        <v>APAGADO</v>
      </c>
      <c r="J9" t="str">
        <f>'RESUMEN TOTAL'!S12</f>
        <v>APAGADO</v>
      </c>
      <c r="K9">
        <f>'RESUMEN TOTAL'!T12</f>
        <v>0</v>
      </c>
      <c r="L9" t="str">
        <f>'RESUMEN TOTAL'!U12</f>
        <v>APAGADO</v>
      </c>
      <c r="M9" t="str">
        <f>'RESUMEN TOTAL'!V12</f>
        <v>APAGADO</v>
      </c>
      <c r="N9" t="str">
        <f>'RESUMEN TOTAL'!W12</f>
        <v>APAGADO</v>
      </c>
      <c r="O9" t="str">
        <f>'RESUMEN TOTAL'!X12</f>
        <v>APAGADO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s="59">
        <f>'RESUMEN TOTAL'!AS12</f>
        <v>0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s="59">
        <f>'RESUMEN TOTAL'!AS13</f>
        <v>0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s="59">
        <f>'RESUMEN TOTAL'!AS14</f>
        <v>0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s="59">
        <f>'RESUMEN TOTAL'!AS15</f>
        <v>0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 t="str">
        <f>'RESUMEN TOTAL'!R16</f>
        <v>APAGADO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s="59">
        <f>'RESUMEN TOTAL'!AS16</f>
        <v>0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s="59">
        <f>'RESUMEN TOTAL'!AS17</f>
        <v>0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s="59">
        <f>'RESUMEN TOTAL'!AS18</f>
        <v>0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 t="str">
        <f>'RESUMEN TOTAL'!R19</f>
        <v>APAGADO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s="59">
        <f>'RESUMEN TOTAL'!AS19</f>
        <v>0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s="59">
        <f>'RESUMEN TOTAL'!AS20</f>
        <v>0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s="59">
        <f>'RESUMEN TOTAL'!AS21</f>
        <v>0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 t="str">
        <f>'RESUMEN TOTAL'!AB22</f>
        <v>APAGADO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s="59">
        <f>'RESUMEN TOTAL'!AS22</f>
        <v>0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s="59">
        <f>'RESUMEN TOTAL'!AS23</f>
        <v>0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s="59">
        <f>'RESUMEN TOTAL'!AS24</f>
        <v>0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s="59">
        <f>'RESUMEN TOTAL'!AS25</f>
        <v>0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 t="str">
        <f>'RESUMEN TOTAL'!AA26</f>
        <v>APAGADO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s="59">
        <f>'RESUMEN TOTAL'!AS26</f>
        <v>0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s="59">
        <f>'RESUMEN TOTAL'!AS27</f>
        <v>0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 t="str">
        <f>'RESUMEN TOTAL'!O28</f>
        <v>APAGADO</v>
      </c>
      <c r="G25" t="str">
        <f>'RESUMEN TOTAL'!P28</f>
        <v>APAGADO</v>
      </c>
      <c r="H25" t="str">
        <f>'RESUMEN TOTAL'!Q28</f>
        <v>APAGADO</v>
      </c>
      <c r="I25" t="str">
        <f>'RESUMEN TOTAL'!R28</f>
        <v>APAGADO</v>
      </c>
      <c r="J25" t="str">
        <f>'RESUMEN TOTAL'!S28</f>
        <v>APAGADO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s="59">
        <f>'RESUMEN TOTAL'!AS28</f>
        <v>0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 t="str">
        <f>'RESUMEN TOTAL'!R29</f>
        <v>APAGADO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s="59">
        <f>'RESUMEN TOTAL'!AS29</f>
        <v>0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 t="str">
        <f>'RESUMEN TOTAL'!AB30</f>
        <v>APAGADO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s="59">
        <f>'RESUMEN TOTAL'!AS30</f>
        <v>0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s="59">
        <f>'RESUMEN TOTAL'!AS31</f>
        <v>0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 t="str">
        <f>'RESUMEN TOTAL'!O32</f>
        <v>APAGADO</v>
      </c>
      <c r="G29">
        <f>'RESUMEN TOTAL'!P32</f>
        <v>0</v>
      </c>
      <c r="H29">
        <f>'RESUMEN TOTAL'!Q32</f>
        <v>0</v>
      </c>
      <c r="I29" t="str">
        <f>'RESUMEN TOTAL'!R32</f>
        <v>APAGADO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s="59">
        <f>'RESUMEN TOTAL'!AS32</f>
        <v>0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 t="str">
        <f>'RESUMEN TOTAL'!R33</f>
        <v>APAGADO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s="59">
        <f>'RESUMEN TOTAL'!AS33</f>
        <v>0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s="59">
        <f>'RESUMEN TOTAL'!AS34</f>
        <v>0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s="59">
        <f>'RESUMEN TOTAL'!AS35</f>
        <v>0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s="59">
        <f>'RESUMEN TOTAL'!AS36</f>
        <v>0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s="59">
        <f>'RESUMEN TOTAL'!AS37</f>
        <v>0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s="59">
        <f>'RESUMEN TOTAL'!AS38</f>
        <v>0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s="59">
        <f>'RESUMEN TOTAL'!AS39</f>
        <v>0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 t="str">
        <f>'RESUMEN TOTAL'!R40</f>
        <v>APAGADO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s="59">
        <f>'RESUMEN TOTAL'!AS40</f>
        <v>0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s="59">
        <f>'RESUMEN TOTAL'!AS41</f>
        <v>0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 t="str">
        <f>'RESUMEN TOTAL'!Y42</f>
        <v>APAGADO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s="59">
        <f>'RESUMEN TOTAL'!AS42</f>
        <v>0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s="59">
        <f>'RESUMEN TOTAL'!AS43</f>
        <v>0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s="59">
        <f>'RESUMEN TOTAL'!AS44</f>
        <v>0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 t="str">
        <f>'RESUMEN TOTAL'!R45</f>
        <v>APAGADO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s="59">
        <f>'RESUMEN TOTAL'!AS45</f>
        <v>0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 t="str">
        <f>'RESUMEN TOTAL'!Y46</f>
        <v>APAGADO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s="59">
        <f>'RESUMEN TOTAL'!AS46</f>
        <v>0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s="59">
        <f>'RESUMEN TOTAL'!AS47</f>
        <v>0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 t="str">
        <f>'RESUMEN TOTAL'!R48</f>
        <v>APAGADO</v>
      </c>
      <c r="J45">
        <f>'RESUMEN TOTAL'!S48</f>
        <v>0</v>
      </c>
      <c r="K45">
        <f>'RESUMEN TOTAL'!T48</f>
        <v>0</v>
      </c>
      <c r="L45" t="str">
        <f>'RESUMEN TOTAL'!U48</f>
        <v>APAGADO</v>
      </c>
      <c r="M45" t="str">
        <f>'RESUMEN TOTAL'!V48</f>
        <v>APAGADO</v>
      </c>
      <c r="N45" t="str">
        <f>'RESUMEN TOTAL'!W48</f>
        <v>APAGADO</v>
      </c>
      <c r="O45" t="str">
        <f>'RESUMEN TOTAL'!X48</f>
        <v>APAGADO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s="59">
        <f>'RESUMEN TOTAL'!AS48</f>
        <v>0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s="59">
        <f>'RESUMEN TOTAL'!AS49</f>
        <v>0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s="59">
        <f>'RESUMEN TOTAL'!AS50</f>
        <v>0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s="59">
        <f>'RESUMEN TOTAL'!AS51</f>
        <v>0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s="59">
        <f>'RESUMEN TOTAL'!AS52</f>
        <v>0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s="59">
        <f>'RESUMEN TOTAL'!AS53</f>
        <v>0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 t="str">
        <f>'RESUMEN TOTAL'!R54</f>
        <v>APAGADO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s="59">
        <f>'RESUMEN TOTAL'!AS54</f>
        <v>0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 t="str">
        <f>'RESUMEN TOTAL'!R55</f>
        <v>APAGADO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s="59">
        <f>'RESUMEN TOTAL'!AS55</f>
        <v>0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 t="str">
        <f>'RESUMEN TOTAL'!R56</f>
        <v>APAGADO</v>
      </c>
      <c r="J53">
        <f>'RESUMEN TOTAL'!S56</f>
        <v>0</v>
      </c>
      <c r="K53">
        <f>'RESUMEN TOTAL'!T56</f>
        <v>0</v>
      </c>
      <c r="L53" t="str">
        <f>'RESUMEN TOTAL'!U56</f>
        <v>APAGADO</v>
      </c>
      <c r="M53" t="str">
        <f>'RESUMEN TOTAL'!V56</f>
        <v>APAGADO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 t="str">
        <f>'RESUMEN TOTAL'!AB56</f>
        <v>APAGADO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s="59">
        <f>'RESUMEN TOTAL'!AS56</f>
        <v>0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s="59">
        <f>'RESUMEN TOTAL'!AS57</f>
        <v>0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 t="str">
        <f>'RESUMEN TOTAL'!O58</f>
        <v>APAGADO</v>
      </c>
      <c r="G55" t="str">
        <f>'RESUMEN TOTAL'!P58</f>
        <v>APAGADO</v>
      </c>
      <c r="H55">
        <f>'RESUMEN TOTAL'!Q58</f>
        <v>0</v>
      </c>
      <c r="I55" t="str">
        <f>'RESUMEN TOTAL'!R58</f>
        <v>APAGADO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s="59">
        <f>'RESUMEN TOTAL'!AS58</f>
        <v>0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s="59">
        <f>'RESUMEN TOTAL'!AS59</f>
        <v>0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 t="str">
        <f>'RESUMEN TOTAL'!R60</f>
        <v>APAGADO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s="59">
        <f>'RESUMEN TOTAL'!AS60</f>
        <v>0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s="59">
        <f>'RESUMEN TOTAL'!AS61</f>
        <v>0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s="59">
        <f>'RESUMEN TOTAL'!AS62</f>
        <v>0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s="59">
        <f>'RESUMEN TOTAL'!AS63</f>
        <v>0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s="59">
        <f>'RESUMEN TOTAL'!AS64</f>
        <v>0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s="59">
        <f>'RESUMEN TOTAL'!AS65</f>
        <v>0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 t="str">
        <f>'RESUMEN TOTAL'!O66</f>
        <v>APAGADO</v>
      </c>
      <c r="G63" t="str">
        <f>'RESUMEN TOTAL'!P66</f>
        <v>APAGADO</v>
      </c>
      <c r="H63" t="str">
        <f>'RESUMEN TOTAL'!Q66</f>
        <v>APAGADO</v>
      </c>
      <c r="I63" t="str">
        <f>'RESUMEN TOTAL'!R66</f>
        <v>APAGADO</v>
      </c>
      <c r="J63" t="str">
        <f>'RESUMEN TOTAL'!S66</f>
        <v>APAGADO</v>
      </c>
      <c r="K63" t="str">
        <f>'RESUMEN TOTAL'!T66</f>
        <v>APAGADO</v>
      </c>
      <c r="L63" t="str">
        <f>'RESUMEN TOTAL'!U66</f>
        <v>APAGADO</v>
      </c>
      <c r="M63" t="str">
        <f>'RESUMEN TOTAL'!V66</f>
        <v>APAGADO</v>
      </c>
      <c r="N63" t="str">
        <f>'RESUMEN TOTAL'!W66</f>
        <v>APAGADO</v>
      </c>
      <c r="O63" t="str">
        <f>'RESUMEN TOTAL'!X66</f>
        <v>APAGADO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s="59">
        <f>'RESUMEN TOTAL'!AS66</f>
        <v>0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s="59">
        <f>'RESUMEN TOTAL'!AS67</f>
        <v>0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s="59">
        <f>'RESUMEN TOTAL'!AS68</f>
        <v>0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s="59">
        <f>'RESUMEN TOTAL'!AS69</f>
        <v>0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s="59">
        <f>'RESUMEN TOTAL'!AS70</f>
        <v>0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s="59">
        <f>'RESUMEN TOTAL'!AS71</f>
        <v>0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 t="str">
        <f>'RESUMEN TOTAL'!R72</f>
        <v>APAGADO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s="59">
        <f>'RESUMEN TOTAL'!AS72</f>
        <v>0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s="59">
        <f>'RESUMEN TOTAL'!AS73</f>
        <v>0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 t="str">
        <f>'RESUMEN TOTAL'!Y74</f>
        <v>APAGADO</v>
      </c>
      <c r="Q71" t="str">
        <f>'RESUMEN TOTAL'!Z74</f>
        <v>APAGADO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s="59">
        <f>'RESUMEN TOTAL'!AS74</f>
        <v>0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 t="str">
        <f>'RESUMEN TOTAL'!R75</f>
        <v>APAGADO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s="59">
        <f>'RESUMEN TOTAL'!AS75</f>
        <v>0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 t="str">
        <f>'RESUMEN TOTAL'!R76</f>
        <v>APAGADO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s="59">
        <f>'RESUMEN TOTAL'!AS76</f>
        <v>0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 t="str">
        <f>'RESUMEN TOTAL'!R77</f>
        <v>APAGADO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s="59">
        <f>'RESUMEN TOTAL'!AS77</f>
        <v>0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s="59">
        <f>'RESUMEN TOTAL'!AS78</f>
        <v>0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s="59">
        <f>'RESUMEN TOTAL'!AS79</f>
        <v>0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>
        <f>'RESUMEN TOTAL'!Y80</f>
        <v>0</v>
      </c>
      <c r="Q77">
        <f>'RESUMEN TOTAL'!Z80</f>
        <v>0</v>
      </c>
      <c r="R77" t="str">
        <f>'RESUMEN TOTAL'!AA80</f>
        <v>APAGADO</v>
      </c>
      <c r="S77" t="str">
        <f>'RESUMEN TOTAL'!AB80</f>
        <v>APAGADO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s="59">
        <f>'RESUMEN TOTAL'!AS80</f>
        <v>0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 t="str">
        <f>'RESUMEN TOTAL'!O81</f>
        <v>APAGADO</v>
      </c>
      <c r="G78" t="str">
        <f>'RESUMEN TOTAL'!P81</f>
        <v>APAGADO</v>
      </c>
      <c r="H78" t="str">
        <f>'RESUMEN TOTAL'!Q81</f>
        <v>APAGADO</v>
      </c>
      <c r="I78" t="str">
        <f>'RESUMEN TOTAL'!R81</f>
        <v>APAGADO</v>
      </c>
      <c r="J78" t="str">
        <f>'RESUMEN TOTAL'!S81</f>
        <v>APAGADO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s="59">
        <f>'RESUMEN TOTAL'!AS81</f>
        <v>0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 t="str">
        <f>'RESUMEN TOTAL'!O82</f>
        <v>APAGADO</v>
      </c>
      <c r="G79" t="str">
        <f>'RESUMEN TOTAL'!P82</f>
        <v>APAGADO</v>
      </c>
      <c r="H79" t="str">
        <f>'RESUMEN TOTAL'!Q82</f>
        <v>APAGADO</v>
      </c>
      <c r="I79" t="str">
        <f>'RESUMEN TOTAL'!R82</f>
        <v>APAGADO</v>
      </c>
      <c r="J79" t="str">
        <f>'RESUMEN TOTAL'!S82</f>
        <v>APAGADO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s="59">
        <f>'RESUMEN TOTAL'!AS82</f>
        <v>0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 t="str">
        <f>'RESUMEN TOTAL'!R83</f>
        <v>APAGADO</v>
      </c>
      <c r="J80">
        <f>'RESUMEN TOTAL'!S83</f>
        <v>0</v>
      </c>
      <c r="K80" t="str">
        <f>'RESUMEN TOTAL'!T83</f>
        <v>APAGADO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s="59">
        <f>'RESUMEN TOTAL'!AS83</f>
        <v>0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s="59">
        <f>'RESUMEN TOTAL'!AS84</f>
        <v>0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s="59">
        <f>'RESUMEN TOTAL'!AS85</f>
        <v>0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s="59">
        <f>'RESUMEN TOTAL'!AS86</f>
        <v>0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s="59">
        <f>'RESUMEN TOTAL'!AS87</f>
        <v>0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s="59">
        <f>'RESUMEN TOTAL'!AS88</f>
        <v>0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s="59">
        <f>'RESUMEN TOTAL'!AS89</f>
        <v>0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s="59">
        <f>'RESUMEN TOTAL'!AS90</f>
        <v>0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s="59">
        <f>'RESUMEN TOTAL'!AS91</f>
        <v>0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s="59">
        <f>'RESUMEN TOTAL'!AS92</f>
        <v>0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s="59">
        <f>'RESUMEN TOTAL'!AS93</f>
        <v>0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 t="str">
        <f>'RESUMEN TOTAL'!AB94</f>
        <v>APAGADO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s="59">
        <f>'RESUMEN TOTAL'!AS94</f>
        <v>0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s="59">
        <f>'RESUMEN TOTAL'!AS95</f>
        <v>0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s="59">
        <f>'RESUMEN TOTAL'!AS96</f>
        <v>0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s="59">
        <f>'RESUMEN TOTAL'!AS97</f>
        <v>0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s="59">
        <f>'RESUMEN TOTAL'!AS98</f>
        <v>0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 t="str">
        <f>'RESUMEN TOTAL'!AB99</f>
        <v>APAGADO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s="59">
        <f>'RESUMEN TOTAL'!AS99</f>
        <v>0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 t="str">
        <f>'RESUMEN TOTAL'!R100</f>
        <v>APAGADO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s="59">
        <f>'RESUMEN TOTAL'!AS100</f>
        <v>0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 t="str">
        <f>'RESUMEN TOTAL'!Y101</f>
        <v>APAGADO</v>
      </c>
      <c r="Q98" t="str">
        <f>'RESUMEN TOTAL'!Z101</f>
        <v>APAGADO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s="59">
        <f>'RESUMEN TOTAL'!AS101</f>
        <v>0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s="59">
        <f>'RESUMEN TOTAL'!AS102</f>
        <v>0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 t="str">
        <f>'RESUMEN TOTAL'!R103</f>
        <v>APAGADO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 t="str">
        <f>'RESUMEN TOTAL'!Z103</f>
        <v>APAGADO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s="59">
        <f>'RESUMEN TOTAL'!AS103</f>
        <v>0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 t="str">
        <f>'RESUMEN TOTAL'!R104</f>
        <v>APAGADO</v>
      </c>
      <c r="J101" t="str">
        <f>'RESUMEN TOTAL'!S104</f>
        <v>APAGADO</v>
      </c>
      <c r="K101" t="str">
        <f>'RESUMEN TOTAL'!T104</f>
        <v>APAGADO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s="59">
        <f>'RESUMEN TOTAL'!AS104</f>
        <v>0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 t="str">
        <f>'RESUMEN TOTAL'!R105</f>
        <v>APAGADO</v>
      </c>
      <c r="J102" t="str">
        <f>'RESUMEN TOTAL'!S105</f>
        <v>APAGADO</v>
      </c>
      <c r="K102" t="str">
        <f>'RESUMEN TOTAL'!T105</f>
        <v>APAGADO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s="59">
        <f>'RESUMEN TOTAL'!AS105</f>
        <v>0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 t="str">
        <f>'RESUMEN TOTAL'!R106</f>
        <v>APAGADO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s="59">
        <f>'RESUMEN TOTAL'!AS106</f>
        <v>0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 t="str">
        <f>'RESUMEN TOTAL'!R107</f>
        <v>APAGADO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s="59">
        <f>'RESUMEN TOTAL'!AS107</f>
        <v>0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 t="str">
        <f>'RESUMEN TOTAL'!R108</f>
        <v>APAGADO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s="59">
        <f>'RESUMEN TOTAL'!AS108</f>
        <v>0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 t="str">
        <f>'RESUMEN TOTAL'!R109</f>
        <v>APAGADO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s="59">
        <f>'RESUMEN TOTAL'!AS109</f>
        <v>0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 t="str">
        <f>'RESUMEN TOTAL'!R110</f>
        <v>APAGADO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s="59">
        <f>'RESUMEN TOTAL'!AS110</f>
        <v>0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s="59">
        <f>'RESUMEN TOTAL'!AS111</f>
        <v>0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 t="str">
        <f>'RESUMEN TOTAL'!R112</f>
        <v>APAGADO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s="59">
        <f>'RESUMEN TOTAL'!AS112</f>
        <v>0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 t="str">
        <f>'RESUMEN TOTAL'!R113</f>
        <v>APAGADO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s="59">
        <f>'RESUMEN TOTAL'!AS113</f>
        <v>0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 t="str">
        <f>'RESUMEN TOTAL'!R114</f>
        <v>APAGADO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s="59">
        <f>'RESUMEN TOTAL'!AS114</f>
        <v>0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 t="str">
        <f>'RESUMEN TOTAL'!AA115</f>
        <v>APAGADO</v>
      </c>
      <c r="S112" t="str">
        <f>'RESUMEN TOTAL'!AB115</f>
        <v>APAGADO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s="59">
        <f>'RESUMEN TOTAL'!AS115</f>
        <v>0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 t="str">
        <f>'RESUMEN TOTAL'!AA116</f>
        <v>APAGADO</v>
      </c>
      <c r="S113" t="str">
        <f>'RESUMEN TOTAL'!AB116</f>
        <v>APAGADO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s="59">
        <f>'RESUMEN TOTAL'!AS116</f>
        <v>0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 t="str">
        <f>'RESUMEN TOTAL'!Y117</f>
        <v>APAGADO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s="59">
        <f>'RESUMEN TOTAL'!AS117</f>
        <v>0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 t="str">
        <f>'RESUMEN TOTAL'!O118</f>
        <v>APAGADO</v>
      </c>
      <c r="G115" t="str">
        <f>'RESUMEN TOTAL'!P118</f>
        <v>APAGADO</v>
      </c>
      <c r="H115" t="str">
        <f>'RESUMEN TOTAL'!Q118</f>
        <v>APAGADO</v>
      </c>
      <c r="I115" t="str">
        <f>'RESUMEN TOTAL'!R118</f>
        <v>APAGADO</v>
      </c>
      <c r="J115" t="str">
        <f>'RESUMEN TOTAL'!S118</f>
        <v>APAGADO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s="59">
        <f>'RESUMEN TOTAL'!AS118</f>
        <v>0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 t="str">
        <f>'RESUMEN TOTAL'!O119</f>
        <v>APAGADO</v>
      </c>
      <c r="G116" t="str">
        <f>'RESUMEN TOTAL'!P119</f>
        <v>APAGADO</v>
      </c>
      <c r="H116" t="str">
        <f>'RESUMEN TOTAL'!Q119</f>
        <v>APAGADO</v>
      </c>
      <c r="I116" t="str">
        <f>'RESUMEN TOTAL'!R119</f>
        <v>APAGADO</v>
      </c>
      <c r="J116" t="str">
        <f>'RESUMEN TOTAL'!S119</f>
        <v>APAGADO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s="59">
        <f>'RESUMEN TOTAL'!AS119</f>
        <v>0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 t="str">
        <f>'RESUMEN TOTAL'!R120</f>
        <v>APAGADO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 t="str">
        <f>'RESUMEN TOTAL'!Y120</f>
        <v>APAGADO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s="59">
        <f>'RESUMEN TOTAL'!AS120</f>
        <v>0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 t="str">
        <f>'RESUMEN TOTAL'!R121</f>
        <v>APAGADO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s="59">
        <f>'RESUMEN TOTAL'!AS121</f>
        <v>0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 t="str">
        <f>'RESUMEN TOTAL'!R122</f>
        <v>APAGADO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s="59">
        <f>'RESUMEN TOTAL'!AS122</f>
        <v>0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 t="str">
        <f>'RESUMEN TOTAL'!R123</f>
        <v>APAGADO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s="59">
        <f>'RESUMEN TOTAL'!AS123</f>
        <v>0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s="59">
        <f>'RESUMEN TOTAL'!AS124</f>
        <v>0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s="59">
        <f>'RESUMEN TOTAL'!AS125</f>
        <v>0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 t="str">
        <f>'RESUMEN TOTAL'!R126</f>
        <v>APAGADO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s="59">
        <f>'RESUMEN TOTAL'!AS126</f>
        <v>0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 t="str">
        <f>'RESUMEN TOTAL'!R127</f>
        <v>APAGADO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s="59">
        <f>'RESUMEN TOTAL'!AS127</f>
        <v>0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 t="str">
        <f>'RESUMEN TOTAL'!O128</f>
        <v>APAGADO</v>
      </c>
      <c r="G125">
        <f>'RESUMEN TOTAL'!P128</f>
        <v>0</v>
      </c>
      <c r="H125">
        <f>'RESUMEN TOTAL'!Q128</f>
        <v>0</v>
      </c>
      <c r="I125" t="str">
        <f>'RESUMEN TOTAL'!R128</f>
        <v>APAGADO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s="59">
        <f>'RESUMEN TOTAL'!AS128</f>
        <v>0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 t="str">
        <f>'RESUMEN TOTAL'!R129</f>
        <v>APAGADO</v>
      </c>
      <c r="J126" t="str">
        <f>'RESUMEN TOTAL'!S129</f>
        <v>APAGADO</v>
      </c>
      <c r="K126" t="str">
        <f>'RESUMEN TOTAL'!T129</f>
        <v>APAGADO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s="59">
        <f>'RESUMEN TOTAL'!AS129</f>
        <v>0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 t="str">
        <f>'RESUMEN TOTAL'!R130</f>
        <v>APAGADO</v>
      </c>
      <c r="J127" t="str">
        <f>'RESUMEN TOTAL'!S130</f>
        <v>APAGADO</v>
      </c>
      <c r="K127" t="str">
        <f>'RESUMEN TOTAL'!T130</f>
        <v>APAGADO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s="59">
        <f>'RESUMEN TOTAL'!AS130</f>
        <v>0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s="59">
        <f>'RESUMEN TOTAL'!AS131</f>
        <v>0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s="59">
        <f>'RESUMEN TOTAL'!AS132</f>
        <v>0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>
        <f>'RESUMEN TOTAL'!Y133</f>
        <v>0</v>
      </c>
      <c r="Q130">
        <f>'RESUMEN TOTAL'!Z133</f>
        <v>0</v>
      </c>
      <c r="R130" t="str">
        <f>'RESUMEN TOTAL'!AA133</f>
        <v>APAGADO</v>
      </c>
      <c r="S130" t="str">
        <f>'RESUMEN TOTAL'!AB133</f>
        <v>APAGADO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s="59">
        <f>'RESUMEN TOTAL'!AS133</f>
        <v>0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 t="str">
        <f>'RESUMEN TOTAL'!R134</f>
        <v>APAGADO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 t="str">
        <f>'RESUMEN TOTAL'!Y134</f>
        <v>APAGADO</v>
      </c>
      <c r="Q131" t="str">
        <f>'RESUMEN TOTAL'!Z134</f>
        <v>APAGADO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s="59">
        <f>'RESUMEN TOTAL'!AS134</f>
        <v>0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 t="str">
        <f>'RESUMEN TOTAL'!W135</f>
        <v>APAGADO</v>
      </c>
      <c r="O132" t="str">
        <f>'RESUMEN TOTAL'!X135</f>
        <v>APAGADO</v>
      </c>
      <c r="P132">
        <f>'RESUMEN TOTAL'!Y135</f>
        <v>0</v>
      </c>
      <c r="Q132">
        <f>'RESUMEN TOTAL'!Z135</f>
        <v>0</v>
      </c>
      <c r="R132" t="str">
        <f>'RESUMEN TOTAL'!AA135</f>
        <v>APAGADO</v>
      </c>
      <c r="S132" t="str">
        <f>'RESUMEN TOTAL'!AB135</f>
        <v>APAGADO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s="59">
        <f>'RESUMEN TOTAL'!AS135</f>
        <v>0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 t="str">
        <f>'RESUMEN TOTAL'!Y136</f>
        <v>APAGADO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s="59">
        <f>'RESUMEN TOTAL'!AS136</f>
        <v>0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s="59">
        <f>'RESUMEN TOTAL'!AS137</f>
        <v>0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 t="str">
        <f>'RESUMEN TOTAL'!R138</f>
        <v>APAGADO</v>
      </c>
      <c r="J135" t="str">
        <f>'RESUMEN TOTAL'!S138</f>
        <v>APAGADO</v>
      </c>
      <c r="K135" t="str">
        <f>'RESUMEN TOTAL'!T138</f>
        <v>APAGADO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s="59">
        <f>'RESUMEN TOTAL'!AS138</f>
        <v>0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 t="str">
        <f>'RESUMEN TOTAL'!R139</f>
        <v>APAGADO</v>
      </c>
      <c r="J136" t="str">
        <f>'RESUMEN TOTAL'!S139</f>
        <v>APAGADO</v>
      </c>
      <c r="K136" t="str">
        <f>'RESUMEN TOTAL'!T139</f>
        <v>APAGADO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s="59">
        <f>'RESUMEN TOTAL'!AS139</f>
        <v>0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 t="str">
        <f>'RESUMEN TOTAL'!R140</f>
        <v>APAGADO</v>
      </c>
      <c r="J137" t="str">
        <f>'RESUMEN TOTAL'!S140</f>
        <v>APAGADO</v>
      </c>
      <c r="K137" t="str">
        <f>'RESUMEN TOTAL'!T140</f>
        <v>APAGADO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s="59">
        <f>'RESUMEN TOTAL'!AS140</f>
        <v>0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 t="str">
        <f>'RESUMEN TOTAL'!R141</f>
        <v>APAGADO</v>
      </c>
      <c r="J138" t="str">
        <f>'RESUMEN TOTAL'!S141</f>
        <v>APAGADO</v>
      </c>
      <c r="K138" t="str">
        <f>'RESUMEN TOTAL'!T141</f>
        <v>APAGADO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s="59">
        <f>'RESUMEN TOTAL'!AS141</f>
        <v>0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 t="str">
        <f>'RESUMEN TOTAL'!Z142</f>
        <v>APAGADO</v>
      </c>
      <c r="R139">
        <f>'RESUMEN TOTAL'!AA142</f>
        <v>0</v>
      </c>
      <c r="S139" t="str">
        <f>'RESUMEN TOTAL'!AB142</f>
        <v>APAGADO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s="59">
        <f>'RESUMEN TOTAL'!AS142</f>
        <v>0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s="59">
        <f>'RESUMEN TOTAL'!AS143</f>
        <v>0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 t="str">
        <f>'RESUMEN TOTAL'!S144</f>
        <v>APAGADO</v>
      </c>
      <c r="K141">
        <f>'RESUMEN TOTAL'!T144</f>
        <v>0</v>
      </c>
      <c r="L141" t="str">
        <f>'RESUMEN TOTAL'!U144</f>
        <v>APAGADO</v>
      </c>
      <c r="M141" t="str">
        <f>'RESUMEN TOTAL'!V144</f>
        <v>APAGADO</v>
      </c>
      <c r="N141" t="str">
        <f>'RESUMEN TOTAL'!W144</f>
        <v>APAGADO</v>
      </c>
      <c r="O141" t="str">
        <f>'RESUMEN TOTAL'!X144</f>
        <v>APAGADO</v>
      </c>
      <c r="P141" t="str">
        <f>'RESUMEN TOTAL'!Y144</f>
        <v>APAGADO</v>
      </c>
      <c r="Q141">
        <f>'RESUMEN TOTAL'!Z144</f>
        <v>0</v>
      </c>
      <c r="R141">
        <f>'RESUMEN TOTAL'!AA144</f>
        <v>0</v>
      </c>
      <c r="S141" t="str">
        <f>'RESUMEN TOTAL'!AB144</f>
        <v>APAGADO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s="59">
        <f>'RESUMEN TOTAL'!AS144</f>
        <v>0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 t="str">
        <f>'RESUMEN TOTAL'!Y145</f>
        <v>APAGADO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s="59">
        <f>'RESUMEN TOTAL'!AS145</f>
        <v>0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s="59">
        <f>'RESUMEN TOTAL'!AS146</f>
        <v>0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s="59">
        <f>'RESUMEN TOTAL'!AS147</f>
        <v>0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s="59">
        <f>'RESUMEN TOTAL'!AS148</f>
        <v>0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s="59">
        <f>'RESUMEN TOTAL'!AS149</f>
        <v>0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s="59">
        <f>'RESUMEN TOTAL'!AS150</f>
        <v>0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s="59">
        <f>'RESUMEN TOTAL'!AS151</f>
        <v>0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 t="str">
        <f>'RESUMEN TOTAL'!R152</f>
        <v>APAGADO</v>
      </c>
      <c r="J149">
        <f>'RESUMEN TOTAL'!S152</f>
        <v>0</v>
      </c>
      <c r="K149">
        <f>'RESUMEN TOTAL'!T152</f>
        <v>0</v>
      </c>
      <c r="L149" t="str">
        <f>'RESUMEN TOTAL'!U152</f>
        <v>APAGADO</v>
      </c>
      <c r="M149" t="str">
        <f>'RESUMEN TOTAL'!V152</f>
        <v>APAGADO</v>
      </c>
      <c r="N149" t="str">
        <f>'RESUMEN TOTAL'!W152</f>
        <v>APAGADO</v>
      </c>
      <c r="O149" t="str">
        <f>'RESUMEN TOTAL'!X152</f>
        <v>APAGADO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s="59">
        <f>'RESUMEN TOTAL'!AS152</f>
        <v>0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 t="str">
        <f>'RESUMEN TOTAL'!Y153</f>
        <v>APAGADO</v>
      </c>
      <c r="Q150" t="str">
        <f>'RESUMEN TOTAL'!Z153</f>
        <v>APAGADO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s="59">
        <f>'RESUMEN TOTAL'!AS153</f>
        <v>0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s="59">
        <f>'RESUMEN TOTAL'!AS154</f>
        <v>0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 t="str">
        <f>'RESUMEN TOTAL'!U155</f>
        <v>APAGADO</v>
      </c>
      <c r="M152" t="str">
        <f>'RESUMEN TOTAL'!V155</f>
        <v>APAGADO</v>
      </c>
      <c r="N152" t="str">
        <f>'RESUMEN TOTAL'!W155</f>
        <v>APAGADO</v>
      </c>
      <c r="O152" t="str">
        <f>'RESUMEN TOTAL'!X155</f>
        <v>APAGADO</v>
      </c>
      <c r="P152" t="str">
        <f>'RESUMEN TOTAL'!Y155</f>
        <v>APAGADO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s="59">
        <f>'RESUMEN TOTAL'!AS155</f>
        <v>0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s="59">
        <f>'RESUMEN TOTAL'!AS156</f>
        <v>0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 t="str">
        <f>'RESUMEN TOTAL'!R157</f>
        <v>APAGADO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s="59">
        <f>'RESUMEN TOTAL'!AS157</f>
        <v>0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s="59">
        <f>'RESUMEN TOTAL'!AS158</f>
        <v>0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s="59">
        <f>'RESUMEN TOTAL'!AS159</f>
        <v>0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s="59">
        <f>'RESUMEN TOTAL'!AS160</f>
        <v>0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 t="str">
        <f>'RESUMEN TOTAL'!Y161</f>
        <v>APAGADO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s="59">
        <f>'RESUMEN TOTAL'!AS161</f>
        <v>0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s="59">
        <f>'RESUMEN TOTAL'!AS162</f>
        <v>0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s="59">
        <f>'RESUMEN TOTAL'!AS163</f>
        <v>0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s="59">
        <f>'RESUMEN TOTAL'!AS164</f>
        <v>0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s="59">
        <f>'RESUMEN TOTAL'!AS165</f>
        <v>0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 t="str">
        <f>'RESUMEN TOTAL'!AA166</f>
        <v>APAGADO</v>
      </c>
      <c r="S163" t="str">
        <f>'RESUMEN TOTAL'!AB166</f>
        <v>APAGADO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s="59">
        <f>'RESUMEN TOTAL'!AS166</f>
        <v>0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s="59">
        <f>'RESUMEN TOTAL'!AS167</f>
        <v>0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 t="str">
        <f>'RESUMEN TOTAL'!R168</f>
        <v>APAGADO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s="59">
        <f>'RESUMEN TOTAL'!AS168</f>
        <v>0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s="59">
        <f>'RESUMEN TOTAL'!AS169</f>
        <v>0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 t="str">
        <f>'RESUMEN TOTAL'!R170</f>
        <v>APAGADO</v>
      </c>
      <c r="J167">
        <f>'RESUMEN TOTAL'!S170</f>
        <v>0</v>
      </c>
      <c r="K167">
        <f>'RESUMEN TOTAL'!T170</f>
        <v>0</v>
      </c>
      <c r="L167" t="str">
        <f>'RESUMEN TOTAL'!U170</f>
        <v>APAGADO</v>
      </c>
      <c r="M167" t="str">
        <f>'RESUMEN TOTAL'!V170</f>
        <v>APAGADO</v>
      </c>
      <c r="N167" t="str">
        <f>'RESUMEN TOTAL'!W170</f>
        <v>APAGADO</v>
      </c>
      <c r="O167" t="str">
        <f>'RESUMEN TOTAL'!X170</f>
        <v>APAGADO</v>
      </c>
      <c r="P167">
        <f>'RESUMEN TOTAL'!Y170</f>
        <v>0</v>
      </c>
      <c r="Q167">
        <f>'RESUMEN TOTAL'!Z170</f>
        <v>0</v>
      </c>
      <c r="R167" t="str">
        <f>'RESUMEN TOTAL'!AA170</f>
        <v>APAGADO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s="59">
        <f>'RESUMEN TOTAL'!AS170</f>
        <v>0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s="59">
        <f>'RESUMEN TOTAL'!AS171</f>
        <v>0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 t="str">
        <f>'RESUMEN TOTAL'!U172</f>
        <v>APAGADO</v>
      </c>
      <c r="M169" t="str">
        <f>'RESUMEN TOTAL'!V172</f>
        <v>APAGADO</v>
      </c>
      <c r="N169" t="str">
        <f>'RESUMEN TOTAL'!W172</f>
        <v>APAGADO</v>
      </c>
      <c r="O169" t="str">
        <f>'RESUMEN TOTAL'!X172</f>
        <v>APAGADO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s="59">
        <f>'RESUMEN TOTAL'!AS172</f>
        <v>0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s="59">
        <f>'RESUMEN TOTAL'!AS173</f>
        <v>0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s="59">
        <f>'RESUMEN TOTAL'!AS174</f>
        <v>0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s="59">
        <f>'RESUMEN TOTAL'!AS175</f>
        <v>0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s="59">
        <f>'RESUMEN TOTAL'!AS176</f>
        <v>0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 t="str">
        <f>'RESUMEN TOTAL'!AB177</f>
        <v>APAGADO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s="59">
        <f>'RESUMEN TOTAL'!AS177</f>
        <v>0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 t="str">
        <f>'RESUMEN TOTAL'!AA178</f>
        <v>APAGADO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s="59">
        <f>'RESUMEN TOTAL'!AS178</f>
        <v>0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s="59">
        <f>'RESUMEN TOTAL'!AS179</f>
        <v>0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 t="str">
        <f>'RESUMEN TOTAL'!U180</f>
        <v>APAGADO</v>
      </c>
      <c r="M177" t="str">
        <f>'RESUMEN TOTAL'!V180</f>
        <v>APAGADO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s="59">
        <f>'RESUMEN TOTAL'!AS180</f>
        <v>0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 t="str">
        <f>'RESUMEN TOTAL'!U181</f>
        <v>APAGADO</v>
      </c>
      <c r="M178" t="str">
        <f>'RESUMEN TOTAL'!V181</f>
        <v>APAGADO</v>
      </c>
      <c r="N178" t="str">
        <f>'RESUMEN TOTAL'!W181</f>
        <v>APAGADO</v>
      </c>
      <c r="O178" t="str">
        <f>'RESUMEN TOTAL'!X181</f>
        <v>APAGADO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s="59">
        <f>'RESUMEN TOTAL'!AS181</f>
        <v>0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s="59">
        <f>'RESUMEN TOTAL'!AS182</f>
        <v>0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s="59">
        <f>'RESUMEN TOTAL'!AS183</f>
        <v>0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s="59">
        <f>'RESUMEN TOTAL'!AS184</f>
        <v>0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 t="str">
        <f>'RESUMEN TOTAL'!Y185</f>
        <v>APAGADO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s="59">
        <f>'RESUMEN TOTAL'!AS185</f>
        <v>0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 t="str">
        <f>'RESUMEN TOTAL'!R186</f>
        <v>APAGADO</v>
      </c>
      <c r="J183" t="str">
        <f>'RESUMEN TOTAL'!S186</f>
        <v>APAGADO</v>
      </c>
      <c r="K183" t="str">
        <f>'RESUMEN TOTAL'!T186</f>
        <v>APAGADO</v>
      </c>
      <c r="L183" t="str">
        <f>'RESUMEN TOTAL'!U186</f>
        <v>APAGADO</v>
      </c>
      <c r="M183" t="str">
        <f>'RESUMEN TOTAL'!V186</f>
        <v>APAGADO</v>
      </c>
      <c r="N183" t="str">
        <f>'RESUMEN TOTAL'!W186</f>
        <v>APAGADO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s="59">
        <f>'RESUMEN TOTAL'!AS186</f>
        <v>0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s="59">
        <f>'RESUMEN TOTAL'!AS187</f>
        <v>0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s="59">
        <f>'RESUMEN TOTAL'!AS188</f>
        <v>0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s="59">
        <f>'RESUMEN TOTAL'!AS189</f>
        <v>0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s="59">
        <f>'RESUMEN TOTAL'!AS190</f>
        <v>0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>
        <f>'RESUMEN TOTAL'!Y191</f>
        <v>0</v>
      </c>
      <c r="Q188">
        <f>'RESUMEN TOTAL'!Z191</f>
        <v>0</v>
      </c>
      <c r="R188" t="str">
        <f>'RESUMEN TOTAL'!AA191</f>
        <v>APAGADO</v>
      </c>
      <c r="S188" t="str">
        <f>'RESUMEN TOTAL'!AB191</f>
        <v>APAGADO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s="59">
        <f>'RESUMEN TOTAL'!AS191</f>
        <v>0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>
        <f>'RESUMEN TOTAL'!Y192</f>
        <v>0</v>
      </c>
      <c r="Q189">
        <f>'RESUMEN TOTAL'!Z192</f>
        <v>0</v>
      </c>
      <c r="R189" t="str">
        <f>'RESUMEN TOTAL'!AA192</f>
        <v>APAGADO</v>
      </c>
      <c r="S189" t="str">
        <f>'RESUMEN TOTAL'!AB192</f>
        <v>APAGADO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s="59">
        <f>'RESUMEN TOTAL'!AS192</f>
        <v>0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s="59">
        <f>'RESUMEN TOTAL'!AS193</f>
        <v>0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>
        <f>'RESUMEN TOTAL'!Z194</f>
        <v>0</v>
      </c>
      <c r="R191" t="str">
        <f>'RESUMEN TOTAL'!AA194</f>
        <v>APAGADO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s="59">
        <f>'RESUMEN TOTAL'!AS194</f>
        <v>0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 t="str">
        <f>'RESUMEN TOTAL'!R195</f>
        <v>APAGADO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s="59">
        <f>'RESUMEN TOTAL'!AS195</f>
        <v>0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 t="str">
        <f>'RESUMEN TOTAL'!R196</f>
        <v>APAGADO</v>
      </c>
      <c r="J193">
        <f>'RESUMEN TOTAL'!S196</f>
        <v>0</v>
      </c>
      <c r="K193">
        <f>'RESUMEN TOTAL'!T196</f>
        <v>0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s="59">
        <f>'RESUMEN TOTAL'!AS196</f>
        <v>0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s="59">
        <f>'RESUMEN TOTAL'!AS197</f>
        <v>0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 t="str">
        <f>'RESUMEN TOTAL'!R198</f>
        <v>APAGADO</v>
      </c>
      <c r="J195">
        <f>'RESUMEN TOTAL'!S198</f>
        <v>0</v>
      </c>
      <c r="K195" t="str">
        <f>'RESUMEN TOTAL'!T198</f>
        <v>APAGADO</v>
      </c>
      <c r="L195" t="str">
        <f>'RESUMEN TOTAL'!U198</f>
        <v>APAGADO</v>
      </c>
      <c r="M195" t="str">
        <f>'RESUMEN TOTAL'!V198</f>
        <v>APAGADO</v>
      </c>
      <c r="N195" t="str">
        <f>'RESUMEN TOTAL'!W198</f>
        <v>APAGADO</v>
      </c>
      <c r="O195">
        <f>'RESUMEN TOTAL'!X198</f>
        <v>0</v>
      </c>
      <c r="P195" t="str">
        <f>'RESUMEN TOTAL'!Y198</f>
        <v>APAGADO</v>
      </c>
      <c r="Q195" t="str">
        <f>'RESUMEN TOTAL'!Z198</f>
        <v>APAGADO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s="59">
        <f>'RESUMEN TOTAL'!AS198</f>
        <v>0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 t="str">
        <f>'RESUMEN TOTAL'!R199</f>
        <v>APAGADO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 t="str">
        <f>'RESUMEN TOTAL'!X199</f>
        <v>APAGADO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s="59">
        <f>'RESUMEN TOTAL'!AS199</f>
        <v>0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 t="str">
        <f>'RESUMEN TOTAL'!R200</f>
        <v>APAGADO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s="59">
        <f>'RESUMEN TOTAL'!AS200</f>
        <v>0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s="59">
        <f>'RESUMEN TOTAL'!AS201</f>
        <v>0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s="59">
        <f>'RESUMEN TOTAL'!AS202</f>
        <v>0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 t="str">
        <f>'RESUMEN TOTAL'!R203</f>
        <v>APAGADO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s="59">
        <f>'RESUMEN TOTAL'!AS203</f>
        <v>0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 t="str">
        <f>'RESUMEN TOTAL'!P204</f>
        <v>APAGADO</v>
      </c>
      <c r="H201" t="str">
        <f>'RESUMEN TOTAL'!Q204</f>
        <v>APAGADO</v>
      </c>
      <c r="I201" t="str">
        <f>'RESUMEN TOTAL'!R204</f>
        <v>APAGADO</v>
      </c>
      <c r="J201" t="str">
        <f>'RESUMEN TOTAL'!S204</f>
        <v>APAGADO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s="59">
        <f>'RESUMEN TOTAL'!AS204</f>
        <v>0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s="59">
        <f>'RESUMEN TOTAL'!AS205</f>
        <v>0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>
        <f>'RESUMEN TOTAL'!Y206</f>
        <v>0</v>
      </c>
      <c r="Q203">
        <f>'RESUMEN TOTAL'!Z206</f>
        <v>0</v>
      </c>
      <c r="R203" t="str">
        <f>'RESUMEN TOTAL'!AA206</f>
        <v>APAGADO</v>
      </c>
      <c r="S203" t="str">
        <f>'RESUMEN TOTAL'!AB206</f>
        <v>APAGADO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s="59">
        <f>'RESUMEN TOTAL'!AS206</f>
        <v>0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 t="str">
        <f>'RESUMEN TOTAL'!AB207</f>
        <v>APAGADO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s="59">
        <f>'RESUMEN TOTAL'!AS207</f>
        <v>0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 t="str">
        <f>'RESUMEN TOTAL'!Z208</f>
        <v>APAGADO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s="59">
        <f>'RESUMEN TOTAL'!AS208</f>
        <v>0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>
        <f>'RESUMEN TOTAL'!Y209</f>
        <v>0</v>
      </c>
      <c r="Q206" t="str">
        <f>'RESUMEN TOTAL'!Z209</f>
        <v>APAGADO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s="59">
        <f>'RESUMEN TOTAL'!AS209</f>
        <v>0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 t="str">
        <f>'RESUMEN TOTAL'!W210</f>
        <v>APAGADO</v>
      </c>
      <c r="O207" t="str">
        <f>'RESUMEN TOTAL'!X210</f>
        <v>APAGADO</v>
      </c>
      <c r="P207">
        <f>'RESUMEN TOTAL'!Y210</f>
        <v>0</v>
      </c>
      <c r="Q207" t="str">
        <f>'RESUMEN TOTAL'!Z210</f>
        <v>APAGADO</v>
      </c>
      <c r="R207" t="str">
        <f>'RESUMEN TOTAL'!AA210</f>
        <v>APAGADO</v>
      </c>
      <c r="S207" t="str">
        <f>'RESUMEN TOTAL'!AB210</f>
        <v>APAGADO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s="59">
        <f>'RESUMEN TOTAL'!AS210</f>
        <v>0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s="59">
        <f>'RESUMEN TOTAL'!AS211</f>
        <v>0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>
        <f>'RESUMEN TOTAL'!Y212</f>
        <v>0</v>
      </c>
      <c r="Q209">
        <f>'RESUMEN TOTAL'!Z212</f>
        <v>0</v>
      </c>
      <c r="R209" t="str">
        <f>'RESUMEN TOTAL'!AA212</f>
        <v>APAGADO</v>
      </c>
      <c r="S209" t="str">
        <f>'RESUMEN TOTAL'!AB212</f>
        <v>APAGADO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s="59">
        <f>'RESUMEN TOTAL'!AS212</f>
        <v>0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 t="str">
        <f>'RESUMEN TOTAL'!R213</f>
        <v>APAGADO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s="59">
        <f>'RESUMEN TOTAL'!AS213</f>
        <v>0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 t="str">
        <f>'RESUMEN TOTAL'!R214</f>
        <v>APAGADO</v>
      </c>
      <c r="J211">
        <f>'RESUMEN TOTAL'!S214</f>
        <v>0</v>
      </c>
      <c r="K211" t="str">
        <f>'RESUMEN TOTAL'!T214</f>
        <v>APAGADO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s="59">
        <f>'RESUMEN TOTAL'!AS214</f>
        <v>0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 t="str">
        <f>'RESUMEN TOTAL'!R215</f>
        <v>APAGADO</v>
      </c>
      <c r="J212">
        <f>'RESUMEN TOTAL'!S215</f>
        <v>0</v>
      </c>
      <c r="K212" t="str">
        <f>'RESUMEN TOTAL'!T215</f>
        <v>APAGADO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s="59">
        <f>'RESUMEN TOTAL'!AS215</f>
        <v>0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 t="str">
        <f>'RESUMEN TOTAL'!R216</f>
        <v>APAGADO</v>
      </c>
      <c r="J213" t="str">
        <f>'RESUMEN TOTAL'!S216</f>
        <v>APAGADO</v>
      </c>
      <c r="K213" t="str">
        <f>'RESUMEN TOTAL'!T216</f>
        <v>APAGADO</v>
      </c>
      <c r="L213" t="str">
        <f>'RESUMEN TOTAL'!U216</f>
        <v>APAGADO</v>
      </c>
      <c r="M213" t="str">
        <f>'RESUMEN TOTAL'!V216</f>
        <v>APAGADO</v>
      </c>
      <c r="N213" t="str">
        <f>'RESUMEN TOTAL'!W216</f>
        <v>APAGADO</v>
      </c>
      <c r="O213" t="str">
        <f>'RESUMEN TOTAL'!X216</f>
        <v>APAGADO</v>
      </c>
      <c r="P213">
        <f>'RESUMEN TOTAL'!Y216</f>
        <v>0</v>
      </c>
      <c r="Q213">
        <f>'RESUMEN TOTAL'!Z216</f>
        <v>0</v>
      </c>
      <c r="R213" t="str">
        <f>'RESUMEN TOTAL'!AA216</f>
        <v>APAGADO</v>
      </c>
      <c r="S213" t="str">
        <f>'RESUMEN TOTAL'!AB216</f>
        <v>APAGADO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s="59">
        <f>'RESUMEN TOTAL'!AS216</f>
        <v>0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 t="str">
        <f>'RESUMEN TOTAL'!R217</f>
        <v>APAGADO</v>
      </c>
      <c r="J214" t="str">
        <f>'RESUMEN TOTAL'!S217</f>
        <v>APAGADO</v>
      </c>
      <c r="K214" t="str">
        <f>'RESUMEN TOTAL'!T217</f>
        <v>APAGADO</v>
      </c>
      <c r="L214" t="str">
        <f>'RESUMEN TOTAL'!U217</f>
        <v>APAGADO</v>
      </c>
      <c r="M214" t="str">
        <f>'RESUMEN TOTAL'!V217</f>
        <v>APAGADO</v>
      </c>
      <c r="N214" t="str">
        <f>'RESUMEN TOTAL'!W217</f>
        <v>APAGADO</v>
      </c>
      <c r="O214" t="str">
        <f>'RESUMEN TOTAL'!X217</f>
        <v>APAGADO</v>
      </c>
      <c r="P214" t="str">
        <f>'RESUMEN TOTAL'!Y217</f>
        <v>APAGADO</v>
      </c>
      <c r="Q214" t="str">
        <f>'RESUMEN TOTAL'!Z217</f>
        <v>APAGADO</v>
      </c>
      <c r="R214" t="str">
        <f>'RESUMEN TOTAL'!AA217</f>
        <v>APAGADO</v>
      </c>
      <c r="S214" t="str">
        <f>'RESUMEN TOTAL'!AB217</f>
        <v>APAGADO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s="59">
        <f>'RESUMEN TOTAL'!AS217</f>
        <v>0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 t="str">
        <f>'RESUMEN TOTAL'!U218</f>
        <v>APAGADO</v>
      </c>
      <c r="M215" t="str">
        <f>'RESUMEN TOTAL'!V218</f>
        <v>APAGADO</v>
      </c>
      <c r="N215" t="str">
        <f>'RESUMEN TOTAL'!W218</f>
        <v>APAGADO</v>
      </c>
      <c r="O215" t="str">
        <f>'RESUMEN TOTAL'!X218</f>
        <v>APAGADO</v>
      </c>
      <c r="P215">
        <f>'RESUMEN TOTAL'!Y218</f>
        <v>0</v>
      </c>
      <c r="Q215" t="str">
        <f>'RESUMEN TOTAL'!Z218</f>
        <v>APAGADO</v>
      </c>
      <c r="R215" t="str">
        <f>'RESUMEN TOTAL'!AA218</f>
        <v>APAGADO</v>
      </c>
      <c r="S215" t="str">
        <f>'RESUMEN TOTAL'!AB218</f>
        <v>APAGADO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s="59">
        <f>'RESUMEN TOTAL'!AS218</f>
        <v>0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 t="str">
        <f>'RESUMEN TOTAL'!U219</f>
        <v>APAGADO</v>
      </c>
      <c r="M216" t="str">
        <f>'RESUMEN TOTAL'!V219</f>
        <v>APAGADO</v>
      </c>
      <c r="N216" t="str">
        <f>'RESUMEN TOTAL'!W219</f>
        <v>APAGADO</v>
      </c>
      <c r="O216" t="str">
        <f>'RESUMEN TOTAL'!X219</f>
        <v>APAGADO</v>
      </c>
      <c r="P216" t="str">
        <f>'RESUMEN TOTAL'!Y219</f>
        <v>APAGADO</v>
      </c>
      <c r="Q216">
        <f>'RESUMEN TOTAL'!Z219</f>
        <v>0</v>
      </c>
      <c r="R216" t="str">
        <f>'RESUMEN TOTAL'!AA219</f>
        <v>APAGADO</v>
      </c>
      <c r="S216" t="str">
        <f>'RESUMEN TOTAL'!AB219</f>
        <v>APAGADO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s="59">
        <f>'RESUMEN TOTAL'!AS219</f>
        <v>0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 t="str">
        <f>'RESUMEN TOTAL'!R220</f>
        <v>APAGADO</v>
      </c>
      <c r="J217">
        <f>'RESUMEN TOTAL'!S220</f>
        <v>0</v>
      </c>
      <c r="K217" t="str">
        <f>'RESUMEN TOTAL'!T220</f>
        <v>APAGADO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s="59">
        <f>'RESUMEN TOTAL'!AS220</f>
        <v>0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 t="str">
        <f>'RESUMEN TOTAL'!R221</f>
        <v>APAGADO</v>
      </c>
      <c r="J218">
        <f>'RESUMEN TOTAL'!S221</f>
        <v>0</v>
      </c>
      <c r="K218" t="str">
        <f>'RESUMEN TOTAL'!T221</f>
        <v>APAGADO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s="59">
        <f>'RESUMEN TOTAL'!AS221</f>
        <v>0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 t="str">
        <f>'RESUMEN TOTAL'!T222</f>
        <v>APAGADO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s="59">
        <f>'RESUMEN TOTAL'!AS222</f>
        <v>0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 t="str">
        <f>'RESUMEN TOTAL'!T223</f>
        <v>APAGADO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s="59">
        <f>'RESUMEN TOTAL'!AS223</f>
        <v>0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 t="str">
        <f>'RESUMEN TOTAL'!T224</f>
        <v>APAGADO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s="59">
        <f>'RESUMEN TOTAL'!AS224</f>
        <v>0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 t="str">
        <f>'RESUMEN TOTAL'!R225</f>
        <v>APAGADO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s="59">
        <f>'RESUMEN TOTAL'!AS225</f>
        <v>0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s="59">
        <f>'RESUMEN TOTAL'!AS226</f>
        <v>0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 t="str">
        <f>'RESUMEN TOTAL'!R227</f>
        <v>APAGADO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s="59">
        <f>'RESUMEN TOTAL'!AS227</f>
        <v>0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 t="str">
        <f>'RESUMEN TOTAL'!R228</f>
        <v>APAGADO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s="59">
        <f>'RESUMEN TOTAL'!AS228</f>
        <v>0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 t="str">
        <f>'RESUMEN TOTAL'!U229</f>
        <v>APAGADO</v>
      </c>
      <c r="M226" t="str">
        <f>'RESUMEN TOTAL'!V229</f>
        <v>APAGADO</v>
      </c>
      <c r="N226" t="str">
        <f>'RESUMEN TOTAL'!W229</f>
        <v>APAGADO</v>
      </c>
      <c r="O226" t="str">
        <f>'RESUMEN TOTAL'!X229</f>
        <v>APAGADO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s="59">
        <f>'RESUMEN TOTAL'!AS229</f>
        <v>0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s="59">
        <f>'RESUMEN TOTAL'!AS230</f>
        <v>0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 t="str">
        <f>'RESUMEN TOTAL'!Z231</f>
        <v>APAGADO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s="59">
        <f>'RESUMEN TOTAL'!AS231</f>
        <v>0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s="59">
        <f>'RESUMEN TOTAL'!AS232</f>
        <v>0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s="59">
        <f>'RESUMEN TOTAL'!AS233</f>
        <v>0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s="59">
        <f>'RESUMEN TOTAL'!AS234</f>
        <v>0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 t="str">
        <f>'RESUMEN TOTAL'!Y235</f>
        <v>APAGADO</v>
      </c>
      <c r="Q232" t="str">
        <f>'RESUMEN TOTAL'!Z235</f>
        <v>APAGADO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s="59">
        <f>'RESUMEN TOTAL'!AS235</f>
        <v>0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 t="str">
        <f>'RESUMEN TOTAL'!Z236</f>
        <v>APAGADO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s="59">
        <f>'RESUMEN TOTAL'!AS236</f>
        <v>0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s="59">
        <f>'RESUMEN TOTAL'!AS237</f>
        <v>0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 t="str">
        <f>'RESUMEN TOTAL'!Z238</f>
        <v>APAGADO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s="59">
        <f>'RESUMEN TOTAL'!AS238</f>
        <v>0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 t="str">
        <f>'RESUMEN TOTAL'!Y239</f>
        <v>APAGADO</v>
      </c>
      <c r="Q236" t="str">
        <f>'RESUMEN TOTAL'!Z239</f>
        <v>APAGADO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s="59">
        <f>'RESUMEN TOTAL'!AS239</f>
        <v>0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 t="str">
        <f>'RESUMEN TOTAL'!Z240</f>
        <v>APAGADO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s="59">
        <f>'RESUMEN TOTAL'!AS240</f>
        <v>0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s="59">
        <f>'RESUMEN TOTAL'!AS241</f>
        <v>0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s="59">
        <f>'RESUMEN TOTAL'!AS242</f>
        <v>0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s="59">
        <f>'RESUMEN TOTAL'!AS243</f>
        <v>0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s="59">
        <f>'RESUMEN TOTAL'!AS244</f>
        <v>0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 t="str">
        <f>'RESUMEN TOTAL'!Y245</f>
        <v>APAGADO</v>
      </c>
      <c r="Q242" t="str">
        <f>'RESUMEN TOTAL'!Z245</f>
        <v>APAGADO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s="59">
        <f>'RESUMEN TOTAL'!AS245</f>
        <v>0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 t="str">
        <f>'RESUMEN TOTAL'!Z246</f>
        <v>APAGADO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s="59">
        <f>'RESUMEN TOTAL'!AS246</f>
        <v>0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 t="str">
        <f>'RESUMEN TOTAL'!O247</f>
        <v>APAGADO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s="59">
        <f>'RESUMEN TOTAL'!AS247</f>
        <v>0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 t="str">
        <f>'RESUMEN TOTAL'!Y248</f>
        <v>APAGADO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s="59">
        <f>'RESUMEN TOTAL'!AS248</f>
        <v>0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 t="str">
        <f>'RESUMEN TOTAL'!Y249</f>
        <v>APAGADO</v>
      </c>
      <c r="Q246" t="str">
        <f>'RESUMEN TOTAL'!Z249</f>
        <v>APAGADO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s="59">
        <f>'RESUMEN TOTAL'!AS249</f>
        <v>0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s="59">
        <f>'RESUMEN TOTAL'!AS250</f>
        <v>0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 t="str">
        <f>'RESUMEN TOTAL'!Y251</f>
        <v>APAGADO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s="59">
        <f>'RESUMEN TOTAL'!AS251</f>
        <v>0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s="59">
        <f>'RESUMEN TOTAL'!AS252</f>
        <v>0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s="59">
        <f>'RESUMEN TOTAL'!AS253</f>
        <v>0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s="59">
        <f>'RESUMEN TOTAL'!AS254</f>
        <v>0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 t="str">
        <f>'RESUMEN TOTAL'!Y255</f>
        <v>APAGADO</v>
      </c>
      <c r="Q252" t="str">
        <f>'RESUMEN TOTAL'!Z255</f>
        <v>APAGADO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s="59">
        <f>'RESUMEN TOTAL'!AS255</f>
        <v>0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 t="str">
        <f>'RESUMEN TOTAL'!Y256</f>
        <v>APAGADO</v>
      </c>
      <c r="Q253" t="str">
        <f>'RESUMEN TOTAL'!Z256</f>
        <v>APAGADO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s="59">
        <f>'RESUMEN TOTAL'!AS256</f>
        <v>0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 t="str">
        <f>'RESUMEN TOTAL'!Y257</f>
        <v>APAGADO</v>
      </c>
      <c r="Q254" t="str">
        <f>'RESUMEN TOTAL'!Z257</f>
        <v>APAGADO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s="59">
        <f>'RESUMEN TOTAL'!AS257</f>
        <v>0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 t="str">
        <f>'RESUMEN TOTAL'!Y258</f>
        <v>APAGADO</v>
      </c>
      <c r="Q255" t="str">
        <f>'RESUMEN TOTAL'!Z258</f>
        <v>APAGADO</v>
      </c>
      <c r="R255" t="str">
        <f>'RESUMEN TOTAL'!AA258</f>
        <v>APAGADO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s="59">
        <f>'RESUMEN TOTAL'!AS258</f>
        <v>0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s="59">
        <f>'RESUMEN TOTAL'!AS259</f>
        <v>0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s="59">
        <f>'RESUMEN TOTAL'!AS260</f>
        <v>0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s="59">
        <f>'RESUMEN TOTAL'!AS261</f>
        <v>0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 t="str">
        <f>'RESUMEN TOTAL'!R262</f>
        <v>APAGADO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s="59">
        <f>'RESUMEN TOTAL'!AS262</f>
        <v>0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 t="str">
        <f>'RESUMEN TOTAL'!AB263</f>
        <v>APAGADO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s="59">
        <f>'RESUMEN TOTAL'!AS263</f>
        <v>0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 t="str">
        <f>'RESUMEN TOTAL'!AB264</f>
        <v>APAGADO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s="59">
        <f>'RESUMEN TOTAL'!AS264</f>
        <v>0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 t="str">
        <f>'RESUMEN TOTAL'!AB265</f>
        <v>APAGADO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s="59">
        <f>'RESUMEN TOTAL'!AS265</f>
        <v>0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 t="str">
        <f>'RESUMEN TOTAL'!AB266</f>
        <v>APAGADO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s="59">
        <f>'RESUMEN TOTAL'!AS266</f>
        <v>0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s="59">
        <f>'RESUMEN TOTAL'!AS267</f>
        <v>0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 t="str">
        <f>'RESUMEN TOTAL'!R268</f>
        <v>APAGADO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s="59">
        <f>'RESUMEN TOTAL'!AS268</f>
        <v>0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 t="str">
        <f>'RESUMEN TOTAL'!R269</f>
        <v>APAGADO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s="59">
        <f>'RESUMEN TOTAL'!AS269</f>
        <v>0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 t="str">
        <f>'RESUMEN TOTAL'!R270</f>
        <v>APAGADO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s="59">
        <f>'RESUMEN TOTAL'!AS270</f>
        <v>0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s="59">
        <f>'RESUMEN TOTAL'!AS271</f>
        <v>0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 t="str">
        <f>'RESUMEN TOTAL'!R272</f>
        <v>APAGADO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s="59">
        <f>'RESUMEN TOTAL'!AS272</f>
        <v>0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 t="str">
        <f>'RESUMEN TOTAL'!R273</f>
        <v>APAGADO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s="59">
        <f>'RESUMEN TOTAL'!AS273</f>
        <v>0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 t="str">
        <f>'RESUMEN TOTAL'!R274</f>
        <v>APAGADO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 t="str">
        <f>'RESUMEN TOTAL'!Z274</f>
        <v>APAGADO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s="59">
        <f>'RESUMEN TOTAL'!AS274</f>
        <v>0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 t="str">
        <f>'RESUMEN TOTAL'!U275</f>
        <v>APAGADO</v>
      </c>
      <c r="M272" t="str">
        <f>'RESUMEN TOTAL'!V275</f>
        <v>APAGADO</v>
      </c>
      <c r="N272" t="str">
        <f>'RESUMEN TOTAL'!W275</f>
        <v>APAGADO</v>
      </c>
      <c r="O272" t="str">
        <f>'RESUMEN TOTAL'!X275</f>
        <v>APAGADO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s="59">
        <f>'RESUMEN TOTAL'!AS275</f>
        <v>0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s="59">
        <f>'RESUMEN TOTAL'!AS276</f>
        <v>0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 t="str">
        <f>'RESUMEN TOTAL'!R277</f>
        <v>APAGADO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s="59">
        <f>'RESUMEN TOTAL'!AS277</f>
        <v>0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s="59">
        <f>'RESUMEN TOTAL'!AS278</f>
        <v>0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s="59">
        <f>'RESUMEN TOTAL'!AS279</f>
        <v>0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 t="str">
        <f>'RESUMEN TOTAL'!R280</f>
        <v>APAGADO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s="59">
        <f>'RESUMEN TOTAL'!AS280</f>
        <v>0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 t="str">
        <f>'RESUMEN TOTAL'!S281</f>
        <v>APAGADO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s="59">
        <f>'RESUMEN TOTAL'!AS281</f>
        <v>0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 t="str">
        <f>'RESUMEN TOTAL'!S282</f>
        <v>APAGADO</v>
      </c>
      <c r="K279">
        <f>'RESUMEN TOTAL'!T282</f>
        <v>0</v>
      </c>
      <c r="L279">
        <f>'RESUMEN TOTAL'!U282</f>
        <v>0</v>
      </c>
      <c r="M279" t="str">
        <f>'RESUMEN TOTAL'!V282</f>
        <v>APAGADO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 t="str">
        <f>'RESUMEN TOTAL'!AB282</f>
        <v>APAGADO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s="59">
        <f>'RESUMEN TOTAL'!AS282</f>
        <v>0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 t="str">
        <f>'RESUMEN TOTAL'!R283</f>
        <v>APAGADO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s="59">
        <f>'RESUMEN TOTAL'!AS283</f>
        <v>0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 t="str">
        <f>'RESUMEN TOTAL'!R284</f>
        <v>APAGADO</v>
      </c>
      <c r="J281" t="str">
        <f>'RESUMEN TOTAL'!S284</f>
        <v>APAGADO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s="59">
        <f>'RESUMEN TOTAL'!AS284</f>
        <v>0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 t="str">
        <f>'RESUMEN TOTAL'!R285</f>
        <v>APAGADO</v>
      </c>
      <c r="J282" t="str">
        <f>'RESUMEN TOTAL'!S285</f>
        <v>APAGADO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s="59">
        <f>'RESUMEN TOTAL'!AS285</f>
        <v>0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 t="str">
        <f>'RESUMEN TOTAL'!T286</f>
        <v>APAGADO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s="59">
        <f>'RESUMEN TOTAL'!AS286</f>
        <v>0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 t="str">
        <f>'RESUMEN TOTAL'!T287</f>
        <v>APAGADO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 t="str">
        <f>'RESUMEN TOTAL'!Y287</f>
        <v>APAGADO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s="59">
        <f>'RESUMEN TOTAL'!AS287</f>
        <v>0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 t="str">
        <f>'RESUMEN TOTAL'!R288</f>
        <v>APAGADO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s="59">
        <f>'RESUMEN TOTAL'!AS288</f>
        <v>0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 t="str">
        <f>'RESUMEN TOTAL'!Q289</f>
        <v>APAGADO</v>
      </c>
      <c r="I286" t="str">
        <f>'RESUMEN TOTAL'!R289</f>
        <v>APAGADO</v>
      </c>
      <c r="J286" t="str">
        <f>'RESUMEN TOTAL'!S289</f>
        <v>APAGADO</v>
      </c>
      <c r="K286" t="str">
        <f>'RESUMEN TOTAL'!T289</f>
        <v>APAGADO</v>
      </c>
      <c r="L286" t="str">
        <f>'RESUMEN TOTAL'!U289</f>
        <v>APAGADO</v>
      </c>
      <c r="M286" t="str">
        <f>'RESUMEN TOTAL'!V289</f>
        <v>APAGADO</v>
      </c>
      <c r="N286" t="str">
        <f>'RESUMEN TOTAL'!W289</f>
        <v>APAGADO</v>
      </c>
      <c r="O286" t="str">
        <f>'RESUMEN TOTAL'!X289</f>
        <v>APAGADO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 t="str">
        <f>'RESUMEN TOTAL'!AB289</f>
        <v>APAGADO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s="59">
        <f>'RESUMEN TOTAL'!AS289</f>
        <v>0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 t="str">
        <f>'RESUMEN TOTAL'!R290</f>
        <v>APAGADO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s="59">
        <f>'RESUMEN TOTAL'!AS290</f>
        <v>0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s="59">
        <f>'RESUMEN TOTAL'!AS291</f>
        <v>0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s="59">
        <f>'RESUMEN TOTAL'!AS292</f>
        <v>0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s="59">
        <f>'RESUMEN TOTAL'!AS293</f>
        <v>0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s="59">
        <f>'RESUMEN TOTAL'!AS294</f>
        <v>0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s="59">
        <f>'RESUMEN TOTAL'!AS295</f>
        <v>0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s="59">
        <f>'RESUMEN TOTAL'!AS296</f>
        <v>0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s="59">
        <f>'RESUMEN TOTAL'!AS297</f>
        <v>0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s="59">
        <f>'RESUMEN TOTAL'!AS298</f>
        <v>0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s="59">
        <f>'RESUMEN TOTAL'!AS299</f>
        <v>0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s="59">
        <f>'RESUMEN TOTAL'!AS300</f>
        <v>0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s="59">
        <f>'RESUMEN TOTAL'!AS301</f>
        <v>0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s="59">
        <f>'RESUMEN TOTAL'!AS302</f>
        <v>0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 t="str">
        <f>'RESUMEN TOTAL'!AB303</f>
        <v>APAGADO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s="59">
        <f>'RESUMEN TOTAL'!AS303</f>
        <v>0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 t="str">
        <f>'RESUMEN TOTAL'!R304</f>
        <v>APAGADO</v>
      </c>
      <c r="J301" t="str">
        <f>'RESUMEN TOTAL'!S304</f>
        <v>APAGADO</v>
      </c>
      <c r="K301" t="str">
        <f>'RESUMEN TOTAL'!T304</f>
        <v>APAGADO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s="59">
        <f>'RESUMEN TOTAL'!AS304</f>
        <v>0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 t="str">
        <f>'RESUMEN TOTAL'!R305</f>
        <v>APAGADO</v>
      </c>
      <c r="J302" t="str">
        <f>'RESUMEN TOTAL'!S305</f>
        <v>APAGADO</v>
      </c>
      <c r="K302" t="str">
        <f>'RESUMEN TOTAL'!T305</f>
        <v>APAGADO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s="59">
        <f>'RESUMEN TOTAL'!AS305</f>
        <v>0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 t="str">
        <f>'RESUMEN TOTAL'!R306</f>
        <v>APAGADO</v>
      </c>
      <c r="J303" t="str">
        <f>'RESUMEN TOTAL'!S306</f>
        <v>APAGADO</v>
      </c>
      <c r="K303" t="str">
        <f>'RESUMEN TOTAL'!T306</f>
        <v>APAGADO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s="59">
        <f>'RESUMEN TOTAL'!AS306</f>
        <v>0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 t="str">
        <f>'RESUMEN TOTAL'!R307</f>
        <v>APAGADO</v>
      </c>
      <c r="J304" t="str">
        <f>'RESUMEN TOTAL'!S307</f>
        <v>APAGADO</v>
      </c>
      <c r="K304" t="str">
        <f>'RESUMEN TOTAL'!T307</f>
        <v>APAGADO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s="59">
        <f>'RESUMEN TOTAL'!AS307</f>
        <v>0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 t="str">
        <f>'RESUMEN TOTAL'!R308</f>
        <v>APAGADO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s="59">
        <f>'RESUMEN TOTAL'!AS308</f>
        <v>0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 t="str">
        <f>'RESUMEN TOTAL'!R309</f>
        <v>APAGADO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 t="str">
        <f>'RESUMEN TOTAL'!Y309</f>
        <v>APAGADO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s="59">
        <f>'RESUMEN TOTAL'!AS309</f>
        <v>0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 t="str">
        <f>'RESUMEN TOTAL'!O310</f>
        <v>APAGADO</v>
      </c>
      <c r="G307" t="str">
        <f>'RESUMEN TOTAL'!P310</f>
        <v>APAGADO</v>
      </c>
      <c r="H307" t="str">
        <f>'RESUMEN TOTAL'!Q310</f>
        <v>APAGADO</v>
      </c>
      <c r="I307" t="str">
        <f>'RESUMEN TOTAL'!R310</f>
        <v>APAGADO</v>
      </c>
      <c r="J307" t="str">
        <f>'RESUMEN TOTAL'!S310</f>
        <v>APAGADO</v>
      </c>
      <c r="K307">
        <f>'RESUMEN TOTAL'!T310</f>
        <v>0</v>
      </c>
      <c r="L307" t="str">
        <f>'RESUMEN TOTAL'!U310</f>
        <v>APAGADO</v>
      </c>
      <c r="M307" t="str">
        <f>'RESUMEN TOTAL'!V310</f>
        <v>APAGADO</v>
      </c>
      <c r="N307">
        <f>'RESUMEN TOTAL'!W310</f>
        <v>0</v>
      </c>
      <c r="O307">
        <f>'RESUMEN TOTAL'!X310</f>
        <v>0</v>
      </c>
      <c r="P307" t="str">
        <f>'RESUMEN TOTAL'!Y310</f>
        <v>APAGADO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s="59">
        <f>'RESUMEN TOTAL'!AS310</f>
        <v>0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s="59">
        <f>'RESUMEN TOTAL'!AS311</f>
        <v>0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s="59">
        <f>'RESUMEN TOTAL'!AS312</f>
        <v>0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 t="str">
        <f>'RESUMEN TOTAL'!O313</f>
        <v>APAGADO</v>
      </c>
      <c r="G310" t="str">
        <f>'RESUMEN TOTAL'!P313</f>
        <v>APAGADO</v>
      </c>
      <c r="H310" t="str">
        <f>'RESUMEN TOTAL'!Q313</f>
        <v>APAGADO</v>
      </c>
      <c r="I310" t="str">
        <f>'RESUMEN TOTAL'!R313</f>
        <v>APAGADO</v>
      </c>
      <c r="J310" t="str">
        <f>'RESUMEN TOTAL'!S313</f>
        <v>APAGADO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s="59">
        <f>'RESUMEN TOTAL'!AS313</f>
        <v>0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 t="str">
        <f>'RESUMEN TOTAL'!R314</f>
        <v>APAGADO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s="59">
        <f>'RESUMEN TOTAL'!AS314</f>
        <v>0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 t="str">
        <f>'RESUMEN TOTAL'!Y315</f>
        <v>APAGADO</v>
      </c>
      <c r="Q312" t="str">
        <f>'RESUMEN TOTAL'!Z315</f>
        <v>APAGADO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s="59">
        <f>'RESUMEN TOTAL'!AS315</f>
        <v>0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 t="str">
        <f>'RESUMEN TOTAL'!R316</f>
        <v>APAGADO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s="59">
        <f>'RESUMEN TOTAL'!AS316</f>
        <v>0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 t="str">
        <f>'RESUMEN TOTAL'!R317</f>
        <v>APAGADO</v>
      </c>
      <c r="J314">
        <f>'RESUMEN TOTAL'!S317</f>
        <v>0</v>
      </c>
      <c r="K314">
        <f>'RESUMEN TOTAL'!T317</f>
        <v>0</v>
      </c>
      <c r="L314" t="str">
        <f>'RESUMEN TOTAL'!U317</f>
        <v>APAGADO</v>
      </c>
      <c r="M314" t="str">
        <f>'RESUMEN TOTAL'!V317</f>
        <v>APAGADO</v>
      </c>
      <c r="N314" t="str">
        <f>'RESUMEN TOTAL'!W317</f>
        <v>APAGADO</v>
      </c>
      <c r="O314" t="str">
        <f>'RESUMEN TOTAL'!X317</f>
        <v>APAGADO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s="59">
        <f>'RESUMEN TOTAL'!AS317</f>
        <v>0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 t="str">
        <f>'RESUMEN TOTAL'!O318</f>
        <v>APAGADO</v>
      </c>
      <c r="G315" t="str">
        <f>'RESUMEN TOTAL'!P318</f>
        <v>APAGADO</v>
      </c>
      <c r="H315" t="str">
        <f>'RESUMEN TOTAL'!Q318</f>
        <v>APAGADO</v>
      </c>
      <c r="I315" t="str">
        <f>'RESUMEN TOTAL'!R318</f>
        <v>APAGADO</v>
      </c>
      <c r="J315" t="str">
        <f>'RESUMEN TOTAL'!S318</f>
        <v>APAGADO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s="59">
        <f>'RESUMEN TOTAL'!AS318</f>
        <v>0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 t="str">
        <f>'RESUMEN TOTAL'!O319</f>
        <v>APAGADO</v>
      </c>
      <c r="G316" t="str">
        <f>'RESUMEN TOTAL'!P319</f>
        <v>APAGADO</v>
      </c>
      <c r="H316" t="str">
        <f>'RESUMEN TOTAL'!Q319</f>
        <v>APAGADO</v>
      </c>
      <c r="I316" t="str">
        <f>'RESUMEN TOTAL'!R319</f>
        <v>APAGADO</v>
      </c>
      <c r="J316" t="str">
        <f>'RESUMEN TOTAL'!S319</f>
        <v>APAGADO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s="59">
        <f>'RESUMEN TOTAL'!AS319</f>
        <v>0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 t="str">
        <f>'RESUMEN TOTAL'!R320</f>
        <v>APAGADO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s="59">
        <f>'RESUMEN TOTAL'!AS320</f>
        <v>0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 t="str">
        <f>'RESUMEN TOTAL'!X321</f>
        <v>APAGADO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s="59">
        <f>'RESUMEN TOTAL'!AS321</f>
        <v>0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 t="str">
        <f>'RESUMEN TOTAL'!Y322</f>
        <v>APAGADO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s="59">
        <f>'RESUMEN TOTAL'!AS322</f>
        <v>0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 t="str">
        <f>'RESUMEN TOTAL'!R323</f>
        <v>APAGADO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s="59">
        <f>'RESUMEN TOTAL'!AS323</f>
        <v>0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 t="str">
        <f>'RESUMEN TOTAL'!R324</f>
        <v>APAGADO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s="59">
        <f>'RESUMEN TOTAL'!AS324</f>
        <v>0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 t="str">
        <f>'RESUMEN TOTAL'!O325</f>
        <v>APAGADO</v>
      </c>
      <c r="G322" t="str">
        <f>'RESUMEN TOTAL'!P325</f>
        <v>APAGADO</v>
      </c>
      <c r="H322" t="str">
        <f>'RESUMEN TOTAL'!Q325</f>
        <v>APAGADO</v>
      </c>
      <c r="I322" t="str">
        <f>'RESUMEN TOTAL'!R325</f>
        <v>APAGADO</v>
      </c>
      <c r="J322" t="str">
        <f>'RESUMEN TOTAL'!S325</f>
        <v>APAGADO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s="59">
        <f>'RESUMEN TOTAL'!AS325</f>
        <v>0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 t="str">
        <f>'RESUMEN TOTAL'!R326</f>
        <v>APAGADO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s="59">
        <f>'RESUMEN TOTAL'!AS326</f>
        <v>0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 t="str">
        <f>'RESUMEN TOTAL'!R327</f>
        <v>APAGADO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 t="str">
        <f>'RESUMEN TOTAL'!AA327</f>
        <v>APAGADO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s="59">
        <f>'RESUMEN TOTAL'!AS327</f>
        <v>0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s="59">
        <f>'RESUMEN TOTAL'!AS328</f>
        <v>0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 t="str">
        <f>'RESUMEN TOTAL'!O329</f>
        <v>APAGADO</v>
      </c>
      <c r="G326" t="str">
        <f>'RESUMEN TOTAL'!P329</f>
        <v>APAGADO</v>
      </c>
      <c r="H326" t="str">
        <f>'RESUMEN TOTAL'!Q329</f>
        <v>APAGADO</v>
      </c>
      <c r="I326" t="str">
        <f>'RESUMEN TOTAL'!R329</f>
        <v>APAGADO</v>
      </c>
      <c r="J326" t="str">
        <f>'RESUMEN TOTAL'!S329</f>
        <v>APAGADO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 t="str">
        <f>'RESUMEN TOTAL'!Y329</f>
        <v>APAGADO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s="59">
        <f>'RESUMEN TOTAL'!AS329</f>
        <v>0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s="59">
        <f>'RESUMEN TOTAL'!AS330</f>
        <v>0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s="59">
        <f>'RESUMEN TOTAL'!AS331</f>
        <v>0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 t="str">
        <f>'RESUMEN TOTAL'!O332</f>
        <v>APAGADO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s="59">
        <f>'RESUMEN TOTAL'!AS332</f>
        <v>0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 t="str">
        <f>'RESUMEN TOTAL'!U333</f>
        <v>APAGADO</v>
      </c>
      <c r="M330" t="str">
        <f>'RESUMEN TOTAL'!V333</f>
        <v>APAGADO</v>
      </c>
      <c r="N330" t="str">
        <f>'RESUMEN TOTAL'!W333</f>
        <v>APAGADO</v>
      </c>
      <c r="O330" t="str">
        <f>'RESUMEN TOTAL'!X333</f>
        <v>APAGADO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s="59">
        <f>'RESUMEN TOTAL'!AS333</f>
        <v>0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s="59">
        <f>'RESUMEN TOTAL'!AS334</f>
        <v>0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s="59">
        <f>'RESUMEN TOTAL'!AS335</f>
        <v>0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s="59">
        <f>'RESUMEN TOTAL'!AS336</f>
        <v>0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s="59">
        <f>'RESUMEN TOTAL'!AS337</f>
        <v>0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s="59">
        <f>'RESUMEN TOTAL'!AS338</f>
        <v>0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 t="str">
        <f>'RESUMEN TOTAL'!O339</f>
        <v>APAGADO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s="59">
        <f>'RESUMEN TOTAL'!AS339</f>
        <v>0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 t="str">
        <f>'RESUMEN TOTAL'!R340</f>
        <v>APAGADO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s="59">
        <f>'RESUMEN TOTAL'!AS340</f>
        <v>0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s="59">
        <f>'RESUMEN TOTAL'!AS341</f>
        <v>0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 t="str">
        <f>'RESUMEN TOTAL'!R342</f>
        <v>APAGADO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s="59">
        <f>'RESUMEN TOTAL'!AS342</f>
        <v>0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 t="str">
        <f>'RESUMEN TOTAL'!O343</f>
        <v>APAGADO</v>
      </c>
      <c r="G340" t="str">
        <f>'RESUMEN TOTAL'!P343</f>
        <v>APAGADO</v>
      </c>
      <c r="H340" t="str">
        <f>'RESUMEN TOTAL'!Q343</f>
        <v>APAGADO</v>
      </c>
      <c r="I340" t="str">
        <f>'RESUMEN TOTAL'!R343</f>
        <v>APAGADO</v>
      </c>
      <c r="J340" t="str">
        <f>'RESUMEN TOTAL'!S343</f>
        <v>APAGADO</v>
      </c>
      <c r="K340" t="str">
        <f>'RESUMEN TOTAL'!T343</f>
        <v>APAGADO</v>
      </c>
      <c r="L340" t="str">
        <f>'RESUMEN TOTAL'!U343</f>
        <v>APAGADO</v>
      </c>
      <c r="M340" t="str">
        <f>'RESUMEN TOTAL'!V343</f>
        <v>APAGADO</v>
      </c>
      <c r="N340" t="str">
        <f>'RESUMEN TOTAL'!W343</f>
        <v>APAGADO</v>
      </c>
      <c r="O340" t="str">
        <f>'RESUMEN TOTAL'!X343</f>
        <v>APAGADO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 t="str">
        <f>'RESUMEN TOTAL'!AB343</f>
        <v>APAGADO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s="59">
        <f>'RESUMEN TOTAL'!AS343</f>
        <v>0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 t="str">
        <f>'RESUMEN TOTAL'!P344</f>
        <v>APAGADO</v>
      </c>
      <c r="H341">
        <f>'RESUMEN TOTAL'!Q344</f>
        <v>0</v>
      </c>
      <c r="I341" t="str">
        <f>'RESUMEN TOTAL'!R344</f>
        <v>APAGADO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s="59">
        <f>'RESUMEN TOTAL'!AS344</f>
        <v>0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 t="str">
        <f>'RESUMEN TOTAL'!T345</f>
        <v>APAGADO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s="59">
        <f>'RESUMEN TOTAL'!AS345</f>
        <v>0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 t="str">
        <f>'RESUMEN TOTAL'!T346</f>
        <v>APAGADO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s="59">
        <f>'RESUMEN TOTAL'!AS346</f>
        <v>0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 t="str">
        <f>'RESUMEN TOTAL'!T347</f>
        <v>APAGADO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 t="str">
        <f>'RESUMEN TOTAL'!Y347</f>
        <v>APAGADO</v>
      </c>
      <c r="Q344" t="str">
        <f>'RESUMEN TOTAL'!Z347</f>
        <v>APAGADO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s="59">
        <f>'RESUMEN TOTAL'!AS347</f>
        <v>0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 t="str">
        <f>'RESUMEN TOTAL'!T348</f>
        <v>APAGADO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s="59">
        <f>'RESUMEN TOTAL'!AS348</f>
        <v>0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s="59">
        <f>'RESUMEN TOTAL'!AS349</f>
        <v>0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s="59">
        <f>'RESUMEN TOTAL'!AS350</f>
        <v>0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s="59">
        <f>'RESUMEN TOTAL'!AS351</f>
        <v>0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>
        <f>'RESUMEN TOTAL'!Y352</f>
        <v>0</v>
      </c>
      <c r="Q349">
        <f>'RESUMEN TOTAL'!Z352</f>
        <v>0</v>
      </c>
      <c r="R349" t="str">
        <f>'RESUMEN TOTAL'!AA352</f>
        <v>APAGADO</v>
      </c>
      <c r="S349" t="str">
        <f>'RESUMEN TOTAL'!AB352</f>
        <v>APAGADO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s="59">
        <f>'RESUMEN TOTAL'!AS352</f>
        <v>0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s="59">
        <f>'RESUMEN TOTAL'!AS353</f>
        <v>0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s="59">
        <f>'RESUMEN TOTAL'!AS354</f>
        <v>0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 t="str">
        <f>'RESUMEN TOTAL'!O355</f>
        <v>APAGADO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 t="str">
        <f>'RESUMEN TOTAL'!Y355</f>
        <v>APAGADO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s="59">
        <f>'RESUMEN TOTAL'!AS355</f>
        <v>0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s="59">
        <f>'RESUMEN TOTAL'!AS356</f>
        <v>0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s="59">
        <f>'RESUMEN TOTAL'!AS357</f>
        <v>0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s="59">
        <f>'RESUMEN TOTAL'!AS358</f>
        <v>0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s="59">
        <f>'RESUMEN TOTAL'!AS359</f>
        <v>0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s="59">
        <f>'RESUMEN TOTAL'!AS360</f>
        <v>0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s="59">
        <f>'RESUMEN TOTAL'!AS361</f>
        <v>0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s="59">
        <f>'RESUMEN TOTAL'!AS362</f>
        <v>0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s="59">
        <f>'RESUMEN TOTAL'!AS363</f>
        <v>0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 t="str">
        <f>'RESUMEN TOTAL'!R364</f>
        <v>APAGADO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s="59">
        <f>'RESUMEN TOTAL'!AS364</f>
        <v>0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s="59">
        <f>'RESUMEN TOTAL'!AS365</f>
        <v>0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s="59">
        <f>'RESUMEN TOTAL'!AS366</f>
        <v>0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s="59">
        <f>'RESUMEN TOTAL'!AS367</f>
        <v>0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 t="str">
        <f>'RESUMEN TOTAL'!U368</f>
        <v>APAGADO</v>
      </c>
      <c r="M365" t="str">
        <f>'RESUMEN TOTAL'!V368</f>
        <v>APAGADO</v>
      </c>
      <c r="N365" t="str">
        <f>'RESUMEN TOTAL'!W368</f>
        <v>APAGADO</v>
      </c>
      <c r="O365" t="str">
        <f>'RESUMEN TOTAL'!X368</f>
        <v>APAGADO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s="59">
        <f>'RESUMEN TOTAL'!AS368</f>
        <v>0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s="59">
        <f>'RESUMEN TOTAL'!AS369</f>
        <v>0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s="59">
        <f>'RESUMEN TOTAL'!AS370</f>
        <v>0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s="59">
        <f>'RESUMEN TOTAL'!AS371</f>
        <v>0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s="59">
        <f>'RESUMEN TOTAL'!AS372</f>
        <v>0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 t="str">
        <f>'RESUMEN TOTAL'!T373</f>
        <v>APAGADO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s="59">
        <f>'RESUMEN TOTAL'!AS373</f>
        <v>0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 t="str">
        <f>'RESUMEN TOTAL'!T374</f>
        <v>APAGADO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s="59">
        <f>'RESUMEN TOTAL'!AS374</f>
        <v>0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 t="str">
        <f>'RESUMEN TOTAL'!T375</f>
        <v>APAGADO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s="59">
        <f>'RESUMEN TOTAL'!AS375</f>
        <v>0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 t="str">
        <f>'RESUMEN TOTAL'!T376</f>
        <v>APAGADO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s="59">
        <f>'RESUMEN TOTAL'!AS376</f>
        <v>0</v>
      </c>
    </row>
    <row r="374" spans="1:36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s="59">
        <f>'RESUMEN TOTAL'!AS377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J379"/>
  <sheetViews>
    <sheetView workbookViewId="0">
      <pane xSplit="5" ySplit="2" topLeftCell="S78" activePane="bottomRight" state="frozen"/>
      <selection pane="topRight" activeCell="F1" sqref="F1"/>
      <selection pane="bottomLeft" activeCell="A3" sqref="A3"/>
      <selection pane="bottomRight" activeCell="AA114" sqref="AA114"/>
    </sheetView>
  </sheetViews>
  <sheetFormatPr baseColWidth="10" defaultRowHeight="15" x14ac:dyDescent="0.25"/>
  <cols>
    <col min="5" max="5" width="16.5703125" bestFit="1" customWidth="1"/>
  </cols>
  <sheetData>
    <row r="1" spans="1:36" ht="21" x14ac:dyDescent="0.35">
      <c r="E1" s="26" t="s">
        <v>933</v>
      </c>
      <c r="F1" s="26">
        <f t="shared" ref="F1:AC1" si="0">COUNTIF(F3:F366, "APAGADO")</f>
        <v>46</v>
      </c>
      <c r="G1" s="26">
        <f t="shared" si="0"/>
        <v>34</v>
      </c>
      <c r="H1" s="26">
        <f t="shared" si="0"/>
        <v>32</v>
      </c>
      <c r="I1" s="26">
        <f t="shared" si="0"/>
        <v>159</v>
      </c>
      <c r="J1" s="26">
        <f t="shared" si="0"/>
        <v>58</v>
      </c>
      <c r="K1" s="26">
        <f t="shared" si="0"/>
        <v>56</v>
      </c>
      <c r="L1" s="26">
        <f t="shared" si="0"/>
        <v>49</v>
      </c>
      <c r="M1" s="26">
        <f t="shared" si="0"/>
        <v>50</v>
      </c>
      <c r="N1" s="26">
        <f t="shared" si="0"/>
        <v>47</v>
      </c>
      <c r="O1" s="26">
        <f t="shared" si="0"/>
        <v>43</v>
      </c>
      <c r="P1" s="26">
        <f t="shared" si="0"/>
        <v>44</v>
      </c>
      <c r="Q1" s="26">
        <f t="shared" si="0"/>
        <v>37</v>
      </c>
      <c r="R1" s="26">
        <f t="shared" si="0"/>
        <v>29</v>
      </c>
      <c r="S1" s="26">
        <f t="shared" si="0"/>
        <v>37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70">
        <f>ESTADISTICA!F1</f>
        <v>44682</v>
      </c>
      <c r="G2" s="70">
        <f>ESTADISTICA!G1</f>
        <v>44683</v>
      </c>
      <c r="H2" s="70">
        <f>ESTADISTICA!H1</f>
        <v>44684</v>
      </c>
      <c r="I2" s="70">
        <f>ESTADISTICA!I1</f>
        <v>44685</v>
      </c>
      <c r="J2" s="70">
        <f>ESTADISTICA!J1</f>
        <v>44686</v>
      </c>
      <c r="K2" s="70">
        <f>ESTADISTICA!K1</f>
        <v>44687</v>
      </c>
      <c r="L2" s="70">
        <f>ESTADISTICA!L1</f>
        <v>44688</v>
      </c>
      <c r="M2" s="70">
        <f>ESTADISTICA!M1</f>
        <v>44689</v>
      </c>
      <c r="N2" s="70">
        <f>ESTADISTICA!N1</f>
        <v>44690</v>
      </c>
      <c r="O2" s="70">
        <f>ESTADISTICA!O1</f>
        <v>44691</v>
      </c>
      <c r="P2" s="70">
        <f>ESTADISTICA!P1</f>
        <v>44692</v>
      </c>
      <c r="Q2" s="70">
        <f>ESTADISTICA!Q1</f>
        <v>44693</v>
      </c>
      <c r="R2" s="70">
        <f>ESTADISTICA!R1</f>
        <v>44694</v>
      </c>
      <c r="S2" s="70">
        <f>ESTADISTICA!S1</f>
        <v>44695</v>
      </c>
      <c r="T2" s="70">
        <f>ESTADISTICA!T1</f>
        <v>44696</v>
      </c>
      <c r="U2" s="70">
        <f>ESTADISTICA!U1</f>
        <v>44697</v>
      </c>
      <c r="V2" s="70">
        <f>ESTADISTICA!V1</f>
        <v>44698</v>
      </c>
      <c r="W2" s="70">
        <f>ESTADISTICA!W1</f>
        <v>44699</v>
      </c>
      <c r="X2" s="70">
        <f>ESTADISTICA!X1</f>
        <v>44700</v>
      </c>
      <c r="Y2" s="70">
        <f>ESTADISTICA!Y1</f>
        <v>44701</v>
      </c>
      <c r="Z2" s="70">
        <f>ESTADISTICA!Z1</f>
        <v>44702</v>
      </c>
      <c r="AA2" s="70">
        <f>ESTADISTICA!AA1</f>
        <v>44703</v>
      </c>
      <c r="AB2" s="70">
        <f>ESTADISTICA!AB1</f>
        <v>44704</v>
      </c>
      <c r="AC2" s="70">
        <f>ESTADISTICA!AC1</f>
        <v>44705</v>
      </c>
      <c r="AD2" s="70">
        <f>ESTADISTICA!AD1</f>
        <v>44706</v>
      </c>
      <c r="AE2" s="70">
        <f>ESTADISTICA!AE1</f>
        <v>44707</v>
      </c>
      <c r="AF2" s="70">
        <f>ESTADISTICA!AF1</f>
        <v>44708</v>
      </c>
      <c r="AG2" s="70">
        <f>ESTADISTICA!AG1</f>
        <v>44709</v>
      </c>
      <c r="AH2" s="11"/>
      <c r="AI2" s="11"/>
      <c r="AJ2" s="11"/>
    </row>
    <row r="3" spans="1:36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>
        <f>ESTADISTICA!P4</f>
        <v>0</v>
      </c>
      <c r="Q5">
        <f>ESTADISTICA!Q4</f>
        <v>0</v>
      </c>
      <c r="R5" t="str">
        <f>ESTADISTICA!R4</f>
        <v>APAGADO</v>
      </c>
      <c r="S5" t="str">
        <f>ESTADISTICA!S4</f>
        <v>APAGADO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 t="str">
        <f>ESTADISTICA!R8</f>
        <v>APAGADO</v>
      </c>
      <c r="S9" t="str">
        <f>ESTADISTICA!S8</f>
        <v>APAGADO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 t="str">
        <f>ESTADISTICA!J9</f>
        <v>APAGADO</v>
      </c>
      <c r="K10">
        <f>ESTADISTICA!K9</f>
        <v>0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 t="str">
        <f>ESTADISTICA!I13</f>
        <v>APAGADO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 t="str">
        <f>ESTADISTICA!S19</f>
        <v>APAGADO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 t="str">
        <f>ESTADISTICA!H25</f>
        <v>APAGADO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 t="str">
        <f>ESTADISTICA!S27</f>
        <v>APAGADO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 t="str">
        <f>ESTADISTICA!F29</f>
        <v>APAGADO</v>
      </c>
      <c r="G30">
        <f>ESTADISTICA!G29</f>
        <v>0</v>
      </c>
      <c r="H30">
        <f>ESTADISTICA!H29</f>
        <v>0</v>
      </c>
      <c r="I30" t="str">
        <f>ESTADISTICA!I29</f>
        <v>APAGADO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 t="str">
        <f>ESTADISTICA!P39</f>
        <v>APAGADO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 t="str">
        <f>ESTADISTICA!I45</f>
        <v>APAGADO</v>
      </c>
      <c r="J46">
        <f>ESTADISTICA!J45</f>
        <v>0</v>
      </c>
      <c r="K46">
        <f>ESTADISTICA!K45</f>
        <v>0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 t="str">
        <f>ESTADISTICA!I53</f>
        <v>APAGADO</v>
      </c>
      <c r="J54">
        <f>ESTADISTICA!J53</f>
        <v>0</v>
      </c>
      <c r="K54">
        <f>ESTADISTICA!K53</f>
        <v>0</v>
      </c>
      <c r="L54" t="str">
        <f>ESTADISTICA!L53</f>
        <v>APAGADO</v>
      </c>
      <c r="M54" t="str">
        <f>ESTADISTICA!M53</f>
        <v>APAGADO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 t="str">
        <f>ESTADISTICA!F55</f>
        <v>APAGADO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 t="str">
        <f>ESTADISTICA!I69</f>
        <v>APAGADO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 t="str">
        <f>ESTADISTICA!I72</f>
        <v>APAGADO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 t="str">
        <f>ESTADISTICA!I74</f>
        <v>APAGADO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>
        <f>ESTADISTICA!P77</f>
        <v>0</v>
      </c>
      <c r="Q78">
        <f>ESTADISTICA!Q77</f>
        <v>0</v>
      </c>
      <c r="R78" t="str">
        <f>ESTADISTICA!R77</f>
        <v>APAGADO</v>
      </c>
      <c r="S78" t="str">
        <f>ESTADISTICA!S77</f>
        <v>APAGADO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 t="str">
        <f>ESTADISTICA!G78</f>
        <v>APAGADO</v>
      </c>
      <c r="H79" t="str">
        <f>ESTADISTICA!H78</f>
        <v>APAGADO</v>
      </c>
      <c r="I79" t="str">
        <f>ESTADISTICA!I78</f>
        <v>APAGADO</v>
      </c>
      <c r="J79" t="str">
        <f>ESTADISTICA!J78</f>
        <v>APAGADO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 t="str">
        <f>ESTADISTICA!G79</f>
        <v>APAGADO</v>
      </c>
      <c r="H80" t="str">
        <f>ESTADISTICA!H79</f>
        <v>APAGADO</v>
      </c>
      <c r="I80" t="str">
        <f>ESTADISTICA!I79</f>
        <v>APAGADO</v>
      </c>
      <c r="J80" t="str">
        <f>ESTADISTICA!J79</f>
        <v>APAGADO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 t="str">
        <f>ESTADISTICA!S91</f>
        <v>APAGADO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 t="str">
        <f>ESTADISTICA!S96</f>
        <v>APAGADO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 t="str">
        <f>ESTADISTICA!Q100</f>
        <v>APAGADO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 t="str">
        <f>ESTADISTICA!I110</f>
        <v>APAGADO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 t="str">
        <f>ESTADISTICA!I123</f>
        <v>APAGADO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 t="str">
        <f>ESTADISTICA!F125</f>
        <v>APAGADO</v>
      </c>
      <c r="G126">
        <f>ESTADISTICA!G125</f>
        <v>0</v>
      </c>
      <c r="H126">
        <f>ESTADISTICA!H125</f>
        <v>0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 t="str">
        <f>ESTADISTICA!R130</f>
        <v>APAGADO</v>
      </c>
      <c r="S131" t="str">
        <f>ESTADISTICA!S130</f>
        <v>APAGADO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 t="str">
        <f>ESTADISTICA!N132</f>
        <v>APAGADO</v>
      </c>
      <c r="O133" t="str">
        <f>ESTADISTICA!O132</f>
        <v>APAGADO</v>
      </c>
      <c r="P133">
        <f>ESTADISTICA!P132</f>
        <v>0</v>
      </c>
      <c r="Q133">
        <f>ESTADISTICA!Q132</f>
        <v>0</v>
      </c>
      <c r="R133" t="str">
        <f>ESTADISTICA!R132</f>
        <v>APAGADO</v>
      </c>
      <c r="S133" t="str">
        <f>ESTADISTICA!S132</f>
        <v>APAGADO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 t="str">
        <f>ESTADISTICA!Q139</f>
        <v>APAGADO</v>
      </c>
      <c r="R140">
        <f>ESTADISTICA!R139</f>
        <v>0</v>
      </c>
      <c r="S140" t="str">
        <f>ESTADISTICA!S139</f>
        <v>APAGADO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 t="str">
        <f>ESTADISTICA!J141</f>
        <v>APAGADO</v>
      </c>
      <c r="K142">
        <f>ESTADISTICA!K141</f>
        <v>0</v>
      </c>
      <c r="L142" t="str">
        <f>ESTADISTICA!L141</f>
        <v>APAGADO</v>
      </c>
      <c r="M142" t="str">
        <f>ESTADISTICA!M141</f>
        <v>APAGADO</v>
      </c>
      <c r="N142" t="str">
        <f>ESTADISTICA!N141</f>
        <v>APAGADO</v>
      </c>
      <c r="O142" t="str">
        <f>ESTADISTICA!O141</f>
        <v>APAGADO</v>
      </c>
      <c r="P142" t="str">
        <f>ESTADISTICA!P141</f>
        <v>APAGADO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 t="str">
        <f>ESTADISTICA!P142</f>
        <v>APAGADO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 t="str">
        <f>ESTADISTICA!I149</f>
        <v>APAGADO</v>
      </c>
      <c r="J150">
        <f>ESTADISTICA!J149</f>
        <v>0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 t="str">
        <f>ESTADISTICA!L152</f>
        <v>APAGADO</v>
      </c>
      <c r="M153" t="str">
        <f>ESTADISTICA!M152</f>
        <v>APAGADO</v>
      </c>
      <c r="N153" t="str">
        <f>ESTADISTICA!N152</f>
        <v>APAGADO</v>
      </c>
      <c r="O153" t="str">
        <f>ESTADISTICA!O152</f>
        <v>APAGADO</v>
      </c>
      <c r="P153" t="str">
        <f>ESTADISTICA!P152</f>
        <v>APAGADO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 t="str">
        <f>ESTADISTICA!I154</f>
        <v>APAGADO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>
        <f>ESTADISTICA!P167</f>
        <v>0</v>
      </c>
      <c r="Q168">
        <f>ESTADISTICA!Q167</f>
        <v>0</v>
      </c>
      <c r="R168" t="str">
        <f>ESTADISTICA!R167</f>
        <v>APAGADO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 t="str">
        <f>ESTADISTICA!S174</f>
        <v>APAGADO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 t="str">
        <f>ESTADISTICA!L177</f>
        <v>APAGADO</v>
      </c>
      <c r="M178" t="str">
        <f>ESTADISTICA!M177</f>
        <v>APAGADO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 t="str">
        <f>ESTADISTICA!P182</f>
        <v>APAGADO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 t="str">
        <f>ESTADISTICA!R188</f>
        <v>APAGADO</v>
      </c>
      <c r="S189" t="str">
        <f>ESTADISTICA!S188</f>
        <v>APAGADO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 t="str">
        <f>ESTADISTICA!R189</f>
        <v>APAGADO</v>
      </c>
      <c r="S190" t="str">
        <f>ESTADISTICA!S189</f>
        <v>APAGADO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>
        <f>ESTADISTICA!O195</f>
        <v>0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 t="str">
        <f>ESTADISTICA!I196</f>
        <v>APAGADO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 t="str">
        <f>ESTADISTICA!I197</f>
        <v>APAGADO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 t="str">
        <f>ESTADISTICA!I200</f>
        <v>APAGADO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 t="str">
        <f>ESTADISTICA!R203</f>
        <v>APAGADO</v>
      </c>
      <c r="S204" t="str">
        <f>ESTADISTICA!S203</f>
        <v>APAGADO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 t="str">
        <f>ESTADISTICA!Q206</f>
        <v>APAGADO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 t="str">
        <f>ESTADISTICA!N207</f>
        <v>APAGADO</v>
      </c>
      <c r="O208" t="str">
        <f>ESTADISTICA!O207</f>
        <v>APAGADO</v>
      </c>
      <c r="P208">
        <f>ESTADISTICA!P207</f>
        <v>0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>
        <f>ESTADISTICA!N208</f>
        <v>0</v>
      </c>
      <c r="O209">
        <f>ESTADISTICA!O208</f>
        <v>0</v>
      </c>
      <c r="P209">
        <f>ESTADISTICA!P208</f>
        <v>0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>
        <f>ESTADISTICA!P209</f>
        <v>0</v>
      </c>
      <c r="Q210">
        <f>ESTADISTICA!Q209</f>
        <v>0</v>
      </c>
      <c r="R210" t="str">
        <f>ESTADISTICA!R209</f>
        <v>APAGADO</v>
      </c>
      <c r="S210" t="str">
        <f>ESTADISTICA!S209</f>
        <v>APAGADO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>
        <f>ESTADISTICA!J211</f>
        <v>0</v>
      </c>
      <c r="K212" t="str">
        <f>ESTADISTICA!K211</f>
        <v>APAGADO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>
        <f>ESTADISTICA!J212</f>
        <v>0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>
        <f>ESTADISTICA!P213</f>
        <v>0</v>
      </c>
      <c r="Q214">
        <f>ESTADISTICA!Q213</f>
        <v>0</v>
      </c>
      <c r="R214" t="str">
        <f>ESTADISTICA!R213</f>
        <v>APAGADO</v>
      </c>
      <c r="S214" t="str">
        <f>ESTADISTICA!S213</f>
        <v>APAGADO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 t="str">
        <f>ESTADISTICA!R214</f>
        <v>APAGADO</v>
      </c>
      <c r="S215" t="str">
        <f>ESTADISTICA!S214</f>
        <v>APAGADO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 t="str">
        <f>ESTADISTICA!L215</f>
        <v>APAGADO</v>
      </c>
      <c r="M216" t="str">
        <f>ESTADISTICA!M215</f>
        <v>APAGADO</v>
      </c>
      <c r="N216" t="str">
        <f>ESTADISTICA!N215</f>
        <v>APAGADO</v>
      </c>
      <c r="O216" t="str">
        <f>ESTADISTICA!O215</f>
        <v>APAGADO</v>
      </c>
      <c r="P216">
        <f>ESTADISTICA!P215</f>
        <v>0</v>
      </c>
      <c r="Q216" t="str">
        <f>ESTADISTICA!Q215</f>
        <v>APAGADO</v>
      </c>
      <c r="R216" t="str">
        <f>ESTADISTICA!R215</f>
        <v>APAGADO</v>
      </c>
      <c r="S216" t="str">
        <f>ESTADISTICA!S215</f>
        <v>APAGADO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>
        <f>ESTADISTICA!Q216</f>
        <v>0</v>
      </c>
      <c r="R217" t="str">
        <f>ESTADISTICA!R216</f>
        <v>APAGADO</v>
      </c>
      <c r="S217" t="str">
        <f>ESTADISTICA!S216</f>
        <v>APAGADO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 t="str">
        <f>ESTADISTICA!I217</f>
        <v>APAGADO</v>
      </c>
      <c r="J218">
        <f>ESTADISTICA!J217</f>
        <v>0</v>
      </c>
      <c r="K218" t="str">
        <f>ESTADISTICA!K217</f>
        <v>APAGADO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 t="str">
        <f>ESTADISTICA!I222</f>
        <v>APAGADO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 t="str">
        <f>ESTADISTICA!I225</f>
        <v>APAGADO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 t="str">
        <f>ESTADISTICA!Q228</f>
        <v>APAGADO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 t="str">
        <f>ESTADISTICA!P232</f>
        <v>APAGADO</v>
      </c>
      <c r="Q233" t="str">
        <f>ESTADISTICA!Q232</f>
        <v>APAGADO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 t="str">
        <f>ESTADISTICA!Q233</f>
        <v>APAGADO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 t="str">
        <f>ESTADISTICA!Q237</f>
        <v>APAGADO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 t="str">
        <f>ESTADISTICA!P242</f>
        <v>APAGADO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 t="str">
        <f>ESTADISTICA!Q243</f>
        <v>APAGADO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 t="str">
        <f>ESTADISTICA!P245</f>
        <v>APAGADO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 t="str">
        <f>ESTADISTICA!P246</f>
        <v>APAGADO</v>
      </c>
      <c r="Q247" t="str">
        <f>ESTADISTICA!Q246</f>
        <v>APAGADO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 t="str">
        <f>ESTADISTICA!P252</f>
        <v>APAGADO</v>
      </c>
      <c r="Q253" t="str">
        <f>ESTADISTICA!Q252</f>
        <v>APAGADO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 t="str">
        <f>ESTADISTICA!S262</f>
        <v>APAGADO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 t="str">
        <f>ESTADISTICA!S263</f>
        <v>APAGADO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 t="str">
        <f>ESTADISTICA!I265</f>
        <v>APAGADO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 t="str">
        <f>ESTADISTICA!I266</f>
        <v>APAGADO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 t="str">
        <f>ESTADISTICA!I271</f>
        <v>APAGADO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 t="str">
        <f>ESTADISTICA!Q271</f>
        <v>APAGADO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 t="str">
        <f>ESTADISTICA!L272</f>
        <v>APAGADO</v>
      </c>
      <c r="M273" t="str">
        <f>ESTADISTICA!M272</f>
        <v>APAGADO</v>
      </c>
      <c r="N273" t="str">
        <f>ESTADISTICA!N272</f>
        <v>APAGADO</v>
      </c>
      <c r="O273" t="str">
        <f>ESTADISTICA!O272</f>
        <v>APAGADO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 t="str">
        <f>ESTADISTICA!J278</f>
        <v>APAGADO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 t="str">
        <f>ESTADISTICA!J279</f>
        <v>APAGADO</v>
      </c>
      <c r="K280">
        <f>ESTADISTICA!K279</f>
        <v>0</v>
      </c>
      <c r="L280">
        <f>ESTADISTICA!L279</f>
        <v>0</v>
      </c>
      <c r="M280" t="str">
        <f>ESTADISTICA!M279</f>
        <v>APAGADO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 t="str">
        <f>ESTADISTICA!S279</f>
        <v>APAGADO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 t="str">
        <f>ESTADISTICA!I280</f>
        <v>APAGADO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 t="str">
        <f>ESTADISTICA!P284</f>
        <v>APAGADO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 t="str">
        <f>ESTADISTICA!S286</f>
        <v>APAGADO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 t="str">
        <f>ESTADISTICA!I287</f>
        <v>APAGADO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 t="str">
        <f>ESTADISTICA!S300</f>
        <v>APAGADO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 t="str">
        <f>ESTADISTICA!I305</f>
        <v>APAGADO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 t="str">
        <f>ESTADISTICA!P306</f>
        <v>APAGADO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 t="str">
        <f>ESTADISTICA!F307</f>
        <v>APAGADO</v>
      </c>
      <c r="G308" t="str">
        <f>ESTADISTICA!G307</f>
        <v>APAGADO</v>
      </c>
      <c r="H308" t="str">
        <f>ESTADISTICA!H307</f>
        <v>APAGADO</v>
      </c>
      <c r="I308" t="str">
        <f>ESTADISTICA!I307</f>
        <v>APAGADO</v>
      </c>
      <c r="J308" t="str">
        <f>ESTADISTICA!J307</f>
        <v>APAGADO</v>
      </c>
      <c r="K308">
        <f>ESTADISTICA!K307</f>
        <v>0</v>
      </c>
      <c r="L308" t="str">
        <f>ESTADISTICA!L307</f>
        <v>APAGADO</v>
      </c>
      <c r="M308" t="str">
        <f>ESTADISTICA!M307</f>
        <v>APAGADO</v>
      </c>
      <c r="N308">
        <f>ESTADISTICA!N307</f>
        <v>0</v>
      </c>
      <c r="O308">
        <f>ESTADISTICA!O307</f>
        <v>0</v>
      </c>
      <c r="P308" t="str">
        <f>ESTADISTICA!P307</f>
        <v>APAGADO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 t="str">
        <f>ESTADISTICA!I310</f>
        <v>APAGADO</v>
      </c>
      <c r="J311" t="str">
        <f>ESTADISTICA!J310</f>
        <v>APAGADO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 t="str">
        <f>ESTADISTICA!I311</f>
        <v>APAGADO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 t="str">
        <f>ESTADISTICA!P312</f>
        <v>APAGADO</v>
      </c>
      <c r="Q313" t="str">
        <f>ESTADISTICA!Q312</f>
        <v>APAGADO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 t="str">
        <f>ESTADISTICA!I315</f>
        <v>APAGADO</v>
      </c>
      <c r="J316" t="str">
        <f>ESTADISTICA!J315</f>
        <v>APAGADO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 t="str">
        <f>ESTADISTICA!I320</f>
        <v>APAGADO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str">
        <f>ESTADISTICA!I321</f>
        <v>APAGADO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str">
        <f>ESTADISTICA!I322</f>
        <v>APAGADO</v>
      </c>
      <c r="J323" t="str">
        <f>ESTADISTICA!J322</f>
        <v>APAGADO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str">
        <f>ESTADISTICA!I323</f>
        <v>APAGADO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 t="str">
        <f>ESTADISTICA!R324</f>
        <v>APAGADO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 t="str">
        <f>ESTADISTICA!P326</f>
        <v>APAGADO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 t="str">
        <f>ESTADISTICA!L330</f>
        <v>APAGADO</v>
      </c>
      <c r="M331" t="str">
        <f>ESTADISTICA!M330</f>
        <v>APAGADO</v>
      </c>
      <c r="N331" t="str">
        <f>ESTADISTICA!N330</f>
        <v>APAGADO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 t="str">
        <f>ESTADISTICA!K342</f>
        <v>APAGADO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 t="str">
        <f>ESTADISTICA!K343</f>
        <v>APAGADO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 t="str">
        <f>ESTADISTICA!P344</f>
        <v>APAGADO</v>
      </c>
      <c r="Q345" t="str">
        <f>ESTADISTICA!Q344</f>
        <v>APAGADO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 t="str">
        <f>ESTADISTICA!K345</f>
        <v>APAGADO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 t="str">
        <f>ESTADISTICA!I361</f>
        <v>APAGADO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 t="str">
        <f>ESTADISTICA!K370</f>
        <v>APAGADO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B309" sqref="B309:D328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2" t="s">
        <v>1320</v>
      </c>
      <c r="D1" s="53">
        <f>COUNTIFS(E4:E369,"=Fibra Optica")</f>
        <v>237</v>
      </c>
    </row>
    <row r="2" spans="1:36" ht="21" x14ac:dyDescent="0.35">
      <c r="E2" s="26" t="s">
        <v>933</v>
      </c>
      <c r="F2" s="26">
        <f>COUNTIFS(F4:F367, "=APAGADO",E4:E367,"=Fibra Optica")</f>
        <v>33</v>
      </c>
      <c r="G2" s="26">
        <f>COUNTIFS(G4:G367, "=APAGADO",E4:E367,"=Fibra Optica")</f>
        <v>24</v>
      </c>
      <c r="H2" s="26">
        <f>COUNTIFS(H4:H367, "=APAGADO",E4:E367,"=Fibra Optica")</f>
        <v>24</v>
      </c>
      <c r="I2" s="26">
        <f>COUNTIFS(I4:I367, "=APAGADO",E4:E367,"=Fibra Optica")</f>
        <v>107</v>
      </c>
      <c r="J2" s="26">
        <f>COUNTIFS(J4:J367, "=APAGADO",E4:E367,"=Fibra Optica")</f>
        <v>36</v>
      </c>
      <c r="K2" s="26">
        <f>COUNTIFS(K4:K367, "=APAGADO",E4:E367,"=Fibra Optica")</f>
        <v>40</v>
      </c>
      <c r="L2" s="26">
        <f>COUNTIFS(L4:L367, "=APAGADO",E4:E367,"=Fibra Optica")</f>
        <v>36</v>
      </c>
      <c r="M2" s="26">
        <f>COUNTIFS(M4:M367, "=APAGADO",E4:E367,"=Fibra Optica")</f>
        <v>36</v>
      </c>
      <c r="N2" s="26">
        <f>COUNTIFS(N4:N367, "=APAGADO",E4:E367,"=Fibra Optica")</f>
        <v>35</v>
      </c>
      <c r="O2" s="26">
        <f>COUNTIFS(O4:O367, "=APAGADO",E4:E367,"=Fibra Optica")</f>
        <v>31</v>
      </c>
      <c r="P2" s="26">
        <f>COUNTIFS(P4:P367, "=APAGADO",E4:E367,"=Fibra Optica")</f>
        <v>25</v>
      </c>
      <c r="Q2" s="26">
        <f>COUNTIFS(Q4:Q367, "=APAGADO",E4:E367,"=Fibra Optica")</f>
        <v>22</v>
      </c>
      <c r="R2" s="26">
        <f>COUNTIFS(R4:R367, "=APAGADO",E4:E367,"=Fibra Optica")</f>
        <v>21</v>
      </c>
      <c r="S2" s="26">
        <f>COUNTIFS(S4:S367, "=APAGADO",E4:E367,"=Fibra Optica")</f>
        <v>25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J369" xr:uid="{01697DCC-74FC-4E40-B9A4-100C171A67C1}">
    <filterColumn colId="13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H9" activePane="bottomRight" state="frozenSplit"/>
      <selection pane="topRight" activeCell="F1" sqref="F1"/>
      <selection pane="bottomLeft" activeCell="A3" sqref="A3"/>
      <selection pane="bottomRight" activeCell="X113" sqref="X11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4" t="s">
        <v>1321</v>
      </c>
      <c r="D1" s="54">
        <f>COUNTIFS(E4:E367,"=PTP A FO")</f>
        <v>38</v>
      </c>
    </row>
    <row r="2" spans="1:36" ht="21" x14ac:dyDescent="0.35">
      <c r="E2" s="26" t="s">
        <v>933</v>
      </c>
      <c r="F2" s="26">
        <f>COUNTIFS(F4:F367, "=APAGADO",E4:E367,"=PTP A FO")</f>
        <v>4</v>
      </c>
      <c r="G2" s="26">
        <f>COUNTIFS(G4:G367, "=APAGADO",E4:E367,"=PTP A FO")</f>
        <v>3</v>
      </c>
      <c r="H2" s="26">
        <f>COUNTIFS(H4:H367, "=APAGADO",E4:E367,"=PTP A FO")</f>
        <v>3</v>
      </c>
      <c r="I2" s="26">
        <f>COUNTIFS(I4:I367, "=APAGADO",E4:E367,"=PTP A FO")</f>
        <v>26</v>
      </c>
      <c r="J2" s="26">
        <f>COUNTIFS(J4:J367, "=APAGADO",E4:E367,"=PTP A FO")</f>
        <v>15</v>
      </c>
      <c r="K2" s="26">
        <f>COUNTIFS(K4:K367, "=APAGADO",E4:E367,"=PTP A FO")</f>
        <v>11</v>
      </c>
      <c r="L2" s="26">
        <f>COUNTIFS(L4:L367, "=APAGADO",E4:E367,"=PTP A FO")</f>
        <v>5</v>
      </c>
      <c r="M2" s="26">
        <f>COUNTIFS(M4:M367, "=APAGADO",E4:E367,"=PTP A FO")</f>
        <v>5</v>
      </c>
      <c r="N2" s="26">
        <f>COUNTIFS(N4:N367, "=APAGADO",E4:E367,"=PTP A FO")</f>
        <v>4</v>
      </c>
      <c r="O2" s="26">
        <f>COUNTIFS(O4:O367,"APAGADO", E4:E367,"=PTP A FO" )</f>
        <v>4</v>
      </c>
      <c r="P2" s="26">
        <f>COUNTIFS(P4:P367, "=APAGADO",E4:E367,"=PTP A FO")</f>
        <v>5</v>
      </c>
      <c r="Q2" s="26">
        <f>COUNTIFS(Q4:Q367, "=APAGADO",E4:E367,"=PTP A FO")</f>
        <v>3</v>
      </c>
      <c r="R2" s="26">
        <f>COUNTIFS(R4:R367, "=APAGADO",E4:E367,"=PTP A FO")</f>
        <v>1</v>
      </c>
      <c r="S2" s="26">
        <f>COUNTIFS(S4:S367, "=APAGADO",E4:E367,"=PTP A FO")</f>
        <v>6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2F39BBCA-B383-47C1-9E39-FB69E1A84820}">
    <filterColumn colId="4">
      <filters>
        <filter val="PTP A FO"/>
      </filters>
    </filterColumn>
    <filterColumn colId="13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H6" activePane="bottomRight" state="frozenSplit"/>
      <selection pane="topRight" activeCell="F1" sqref="F1"/>
      <selection pane="bottomLeft" activeCell="A3" sqref="A3"/>
      <selection pane="bottomRight" activeCell="AJ3" sqref="F3:AJ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4" t="s">
        <v>1322</v>
      </c>
      <c r="D1" s="54">
        <f>COUNTIFS(E4:E367,"=radio")</f>
        <v>88</v>
      </c>
    </row>
    <row r="2" spans="1:36" ht="21" x14ac:dyDescent="0.35">
      <c r="E2" s="26" t="s">
        <v>933</v>
      </c>
      <c r="F2" s="26">
        <f>COUNTIFS(F4:F367, "=APAGADO",E4:E367,"=radio")</f>
        <v>8</v>
      </c>
      <c r="G2" s="26">
        <f>COUNTIFS(G4:G367, "=APAGADO",E4:E367,"=radio")</f>
        <v>7</v>
      </c>
      <c r="H2" s="26">
        <f>COUNTIFS(H4:H367, "=APAGADO",E4:E367,"=radio")</f>
        <v>5</v>
      </c>
      <c r="I2" s="26">
        <f>COUNTIFS(I4:I367, "=APAGADO",E4:E367,"=radio")</f>
        <v>26</v>
      </c>
      <c r="J2" s="26">
        <f>COUNTIFS(J4:J367, "=APAGADO",E4:E367,"=radio")</f>
        <v>7</v>
      </c>
      <c r="K2" s="26">
        <f>COUNTIFS(K4:K367, "=APAGADO",E4:E367,"=radio")</f>
        <v>5</v>
      </c>
      <c r="L2" s="26">
        <f>COUNTIFS(L4:L367, "=APAGADO",E4:E367,"=radio")</f>
        <v>8</v>
      </c>
      <c r="M2" s="26">
        <f>COUNTIFS(M4:M367, "=APAGADO",E4:E367,"=radio")</f>
        <v>9</v>
      </c>
      <c r="N2" s="26">
        <f>COUNTIFS(N4:N367, "=APAGADO",E4:E367,"=radio")</f>
        <v>8</v>
      </c>
      <c r="O2" s="26">
        <f>COUNTIFS(O4:O367, "=APAGADO",E4:E367,"=radio")</f>
        <v>8</v>
      </c>
      <c r="P2" s="26">
        <f>COUNTIFS(P4:P367, "=APAGADO",E4:E367,"=radio")</f>
        <v>13</v>
      </c>
      <c r="Q2" s="26">
        <f>COUNTIFS(Q4:Q367, "=APAGADO",E4:E367,"=radio")</f>
        <v>11</v>
      </c>
      <c r="R2" s="26">
        <f>COUNTIFS(R4:R367, "=APAGADO",E4:E367,"=radio")</f>
        <v>7</v>
      </c>
      <c r="S2" s="26">
        <f>COUNTIFS(S4:S367, "=APAGADO",E4:E367,"=radio")</f>
        <v>6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FC730B5B-E791-4742-8990-AFF1FAD7E538}">
    <filterColumn colId="4">
      <filters>
        <filter val="Radio"/>
      </filters>
    </filterColumn>
    <filterColumn colId="13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D15" sqref="D15"/>
    </sheetView>
  </sheetViews>
  <sheetFormatPr baseColWidth="10" defaultRowHeight="15" x14ac:dyDescent="0.25"/>
  <cols>
    <col min="5" max="5" width="15.7109375" bestFit="1" customWidth="1"/>
    <col min="7" max="7" width="11.5703125" style="65"/>
  </cols>
  <sheetData>
    <row r="1" spans="1:7" x14ac:dyDescent="0.25">
      <c r="A1" t="s">
        <v>934</v>
      </c>
      <c r="B1" t="s">
        <v>20</v>
      </c>
      <c r="C1" t="s">
        <v>935</v>
      </c>
      <c r="D1" t="s">
        <v>1310</v>
      </c>
      <c r="E1" t="s">
        <v>937</v>
      </c>
      <c r="F1" t="s">
        <v>936</v>
      </c>
      <c r="G1" s="65" t="s">
        <v>1347</v>
      </c>
    </row>
    <row r="2" spans="1:7" x14ac:dyDescent="0.25">
      <c r="A2" s="25">
        <f>'APAGADOS RADIO'!F3</f>
        <v>44682</v>
      </c>
      <c r="B2">
        <f>'APAGADOS RADIO'!F2+D2</f>
        <v>12</v>
      </c>
      <c r="C2">
        <f>'APAGADOS FIBRA'!F2</f>
        <v>33</v>
      </c>
      <c r="D2">
        <f>'APAGADOS ANTENA'!F2</f>
        <v>4</v>
      </c>
      <c r="E2">
        <f t="shared" ref="E2:E7" si="0">B2+C2</f>
        <v>45</v>
      </c>
      <c r="F2">
        <f>'RESUMEN TOTAL'!C1</f>
        <v>373</v>
      </c>
      <c r="G2" s="65">
        <f t="shared" ref="G2:G14" si="1">E2/F2</f>
        <v>0.12064343163538874</v>
      </c>
    </row>
    <row r="3" spans="1:7" x14ac:dyDescent="0.25">
      <c r="A3" s="25">
        <f>'APAGADOS RADIO'!G3</f>
        <v>44683</v>
      </c>
      <c r="B3" s="59">
        <f>'APAGADOS RADIO'!G2+D3</f>
        <v>10</v>
      </c>
      <c r="C3" s="59">
        <f>'APAGADOS FIBRA'!G2</f>
        <v>24</v>
      </c>
      <c r="D3" s="59">
        <f>'APAGADOS ANTENA'!G2</f>
        <v>3</v>
      </c>
      <c r="E3" s="59">
        <f t="shared" si="0"/>
        <v>34</v>
      </c>
      <c r="F3">
        <f>'RESUMEN TOTAL'!C1</f>
        <v>373</v>
      </c>
      <c r="G3" s="65">
        <f t="shared" si="1"/>
        <v>9.1152815013404831E-2</v>
      </c>
    </row>
    <row r="4" spans="1:7" x14ac:dyDescent="0.25">
      <c r="A4" s="25">
        <f>'APAGADOS RADIO'!H3</f>
        <v>44684</v>
      </c>
      <c r="B4" s="59">
        <f>'APAGADOS RADIO'!H2+D4</f>
        <v>8</v>
      </c>
      <c r="C4" s="59">
        <f>'APAGADOS FIBRA'!H2</f>
        <v>24</v>
      </c>
      <c r="D4" s="59">
        <f>'APAGADOS ANTENA'!H2</f>
        <v>3</v>
      </c>
      <c r="E4" s="59">
        <f t="shared" si="0"/>
        <v>32</v>
      </c>
      <c r="F4">
        <f>'RESUMEN TOTAL'!C1</f>
        <v>373</v>
      </c>
      <c r="G4" s="65">
        <f t="shared" si="1"/>
        <v>8.5790884718498661E-2</v>
      </c>
    </row>
    <row r="5" spans="1:7" x14ac:dyDescent="0.25">
      <c r="A5" s="25">
        <f>'APAGADOS RADIO'!I3</f>
        <v>44685</v>
      </c>
      <c r="B5" s="59">
        <f>'APAGADOS RADIO'!I2+D5</f>
        <v>52</v>
      </c>
      <c r="C5" s="59">
        <f>'APAGADOS FIBRA'!I2</f>
        <v>107</v>
      </c>
      <c r="D5" s="59">
        <f>'APAGADOS ANTENA'!I2</f>
        <v>26</v>
      </c>
      <c r="E5" s="59">
        <f t="shared" si="0"/>
        <v>159</v>
      </c>
      <c r="F5">
        <f>'RESUMEN TOTAL'!C1</f>
        <v>373</v>
      </c>
      <c r="G5" s="65">
        <f t="shared" si="1"/>
        <v>0.42627345844504022</v>
      </c>
    </row>
    <row r="6" spans="1:7" x14ac:dyDescent="0.25">
      <c r="A6" s="25">
        <f>'APAGADOS RADIO'!J3</f>
        <v>44686</v>
      </c>
      <c r="B6" s="59">
        <f>'APAGADOS RADIO'!J2+D6</f>
        <v>22</v>
      </c>
      <c r="C6" s="59">
        <f>'APAGADOS FIBRA'!J2</f>
        <v>36</v>
      </c>
      <c r="D6" s="59">
        <f>'APAGADOS ANTENA'!J2</f>
        <v>15</v>
      </c>
      <c r="E6" s="59">
        <f t="shared" si="0"/>
        <v>58</v>
      </c>
      <c r="F6">
        <f>'RESUMEN TOTAL'!C1</f>
        <v>373</v>
      </c>
      <c r="G6" s="65">
        <f t="shared" si="1"/>
        <v>0.15549597855227881</v>
      </c>
    </row>
    <row r="7" spans="1:7" x14ac:dyDescent="0.25">
      <c r="A7" s="25">
        <f>'APAGADOS RADIO'!K3</f>
        <v>44687</v>
      </c>
      <c r="B7" s="59">
        <f>'APAGADOS RADIO'!K2+D7</f>
        <v>16</v>
      </c>
      <c r="C7" s="59">
        <f>'APAGADOS FIBRA'!K2</f>
        <v>40</v>
      </c>
      <c r="D7" s="59">
        <f>'APAGADOS ANTENA'!K2</f>
        <v>11</v>
      </c>
      <c r="E7" s="59">
        <f t="shared" si="0"/>
        <v>56</v>
      </c>
      <c r="F7">
        <f>'RESUMEN TOTAL'!C1</f>
        <v>373</v>
      </c>
      <c r="G7" s="65">
        <f t="shared" si="1"/>
        <v>0.15013404825737264</v>
      </c>
    </row>
    <row r="8" spans="1:7" x14ac:dyDescent="0.25">
      <c r="A8" s="25">
        <f>'APAGADOS RADIO'!L3</f>
        <v>44688</v>
      </c>
      <c r="B8" s="59">
        <f>'APAGADOS RADIO'!L2+D8</f>
        <v>13</v>
      </c>
      <c r="C8" s="59">
        <f>'APAGADOS FIBRA'!L2</f>
        <v>36</v>
      </c>
      <c r="D8" s="59">
        <f>'APAGADOS ANTENA'!L2</f>
        <v>5</v>
      </c>
      <c r="E8" s="59">
        <f t="shared" ref="E8:E10" si="2">B8+C8</f>
        <v>49</v>
      </c>
      <c r="F8">
        <f>'RESUMEN TOTAL'!C1</f>
        <v>373</v>
      </c>
      <c r="G8" s="65">
        <f t="shared" si="1"/>
        <v>0.13136729222520108</v>
      </c>
    </row>
    <row r="9" spans="1:7" x14ac:dyDescent="0.25">
      <c r="A9" s="25">
        <f>'APAGADOS RADIO'!M3</f>
        <v>44689</v>
      </c>
      <c r="B9" s="59">
        <f>'APAGADOS RADIO'!M2+D9</f>
        <v>14</v>
      </c>
      <c r="C9" s="59">
        <f>'APAGADOS FIBRA'!M2</f>
        <v>36</v>
      </c>
      <c r="D9" s="59">
        <f>'APAGADOS ANTENA'!M2</f>
        <v>5</v>
      </c>
      <c r="E9" s="59">
        <f t="shared" si="2"/>
        <v>50</v>
      </c>
      <c r="F9">
        <f>'RESUMEN TOTAL'!C1</f>
        <v>373</v>
      </c>
      <c r="G9" s="65">
        <f t="shared" si="1"/>
        <v>0.13404825737265416</v>
      </c>
    </row>
    <row r="10" spans="1:7" x14ac:dyDescent="0.25">
      <c r="A10" s="25">
        <f>'APAGADOS RADIO'!N3</f>
        <v>44690</v>
      </c>
      <c r="B10" s="59">
        <f>'APAGADOS RADIO'!N2+D10</f>
        <v>12</v>
      </c>
      <c r="C10" s="59">
        <f>'APAGADOS FIBRA'!N2</f>
        <v>35</v>
      </c>
      <c r="D10" s="59">
        <f>'APAGADOS ANTENA'!N2</f>
        <v>4</v>
      </c>
      <c r="E10" s="59">
        <f t="shared" si="2"/>
        <v>47</v>
      </c>
      <c r="F10">
        <f>'RESUMEN TOTAL'!C1</f>
        <v>373</v>
      </c>
      <c r="G10" s="65">
        <f t="shared" si="1"/>
        <v>0.12600536193029491</v>
      </c>
    </row>
    <row r="11" spans="1:7" x14ac:dyDescent="0.25">
      <c r="A11" s="25">
        <f>'APAGADOS RADIO'!O3</f>
        <v>44691</v>
      </c>
      <c r="B11" s="59">
        <f>'APAGADOS RADIO'!O2+D11</f>
        <v>12</v>
      </c>
      <c r="C11" s="59">
        <f>'APAGADOS FIBRA'!O2</f>
        <v>31</v>
      </c>
      <c r="D11" s="59">
        <f>'APAGADOS ANTENA'!O2</f>
        <v>4</v>
      </c>
      <c r="E11" s="59">
        <f t="shared" ref="E11" si="3">B11+C11</f>
        <v>43</v>
      </c>
      <c r="F11">
        <f>'RESUMEN TOTAL'!C1</f>
        <v>373</v>
      </c>
      <c r="G11" s="65">
        <f t="shared" si="1"/>
        <v>0.11528150134048257</v>
      </c>
    </row>
    <row r="12" spans="1:7" x14ac:dyDescent="0.25">
      <c r="A12" s="25">
        <f>'APAGADOS RADIO'!P3</f>
        <v>44692</v>
      </c>
      <c r="B12" s="59">
        <f>'APAGADOS RADIO'!P2+D12</f>
        <v>18</v>
      </c>
      <c r="C12" s="59">
        <f>'APAGADOS FIBRA'!P2</f>
        <v>25</v>
      </c>
      <c r="D12" s="59">
        <f>'APAGADOS ANTENA'!P2</f>
        <v>5</v>
      </c>
      <c r="E12" s="59">
        <f t="shared" ref="E12:E14" si="4">B12+C12</f>
        <v>43</v>
      </c>
      <c r="F12">
        <f>'RESUMEN TOTAL'!C1</f>
        <v>373</v>
      </c>
      <c r="G12" s="65">
        <f t="shared" si="1"/>
        <v>0.11528150134048257</v>
      </c>
    </row>
    <row r="13" spans="1:7" x14ac:dyDescent="0.25">
      <c r="A13" s="25">
        <f>'APAGADOS RADIO'!Q3</f>
        <v>44693</v>
      </c>
      <c r="B13" s="59">
        <f>'APAGADOS RADIO'!Q2+D13</f>
        <v>14</v>
      </c>
      <c r="C13" s="59">
        <f>'APAGADOS FIBRA'!Q2</f>
        <v>22</v>
      </c>
      <c r="D13" s="59">
        <f>'APAGADOS ANTENA'!Q2</f>
        <v>3</v>
      </c>
      <c r="E13" s="59">
        <f t="shared" si="4"/>
        <v>36</v>
      </c>
      <c r="F13">
        <f>'RESUMEN TOTAL'!C1</f>
        <v>373</v>
      </c>
      <c r="G13" s="65">
        <f t="shared" si="1"/>
        <v>9.6514745308310987E-2</v>
      </c>
    </row>
    <row r="14" spans="1:7" x14ac:dyDescent="0.25">
      <c r="A14" s="25">
        <f>'APAGADOS RADIO'!R3</f>
        <v>44694</v>
      </c>
      <c r="B14" s="59">
        <f>'APAGADOS RADIO'!R2+D14</f>
        <v>8</v>
      </c>
      <c r="C14" s="59">
        <f>'APAGADOS FIBRA'!R2</f>
        <v>21</v>
      </c>
      <c r="D14" s="59">
        <f>'APAGADOS ANTENA'!R2</f>
        <v>1</v>
      </c>
      <c r="E14" s="59">
        <f t="shared" si="4"/>
        <v>29</v>
      </c>
      <c r="F14">
        <f>'RESUMEN TOTAL'!C1</f>
        <v>373</v>
      </c>
      <c r="G14" s="65">
        <f t="shared" si="1"/>
        <v>7.7747989276139406E-2</v>
      </c>
    </row>
    <row r="15" spans="1:7" x14ac:dyDescent="0.25">
      <c r="A15" s="25">
        <f>'APAGADOS RADIO'!S3</f>
        <v>44695</v>
      </c>
      <c r="B15" s="59"/>
      <c r="C15" s="59"/>
      <c r="D15" s="59"/>
      <c r="E15" s="59"/>
      <c r="F15">
        <f>'RESUMEN TOTAL'!C1</f>
        <v>373</v>
      </c>
    </row>
    <row r="16" spans="1:7" x14ac:dyDescent="0.25">
      <c r="A16" s="25">
        <f>'APAGADOS RADIO'!T3</f>
        <v>44696</v>
      </c>
      <c r="B16" s="59"/>
      <c r="C16" s="59"/>
      <c r="D16" s="59"/>
      <c r="E16" s="59"/>
      <c r="F16">
        <f>'RESUMEN TOTAL'!C1</f>
        <v>373</v>
      </c>
    </row>
    <row r="17" spans="1:6" x14ac:dyDescent="0.25">
      <c r="A17" s="25">
        <f>'APAGADOS RADIO'!U3</f>
        <v>44697</v>
      </c>
      <c r="B17" s="59"/>
      <c r="C17" s="59"/>
      <c r="D17" s="59"/>
      <c r="E17" s="59"/>
      <c r="F17">
        <f>'RESUMEN TOTAL'!C1</f>
        <v>373</v>
      </c>
    </row>
    <row r="18" spans="1:6" x14ac:dyDescent="0.25">
      <c r="A18" s="25">
        <f>'APAGADOS RADIO'!V3</f>
        <v>44698</v>
      </c>
      <c r="B18" s="59"/>
      <c r="C18" s="59"/>
      <c r="D18" s="59"/>
      <c r="E18" s="59"/>
      <c r="F18">
        <f>'RESUMEN TOTAL'!C1</f>
        <v>373</v>
      </c>
    </row>
    <row r="19" spans="1:6" x14ac:dyDescent="0.25">
      <c r="A19" s="25">
        <f>'APAGADOS RADIO'!W3</f>
        <v>44699</v>
      </c>
      <c r="B19" s="59"/>
      <c r="C19" s="59"/>
      <c r="D19" s="59"/>
      <c r="E19" s="59"/>
      <c r="F19">
        <f>'RESUMEN TOTAL'!C1</f>
        <v>373</v>
      </c>
    </row>
    <row r="20" spans="1:6" x14ac:dyDescent="0.25">
      <c r="A20" s="25">
        <f>'APAGADOS RADIO'!X3</f>
        <v>44700</v>
      </c>
      <c r="B20" s="59"/>
      <c r="C20" s="59"/>
      <c r="D20" s="59"/>
      <c r="E20" s="59"/>
      <c r="F20">
        <f>'RESUMEN TOTAL'!C1</f>
        <v>373</v>
      </c>
    </row>
    <row r="21" spans="1:6" x14ac:dyDescent="0.25">
      <c r="A21" s="25">
        <f>'APAGADOS RADIO'!Y3</f>
        <v>44701</v>
      </c>
      <c r="B21" s="59"/>
      <c r="C21" s="59"/>
      <c r="D21" s="59"/>
      <c r="E21" s="59"/>
      <c r="F21">
        <f>'RESUMEN TOTAL'!C1</f>
        <v>373</v>
      </c>
    </row>
    <row r="22" spans="1:6" x14ac:dyDescent="0.25">
      <c r="A22" s="25">
        <f>'APAGADOS RADIO'!Z3</f>
        <v>44702</v>
      </c>
      <c r="B22" s="59"/>
      <c r="C22" s="59"/>
      <c r="D22" s="59"/>
      <c r="E22" s="59"/>
      <c r="F22">
        <f>'RESUMEN TOTAL'!C1</f>
        <v>373</v>
      </c>
    </row>
    <row r="23" spans="1:6" x14ac:dyDescent="0.25">
      <c r="A23" s="25">
        <f>'APAGADOS RADIO'!AA3</f>
        <v>44703</v>
      </c>
      <c r="B23" s="59"/>
      <c r="C23" s="59"/>
      <c r="D23" s="59"/>
      <c r="E23" s="59"/>
      <c r="F23">
        <f>'RESUMEN TOTAL'!C1</f>
        <v>373</v>
      </c>
    </row>
    <row r="24" spans="1:6" x14ac:dyDescent="0.25">
      <c r="A24" s="25">
        <f>'APAGADOS RADIO'!AB3</f>
        <v>44704</v>
      </c>
      <c r="B24" s="59"/>
      <c r="C24" s="59"/>
      <c r="D24" s="59"/>
      <c r="E24" s="59"/>
      <c r="F24">
        <f>'RESUMEN TOTAL'!C1</f>
        <v>373</v>
      </c>
    </row>
    <row r="25" spans="1:6" x14ac:dyDescent="0.25">
      <c r="A25" s="25">
        <f>'APAGADOS RADIO'!AC3</f>
        <v>44705</v>
      </c>
      <c r="B25" s="59"/>
      <c r="C25" s="59"/>
      <c r="D25" s="59"/>
      <c r="E25" s="59"/>
      <c r="F25">
        <f>'RESUMEN TOTAL'!C1</f>
        <v>373</v>
      </c>
    </row>
    <row r="26" spans="1:6" x14ac:dyDescent="0.25">
      <c r="A26" s="25">
        <f>'APAGADOS RADIO'!AD3</f>
        <v>44706</v>
      </c>
      <c r="B26" s="59"/>
      <c r="C26" s="59"/>
      <c r="D26" s="59"/>
      <c r="E26" s="59"/>
      <c r="F26">
        <f>'RESUMEN TOTAL'!C1</f>
        <v>373</v>
      </c>
    </row>
    <row r="27" spans="1:6" x14ac:dyDescent="0.25">
      <c r="A27" s="25">
        <f>'APAGADOS RADIO'!AE3</f>
        <v>44707</v>
      </c>
      <c r="B27" s="59"/>
      <c r="C27" s="59"/>
      <c r="D27" s="59"/>
      <c r="E27" s="59"/>
      <c r="F27">
        <f>'RESUMEN TOTAL'!C1</f>
        <v>373</v>
      </c>
    </row>
    <row r="28" spans="1:6" x14ac:dyDescent="0.25">
      <c r="A28" s="25">
        <f>'APAGADOS RADIO'!AF3</f>
        <v>44708</v>
      </c>
      <c r="B28" s="59"/>
      <c r="C28" s="59"/>
      <c r="D28" s="59"/>
      <c r="E28" s="59"/>
      <c r="F28">
        <f>'RESUMEN TOTAL'!C1</f>
        <v>373</v>
      </c>
    </row>
    <row r="29" spans="1:6" x14ac:dyDescent="0.25">
      <c r="A29" s="25">
        <f>'APAGADOS RADIO'!AG3</f>
        <v>44709</v>
      </c>
      <c r="B29" s="59"/>
      <c r="C29" s="59"/>
      <c r="D29" s="59"/>
      <c r="E29" s="59"/>
      <c r="F29">
        <f>'RESUMEN TOTAL'!C1</f>
        <v>373</v>
      </c>
    </row>
    <row r="30" spans="1:6" x14ac:dyDescent="0.25">
      <c r="A30" s="25">
        <f>'APAGADOS RADIO'!AH3</f>
        <v>44710</v>
      </c>
      <c r="B30" s="59"/>
      <c r="C30" s="59"/>
      <c r="D30" s="59"/>
      <c r="E30" s="59"/>
      <c r="F30">
        <f>'RESUMEN TOTAL'!C1</f>
        <v>373</v>
      </c>
    </row>
    <row r="31" spans="1:6" x14ac:dyDescent="0.25">
      <c r="A31" s="25">
        <f>'APAGADOS RADIO'!AI3</f>
        <v>44711</v>
      </c>
      <c r="F31">
        <f>'RESUMEN TOTAL'!C1</f>
        <v>373</v>
      </c>
    </row>
    <row r="32" spans="1:6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65"/>
    </row>
    <row r="36" spans="1:30" s="30" customFormat="1" x14ac:dyDescent="0.25">
      <c r="G36" s="65"/>
    </row>
    <row r="37" spans="1:30" s="20" customFormat="1" x14ac:dyDescent="0.25">
      <c r="G37" s="65"/>
    </row>
    <row r="40" spans="1:30" x14ac:dyDescent="0.25">
      <c r="A40" s="59"/>
      <c r="B40" s="59"/>
    </row>
    <row r="41" spans="1:30" x14ac:dyDescent="0.25">
      <c r="A41" s="59"/>
      <c r="B41" s="59"/>
      <c r="D41" s="25"/>
      <c r="E41" s="65"/>
    </row>
    <row r="42" spans="1:30" x14ac:dyDescent="0.25">
      <c r="A42" s="59"/>
      <c r="B42" s="59"/>
      <c r="D42" s="25"/>
      <c r="E42" s="65"/>
    </row>
    <row r="43" spans="1:30" x14ac:dyDescent="0.25">
      <c r="A43" s="59"/>
      <c r="B43" s="59"/>
      <c r="D43" s="25"/>
      <c r="E43" s="65"/>
    </row>
    <row r="44" spans="1:30" x14ac:dyDescent="0.25">
      <c r="A44" s="59"/>
      <c r="B44" s="59"/>
      <c r="D44" s="25"/>
      <c r="E44" s="65"/>
    </row>
    <row r="45" spans="1:30" x14ac:dyDescent="0.25">
      <c r="A45" s="59"/>
      <c r="B45" s="59"/>
      <c r="D45" s="25"/>
      <c r="E45" s="65"/>
    </row>
    <row r="46" spans="1:30" x14ac:dyDescent="0.25">
      <c r="A46" s="59"/>
      <c r="B46" s="59"/>
      <c r="D46" s="25"/>
      <c r="E46" s="65"/>
    </row>
    <row r="47" spans="1:30" x14ac:dyDescent="0.25">
      <c r="A47" s="59"/>
      <c r="B47" s="59"/>
      <c r="D47" s="25"/>
      <c r="E47" s="65"/>
    </row>
    <row r="48" spans="1:30" x14ac:dyDescent="0.25">
      <c r="A48" s="59"/>
      <c r="B48" s="59"/>
      <c r="D48" s="25"/>
      <c r="E48" s="65"/>
    </row>
    <row r="49" spans="1:5" x14ac:dyDescent="0.25">
      <c r="A49" s="59"/>
      <c r="B49" s="59"/>
      <c r="D49" s="25"/>
      <c r="E49" s="65"/>
    </row>
    <row r="50" spans="1:5" x14ac:dyDescent="0.25">
      <c r="A50" s="59"/>
      <c r="B50" s="59"/>
      <c r="D50" s="25"/>
      <c r="E50" s="65"/>
    </row>
    <row r="51" spans="1:5" x14ac:dyDescent="0.25">
      <c r="A51" s="59"/>
      <c r="B51" s="59"/>
      <c r="D51" s="25"/>
      <c r="E51" s="65"/>
    </row>
    <row r="52" spans="1:5" x14ac:dyDescent="0.25">
      <c r="A52" s="59"/>
      <c r="B52" s="59"/>
      <c r="D52" s="25"/>
      <c r="E52" s="65"/>
    </row>
    <row r="53" spans="1:5" x14ac:dyDescent="0.25">
      <c r="A53" s="59"/>
      <c r="B53" s="59"/>
      <c r="D53" s="25"/>
      <c r="E53" s="65"/>
    </row>
    <row r="54" spans="1:5" x14ac:dyDescent="0.25">
      <c r="A54" s="59"/>
      <c r="B54" s="59"/>
      <c r="D54" s="25"/>
      <c r="E54" s="65"/>
    </row>
    <row r="55" spans="1:5" x14ac:dyDescent="0.25">
      <c r="A55" s="59"/>
      <c r="B55" s="59"/>
      <c r="D55" s="25"/>
      <c r="E55" s="65"/>
    </row>
    <row r="56" spans="1:5" x14ac:dyDescent="0.25">
      <c r="A56" s="59"/>
      <c r="B56" s="59"/>
      <c r="D56" s="25"/>
      <c r="E56" s="65"/>
    </row>
    <row r="57" spans="1:5" x14ac:dyDescent="0.25">
      <c r="A57" s="59"/>
      <c r="B57" s="59"/>
      <c r="D57" s="25"/>
      <c r="E57" s="65"/>
    </row>
    <row r="58" spans="1:5" x14ac:dyDescent="0.25">
      <c r="A58" s="59"/>
      <c r="B58" s="59"/>
      <c r="D58" s="25"/>
      <c r="E58" s="65"/>
    </row>
    <row r="59" spans="1:5" x14ac:dyDescent="0.25">
      <c r="A59" s="59"/>
      <c r="B59" s="59"/>
      <c r="D59" s="25"/>
      <c r="E59" s="65"/>
    </row>
    <row r="60" spans="1:5" x14ac:dyDescent="0.25">
      <c r="A60" s="59"/>
      <c r="B60" s="59"/>
      <c r="D60" s="25"/>
      <c r="E60" s="65"/>
    </row>
    <row r="61" spans="1:5" x14ac:dyDescent="0.25">
      <c r="A61" s="59"/>
      <c r="B61" s="59"/>
      <c r="D61" s="25"/>
    </row>
    <row r="62" spans="1:5" x14ac:dyDescent="0.25">
      <c r="A62" s="59"/>
      <c r="B62" s="59"/>
      <c r="D62" s="25"/>
    </row>
    <row r="63" spans="1:5" x14ac:dyDescent="0.25">
      <c r="A63" s="59"/>
      <c r="B63" s="59"/>
      <c r="D63" s="25"/>
    </row>
    <row r="64" spans="1:5" x14ac:dyDescent="0.25">
      <c r="A64" s="59"/>
      <c r="B64" s="59"/>
      <c r="D64" s="25"/>
    </row>
    <row r="65" spans="1:4" x14ac:dyDescent="0.25">
      <c r="A65" s="59"/>
      <c r="B65" s="59"/>
      <c r="D65" s="25"/>
    </row>
    <row r="66" spans="1:4" x14ac:dyDescent="0.25">
      <c r="A66" s="59"/>
      <c r="B66" s="59"/>
      <c r="D66" s="25"/>
    </row>
    <row r="67" spans="1:4" x14ac:dyDescent="0.25">
      <c r="A67" s="59"/>
      <c r="B67" s="59"/>
      <c r="D67" s="25"/>
    </row>
    <row r="68" spans="1:4" x14ac:dyDescent="0.25">
      <c r="A68" s="59"/>
      <c r="B68" s="59"/>
      <c r="D68" s="25"/>
    </row>
    <row r="69" spans="1:4" x14ac:dyDescent="0.25">
      <c r="A69" s="59"/>
      <c r="B69" s="59"/>
      <c r="D69" s="25"/>
    </row>
    <row r="70" spans="1:4" x14ac:dyDescent="0.25">
      <c r="A70" s="59"/>
      <c r="B70" s="59"/>
      <c r="D70" s="2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GRAFICO2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2022-05-16T11:11:00Z</dcterms:modified>
</cp:coreProperties>
</file>