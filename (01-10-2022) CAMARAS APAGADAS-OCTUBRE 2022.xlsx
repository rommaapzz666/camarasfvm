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8_{FFE16D66-0793-4DEC-9986-548061824650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TOTAL'!$A$4:$AN$422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" i="2" l="1"/>
  <c r="AO1" i="2" s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J425" i="2" s="1"/>
  <c r="H426" i="2"/>
  <c r="I426" i="2"/>
  <c r="H427" i="2"/>
  <c r="I427" i="2"/>
  <c r="H428" i="2"/>
  <c r="I428" i="2"/>
  <c r="H429" i="2"/>
  <c r="I429" i="2"/>
  <c r="H430" i="2"/>
  <c r="I430" i="2"/>
  <c r="J430" i="2" s="1"/>
  <c r="H431" i="2"/>
  <c r="I431" i="2"/>
  <c r="J431" i="2" l="1"/>
  <c r="J253" i="2"/>
  <c r="J429" i="2"/>
  <c r="J428" i="2"/>
  <c r="J424" i="2"/>
  <c r="J427" i="2"/>
  <c r="J252" i="2"/>
  <c r="J423" i="2"/>
  <c r="J426" i="2"/>
  <c r="J128" i="2"/>
  <c r="J127" i="2"/>
  <c r="J130" i="2"/>
  <c r="J129" i="2"/>
  <c r="D73" i="24"/>
  <c r="C74" i="24"/>
  <c r="C75" i="24" s="1"/>
  <c r="C6" i="26"/>
  <c r="C4" i="26"/>
  <c r="B4" i="25"/>
  <c r="B2" i="25"/>
  <c r="C69" i="24"/>
  <c r="D69" i="24" s="1"/>
  <c r="D68" i="24"/>
  <c r="D63" i="24"/>
  <c r="C64" i="24"/>
  <c r="C65" i="24" s="1"/>
  <c r="D58" i="24"/>
  <c r="C59" i="24"/>
  <c r="D59" i="24" s="1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D74" i="24" l="1"/>
  <c r="D75" i="24"/>
  <c r="C76" i="24"/>
  <c r="D76" i="24" s="1"/>
  <c r="C70" i="24"/>
  <c r="D64" i="24"/>
  <c r="D65" i="24"/>
  <c r="C66" i="24"/>
  <c r="D66" i="24" s="1"/>
  <c r="J382" i="2"/>
  <c r="J383" i="2"/>
  <c r="C60" i="24"/>
  <c r="J381" i="2"/>
  <c r="J380" i="2"/>
  <c r="J261" i="2"/>
  <c r="C56" i="24"/>
  <c r="D56" i="24" s="1"/>
  <c r="D55" i="24"/>
  <c r="D54" i="24"/>
  <c r="J264" i="2"/>
  <c r="J306" i="2"/>
  <c r="J110" i="2"/>
  <c r="J109" i="2"/>
  <c r="J263" i="2"/>
  <c r="J262" i="2"/>
  <c r="J305" i="2"/>
  <c r="D48" i="24"/>
  <c r="C49" i="24"/>
  <c r="C50" i="24" s="1"/>
  <c r="D43" i="24"/>
  <c r="C44" i="24"/>
  <c r="C45" i="24" s="1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D38" i="24"/>
  <c r="C39" i="24"/>
  <c r="D39" i="24" s="1"/>
  <c r="D70" i="24" l="1"/>
  <c r="C71" i="24"/>
  <c r="D71" i="24" s="1"/>
  <c r="D60" i="24"/>
  <c r="C61" i="24"/>
  <c r="D61" i="24" s="1"/>
  <c r="J94" i="2"/>
  <c r="D49" i="24"/>
  <c r="D50" i="24"/>
  <c r="C51" i="24"/>
  <c r="D51" i="24" s="1"/>
  <c r="J418" i="2"/>
  <c r="J96" i="2"/>
  <c r="J417" i="2"/>
  <c r="J95" i="2"/>
  <c r="D44" i="24"/>
  <c r="C46" i="24"/>
  <c r="D46" i="24" s="1"/>
  <c r="D45" i="24"/>
  <c r="C40" i="24"/>
  <c r="D40" i="24" l="1"/>
  <c r="C41" i="24"/>
  <c r="D41" i="24" s="1"/>
  <c r="B1" i="2" l="1"/>
  <c r="F31" i="14" s="1"/>
  <c r="H257" i="2"/>
  <c r="I257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32" i="2"/>
  <c r="I332" i="2"/>
  <c r="H333" i="2"/>
  <c r="I333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D3" i="24"/>
  <c r="C4" i="24"/>
  <c r="D4" i="24" s="1"/>
  <c r="F29" i="14" l="1"/>
  <c r="F30" i="14"/>
  <c r="F23" i="14"/>
  <c r="F28" i="14"/>
  <c r="F27" i="14"/>
  <c r="F26" i="14"/>
  <c r="F25" i="14"/>
  <c r="F24" i="14"/>
  <c r="F21" i="14"/>
  <c r="F22" i="14"/>
  <c r="F20" i="14"/>
  <c r="F19" i="14"/>
  <c r="F18" i="14"/>
  <c r="J257" i="2"/>
  <c r="J93" i="2"/>
  <c r="S401" i="21"/>
  <c r="R399" i="9"/>
  <c r="A399" i="9"/>
  <c r="C35" i="24"/>
  <c r="C30" i="24"/>
  <c r="D24" i="24"/>
  <c r="D25" i="24"/>
  <c r="C26" i="24"/>
  <c r="D26" i="24" s="1"/>
  <c r="J332" i="2"/>
  <c r="J333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C5" i="24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D31" i="14" s="1"/>
  <c r="AH2" i="21"/>
  <c r="D30" i="14" s="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B23" i="14" s="1"/>
  <c r="D9" i="14"/>
  <c r="D11" i="14"/>
  <c r="AH2" i="11"/>
  <c r="B30" i="14" s="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AG2" i="11"/>
  <c r="R2" i="11"/>
  <c r="B14" i="14" s="1"/>
  <c r="AB2" i="11"/>
  <c r="B24" i="14" s="1"/>
  <c r="V2" i="11"/>
  <c r="B18" i="14" s="1"/>
  <c r="Q2" i="11"/>
  <c r="B13" i="14" s="1"/>
  <c r="AC2" i="11"/>
  <c r="B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l="1"/>
  <c r="G19" i="14" s="1"/>
  <c r="E31" i="14"/>
  <c r="G31" i="14" s="1"/>
  <c r="B29" i="14"/>
  <c r="E29" i="14" s="1"/>
  <c r="G29" i="14" s="1"/>
  <c r="E26" i="14"/>
  <c r="G26" i="14" s="1"/>
  <c r="E30" i="14"/>
  <c r="G30" i="14" s="1"/>
  <c r="E25" i="14"/>
  <c r="G25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<sst xmlns="http://schemas.openxmlformats.org/spreadsheetml/2006/main" count="3121" uniqueCount="1278">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</sst>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7"/>
  <sheetViews>
    <sheetView tabSelected="1" zoomScale="80" zoomScaleNormal="80" workbookViewId="0">
      <pane xSplit="10" ySplit="4" topLeftCell="K217" activePane="bottomRight" state="frozen"/>
      <selection pane="topRight" activeCell="M1" sqref="M1"/>
      <selection pane="bottomLeft" activeCell="A5" sqref="A5"/>
      <selection pane="bottomRight" activeCell="K228" sqref="K228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415</v>
      </c>
      <c r="M2" s="10">
        <f t="shared" si="2"/>
        <v>415</v>
      </c>
      <c r="N2" s="10">
        <f t="shared" si="2"/>
        <v>415</v>
      </c>
      <c r="O2" s="10">
        <f t="shared" si="2"/>
        <v>415</v>
      </c>
      <c r="P2" s="10">
        <f t="shared" si="2"/>
        <v>415</v>
      </c>
      <c r="Q2" s="10">
        <f t="shared" si="2"/>
        <v>415</v>
      </c>
      <c r="R2" s="10">
        <f t="shared" si="2"/>
        <v>415</v>
      </c>
      <c r="S2" s="10">
        <f t="shared" si="2"/>
        <v>415</v>
      </c>
      <c r="T2" s="10">
        <f t="shared" si="2"/>
        <v>415</v>
      </c>
      <c r="U2" s="10">
        <f t="shared" si="2"/>
        <v>415</v>
      </c>
      <c r="V2" s="10">
        <f t="shared" si="2"/>
        <v>415</v>
      </c>
      <c r="W2" s="10">
        <f t="shared" si="2"/>
        <v>415</v>
      </c>
      <c r="X2" s="10">
        <f t="shared" si="2"/>
        <v>415</v>
      </c>
      <c r="Y2" s="10">
        <f t="shared" si="2"/>
        <v>415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0</v>
      </c>
      <c r="M3" s="14">
        <f t="shared" si="5"/>
        <v>0</v>
      </c>
      <c r="N3" s="14">
        <f t="shared" si="5"/>
        <v>0</v>
      </c>
      <c r="O3" s="14">
        <f t="shared" si="5"/>
        <v>0</v>
      </c>
      <c r="P3" s="14">
        <f t="shared" si="5"/>
        <v>0</v>
      </c>
      <c r="Q3" s="14">
        <f t="shared" si="5"/>
        <v>0</v>
      </c>
      <c r="R3" s="14">
        <f t="shared" si="5"/>
        <v>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29</v>
      </c>
      <c r="I8" s="16">
        <f t="shared" si="6"/>
        <v>1</v>
      </c>
      <c r="J8" s="17">
        <f t="shared" si="7"/>
        <v>0.96666666666666667</v>
      </c>
      <c r="K8" s="26" t="s">
        <v>1277</v>
      </c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29</v>
      </c>
      <c r="I9" s="16">
        <f>COUNTIF(K9:AL9,"APAGADO")</f>
        <v>1</v>
      </c>
      <c r="J9" s="17">
        <f>(H9)/(I9+H9)</f>
        <v>0.96666666666666667</v>
      </c>
      <c r="K9" s="26" t="s">
        <v>1277</v>
      </c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30</v>
      </c>
      <c r="I10" s="16">
        <f t="shared" si="6"/>
        <v>0</v>
      </c>
      <c r="J10" s="17">
        <f t="shared" si="7"/>
        <v>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29</v>
      </c>
      <c r="I14" s="16">
        <f t="shared" si="6"/>
        <v>1</v>
      </c>
      <c r="J14" s="17">
        <f t="shared" si="7"/>
        <v>0.96666666666666667</v>
      </c>
      <c r="K14" s="26" t="s">
        <v>1277</v>
      </c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30</v>
      </c>
      <c r="I15" s="16">
        <f t="shared" si="6"/>
        <v>0</v>
      </c>
      <c r="J15" s="17">
        <f t="shared" si="7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29</v>
      </c>
      <c r="I16" s="16">
        <f t="shared" si="6"/>
        <v>1</v>
      </c>
      <c r="J16" s="17">
        <f t="shared" si="7"/>
        <v>0.96666666666666667</v>
      </c>
      <c r="K16" s="26" t="s">
        <v>1277</v>
      </c>
      <c r="L16" s="8"/>
      <c r="M16" s="8"/>
      <c r="N16" s="8"/>
      <c r="O16" s="26"/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30</v>
      </c>
      <c r="I17" s="16">
        <f t="shared" si="6"/>
        <v>0</v>
      </c>
      <c r="J17" s="17">
        <f t="shared" si="7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30</v>
      </c>
      <c r="I18" s="16">
        <f t="shared" si="6"/>
        <v>0</v>
      </c>
      <c r="J18" s="17">
        <f t="shared" si="7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30</v>
      </c>
      <c r="I19" s="16">
        <f t="shared" si="6"/>
        <v>0</v>
      </c>
      <c r="J19" s="17">
        <f t="shared" si="7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30</v>
      </c>
      <c r="I22" s="16">
        <f t="shared" si="6"/>
        <v>0</v>
      </c>
      <c r="J22" s="17">
        <f t="shared" si="7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30</v>
      </c>
      <c r="I23" s="16">
        <f t="shared" si="6"/>
        <v>0</v>
      </c>
      <c r="J23" s="17">
        <f t="shared" si="7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30</v>
      </c>
      <c r="I26" s="16">
        <f t="shared" si="6"/>
        <v>0</v>
      </c>
      <c r="J26" s="17">
        <f t="shared" si="7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29</v>
      </c>
      <c r="I31" s="16">
        <f t="shared" si="6"/>
        <v>1</v>
      </c>
      <c r="J31" s="17">
        <f t="shared" si="7"/>
        <v>0.96666666666666667</v>
      </c>
      <c r="K31" s="26" t="s">
        <v>1277</v>
      </c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30</v>
      </c>
      <c r="I32" s="16">
        <f t="shared" si="6"/>
        <v>0</v>
      </c>
      <c r="J32" s="17">
        <f t="shared" si="7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30</v>
      </c>
      <c r="I33" s="16">
        <f t="shared" si="6"/>
        <v>0</v>
      </c>
      <c r="J33" s="17">
        <f t="shared" si="7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29</v>
      </c>
      <c r="I34" s="16">
        <f t="shared" si="6"/>
        <v>1</v>
      </c>
      <c r="J34" s="17">
        <f t="shared" si="7"/>
        <v>0.96666666666666667</v>
      </c>
      <c r="K34" s="26" t="s">
        <v>1277</v>
      </c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29</v>
      </c>
      <c r="I36" s="16">
        <f t="shared" si="6"/>
        <v>1</v>
      </c>
      <c r="J36" s="17">
        <f t="shared" si="7"/>
        <v>0.96666666666666667</v>
      </c>
      <c r="K36" s="26" t="s">
        <v>1277</v>
      </c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30</v>
      </c>
      <c r="I37" s="16">
        <f t="shared" si="6"/>
        <v>0</v>
      </c>
      <c r="J37" s="17">
        <f t="shared" si="7"/>
        <v>1</v>
      </c>
      <c r="K37" s="26"/>
      <c r="L37" s="8"/>
      <c r="M37" s="8"/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30</v>
      </c>
      <c r="I39" s="16">
        <f t="shared" si="6"/>
        <v>0</v>
      </c>
      <c r="J39" s="17">
        <f t="shared" si="7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30</v>
      </c>
      <c r="I40" s="16">
        <f t="shared" si="6"/>
        <v>0</v>
      </c>
      <c r="J40" s="17">
        <f t="shared" si="7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30</v>
      </c>
      <c r="I41" s="16">
        <f t="shared" si="6"/>
        <v>0</v>
      </c>
      <c r="J41" s="17">
        <f t="shared" si="7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29</v>
      </c>
      <c r="I42" s="16">
        <f t="shared" si="6"/>
        <v>1</v>
      </c>
      <c r="J42" s="17">
        <f t="shared" si="7"/>
        <v>0.96666666666666667</v>
      </c>
      <c r="K42" s="26" t="s">
        <v>1277</v>
      </c>
      <c r="L42" s="8"/>
      <c r="M42" s="8"/>
      <c r="N42" s="8"/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30</v>
      </c>
      <c r="I44" s="16">
        <f t="shared" si="6"/>
        <v>0</v>
      </c>
      <c r="J44" s="17">
        <f t="shared" si="7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30</v>
      </c>
      <c r="I45" s="16">
        <f t="shared" si="6"/>
        <v>0</v>
      </c>
      <c r="J45" s="17">
        <f t="shared" si="7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30</v>
      </c>
      <c r="I46" s="16">
        <f t="shared" si="6"/>
        <v>0</v>
      </c>
      <c r="J46" s="17">
        <f t="shared" si="7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30</v>
      </c>
      <c r="I47" s="16">
        <f t="shared" si="6"/>
        <v>0</v>
      </c>
      <c r="J47" s="17">
        <f t="shared" si="7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30</v>
      </c>
      <c r="I48" s="16">
        <f t="shared" si="6"/>
        <v>0</v>
      </c>
      <c r="J48" s="17">
        <f t="shared" si="7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30</v>
      </c>
      <c r="I49" s="16">
        <f t="shared" si="6"/>
        <v>0</v>
      </c>
      <c r="J49" s="17">
        <f t="shared" si="7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30</v>
      </c>
      <c r="I50" s="16">
        <f t="shared" si="6"/>
        <v>0</v>
      </c>
      <c r="J50" s="17">
        <f t="shared" si="7"/>
        <v>1</v>
      </c>
      <c r="K50" s="26"/>
      <c r="L50" s="8"/>
      <c r="M50" s="8"/>
      <c r="N50" s="8"/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30</v>
      </c>
      <c r="I51" s="16">
        <f t="shared" si="6"/>
        <v>0</v>
      </c>
      <c r="J51" s="17">
        <f t="shared" si="7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30</v>
      </c>
      <c r="I55" s="16">
        <f t="shared" si="9"/>
        <v>0</v>
      </c>
      <c r="J55" s="17">
        <f t="shared" si="10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30</v>
      </c>
      <c r="I60" s="16">
        <f t="shared" si="9"/>
        <v>0</v>
      </c>
      <c r="J60" s="17">
        <f t="shared" si="10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29</v>
      </c>
      <c r="I63" s="16">
        <f t="shared" si="9"/>
        <v>1</v>
      </c>
      <c r="J63" s="17">
        <f t="shared" si="10"/>
        <v>0.96666666666666667</v>
      </c>
      <c r="K63" s="26" t="s">
        <v>1277</v>
      </c>
      <c r="L63" s="8"/>
      <c r="M63" s="8"/>
      <c r="N63" s="8"/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30</v>
      </c>
      <c r="I65" s="16">
        <f t="shared" si="9"/>
        <v>0</v>
      </c>
      <c r="J65" s="17">
        <f t="shared" si="10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29</v>
      </c>
      <c r="I66" s="16">
        <f>COUNTIF(K66:AL66,"APAGADO")</f>
        <v>1</v>
      </c>
      <c r="J66" s="17">
        <f>(H66)/(I66+H66)</f>
        <v>0.96666666666666667</v>
      </c>
      <c r="K66" s="26" t="s">
        <v>1277</v>
      </c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30</v>
      </c>
      <c r="I69" s="16">
        <f t="shared" ref="I69:I74" si="13">COUNTIF(K69:AL69,"APAGADO")</f>
        <v>0</v>
      </c>
      <c r="J69" s="17">
        <f t="shared" ref="J69:J74" si="14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30</v>
      </c>
      <c r="I70" s="16">
        <f t="shared" si="13"/>
        <v>0</v>
      </c>
      <c r="J70" s="17">
        <f t="shared" si="14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29</v>
      </c>
      <c r="I71" s="16">
        <f t="shared" si="13"/>
        <v>1</v>
      </c>
      <c r="J71" s="17">
        <f t="shared" si="14"/>
        <v>0.96666666666666667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30</v>
      </c>
      <c r="I77" s="16">
        <f>COUNTIF(K77:AL77,"APAGADO")</f>
        <v>0</v>
      </c>
      <c r="J77" s="17">
        <f>(H77)/(I77+H77)</f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29</v>
      </c>
      <c r="I81" s="16">
        <f>COUNTIF(K81:AL81,"APAGADO")</f>
        <v>1</v>
      </c>
      <c r="J81" s="17">
        <f>(H81)/(I81+H81)</f>
        <v>0.96666666666666667</v>
      </c>
      <c r="K81" s="26" t="s">
        <v>1277</v>
      </c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29</v>
      </c>
      <c r="I82" s="16">
        <f t="shared" si="9"/>
        <v>1</v>
      </c>
      <c r="J82" s="17">
        <f t="shared" si="10"/>
        <v>0.96666666666666667</v>
      </c>
      <c r="K82" s="26" t="s">
        <v>1277</v>
      </c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29</v>
      </c>
      <c r="I88" s="16">
        <f>COUNTIF(K88:AL88,"APAGADO")</f>
        <v>1</v>
      </c>
      <c r="J88" s="17">
        <f>(H88)/(I88+H88)</f>
        <v>0.96666666666666667</v>
      </c>
      <c r="K88" s="26" t="s">
        <v>1277</v>
      </c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30</v>
      </c>
      <c r="I89" s="16">
        <f t="shared" si="9"/>
        <v>0</v>
      </c>
      <c r="J89" s="17">
        <f t="shared" si="10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30</v>
      </c>
      <c r="I93" s="52">
        <f t="shared" si="9"/>
        <v>0</v>
      </c>
      <c r="J93" s="53">
        <f t="shared" si="10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29</v>
      </c>
      <c r="I95" s="52">
        <f t="shared" si="16"/>
        <v>1</v>
      </c>
      <c r="J95" s="53">
        <f t="shared" si="17"/>
        <v>0.96666666666666667</v>
      </c>
      <c r="K95" s="26" t="s">
        <v>1277</v>
      </c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29</v>
      </c>
      <c r="I96" s="52">
        <f t="shared" si="16"/>
        <v>1</v>
      </c>
      <c r="J96" s="53">
        <f t="shared" si="17"/>
        <v>0.96666666666666667</v>
      </c>
      <c r="K96" s="26" t="s">
        <v>1277</v>
      </c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30</v>
      </c>
      <c r="I98" s="16">
        <f t="shared" si="9"/>
        <v>0</v>
      </c>
      <c r="J98" s="17">
        <f t="shared" si="10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30</v>
      </c>
      <c r="I99" s="16">
        <f t="shared" si="9"/>
        <v>0</v>
      </c>
      <c r="J99" s="17">
        <f t="shared" si="10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29</v>
      </c>
      <c r="I100" s="16">
        <f t="shared" si="9"/>
        <v>1</v>
      </c>
      <c r="J100" s="17">
        <f t="shared" si="10"/>
        <v>0.96666666666666667</v>
      </c>
      <c r="K100" s="26" t="s">
        <v>1277</v>
      </c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30</v>
      </c>
      <c r="I103" s="16">
        <f t="shared" si="9"/>
        <v>0</v>
      </c>
      <c r="J103" s="17">
        <f t="shared" si="10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30</v>
      </c>
      <c r="I107" s="16">
        <f t="shared" si="9"/>
        <v>0</v>
      </c>
      <c r="J107" s="17">
        <f t="shared" si="10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30</v>
      </c>
      <c r="I108" s="16">
        <f t="shared" si="9"/>
        <v>0</v>
      </c>
      <c r="J108" s="17">
        <f t="shared" si="10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30</v>
      </c>
      <c r="I115" s="16">
        <f t="shared" si="9"/>
        <v>0</v>
      </c>
      <c r="J115" s="17">
        <f t="shared" si="10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30</v>
      </c>
      <c r="I116" s="16">
        <f t="shared" si="9"/>
        <v>0</v>
      </c>
      <c r="J116" s="17">
        <f t="shared" si="10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30</v>
      </c>
      <c r="I118" s="16">
        <f t="shared" si="9"/>
        <v>0</v>
      </c>
      <c r="J118" s="17">
        <f t="shared" si="10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30</v>
      </c>
      <c r="I120" s="16">
        <f t="shared" si="9"/>
        <v>0</v>
      </c>
      <c r="J120" s="17">
        <f t="shared" si="10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30</v>
      </c>
      <c r="I121" s="16">
        <f t="shared" si="9"/>
        <v>0</v>
      </c>
      <c r="J121" s="17">
        <f t="shared" si="10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30</v>
      </c>
      <c r="I122" s="16">
        <f t="shared" si="9"/>
        <v>0</v>
      </c>
      <c r="J122" s="17">
        <f t="shared" si="10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30</v>
      </c>
      <c r="I127" s="52">
        <f>COUNTIF(K127:AL127,"APAGADO")</f>
        <v>0</v>
      </c>
      <c r="J127" s="53">
        <f>(H127)/(I127+H127)</f>
        <v>1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30</v>
      </c>
      <c r="I128" s="52">
        <f>COUNTIF(K128:AL128,"APAGADO")</f>
        <v>0</v>
      </c>
      <c r="J128" s="53">
        <f>(H128)/(I128+H128)</f>
        <v>1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30</v>
      </c>
      <c r="I133" s="16">
        <f t="shared" si="9"/>
        <v>0</v>
      </c>
      <c r="J133" s="17">
        <f t="shared" si="10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30</v>
      </c>
      <c r="I142" s="16">
        <f t="shared" si="9"/>
        <v>0</v>
      </c>
      <c r="J142" s="17">
        <f t="shared" si="10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30</v>
      </c>
      <c r="I143" s="16">
        <f t="shared" ref="I143:I206" si="21">COUNTIF(K143:AL143,"APAGADO")</f>
        <v>0</v>
      </c>
      <c r="J143" s="17">
        <f t="shared" ref="J143:J206" si="22">(H143)/(I143+H143)</f>
        <v>1</v>
      </c>
      <c r="K143" s="26"/>
      <c r="L143" s="8"/>
      <c r="M143" s="8"/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30</v>
      </c>
      <c r="I145" s="16">
        <f t="shared" si="21"/>
        <v>0</v>
      </c>
      <c r="J145" s="17">
        <f t="shared" si="22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30</v>
      </c>
      <c r="I146" s="16">
        <f t="shared" si="21"/>
        <v>0</v>
      </c>
      <c r="J146" s="17">
        <f t="shared" si="22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30</v>
      </c>
      <c r="I147" s="16">
        <f t="shared" si="21"/>
        <v>0</v>
      </c>
      <c r="J147" s="17">
        <f t="shared" si="22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30</v>
      </c>
      <c r="I151" s="16">
        <f t="shared" si="21"/>
        <v>0</v>
      </c>
      <c r="J151" s="17">
        <f t="shared" si="22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30</v>
      </c>
      <c r="I152" s="16">
        <f t="shared" si="21"/>
        <v>0</v>
      </c>
      <c r="J152" s="17">
        <f t="shared" si="22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30</v>
      </c>
      <c r="I153" s="16">
        <f t="shared" si="21"/>
        <v>0</v>
      </c>
      <c r="J153" s="17">
        <f t="shared" si="22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30</v>
      </c>
      <c r="I154" s="16">
        <f t="shared" si="21"/>
        <v>0</v>
      </c>
      <c r="J154" s="17">
        <f t="shared" si="22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30</v>
      </c>
      <c r="I156" s="16">
        <f t="shared" si="21"/>
        <v>0</v>
      </c>
      <c r="J156" s="17">
        <f t="shared" si="22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30</v>
      </c>
      <c r="I157" s="16">
        <f t="shared" si="21"/>
        <v>0</v>
      </c>
      <c r="J157" s="17">
        <f t="shared" si="22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29</v>
      </c>
      <c r="I161" s="16">
        <f t="shared" si="21"/>
        <v>1</v>
      </c>
      <c r="J161" s="17">
        <f t="shared" si="22"/>
        <v>0.96666666666666667</v>
      </c>
      <c r="K161" s="26" t="s">
        <v>1277</v>
      </c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29</v>
      </c>
      <c r="I166" s="16">
        <f t="shared" si="21"/>
        <v>1</v>
      </c>
      <c r="J166" s="17">
        <f t="shared" si="22"/>
        <v>0.96666666666666667</v>
      </c>
      <c r="K166" s="26" t="s">
        <v>1277</v>
      </c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29</v>
      </c>
      <c r="I168" s="16">
        <f t="shared" si="21"/>
        <v>1</v>
      </c>
      <c r="J168" s="17">
        <f t="shared" si="22"/>
        <v>0.96666666666666667</v>
      </c>
      <c r="K168" s="26" t="s">
        <v>1277</v>
      </c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30</v>
      </c>
      <c r="I170" s="16">
        <f t="shared" si="21"/>
        <v>0</v>
      </c>
      <c r="J170" s="17">
        <f t="shared" si="22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29</v>
      </c>
      <c r="I173" s="16">
        <f t="shared" si="21"/>
        <v>1</v>
      </c>
      <c r="J173" s="17">
        <f t="shared" si="22"/>
        <v>0.96666666666666667</v>
      </c>
      <c r="K173" s="26" t="s">
        <v>1277</v>
      </c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30</v>
      </c>
      <c r="I175" s="16">
        <f t="shared" si="21"/>
        <v>0</v>
      </c>
      <c r="J175" s="17">
        <f t="shared" si="22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29</v>
      </c>
      <c r="I176" s="16">
        <f t="shared" si="21"/>
        <v>1</v>
      </c>
      <c r="J176" s="17">
        <f t="shared" si="22"/>
        <v>0.96666666666666667</v>
      </c>
      <c r="K176" s="26" t="s">
        <v>1277</v>
      </c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30</v>
      </c>
      <c r="I182" s="16">
        <f t="shared" si="21"/>
        <v>0</v>
      </c>
      <c r="J182" s="17">
        <f t="shared" si="22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30</v>
      </c>
      <c r="I184" s="16">
        <f t="shared" si="21"/>
        <v>0</v>
      </c>
      <c r="J184" s="17">
        <f t="shared" si="22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30</v>
      </c>
      <c r="I185" s="16">
        <f t="shared" si="21"/>
        <v>0</v>
      </c>
      <c r="J185" s="17">
        <f t="shared" si="22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30</v>
      </c>
      <c r="I188" s="16">
        <f t="shared" si="21"/>
        <v>0</v>
      </c>
      <c r="J188" s="17">
        <f t="shared" si="22"/>
        <v>1</v>
      </c>
      <c r="K188" s="26"/>
      <c r="L188" s="8"/>
      <c r="M188" s="8"/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30</v>
      </c>
      <c r="I189" s="16">
        <f>COUNTIF(K189:AL189,"APAGADO")</f>
        <v>0</v>
      </c>
      <c r="J189" s="17">
        <f>(H189)/(I189+H189)</f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30</v>
      </c>
      <c r="I190" s="16">
        <f t="shared" si="21"/>
        <v>0</v>
      </c>
      <c r="J190" s="17">
        <f t="shared" si="22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30</v>
      </c>
      <c r="I191" s="16">
        <f t="shared" si="21"/>
        <v>0</v>
      </c>
      <c r="J191" s="17">
        <f t="shared" si="22"/>
        <v>1</v>
      </c>
      <c r="K191" s="26"/>
      <c r="L191" s="8"/>
      <c r="M191" s="8"/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30</v>
      </c>
      <c r="I192" s="16">
        <f t="shared" si="21"/>
        <v>0</v>
      </c>
      <c r="J192" s="17">
        <f t="shared" si="22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30</v>
      </c>
      <c r="I193" s="16">
        <f t="shared" si="21"/>
        <v>0</v>
      </c>
      <c r="J193" s="17">
        <f t="shared" si="22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30</v>
      </c>
      <c r="I194" s="16">
        <f t="shared" si="21"/>
        <v>0</v>
      </c>
      <c r="J194" s="17">
        <f t="shared" si="22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30</v>
      </c>
      <c r="I195" s="16">
        <f t="shared" si="21"/>
        <v>0</v>
      </c>
      <c r="J195" s="17">
        <f t="shared" si="22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30</v>
      </c>
      <c r="I196" s="16">
        <f t="shared" si="21"/>
        <v>0</v>
      </c>
      <c r="J196" s="17">
        <f t="shared" si="22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30</v>
      </c>
      <c r="I197" s="16">
        <f t="shared" si="21"/>
        <v>0</v>
      </c>
      <c r="J197" s="17">
        <f t="shared" si="22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30</v>
      </c>
      <c r="I198" s="16">
        <f t="shared" si="21"/>
        <v>0</v>
      </c>
      <c r="J198" s="17">
        <f t="shared" si="22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30</v>
      </c>
      <c r="I199" s="16">
        <f t="shared" si="21"/>
        <v>0</v>
      </c>
      <c r="J199" s="17">
        <f t="shared" si="22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30</v>
      </c>
      <c r="I200" s="16">
        <f t="shared" si="21"/>
        <v>0</v>
      </c>
      <c r="J200" s="17">
        <f t="shared" si="22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30</v>
      </c>
      <c r="I201" s="16">
        <f t="shared" si="21"/>
        <v>0</v>
      </c>
      <c r="J201" s="17">
        <f t="shared" si="22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30</v>
      </c>
      <c r="I202" s="16">
        <f>COUNTIF(K202:AL202,"APAGADO")</f>
        <v>0</v>
      </c>
      <c r="J202" s="17">
        <f>(H202)/(I202+H202)</f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30</v>
      </c>
      <c r="I204" s="16">
        <f t="shared" si="21"/>
        <v>0</v>
      </c>
      <c r="J204" s="17">
        <f t="shared" si="22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30</v>
      </c>
      <c r="I210" s="16">
        <f t="shared" si="24"/>
        <v>0</v>
      </c>
      <c r="J210" s="17">
        <f t="shared" si="25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29</v>
      </c>
      <c r="I220" s="16">
        <f t="shared" si="24"/>
        <v>1</v>
      </c>
      <c r="J220" s="17">
        <f t="shared" si="25"/>
        <v>0.96666666666666667</v>
      </c>
      <c r="K220" s="26" t="s">
        <v>1277</v>
      </c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30</v>
      </c>
      <c r="I223" s="16">
        <f t="shared" si="24"/>
        <v>0</v>
      </c>
      <c r="J223" s="17">
        <f t="shared" si="25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30</v>
      </c>
      <c r="I224" s="16">
        <f t="shared" si="24"/>
        <v>0</v>
      </c>
      <c r="J224" s="17">
        <f t="shared" si="25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29</v>
      </c>
      <c r="I227" s="16">
        <f t="shared" si="24"/>
        <v>1</v>
      </c>
      <c r="J227" s="17">
        <f t="shared" si="25"/>
        <v>0.96666666666666667</v>
      </c>
      <c r="K227" s="26" t="s">
        <v>1277</v>
      </c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30</v>
      </c>
      <c r="I230" s="16">
        <f t="shared" si="24"/>
        <v>0</v>
      </c>
      <c r="J230" s="17">
        <f t="shared" si="25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30</v>
      </c>
      <c r="I232" s="16">
        <f t="shared" si="24"/>
        <v>0</v>
      </c>
      <c r="J232" s="17">
        <f t="shared" si="25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30</v>
      </c>
      <c r="I242" s="16">
        <f t="shared" si="24"/>
        <v>0</v>
      </c>
      <c r="J242" s="17">
        <f t="shared" si="25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30</v>
      </c>
      <c r="I246" s="16">
        <f>COUNTIF(K246:AL246,"APAGADO")</f>
        <v>0</v>
      </c>
      <c r="J246" s="17">
        <f>(H246)/(I246+H246)</f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30</v>
      </c>
      <c r="I258" s="16">
        <f t="shared" si="24"/>
        <v>0</v>
      </c>
      <c r="J258" s="17">
        <f t="shared" si="25"/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30</v>
      </c>
      <c r="I259" s="16">
        <f t="shared" si="24"/>
        <v>0</v>
      </c>
      <c r="J259" s="17">
        <f t="shared" si="25"/>
        <v>1</v>
      </c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30</v>
      </c>
      <c r="I260" s="16">
        <f t="shared" si="24"/>
        <v>0</v>
      </c>
      <c r="J260" s="17">
        <f t="shared" si="25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30</v>
      </c>
      <c r="I263" s="52">
        <f>COUNTIF(K263:AL263,"APAGADO")</f>
        <v>0</v>
      </c>
      <c r="J263" s="53">
        <f>(H263)/(I263+H263)</f>
        <v>1</v>
      </c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30</v>
      </c>
      <c r="I264" s="52">
        <f>COUNTIF(K264:AL264,"APAGADO")</f>
        <v>0</v>
      </c>
      <c r="J264" s="53">
        <f>(H264)/(I264+H264)</f>
        <v>1</v>
      </c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30</v>
      </c>
      <c r="I265" s="16">
        <f t="shared" si="24"/>
        <v>0</v>
      </c>
      <c r="J265" s="17">
        <f t="shared" si="25"/>
        <v>1</v>
      </c>
      <c r="K265" s="26"/>
      <c r="L265" s="8"/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30</v>
      </c>
      <c r="I268" s="16">
        <f t="shared" si="24"/>
        <v>0</v>
      </c>
      <c r="J268" s="17">
        <f t="shared" si="25"/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 t="s">
        <v>1277</v>
      </c>
      <c r="L269" s="8"/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30</v>
      </c>
      <c r="I270" s="16">
        <f t="shared" si="24"/>
        <v>0</v>
      </c>
      <c r="J270" s="17">
        <f t="shared" si="25"/>
        <v>1</v>
      </c>
      <c r="K270" s="26"/>
      <c r="L270" s="8"/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30</v>
      </c>
      <c r="I273" s="16">
        <f>COUNTIF(K273:AL273,"APAGADO")</f>
        <v>0</v>
      </c>
      <c r="J273" s="17">
        <f>(H273)/(I273+H273)</f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30</v>
      </c>
      <c r="I278" s="16">
        <f t="shared" si="28"/>
        <v>0</v>
      </c>
      <c r="J278" s="17">
        <f t="shared" si="29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30</v>
      </c>
      <c r="I279" s="16">
        <f t="shared" si="28"/>
        <v>0</v>
      </c>
      <c r="J279" s="17">
        <f t="shared" si="29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30</v>
      </c>
      <c r="I284" s="16">
        <f>COUNTIF(K284:AL284,"APAGADO")</f>
        <v>0</v>
      </c>
      <c r="J284" s="17">
        <f>(H284)/(I284+H284)</f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30</v>
      </c>
      <c r="I286" s="16">
        <f>COUNTIF(K286:AL286,"APAGADO")</f>
        <v>0</v>
      </c>
      <c r="J286" s="17">
        <f>(H286)/(I286+H286)</f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30</v>
      </c>
      <c r="I287" s="16">
        <f t="shared" si="28"/>
        <v>0</v>
      </c>
      <c r="J287" s="17">
        <f t="shared" si="29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30</v>
      </c>
      <c r="I288" s="16">
        <f t="shared" si="28"/>
        <v>0</v>
      </c>
      <c r="J288" s="17">
        <f t="shared" si="29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30</v>
      </c>
      <c r="I289" s="16">
        <f t="shared" si="28"/>
        <v>0</v>
      </c>
      <c r="J289" s="17">
        <f t="shared" si="29"/>
        <v>1</v>
      </c>
      <c r="K289" s="26"/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30</v>
      </c>
      <c r="I290" s="16">
        <f t="shared" si="28"/>
        <v>0</v>
      </c>
      <c r="J290" s="17">
        <f t="shared" si="29"/>
        <v>1</v>
      </c>
      <c r="K290" s="26"/>
      <c r="L290" s="8"/>
      <c r="M290" s="8"/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29</v>
      </c>
      <c r="I291" s="16">
        <f t="shared" si="28"/>
        <v>1</v>
      </c>
      <c r="J291" s="17">
        <f t="shared" si="29"/>
        <v>0.96666666666666667</v>
      </c>
      <c r="K291" s="26" t="s">
        <v>1277</v>
      </c>
      <c r="L291" s="8"/>
      <c r="M291" s="8"/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30</v>
      </c>
      <c r="I292" s="16">
        <f t="shared" si="28"/>
        <v>0</v>
      </c>
      <c r="J292" s="17">
        <f t="shared" si="29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30</v>
      </c>
      <c r="I297" s="16">
        <f t="shared" si="28"/>
        <v>0</v>
      </c>
      <c r="J297" s="17">
        <f t="shared" si="29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30</v>
      </c>
      <c r="I298" s="16">
        <f t="shared" si="28"/>
        <v>0</v>
      </c>
      <c r="J298" s="17">
        <f t="shared" si="29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30</v>
      </c>
      <c r="I301" s="16">
        <f t="shared" si="31"/>
        <v>0</v>
      </c>
      <c r="J301" s="17">
        <f t="shared" si="32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30</v>
      </c>
      <c r="I302" s="16">
        <f t="shared" si="31"/>
        <v>0</v>
      </c>
      <c r="J302" s="17">
        <f t="shared" si="32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30</v>
      </c>
      <c r="I303" s="16">
        <f t="shared" si="31"/>
        <v>0</v>
      </c>
      <c r="J303" s="17">
        <f t="shared" si="32"/>
        <v>1</v>
      </c>
      <c r="K303" s="26"/>
      <c r="L303" s="8"/>
      <c r="M303" s="8"/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30</v>
      </c>
      <c r="I305" s="52">
        <f t="shared" si="31"/>
        <v>0</v>
      </c>
      <c r="J305" s="53">
        <f t="shared" si="32"/>
        <v>1</v>
      </c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29</v>
      </c>
      <c r="I307" s="16">
        <f t="shared" si="28"/>
        <v>1</v>
      </c>
      <c r="J307" s="17">
        <f t="shared" si="29"/>
        <v>0.96666666666666667</v>
      </c>
      <c r="K307" s="26" t="s">
        <v>1277</v>
      </c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29</v>
      </c>
      <c r="I308" s="16">
        <f t="shared" si="28"/>
        <v>1</v>
      </c>
      <c r="J308" s="17">
        <f t="shared" si="29"/>
        <v>0.96666666666666667</v>
      </c>
      <c r="K308" s="26" t="s">
        <v>1277</v>
      </c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29</v>
      </c>
      <c r="I309" s="16">
        <f>COUNTIF(K309:AL309,"APAGADO")</f>
        <v>1</v>
      </c>
      <c r="J309" s="17">
        <f>(H309)/(I309+H309)</f>
        <v>0.96666666666666667</v>
      </c>
      <c r="K309" s="26" t="s">
        <v>1277</v>
      </c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29</v>
      </c>
      <c r="I310" s="16">
        <f>COUNTIF(K310:AL310,"APAGADO")</f>
        <v>1</v>
      </c>
      <c r="J310" s="17">
        <f>(H310)/(I310+H310)</f>
        <v>0.96666666666666667</v>
      </c>
      <c r="K310" s="26" t="s">
        <v>1277</v>
      </c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30</v>
      </c>
      <c r="I311" s="16">
        <f t="shared" si="28"/>
        <v>0</v>
      </c>
      <c r="J311" s="17">
        <f t="shared" si="29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30</v>
      </c>
      <c r="I312" s="16">
        <f t="shared" si="28"/>
        <v>0</v>
      </c>
      <c r="J312" s="17">
        <f t="shared" si="29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30</v>
      </c>
      <c r="I318" s="16">
        <f t="shared" si="28"/>
        <v>0</v>
      </c>
      <c r="J318" s="17">
        <f t="shared" si="29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30</v>
      </c>
      <c r="I321" s="16">
        <f t="shared" si="28"/>
        <v>0</v>
      </c>
      <c r="J321" s="17">
        <f t="shared" si="29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30</v>
      </c>
      <c r="I322" s="16">
        <f t="shared" si="28"/>
        <v>0</v>
      </c>
      <c r="J322" s="17">
        <f t="shared" si="29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30</v>
      </c>
      <c r="I324" s="16">
        <f t="shared" si="28"/>
        <v>0</v>
      </c>
      <c r="J324" s="17">
        <f t="shared" si="29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30</v>
      </c>
      <c r="I332" s="52">
        <f t="shared" ref="I332" si="34">COUNTIF(K332:AL332,"APAGADO")</f>
        <v>0</v>
      </c>
      <c r="J332" s="53">
        <f t="shared" ref="J332" si="35">(H332)/(I332+H332)</f>
        <v>1</v>
      </c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30</v>
      </c>
      <c r="I334" s="16">
        <f t="shared" si="28"/>
        <v>0</v>
      </c>
      <c r="J334" s="17">
        <f t="shared" si="29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29</v>
      </c>
      <c r="I335" s="16">
        <f t="shared" si="28"/>
        <v>1</v>
      </c>
      <c r="J335" s="17">
        <f t="shared" si="29"/>
        <v>0.96666666666666667</v>
      </c>
      <c r="K335" s="26" t="s">
        <v>1277</v>
      </c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29</v>
      </c>
      <c r="I336" s="16">
        <f t="shared" si="28"/>
        <v>1</v>
      </c>
      <c r="J336" s="17">
        <f t="shared" si="29"/>
        <v>0.96666666666666667</v>
      </c>
      <c r="K336" s="26" t="s">
        <v>1277</v>
      </c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29</v>
      </c>
      <c r="I337" s="16">
        <f t="shared" si="28"/>
        <v>1</v>
      </c>
      <c r="J337" s="17">
        <f t="shared" si="29"/>
        <v>0.96666666666666667</v>
      </c>
      <c r="K337" s="26" t="s">
        <v>1277</v>
      </c>
      <c r="L337" s="8"/>
      <c r="M337" s="8"/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29</v>
      </c>
      <c r="I338" s="16">
        <f t="shared" si="28"/>
        <v>1</v>
      </c>
      <c r="J338" s="17">
        <f t="shared" si="29"/>
        <v>0.96666666666666667</v>
      </c>
      <c r="K338" s="26" t="s">
        <v>1277</v>
      </c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29</v>
      </c>
      <c r="I339" s="16">
        <f t="shared" si="28"/>
        <v>1</v>
      </c>
      <c r="J339" s="17">
        <f t="shared" si="29"/>
        <v>0.96666666666666667</v>
      </c>
      <c r="K339" s="26" t="s">
        <v>1277</v>
      </c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29</v>
      </c>
      <c r="I340" s="16">
        <f t="shared" si="28"/>
        <v>1</v>
      </c>
      <c r="J340" s="17">
        <f t="shared" si="29"/>
        <v>0.96666666666666667</v>
      </c>
      <c r="K340" s="26" t="s">
        <v>1277</v>
      </c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29</v>
      </c>
      <c r="I341" s="16">
        <f t="shared" si="28"/>
        <v>1</v>
      </c>
      <c r="J341" s="17">
        <f t="shared" si="29"/>
        <v>0.96666666666666667</v>
      </c>
      <c r="K341" s="26" t="s">
        <v>1277</v>
      </c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30</v>
      </c>
      <c r="I342" s="16">
        <f t="shared" si="28"/>
        <v>0</v>
      </c>
      <c r="J342" s="17">
        <f t="shared" si="29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30</v>
      </c>
      <c r="I343" s="16">
        <f t="shared" si="28"/>
        <v>0</v>
      </c>
      <c r="J343" s="17">
        <f t="shared" si="29"/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30</v>
      </c>
      <c r="I357" s="16">
        <f t="shared" si="37"/>
        <v>0</v>
      </c>
      <c r="J357" s="17">
        <f t="shared" si="38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30</v>
      </c>
      <c r="I359" s="16">
        <f t="shared" si="37"/>
        <v>0</v>
      </c>
      <c r="J359" s="17">
        <f t="shared" si="38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30</v>
      </c>
      <c r="I361" s="16">
        <f t="shared" si="37"/>
        <v>0</v>
      </c>
      <c r="J361" s="17">
        <f t="shared" si="38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30</v>
      </c>
      <c r="I362" s="16">
        <f t="shared" si="37"/>
        <v>0</v>
      </c>
      <c r="J362" s="17">
        <f t="shared" si="38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30</v>
      </c>
      <c r="I366" s="16">
        <f t="shared" si="37"/>
        <v>0</v>
      </c>
      <c r="J366" s="17">
        <f t="shared" si="38"/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30</v>
      </c>
      <c r="I367" s="16">
        <f t="shared" si="37"/>
        <v>0</v>
      </c>
      <c r="J367" s="17">
        <f t="shared" si="38"/>
        <v>1</v>
      </c>
      <c r="K367" s="26"/>
      <c r="L367" s="8"/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30</v>
      </c>
      <c r="I368" s="16">
        <f t="shared" si="37"/>
        <v>0</v>
      </c>
      <c r="J368" s="17">
        <f t="shared" si="38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30</v>
      </c>
      <c r="I369" s="16">
        <f>COUNTIF(K369:AL369,"APAGADO")</f>
        <v>0</v>
      </c>
      <c r="J369" s="17">
        <f>(H369)/(I369+H369)</f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30</v>
      </c>
      <c r="I370" s="16">
        <f>COUNTIF(K370:AL370,"APAGADO")</f>
        <v>0</v>
      </c>
      <c r="J370" s="17">
        <f>(H370)/(I370+H370)</f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30</v>
      </c>
      <c r="I371" s="16">
        <f>COUNTIF(K371:AL371,"APAGADO")</f>
        <v>0</v>
      </c>
      <c r="J371" s="17">
        <f>(H371)/(I371+H371)</f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30</v>
      </c>
      <c r="I375" s="16">
        <f>COUNTIF(K375:AL375,"APAGADO")</f>
        <v>0</v>
      </c>
      <c r="J375" s="17">
        <f>(H375)/(I375+H375)</f>
        <v>1</v>
      </c>
      <c r="K375" s="26"/>
      <c r="L375" s="8"/>
      <c r="M375" s="8"/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30</v>
      </c>
      <c r="I378" s="16">
        <f t="shared" si="37"/>
        <v>0</v>
      </c>
      <c r="J378" s="17">
        <f t="shared" si="38"/>
        <v>1</v>
      </c>
      <c r="K378" s="26"/>
      <c r="L378" s="8"/>
      <c r="M378" s="8"/>
      <c r="N378" s="8"/>
      <c r="O378" s="26"/>
      <c r="P378" s="26"/>
      <c r="Q378" s="8"/>
      <c r="R378" s="8"/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30</v>
      </c>
      <c r="I379" s="16">
        <f t="shared" si="37"/>
        <v>0</v>
      </c>
      <c r="J379" s="17">
        <f t="shared" si="38"/>
        <v>1</v>
      </c>
      <c r="K379" s="26"/>
      <c r="L379" s="8"/>
      <c r="M379" s="8"/>
      <c r="N379" s="8"/>
      <c r="O379" s="26"/>
      <c r="P379" s="26"/>
      <c r="Q379" s="8"/>
      <c r="R379" s="8"/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30</v>
      </c>
      <c r="I380" s="52">
        <f t="shared" si="37"/>
        <v>0</v>
      </c>
      <c r="J380" s="53">
        <f t="shared" si="38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30</v>
      </c>
      <c r="I381" s="52">
        <f t="shared" si="37"/>
        <v>0</v>
      </c>
      <c r="J381" s="53">
        <f t="shared" si="38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30</v>
      </c>
      <c r="I382" s="16">
        <f t="shared" si="37"/>
        <v>0</v>
      </c>
      <c r="J382" s="17">
        <f t="shared" si="38"/>
        <v>1</v>
      </c>
      <c r="K382" s="26"/>
      <c r="L382" s="8"/>
      <c r="M382" s="8"/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30</v>
      </c>
      <c r="I383" s="16">
        <f t="shared" si="37"/>
        <v>0</v>
      </c>
      <c r="J383" s="17">
        <f t="shared" si="38"/>
        <v>1</v>
      </c>
      <c r="K383" s="26"/>
      <c r="L383" s="8"/>
      <c r="M383" s="8"/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30</v>
      </c>
      <c r="I386" s="16">
        <f t="shared" si="37"/>
        <v>0</v>
      </c>
      <c r="J386" s="17">
        <f t="shared" si="38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30</v>
      </c>
      <c r="I387" s="16">
        <f t="shared" si="37"/>
        <v>0</v>
      </c>
      <c r="J387" s="17">
        <f t="shared" si="38"/>
        <v>1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30</v>
      </c>
      <c r="I388" s="16">
        <f>COUNTIF(K388:AL388,"APAGADO")</f>
        <v>0</v>
      </c>
      <c r="J388" s="17">
        <f>(H388)/(I388+H388)</f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30</v>
      </c>
      <c r="I389" s="16">
        <f t="shared" si="37"/>
        <v>0</v>
      </c>
      <c r="J389" s="17">
        <f t="shared" si="38"/>
        <v>1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29</v>
      </c>
      <c r="I390" s="16">
        <f t="shared" si="37"/>
        <v>1</v>
      </c>
      <c r="J390" s="17">
        <f t="shared" si="38"/>
        <v>0.96666666666666667</v>
      </c>
      <c r="K390" s="26" t="s">
        <v>1277</v>
      </c>
      <c r="L390" s="8"/>
      <c r="M390" s="8"/>
      <c r="N390" s="8"/>
      <c r="O390" s="26"/>
      <c r="P390" s="26"/>
      <c r="Q390" s="8"/>
      <c r="R390" s="8"/>
      <c r="S390" s="8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30</v>
      </c>
      <c r="I391" s="16">
        <f t="shared" si="37"/>
        <v>0</v>
      </c>
      <c r="J391" s="17">
        <f t="shared" si="38"/>
        <v>1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30</v>
      </c>
      <c r="I392" s="16">
        <f t="shared" si="37"/>
        <v>0</v>
      </c>
      <c r="J392" s="17">
        <f t="shared" si="38"/>
        <v>1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29</v>
      </c>
      <c r="I393" s="16">
        <f t="shared" si="37"/>
        <v>1</v>
      </c>
      <c r="J393" s="17">
        <f t="shared" si="38"/>
        <v>0.96666666666666667</v>
      </c>
      <c r="K393" s="26" t="s">
        <v>1277</v>
      </c>
      <c r="L393" s="8"/>
      <c r="M393" s="8"/>
      <c r="N393" s="8"/>
      <c r="O393" s="26"/>
      <c r="P393" s="26"/>
      <c r="Q393" s="8"/>
      <c r="R393" s="8"/>
      <c r="S393" s="8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30</v>
      </c>
      <c r="I394" s="16">
        <f t="shared" si="37"/>
        <v>0</v>
      </c>
      <c r="J394" s="17">
        <f t="shared" si="38"/>
        <v>1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30</v>
      </c>
      <c r="I397" s="52">
        <f t="shared" ref="I397:I403" si="42">COUNTIF(K397:AL397,"APAGADO")</f>
        <v>0</v>
      </c>
      <c r="J397" s="53">
        <f t="shared" ref="J397:J403" si="43">(H397)/(I397+H397)</f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30</v>
      </c>
      <c r="I398" s="52">
        <f t="shared" si="42"/>
        <v>0</v>
      </c>
      <c r="J398" s="53">
        <f t="shared" si="43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30</v>
      </c>
      <c r="I413" s="52">
        <f t="shared" si="45"/>
        <v>0</v>
      </c>
      <c r="J413" s="53">
        <f t="shared" si="46"/>
        <v>1</v>
      </c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30</v>
      </c>
      <c r="I415" s="52">
        <f t="shared" si="45"/>
        <v>0</v>
      </c>
      <c r="J415" s="53">
        <f t="shared" si="46"/>
        <v>1</v>
      </c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30</v>
      </c>
      <c r="I416" s="52">
        <f t="shared" si="45"/>
        <v>0</v>
      </c>
      <c r="J416" s="53">
        <f t="shared" si="46"/>
        <v>1</v>
      </c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30</v>
      </c>
      <c r="I417" s="52">
        <f t="shared" ref="I417:I418" si="48">COUNTIF(K417:AL417,"APAGADO")</f>
        <v>0</v>
      </c>
      <c r="J417" s="53">
        <f t="shared" ref="J417:J418" si="49">(H417)/(I417+H417)</f>
        <v>1</v>
      </c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30</v>
      </c>
      <c r="I418" s="52">
        <f t="shared" si="48"/>
        <v>0</v>
      </c>
      <c r="J418" s="53">
        <f t="shared" si="49"/>
        <v>1</v>
      </c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30</v>
      </c>
      <c r="I419" s="52">
        <f t="shared" si="45"/>
        <v>0</v>
      </c>
      <c r="J419" s="53">
        <f t="shared" si="46"/>
        <v>1</v>
      </c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30</v>
      </c>
      <c r="I420" s="52">
        <f t="shared" si="45"/>
        <v>0</v>
      </c>
      <c r="J420" s="53">
        <f t="shared" si="46"/>
        <v>1</v>
      </c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30</v>
      </c>
      <c r="I421" s="52">
        <f t="shared" si="45"/>
        <v>0</v>
      </c>
      <c r="J421" s="53">
        <f t="shared" si="46"/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30</v>
      </c>
      <c r="I422" s="52">
        <f>COUNTIF(K422:AL422,"APAGADO")</f>
        <v>0</v>
      </c>
      <c r="J422" s="53">
        <f>(H422)/(I422+H422)</f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22" xr:uid="{32AE3966-3F3A-4A38-B5F8-35AF221F722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>
        <f>'RESUMEN TOTAL'!L8</f>
        <v>0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>
        <f>'RESUMEN TOTAL'!L9</f>
        <v>0</v>
      </c>
      <c r="H6" s="29">
        <f>'RESUMEN TOTAL'!M9</f>
        <v>0</v>
      </c>
      <c r="I6" s="29">
        <f>'RESUMEN TOTAL'!N9</f>
        <v>0</v>
      </c>
      <c r="J6" s="29">
        <f>'RESUMEN TOTAL'!O9</f>
        <v>0</v>
      </c>
      <c r="K6" s="29">
        <f>'RESUMEN TOTAL'!P9</f>
        <v>0</v>
      </c>
      <c r="L6" s="29">
        <f>'RESUMEN TOTAL'!Q9</f>
        <v>0</v>
      </c>
      <c r="M6" s="29">
        <f>'RESUMEN TOTAL'!R9</f>
        <v>0</v>
      </c>
      <c r="N6" s="29">
        <f>'RESUMEN TOTAL'!S9</f>
        <v>0</v>
      </c>
      <c r="O6" s="29">
        <f>'RESUMEN TOTAL'!T9</f>
        <v>0</v>
      </c>
      <c r="P6" s="29">
        <f>'RESUMEN TOTAL'!U9</f>
        <v>0</v>
      </c>
      <c r="Q6" s="29">
        <f>'RESUMEN TOTAL'!V9</f>
        <v>0</v>
      </c>
      <c r="R6" s="29">
        <f>'RESUMEN TOTAL'!W9</f>
        <v>0</v>
      </c>
      <c r="S6" s="29">
        <f>'RESUMEN TOTAL'!X9</f>
        <v>0</v>
      </c>
      <c r="T6" s="29">
        <f>'RESUMEN TOTAL'!Y9</f>
        <v>0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>
        <f>'RESUMEN TOTAL'!L14</f>
        <v>0</v>
      </c>
      <c r="H11" s="29">
        <f>'RESUMEN TOTAL'!M14</f>
        <v>0</v>
      </c>
      <c r="I11" s="29">
        <f>'RESUMEN TOTAL'!N14</f>
        <v>0</v>
      </c>
      <c r="J11" s="29">
        <f>'RESUMEN TOTAL'!O14</f>
        <v>0</v>
      </c>
      <c r="K11" s="29">
        <f>'RESUMEN TOTAL'!P14</f>
        <v>0</v>
      </c>
      <c r="L11" s="29">
        <f>'RESUMEN TOTAL'!Q14</f>
        <v>0</v>
      </c>
      <c r="M11" s="29">
        <f>'RESUMEN TOTAL'!R14</f>
        <v>0</v>
      </c>
      <c r="N11" s="29">
        <f>'RESUMEN TOTAL'!S14</f>
        <v>0</v>
      </c>
      <c r="O11" s="29">
        <f>'RESUMEN TOTAL'!T14</f>
        <v>0</v>
      </c>
      <c r="P11" s="29">
        <f>'RESUMEN TOTAL'!U14</f>
        <v>0</v>
      </c>
      <c r="Q11" s="29">
        <f>'RESUMEN TOTAL'!V14</f>
        <v>0</v>
      </c>
      <c r="R11" s="29">
        <f>'RESUMEN TOTAL'!W14</f>
        <v>0</v>
      </c>
      <c r="S11" s="29">
        <f>'RESUMEN TOTAL'!X14</f>
        <v>0</v>
      </c>
      <c r="T11" s="29">
        <f>'RESUMEN TOTAL'!Y14</f>
        <v>0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>
        <f>'RESUMEN TOTAL'!L16</f>
        <v>0</v>
      </c>
      <c r="H13" s="29">
        <f>'RESUMEN TOTAL'!M16</f>
        <v>0</v>
      </c>
      <c r="I13" s="29">
        <f>'RESUMEN TOTAL'!N16</f>
        <v>0</v>
      </c>
      <c r="J13" s="29">
        <f>'RESUMEN TOTAL'!O16</f>
        <v>0</v>
      </c>
      <c r="K13" s="29">
        <f>'RESUMEN TOTAL'!P16</f>
        <v>0</v>
      </c>
      <c r="L13" s="29">
        <f>'RESUMEN TOTAL'!Q16</f>
        <v>0</v>
      </c>
      <c r="M13" s="29">
        <f>'RESUMEN TOTAL'!R16</f>
        <v>0</v>
      </c>
      <c r="N13" s="29">
        <f>'RESUMEN TOTAL'!S16</f>
        <v>0</v>
      </c>
      <c r="O13" s="29">
        <f>'RESUMEN TOTAL'!T16</f>
        <v>0</v>
      </c>
      <c r="P13" s="29">
        <f>'RESUMEN TOTAL'!U16</f>
        <v>0</v>
      </c>
      <c r="Q13" s="29">
        <f>'RESUMEN TOTAL'!V16</f>
        <v>0</v>
      </c>
      <c r="R13" s="29">
        <f>'RESUMEN TOTAL'!W16</f>
        <v>0</v>
      </c>
      <c r="S13" s="29">
        <f>'RESUMEN TOTAL'!X16</f>
        <v>0</v>
      </c>
      <c r="T13" s="29">
        <f>'RESUMEN TOTAL'!Y16</f>
        <v>0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>
        <f>'RESUMEN TOTAL'!M17</f>
        <v>0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>
        <f>'RESUMEN TOTAL'!M18</f>
        <v>0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>
        <f>'RESUMEN TOTAL'!M23</f>
        <v>0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>
        <f>'RESUMEN TOTAL'!L31</f>
        <v>0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>
        <f>'RESUMEN TOTAL'!M33</f>
        <v>0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>
        <f>'RESUMEN TOTAL'!L34</f>
        <v>0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>
        <f>'RESUMEN TOTAL'!L36</f>
        <v>0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>
        <f>'RESUMEN TOTAL'!L40</f>
        <v>0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>
        <f>'RESUMEN TOTAL'!M41</f>
        <v>0</v>
      </c>
      <c r="I38" s="29">
        <f>'RESUMEN TOTAL'!N41</f>
        <v>0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>
        <f>'RESUMEN TOTAL'!L42</f>
        <v>0</v>
      </c>
      <c r="H39" s="29">
        <f>'RESUMEN TOTAL'!M42</f>
        <v>0</v>
      </c>
      <c r="I39" s="29">
        <f>'RESUMEN TOTAL'!N42</f>
        <v>0</v>
      </c>
      <c r="J39" s="29">
        <f>'RESUMEN TOTAL'!O42</f>
        <v>0</v>
      </c>
      <c r="K39" s="29">
        <f>'RESUMEN TOTAL'!P42</f>
        <v>0</v>
      </c>
      <c r="L39" s="29">
        <f>'RESUMEN TOTAL'!Q42</f>
        <v>0</v>
      </c>
      <c r="M39" s="29">
        <f>'RESUMEN TOTAL'!R42</f>
        <v>0</v>
      </c>
      <c r="N39" s="29">
        <f>'RESUMEN TOTAL'!S42</f>
        <v>0</v>
      </c>
      <c r="O39" s="29">
        <f>'RESUMEN TOTAL'!T42</f>
        <v>0</v>
      </c>
      <c r="P39" s="29">
        <f>'RESUMEN TOTAL'!U42</f>
        <v>0</v>
      </c>
      <c r="Q39" s="29">
        <f>'RESUMEN TOTAL'!V42</f>
        <v>0</v>
      </c>
      <c r="R39" s="29">
        <f>'RESUMEN TOTAL'!W42</f>
        <v>0</v>
      </c>
      <c r="S39" s="29">
        <f>'RESUMEN TOTAL'!X42</f>
        <v>0</v>
      </c>
      <c r="T39" s="29">
        <f>'RESUMEN TOTAL'!Y42</f>
        <v>0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>
        <f>'RESUMEN TOTAL'!M45</f>
        <v>0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>
        <f>'RESUMEN TOTAL'!M46</f>
        <v>0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>
        <f>'RESUMEN TOTAL'!M48</f>
        <v>0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>
        <f>'RESUMEN TOTAL'!M50</f>
        <v>0</v>
      </c>
      <c r="I47" s="29">
        <f>'RESUMEN TOTAL'!N50</f>
        <v>0</v>
      </c>
      <c r="J47" s="29">
        <f>'RESUMEN TOTAL'!O50</f>
        <v>0</v>
      </c>
      <c r="K47" s="29">
        <f>'RESUMEN TOTAL'!P50</f>
        <v>0</v>
      </c>
      <c r="L47" s="29">
        <f>'RESUMEN TOTAL'!Q50</f>
        <v>0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>
        <f>'RESUMEN TOTAL'!L63</f>
        <v>0</v>
      </c>
      <c r="H60" s="29">
        <f>'RESUMEN TOTAL'!M63</f>
        <v>0</v>
      </c>
      <c r="I60" s="29">
        <f>'RESUMEN TOTAL'!N63</f>
        <v>0</v>
      </c>
      <c r="J60" s="29">
        <f>'RESUMEN TOTAL'!O63</f>
        <v>0</v>
      </c>
      <c r="K60" s="29">
        <f>'RESUMEN TOTAL'!P63</f>
        <v>0</v>
      </c>
      <c r="L60" s="29">
        <f>'RESUMEN TOTAL'!Q63</f>
        <v>0</v>
      </c>
      <c r="M60" s="29">
        <f>'RESUMEN TOTAL'!R63</f>
        <v>0</v>
      </c>
      <c r="N60" s="29">
        <f>'RESUMEN TOTAL'!S63</f>
        <v>0</v>
      </c>
      <c r="O60" s="29">
        <f>'RESUMEN TOTAL'!T63</f>
        <v>0</v>
      </c>
      <c r="P60" s="29">
        <f>'RESUMEN TOTAL'!U63</f>
        <v>0</v>
      </c>
      <c r="Q60" s="29">
        <f>'RESUMEN TOTAL'!V63</f>
        <v>0</v>
      </c>
      <c r="R60" s="29">
        <f>'RESUMEN TOTAL'!W63</f>
        <v>0</v>
      </c>
      <c r="S60" s="29">
        <f>'RESUMEN TOTAL'!X63</f>
        <v>0</v>
      </c>
      <c r="T60" s="29">
        <f>'RESUMEN TOTAL'!Y63</f>
        <v>0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>
        <f>'RESUMEN TOTAL'!M66</f>
        <v>0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>
        <f>'RESUMEN TOTAL'!M81</f>
        <v>0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>
        <f>'RESUMEN TOTAL'!S81</f>
        <v>0</v>
      </c>
      <c r="O78" s="29">
        <f>'RESUMEN TOTAL'!T81</f>
        <v>0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>
        <f>'RESUMEN TOTAL'!M82</f>
        <v>0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>
        <f>'RESUMEN TOTAL'!S82</f>
        <v>0</v>
      </c>
      <c r="O79" s="29">
        <f>'RESUMEN TOTAL'!T82</f>
        <v>0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>
        <f>'RESUMEN TOTAL'!L88</f>
        <v>0</v>
      </c>
      <c r="H85" s="29">
        <f>'RESUMEN TOTAL'!M88</f>
        <v>0</v>
      </c>
      <c r="I85" s="29">
        <f>'RESUMEN TOTAL'!N88</f>
        <v>0</v>
      </c>
      <c r="J85" s="29">
        <f>'RESUMEN TOTAL'!O88</f>
        <v>0</v>
      </c>
      <c r="K85" s="29">
        <f>'RESUMEN TOTAL'!P88</f>
        <v>0</v>
      </c>
      <c r="L85" s="29">
        <f>'RESUMEN TOTAL'!Q88</f>
        <v>0</v>
      </c>
      <c r="M85" s="29">
        <f>'RESUMEN TOTAL'!R88</f>
        <v>0</v>
      </c>
      <c r="N85" s="29">
        <f>'RESUMEN TOTAL'!S88</f>
        <v>0</v>
      </c>
      <c r="O85" s="29">
        <f>'RESUMEN TOTAL'!T88</f>
        <v>0</v>
      </c>
      <c r="P85" s="29">
        <f>'RESUMEN TOTAL'!U88</f>
        <v>0</v>
      </c>
      <c r="Q85" s="29">
        <f>'RESUMEN TOTAL'!V88</f>
        <v>0</v>
      </c>
      <c r="R85" s="29">
        <f>'RESUMEN TOTAL'!W88</f>
        <v>0</v>
      </c>
      <c r="S85" s="29">
        <f>'RESUMEN TOTAL'!X88</f>
        <v>0</v>
      </c>
      <c r="T85" s="29">
        <f>'RESUMEN TOTAL'!Y88</f>
        <v>0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>
        <f>'RESUMEN TOTAL'!M89</f>
        <v>0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>
        <f>'RESUMEN TOTAL'!L95</f>
        <v>0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>
        <f>'RESUMEN TOTAL'!L96</f>
        <v>0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>
        <f>'RESUMEN TOTAL'!L100</f>
        <v>0</v>
      </c>
      <c r="H97" s="29">
        <f>'RESUMEN TOTAL'!M100</f>
        <v>0</v>
      </c>
      <c r="I97" s="29">
        <f>'RESUMEN TOTAL'!N100</f>
        <v>0</v>
      </c>
      <c r="J97" s="29">
        <f>'RESUMEN TOTAL'!O100</f>
        <v>0</v>
      </c>
      <c r="K97" s="29">
        <f>'RESUMEN TOTAL'!P100</f>
        <v>0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>
        <f>'RESUMEN TOTAL'!M107</f>
        <v>0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>
        <f>'RESUMEN TOTAL'!M108</f>
        <v>0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>
        <f>'RESUMEN TOTAL'!M115</f>
        <v>0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>
        <f>'RESUMEN TOTAL'!M118</f>
        <v>0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>
        <f>'RESUMEN TOTAL'!M133</f>
        <v>0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>
        <f>'RESUMEN TOTAL'!M142</f>
        <v>0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>
        <f>'RESUMEN TOTAL'!M143</f>
        <v>0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>
        <f>'RESUMEN TOTAL'!U145</f>
        <v>0</v>
      </c>
      <c r="Q138" s="29">
        <f>'RESUMEN TOTAL'!V145</f>
        <v>0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>
        <f>'RESUMEN TOTAL'!M146</f>
        <v>0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>
        <f>'RESUMEN TOTAL'!S147</f>
        <v>0</v>
      </c>
      <c r="O140" s="29">
        <f>'RESUMEN TOTAL'!T147</f>
        <v>0</v>
      </c>
      <c r="P140" s="29">
        <f>'RESUMEN TOTAL'!U147</f>
        <v>0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>
        <f>'RESUMEN TOTAL'!M151</f>
        <v>0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>
        <f>'RESUMEN TOTAL'!M152</f>
        <v>0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>
        <f>'RESUMEN TOTAL'!M153</f>
        <v>0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>
        <f>'RESUMEN TOTAL'!M154</f>
        <v>0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>
        <f>'RESUMEN TOTAL'!S156</f>
        <v>0</v>
      </c>
      <c r="O149" s="29">
        <f>'RESUMEN TOTAL'!T156</f>
        <v>0</v>
      </c>
      <c r="P149" s="29">
        <f>'RESUMEN TOTAL'!U156</f>
        <v>0</v>
      </c>
      <c r="Q149" s="29">
        <f>'RESUMEN TOTAL'!V156</f>
        <v>0</v>
      </c>
      <c r="R149" s="29">
        <f>'RESUMEN TOTAL'!W156</f>
        <v>0</v>
      </c>
      <c r="S149" s="29">
        <f>'RESUMEN TOTAL'!X156</f>
        <v>0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>
        <f>'RESUMEN TOTAL'!S157</f>
        <v>0</v>
      </c>
      <c r="O150" s="29">
        <f>'RESUMEN TOTAL'!T157</f>
        <v>0</v>
      </c>
      <c r="P150" s="29">
        <f>'RESUMEN TOTAL'!U157</f>
        <v>0</v>
      </c>
      <c r="Q150" s="29">
        <f>'RESUMEN TOTAL'!V157</f>
        <v>0</v>
      </c>
      <c r="R150" s="29">
        <f>'RESUMEN TOTAL'!W157</f>
        <v>0</v>
      </c>
      <c r="S150" s="29">
        <f>'RESUMEN TOTAL'!X157</f>
        <v>0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>
        <f>'RESUMEN TOTAL'!L161</f>
        <v>0</v>
      </c>
      <c r="H154" s="29">
        <f>'RESUMEN TOTAL'!M161</f>
        <v>0</v>
      </c>
      <c r="I154" s="29">
        <f>'RESUMEN TOTAL'!N161</f>
        <v>0</v>
      </c>
      <c r="J154" s="29">
        <f>'RESUMEN TOTAL'!O161</f>
        <v>0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>
        <f>'RESUMEN TOTAL'!L166</f>
        <v>0</v>
      </c>
      <c r="H159" s="29">
        <f>'RESUMEN TOTAL'!M166</f>
        <v>0</v>
      </c>
      <c r="I159" s="29">
        <f>'RESUMEN TOTAL'!N166</f>
        <v>0</v>
      </c>
      <c r="J159" s="29">
        <f>'RESUMEN TOTAL'!O166</f>
        <v>0</v>
      </c>
      <c r="K159" s="29">
        <f>'RESUMEN TOTAL'!P166</f>
        <v>0</v>
      </c>
      <c r="L159" s="29">
        <f>'RESUMEN TOTAL'!Q166</f>
        <v>0</v>
      </c>
      <c r="M159" s="29">
        <f>'RESUMEN TOTAL'!R166</f>
        <v>0</v>
      </c>
      <c r="N159" s="29">
        <f>'RESUMEN TOTAL'!S166</f>
        <v>0</v>
      </c>
      <c r="O159" s="29">
        <f>'RESUMEN TOTAL'!T166</f>
        <v>0</v>
      </c>
      <c r="P159" s="29">
        <f>'RESUMEN TOTAL'!U166</f>
        <v>0</v>
      </c>
      <c r="Q159" s="29">
        <f>'RESUMEN TOTAL'!V166</f>
        <v>0</v>
      </c>
      <c r="R159" s="29">
        <f>'RESUMEN TOTAL'!W166</f>
        <v>0</v>
      </c>
      <c r="S159" s="29">
        <f>'RESUMEN TOTAL'!X166</f>
        <v>0</v>
      </c>
      <c r="T159" s="29">
        <f>'RESUMEN TOTAL'!Y166</f>
        <v>0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>
        <f>'RESUMEN TOTAL'!L168</f>
        <v>0</v>
      </c>
      <c r="H161" s="29">
        <f>'RESUMEN TOTAL'!M168</f>
        <v>0</v>
      </c>
      <c r="I161" s="29">
        <f>'RESUMEN TOTAL'!N168</f>
        <v>0</v>
      </c>
      <c r="J161" s="29">
        <f>'RESUMEN TOTAL'!O168</f>
        <v>0</v>
      </c>
      <c r="K161" s="29">
        <f>'RESUMEN TOTAL'!P168</f>
        <v>0</v>
      </c>
      <c r="L161" s="29">
        <f>'RESUMEN TOTAL'!Q168</f>
        <v>0</v>
      </c>
      <c r="M161" s="29">
        <f>'RESUMEN TOTAL'!R168</f>
        <v>0</v>
      </c>
      <c r="N161" s="29">
        <f>'RESUMEN TOTAL'!S168</f>
        <v>0</v>
      </c>
      <c r="O161" s="29">
        <f>'RESUMEN TOTAL'!T168</f>
        <v>0</v>
      </c>
      <c r="P161" s="29">
        <f>'RESUMEN TOTAL'!U168</f>
        <v>0</v>
      </c>
      <c r="Q161" s="29">
        <f>'RESUMEN TOTAL'!V168</f>
        <v>0</v>
      </c>
      <c r="R161" s="29">
        <f>'RESUMEN TOTAL'!W168</f>
        <v>0</v>
      </c>
      <c r="S161" s="29">
        <f>'RESUMEN TOTAL'!X168</f>
        <v>0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>
        <f>'RESUMEN TOTAL'!L170</f>
        <v>0</v>
      </c>
      <c r="H163" s="29">
        <f>'RESUMEN TOTAL'!M170</f>
        <v>0</v>
      </c>
      <c r="I163" s="29">
        <f>'RESUMEN TOTAL'!N170</f>
        <v>0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>
        <f>'RESUMEN TOTAL'!L173</f>
        <v>0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>
        <f>'RESUMEN TOTAL'!Q173</f>
        <v>0</v>
      </c>
      <c r="M166" s="29">
        <f>'RESUMEN TOTAL'!R173</f>
        <v>0</v>
      </c>
      <c r="N166" s="29">
        <f>'RESUMEN TOTAL'!S173</f>
        <v>0</v>
      </c>
      <c r="O166" s="29">
        <f>'RESUMEN TOTAL'!T173</f>
        <v>0</v>
      </c>
      <c r="P166" s="29">
        <f>'RESUMEN TOTAL'!U173</f>
        <v>0</v>
      </c>
      <c r="Q166" s="29">
        <f>'RESUMEN TOTAL'!V173</f>
        <v>0</v>
      </c>
      <c r="R166" s="29">
        <f>'RESUMEN TOTAL'!W173</f>
        <v>0</v>
      </c>
      <c r="S166" s="29">
        <f>'RESUMEN TOTAL'!X173</f>
        <v>0</v>
      </c>
      <c r="T166" s="29">
        <f>'RESUMEN TOTAL'!Y173</f>
        <v>0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>
        <f>'RESUMEN TOTAL'!M175</f>
        <v>0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>
        <f>'RESUMEN TOTAL'!L176</f>
        <v>0</v>
      </c>
      <c r="H169" s="29">
        <f>'RESUMEN TOTAL'!M176</f>
        <v>0</v>
      </c>
      <c r="I169" s="29">
        <f>'RESUMEN TOTAL'!N176</f>
        <v>0</v>
      </c>
      <c r="J169" s="29">
        <f>'RESUMEN TOTAL'!O176</f>
        <v>0</v>
      </c>
      <c r="K169" s="29">
        <f>'RESUMEN TOTAL'!P176</f>
        <v>0</v>
      </c>
      <c r="L169" s="29">
        <f>'RESUMEN TOTAL'!Q176</f>
        <v>0</v>
      </c>
      <c r="M169" s="29">
        <f>'RESUMEN TOTAL'!R176</f>
        <v>0</v>
      </c>
      <c r="N169" s="29">
        <f>'RESUMEN TOTAL'!S176</f>
        <v>0</v>
      </c>
      <c r="O169" s="29">
        <f>'RESUMEN TOTAL'!T176</f>
        <v>0</v>
      </c>
      <c r="P169" s="29">
        <f>'RESUMEN TOTAL'!U176</f>
        <v>0</v>
      </c>
      <c r="Q169" s="29">
        <f>'RESUMEN TOTAL'!V176</f>
        <v>0</v>
      </c>
      <c r="R169" s="29">
        <f>'RESUMEN TOTAL'!W176</f>
        <v>0</v>
      </c>
      <c r="S169" s="29">
        <f>'RESUMEN TOTAL'!X176</f>
        <v>0</v>
      </c>
      <c r="T169" s="29">
        <f>'RESUMEN TOTAL'!Y176</f>
        <v>0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>
        <f>'RESUMEN TOTAL'!M182</f>
        <v>0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>
        <f>'RESUMEN TOTAL'!M184</f>
        <v>0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>
        <f>'RESUMEN TOTAL'!M185</f>
        <v>0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>
        <f>'RESUMEN TOTAL'!M188</f>
        <v>0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>
        <f>'RESUMEN TOTAL'!L189</f>
        <v>0</v>
      </c>
      <c r="H182" s="29">
        <f>'RESUMEN TOTAL'!M189</f>
        <v>0</v>
      </c>
      <c r="I182" s="29">
        <f>'RESUMEN TOTAL'!N189</f>
        <v>0</v>
      </c>
      <c r="J182" s="29">
        <f>'RESUMEN TOTAL'!O189</f>
        <v>0</v>
      </c>
      <c r="K182" s="29">
        <f>'RESUMEN TOTAL'!P189</f>
        <v>0</v>
      </c>
      <c r="L182" s="29">
        <f>'RESUMEN TOTAL'!Q189</f>
        <v>0</v>
      </c>
      <c r="M182" s="29">
        <f>'RESUMEN TOTAL'!R189</f>
        <v>0</v>
      </c>
      <c r="N182" s="29">
        <f>'RESUMEN TOTAL'!S189</f>
        <v>0</v>
      </c>
      <c r="O182" s="29">
        <f>'RESUMEN TOTAL'!T189</f>
        <v>0</v>
      </c>
      <c r="P182" s="29">
        <f>'RESUMEN TOTAL'!U189</f>
        <v>0</v>
      </c>
      <c r="Q182" s="29">
        <f>'RESUMEN TOTAL'!V189</f>
        <v>0</v>
      </c>
      <c r="R182" s="29">
        <f>'RESUMEN TOTAL'!W189</f>
        <v>0</v>
      </c>
      <c r="S182" s="29">
        <f>'RESUMEN TOTAL'!X189</f>
        <v>0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>
        <f>'RESUMEN TOTAL'!M190</f>
        <v>0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>
        <f>'RESUMEN TOTAL'!M191</f>
        <v>0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>
        <f>'RESUMEN TOTAL'!M192</f>
        <v>0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>
        <f>'RESUMEN TOTAL'!M193</f>
        <v>0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>
        <f>'RESUMEN TOTAL'!M194</f>
        <v>0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>
        <f>'RESUMEN TOTAL'!M195</f>
        <v>0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>
        <f>'RESUMEN TOTAL'!M196</f>
        <v>0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>
        <f>'RESUMEN TOTAL'!M197</f>
        <v>0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>
        <f>'RESUMEN TOTAL'!M198</f>
        <v>0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>
        <f>'RESUMEN TOTAL'!M199</f>
        <v>0</v>
      </c>
      <c r="I192" s="29">
        <f>'RESUMEN TOTAL'!N199</f>
        <v>0</v>
      </c>
      <c r="J192" s="29">
        <f>'RESUMEN TOTAL'!O199</f>
        <v>0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>
        <f>'RESUMEN TOTAL'!M200</f>
        <v>0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>
        <f>'RESUMEN TOTAL'!S200</f>
        <v>0</v>
      </c>
      <c r="O193" s="29">
        <f>'RESUMEN TOTAL'!T200</f>
        <v>0</v>
      </c>
      <c r="P193" s="29">
        <f>'RESUMEN TOTAL'!U200</f>
        <v>0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>
        <f>'RESUMEN TOTAL'!M201</f>
        <v>0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>
        <f>'RESUMEN TOTAL'!M202</f>
        <v>0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>
        <f>'RESUMEN TOTAL'!W202</f>
        <v>0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>
        <f>'RESUMEN TOTAL'!M204</f>
        <v>0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>
        <f>'RESUMEN TOTAL'!M210</f>
        <v>0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>
        <f>'RESUMEN TOTAL'!L220</f>
        <v>0</v>
      </c>
      <c r="H213" s="29">
        <f>'RESUMEN TOTAL'!M220</f>
        <v>0</v>
      </c>
      <c r="I213" s="29">
        <f>'RESUMEN TOTAL'!N220</f>
        <v>0</v>
      </c>
      <c r="J213" s="29">
        <f>'RESUMEN TOTAL'!O220</f>
        <v>0</v>
      </c>
      <c r="K213" s="29">
        <f>'RESUMEN TOTAL'!P220</f>
        <v>0</v>
      </c>
      <c r="L213" s="29">
        <f>'RESUMEN TOTAL'!Q220</f>
        <v>0</v>
      </c>
      <c r="M213" s="29">
        <f>'RESUMEN TOTAL'!R220</f>
        <v>0</v>
      </c>
      <c r="N213" s="29">
        <f>'RESUMEN TOTAL'!S220</f>
        <v>0</v>
      </c>
      <c r="O213" s="29">
        <f>'RESUMEN TOTAL'!T220</f>
        <v>0</v>
      </c>
      <c r="P213" s="29">
        <f>'RESUMEN TOTAL'!U220</f>
        <v>0</v>
      </c>
      <c r="Q213" s="29">
        <f>'RESUMEN TOTAL'!V220</f>
        <v>0</v>
      </c>
      <c r="R213" s="29">
        <f>'RESUMEN TOTAL'!W220</f>
        <v>0</v>
      </c>
      <c r="S213" s="29">
        <f>'RESUMEN TOTAL'!X220</f>
        <v>0</v>
      </c>
      <c r="T213" s="29">
        <f>'RESUMEN TOTAL'!Y220</f>
        <v>0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>
        <f>'RESUMEN TOTAL'!M223</f>
        <v>0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>
        <f>'RESUMEN TOTAL'!L224</f>
        <v>0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>
        <f>'RESUMEN TOTAL'!L227</f>
        <v>0</v>
      </c>
      <c r="H220" s="29">
        <f>'RESUMEN TOTAL'!M227</f>
        <v>0</v>
      </c>
      <c r="I220" s="29">
        <f>'RESUMEN TOTAL'!N227</f>
        <v>0</v>
      </c>
      <c r="J220" s="29">
        <f>'RESUMEN TOTAL'!O227</f>
        <v>0</v>
      </c>
      <c r="K220" s="29">
        <f>'RESUMEN TOTAL'!P227</f>
        <v>0</v>
      </c>
      <c r="L220" s="29">
        <f>'RESUMEN TOTAL'!Q227</f>
        <v>0</v>
      </c>
      <c r="M220" s="29">
        <f>'RESUMEN TOTAL'!R227</f>
        <v>0</v>
      </c>
      <c r="N220" s="29">
        <f>'RESUMEN TOTAL'!S227</f>
        <v>0</v>
      </c>
      <c r="O220" s="29">
        <f>'RESUMEN TOTAL'!T227</f>
        <v>0</v>
      </c>
      <c r="P220" s="29">
        <f>'RESUMEN TOTAL'!U227</f>
        <v>0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>
        <f>'RESUMEN TOTAL'!Y227</f>
        <v>0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>
        <f>'RESUMEN TOTAL'!W230</f>
        <v>0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>
        <f>'RESUMEN TOTAL'!U232</f>
        <v>0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>
        <f>'RESUMEN TOTAL'!M242</f>
        <v>0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>
        <f>'RESUMEN TOTAL'!M246</f>
        <v>0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>
        <f>'RESUMEN TOTAL'!M258</f>
        <v>0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>
        <f>'RESUMEN TOTAL'!M259</f>
        <v>0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>
        <f>'RESUMEN TOTAL'!M260</f>
        <v>0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>
        <f>'RESUMEN TOTAL'!M263</f>
        <v>0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>
        <f>'RESUMEN TOTAL'!M264</f>
        <v>0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>
        <f>'RESUMEN TOTAL'!M265</f>
        <v>0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>
        <f>'RESUMEN TOTAL'!M268</f>
        <v>0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>
        <f>'RESUMEN TOTAL'!L269</f>
        <v>0</v>
      </c>
      <c r="H260" s="29">
        <f>'RESUMEN TOTAL'!M269</f>
        <v>0</v>
      </c>
      <c r="I260" s="29">
        <f>'RESUMEN TOTAL'!N269</f>
        <v>0</v>
      </c>
      <c r="J260" s="29">
        <f>'RESUMEN TOTAL'!O269</f>
        <v>0</v>
      </c>
      <c r="K260" s="29">
        <f>'RESUMEN TOTAL'!P269</f>
        <v>0</v>
      </c>
      <c r="L260" s="29">
        <f>'RESUMEN TOTAL'!Q269</f>
        <v>0</v>
      </c>
      <c r="M260" s="29">
        <f>'RESUMEN TOTAL'!R269</f>
        <v>0</v>
      </c>
      <c r="N260" s="29">
        <f>'RESUMEN TOTAL'!S269</f>
        <v>0</v>
      </c>
      <c r="O260" s="29">
        <f>'RESUMEN TOTAL'!T269</f>
        <v>0</v>
      </c>
      <c r="P260" s="29">
        <f>'RESUMEN TOTAL'!U269</f>
        <v>0</v>
      </c>
      <c r="Q260" s="29">
        <f>'RESUMEN TOTAL'!V269</f>
        <v>0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>
        <f>'RESUMEN TOTAL'!Q270</f>
        <v>0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>
        <f>'RESUMEN TOTAL'!M273</f>
        <v>0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>
        <f>'RESUMEN TOTAL'!W278</f>
        <v>0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>
        <f>'RESUMEN TOTAL'!W279</f>
        <v>0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>
        <f>'RESUMEN TOTAL'!W284</f>
        <v>0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>
        <f>'RESUMEN TOTAL'!M286</f>
        <v>0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>
        <f>'RESUMEN TOTAL'!W286</f>
        <v>0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>
        <f>'RESUMEN TOTAL'!M287</f>
        <v>0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>
        <f>'RESUMEN TOTAL'!S287</f>
        <v>0</v>
      </c>
      <c r="O278" s="29">
        <f>'RESUMEN TOTAL'!T287</f>
        <v>0</v>
      </c>
      <c r="P278" s="29">
        <f>'RESUMEN TOTAL'!U287</f>
        <v>0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>
        <f>'RESUMEN TOTAL'!M288</f>
        <v>0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>
        <f>'RESUMEN TOTAL'!M289</f>
        <v>0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>
        <f>'RESUMEN TOTAL'!M290</f>
        <v>0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>
        <f>'RESUMEN TOTAL'!M291</f>
        <v>0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>
        <f>'RESUMEN TOTAL'!S291</f>
        <v>0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>
        <f>'RESUMEN TOTAL'!M292</f>
        <v>0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>
        <f>'RESUMEN TOTAL'!M297</f>
        <v>0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>
        <f>'RESUMEN TOTAL'!W297</f>
        <v>0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>
        <f>'RESUMEN TOTAL'!M298</f>
        <v>0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>
        <f>'RESUMEN TOTAL'!W298</f>
        <v>0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>
        <f>'RESUMEN TOTAL'!M301</f>
        <v>0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>
        <f>'RESUMEN TOTAL'!W301</f>
        <v>0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>
        <f>'RESUMEN TOTAL'!M302</f>
        <v>0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>
        <f>'RESUMEN TOTAL'!M303</f>
        <v>0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>
        <f>'RESUMEN TOTAL'!M305</f>
        <v>0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>
        <f>'RESUMEN TOTAL'!L307</f>
        <v>0</v>
      </c>
      <c r="H298" s="29">
        <f>'RESUMEN TOTAL'!M307</f>
        <v>0</v>
      </c>
      <c r="I298" s="29">
        <f>'RESUMEN TOTAL'!N307</f>
        <v>0</v>
      </c>
      <c r="J298" s="29">
        <f>'RESUMEN TOTAL'!O307</f>
        <v>0</v>
      </c>
      <c r="K298" s="29">
        <f>'RESUMEN TOTAL'!P307</f>
        <v>0</v>
      </c>
      <c r="L298" s="29">
        <f>'RESUMEN TOTAL'!Q307</f>
        <v>0</v>
      </c>
      <c r="M298" s="29">
        <f>'RESUMEN TOTAL'!R307</f>
        <v>0</v>
      </c>
      <c r="N298" s="29">
        <f>'RESUMEN TOTAL'!S307</f>
        <v>0</v>
      </c>
      <c r="O298" s="29">
        <f>'RESUMEN TOTAL'!T307</f>
        <v>0</v>
      </c>
      <c r="P298" s="29">
        <f>'RESUMEN TOTAL'!U307</f>
        <v>0</v>
      </c>
      <c r="Q298" s="29">
        <f>'RESUMEN TOTAL'!V307</f>
        <v>0</v>
      </c>
      <c r="R298" s="29">
        <f>'RESUMEN TOTAL'!W307</f>
        <v>0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>
        <f>'RESUMEN TOTAL'!L308</f>
        <v>0</v>
      </c>
      <c r="H299" s="29">
        <f>'RESUMEN TOTAL'!M308</f>
        <v>0</v>
      </c>
      <c r="I299" s="29">
        <f>'RESUMEN TOTAL'!N308</f>
        <v>0</v>
      </c>
      <c r="J299" s="29">
        <f>'RESUMEN TOTAL'!O308</f>
        <v>0</v>
      </c>
      <c r="K299" s="29">
        <f>'RESUMEN TOTAL'!P308</f>
        <v>0</v>
      </c>
      <c r="L299" s="29">
        <f>'RESUMEN TOTAL'!Q308</f>
        <v>0</v>
      </c>
      <c r="M299" s="29">
        <f>'RESUMEN TOTAL'!R308</f>
        <v>0</v>
      </c>
      <c r="N299" s="29">
        <f>'RESUMEN TOTAL'!S308</f>
        <v>0</v>
      </c>
      <c r="O299" s="29">
        <f>'RESUMEN TOTAL'!T308</f>
        <v>0</v>
      </c>
      <c r="P299" s="29">
        <f>'RESUMEN TOTAL'!U308</f>
        <v>0</v>
      </c>
      <c r="Q299" s="29">
        <f>'RESUMEN TOTAL'!V308</f>
        <v>0</v>
      </c>
      <c r="R299" s="29">
        <f>'RESUMEN TOTAL'!W308</f>
        <v>0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>
        <f>'RESUMEN TOTAL'!L309</f>
        <v>0</v>
      </c>
      <c r="H300" s="29">
        <f>'RESUMEN TOTAL'!M309</f>
        <v>0</v>
      </c>
      <c r="I300" s="29">
        <f>'RESUMEN TOTAL'!N309</f>
        <v>0</v>
      </c>
      <c r="J300" s="29">
        <f>'RESUMEN TOTAL'!O309</f>
        <v>0</v>
      </c>
      <c r="K300" s="29">
        <f>'RESUMEN TOTAL'!P309</f>
        <v>0</v>
      </c>
      <c r="L300" s="29">
        <f>'RESUMEN TOTAL'!Q309</f>
        <v>0</v>
      </c>
      <c r="M300" s="29">
        <f>'RESUMEN TOTAL'!R309</f>
        <v>0</v>
      </c>
      <c r="N300" s="29">
        <f>'RESUMEN TOTAL'!S309</f>
        <v>0</v>
      </c>
      <c r="O300" s="29">
        <f>'RESUMEN TOTAL'!T309</f>
        <v>0</v>
      </c>
      <c r="P300" s="29">
        <f>'RESUMEN TOTAL'!U309</f>
        <v>0</v>
      </c>
      <c r="Q300" s="29">
        <f>'RESUMEN TOTAL'!V309</f>
        <v>0</v>
      </c>
      <c r="R300" s="29">
        <f>'RESUMEN TOTAL'!W309</f>
        <v>0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>
        <f>'RESUMEN TOTAL'!L310</f>
        <v>0</v>
      </c>
      <c r="H301" s="29">
        <f>'RESUMEN TOTAL'!M310</f>
        <v>0</v>
      </c>
      <c r="I301" s="29">
        <f>'RESUMEN TOTAL'!N310</f>
        <v>0</v>
      </c>
      <c r="J301" s="29">
        <f>'RESUMEN TOTAL'!O310</f>
        <v>0</v>
      </c>
      <c r="K301" s="29">
        <f>'RESUMEN TOTAL'!P310</f>
        <v>0</v>
      </c>
      <c r="L301" s="29">
        <f>'RESUMEN TOTAL'!Q310</f>
        <v>0</v>
      </c>
      <c r="M301" s="29">
        <f>'RESUMEN TOTAL'!R310</f>
        <v>0</v>
      </c>
      <c r="N301" s="29">
        <f>'RESUMEN TOTAL'!S310</f>
        <v>0</v>
      </c>
      <c r="O301" s="29">
        <f>'RESUMEN TOTAL'!T310</f>
        <v>0</v>
      </c>
      <c r="P301" s="29">
        <f>'RESUMEN TOTAL'!U310</f>
        <v>0</v>
      </c>
      <c r="Q301" s="29">
        <f>'RESUMEN TOTAL'!V310</f>
        <v>0</v>
      </c>
      <c r="R301" s="29">
        <f>'RESUMEN TOTAL'!W310</f>
        <v>0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>
        <f>'RESUMEN TOTAL'!N311</f>
        <v>0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>
        <f>'RESUMEN TOTAL'!M312</f>
        <v>0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>
        <f>'RESUMEN TOTAL'!M318</f>
        <v>0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>
        <f>'RESUMEN TOTAL'!M321</f>
        <v>0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>
        <f>'RESUMEN TOTAL'!M322</f>
        <v>0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>
        <f>'RESUMEN TOTAL'!M324</f>
        <v>0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>
        <f>'RESUMEN TOTAL'!M332</f>
        <v>0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>
        <f>'RESUMEN TOTAL'!Q334</f>
        <v>0</v>
      </c>
      <c r="M325" s="29">
        <f>'RESUMEN TOTAL'!R334</f>
        <v>0</v>
      </c>
      <c r="N325" s="29">
        <f>'RESUMEN TOTAL'!S334</f>
        <v>0</v>
      </c>
      <c r="O325" s="29">
        <f>'RESUMEN TOTAL'!T334</f>
        <v>0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>
        <f>'RESUMEN TOTAL'!L335</f>
        <v>0</v>
      </c>
      <c r="H326" s="29">
        <f>'RESUMEN TOTAL'!M335</f>
        <v>0</v>
      </c>
      <c r="I326" s="29">
        <f>'RESUMEN TOTAL'!N335</f>
        <v>0</v>
      </c>
      <c r="J326" s="29">
        <f>'RESUMEN TOTAL'!O335</f>
        <v>0</v>
      </c>
      <c r="K326" s="29">
        <f>'RESUMEN TOTAL'!P335</f>
        <v>0</v>
      </c>
      <c r="L326" s="29">
        <f>'RESUMEN TOTAL'!Q335</f>
        <v>0</v>
      </c>
      <c r="M326" s="29">
        <f>'RESUMEN TOTAL'!R335</f>
        <v>0</v>
      </c>
      <c r="N326" s="29">
        <f>'RESUMEN TOTAL'!S335</f>
        <v>0</v>
      </c>
      <c r="O326" s="29">
        <f>'RESUMEN TOTAL'!T335</f>
        <v>0</v>
      </c>
      <c r="P326" s="29">
        <f>'RESUMEN TOTAL'!U335</f>
        <v>0</v>
      </c>
      <c r="Q326" s="29">
        <f>'RESUMEN TOTAL'!V335</f>
        <v>0</v>
      </c>
      <c r="R326" s="29">
        <f>'RESUMEN TOTAL'!W335</f>
        <v>0</v>
      </c>
      <c r="S326" s="29">
        <f>'RESUMEN TOTAL'!X335</f>
        <v>0</v>
      </c>
      <c r="T326" s="29">
        <f>'RESUMEN TOTAL'!Y335</f>
        <v>0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>
        <f>'RESUMEN TOTAL'!L336</f>
        <v>0</v>
      </c>
      <c r="H327" s="29">
        <f>'RESUMEN TOTAL'!M336</f>
        <v>0</v>
      </c>
      <c r="I327" s="29">
        <f>'RESUMEN TOTAL'!N336</f>
        <v>0</v>
      </c>
      <c r="J327" s="29">
        <f>'RESUMEN TOTAL'!O336</f>
        <v>0</v>
      </c>
      <c r="K327" s="29">
        <f>'RESUMEN TOTAL'!P336</f>
        <v>0</v>
      </c>
      <c r="L327" s="29">
        <f>'RESUMEN TOTAL'!Q336</f>
        <v>0</v>
      </c>
      <c r="M327" s="29">
        <f>'RESUMEN TOTAL'!R336</f>
        <v>0</v>
      </c>
      <c r="N327" s="29">
        <f>'RESUMEN TOTAL'!S336</f>
        <v>0</v>
      </c>
      <c r="O327" s="29">
        <f>'RESUMEN TOTAL'!T336</f>
        <v>0</v>
      </c>
      <c r="P327" s="29">
        <f>'RESUMEN TOTAL'!U336</f>
        <v>0</v>
      </c>
      <c r="Q327" s="29">
        <f>'RESUMEN TOTAL'!V336</f>
        <v>0</v>
      </c>
      <c r="R327" s="29">
        <f>'RESUMEN TOTAL'!W336</f>
        <v>0</v>
      </c>
      <c r="S327" s="29">
        <f>'RESUMEN TOTAL'!X336</f>
        <v>0</v>
      </c>
      <c r="T327" s="29">
        <f>'RESUMEN TOTAL'!Y336</f>
        <v>0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>
        <f>'RESUMEN TOTAL'!L337</f>
        <v>0</v>
      </c>
      <c r="H328" s="29">
        <f>'RESUMEN TOTAL'!M337</f>
        <v>0</v>
      </c>
      <c r="I328" s="29">
        <f>'RESUMEN TOTAL'!N337</f>
        <v>0</v>
      </c>
      <c r="J328" s="29">
        <f>'RESUMEN TOTAL'!O337</f>
        <v>0</v>
      </c>
      <c r="K328" s="29">
        <f>'RESUMEN TOTAL'!P337</f>
        <v>0</v>
      </c>
      <c r="L328" s="29">
        <f>'RESUMEN TOTAL'!Q337</f>
        <v>0</v>
      </c>
      <c r="M328" s="29">
        <f>'RESUMEN TOTAL'!R337</f>
        <v>0</v>
      </c>
      <c r="N328" s="29">
        <f>'RESUMEN TOTAL'!S337</f>
        <v>0</v>
      </c>
      <c r="O328" s="29">
        <f>'RESUMEN TOTAL'!T337</f>
        <v>0</v>
      </c>
      <c r="P328" s="29">
        <f>'RESUMEN TOTAL'!U337</f>
        <v>0</v>
      </c>
      <c r="Q328" s="29">
        <f>'RESUMEN TOTAL'!V337</f>
        <v>0</v>
      </c>
      <c r="R328" s="29">
        <f>'RESUMEN TOTAL'!W337</f>
        <v>0</v>
      </c>
      <c r="S328" s="29">
        <f>'RESUMEN TOTAL'!X337</f>
        <v>0</v>
      </c>
      <c r="T328" s="29">
        <f>'RESUMEN TOTAL'!Y337</f>
        <v>0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>
        <f>'RESUMEN TOTAL'!L338</f>
        <v>0</v>
      </c>
      <c r="H329" s="29">
        <f>'RESUMEN TOTAL'!M338</f>
        <v>0</v>
      </c>
      <c r="I329" s="29">
        <f>'RESUMEN TOTAL'!N338</f>
        <v>0</v>
      </c>
      <c r="J329" s="29">
        <f>'RESUMEN TOTAL'!O338</f>
        <v>0</v>
      </c>
      <c r="K329" s="29">
        <f>'RESUMEN TOTAL'!P338</f>
        <v>0</v>
      </c>
      <c r="L329" s="29">
        <f>'RESUMEN TOTAL'!Q338</f>
        <v>0</v>
      </c>
      <c r="M329" s="29">
        <f>'RESUMEN TOTAL'!R338</f>
        <v>0</v>
      </c>
      <c r="N329" s="29">
        <f>'RESUMEN TOTAL'!S338</f>
        <v>0</v>
      </c>
      <c r="O329" s="29">
        <f>'RESUMEN TOTAL'!T338</f>
        <v>0</v>
      </c>
      <c r="P329" s="29">
        <f>'RESUMEN TOTAL'!U338</f>
        <v>0</v>
      </c>
      <c r="Q329" s="29">
        <f>'RESUMEN TOTAL'!V338</f>
        <v>0</v>
      </c>
      <c r="R329" s="29">
        <f>'RESUMEN TOTAL'!W338</f>
        <v>0</v>
      </c>
      <c r="S329" s="29">
        <f>'RESUMEN TOTAL'!X338</f>
        <v>0</v>
      </c>
      <c r="T329" s="29">
        <f>'RESUMEN TOTAL'!Y338</f>
        <v>0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>
        <f>'RESUMEN TOTAL'!L339</f>
        <v>0</v>
      </c>
      <c r="H330" s="29">
        <f>'RESUMEN TOTAL'!M339</f>
        <v>0</v>
      </c>
      <c r="I330" s="29">
        <f>'RESUMEN TOTAL'!N339</f>
        <v>0</v>
      </c>
      <c r="J330" s="29">
        <f>'RESUMEN TOTAL'!O339</f>
        <v>0</v>
      </c>
      <c r="K330" s="29">
        <f>'RESUMEN TOTAL'!P339</f>
        <v>0</v>
      </c>
      <c r="L330" s="29">
        <f>'RESUMEN TOTAL'!Q339</f>
        <v>0</v>
      </c>
      <c r="M330" s="29">
        <f>'RESUMEN TOTAL'!R339</f>
        <v>0</v>
      </c>
      <c r="N330" s="29">
        <f>'RESUMEN TOTAL'!S339</f>
        <v>0</v>
      </c>
      <c r="O330" s="29">
        <f>'RESUMEN TOTAL'!T339</f>
        <v>0</v>
      </c>
      <c r="P330" s="29">
        <f>'RESUMEN TOTAL'!U339</f>
        <v>0</v>
      </c>
      <c r="Q330" s="29">
        <f>'RESUMEN TOTAL'!V339</f>
        <v>0</v>
      </c>
      <c r="R330" s="29">
        <f>'RESUMEN TOTAL'!W339</f>
        <v>0</v>
      </c>
      <c r="S330" s="29">
        <f>'RESUMEN TOTAL'!X339</f>
        <v>0</v>
      </c>
      <c r="T330" s="29">
        <f>'RESUMEN TOTAL'!Y339</f>
        <v>0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>
        <f>'RESUMEN TOTAL'!L340</f>
        <v>0</v>
      </c>
      <c r="H331" s="29">
        <f>'RESUMEN TOTAL'!M340</f>
        <v>0</v>
      </c>
      <c r="I331" s="29">
        <f>'RESUMEN TOTAL'!N340</f>
        <v>0</v>
      </c>
      <c r="J331" s="29">
        <f>'RESUMEN TOTAL'!O340</f>
        <v>0</v>
      </c>
      <c r="K331" s="29">
        <f>'RESUMEN TOTAL'!P340</f>
        <v>0</v>
      </c>
      <c r="L331" s="29">
        <f>'RESUMEN TOTAL'!Q340</f>
        <v>0</v>
      </c>
      <c r="M331" s="29">
        <f>'RESUMEN TOTAL'!R340</f>
        <v>0</v>
      </c>
      <c r="N331" s="29">
        <f>'RESUMEN TOTAL'!S340</f>
        <v>0</v>
      </c>
      <c r="O331" s="29">
        <f>'RESUMEN TOTAL'!T340</f>
        <v>0</v>
      </c>
      <c r="P331" s="29">
        <f>'RESUMEN TOTAL'!U340</f>
        <v>0</v>
      </c>
      <c r="Q331" s="29">
        <f>'RESUMEN TOTAL'!V340</f>
        <v>0</v>
      </c>
      <c r="R331" s="29">
        <f>'RESUMEN TOTAL'!W340</f>
        <v>0</v>
      </c>
      <c r="S331" s="29">
        <f>'RESUMEN TOTAL'!X340</f>
        <v>0</v>
      </c>
      <c r="T331" s="29">
        <f>'RESUMEN TOTAL'!Y340</f>
        <v>0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>
        <f>'RESUMEN TOTAL'!L341</f>
        <v>0</v>
      </c>
      <c r="H332" s="29">
        <f>'RESUMEN TOTAL'!M341</f>
        <v>0</v>
      </c>
      <c r="I332" s="29">
        <f>'RESUMEN TOTAL'!N341</f>
        <v>0</v>
      </c>
      <c r="J332" s="29">
        <f>'RESUMEN TOTAL'!O341</f>
        <v>0</v>
      </c>
      <c r="K332" s="29">
        <f>'RESUMEN TOTAL'!P341</f>
        <v>0</v>
      </c>
      <c r="L332" s="29">
        <f>'RESUMEN TOTAL'!Q341</f>
        <v>0</v>
      </c>
      <c r="M332" s="29">
        <f>'RESUMEN TOTAL'!R341</f>
        <v>0</v>
      </c>
      <c r="N332" s="29">
        <f>'RESUMEN TOTAL'!S341</f>
        <v>0</v>
      </c>
      <c r="O332" s="29">
        <f>'RESUMEN TOTAL'!T341</f>
        <v>0</v>
      </c>
      <c r="P332" s="29">
        <f>'RESUMEN TOTAL'!U341</f>
        <v>0</v>
      </c>
      <c r="Q332" s="29">
        <f>'RESUMEN TOTAL'!V341</f>
        <v>0</v>
      </c>
      <c r="R332" s="29">
        <f>'RESUMEN TOTAL'!W341</f>
        <v>0</v>
      </c>
      <c r="S332" s="29">
        <f>'RESUMEN TOTAL'!X341</f>
        <v>0</v>
      </c>
      <c r="T332" s="29">
        <f>'RESUMEN TOTAL'!Y341</f>
        <v>0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>
        <f>'RESUMEN TOTAL'!M342</f>
        <v>0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>
        <f>'RESUMEN TOTAL'!M343</f>
        <v>0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>
        <f>'RESUMEN TOTAL'!M357</f>
        <v>0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>
        <f>'RESUMEN TOTAL'!Q357</f>
        <v>0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>
        <f>'RESUMEN TOTAL'!M359</f>
        <v>0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>
        <f>'RESUMEN TOTAL'!M361</f>
        <v>0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>
        <f>'RESUMEN TOTAL'!M362</f>
        <v>0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>
        <f>'RESUMEN TOTAL'!S362</f>
        <v>0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>
        <f>'RESUMEN TOTAL'!M366</f>
        <v>0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>
        <f>'RESUMEN TOTAL'!S366</f>
        <v>0</v>
      </c>
      <c r="O357" s="29">
        <f>'RESUMEN TOTAL'!T366</f>
        <v>0</v>
      </c>
      <c r="P357" s="29">
        <f>'RESUMEN TOTAL'!U366</f>
        <v>0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>
        <f>'RESUMEN TOTAL'!L367</f>
        <v>0</v>
      </c>
      <c r="H358" s="29">
        <f>'RESUMEN TOTAL'!M367</f>
        <v>0</v>
      </c>
      <c r="I358" s="29">
        <f>'RESUMEN TOTAL'!N367</f>
        <v>0</v>
      </c>
      <c r="J358" s="29">
        <f>'RESUMEN TOTAL'!O367</f>
        <v>0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>
        <f>'RESUMEN TOTAL'!S367</f>
        <v>0</v>
      </c>
      <c r="O358" s="29">
        <f>'RESUMEN TOTAL'!T367</f>
        <v>0</v>
      </c>
      <c r="P358" s="29">
        <f>'RESUMEN TOTAL'!U367</f>
        <v>0</v>
      </c>
      <c r="Q358" s="29">
        <f>'RESUMEN TOTAL'!V367</f>
        <v>0</v>
      </c>
      <c r="R358" s="29">
        <f>'RESUMEN TOTAL'!W367</f>
        <v>0</v>
      </c>
      <c r="S358" s="29">
        <f>'RESUMEN TOTAL'!X367</f>
        <v>0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>
        <f>'RESUMEN TOTAL'!S369</f>
        <v>0</v>
      </c>
      <c r="O360" s="29">
        <f>'RESUMEN TOTAL'!T369</f>
        <v>0</v>
      </c>
      <c r="P360" s="29">
        <f>'RESUMEN TOTAL'!U369</f>
        <v>0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>
        <f>'RESUMEN TOTAL'!M370</f>
        <v>0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>
        <f>'RESUMEN TOTAL'!M371</f>
        <v>0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>
        <f>'RESUMEN TOTAL'!M375</f>
        <v>0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>
        <f>'RESUMEN TOTAL'!M378</f>
        <v>0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>
        <f>'RESUMEN TOTAL'!S378</f>
        <v>0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>
        <f>'RESUMEN TOTAL'!M379</f>
        <v>0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>
        <f>'RESUMEN TOTAL'!S379</f>
        <v>0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>
        <f>'RESUMEN TOTAL'!M382</f>
        <v>0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>
        <f>'RESUMEN TOTAL'!M383</f>
        <v>0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>
        <f>'RESUMEN TOTAL'!W386</f>
        <v>0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>
        <f>'RESUMEN TOTAL'!W387</f>
        <v>0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>
        <f>'RESUMEN TOTAL'!W388</f>
        <v>0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>
        <f>'RESUMEN TOTAL'!W389</f>
        <v>0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>
        <f>'RESUMEN TOTAL'!L390</f>
        <v>0</v>
      </c>
      <c r="H379" s="29">
        <f>'RESUMEN TOTAL'!M390</f>
        <v>0</v>
      </c>
      <c r="I379" s="29">
        <f>'RESUMEN TOTAL'!N390</f>
        <v>0</v>
      </c>
      <c r="J379" s="29">
        <f>'RESUMEN TOTAL'!O390</f>
        <v>0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>
        <f>'RESUMEN TOTAL'!S390</f>
        <v>0</v>
      </c>
      <c r="O379" s="29">
        <f>'RESUMEN TOTAL'!T390</f>
        <v>0</v>
      </c>
      <c r="P379" s="29">
        <f>'RESUMEN TOTAL'!U390</f>
        <v>0</v>
      </c>
      <c r="Q379" s="29">
        <f>'RESUMEN TOTAL'!V390</f>
        <v>0</v>
      </c>
      <c r="R379" s="29">
        <f>'RESUMEN TOTAL'!W390</f>
        <v>0</v>
      </c>
      <c r="S379" s="29">
        <f>'RESUMEN TOTAL'!X390</f>
        <v>0</v>
      </c>
      <c r="T379" s="29">
        <f>'RESUMEN TOTAL'!Y390</f>
        <v>0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>
        <f>'RESUMEN TOTAL'!W391</f>
        <v>0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>
        <f>'RESUMEN TOTAL'!W392</f>
        <v>0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>
        <f>'RESUMEN TOTAL'!L393</f>
        <v>0</v>
      </c>
      <c r="H382" s="29">
        <f>'RESUMEN TOTAL'!M393</f>
        <v>0</v>
      </c>
      <c r="I382" s="29">
        <f>'RESUMEN TOTAL'!N393</f>
        <v>0</v>
      </c>
      <c r="J382" s="29">
        <f>'RESUMEN TOTAL'!O393</f>
        <v>0</v>
      </c>
      <c r="K382" s="29">
        <f>'RESUMEN TOTAL'!P393</f>
        <v>0</v>
      </c>
      <c r="L382" s="29">
        <f>'RESUMEN TOTAL'!Q393</f>
        <v>0</v>
      </c>
      <c r="M382" s="29">
        <f>'RESUMEN TOTAL'!R393</f>
        <v>0</v>
      </c>
      <c r="N382" s="29">
        <f>'RESUMEN TOTAL'!S393</f>
        <v>0</v>
      </c>
      <c r="O382" s="29">
        <f>'RESUMEN TOTAL'!T393</f>
        <v>0</v>
      </c>
      <c r="P382" s="29">
        <f>'RESUMEN TOTAL'!U393</f>
        <v>0</v>
      </c>
      <c r="Q382" s="29">
        <f>'RESUMEN TOTAL'!V393</f>
        <v>0</v>
      </c>
      <c r="R382" s="29">
        <f>'RESUMEN TOTAL'!W393</f>
        <v>0</v>
      </c>
      <c r="S382" s="29">
        <f>'RESUMEN TOTAL'!X393</f>
        <v>0</v>
      </c>
      <c r="T382" s="29">
        <f>'RESUMEN TOTAL'!Y393</f>
        <v>0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>
        <f>'RESUMEN TOTAL'!W394</f>
        <v>0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>
        <f>'RESUMEN TOTAL'!W397</f>
        <v>0</v>
      </c>
      <c r="S386" s="29">
        <f>'RESUMEN TOTAL'!X397</f>
        <v>0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>
        <f>'RESUMEN TOTAL'!W398</f>
        <v>0</v>
      </c>
      <c r="S387" s="29">
        <f>'RESUMEN TOTAL'!X398</f>
        <v>0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>
        <f>'RESUMEN TOTAL'!M413</f>
        <v>0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>
        <f>'RESUMEN TOTAL'!M415</f>
        <v>0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>
        <f>'RESUMEN TOTAL'!X415</f>
        <v>0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>
        <f>'RESUMEN TOTAL'!M416</f>
        <v>0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>
        <f>'RESUMEN TOTAL'!M417</f>
        <v>0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>
        <f>'RESUMEN TOTAL'!M418</f>
        <v>0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>
        <f>'RESUMEN TOTAL'!M419</f>
        <v>0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>
        <f>'RESUMEN TOTAL'!W419</f>
        <v>0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>
        <f>'RESUMEN TOTAL'!M420</f>
        <v>0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>
        <f>'RESUMEN TOTAL'!W420</f>
        <v>0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>
        <f>'RESUMEN TOTAL'!W421</f>
        <v>0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>
        <f>'RESUMEN TOTAL'!W422</f>
        <v>0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>
        <f>'RESUMEN TOTAL'!M127</f>
        <v>0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>
        <f>'RESUMEN TOTAL'!M128</f>
        <v>0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0</v>
      </c>
      <c r="H1" s="25">
        <f t="shared" si="0"/>
        <v>0</v>
      </c>
      <c r="I1" s="25">
        <f t="shared" si="0"/>
        <v>0</v>
      </c>
      <c r="J1" s="25">
        <f t="shared" si="0"/>
        <v>0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0</v>
      </c>
      <c r="H2" s="25">
        <f>COUNTIFS(H4:H400, "=APAGADO",E4:E400,"=Fibra Optica")</f>
        <v>0</v>
      </c>
      <c r="I2" s="25">
        <f>COUNTIFS(I4:I400, "=APAGADO",E4:E400,"=Fibra Optica")</f>
        <v>0</v>
      </c>
      <c r="J2" s="25">
        <f>COUNTIFS(J4:J400, "=APAGADO",E4:E400,"=Fibra Optica")</f>
        <v>0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0</v>
      </c>
      <c r="H2" s="25">
        <f>COUNTIFS(H4:H400, "=APAGADO",E4:E400,"=PTO A FO")</f>
        <v>0</v>
      </c>
      <c r="I2" s="25">
        <f>COUNTIFS(I4:I400, "=APAGADO",E4:E400,"=PTO A FO")</f>
        <v>0</v>
      </c>
      <c r="J2" s="25">
        <f>COUNTIFS(J4:J400, "=APAGADO",E4:E400,"=PTO A FO")</f>
        <v>0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0</v>
      </c>
      <c r="H2" s="25">
        <f>COUNTIFS(H4:H500, "=APAGADO",E4:E500,"=radio")</f>
        <v>0</v>
      </c>
      <c r="I2" s="25">
        <f>COUNTIFS(I4:I500, "=APAGADO",E4:E500,"=radio")</f>
        <v>0</v>
      </c>
      <c r="J2" s="25">
        <f>COUNTIFS(J4:J500, "=APAGADO",E4:E500,"=radio")</f>
        <v>0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7"/>
  <sheetViews>
    <sheetView topLeftCell="A43" workbookViewId="0">
      <selection activeCell="A72" sqref="A72:E76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>
        <v>395</v>
      </c>
      <c r="C2" s="88"/>
      <c r="D2" s="89"/>
      <c r="E2" s="143">
        <v>44805</v>
      </c>
    </row>
    <row r="3" spans="1:13" ht="15" customHeight="1" thickTop="1" x14ac:dyDescent="0.25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44"/>
      <c r="G3" s="94"/>
      <c r="H3" s="95"/>
      <c r="I3" s="95"/>
      <c r="J3" s="95"/>
      <c r="K3" s="96"/>
      <c r="L3" s="97"/>
      <c r="M3" s="140"/>
    </row>
    <row r="4" spans="1:13" x14ac:dyDescent="0.25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44"/>
      <c r="G4" s="98"/>
      <c r="H4" s="99"/>
      <c r="I4" s="99"/>
      <c r="J4" s="99"/>
      <c r="K4" s="100"/>
      <c r="L4" s="101"/>
      <c r="M4" s="141"/>
    </row>
    <row r="5" spans="1:13" x14ac:dyDescent="0.25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44"/>
      <c r="G5" s="98"/>
      <c r="H5" s="99"/>
      <c r="I5" s="99"/>
      <c r="J5" s="99"/>
      <c r="K5" s="100"/>
      <c r="L5" s="101"/>
      <c r="M5" s="141"/>
    </row>
    <row r="6" spans="1:13" ht="15.75" thickBot="1" x14ac:dyDescent="0.3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25">
      <c r="A7" s="86" t="s">
        <v>999</v>
      </c>
      <c r="B7" s="87">
        <v>395</v>
      </c>
      <c r="C7" s="88"/>
      <c r="D7" s="89"/>
      <c r="E7" s="143">
        <v>44809</v>
      </c>
      <c r="G7" s="98"/>
      <c r="H7" s="99"/>
      <c r="I7" s="99"/>
      <c r="J7" s="99"/>
      <c r="K7" s="100"/>
      <c r="L7" s="101"/>
      <c r="M7" s="141"/>
    </row>
    <row r="8" spans="1:13" ht="15.75" thickBot="1" x14ac:dyDescent="0.3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44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44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44"/>
      <c r="G10" s="114"/>
      <c r="H10" s="115"/>
      <c r="I10" s="115"/>
      <c r="J10" s="115"/>
      <c r="K10" s="116"/>
      <c r="L10" s="117"/>
      <c r="M10" s="140"/>
    </row>
    <row r="11" spans="1:13" ht="15.75" thickBot="1" x14ac:dyDescent="0.3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5"/>
      <c r="G11" s="118"/>
      <c r="H11" s="111"/>
      <c r="I11" s="111"/>
      <c r="J11" s="111"/>
      <c r="K11" s="112"/>
      <c r="L11" s="119"/>
      <c r="M11" s="141"/>
    </row>
    <row r="12" spans="1:13" ht="15.75" thickTop="1" x14ac:dyDescent="0.25">
      <c r="A12" s="86" t="s">
        <v>999</v>
      </c>
      <c r="B12" s="87">
        <v>395</v>
      </c>
      <c r="C12" s="88"/>
      <c r="D12" s="89"/>
      <c r="E12" s="143">
        <v>44810</v>
      </c>
      <c r="G12" s="118"/>
      <c r="H12" s="111"/>
      <c r="I12" s="111"/>
      <c r="J12" s="111"/>
      <c r="K12" s="112"/>
      <c r="L12" s="119"/>
      <c r="M12" s="141"/>
    </row>
    <row r="13" spans="1:13" x14ac:dyDescent="0.25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44"/>
      <c r="G13" s="118"/>
      <c r="H13" s="111"/>
      <c r="I13" s="111"/>
      <c r="J13" s="111"/>
      <c r="K13" s="112"/>
      <c r="L13" s="119"/>
      <c r="M13" s="141"/>
    </row>
    <row r="14" spans="1:13" x14ac:dyDescent="0.25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44"/>
      <c r="G15" s="120"/>
      <c r="H15" s="121"/>
      <c r="I15" s="121"/>
      <c r="J15" s="121"/>
      <c r="K15" s="121"/>
      <c r="L15" s="122"/>
      <c r="M15" s="142"/>
    </row>
    <row r="16" spans="1:13" ht="16.5" thickTop="1" thickBot="1" x14ac:dyDescent="0.3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5"/>
      <c r="G16" s="123"/>
      <c r="H16" s="124"/>
      <c r="I16" s="124"/>
      <c r="J16" s="124"/>
      <c r="K16" s="125"/>
      <c r="L16" s="126"/>
      <c r="M16" s="140"/>
    </row>
    <row r="17" spans="1:14" ht="15.75" thickTop="1" x14ac:dyDescent="0.25">
      <c r="A17" s="86" t="s">
        <v>999</v>
      </c>
      <c r="B17" s="87">
        <v>396</v>
      </c>
      <c r="C17" s="88"/>
      <c r="D17" s="89"/>
      <c r="E17" s="143">
        <v>44813</v>
      </c>
      <c r="G17" s="127"/>
      <c r="H17" s="111"/>
      <c r="I17" s="111"/>
      <c r="J17" s="111"/>
      <c r="K17" s="112"/>
      <c r="L17" s="128"/>
      <c r="M17" s="141"/>
    </row>
    <row r="18" spans="1:14" x14ac:dyDescent="0.25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44"/>
      <c r="G18" s="127"/>
      <c r="H18" s="111"/>
      <c r="I18" s="111"/>
      <c r="J18" s="111"/>
      <c r="K18" s="112"/>
      <c r="L18" s="128"/>
      <c r="M18" s="141"/>
    </row>
    <row r="19" spans="1:14" x14ac:dyDescent="0.25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44"/>
      <c r="G19" s="127"/>
      <c r="H19" s="111"/>
      <c r="I19" s="111"/>
      <c r="J19" s="111"/>
      <c r="K19" s="112"/>
      <c r="L19" s="128"/>
      <c r="M19" s="141"/>
    </row>
    <row r="20" spans="1:14" x14ac:dyDescent="0.25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44"/>
      <c r="G20" s="127"/>
      <c r="H20" s="111"/>
      <c r="I20" s="111"/>
      <c r="J20" s="111"/>
      <c r="K20" s="112"/>
      <c r="L20" s="128"/>
      <c r="M20" s="141"/>
    </row>
    <row r="21" spans="1:14" ht="15.75" thickBot="1" x14ac:dyDescent="0.3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5"/>
      <c r="G21" s="120"/>
      <c r="H21" s="121"/>
      <c r="I21" s="121"/>
      <c r="J21" s="121"/>
      <c r="K21" s="121"/>
      <c r="L21" s="122"/>
      <c r="M21" s="142"/>
    </row>
    <row r="22" spans="1:14" ht="15.75" thickTop="1" x14ac:dyDescent="0.25">
      <c r="A22" s="86" t="s">
        <v>999</v>
      </c>
      <c r="B22" s="87">
        <v>396</v>
      </c>
      <c r="C22" s="88"/>
      <c r="D22" s="89"/>
      <c r="E22" s="143">
        <v>44817</v>
      </c>
    </row>
    <row r="23" spans="1:14" ht="15.75" thickBot="1" x14ac:dyDescent="0.3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44"/>
    </row>
    <row r="24" spans="1:14" ht="15.75" thickTop="1" x14ac:dyDescent="0.25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44"/>
      <c r="G24" s="114"/>
      <c r="H24" s="115"/>
      <c r="I24" s="115"/>
      <c r="J24" s="115"/>
      <c r="K24" s="116"/>
      <c r="L24" s="117"/>
      <c r="M24" s="140"/>
    </row>
    <row r="25" spans="1:14" x14ac:dyDescent="0.25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44"/>
      <c r="G25" s="118"/>
      <c r="H25" s="111"/>
      <c r="I25" s="111"/>
      <c r="J25" s="111"/>
      <c r="K25" s="112"/>
      <c r="L25" s="119"/>
      <c r="M25" s="141"/>
    </row>
    <row r="26" spans="1:14" ht="15.75" thickBot="1" x14ac:dyDescent="0.3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5"/>
      <c r="G26" s="118"/>
      <c r="H26" s="111"/>
      <c r="I26" s="111"/>
      <c r="J26" s="111"/>
      <c r="K26" s="112"/>
      <c r="L26" s="119"/>
      <c r="M26" s="141"/>
    </row>
    <row r="27" spans="1:14" ht="15.75" thickTop="1" x14ac:dyDescent="0.25">
      <c r="A27" s="86" t="s">
        <v>999</v>
      </c>
      <c r="B27" s="87">
        <v>396</v>
      </c>
      <c r="C27" s="88"/>
      <c r="D27" s="89"/>
      <c r="E27" s="143">
        <v>44818</v>
      </c>
      <c r="G27" s="118"/>
      <c r="H27" s="111"/>
      <c r="I27" s="111"/>
      <c r="J27" s="111"/>
      <c r="K27" s="112"/>
      <c r="L27" s="119"/>
      <c r="M27" s="141"/>
    </row>
    <row r="28" spans="1:14" x14ac:dyDescent="0.25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44"/>
      <c r="G28" s="118"/>
      <c r="H28" s="111"/>
      <c r="I28" s="111"/>
      <c r="J28" s="111"/>
      <c r="K28" s="112"/>
      <c r="L28" s="119"/>
      <c r="M28" s="141"/>
    </row>
    <row r="29" spans="1:14" ht="15.75" thickBot="1" x14ac:dyDescent="0.3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44"/>
      <c r="G29" s="120"/>
      <c r="H29" s="121"/>
      <c r="I29" s="121"/>
      <c r="J29" s="121"/>
      <c r="K29" s="121"/>
      <c r="L29" s="122"/>
      <c r="M29" s="142"/>
    </row>
    <row r="30" spans="1:14" ht="16.5" thickTop="1" thickBot="1" x14ac:dyDescent="0.3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44"/>
    </row>
    <row r="31" spans="1:14" ht="16.5" thickTop="1" thickBot="1" x14ac:dyDescent="0.3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.75" thickTop="1" x14ac:dyDescent="0.25">
      <c r="A32" s="86" t="s">
        <v>999</v>
      </c>
      <c r="B32" s="87">
        <v>396</v>
      </c>
      <c r="C32" s="88"/>
      <c r="D32" s="89"/>
      <c r="E32" s="143">
        <v>44820</v>
      </c>
      <c r="G32" s="127"/>
      <c r="H32" s="110"/>
      <c r="I32" s="111"/>
      <c r="J32" s="111"/>
      <c r="K32" s="111"/>
      <c r="L32" s="112"/>
      <c r="M32" s="128"/>
      <c r="N32" s="139"/>
    </row>
    <row r="33" spans="1:14" ht="15.75" thickBot="1" x14ac:dyDescent="0.3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.75" thickTop="1" x14ac:dyDescent="0.25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44"/>
      <c r="G34" s="133"/>
      <c r="K34" s="134"/>
    </row>
    <row r="35" spans="1:14" x14ac:dyDescent="0.25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44"/>
      <c r="G35" s="133"/>
      <c r="K35" s="134"/>
    </row>
    <row r="36" spans="1:14" ht="15.75" thickBot="1" x14ac:dyDescent="0.3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5"/>
      <c r="G36" s="133"/>
      <c r="K36" s="134"/>
    </row>
    <row r="37" spans="1:14" ht="15.75" thickTop="1" x14ac:dyDescent="0.25">
      <c r="A37" s="86" t="s">
        <v>999</v>
      </c>
      <c r="B37" s="87">
        <v>396</v>
      </c>
      <c r="C37" s="88"/>
      <c r="D37" s="89"/>
      <c r="E37" s="143">
        <v>44823</v>
      </c>
      <c r="G37" s="133"/>
      <c r="K37" s="134"/>
    </row>
    <row r="38" spans="1:14" x14ac:dyDescent="0.25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44"/>
      <c r="G38" s="133"/>
      <c r="K38" s="134"/>
      <c r="L38" s="135"/>
    </row>
    <row r="39" spans="1:14" ht="15.75" thickBot="1" x14ac:dyDescent="0.3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44"/>
    </row>
    <row r="40" spans="1:14" ht="15.75" thickTop="1" x14ac:dyDescent="0.25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44"/>
      <c r="G40" s="114"/>
      <c r="H40" s="115"/>
      <c r="I40" s="115"/>
      <c r="J40" s="115"/>
      <c r="K40" s="116"/>
      <c r="L40" s="117"/>
      <c r="M40" s="140"/>
    </row>
    <row r="41" spans="1:14" ht="15.75" thickBot="1" x14ac:dyDescent="0.3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25">
      <c r="A42" s="86" t="s">
        <v>999</v>
      </c>
      <c r="B42" s="87">
        <v>402</v>
      </c>
      <c r="C42" s="88"/>
      <c r="D42" s="89"/>
      <c r="E42" s="143">
        <v>44824</v>
      </c>
      <c r="G42" s="118"/>
      <c r="H42" s="111"/>
      <c r="I42" s="111"/>
      <c r="J42" s="111"/>
      <c r="K42" s="112"/>
      <c r="L42" s="119"/>
      <c r="M42" s="141"/>
    </row>
    <row r="43" spans="1:14" x14ac:dyDescent="0.25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44"/>
      <c r="G43" s="118"/>
      <c r="H43" s="111"/>
      <c r="I43" s="111"/>
      <c r="J43" s="111"/>
      <c r="K43" s="112"/>
      <c r="L43" s="119"/>
      <c r="M43" s="141"/>
    </row>
    <row r="44" spans="1:14" x14ac:dyDescent="0.25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44"/>
      <c r="G44" s="118"/>
      <c r="H44" s="111"/>
      <c r="I44" s="111"/>
      <c r="J44" s="111"/>
      <c r="K44" s="112"/>
      <c r="L44" s="119"/>
      <c r="M44" s="141"/>
    </row>
    <row r="45" spans="1:14" ht="15.75" thickBot="1" x14ac:dyDescent="0.3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44"/>
      <c r="G45" s="120"/>
      <c r="H45" s="121"/>
      <c r="I45" s="121"/>
      <c r="J45" s="121"/>
      <c r="K45" s="121"/>
      <c r="L45" s="122"/>
      <c r="M45" s="142"/>
    </row>
    <row r="46" spans="1:14" ht="16.5" thickTop="1" thickBot="1" x14ac:dyDescent="0.3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5"/>
    </row>
    <row r="47" spans="1:14" ht="15.75" thickTop="1" x14ac:dyDescent="0.25">
      <c r="A47" s="86" t="s">
        <v>999</v>
      </c>
      <c r="B47" s="87">
        <v>402</v>
      </c>
      <c r="C47" s="88"/>
      <c r="D47" s="89"/>
      <c r="E47" s="143">
        <v>44825</v>
      </c>
      <c r="G47" s="133"/>
      <c r="K47" s="134"/>
    </row>
    <row r="48" spans="1:14" x14ac:dyDescent="0.25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44"/>
      <c r="G48" s="133"/>
      <c r="K48" s="134"/>
    </row>
    <row r="49" spans="1:11" x14ac:dyDescent="0.25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44"/>
      <c r="G49" s="133"/>
      <c r="K49" s="134"/>
    </row>
    <row r="50" spans="1:11" x14ac:dyDescent="0.25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44"/>
      <c r="G50" s="133"/>
      <c r="K50" s="134"/>
    </row>
    <row r="51" spans="1:11" ht="15.75" thickBot="1" x14ac:dyDescent="0.3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5"/>
      <c r="G51" s="133"/>
      <c r="K51" s="134"/>
    </row>
    <row r="52" spans="1:11" ht="15.75" thickTop="1" x14ac:dyDescent="0.25">
      <c r="A52" s="86" t="s">
        <v>999</v>
      </c>
      <c r="B52" s="87">
        <v>410</v>
      </c>
      <c r="C52" s="88"/>
      <c r="D52" s="89"/>
      <c r="E52" s="143">
        <v>44826</v>
      </c>
      <c r="G52" s="133"/>
      <c r="K52" s="134"/>
    </row>
    <row r="53" spans="1:11" x14ac:dyDescent="0.25">
      <c r="A53" s="90" t="s">
        <v>6</v>
      </c>
      <c r="B53" s="91">
        <v>41</v>
      </c>
      <c r="C53" s="92">
        <v>41</v>
      </c>
      <c r="D53" s="93">
        <f>C53/B52</f>
        <v>0.1</v>
      </c>
      <c r="E53" s="144"/>
      <c r="G53" s="133"/>
      <c r="K53" s="134"/>
    </row>
    <row r="54" spans="1:11" x14ac:dyDescent="0.25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44"/>
    </row>
    <row r="55" spans="1:11" x14ac:dyDescent="0.25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44"/>
    </row>
    <row r="56" spans="1:11" ht="15.75" thickBot="1" x14ac:dyDescent="0.3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5"/>
    </row>
    <row r="57" spans="1:11" ht="15.75" thickTop="1" x14ac:dyDescent="0.25">
      <c r="A57" s="86" t="s">
        <v>999</v>
      </c>
      <c r="B57" s="87">
        <v>412</v>
      </c>
      <c r="C57" s="88"/>
      <c r="D57" s="89"/>
      <c r="E57" s="143">
        <v>44831</v>
      </c>
    </row>
    <row r="58" spans="1:11" x14ac:dyDescent="0.25">
      <c r="A58" s="90" t="s">
        <v>6</v>
      </c>
      <c r="B58" s="91">
        <v>60</v>
      </c>
      <c r="C58" s="92">
        <v>60</v>
      </c>
      <c r="D58" s="93">
        <f>C58/B57</f>
        <v>0.14563106796116504</v>
      </c>
      <c r="E58" s="144"/>
    </row>
    <row r="59" spans="1:11" x14ac:dyDescent="0.25">
      <c r="A59" s="90" t="s">
        <v>1001</v>
      </c>
      <c r="B59" s="91">
        <v>1</v>
      </c>
      <c r="C59" s="92">
        <f>B58-B59</f>
        <v>59</v>
      </c>
      <c r="D59" s="93">
        <f>C59/B57</f>
        <v>0.14320388349514562</v>
      </c>
      <c r="E59" s="144"/>
    </row>
    <row r="60" spans="1:11" x14ac:dyDescent="0.25">
      <c r="A60" s="90" t="s">
        <v>1000</v>
      </c>
      <c r="B60" s="91">
        <v>2</v>
      </c>
      <c r="C60" s="92">
        <f>C59-B60</f>
        <v>57</v>
      </c>
      <c r="D60" s="93">
        <f>C60/B57</f>
        <v>0.13834951456310679</v>
      </c>
      <c r="E60" s="144"/>
    </row>
    <row r="61" spans="1:11" ht="15.75" thickBot="1" x14ac:dyDescent="0.3">
      <c r="A61" s="102" t="s">
        <v>16</v>
      </c>
      <c r="B61" s="103">
        <v>5</v>
      </c>
      <c r="C61" s="104">
        <f>C60-B61</f>
        <v>52</v>
      </c>
      <c r="D61" s="105">
        <f>C61/B57</f>
        <v>0.12621359223300971</v>
      </c>
      <c r="E61" s="145"/>
    </row>
    <row r="62" spans="1:11" ht="15.75" thickTop="1" x14ac:dyDescent="0.25">
      <c r="A62" s="86" t="s">
        <v>999</v>
      </c>
      <c r="B62" s="87">
        <v>412</v>
      </c>
      <c r="C62" s="88"/>
      <c r="D62" s="89"/>
      <c r="E62" s="143">
        <v>44832</v>
      </c>
    </row>
    <row r="63" spans="1:11" x14ac:dyDescent="0.25">
      <c r="A63" s="90" t="s">
        <v>6</v>
      </c>
      <c r="B63" s="91">
        <v>65</v>
      </c>
      <c r="C63" s="92">
        <v>65</v>
      </c>
      <c r="D63" s="93">
        <f>C63/B62</f>
        <v>0.15776699029126215</v>
      </c>
      <c r="E63" s="144"/>
    </row>
    <row r="64" spans="1:11" x14ac:dyDescent="0.25">
      <c r="A64" s="90" t="s">
        <v>1001</v>
      </c>
      <c r="B64" s="91">
        <v>2</v>
      </c>
      <c r="C64" s="92">
        <f>B63-B64</f>
        <v>63</v>
      </c>
      <c r="D64" s="93">
        <f>C64/B62</f>
        <v>0.15291262135922329</v>
      </c>
      <c r="E64" s="144"/>
    </row>
    <row r="65" spans="1:5" x14ac:dyDescent="0.25">
      <c r="A65" s="90" t="s">
        <v>1000</v>
      </c>
      <c r="B65" s="91">
        <v>2</v>
      </c>
      <c r="C65" s="92">
        <f>C64-B65</f>
        <v>61</v>
      </c>
      <c r="D65" s="93">
        <f>C65/B62</f>
        <v>0.14805825242718446</v>
      </c>
      <c r="E65" s="144"/>
    </row>
    <row r="66" spans="1:5" ht="15.75" thickBot="1" x14ac:dyDescent="0.3">
      <c r="A66" s="102" t="s">
        <v>16</v>
      </c>
      <c r="B66" s="103">
        <v>3</v>
      </c>
      <c r="C66" s="104">
        <f>C65-B66</f>
        <v>58</v>
      </c>
      <c r="D66" s="105">
        <f>C66/B62</f>
        <v>0.14077669902912621</v>
      </c>
      <c r="E66" s="145"/>
    </row>
    <row r="67" spans="1:5" ht="15.75" thickTop="1" x14ac:dyDescent="0.25">
      <c r="A67" s="86" t="s">
        <v>999</v>
      </c>
      <c r="B67" s="87">
        <v>412</v>
      </c>
      <c r="C67" s="88"/>
      <c r="D67" s="89"/>
      <c r="E67" s="143">
        <v>44833</v>
      </c>
    </row>
    <row r="68" spans="1:5" x14ac:dyDescent="0.25">
      <c r="A68" s="90" t="s">
        <v>6</v>
      </c>
      <c r="B68" s="91">
        <v>66</v>
      </c>
      <c r="C68" s="92">
        <v>66</v>
      </c>
      <c r="D68" s="93">
        <f>C68/B67</f>
        <v>0.16019417475728157</v>
      </c>
      <c r="E68" s="144"/>
    </row>
    <row r="69" spans="1:5" x14ac:dyDescent="0.25">
      <c r="A69" s="90" t="s">
        <v>1001</v>
      </c>
      <c r="B69" s="91">
        <v>8</v>
      </c>
      <c r="C69" s="92">
        <f>B68-B69</f>
        <v>58</v>
      </c>
      <c r="D69" s="93">
        <f>C69/B67</f>
        <v>0.14077669902912621</v>
      </c>
      <c r="E69" s="144"/>
    </row>
    <row r="70" spans="1:5" x14ac:dyDescent="0.25">
      <c r="A70" s="90" t="s">
        <v>1000</v>
      </c>
      <c r="B70" s="91">
        <v>2</v>
      </c>
      <c r="C70" s="92">
        <f>C69-B70</f>
        <v>56</v>
      </c>
      <c r="D70" s="93">
        <f>C70/B67</f>
        <v>0.13592233009708737</v>
      </c>
      <c r="E70" s="144"/>
    </row>
    <row r="71" spans="1:5" ht="15.75" thickBot="1" x14ac:dyDescent="0.3">
      <c r="A71" s="102" t="s">
        <v>16</v>
      </c>
      <c r="B71" s="103">
        <v>2</v>
      </c>
      <c r="C71" s="104">
        <f>C70-B71</f>
        <v>54</v>
      </c>
      <c r="D71" s="105">
        <f>C71/B67</f>
        <v>0.13106796116504854</v>
      </c>
      <c r="E71" s="145"/>
    </row>
    <row r="72" spans="1:5" ht="15.75" thickTop="1" x14ac:dyDescent="0.25">
      <c r="A72" s="86" t="s">
        <v>999</v>
      </c>
      <c r="B72" s="87">
        <v>412</v>
      </c>
      <c r="C72" s="88"/>
      <c r="D72" s="89"/>
      <c r="E72" s="143">
        <v>44834</v>
      </c>
    </row>
    <row r="73" spans="1:5" x14ac:dyDescent="0.25">
      <c r="A73" s="90" t="s">
        <v>6</v>
      </c>
      <c r="B73" s="91">
        <v>46</v>
      </c>
      <c r="C73" s="92">
        <v>46</v>
      </c>
      <c r="D73" s="93">
        <f>C73/B72</f>
        <v>0.11165048543689321</v>
      </c>
      <c r="E73" s="144"/>
    </row>
    <row r="74" spans="1:5" x14ac:dyDescent="0.25">
      <c r="A74" s="90" t="s">
        <v>1001</v>
      </c>
      <c r="B74" s="91">
        <v>0</v>
      </c>
      <c r="C74" s="92">
        <f>B73-B74</f>
        <v>46</v>
      </c>
      <c r="D74" s="93">
        <f>C74/B72</f>
        <v>0.11165048543689321</v>
      </c>
      <c r="E74" s="144"/>
    </row>
    <row r="75" spans="1:5" x14ac:dyDescent="0.25">
      <c r="A75" s="90" t="s">
        <v>1000</v>
      </c>
      <c r="B75" s="91">
        <v>2</v>
      </c>
      <c r="C75" s="92">
        <f>C74-B75</f>
        <v>44</v>
      </c>
      <c r="D75" s="93">
        <f>C75/B72</f>
        <v>0.10679611650485436</v>
      </c>
      <c r="E75" s="144"/>
    </row>
    <row r="76" spans="1:5" ht="15.75" thickBot="1" x14ac:dyDescent="0.3">
      <c r="A76" s="102" t="s">
        <v>16</v>
      </c>
      <c r="B76" s="103">
        <v>3</v>
      </c>
      <c r="C76" s="104">
        <f>C75-B76</f>
        <v>41</v>
      </c>
      <c r="D76" s="105">
        <f>C76/B72</f>
        <v>9.9514563106796114E-2</v>
      </c>
      <c r="E76" s="145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42" sqref="E4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0</v>
      </c>
      <c r="C3" s="50">
        <f>'APAGADOS FIBRA'!G2</f>
        <v>0</v>
      </c>
      <c r="D3" s="50">
        <f>'APAGADOS ANTENA'!G2</f>
        <v>0</v>
      </c>
      <c r="E3" s="50">
        <f t="shared" ref="E3:E6" si="2">B3+C3</f>
        <v>0</v>
      </c>
      <c r="F3" s="50">
        <f>'RESUMEN TOTAL'!B1</f>
        <v>426</v>
      </c>
      <c r="G3" s="54">
        <f t="shared" ref="G3:G6" si="3">E3/F3</f>
        <v>0</v>
      </c>
    </row>
    <row r="4" spans="1:7" x14ac:dyDescent="0.25">
      <c r="A4" s="24">
        <f>'APAGADOS RADIO'!H3</f>
        <v>44837</v>
      </c>
      <c r="B4" s="50">
        <f>'APAGADOS RADIO'!H2+D4</f>
        <v>0</v>
      </c>
      <c r="C4" s="50">
        <f>'APAGADOS FIBRA'!H2</f>
        <v>0</v>
      </c>
      <c r="D4" s="50">
        <f>'APAGADOS ANTENA'!H2</f>
        <v>0</v>
      </c>
      <c r="E4" s="50">
        <f t="shared" si="2"/>
        <v>0</v>
      </c>
      <c r="F4" s="50">
        <f>'RESUMEN TOTAL'!B1</f>
        <v>426</v>
      </c>
      <c r="G4" s="54">
        <f t="shared" si="3"/>
        <v>0</v>
      </c>
    </row>
    <row r="5" spans="1:7" x14ac:dyDescent="0.25">
      <c r="A5" s="24">
        <f>'APAGADOS RADIO'!I3</f>
        <v>44838</v>
      </c>
      <c r="B5" s="50">
        <f>'APAGADOS RADIO'!H2+D5</f>
        <v>0</v>
      </c>
      <c r="C5" s="50">
        <f>'APAGADOS FIBRA'!I2</f>
        <v>0</v>
      </c>
      <c r="D5" s="50">
        <f>'APAGADOS ANTENA'!I2</f>
        <v>0</v>
      </c>
      <c r="E5" s="50">
        <f t="shared" si="2"/>
        <v>0</v>
      </c>
      <c r="F5" s="50">
        <f>'RESUMEN TOTAL'!B1</f>
        <v>426</v>
      </c>
      <c r="G5" s="54">
        <f t="shared" si="3"/>
        <v>0</v>
      </c>
    </row>
    <row r="6" spans="1:7" x14ac:dyDescent="0.25">
      <c r="A6" s="24">
        <f>'APAGADOS RADIO'!J3</f>
        <v>44839</v>
      </c>
      <c r="B6" s="50">
        <f>'APAGADOS RADIO'!J2+D6</f>
        <v>0</v>
      </c>
      <c r="C6" s="50">
        <f>'APAGADOS FIBRA'!J2</f>
        <v>0</v>
      </c>
      <c r="D6" s="50">
        <f>'APAGADOS ANTENA'!J2</f>
        <v>0</v>
      </c>
      <c r="E6" s="50">
        <f t="shared" si="2"/>
        <v>0</v>
      </c>
      <c r="F6" s="50">
        <f>'RESUMEN TOTAL'!B1</f>
        <v>426</v>
      </c>
      <c r="G6" s="54">
        <f t="shared" si="3"/>
        <v>0</v>
      </c>
    </row>
    <row r="7" spans="1:7" x14ac:dyDescent="0.25">
      <c r="A7" s="24">
        <f>'APAGADOS RADIO'!K3</f>
        <v>44840</v>
      </c>
      <c r="B7" s="50">
        <f>'APAGADOS RADIO'!K2+D7</f>
        <v>0</v>
      </c>
      <c r="C7" s="50">
        <f>'APAGADOS FIBRA'!K2</f>
        <v>0</v>
      </c>
      <c r="D7" s="50">
        <f>'APAGADOS ANTENA'!K2</f>
        <v>0</v>
      </c>
      <c r="E7" s="50">
        <f t="shared" ref="E7:E8" si="4">B7+C7</f>
        <v>0</v>
      </c>
      <c r="F7" s="50">
        <f>'RESUMEN TOTAL'!B1</f>
        <v>426</v>
      </c>
      <c r="G7" s="54">
        <f t="shared" ref="G7:G8" si="5">E7/F7</f>
        <v>0</v>
      </c>
    </row>
    <row r="8" spans="1:7" x14ac:dyDescent="0.25">
      <c r="A8" s="24">
        <f>'APAGADOS RADIO'!L3</f>
        <v>44841</v>
      </c>
      <c r="B8" s="50">
        <f>'APAGADOS RADIO'!L2+D8</f>
        <v>0</v>
      </c>
      <c r="C8" s="50">
        <f>'APAGADOS FIBRA'!L2</f>
        <v>0</v>
      </c>
      <c r="D8" s="50">
        <f>'APAGADOS ANTENA'!L2</f>
        <v>0</v>
      </c>
      <c r="E8" s="50">
        <f t="shared" si="4"/>
        <v>0</v>
      </c>
      <c r="F8" s="50">
        <f>'RESUMEN TOTAL'!B1</f>
        <v>426</v>
      </c>
      <c r="G8" s="54">
        <f t="shared" si="5"/>
        <v>0</v>
      </c>
    </row>
    <row r="9" spans="1:7" x14ac:dyDescent="0.25">
      <c r="A9" s="24">
        <f>'APAGADOS RADIO'!M3</f>
        <v>44842</v>
      </c>
      <c r="B9" s="50">
        <f>'APAGADOS RADIO'!M2+D9</f>
        <v>0</v>
      </c>
      <c r="C9" s="50">
        <f>'APAGADOS FIBRA'!M2</f>
        <v>0</v>
      </c>
      <c r="D9" s="50">
        <f>'APAGADOS ANTENA'!M2</f>
        <v>0</v>
      </c>
      <c r="E9" s="50">
        <f t="shared" ref="E9:E10" si="6">B9+C9</f>
        <v>0</v>
      </c>
      <c r="F9" s="50">
        <f>'RESUMEN TOTAL'!B1</f>
        <v>426</v>
      </c>
      <c r="G9" s="54">
        <f t="shared" ref="G9:G10" si="7">E9/F9</f>
        <v>0</v>
      </c>
    </row>
    <row r="10" spans="1:7" x14ac:dyDescent="0.25">
      <c r="A10" s="24">
        <f>'APAGADOS RADIO'!N3</f>
        <v>44843</v>
      </c>
      <c r="B10" s="50">
        <f>'APAGADOS RADIO'!N2+D10</f>
        <v>0</v>
      </c>
      <c r="C10" s="50">
        <f>'APAGADOS FIBRA'!N2</f>
        <v>0</v>
      </c>
      <c r="D10" s="50">
        <f>'APAGADOS ANTENA'!N2</f>
        <v>0</v>
      </c>
      <c r="E10" s="50">
        <f t="shared" si="6"/>
        <v>0</v>
      </c>
      <c r="F10" s="50">
        <f>'RESUMEN TOTAL'!B1</f>
        <v>426</v>
      </c>
      <c r="G10" s="54">
        <f t="shared" si="7"/>
        <v>0</v>
      </c>
    </row>
    <row r="11" spans="1:7" x14ac:dyDescent="0.25">
      <c r="A11" s="24">
        <f>'APAGADOS RADIO'!O3</f>
        <v>44844</v>
      </c>
      <c r="B11" s="50">
        <f>'APAGADOS RADIO'!O2+D11</f>
        <v>0</v>
      </c>
      <c r="C11" s="50">
        <f>'APAGADOS FIBRA'!O2</f>
        <v>0</v>
      </c>
      <c r="D11" s="50">
        <f>'APAGADOS ANTENA'!M2</f>
        <v>0</v>
      </c>
      <c r="E11" s="50">
        <f t="shared" ref="E11" si="8">B11+C11</f>
        <v>0</v>
      </c>
      <c r="F11" s="50">
        <f>'RESUMEN TOTAL'!B1</f>
        <v>426</v>
      </c>
      <c r="G11" s="54">
        <f t="shared" ref="G11" si="9">E11/F11</f>
        <v>0</v>
      </c>
    </row>
    <row r="12" spans="1:7" x14ac:dyDescent="0.25">
      <c r="A12" s="24">
        <f>'APAGADOS RADIO'!P3</f>
        <v>44845</v>
      </c>
      <c r="B12" s="50">
        <f>'APAGADOS RADIO'!P2+D12</f>
        <v>0</v>
      </c>
      <c r="C12" s="50">
        <f>'APAGADOS FIBRA'!P2</f>
        <v>0</v>
      </c>
      <c r="D12" s="50">
        <f>'APAGADOS ANTENA'!O2</f>
        <v>0</v>
      </c>
      <c r="E12" s="50">
        <f t="shared" ref="E12:E14" si="10">B12+C12</f>
        <v>0</v>
      </c>
      <c r="F12" s="50">
        <f>'RESUMEN TOTAL'!B1</f>
        <v>426</v>
      </c>
      <c r="G12" s="54">
        <f t="shared" ref="G12:G14" si="11">E12/F12</f>
        <v>0</v>
      </c>
    </row>
    <row r="13" spans="1:7" x14ac:dyDescent="0.25">
      <c r="A13" s="24">
        <f>'APAGADOS RADIO'!Q3</f>
        <v>44846</v>
      </c>
      <c r="B13" s="50">
        <f>'APAGADOS RADIO'!Q2+D13</f>
        <v>0</v>
      </c>
      <c r="C13" s="50">
        <f>'APAGADOS FIBRA'!Q2</f>
        <v>0</v>
      </c>
      <c r="D13" s="50">
        <f>'APAGADOS ANTENA'!P2</f>
        <v>0</v>
      </c>
      <c r="E13" s="50">
        <f t="shared" si="10"/>
        <v>0</v>
      </c>
      <c r="F13" s="50">
        <f>'RESUMEN TOTAL'!B1</f>
        <v>426</v>
      </c>
      <c r="G13" s="54">
        <f t="shared" si="11"/>
        <v>0</v>
      </c>
    </row>
    <row r="14" spans="1:7" x14ac:dyDescent="0.25">
      <c r="A14" s="24">
        <f>'APAGADOS RADIO'!R3</f>
        <v>44847</v>
      </c>
      <c r="B14" s="50">
        <f>'APAGADOS RADIO'!R2+D14</f>
        <v>0</v>
      </c>
      <c r="C14" s="50">
        <f>'APAGADOS FIBRA'!R2</f>
        <v>0</v>
      </c>
      <c r="D14" s="50">
        <f>'APAGADOS ANTENA'!R2</f>
        <v>0</v>
      </c>
      <c r="E14" s="50">
        <f t="shared" si="10"/>
        <v>0</v>
      </c>
      <c r="F14" s="50">
        <f>'RESUMEN TOTAL'!B1</f>
        <v>426</v>
      </c>
      <c r="G14" s="54">
        <f t="shared" si="11"/>
        <v>0</v>
      </c>
    </row>
    <row r="15" spans="1:7" x14ac:dyDescent="0.25">
      <c r="A15" s="24">
        <f>'APAGADOS RADIO'!S3</f>
        <v>44848</v>
      </c>
      <c r="B15" s="50">
        <f>'APAGADOS RADIO'!S2+D15</f>
        <v>0</v>
      </c>
      <c r="C15" s="50">
        <f>'APAGADOS FIBRA'!S2</f>
        <v>0</v>
      </c>
      <c r="D15" s="50">
        <f>'APAGADOS ANTENA'!S2</f>
        <v>0</v>
      </c>
      <c r="E15" s="50">
        <f t="shared" ref="E15" si="12">B15+C15</f>
        <v>0</v>
      </c>
      <c r="F15" s="50">
        <f>'RESUMEN TOTAL'!B1</f>
        <v>426</v>
      </c>
      <c r="G15" s="54">
        <f t="shared" ref="G15" si="13">E15/F15</f>
        <v>0</v>
      </c>
    </row>
    <row r="16" spans="1:7" x14ac:dyDescent="0.25">
      <c r="A16" s="24">
        <f>'APAGADOS RADIO'!T3</f>
        <v>44849</v>
      </c>
      <c r="B16" s="50">
        <f>'APAGADOS RADIO'!T2+D16</f>
        <v>0</v>
      </c>
      <c r="C16" s="50">
        <f>'APAGADOS FIBRA'!T2</f>
        <v>0</v>
      </c>
      <c r="D16" s="50">
        <f>'APAGADOS ANTENA'!T2</f>
        <v>0</v>
      </c>
      <c r="E16" s="50">
        <f t="shared" ref="E16:E17" si="14">B16+C16</f>
        <v>0</v>
      </c>
      <c r="F16" s="50">
        <f>'RESUMEN TOTAL'!B1</f>
        <v>426</v>
      </c>
      <c r="G16" s="54">
        <f t="shared" ref="G16:G17" si="15">E16/F16</f>
        <v>0</v>
      </c>
    </row>
    <row r="17" spans="1:7" x14ac:dyDescent="0.25">
      <c r="A17" s="24">
        <f>'APAGADOS RADIO'!U3</f>
        <v>44850</v>
      </c>
      <c r="B17" s="50">
        <f>'APAGADOS RADIO'!U2+D17</f>
        <v>0</v>
      </c>
      <c r="C17" s="50">
        <f>'APAGADOS FIBRA'!U2</f>
        <v>0</v>
      </c>
      <c r="D17" s="50">
        <f>'APAGADOS ANTENA'!U2</f>
        <v>0</v>
      </c>
      <c r="E17" s="50">
        <f t="shared" si="14"/>
        <v>0</v>
      </c>
      <c r="F17" s="50">
        <f>'RESUMEN TOTAL'!B1</f>
        <v>426</v>
      </c>
      <c r="G17" s="54">
        <f t="shared" si="15"/>
        <v>0</v>
      </c>
    </row>
    <row r="18" spans="1:7" x14ac:dyDescent="0.25">
      <c r="A18" s="24">
        <f>'APAGADOS RADIO'!V3</f>
        <v>44851</v>
      </c>
      <c r="B18" s="50">
        <f>'APAGADOS RADIO'!V2+D18</f>
        <v>0</v>
      </c>
      <c r="C18" s="50">
        <f>'APAGADOS FIBRA'!V2</f>
        <v>0</v>
      </c>
      <c r="D18" s="50">
        <f>'APAGADOS ANTENA'!V2</f>
        <v>0</v>
      </c>
      <c r="E18" s="50">
        <f t="shared" ref="E18:E20" si="16">B18+C18</f>
        <v>0</v>
      </c>
      <c r="F18" s="50">
        <f>'RESUMEN TOTAL'!B1</f>
        <v>426</v>
      </c>
      <c r="G18" s="54">
        <f t="shared" ref="G18:G20" si="17">E18/F18</f>
        <v>0</v>
      </c>
    </row>
    <row r="19" spans="1:7" x14ac:dyDescent="0.25">
      <c r="A19" s="24">
        <f>'APAGADOS RADIO'!W3</f>
        <v>44852</v>
      </c>
      <c r="B19" s="50">
        <f>'APAGADOS RADIO'!W2+D19</f>
        <v>0</v>
      </c>
      <c r="C19" s="50">
        <f>'APAGADOS FIBRA'!W2</f>
        <v>0</v>
      </c>
      <c r="D19" s="50">
        <f>'APAGADOS ANTENA'!W2</f>
        <v>0</v>
      </c>
      <c r="E19" s="50">
        <f t="shared" si="16"/>
        <v>0</v>
      </c>
      <c r="F19" s="50">
        <f>'RESUMEN TOTAL'!B1</f>
        <v>426</v>
      </c>
      <c r="G19" s="54">
        <f t="shared" si="17"/>
        <v>0</v>
      </c>
    </row>
    <row r="20" spans="1:7" x14ac:dyDescent="0.25">
      <c r="A20" s="24">
        <f>'APAGADOS RADIO'!X3</f>
        <v>44853</v>
      </c>
      <c r="B20" s="50">
        <f>'APAGADOS RADIO'!X2+D20</f>
        <v>0</v>
      </c>
      <c r="C20" s="50">
        <f>'APAGADOS FIBRA'!X2</f>
        <v>0</v>
      </c>
      <c r="D20" s="50">
        <f>'APAGADOS ANTENA'!X2</f>
        <v>0</v>
      </c>
      <c r="E20" s="50">
        <f t="shared" si="16"/>
        <v>0</v>
      </c>
      <c r="F20" s="50">
        <f>'RESUMEN TOTAL'!B1</f>
        <v>426</v>
      </c>
      <c r="G20" s="54">
        <f t="shared" si="17"/>
        <v>0</v>
      </c>
    </row>
    <row r="21" spans="1:7" x14ac:dyDescent="0.25">
      <c r="A21" s="24">
        <f>'APAGADOS RADIO'!Y3</f>
        <v>44854</v>
      </c>
      <c r="B21" s="50">
        <f>'APAGADOS RADIO'!Y2+D21</f>
        <v>0</v>
      </c>
      <c r="C21" s="50">
        <f>'APAGADOS FIBRA'!Y2</f>
        <v>0</v>
      </c>
      <c r="D21" s="50">
        <f>'APAGADOS ANTENA'!Y2</f>
        <v>0</v>
      </c>
      <c r="E21" s="50">
        <f t="shared" ref="E21" si="18">B21+C21</f>
        <v>0</v>
      </c>
      <c r="F21" s="50">
        <f>'RESUMEN TOTAL'!B1</f>
        <v>426</v>
      </c>
      <c r="G21" s="54">
        <f t="shared" ref="G21" si="19">E21/F21</f>
        <v>0</v>
      </c>
    </row>
    <row r="22" spans="1:7" x14ac:dyDescent="0.25">
      <c r="A22" s="24">
        <f>'APAGADOS RADIO'!Z3</f>
        <v>44855</v>
      </c>
      <c r="B22" s="50">
        <f>'APAGADOS RADIO'!Z2+D22</f>
        <v>0</v>
      </c>
      <c r="C22" s="50">
        <f>'APAGADOS FIBRA'!Z2</f>
        <v>0</v>
      </c>
      <c r="D22" s="50">
        <f>'APAGADOS ANTENA'!Z2</f>
        <v>0</v>
      </c>
      <c r="E22" s="50">
        <f t="shared" ref="E22" si="20">B22+C22</f>
        <v>0</v>
      </c>
      <c r="F22" s="50">
        <f>'RESUMEN TOTAL'!B1</f>
        <v>426</v>
      </c>
      <c r="G22" s="54">
        <f t="shared" ref="G22" si="21">E22/F22</f>
        <v>0</v>
      </c>
    </row>
    <row r="23" spans="1:7" x14ac:dyDescent="0.25">
      <c r="A23" s="24">
        <f>'APAGADOS RADIO'!AA3</f>
        <v>44856</v>
      </c>
      <c r="B23" s="50">
        <f>'APAGADOS RADIO'!AA2+D23</f>
        <v>0</v>
      </c>
      <c r="C23" s="50">
        <f>'APAGADOS FIBRA'!AA2</f>
        <v>0</v>
      </c>
      <c r="D23" s="50">
        <f>'APAGADOS ANTENA'!AA2</f>
        <v>0</v>
      </c>
      <c r="E23" s="50">
        <f t="shared" ref="E23" si="22">B23+C23</f>
        <v>0</v>
      </c>
      <c r="F23" s="50">
        <f>'RESUMEN TOTAL'!B1</f>
        <v>426</v>
      </c>
      <c r="G23" s="54">
        <f t="shared" ref="G23" si="23">E23/F23</f>
        <v>0</v>
      </c>
    </row>
    <row r="24" spans="1:7" x14ac:dyDescent="0.25">
      <c r="A24" s="24">
        <f>'APAGADOS RADIO'!AB3</f>
        <v>44857</v>
      </c>
      <c r="B24" s="50">
        <f>'APAGADOS RADIO'!AB2+D24</f>
        <v>0</v>
      </c>
      <c r="C24" s="50">
        <f>'APAGADOS FIBRA'!AB2</f>
        <v>0</v>
      </c>
      <c r="D24" s="50">
        <f>'APAGADOS ANTENA'!AB2</f>
        <v>0</v>
      </c>
      <c r="E24" s="50">
        <f t="shared" ref="E24:E28" si="24">B24+C24</f>
        <v>0</v>
      </c>
      <c r="F24" s="50">
        <f>'RESUMEN TOTAL'!B1</f>
        <v>426</v>
      </c>
      <c r="G24" s="54">
        <f t="shared" ref="G24:G28" si="25">E24/F24</f>
        <v>0</v>
      </c>
    </row>
    <row r="25" spans="1:7" x14ac:dyDescent="0.25">
      <c r="A25" s="24">
        <f>'APAGADOS RADIO'!AC3</f>
        <v>44858</v>
      </c>
      <c r="B25" s="50">
        <f>'APAGADOS RADIO'!AC2+D25</f>
        <v>0</v>
      </c>
      <c r="C25" s="50">
        <f>'APAGADOS FIBRA'!AC2</f>
        <v>0</v>
      </c>
      <c r="D25" s="50">
        <f>'APAGADOS ANTENA'!AC2</f>
        <v>0</v>
      </c>
      <c r="E25" s="50">
        <f t="shared" si="24"/>
        <v>0</v>
      </c>
      <c r="F25" s="50">
        <f>'RESUMEN TOTAL'!B1</f>
        <v>426</v>
      </c>
      <c r="G25" s="54">
        <f t="shared" si="25"/>
        <v>0</v>
      </c>
    </row>
    <row r="26" spans="1:7" x14ac:dyDescent="0.25">
      <c r="A26" s="24">
        <f>'APAGADOS RADIO'!AD3</f>
        <v>44859</v>
      </c>
      <c r="B26" s="50">
        <f>'APAGADOS RADIO'!AD2+D26</f>
        <v>0</v>
      </c>
      <c r="C26" s="50">
        <f>'APAGADOS FIBRA'!AD2</f>
        <v>0</v>
      </c>
      <c r="D26" s="50">
        <f>'APAGADOS ANTENA'!AD2</f>
        <v>0</v>
      </c>
      <c r="E26" s="50">
        <f t="shared" si="24"/>
        <v>0</v>
      </c>
      <c r="F26" s="50">
        <f>'RESUMEN TOTAL'!B1</f>
        <v>426</v>
      </c>
      <c r="G26" s="54">
        <f t="shared" si="25"/>
        <v>0</v>
      </c>
    </row>
    <row r="27" spans="1:7" x14ac:dyDescent="0.25">
      <c r="A27" s="24">
        <f>'APAGADOS RADIO'!AE3</f>
        <v>44860</v>
      </c>
      <c r="B27" s="50">
        <f>'APAGADOS RADIO'!AE2+D27</f>
        <v>0</v>
      </c>
      <c r="C27" s="50">
        <f>'APAGADOS FIBRA'!AE2</f>
        <v>0</v>
      </c>
      <c r="D27" s="50">
        <f>'APAGADOS ANTENA'!AE2</f>
        <v>0</v>
      </c>
      <c r="E27" s="50">
        <f t="shared" si="24"/>
        <v>0</v>
      </c>
      <c r="F27" s="50">
        <f>'RESUMEN TOTAL'!B1</f>
        <v>426</v>
      </c>
      <c r="G27" s="54">
        <f t="shared" si="25"/>
        <v>0</v>
      </c>
    </row>
    <row r="28" spans="1:7" x14ac:dyDescent="0.25">
      <c r="A28" s="24">
        <f>'APAGADOS RADIO'!AF3</f>
        <v>44861</v>
      </c>
      <c r="B28" s="50">
        <f>'APAGADOS RADIO'!AF2+D28</f>
        <v>0</v>
      </c>
      <c r="C28" s="50">
        <f>'APAGADOS FIBRA'!AF2</f>
        <v>0</v>
      </c>
      <c r="D28" s="50">
        <f>'APAGADOS ANTENA'!AF2</f>
        <v>0</v>
      </c>
      <c r="E28" s="50">
        <f t="shared" si="24"/>
        <v>0</v>
      </c>
      <c r="F28" s="50">
        <f>'RESUMEN TOTAL'!B1</f>
        <v>426</v>
      </c>
      <c r="G28" s="54">
        <f t="shared" si="25"/>
        <v>0</v>
      </c>
    </row>
    <row r="29" spans="1:7" x14ac:dyDescent="0.25">
      <c r="A29" s="24">
        <f>'APAGADOS RADIO'!AG3</f>
        <v>44862</v>
      </c>
      <c r="B29" s="50">
        <f>'APAGADOS RADIO'!AG2+D29</f>
        <v>0</v>
      </c>
      <c r="C29" s="50">
        <f>'APAGADOS FIBRA'!AG2</f>
        <v>0</v>
      </c>
      <c r="D29" s="50">
        <f>'APAGADOS ANTENA'!AG2</f>
        <v>0</v>
      </c>
      <c r="E29" s="50">
        <f t="shared" ref="E29" si="26">B29+C29</f>
        <v>0</v>
      </c>
      <c r="F29" s="50">
        <f>'RESUMEN TOTAL'!B1</f>
        <v>426</v>
      </c>
      <c r="G29" s="54">
        <f t="shared" ref="G29" si="27">E29/F29</f>
        <v>0</v>
      </c>
    </row>
    <row r="30" spans="1:7" x14ac:dyDescent="0.25">
      <c r="A30" s="24">
        <f>'APAGADOS RADIO'!AH3</f>
        <v>44863</v>
      </c>
      <c r="B30" s="50">
        <f>'APAGADOS RADIO'!AH2+D30</f>
        <v>0</v>
      </c>
      <c r="C30" s="50">
        <f>'APAGADOS FIBRA'!AH2</f>
        <v>0</v>
      </c>
      <c r="D30" s="50">
        <f>'APAGADOS ANTENA'!AH2</f>
        <v>0</v>
      </c>
      <c r="E30" s="50">
        <f t="shared" ref="E30" si="28">B30+C30</f>
        <v>0</v>
      </c>
      <c r="F30" s="50">
        <f>'RESUMEN TOTAL'!B1</f>
        <v>426</v>
      </c>
      <c r="G30" s="54">
        <f t="shared" ref="G30" si="29">E30/F30</f>
        <v>0</v>
      </c>
    </row>
    <row r="31" spans="1:7" x14ac:dyDescent="0.25">
      <c r="A31" s="24">
        <v>44834</v>
      </c>
      <c r="B31" s="50">
        <f>'APAGADOS RADIO'!AI2+D31</f>
        <v>0</v>
      </c>
      <c r="C31" s="50">
        <f>'APAGADOS FIBRA'!AI2</f>
        <v>0</v>
      </c>
      <c r="D31" s="50">
        <f>'APAGADOS ANTENA'!AI2</f>
        <v>0</v>
      </c>
      <c r="E31" s="50">
        <f t="shared" ref="E31" si="30">B31+C31</f>
        <v>0</v>
      </c>
      <c r="F31" s="50">
        <f>'RESUMEN TOTAL'!B1</f>
        <v>426</v>
      </c>
      <c r="G31" s="54">
        <f t="shared" ref="G31" si="31">E31/F31</f>
        <v>0</v>
      </c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0</v>
      </c>
      <c r="H3" s="74">
        <f>COUNTIFS('RESUMEN TOTAL'!C7:C501, "=BONOMO",'RESUMEN TOTAL'!M7:M501,"=APAGADO")</f>
        <v>0</v>
      </c>
      <c r="I3" s="74">
        <f>COUNTIFS('RESUMEN TOTAL'!C7:C501, "=BONOMO",'RESUMEN TOTAL'!N7:N501,"=APAGADO")</f>
        <v>0</v>
      </c>
      <c r="J3" s="74">
        <f>COUNTIFS('RESUMEN TOTAL'!C7:C501, "=BONOMO",'RESUMEN TOTAL'!O7:O501,"=APAGADO")</f>
        <v>0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0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0</v>
      </c>
      <c r="O3" s="74">
        <f>COUNTIFS('RESUMEN TOTAL'!C7:C501, "=BONOMO",'RESUMEN TOTAL'!T7:T501,"=APAGADO")</f>
        <v>0</v>
      </c>
      <c r="P3" s="75">
        <f>COUNTIFS('RESUMEN TOTAL'!C7:C501, "=BONOMO",'RESUMEN TOTAL'!U7:U501,"=APAGADO")</f>
        <v>0</v>
      </c>
      <c r="Q3" s="75">
        <f>COUNTIFS('RESUMEN TOTAL'!C7:C501, "=BONOMO",'RESUMEN TOTAL'!V7:V501,"=APAGADO")</f>
        <v>0</v>
      </c>
      <c r="R3" s="75">
        <f>COUNTIFS('RESUMEN TOTAL'!C7:C501, "=BONOMO",'RESUMEN TOTAL'!W7:W501,"=APAGADO")</f>
        <v>0</v>
      </c>
      <c r="S3" s="75">
        <f>COUNTIFS('RESUMEN TOTAL'!C7:C501, "=BONOMO",'RESUMEN TOTAL'!X7:X501,"=APAGADO")</f>
        <v>0</v>
      </c>
      <c r="T3" s="75">
        <f>COUNTIFS('RESUMEN TOTAL'!C7:C501, "=BONOMO",'RESUMEN TOTAL'!Y7:Y501,"=APAGADO")</f>
        <v>0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</v>
      </c>
      <c r="H4" s="81">
        <f t="shared" si="0"/>
        <v>0</v>
      </c>
      <c r="I4" s="81">
        <f t="shared" si="0"/>
        <v>0</v>
      </c>
      <c r="J4" s="81">
        <f t="shared" si="0"/>
        <v>0</v>
      </c>
      <c r="K4" s="81">
        <f t="shared" si="0"/>
        <v>0</v>
      </c>
      <c r="L4" s="81">
        <f t="shared" si="0"/>
        <v>0</v>
      </c>
      <c r="M4" s="81">
        <f t="shared" si="0"/>
        <v>0</v>
      </c>
      <c r="N4" s="81">
        <f t="shared" si="0"/>
        <v>0</v>
      </c>
      <c r="O4" s="81">
        <f t="shared" si="0"/>
        <v>0</v>
      </c>
      <c r="P4" s="82">
        <f t="shared" si="0"/>
        <v>0</v>
      </c>
      <c r="Q4" s="82">
        <f t="shared" ref="Q4" si="1">Q3/BONOMOcam</f>
        <v>0</v>
      </c>
      <c r="R4" s="82">
        <f t="shared" si="0"/>
        <v>0</v>
      </c>
      <c r="S4" s="82">
        <f t="shared" si="0"/>
        <v>0</v>
      </c>
      <c r="T4" s="82">
        <f t="shared" si="0"/>
        <v>0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0</v>
      </c>
      <c r="H5" s="77">
        <f>COUNTIFS('RESUMEN TOTAL'!C10:C421, "=COSEIDI",'RESUMEN TOTAL'!M10:M421,"=APAGADO")</f>
        <v>0</v>
      </c>
      <c r="I5" s="77">
        <f>COUNTIFS('RESUMEN TOTAL'!C10:C421, "=COSEIDI",'RESUMEN TOTAL'!N10:N421,"=APAGADO")</f>
        <v>0</v>
      </c>
      <c r="J5" s="77">
        <f>COUNTIFS('RESUMEN TOTAL'!C10:C421, "=COSEIDI",'RESUMEN TOTAL'!O10:O421,"=APAGADO")</f>
        <v>0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0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0</v>
      </c>
      <c r="O5" s="77">
        <f>COUNTIFS('RESUMEN TOTAL'!C10:C421, "=COSEIDI",'RESUMEN TOTAL'!T10:T421,"=APAGADO")</f>
        <v>0</v>
      </c>
      <c r="P5" s="77">
        <f>COUNTIFS('RESUMEN TOTAL'!C10:C421, "=COSEIDI",'RESUMEN TOTAL'!U10:U421,"=APAGADO")</f>
        <v>0</v>
      </c>
      <c r="Q5" s="77">
        <f>COUNTIFS('RESUMEN TOTAL'!C10:C421, "=COSEIDI",'RESUMEN TOTAL'!V10:V421,"=APAGADO")</f>
        <v>0</v>
      </c>
      <c r="R5" s="77">
        <f>COUNTIFS('RESUMEN TOTAL'!C10:C421, "=COSEIDI",'RESUMEN TOTAL'!W10:W421,"=APAGADO")</f>
        <v>0</v>
      </c>
      <c r="S5" s="77">
        <f>COUNTIFS('RESUMEN TOTAL'!C10:C421, "=COSEIDI",'RESUMEN TOTAL'!X10:X421,"=APAGADO")</f>
        <v>0</v>
      </c>
      <c r="T5" s="77">
        <f>COUNTIFS('RESUMEN TOTAL'!C10:C421, "=COSEIDI",'RESUMEN TOTAL'!Y10:Y421,"=APAGADO")</f>
        <v>0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0</v>
      </c>
      <c r="H6" s="81">
        <f t="shared" si="2"/>
        <v>0</v>
      </c>
      <c r="I6" s="81">
        <f t="shared" si="2"/>
        <v>0</v>
      </c>
      <c r="J6" s="81">
        <f t="shared" si="2"/>
        <v>0</v>
      </c>
      <c r="K6" s="81">
        <f t="shared" si="2"/>
        <v>0</v>
      </c>
      <c r="L6" s="81">
        <f t="shared" si="2"/>
        <v>0</v>
      </c>
      <c r="M6" s="81">
        <f t="shared" si="2"/>
        <v>0</v>
      </c>
      <c r="N6" s="81">
        <f t="shared" si="2"/>
        <v>0</v>
      </c>
      <c r="O6" s="81">
        <f t="shared" si="2"/>
        <v>0</v>
      </c>
      <c r="P6" s="81">
        <f t="shared" si="2"/>
        <v>0</v>
      </c>
      <c r="Q6" s="81">
        <f t="shared" ref="Q6" si="3">Q5/COSEIDIcam</f>
        <v>0</v>
      </c>
      <c r="R6" s="81">
        <f t="shared" si="2"/>
        <v>0</v>
      </c>
      <c r="S6" s="81">
        <f t="shared" si="2"/>
        <v>0</v>
      </c>
      <c r="T6" s="81">
        <f t="shared" si="2"/>
        <v>0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2022-10-03T12:10:48Z</dcterms:modified>
</cp:coreProperties>
</file>