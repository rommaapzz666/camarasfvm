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469775C9-A950-468A-84F8-77050439CD71}" xr6:coauthVersionLast="47" xr6:coauthVersionMax="47" xr10:uidLastSave="{00000000-0000-0000-0000-000000000000}"/>
  <bookViews>
    <workbookView xWindow="-108" yWindow="-108" windowWidth="23256" windowHeight="13176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25" l="1"/>
  <c r="V3" i="25"/>
  <c r="D38" i="24"/>
  <c r="C39" i="24"/>
  <c r="D39" i="24" s="1"/>
  <c r="D33" i="24"/>
  <c r="C34" i="24"/>
  <c r="D34" i="24" s="1"/>
  <c r="D28" i="24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19" i="14" l="1"/>
  <c r="C40" i="24"/>
  <c r="F16" i="14"/>
  <c r="F17" i="14"/>
  <c r="F18" i="14"/>
  <c r="C35" i="24"/>
  <c r="F12" i="14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40" i="24" l="1"/>
  <c r="C41" i="24"/>
  <c r="D41" i="24" s="1"/>
  <c r="D35" i="24"/>
  <c r="C36" i="24"/>
  <c r="D36" i="24" s="1"/>
  <c r="D30" i="24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W2" i="21" l="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AA2" i="21"/>
  <c r="O2" i="21"/>
  <c r="D11" i="14" s="1"/>
  <c r="AI2" i="21"/>
  <c r="AH2" i="21"/>
  <c r="AC2" i="21"/>
  <c r="Z2" i="21"/>
  <c r="Y2" i="21"/>
  <c r="AD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W2" i="11" l="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AE2" i="10"/>
  <c r="AE2" i="11"/>
  <c r="AF2" i="11"/>
  <c r="AG2" i="11"/>
  <c r="AA2" i="10"/>
  <c r="AA2" i="11"/>
  <c r="AH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AG1" i="9"/>
  <c r="U1" i="9"/>
  <c r="V1" i="9"/>
  <c r="G1" i="9"/>
  <c r="R1" i="9"/>
  <c r="K1" i="9"/>
  <c r="D1" i="10"/>
  <c r="Q1" i="9"/>
  <c r="AC2" i="10"/>
  <c r="F1" i="9"/>
  <c r="L1" i="9"/>
  <c r="D1" i="11"/>
  <c r="AC1" i="9"/>
  <c r="C2" i="14"/>
  <c r="AD1" i="9"/>
  <c r="O1" i="9"/>
  <c r="Y2" i="10"/>
  <c r="S1" i="9"/>
  <c r="AD2" i="10"/>
  <c r="Y1" i="9"/>
  <c r="Z2" i="10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AC2" i="11"/>
  <c r="X2" i="11"/>
  <c r="AD2" i="11"/>
  <c r="Y2" i="11"/>
  <c r="Z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2" i="10"/>
  <c r="X385" i="10"/>
  <c r="X6" i="25"/>
  <c r="X5" i="25"/>
  <c r="AC1" i="2"/>
  <c r="AC3" i="2"/>
  <c r="AC2" i="2"/>
  <c r="J386" i="2"/>
  <c r="H386" i="2"/>
  <c r="X2" i="21"/>
  <c r="X385" i="21"/>
  <c r="I386" i="2"/>
  <c r="X385" i="11"/>
  <c r="AC386" i="2"/>
  <c r="X383" i="8"/>
  <c r="X384" i="9"/>
  <c r="X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<sst xmlns="http://schemas.openxmlformats.org/spreadsheetml/2006/main" count="3990" uniqueCount="1294">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</sst>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27</c:v>
                </c:pt>
                <c:pt idx="17">
                  <c:v>31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17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0.12</c:v>
                      </c:pt>
                      <c:pt idx="17">
                        <c:v>0.13777777777777778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8.2926829268292687E-2</c:v>
                      </c:pt>
                      <c:pt idx="17">
                        <c:v>7.8048780487804878E-2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0.12</c:v>
                </c:pt>
                <c:pt idx="17">
                  <c:v>0.13777777777777778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8.2926829268292687E-2</c:v>
                </c:pt>
                <c:pt idx="17">
                  <c:v>7.8048780487804878E-2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27</c:v>
                      </c:pt>
                      <c:pt idx="17">
                        <c:v>31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zoomScale="80" zoomScaleNormal="80" workbookViewId="0">
      <pane xSplit="10" ySplit="4" topLeftCell="AB75" activePane="bottomRight" state="frozen"/>
      <selection pane="topRight" activeCell="M1" sqref="M1"/>
      <selection pane="bottomLeft" activeCell="A5" sqref="A5"/>
      <selection pane="bottomRight" activeCell="F439" sqref="F439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31" customWidth="1"/>
    <col min="6" max="6" width="17.44140625" style="135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0.10465116279069768</v>
      </c>
      <c r="AB1" s="4">
        <f t="shared" si="0"/>
        <v>0.10930232558139535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385</v>
      </c>
      <c r="AB2" s="127">
        <f t="shared" si="1"/>
        <v>383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45</v>
      </c>
      <c r="AB3" s="12">
        <f t="shared" si="2"/>
        <v>47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14</v>
      </c>
      <c r="I16" s="42">
        <f t="shared" si="3"/>
        <v>16</v>
      </c>
      <c r="J16" s="43">
        <f t="shared" si="4"/>
        <v>0.46666666666666667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 t="s">
        <v>1274</v>
      </c>
      <c r="AB16" s="20" t="s">
        <v>1274</v>
      </c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27</v>
      </c>
      <c r="I17" s="42">
        <f>COUNTIF(K17:AL17,"APAGADO")</f>
        <v>3</v>
      </c>
      <c r="J17" s="43">
        <f>(H17)/(I17+H17)</f>
        <v>0.9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27</v>
      </c>
      <c r="I18" s="42">
        <f>COUNTIF(K18:AL18,"APAGADO")</f>
        <v>3</v>
      </c>
      <c r="J18" s="43">
        <f>(H18)/(I18+H18)</f>
        <v>0.9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27</v>
      </c>
      <c r="I19" s="42">
        <f t="shared" ref="I19:I22" si="7">COUNTIF(K19:AL19,"APAGADO")</f>
        <v>3</v>
      </c>
      <c r="J19" s="43">
        <f t="shared" ref="J19:J22" si="8">(H19)/(I19+H19)</f>
        <v>0.9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 t="s">
        <v>1274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29</v>
      </c>
      <c r="I20" s="42">
        <f t="shared" si="7"/>
        <v>1</v>
      </c>
      <c r="J20" s="43">
        <f t="shared" si="8"/>
        <v>0.96666666666666667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1274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12</v>
      </c>
      <c r="I34" s="42">
        <f>COUNTIF(K34:AL34,"APAGADO")</f>
        <v>18</v>
      </c>
      <c r="J34" s="43">
        <f>(H34)/(I34+H34)</f>
        <v>0.4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 t="s">
        <v>1274</v>
      </c>
      <c r="AB34" s="20" t="s">
        <v>1274</v>
      </c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28</v>
      </c>
      <c r="I37" s="42">
        <f t="shared" si="3"/>
        <v>2</v>
      </c>
      <c r="J37" s="43">
        <f t="shared" si="4"/>
        <v>0.93333333333333335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22</v>
      </c>
      <c r="I38" s="42">
        <f t="shared" si="3"/>
        <v>8</v>
      </c>
      <c r="J38" s="43">
        <f t="shared" si="4"/>
        <v>0.73333333333333328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12</v>
      </c>
      <c r="I40" s="42">
        <f t="shared" si="3"/>
        <v>18</v>
      </c>
      <c r="J40" s="43">
        <f t="shared" si="4"/>
        <v>0.4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 t="s">
        <v>1274</v>
      </c>
      <c r="AB40" s="20" t="s">
        <v>1274</v>
      </c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12</v>
      </c>
      <c r="I48" s="42">
        <f t="shared" si="3"/>
        <v>18</v>
      </c>
      <c r="J48" s="43">
        <f t="shared" si="4"/>
        <v>0.4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 t="s">
        <v>1274</v>
      </c>
      <c r="AB48" s="20" t="s">
        <v>1274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12</v>
      </c>
      <c r="I49" s="42">
        <f t="shared" si="3"/>
        <v>18</v>
      </c>
      <c r="J49" s="43">
        <f t="shared" si="4"/>
        <v>0.4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 t="s">
        <v>1274</v>
      </c>
      <c r="AB49" s="20" t="s">
        <v>1274</v>
      </c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12</v>
      </c>
      <c r="I51" s="42">
        <f t="shared" si="3"/>
        <v>18</v>
      </c>
      <c r="J51" s="43">
        <f t="shared" si="4"/>
        <v>0.4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 t="s">
        <v>1274</v>
      </c>
      <c r="AB51" s="20" t="s">
        <v>1274</v>
      </c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12</v>
      </c>
      <c r="I54" s="42">
        <f t="shared" si="3"/>
        <v>18</v>
      </c>
      <c r="J54" s="43">
        <f t="shared" si="4"/>
        <v>0.4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 t="s">
        <v>1274</v>
      </c>
      <c r="AB54" s="20" t="s">
        <v>1274</v>
      </c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12</v>
      </c>
      <c r="I56" s="42">
        <f t="shared" si="3"/>
        <v>18</v>
      </c>
      <c r="J56" s="43">
        <f t="shared" si="4"/>
        <v>0.4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 t="s">
        <v>1274</v>
      </c>
      <c r="AB56" s="20" t="s">
        <v>1274</v>
      </c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15</v>
      </c>
      <c r="I69" s="42">
        <f t="shared" si="3"/>
        <v>15</v>
      </c>
      <c r="J69" s="43">
        <f t="shared" si="4"/>
        <v>0.5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 t="s">
        <v>1274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13</v>
      </c>
      <c r="I75" s="42">
        <f t="shared" si="3"/>
        <v>17</v>
      </c>
      <c r="J75" s="43">
        <f t="shared" si="4"/>
        <v>0.43333333333333335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 t="s">
        <v>1274</v>
      </c>
      <c r="AB75" s="20" t="s">
        <v>1274</v>
      </c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27</v>
      </c>
      <c r="I77" s="42">
        <f t="shared" ref="I77:I140" si="10">COUNTIF(K77:AL77,"APAGADO")</f>
        <v>3</v>
      </c>
      <c r="J77" s="43">
        <f t="shared" ref="J77:J140" si="11">(H77)/(I77+H77)</f>
        <v>0.9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29</v>
      </c>
      <c r="I85" s="42">
        <f t="shared" si="10"/>
        <v>1</v>
      </c>
      <c r="J85" s="43">
        <f t="shared" si="11"/>
        <v>0.96666666666666667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21</v>
      </c>
      <c r="I87" s="42">
        <f>COUNTIF(K87:AL87,"APAGADO")</f>
        <v>9</v>
      </c>
      <c r="J87" s="43">
        <f>(H87)/(I87+H87)</f>
        <v>0.7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 t="s">
        <v>1274</v>
      </c>
      <c r="AB87" s="20" t="s">
        <v>1274</v>
      </c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21</v>
      </c>
      <c r="I88" s="42">
        <f t="shared" si="10"/>
        <v>9</v>
      </c>
      <c r="J88" s="43">
        <f t="shared" si="11"/>
        <v>0.7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 t="s">
        <v>1274</v>
      </c>
      <c r="AB88" s="20" t="s">
        <v>1274</v>
      </c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13</v>
      </c>
      <c r="I94" s="42">
        <f>COUNTIF(K94:AL94,"APAGADO")</f>
        <v>17</v>
      </c>
      <c r="J94" s="43">
        <f>(H94)/(I94+H94)</f>
        <v>0.43333333333333335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 t="s">
        <v>1274</v>
      </c>
      <c r="AB94" s="20" t="s">
        <v>1274</v>
      </c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12</v>
      </c>
      <c r="I98" s="42">
        <f>COUNTIF(K98:AL98,"APAGADO")</f>
        <v>18</v>
      </c>
      <c r="J98" s="43">
        <f>(H98)/(I98+H98)</f>
        <v>0.4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 t="s">
        <v>1274</v>
      </c>
      <c r="AB98" s="20" t="s">
        <v>1274</v>
      </c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13</v>
      </c>
      <c r="I101" s="42">
        <f t="shared" si="10"/>
        <v>17</v>
      </c>
      <c r="J101" s="43">
        <f t="shared" si="11"/>
        <v>0.43333333333333335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 t="s">
        <v>1274</v>
      </c>
      <c r="AB101" s="20" t="s">
        <v>1274</v>
      </c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13</v>
      </c>
      <c r="I102" s="42">
        <f t="shared" si="10"/>
        <v>17</v>
      </c>
      <c r="J102" s="43">
        <f t="shared" si="11"/>
        <v>0.43333333333333335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 t="s">
        <v>1274</v>
      </c>
      <c r="AB102" s="20" t="s">
        <v>1274</v>
      </c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2" customHeight="1" thickBot="1" x14ac:dyDescent="0.35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" thickBot="1" x14ac:dyDescent="0.35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24</v>
      </c>
      <c r="I122" s="42">
        <f t="shared" si="10"/>
        <v>6</v>
      </c>
      <c r="J122" s="43">
        <f t="shared" si="11"/>
        <v>0.8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 t="s">
        <v>1274</v>
      </c>
      <c r="AB122" s="20" t="s">
        <v>1274</v>
      </c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21</v>
      </c>
      <c r="I125" s="42">
        <f t="shared" si="10"/>
        <v>9</v>
      </c>
      <c r="J125" s="43">
        <f t="shared" si="11"/>
        <v>0.7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 t="s">
        <v>1274</v>
      </c>
      <c r="AB125" s="20" t="s">
        <v>1274</v>
      </c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29</v>
      </c>
      <c r="I139" s="42">
        <f t="shared" si="10"/>
        <v>1</v>
      </c>
      <c r="J139" s="43">
        <f t="shared" si="11"/>
        <v>0.96666666666666667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27</v>
      </c>
      <c r="I160" s="42">
        <f t="shared" si="12"/>
        <v>3</v>
      </c>
      <c r="J160" s="43">
        <f t="shared" si="13"/>
        <v>0.9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12</v>
      </c>
      <c r="I165" s="42">
        <f t="shared" si="12"/>
        <v>18</v>
      </c>
      <c r="J165" s="43">
        <f t="shared" si="13"/>
        <v>0.4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 t="s">
        <v>1274</v>
      </c>
      <c r="AB165" s="20" t="s">
        <v>1274</v>
      </c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13</v>
      </c>
      <c r="I166" s="42">
        <f t="shared" si="12"/>
        <v>17</v>
      </c>
      <c r="J166" s="43">
        <f t="shared" si="13"/>
        <v>0.43333333333333335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 t="s">
        <v>1274</v>
      </c>
      <c r="AB166" s="20" t="s">
        <v>1274</v>
      </c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12</v>
      </c>
      <c r="I175" s="42">
        <f t="shared" si="12"/>
        <v>18</v>
      </c>
      <c r="J175" s="43">
        <f t="shared" si="13"/>
        <v>0.4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 t="s">
        <v>1274</v>
      </c>
      <c r="AB175" s="20" t="s">
        <v>1274</v>
      </c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12</v>
      </c>
      <c r="I177" s="42">
        <f t="shared" si="12"/>
        <v>18</v>
      </c>
      <c r="J177" s="43">
        <f t="shared" si="13"/>
        <v>0.4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 t="s">
        <v>1274</v>
      </c>
      <c r="AB177" s="20" t="s">
        <v>1274</v>
      </c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12</v>
      </c>
      <c r="I182" s="42">
        <f t="shared" si="12"/>
        <v>18</v>
      </c>
      <c r="J182" s="43">
        <f t="shared" si="13"/>
        <v>0.4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 t="s">
        <v>1274</v>
      </c>
      <c r="AB182" s="20" t="s">
        <v>1274</v>
      </c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25</v>
      </c>
      <c r="I184" s="42">
        <f t="shared" si="12"/>
        <v>5</v>
      </c>
      <c r="J184" s="43">
        <f t="shared" si="13"/>
        <v>0.83333333333333337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12</v>
      </c>
      <c r="I185" s="42">
        <f t="shared" si="12"/>
        <v>18</v>
      </c>
      <c r="J185" s="43">
        <f t="shared" si="13"/>
        <v>0.4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 t="s">
        <v>1274</v>
      </c>
      <c r="AB185" s="20" t="s">
        <v>1274</v>
      </c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12</v>
      </c>
      <c r="I187" s="42">
        <f t="shared" si="12"/>
        <v>18</v>
      </c>
      <c r="J187" s="43">
        <f t="shared" si="13"/>
        <v>0.4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 t="s">
        <v>1274</v>
      </c>
      <c r="AB187" s="20" t="s">
        <v>1274</v>
      </c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12</v>
      </c>
      <c r="I198" s="42">
        <f>COUNTIF(K198:AL198,"APAGADO")</f>
        <v>18</v>
      </c>
      <c r="J198" s="43">
        <f>(H198)/(I198+H198)</f>
        <v>0.4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 t="s">
        <v>1274</v>
      </c>
      <c r="AB198" s="20" t="s">
        <v>1274</v>
      </c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25</v>
      </c>
      <c r="I204" s="42">
        <f t="shared" si="12"/>
        <v>5</v>
      </c>
      <c r="J204" s="43">
        <f t="shared" si="13"/>
        <v>0.83333333333333337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 t="s">
        <v>1274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26</v>
      </c>
      <c r="I211" s="42">
        <f>COUNTIF(K211:AL211,"APAGADO")</f>
        <v>4</v>
      </c>
      <c r="J211" s="43">
        <f>(H211)/(I211+H211)</f>
        <v>0.8666666666666667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13</v>
      </c>
      <c r="I229" s="42">
        <f t="shared" si="12"/>
        <v>17</v>
      </c>
      <c r="J229" s="43">
        <f t="shared" si="13"/>
        <v>0.43333333333333335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 t="s">
        <v>1274</v>
      </c>
      <c r="AB229" s="20" t="s">
        <v>1274</v>
      </c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13</v>
      </c>
      <c r="I236" s="42">
        <f t="shared" si="19"/>
        <v>17</v>
      </c>
      <c r="J236" s="43">
        <f t="shared" si="20"/>
        <v>0.43333333333333335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 t="s">
        <v>1274</v>
      </c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29</v>
      </c>
      <c r="I254" s="42">
        <f>COUNTIF(K254:AL254,"APAGADO")</f>
        <v>1</v>
      </c>
      <c r="J254" s="43">
        <f>(H254)/(I254+H254)</f>
        <v>0.96666666666666667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 t="s">
        <v>1274</v>
      </c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26</v>
      </c>
      <c r="I255" s="42">
        <f>COUNTIF(K255:AL255,"APAGADO")</f>
        <v>4</v>
      </c>
      <c r="J255" s="43">
        <f>(H255)/(I255+H255)</f>
        <v>0.8666666666666667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 t="s">
        <v>1274</v>
      </c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12</v>
      </c>
      <c r="I256" s="42">
        <f t="shared" si="19"/>
        <v>18</v>
      </c>
      <c r="J256" s="43">
        <f t="shared" si="20"/>
        <v>0.4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 t="s">
        <v>1274</v>
      </c>
      <c r="AB256" s="20" t="s">
        <v>1274</v>
      </c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27</v>
      </c>
      <c r="I275" s="42">
        <f t="shared" si="19"/>
        <v>3</v>
      </c>
      <c r="J275" s="43">
        <f t="shared" si="20"/>
        <v>0.9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29</v>
      </c>
      <c r="I283" s="42">
        <f>COUNTIF(K283:AL283,"APAGADO")</f>
        <v>1</v>
      </c>
      <c r="J283" s="43">
        <f>(H283)/(I283+H283)</f>
        <v>0.96666666666666667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29</v>
      </c>
      <c r="I288" s="42">
        <f t="shared" si="19"/>
        <v>1</v>
      </c>
      <c r="J288" s="43">
        <f t="shared" si="20"/>
        <v>0.96666666666666667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 t="s">
        <v>1274</v>
      </c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29</v>
      </c>
      <c r="I289" s="42">
        <f t="shared" si="19"/>
        <v>1</v>
      </c>
      <c r="J289" s="43">
        <f t="shared" si="20"/>
        <v>0.96666666666666667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 t="s">
        <v>1274</v>
      </c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29</v>
      </c>
      <c r="I294" s="42">
        <f>COUNTIF(K294:AL294,"APAGADO")</f>
        <v>1</v>
      </c>
      <c r="J294" s="43">
        <f>(H294)/(I294+H294)</f>
        <v>0.96666666666666667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 t="s">
        <v>1274</v>
      </c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26</v>
      </c>
      <c r="I296" s="42">
        <f>COUNTIF(K296:AL296,"APAGADO")</f>
        <v>4</v>
      </c>
      <c r="J296" s="43">
        <f>(H296)/(I296+H296)</f>
        <v>0.8666666666666667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 t="s">
        <v>1274</v>
      </c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24</v>
      </c>
      <c r="I302" s="42">
        <f t="shared" si="22"/>
        <v>6</v>
      </c>
      <c r="J302" s="43">
        <f t="shared" si="23"/>
        <v>0.8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 t="s">
        <v>1274</v>
      </c>
      <c r="AB302" s="20" t="s">
        <v>1274</v>
      </c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21</v>
      </c>
      <c r="I315" s="42">
        <f t="shared" si="22"/>
        <v>9</v>
      </c>
      <c r="J315" s="43">
        <f t="shared" si="23"/>
        <v>0.7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24</v>
      </c>
      <c r="I316" s="42">
        <f t="shared" si="22"/>
        <v>6</v>
      </c>
      <c r="J316" s="43">
        <f t="shared" si="23"/>
        <v>0.8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95" customHeight="1" thickBot="1" x14ac:dyDescent="0.35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" thickBot="1" x14ac:dyDescent="0.35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24</v>
      </c>
      <c r="I325" s="42">
        <f t="shared" si="22"/>
        <v>6</v>
      </c>
      <c r="J325" s="43">
        <f t="shared" si="23"/>
        <v>0.8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 t="s">
        <v>1274</v>
      </c>
      <c r="AB325" s="20" t="s">
        <v>1274</v>
      </c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27</v>
      </c>
      <c r="I345" s="42">
        <f t="shared" si="22"/>
        <v>3</v>
      </c>
      <c r="J345" s="43">
        <f t="shared" si="23"/>
        <v>0.9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13</v>
      </c>
      <c r="I360" s="42">
        <f t="shared" si="22"/>
        <v>17</v>
      </c>
      <c r="J360" s="43">
        <f t="shared" si="23"/>
        <v>0.43333333333333335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 t="s">
        <v>1274</v>
      </c>
      <c r="AB360" s="20" t="s">
        <v>1274</v>
      </c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22</v>
      </c>
      <c r="I371" s="42">
        <f t="shared" si="22"/>
        <v>8</v>
      </c>
      <c r="J371" s="43">
        <f t="shared" si="23"/>
        <v>0.73333333333333328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 t="s">
        <v>1274</v>
      </c>
      <c r="AB371" s="20" t="s">
        <v>1274</v>
      </c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18</v>
      </c>
      <c r="I374" s="42">
        <f t="shared" si="22"/>
        <v>12</v>
      </c>
      <c r="J374" s="43">
        <f t="shared" si="23"/>
        <v>0.6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 t="s">
        <v>1274</v>
      </c>
      <c r="AB374" s="20" t="s">
        <v>1274</v>
      </c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12</v>
      </c>
      <c r="I379" s="42">
        <f t="shared" si="28"/>
        <v>18</v>
      </c>
      <c r="J379" s="43">
        <f t="shared" si="29"/>
        <v>0.4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 t="s">
        <v>1274</v>
      </c>
      <c r="AB379" s="20" t="s">
        <v>1274</v>
      </c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27</v>
      </c>
      <c r="I381" s="42">
        <f>COUNTIF(K381:AL381,"APAGADO")</f>
        <v>3</v>
      </c>
      <c r="J381" s="43">
        <f>(H381)/(I381+H381)</f>
        <v>0.9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 t="s">
        <v>1274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23</v>
      </c>
      <c r="I390" s="42">
        <f t="shared" si="28"/>
        <v>7</v>
      </c>
      <c r="J390" s="43">
        <f t="shared" si="29"/>
        <v>0.76666666666666672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 t="s">
        <v>1274</v>
      </c>
      <c r="AB390" s="20" t="s">
        <v>1274</v>
      </c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23</v>
      </c>
      <c r="I391" s="42">
        <f t="shared" si="28"/>
        <v>7</v>
      </c>
      <c r="J391" s="43">
        <f t="shared" si="29"/>
        <v>0.76666666666666672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 t="s">
        <v>1274</v>
      </c>
      <c r="AB391" s="20" t="s">
        <v>1274</v>
      </c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26</v>
      </c>
      <c r="I398" s="42">
        <f t="shared" si="28"/>
        <v>4</v>
      </c>
      <c r="J398" s="43">
        <f t="shared" si="29"/>
        <v>0.8666666666666667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 t="s">
        <v>1274</v>
      </c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26</v>
      </c>
      <c r="I399" s="42">
        <f t="shared" si="28"/>
        <v>4</v>
      </c>
      <c r="J399" s="43">
        <f t="shared" si="29"/>
        <v>0.8666666666666667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 t="s">
        <v>1274</v>
      </c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29</v>
      </c>
      <c r="I400" s="42">
        <f>COUNTIF(K400:AL400,"APAGADO")</f>
        <v>1</v>
      </c>
      <c r="J400" s="43">
        <f>(H400)/(I400+H400)</f>
        <v>0.96666666666666667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 t="s">
        <v>1274</v>
      </c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17</v>
      </c>
      <c r="I409" s="42">
        <f t="shared" si="28"/>
        <v>13</v>
      </c>
      <c r="J409" s="43">
        <f t="shared" si="29"/>
        <v>0.56666666666666665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 t="s">
        <v>1274</v>
      </c>
      <c r="AB409" s="20" t="s">
        <v>1274</v>
      </c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17</v>
      </c>
      <c r="I410" s="42">
        <f t="shared" si="28"/>
        <v>13</v>
      </c>
      <c r="J410" s="43">
        <f t="shared" si="29"/>
        <v>0.56666666666666665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 t="s">
        <v>1274</v>
      </c>
      <c r="AB410" s="20" t="s">
        <v>1274</v>
      </c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12</v>
      </c>
      <c r="I420" s="42">
        <f t="shared" si="28"/>
        <v>18</v>
      </c>
      <c r="J420" s="43">
        <f t="shared" si="29"/>
        <v>0.4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 t="s">
        <v>1274</v>
      </c>
      <c r="AB420" s="20" t="s">
        <v>1274</v>
      </c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27</v>
      </c>
      <c r="I432" s="42">
        <f t="shared" si="28"/>
        <v>3</v>
      </c>
      <c r="J432" s="43">
        <f t="shared" si="29"/>
        <v>0.9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 t="s">
        <v>1274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3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3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3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3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3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3">
      <c r="E676" s="41"/>
      <c r="F676" s="41"/>
      <c r="G676" s="21"/>
      <c r="J676" s="15"/>
    </row>
    <row r="677" spans="5:41" x14ac:dyDescent="0.3">
      <c r="E677" s="41"/>
      <c r="F677" s="41"/>
      <c r="G677" s="21"/>
      <c r="J677" s="15"/>
    </row>
    <row r="678" spans="5:41" x14ac:dyDescent="0.3">
      <c r="E678" s="41"/>
      <c r="F678" s="41"/>
      <c r="G678" s="21"/>
      <c r="J678" s="15"/>
    </row>
    <row r="679" spans="5:41" x14ac:dyDescent="0.3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 t="str">
        <f>'RESUMEN TOTAL'!AA16</f>
        <v>APAGADO</v>
      </c>
      <c r="W13" s="23" t="str">
        <f>'RESUMEN TOTAL'!AB16</f>
        <v>APAGADO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 t="str">
        <f>'RESUMEN TOTAL'!AA19</f>
        <v>APAGADO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 t="str">
        <f>'RESUMEN TOTAL'!AA20</f>
        <v>APAGADO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 t="str">
        <f>'RESUMEN TOTAL'!AA34</f>
        <v>APAGADO</v>
      </c>
      <c r="W32" s="23" t="str">
        <f>'RESUMEN TOTAL'!AB34</f>
        <v>APAGADO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 t="str">
        <f>'RESUMEN TOTAL'!AA40</f>
        <v>APAGADO</v>
      </c>
      <c r="W38" s="23" t="str">
        <f>'RESUMEN TOTAL'!AB40</f>
        <v>APAGADO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 t="str">
        <f>'RESUMEN TOTAL'!AA48</f>
        <v>APAGADO</v>
      </c>
      <c r="W46" s="23" t="str">
        <f>'RESUMEN TOTAL'!AB48</f>
        <v>APAGADO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 t="str">
        <f>'RESUMEN TOTAL'!AA49</f>
        <v>APAGADO</v>
      </c>
      <c r="W47" s="23" t="str">
        <f>'RESUMEN TOTAL'!AB49</f>
        <v>APAGADO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 t="str">
        <f>'RESUMEN TOTAL'!AA51</f>
        <v>APAGADO</v>
      </c>
      <c r="W49" s="23" t="str">
        <f>'RESUMEN TOTAL'!AB51</f>
        <v>APAGADO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 t="str">
        <f>'RESUMEN TOTAL'!AA54</f>
        <v>APAGADO</v>
      </c>
      <c r="W52" s="23" t="str">
        <f>'RESUMEN TOTAL'!AB54</f>
        <v>APAGADO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 t="str">
        <f>'RESUMEN TOTAL'!AA56</f>
        <v>APAGADO</v>
      </c>
      <c r="W54" s="23" t="str">
        <f>'RESUMEN TOTAL'!AB56</f>
        <v>APAGADO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 t="str">
        <f>'RESUMEN TOTAL'!AA69</f>
        <v>APAGADO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 t="str">
        <f>'RESUMEN TOTAL'!AA75</f>
        <v>APAGADO</v>
      </c>
      <c r="W73" s="23" t="str">
        <f>'RESUMEN TOTAL'!AB75</f>
        <v>APAGADO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 t="str">
        <f>'RESUMEN TOTAL'!AA87</f>
        <v>APAGADO</v>
      </c>
      <c r="W85" s="23" t="str">
        <f>'RESUMEN TOTAL'!AB87</f>
        <v>APAGADO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 t="str">
        <f>'RESUMEN TOTAL'!AA88</f>
        <v>APAGADO</v>
      </c>
      <c r="W86" s="23" t="str">
        <f>'RESUMEN TOTAL'!AB88</f>
        <v>APAGADO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 t="str">
        <f>'RESUMEN TOTAL'!AA94</f>
        <v>APAGADO</v>
      </c>
      <c r="W92" s="23" t="str">
        <f>'RESUMEN TOTAL'!AB94</f>
        <v>APAGADO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 t="str">
        <f>'RESUMEN TOTAL'!AA98</f>
        <v>APAGADO</v>
      </c>
      <c r="W96" s="23" t="str">
        <f>'RESUMEN TOTAL'!AB98</f>
        <v>APAGADO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 t="str">
        <f>'RESUMEN TOTAL'!AA101</f>
        <v>APAGADO</v>
      </c>
      <c r="W99" s="23" t="str">
        <f>'RESUMEN TOTAL'!AB101</f>
        <v>APAGADO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 t="str">
        <f>'RESUMEN TOTAL'!AA102</f>
        <v>APAGADO</v>
      </c>
      <c r="W100" s="23" t="str">
        <f>'RESUMEN TOTAL'!AB102</f>
        <v>APAGADO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3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3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3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3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3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3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3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3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3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3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3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3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3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3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3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3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3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3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3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 t="str">
        <f>'RESUMEN TOTAL'!AA122</f>
        <v>APAGADO</v>
      </c>
      <c r="W121" s="23" t="str">
        <f>'RESUMEN TOTAL'!AB122</f>
        <v>APAGADO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3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3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3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 t="str">
        <f>'RESUMEN TOTAL'!AA125</f>
        <v>APAGADO</v>
      </c>
      <c r="W124" s="23" t="str">
        <f>'RESUMEN TOTAL'!AB125</f>
        <v>APAGADO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3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3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3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3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3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3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3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3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3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3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3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3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3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3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3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3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3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3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3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3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3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3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3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3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3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3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3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3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3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3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3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3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3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3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3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3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3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3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3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 t="str">
        <f>'RESUMEN TOTAL'!AA165</f>
        <v>APAGADO</v>
      </c>
      <c r="W163" s="23" t="str">
        <f>'RESUMEN TOTAL'!AB165</f>
        <v>APAGADO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3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 t="str">
        <f>'RESUMEN TOTAL'!AA166</f>
        <v>APAGADO</v>
      </c>
      <c r="W164" s="23" t="str">
        <f>'RESUMEN TOTAL'!AB166</f>
        <v>APAGADO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3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3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3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3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3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3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3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3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3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 t="str">
        <f>'RESUMEN TOTAL'!AA175</f>
        <v>APAGADO</v>
      </c>
      <c r="W173" s="23" t="str">
        <f>'RESUMEN TOTAL'!AB175</f>
        <v>APAGADO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3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3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 t="str">
        <f>'RESUMEN TOTAL'!AA177</f>
        <v>APAGADO</v>
      </c>
      <c r="W175" s="23" t="str">
        <f>'RESUMEN TOTAL'!AB177</f>
        <v>APAGADO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3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3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3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3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3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 t="str">
        <f>'RESUMEN TOTAL'!AA182</f>
        <v>APAGADO</v>
      </c>
      <c r="W180" s="23" t="str">
        <f>'RESUMEN TOTAL'!AB182</f>
        <v>APAGADO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3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3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3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 t="str">
        <f>'RESUMEN TOTAL'!AA185</f>
        <v>APAGADO</v>
      </c>
      <c r="W183" s="23" t="str">
        <f>'RESUMEN TOTAL'!AB185</f>
        <v>APAGADO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3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3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 t="str">
        <f>'RESUMEN TOTAL'!AA187</f>
        <v>APAGADO</v>
      </c>
      <c r="W185" s="23" t="str">
        <f>'RESUMEN TOTAL'!AB187</f>
        <v>APAGADO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3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3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3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3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3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3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3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3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3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3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3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 t="str">
        <f>'RESUMEN TOTAL'!AA198</f>
        <v>APAGADO</v>
      </c>
      <c r="W196" s="23" t="str">
        <f>'RESUMEN TOTAL'!AB198</f>
        <v>APAGADO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3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3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3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3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3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3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 t="str">
        <f>'RESUMEN TOTAL'!AA204</f>
        <v>APAGADO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3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3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3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3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3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3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3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3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3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3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3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3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3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3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3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3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3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3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3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3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3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3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3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3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3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 t="str">
        <f>'RESUMEN TOTAL'!AA229</f>
        <v>APAGADO</v>
      </c>
      <c r="W227" s="23" t="str">
        <f>'RESUMEN TOTAL'!AB229</f>
        <v>APAGADO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3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3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3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3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3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3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3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 t="str">
        <f>'RESUMEN TOTAL'!AA236</f>
        <v>APAGADO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3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3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3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3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3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3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3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3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3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3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3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3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3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3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3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3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3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3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 t="str">
        <f>'RESUMEN TOTAL'!AB254</f>
        <v>APAGADO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3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 t="str">
        <f>'RESUMEN TOTAL'!AB255</f>
        <v>APAGADO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3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 t="str">
        <f>'RESUMEN TOTAL'!AA256</f>
        <v>APAGADO</v>
      </c>
      <c r="W254" s="23" t="str">
        <f>'RESUMEN TOTAL'!AB256</f>
        <v>APAGADO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3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3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3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3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3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3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3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3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3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3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3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3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3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3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3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3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3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3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3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3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3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3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3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3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3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3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3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3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3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3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3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 t="str">
        <f>'RESUMEN TOTAL'!AB288</f>
        <v>APAGADO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3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 t="str">
        <f>'RESUMEN TOTAL'!AB289</f>
        <v>APAGADO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3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3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3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3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3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 t="str">
        <f>'RESUMEN TOTAL'!AB294</f>
        <v>APAGADO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3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3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 t="str">
        <f>'RESUMEN TOTAL'!AB296</f>
        <v>APAGADO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3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3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3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3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3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3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 t="str">
        <f>'RESUMEN TOTAL'!AA302</f>
        <v>APAGADO</v>
      </c>
      <c r="W299" s="23" t="str">
        <f>'RESUMEN TOTAL'!AB302</f>
        <v>APAGADO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3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3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3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3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3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3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3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3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3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3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3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3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3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3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3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3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3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3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3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3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3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3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3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 t="str">
        <f>'RESUMEN TOTAL'!AA325</f>
        <v>APAGADO</v>
      </c>
      <c r="W322" s="23" t="str">
        <f>'RESUMEN TOTAL'!AB325</f>
        <v>APAGADO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3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3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3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3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3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3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3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3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3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3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3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3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3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3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3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3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3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3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3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3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3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3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3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3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3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3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3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3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3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3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3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3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3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3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3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 t="str">
        <f>'RESUMEN TOTAL'!AA360</f>
        <v>APAGADO</v>
      </c>
      <c r="W357" s="23" t="str">
        <f>'RESUMEN TOTAL'!AB360</f>
        <v>APAGADO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3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3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3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3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3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3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3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3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3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3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3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 t="str">
        <f>'RESUMEN TOTAL'!AA371</f>
        <v>APAGADO</v>
      </c>
      <c r="W368" s="23" t="str">
        <f>'RESUMEN TOTAL'!AB371</f>
        <v>APAGADO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3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3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3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 t="str">
        <f>'RESUMEN TOTAL'!AA374</f>
        <v>APAGADO</v>
      </c>
      <c r="W371" s="23" t="str">
        <f>'RESUMEN TOTAL'!AB374</f>
        <v>APAGADO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3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3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3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3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3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 t="str">
        <f>'RESUMEN TOTAL'!AA379</f>
        <v>APAGADO</v>
      </c>
      <c r="W376" s="23" t="str">
        <f>'RESUMEN TOTAL'!AB379</f>
        <v>APAGADO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3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3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 t="str">
        <f>'RESUMEN TOTAL'!AA381</f>
        <v>APAGADO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3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3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3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3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3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3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3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3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3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 t="str">
        <f>'RESUMEN TOTAL'!AA390</f>
        <v>APAGADO</v>
      </c>
      <c r="W387" s="23" t="str">
        <f>'RESUMEN TOTAL'!AB390</f>
        <v>APAGADO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3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 t="str">
        <f>'RESUMEN TOTAL'!AA391</f>
        <v>APAGADO</v>
      </c>
      <c r="W388" s="23" t="str">
        <f>'RESUMEN TOTAL'!AB391</f>
        <v>APAGADO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3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3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3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3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3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3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3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 t="str">
        <f>'RESUMEN TOTAL'!AB398</f>
        <v>APAGADO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3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 t="str">
        <f>'RESUMEN TOTAL'!AB399</f>
        <v>APAGADO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3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 t="str">
        <f>'RESUMEN TOTAL'!AB400</f>
        <v>APAGADO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3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3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3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3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3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3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3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3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3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 t="str">
        <f>'RESUMEN TOTAL'!AA409</f>
        <v>APAGADO</v>
      </c>
      <c r="W406" s="23" t="str">
        <f>'RESUMEN TOTAL'!AB409</f>
        <v>APAGADO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3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 t="str">
        <f>'RESUMEN TOTAL'!AA410</f>
        <v>APAGADO</v>
      </c>
      <c r="W407" s="23" t="str">
        <f>'RESUMEN TOTAL'!AB410</f>
        <v>APAGADO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3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3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3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3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3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3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3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3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3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3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 t="str">
        <f>'RESUMEN TOTAL'!AA420</f>
        <v>APAGADO</v>
      </c>
      <c r="W417" s="23" t="str">
        <f>'RESUMEN TOTAL'!AB420</f>
        <v>APAGADO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3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3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3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3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3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3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3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3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3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3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3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3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 t="str">
        <f>'RESUMEN TOTAL'!AA432</f>
        <v>APAGADO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3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3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3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3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3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3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3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3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3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3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3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3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3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41</v>
      </c>
      <c r="W1" s="19">
        <f t="shared" si="0"/>
        <v>44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 t="str">
        <f>ESTADISTICA!W32</f>
        <v>APAGADO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 t="str">
        <f>ESTADISTICA!W47</f>
        <v>APAGADO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 t="str">
        <f>ESTADISTICA!W49</f>
        <v>APAGADO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 t="str">
        <f>ESTADISTICA!V52</f>
        <v>APAGADO</v>
      </c>
      <c r="W53" t="str">
        <f>ESTADISTICA!W52</f>
        <v>APAGADO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 t="str">
        <f>ESTADISTICA!W99</f>
        <v>APAGADO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 t="str">
        <f>ESTADISTICA!W100</f>
        <v>APAGADO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 t="str">
        <f>ESTADISTICA!W285</f>
        <v>APAGADO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 t="str">
        <f>ESTADISTICA!W291</f>
        <v>APAGADO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 t="str">
        <f>ESTADISTICA!V371</f>
        <v>APAGADO</v>
      </c>
      <c r="W372" t="str">
        <f>ESTADISTICA!W371</f>
        <v>APAGADO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 t="str">
        <f>ESTADISTICA!V387</f>
        <v>APAGADO</v>
      </c>
      <c r="W388" s="40" t="str">
        <f>ESTADISTICA!W387</f>
        <v>APAGADO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 t="str">
        <f>ESTADISTICA!V388</f>
        <v>APAGADO</v>
      </c>
      <c r="W389" s="40" t="str">
        <f>ESTADISTICA!W388</f>
        <v>APAGADO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 t="str">
        <f>ESTADISTICA!W395</f>
        <v>APAGADO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 t="str">
        <f>ESTADISTICA!W396</f>
        <v>APAGADO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 t="str">
        <f>ESTADISTICA!W397</f>
        <v>APAGADO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 t="str">
        <f>ESTADISTICA!V406</f>
        <v>APAGADO</v>
      </c>
      <c r="W407" s="40" t="str">
        <f>ESTADISTICA!W406</f>
        <v>APAGADO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 t="str">
        <f>ESTADISTICA!V407</f>
        <v>APAGADO</v>
      </c>
      <c r="W408" s="40" t="str">
        <f>ESTADISTICA!W407</f>
        <v>APAGADO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 t="str">
        <f>ESTADISTICA!V417</f>
        <v>APAGADO</v>
      </c>
      <c r="W418" s="40" t="str">
        <f>ESTADISTICA!W417</f>
        <v>APAGADO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 t="str">
        <f>ESTADISTICA!V429</f>
        <v>APAGADO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S198" activePane="bottomRight" state="frozen"/>
      <selection pane="topRight" activeCell="F1" sqref="F1"/>
      <selection pane="bottomLeft" activeCell="A8" sqref="A8"/>
      <selection pane="bottomRight" activeCell="V2" sqref="V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COUNTIFS(T4:T500, "=APAGADO",E4:E500,"=Fibra Optica")</f>
        <v>35</v>
      </c>
      <c r="U2" s="19">
        <f>COUNTIFS(U4:U500, "=APAGADO",E4:E500,"=Fibra Optica")</f>
        <v>36</v>
      </c>
      <c r="V2" s="19">
        <f>COUNTIFS(V4:V500, "=APAGADO",E4:E500,"=Fibra Optica")</f>
        <v>36</v>
      </c>
      <c r="W2" s="19">
        <f>COUNTIFS(W4:W500, "=APAGADO",E4:E500,"=Fibra Optica")</f>
        <v>41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 t="str">
        <f>ESTADISTICA!V13</f>
        <v>APAGADO</v>
      </c>
      <c r="W15" s="40" t="str">
        <f>ESTADISTICA!W13</f>
        <v>APAGADO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 t="str">
        <f>ESTADISTICA!V16</f>
        <v>APAGADO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 t="str">
        <f>ESTADISTICA!V17</f>
        <v>APAGADO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 t="str">
        <f>ESTADISTICA!V32</f>
        <v>APAGADO</v>
      </c>
      <c r="W34" s="40" t="str">
        <f>ESTADISTICA!W32</f>
        <v>APAGADO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 t="str">
        <f>ESTADISTICA!V38</f>
        <v>APAGADO</v>
      </c>
      <c r="W40" s="40" t="str">
        <f>ESTADISTICA!W38</f>
        <v>APAGADO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 t="str">
        <f>ESTADISTICA!V46</f>
        <v>APAGADO</v>
      </c>
      <c r="W48" s="40" t="str">
        <f>ESTADISTICA!W46</f>
        <v>APAGADO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 t="str">
        <f>ESTADISTICA!V47</f>
        <v>APAGADO</v>
      </c>
      <c r="W49" s="40" t="str">
        <f>ESTADISTICA!W47</f>
        <v>APAGADO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 t="str">
        <f>ESTADISTICA!V49</f>
        <v>APAGADO</v>
      </c>
      <c r="W51" s="40" t="str">
        <f>ESTADISTICA!W49</f>
        <v>APAGADO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 t="str">
        <f>ESTADISTICA!V52</f>
        <v>APAGADO</v>
      </c>
      <c r="W54" s="40" t="str">
        <f>ESTADISTICA!W52</f>
        <v>APAGADO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 t="str">
        <f>ESTADISTICA!V54</f>
        <v>APAGADO</v>
      </c>
      <c r="W56" s="40" t="str">
        <f>ESTADISTICA!W54</f>
        <v>APAGADO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 t="str">
        <f>ESTADISTICA!V67</f>
        <v>APAGADO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 t="str">
        <f>ESTADISTICA!V73</f>
        <v>APAGADO</v>
      </c>
      <c r="W75" s="40" t="str">
        <f>ESTADISTICA!W73</f>
        <v>APAGADO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 t="str">
        <f>ESTADISTICA!V85</f>
        <v>APAGADO</v>
      </c>
      <c r="W87" s="40" t="str">
        <f>ESTADISTICA!W85</f>
        <v>APAGADO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 t="str">
        <f>ESTADISTICA!V86</f>
        <v>APAGADO</v>
      </c>
      <c r="W88" s="40" t="str">
        <f>ESTADISTICA!W86</f>
        <v>APAGADO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 t="str">
        <f>ESTADISTICA!V92</f>
        <v>APAGADO</v>
      </c>
      <c r="W94" s="40" t="str">
        <f>ESTADISTICA!W92</f>
        <v>APAGADO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 t="str">
        <f>ESTADISTICA!V96</f>
        <v>APAGADO</v>
      </c>
      <c r="W98" s="40" t="str">
        <f>ESTADISTICA!W96</f>
        <v>APAGADO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 t="str">
        <f>ESTADISTICA!V99</f>
        <v>APAGADO</v>
      </c>
      <c r="W101" s="40" t="str">
        <f>ESTADISTICA!W99</f>
        <v>APAGADO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 t="str">
        <f>ESTADISTICA!V100</f>
        <v>APAGADO</v>
      </c>
      <c r="W102" s="40" t="str">
        <f>ESTADISTICA!W100</f>
        <v>APAGADO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 t="str">
        <f>ESTADISTICA!V121</f>
        <v>APAGADO</v>
      </c>
      <c r="W123" s="40" t="str">
        <f>ESTADISTICA!W121</f>
        <v>APAGADO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 t="str">
        <f>ESTADISTICA!V124</f>
        <v>APAGADO</v>
      </c>
      <c r="W126" s="40" t="str">
        <f>ESTADISTICA!W124</f>
        <v>APAGADO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 t="str">
        <f>ESTADISTICA!V163</f>
        <v>APAGADO</v>
      </c>
      <c r="W165" s="40" t="str">
        <f>ESTADISTICA!W163</f>
        <v>APAGADO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 t="str">
        <f>ESTADISTICA!V164</f>
        <v>APAGADO</v>
      </c>
      <c r="W166" s="40" t="str">
        <f>ESTADISTICA!W164</f>
        <v>APAGADO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 t="str">
        <f>ESTADISTICA!V173</f>
        <v>APAGADO</v>
      </c>
      <c r="W175" s="40" t="str">
        <f>ESTADISTICA!W173</f>
        <v>APAGADO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 t="str">
        <f>ESTADISTICA!V175</f>
        <v>APAGADO</v>
      </c>
      <c r="W177" s="40" t="str">
        <f>ESTADISTICA!W175</f>
        <v>APAGADO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 t="str">
        <f>ESTADISTICA!V180</f>
        <v>APAGADO</v>
      </c>
      <c r="W182" s="40" t="str">
        <f>ESTADISTICA!W180</f>
        <v>APAGADO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 t="str">
        <f>ESTADISTICA!V183</f>
        <v>APAGADO</v>
      </c>
      <c r="W185" s="40" t="str">
        <f>ESTADISTICA!W183</f>
        <v>APAGADO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 t="str">
        <f>ESTADISTICA!V185</f>
        <v>APAGADO</v>
      </c>
      <c r="W187" s="40" t="str">
        <f>ESTADISTICA!W185</f>
        <v>APAGADO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 t="str">
        <f>ESTADISTICA!V196</f>
        <v>APAGADO</v>
      </c>
      <c r="W198" s="40" t="str">
        <f>ESTADISTICA!W196</f>
        <v>APAGADO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 t="str">
        <f>ESTADISTICA!V202</f>
        <v>APAGADO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 t="str">
        <f>ESTADISTICA!V227</f>
        <v>APAGADO</v>
      </c>
      <c r="W229" s="40" t="str">
        <f>ESTADISTICA!W227</f>
        <v>APAGADO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 t="str">
        <f>ESTADISTICA!V234</f>
        <v>APAGADO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 t="str">
        <f>ESTADISTICA!W252</f>
        <v>APAGADO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 t="str">
        <f>ESTADISTICA!W253</f>
        <v>APAGADO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 t="str">
        <f>ESTADISTICA!V254</f>
        <v>APAGADO</v>
      </c>
      <c r="W256" s="40" t="str">
        <f>ESTADISTICA!W254</f>
        <v>APAGADO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 t="str">
        <f>ESTADISTICA!W285</f>
        <v>APAGADO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 t="str">
        <f>ESTADISTICA!W286</f>
        <v>APAGADO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 t="str">
        <f>ESTADISTICA!W291</f>
        <v>APAGADO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 t="str">
        <f>ESTADISTICA!W293</f>
        <v>APAGADO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 t="str">
        <f>ESTADISTICA!V299</f>
        <v>APAGADO</v>
      </c>
      <c r="W301" s="40" t="str">
        <f>ESTADISTICA!W299</f>
        <v>APAGADO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 t="str">
        <f>ESTADISTICA!V322</f>
        <v>APAGADO</v>
      </c>
      <c r="W324" s="40" t="str">
        <f>ESTADISTICA!W322</f>
        <v>APAGADO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 t="str">
        <f>ESTADISTICA!V357</f>
        <v>APAGADO</v>
      </c>
      <c r="W359" s="40" t="str">
        <f>ESTADISTICA!W357</f>
        <v>APAGADO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Q343" activePane="bottomRight" state="frozenSplit"/>
      <selection pane="topRight" activeCell="F1" sqref="F1"/>
      <selection pane="bottomLeft" activeCell="A3" sqref="A3"/>
      <selection pane="bottomRight" activeCell="W3" sqref="W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COUNTIFS(T4:T500, "=APAGADO",E4:E500,"=PTO A FO")</f>
        <v>5</v>
      </c>
      <c r="U2" s="19">
        <f>COUNTIFS(U4:U500, "=APAGADO",E4:E500,"=PTO A FO")</f>
        <v>2</v>
      </c>
      <c r="V2" s="19">
        <f>COUNTIFS(V4:V500, "=APAGADO",E4:E500,"=PTO A FO")</f>
        <v>2</v>
      </c>
      <c r="W2" s="19">
        <f>COUNTIFS(W4:W500, "=APAGADO",E4:E500,"=PTO A FO")</f>
        <v>2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W3" sqref="W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COUNTIFS(T4:T500, "=APAGADO",E4:E500,"=radio")</f>
        <v>1</v>
      </c>
      <c r="U2" s="19">
        <f>COUNTIFS(U4:U500, "=APAGADO",E4:E500,"=radio")</f>
        <v>6</v>
      </c>
      <c r="V2" s="19">
        <f>COUNTIFS(V4:V500, "=APAGADO",E4:E500,"=radio")</f>
        <v>7</v>
      </c>
      <c r="W2" s="19">
        <f>COUNTIFS(W4:W500, "=APAGADO",E4:E500,"=radio")</f>
        <v>4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25" workbookViewId="0">
      <selection activeCell="C45" sqref="C45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3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3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3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" thickBot="1" x14ac:dyDescent="0.35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3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" thickBot="1" x14ac:dyDescent="0.35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5.6" thickTop="1" thickBot="1" x14ac:dyDescent="0.35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" thickBot="1" x14ac:dyDescent="0.35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" thickTop="1" x14ac:dyDescent="0.3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3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3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5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5.6" thickTop="1" thickBot="1" x14ac:dyDescent="0.35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" thickTop="1" x14ac:dyDescent="0.3">
      <c r="A17" s="75" t="s">
        <v>999</v>
      </c>
      <c r="B17" s="76">
        <v>430</v>
      </c>
      <c r="C17" s="77"/>
      <c r="D17" s="78"/>
      <c r="E17" s="141">
        <v>44874</v>
      </c>
      <c r="G17" s="116"/>
      <c r="H17" s="100"/>
      <c r="I17" s="100"/>
      <c r="J17" s="100"/>
      <c r="K17" s="101"/>
      <c r="L17" s="117"/>
      <c r="M17" s="139"/>
    </row>
    <row r="18" spans="1:14" x14ac:dyDescent="0.3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42"/>
      <c r="G18" s="116"/>
      <c r="H18" s="100"/>
      <c r="I18" s="100"/>
      <c r="J18" s="100"/>
      <c r="K18" s="101"/>
      <c r="L18" s="117"/>
      <c r="M18" s="139"/>
    </row>
    <row r="19" spans="1:14" x14ac:dyDescent="0.3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42"/>
      <c r="G19" s="116"/>
      <c r="H19" s="100"/>
      <c r="I19" s="100"/>
      <c r="J19" s="100"/>
      <c r="K19" s="101"/>
      <c r="L19" s="117"/>
      <c r="M19" s="139"/>
    </row>
    <row r="20" spans="1:14" x14ac:dyDescent="0.3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42"/>
      <c r="G20" s="116"/>
      <c r="H20" s="100"/>
      <c r="I20" s="100"/>
      <c r="J20" s="100"/>
      <c r="K20" s="101"/>
      <c r="L20" s="117"/>
      <c r="M20" s="139"/>
    </row>
    <row r="21" spans="1:14" ht="15" thickBot="1" x14ac:dyDescent="0.35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43"/>
      <c r="G21" s="109"/>
      <c r="H21" s="110"/>
      <c r="I21" s="110"/>
      <c r="J21" s="110"/>
      <c r="K21" s="110"/>
      <c r="L21" s="111"/>
      <c r="M21" s="140"/>
    </row>
    <row r="22" spans="1:14" ht="15" thickTop="1" x14ac:dyDescent="0.3">
      <c r="A22" s="75" t="s">
        <v>999</v>
      </c>
      <c r="B22" s="76">
        <v>430</v>
      </c>
      <c r="C22" s="77"/>
      <c r="D22" s="78"/>
      <c r="E22" s="141">
        <v>44875</v>
      </c>
    </row>
    <row r="23" spans="1:14" ht="15" thickBot="1" x14ac:dyDescent="0.35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42"/>
    </row>
    <row r="24" spans="1:14" ht="15" thickTop="1" x14ac:dyDescent="0.3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42"/>
      <c r="G24" s="103"/>
      <c r="H24" s="104"/>
      <c r="I24" s="104"/>
      <c r="J24" s="104"/>
      <c r="K24" s="105"/>
      <c r="L24" s="106"/>
      <c r="M24" s="138"/>
    </row>
    <row r="25" spans="1:14" x14ac:dyDescent="0.3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42"/>
      <c r="G25" s="107"/>
      <c r="H25" s="100"/>
      <c r="I25" s="100"/>
      <c r="J25" s="100"/>
      <c r="K25" s="101"/>
      <c r="L25" s="108"/>
      <c r="M25" s="139"/>
    </row>
    <row r="26" spans="1:14" ht="15" thickBot="1" x14ac:dyDescent="0.35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43"/>
      <c r="G26" s="107"/>
      <c r="H26" s="100"/>
      <c r="I26" s="100"/>
      <c r="J26" s="100"/>
      <c r="K26" s="101"/>
      <c r="L26" s="108"/>
      <c r="M26" s="139"/>
    </row>
    <row r="27" spans="1:14" ht="15" thickTop="1" x14ac:dyDescent="0.3">
      <c r="A27" s="75" t="s">
        <v>999</v>
      </c>
      <c r="B27" s="76">
        <v>430</v>
      </c>
      <c r="C27" s="77"/>
      <c r="D27" s="78"/>
      <c r="E27" s="141">
        <v>44879</v>
      </c>
      <c r="G27" s="107"/>
      <c r="H27" s="100"/>
      <c r="I27" s="100"/>
      <c r="J27" s="100"/>
      <c r="K27" s="101"/>
      <c r="L27" s="108"/>
      <c r="M27" s="139"/>
    </row>
    <row r="28" spans="1:14" x14ac:dyDescent="0.3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42"/>
      <c r="G28" s="107"/>
      <c r="H28" s="100"/>
      <c r="I28" s="100"/>
      <c r="J28" s="100"/>
      <c r="K28" s="101"/>
      <c r="L28" s="108"/>
      <c r="M28" s="139"/>
    </row>
    <row r="29" spans="1:14" ht="15" thickBot="1" x14ac:dyDescent="0.35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42"/>
      <c r="G29" s="109"/>
      <c r="H29" s="110"/>
      <c r="I29" s="110"/>
      <c r="J29" s="110"/>
      <c r="K29" s="110"/>
      <c r="L29" s="111"/>
      <c r="M29" s="140"/>
    </row>
    <row r="30" spans="1:14" ht="15.6" thickTop="1" thickBot="1" x14ac:dyDescent="0.35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42"/>
    </row>
    <row r="31" spans="1:14" ht="15.6" thickTop="1" thickBot="1" x14ac:dyDescent="0.35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" thickTop="1" x14ac:dyDescent="0.3">
      <c r="A32" s="75" t="s">
        <v>999</v>
      </c>
      <c r="B32" s="76">
        <v>431</v>
      </c>
      <c r="C32" s="77"/>
      <c r="D32" s="78"/>
      <c r="E32" s="141">
        <v>44882</v>
      </c>
      <c r="G32" s="116"/>
      <c r="H32" s="99"/>
      <c r="I32" s="100"/>
      <c r="J32" s="100"/>
      <c r="K32" s="100"/>
      <c r="L32" s="101"/>
      <c r="M32" s="117"/>
      <c r="N32" s="137"/>
    </row>
    <row r="33" spans="1:14" ht="15" thickBot="1" x14ac:dyDescent="0.35">
      <c r="A33" s="79" t="s">
        <v>6</v>
      </c>
      <c r="B33" s="80">
        <v>45</v>
      </c>
      <c r="C33" s="81">
        <v>45</v>
      </c>
      <c r="D33" s="82">
        <f>C33/B32</f>
        <v>0.10440835266821345</v>
      </c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" thickTop="1" x14ac:dyDescent="0.3">
      <c r="A34" s="79" t="s">
        <v>1001</v>
      </c>
      <c r="B34" s="80">
        <v>6</v>
      </c>
      <c r="C34" s="81">
        <f>C33-B34</f>
        <v>39</v>
      </c>
      <c r="D34" s="82">
        <f>C34/B32</f>
        <v>9.0487238979118326E-2</v>
      </c>
      <c r="E34" s="142"/>
      <c r="G34" s="122"/>
      <c r="K34" s="123"/>
    </row>
    <row r="35" spans="1:14" x14ac:dyDescent="0.3">
      <c r="A35" s="79" t="s">
        <v>1000</v>
      </c>
      <c r="B35" s="80">
        <v>1</v>
      </c>
      <c r="C35" s="81">
        <f>C34-B35</f>
        <v>38</v>
      </c>
      <c r="D35" s="82">
        <f>C35/B32</f>
        <v>8.8167053364269138E-2</v>
      </c>
      <c r="E35" s="142"/>
      <c r="G35" s="122"/>
      <c r="K35" s="123"/>
    </row>
    <row r="36" spans="1:14" ht="15" thickBot="1" x14ac:dyDescent="0.35">
      <c r="A36" s="91" t="s">
        <v>16</v>
      </c>
      <c r="B36" s="92">
        <v>7</v>
      </c>
      <c r="C36" s="93">
        <f>C35-B36</f>
        <v>31</v>
      </c>
      <c r="D36" s="82">
        <f>C36/B32</f>
        <v>7.1925754060324823E-2</v>
      </c>
      <c r="E36" s="143"/>
      <c r="G36" s="122"/>
      <c r="K36" s="123"/>
    </row>
    <row r="37" spans="1:14" ht="15" thickTop="1" x14ac:dyDescent="0.3">
      <c r="A37" s="75" t="s">
        <v>999</v>
      </c>
      <c r="B37" s="76">
        <v>433</v>
      </c>
      <c r="C37" s="77"/>
      <c r="D37" s="78"/>
      <c r="E37" s="141">
        <v>44610</v>
      </c>
      <c r="G37" s="122"/>
      <c r="K37" s="123"/>
    </row>
    <row r="38" spans="1:14" x14ac:dyDescent="0.3">
      <c r="A38" s="79" t="s">
        <v>6</v>
      </c>
      <c r="B38" s="80">
        <v>47</v>
      </c>
      <c r="C38" s="81">
        <v>47</v>
      </c>
      <c r="D38" s="82">
        <f>C38/B37</f>
        <v>0.10854503464203233</v>
      </c>
      <c r="E38" s="142"/>
      <c r="G38" s="122"/>
      <c r="K38" s="123"/>
      <c r="L38" s="124"/>
    </row>
    <row r="39" spans="1:14" ht="15" thickBot="1" x14ac:dyDescent="0.35">
      <c r="A39" s="79" t="s">
        <v>1001</v>
      </c>
      <c r="B39" s="80">
        <v>8</v>
      </c>
      <c r="C39" s="81">
        <f>C38-B39</f>
        <v>39</v>
      </c>
      <c r="D39" s="82">
        <f>C39/B37</f>
        <v>9.0069284064665134E-2</v>
      </c>
      <c r="E39" s="142"/>
    </row>
    <row r="40" spans="1:14" ht="15" thickTop="1" x14ac:dyDescent="0.3">
      <c r="A40" s="79" t="s">
        <v>1000</v>
      </c>
      <c r="B40" s="80">
        <v>1</v>
      </c>
      <c r="C40" s="81">
        <f>C39-B40</f>
        <v>38</v>
      </c>
      <c r="D40" s="82">
        <f>C40/B37</f>
        <v>8.7759815242494224E-2</v>
      </c>
      <c r="E40" s="142"/>
      <c r="G40" s="103"/>
      <c r="H40" s="104"/>
      <c r="I40" s="104"/>
      <c r="J40" s="104"/>
      <c r="K40" s="105"/>
      <c r="L40" s="106"/>
      <c r="M40" s="138"/>
    </row>
    <row r="41" spans="1:14" ht="15" thickBot="1" x14ac:dyDescent="0.35">
      <c r="A41" s="91" t="s">
        <v>16</v>
      </c>
      <c r="B41" s="92">
        <v>4</v>
      </c>
      <c r="C41" s="93">
        <f>C40-B41</f>
        <v>34</v>
      </c>
      <c r="D41" s="82">
        <f>C41/B37</f>
        <v>7.8521939953810627E-2</v>
      </c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3">
      <c r="A42" s="75" t="s">
        <v>999</v>
      </c>
      <c r="B42" s="76"/>
      <c r="C42" s="77"/>
      <c r="D42" s="78"/>
      <c r="E42" s="141"/>
      <c r="G42" s="107"/>
      <c r="H42" s="100"/>
      <c r="I42" s="100"/>
      <c r="J42" s="100"/>
      <c r="K42" s="101"/>
      <c r="L42" s="108"/>
      <c r="M42" s="139"/>
    </row>
    <row r="43" spans="1:14" x14ac:dyDescent="0.3">
      <c r="A43" s="79" t="s">
        <v>6</v>
      </c>
      <c r="B43" s="80"/>
      <c r="C43" s="81"/>
      <c r="D43" s="82"/>
      <c r="E43" s="142"/>
      <c r="G43" s="107"/>
      <c r="H43" s="100"/>
      <c r="I43" s="100"/>
      <c r="J43" s="100"/>
      <c r="K43" s="101"/>
      <c r="L43" s="108"/>
      <c r="M43" s="139"/>
    </row>
    <row r="44" spans="1:14" x14ac:dyDescent="0.3">
      <c r="A44" s="79" t="s">
        <v>1001</v>
      </c>
      <c r="B44" s="80"/>
      <c r="C44" s="81"/>
      <c r="D44" s="82"/>
      <c r="E44" s="142"/>
      <c r="G44" s="107"/>
      <c r="H44" s="100"/>
      <c r="I44" s="100"/>
      <c r="J44" s="100"/>
      <c r="K44" s="101"/>
      <c r="L44" s="108"/>
      <c r="M44" s="139"/>
    </row>
    <row r="45" spans="1:14" ht="15" thickBot="1" x14ac:dyDescent="0.35">
      <c r="A45" s="79" t="s">
        <v>1000</v>
      </c>
      <c r="B45" s="80"/>
      <c r="C45" s="81"/>
      <c r="D45" s="82"/>
      <c r="E45" s="142"/>
      <c r="G45" s="109"/>
      <c r="H45" s="110"/>
      <c r="I45" s="110"/>
      <c r="J45" s="110"/>
      <c r="K45" s="110"/>
      <c r="L45" s="111"/>
      <c r="M45" s="140"/>
    </row>
    <row r="46" spans="1:14" ht="15.6" thickTop="1" thickBot="1" x14ac:dyDescent="0.35">
      <c r="A46" s="91" t="s">
        <v>16</v>
      </c>
      <c r="B46" s="92"/>
      <c r="C46" s="93"/>
      <c r="D46" s="94"/>
      <c r="E46" s="143"/>
    </row>
    <row r="47" spans="1:14" ht="15" thickTop="1" x14ac:dyDescent="0.3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3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3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3">
      <c r="A50" s="79" t="s">
        <v>1000</v>
      </c>
      <c r="B50" s="80"/>
      <c r="C50" s="81"/>
      <c r="D50" s="82"/>
      <c r="E50" s="142"/>
      <c r="G50" s="122"/>
      <c r="K50" s="123"/>
    </row>
    <row r="51" spans="1:11" ht="15" thickBot="1" x14ac:dyDescent="0.35">
      <c r="A51" s="91" t="s">
        <v>16</v>
      </c>
      <c r="B51" s="92"/>
      <c r="C51" s="93"/>
      <c r="D51" s="94"/>
      <c r="E51" s="143"/>
      <c r="G51" s="122"/>
      <c r="K51" s="123"/>
    </row>
    <row r="52" spans="1:11" ht="15" thickTop="1" x14ac:dyDescent="0.3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3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3">
      <c r="A54" s="79" t="s">
        <v>1001</v>
      </c>
      <c r="B54" s="80"/>
      <c r="C54" s="81"/>
      <c r="D54" s="82"/>
      <c r="E54" s="142"/>
    </row>
    <row r="55" spans="1:11" x14ac:dyDescent="0.3">
      <c r="A55" s="79" t="s">
        <v>1000</v>
      </c>
      <c r="B55" s="80"/>
      <c r="C55" s="81"/>
      <c r="D55" s="82"/>
      <c r="E55" s="142"/>
    </row>
    <row r="56" spans="1:11" ht="15" thickBot="1" x14ac:dyDescent="0.35">
      <c r="A56" s="91" t="s">
        <v>16</v>
      </c>
      <c r="B56" s="92"/>
      <c r="C56" s="93"/>
      <c r="D56" s="94"/>
      <c r="E56" s="143"/>
    </row>
    <row r="57" spans="1:11" ht="15" thickTop="1" x14ac:dyDescent="0.3">
      <c r="A57" s="75" t="s">
        <v>999</v>
      </c>
      <c r="B57" s="76"/>
      <c r="C57" s="77"/>
      <c r="D57" s="78"/>
      <c r="E57" s="141"/>
    </row>
    <row r="58" spans="1:11" x14ac:dyDescent="0.3">
      <c r="A58" s="79" t="s">
        <v>6</v>
      </c>
      <c r="B58" s="80"/>
      <c r="C58" s="81"/>
      <c r="D58" s="82"/>
      <c r="E58" s="142"/>
    </row>
    <row r="59" spans="1:11" x14ac:dyDescent="0.3">
      <c r="A59" s="79" t="s">
        <v>1001</v>
      </c>
      <c r="B59" s="80"/>
      <c r="C59" s="81"/>
      <c r="D59" s="82"/>
      <c r="E59" s="142"/>
    </row>
    <row r="60" spans="1:11" x14ac:dyDescent="0.3">
      <c r="A60" s="79" t="s">
        <v>1000</v>
      </c>
      <c r="B60" s="80"/>
      <c r="C60" s="81"/>
      <c r="D60" s="82"/>
      <c r="E60" s="142"/>
    </row>
    <row r="61" spans="1:11" ht="15" thickBot="1" x14ac:dyDescent="0.35">
      <c r="A61" s="91" t="s">
        <v>16</v>
      </c>
      <c r="B61" s="92"/>
      <c r="C61" s="93"/>
      <c r="D61" s="94"/>
      <c r="E61" s="143"/>
    </row>
    <row r="62" spans="1:11" ht="15" thickTop="1" x14ac:dyDescent="0.3">
      <c r="A62" s="75" t="s">
        <v>999</v>
      </c>
      <c r="B62" s="76"/>
      <c r="C62" s="77"/>
      <c r="D62" s="78"/>
      <c r="E62" s="141"/>
    </row>
    <row r="63" spans="1:11" x14ac:dyDescent="0.3">
      <c r="A63" s="79" t="s">
        <v>6</v>
      </c>
      <c r="B63" s="80"/>
      <c r="C63" s="81"/>
      <c r="D63" s="82"/>
      <c r="E63" s="142"/>
    </row>
    <row r="64" spans="1:11" x14ac:dyDescent="0.3">
      <c r="A64" s="79" t="s">
        <v>1001</v>
      </c>
      <c r="B64" s="80"/>
      <c r="C64" s="81"/>
      <c r="D64" s="82"/>
      <c r="E64" s="142"/>
    </row>
    <row r="65" spans="1:5" x14ac:dyDescent="0.3">
      <c r="A65" s="79" t="s">
        <v>1000</v>
      </c>
      <c r="B65" s="80"/>
      <c r="C65" s="81"/>
      <c r="D65" s="82"/>
      <c r="E65" s="142"/>
    </row>
    <row r="66" spans="1:5" ht="15" thickBot="1" x14ac:dyDescent="0.35">
      <c r="A66" s="91" t="s">
        <v>16</v>
      </c>
      <c r="B66" s="92"/>
      <c r="C66" s="93"/>
      <c r="D66" s="94"/>
      <c r="E66" s="143"/>
    </row>
    <row r="67" spans="1:5" ht="15" thickTop="1" x14ac:dyDescent="0.3">
      <c r="A67" s="75" t="s">
        <v>999</v>
      </c>
      <c r="B67" s="76"/>
      <c r="C67" s="77"/>
      <c r="D67" s="78"/>
      <c r="E67" s="141"/>
    </row>
    <row r="68" spans="1:5" x14ac:dyDescent="0.3">
      <c r="A68" s="79" t="s">
        <v>6</v>
      </c>
      <c r="B68" s="80"/>
      <c r="C68" s="81"/>
      <c r="D68" s="82"/>
      <c r="E68" s="142"/>
    </row>
    <row r="69" spans="1:5" x14ac:dyDescent="0.3">
      <c r="A69" s="79" t="s">
        <v>1001</v>
      </c>
      <c r="B69" s="80"/>
      <c r="C69" s="81"/>
      <c r="D69" s="82"/>
      <c r="E69" s="142"/>
    </row>
    <row r="70" spans="1:5" x14ac:dyDescent="0.3">
      <c r="A70" s="79" t="s">
        <v>1000</v>
      </c>
      <c r="B70" s="80"/>
      <c r="C70" s="81"/>
      <c r="D70" s="82"/>
      <c r="E70" s="142"/>
    </row>
    <row r="71" spans="1:5" ht="15" thickBot="1" x14ac:dyDescent="0.35">
      <c r="A71" s="91" t="s">
        <v>16</v>
      </c>
      <c r="B71" s="92"/>
      <c r="C71" s="93"/>
      <c r="D71" s="94"/>
      <c r="E71" s="143"/>
    </row>
    <row r="72" spans="1:5" ht="15" thickTop="1" x14ac:dyDescent="0.3">
      <c r="A72" s="75" t="s">
        <v>999</v>
      </c>
      <c r="B72" s="76"/>
      <c r="C72" s="77"/>
      <c r="D72" s="78"/>
      <c r="E72" s="141"/>
    </row>
    <row r="73" spans="1:5" x14ac:dyDescent="0.3">
      <c r="A73" s="79" t="s">
        <v>6</v>
      </c>
      <c r="B73" s="80"/>
      <c r="C73" s="81"/>
      <c r="D73" s="82"/>
      <c r="E73" s="142"/>
    </row>
    <row r="74" spans="1:5" x14ac:dyDescent="0.3">
      <c r="A74" s="79" t="s">
        <v>1001</v>
      </c>
      <c r="B74" s="80"/>
      <c r="C74" s="81"/>
      <c r="D74" s="82"/>
      <c r="E74" s="142"/>
    </row>
    <row r="75" spans="1:5" x14ac:dyDescent="0.3">
      <c r="A75" s="79" t="s">
        <v>1000</v>
      </c>
      <c r="B75" s="80"/>
      <c r="C75" s="81"/>
      <c r="D75" s="82"/>
      <c r="E75" s="142"/>
    </row>
    <row r="76" spans="1:5" ht="15" thickBot="1" x14ac:dyDescent="0.35">
      <c r="A76" s="91" t="s">
        <v>16</v>
      </c>
      <c r="B76" s="92"/>
      <c r="C76" s="93"/>
      <c r="D76" s="94"/>
      <c r="E76" s="143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tabSelected="1"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44883</v>
      </c>
    </row>
    <row r="4" spans="2:4" ht="15" thickTop="1" x14ac:dyDescent="0.3">
      <c r="B4" s="68" t="s">
        <v>1159</v>
      </c>
      <c r="C4" s="57">
        <f>COUNTIFS('RESUMEN TOTAL'!C5:C501,"=BONOMO")</f>
        <v>225</v>
      </c>
      <c r="D4" s="64">
        <v>31</v>
      </c>
    </row>
    <row r="5" spans="2:4" ht="15" thickBot="1" x14ac:dyDescent="0.35">
      <c r="B5" s="58"/>
      <c r="C5" s="59"/>
      <c r="D5" s="71">
        <v>0.13777777777777778</v>
      </c>
    </row>
    <row r="6" spans="2:4" ht="15" thickTop="1" x14ac:dyDescent="0.3">
      <c r="B6" s="67" t="s">
        <v>1160</v>
      </c>
      <c r="C6" s="57">
        <f>COUNTIFS('RESUMEN TOTAL'!C5:C501,"=COSEIDI")</f>
        <v>205</v>
      </c>
      <c r="D6" s="66">
        <v>16</v>
      </c>
    </row>
    <row r="7" spans="2:4" ht="15" thickBot="1" x14ac:dyDescent="0.35">
      <c r="B7" s="58"/>
      <c r="C7" s="59"/>
      <c r="D7" s="52">
        <v>7.8048780487804878E-2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0" sqref="F20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3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3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3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3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3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3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3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3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3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3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3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3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3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3">
      <c r="A16" s="18">
        <f>'APAGADOS RADIO'!T3</f>
        <v>44880</v>
      </c>
      <c r="B16" s="40">
        <f>'APAGADOS RADIO'!T2+D16</f>
        <v>6</v>
      </c>
      <c r="C16" s="40">
        <f>'APAGADOS FIBRA'!T2</f>
        <v>35</v>
      </c>
      <c r="D16" s="40">
        <f>'APAGADOS ANTENA'!T2</f>
        <v>5</v>
      </c>
      <c r="E16" s="40">
        <f t="shared" ref="E16:E18" si="12">B16+C16</f>
        <v>41</v>
      </c>
      <c r="F16" s="40">
        <f>'RESUMEN TOTAL'!B1</f>
        <v>430</v>
      </c>
      <c r="G16" s="44">
        <f t="shared" ref="G16:G18" si="13">E16/F16</f>
        <v>9.5348837209302331E-2</v>
      </c>
    </row>
    <row r="17" spans="1:7" x14ac:dyDescent="0.3">
      <c r="A17" s="18">
        <f>'APAGADOS RADIO'!U3</f>
        <v>44881</v>
      </c>
      <c r="B17" s="40">
        <f>'APAGADOS RADIO'!U2+D17</f>
        <v>8</v>
      </c>
      <c r="C17" s="40">
        <f>'APAGADOS FIBRA'!U2</f>
        <v>36</v>
      </c>
      <c r="D17" s="40">
        <f>'APAGADOS ANTENA'!U2</f>
        <v>2</v>
      </c>
      <c r="E17" s="40">
        <f t="shared" si="12"/>
        <v>44</v>
      </c>
      <c r="F17" s="40">
        <f>'RESUMEN TOTAL'!B1</f>
        <v>430</v>
      </c>
      <c r="G17" s="44">
        <f t="shared" si="13"/>
        <v>0.10232558139534884</v>
      </c>
    </row>
    <row r="18" spans="1:7" x14ac:dyDescent="0.3">
      <c r="A18" s="18">
        <f>'APAGADOS RADIO'!V3</f>
        <v>44882</v>
      </c>
      <c r="B18" s="40">
        <f>'APAGADOS RADIO'!V2+D18</f>
        <v>9</v>
      </c>
      <c r="C18" s="40">
        <f>'APAGADOS FIBRA'!V2</f>
        <v>36</v>
      </c>
      <c r="D18" s="40">
        <f>'APAGADOS ANTENA'!V2</f>
        <v>2</v>
      </c>
      <c r="E18" s="40">
        <f t="shared" si="12"/>
        <v>45</v>
      </c>
      <c r="F18" s="40">
        <f>'RESUMEN TOTAL'!B1</f>
        <v>430</v>
      </c>
      <c r="G18" s="44">
        <f t="shared" si="13"/>
        <v>0.10465116279069768</v>
      </c>
    </row>
    <row r="19" spans="1:7" x14ac:dyDescent="0.3">
      <c r="A19" s="18">
        <f>'APAGADOS RADIO'!W3</f>
        <v>44883</v>
      </c>
      <c r="B19" s="40">
        <f>'APAGADOS RADIO'!W2+D19</f>
        <v>6</v>
      </c>
      <c r="C19" s="40">
        <f>'APAGADOS FIBRA'!W2</f>
        <v>41</v>
      </c>
      <c r="D19" s="40">
        <f>'APAGADOS ANTENA'!W2</f>
        <v>2</v>
      </c>
      <c r="E19" s="40">
        <f t="shared" ref="E19" si="14">B19+C19</f>
        <v>47</v>
      </c>
      <c r="F19" s="40">
        <f>'RESUMEN TOTAL'!B1</f>
        <v>430</v>
      </c>
      <c r="G19" s="44">
        <f t="shared" ref="G19" si="15">E19/F19</f>
        <v>0.10930232558139535</v>
      </c>
    </row>
    <row r="20" spans="1:7" x14ac:dyDescent="0.3">
      <c r="A20" s="18">
        <f>'APAGADOS RADIO'!X3</f>
        <v>44884</v>
      </c>
      <c r="B20" s="40"/>
      <c r="C20" s="40"/>
      <c r="D20" s="40"/>
      <c r="E20" s="40"/>
      <c r="F20" s="40"/>
    </row>
    <row r="21" spans="1:7" x14ac:dyDescent="0.3">
      <c r="A21" s="18">
        <f>'APAGADOS RADIO'!Y3</f>
        <v>44885</v>
      </c>
      <c r="B21" s="40"/>
      <c r="C21" s="40"/>
      <c r="D21" s="40"/>
      <c r="E21" s="40"/>
      <c r="F21" s="40"/>
    </row>
    <row r="22" spans="1:7" x14ac:dyDescent="0.3">
      <c r="A22" s="18">
        <f>'APAGADOS RADIO'!Z3</f>
        <v>44886</v>
      </c>
      <c r="B22" s="40"/>
      <c r="C22" s="40"/>
      <c r="D22" s="40"/>
      <c r="E22" s="40"/>
      <c r="F22" s="40"/>
    </row>
    <row r="23" spans="1:7" x14ac:dyDescent="0.3">
      <c r="A23" s="18">
        <f>'APAGADOS RADIO'!AA3</f>
        <v>44887</v>
      </c>
      <c r="B23" s="40"/>
      <c r="C23" s="40"/>
      <c r="D23" s="40"/>
      <c r="E23" s="40"/>
      <c r="F23" s="40"/>
    </row>
    <row r="24" spans="1:7" x14ac:dyDescent="0.3">
      <c r="A24" s="18">
        <f>'APAGADOS RADIO'!AB3</f>
        <v>44888</v>
      </c>
      <c r="B24" s="40"/>
      <c r="C24" s="40"/>
      <c r="D24" s="40"/>
      <c r="E24" s="40"/>
      <c r="F24" s="40"/>
    </row>
    <row r="25" spans="1:7" x14ac:dyDescent="0.3">
      <c r="A25" s="18">
        <f>'APAGADOS RADIO'!AC3</f>
        <v>44889</v>
      </c>
      <c r="B25" s="40"/>
      <c r="C25" s="40"/>
      <c r="D25" s="40"/>
      <c r="E25" s="40"/>
      <c r="F25" s="40"/>
    </row>
    <row r="26" spans="1:7" x14ac:dyDescent="0.3">
      <c r="A26" s="18">
        <f>'APAGADOS RADIO'!AD3</f>
        <v>44890</v>
      </c>
      <c r="B26" s="40"/>
      <c r="C26" s="40"/>
      <c r="D26" s="40"/>
      <c r="E26" s="40"/>
      <c r="F26" s="40"/>
    </row>
    <row r="27" spans="1:7" x14ac:dyDescent="0.3">
      <c r="A27" s="18">
        <f>'APAGADOS RADIO'!AE3</f>
        <v>44891</v>
      </c>
      <c r="B27" s="40"/>
      <c r="C27" s="40"/>
      <c r="D27" s="40"/>
      <c r="E27" s="40"/>
      <c r="F27" s="40"/>
    </row>
    <row r="28" spans="1:7" x14ac:dyDescent="0.3">
      <c r="A28" s="18">
        <f>'APAGADOS RADIO'!AF3</f>
        <v>44892</v>
      </c>
      <c r="B28" s="40"/>
      <c r="C28" s="40"/>
      <c r="D28" s="40"/>
      <c r="E28" s="40"/>
      <c r="F28" s="40"/>
    </row>
    <row r="29" spans="1:7" x14ac:dyDescent="0.3">
      <c r="A29" s="18">
        <f>'APAGADOS RADIO'!AG3</f>
        <v>44893</v>
      </c>
      <c r="B29" s="40"/>
      <c r="C29" s="40"/>
      <c r="D29" s="40"/>
      <c r="E29" s="40"/>
      <c r="F29" s="40"/>
    </row>
    <row r="30" spans="1:7" x14ac:dyDescent="0.3">
      <c r="A30" s="18">
        <f>'APAGADOS RADIO'!AH3</f>
        <v>44894</v>
      </c>
      <c r="B30" s="40"/>
      <c r="C30" s="40"/>
      <c r="D30" s="40"/>
      <c r="E30" s="40"/>
      <c r="F30" s="40"/>
    </row>
    <row r="31" spans="1:7" x14ac:dyDescent="0.3">
      <c r="A31" s="18">
        <f>'APAGADOS RADIO'!AI3</f>
        <v>44895</v>
      </c>
      <c r="B31" s="40"/>
      <c r="C31" s="40"/>
      <c r="D31" s="40"/>
      <c r="E31" s="40"/>
      <c r="F31" s="40"/>
    </row>
    <row r="32" spans="1:7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W2" sqref="W2:W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TOTAL'!C7:C501, "=BONOMO",'RESUMEN TOTAL'!AA7:AA501,"=APAGADO")</f>
        <v>27</v>
      </c>
      <c r="W3" s="64">
        <f>COUNTIFS('RESUMEN TOTAL'!C7:C501, "=BONOMO",'RESUMEN TOTAL'!AB7:AB501,"=APAGADO")</f>
        <v>31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0.12</v>
      </c>
      <c r="W4" s="71">
        <f t="shared" si="0"/>
        <v>0.13777777777777778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TOTAL'!C10:C421, "=COSEIDI",'RESUMEN TOTAL'!AA10:AA421,"=APAGADO")</f>
        <v>17</v>
      </c>
      <c r="W5" s="66">
        <f>COUNTIFS('RESUMEN TOTAL'!C10:C421, "=COSEIDI",'RESUMEN TOTAL'!AB10:AB421,"=APAGADO")</f>
        <v>16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8.2926829268292687E-2</v>
      </c>
      <c r="W6" s="70">
        <f t="shared" si="5"/>
        <v>7.8048780487804878E-2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2022-11-18T14:42:40Z</dcterms:modified>
</cp:coreProperties>
</file>