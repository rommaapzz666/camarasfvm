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550337B9-4FE6-4550-862B-69E6335271F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56" i="2" l="1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<sst xmlns="http://schemas.openxmlformats.org/spreadsheetml/2006/main" count="3955" uniqueCount="1356">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</sst>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K350" activePane="bottomRight" state="frozen"/>
      <selection pane="topRight" activeCell="M1" sqref="M1"/>
      <selection pane="bottomLeft" activeCell="A5" sqref="A5"/>
      <selection pane="bottomRight" activeCell="AK365" sqref="AK365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7</v>
      </c>
      <c r="M7" s="17">
        <f t="shared" si="6"/>
        <v>21</v>
      </c>
      <c r="N7" s="18">
        <f t="shared" si="7"/>
        <v>0.25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23</v>
      </c>
      <c r="M10" s="17">
        <f t="shared" si="6"/>
        <v>5</v>
      </c>
      <c r="N10" s="18">
        <f t="shared" si="7"/>
        <v>0.8214285714285714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12</v>
      </c>
      <c r="M11" s="17">
        <f t="shared" si="6"/>
        <v>16</v>
      </c>
      <c r="N11" s="18">
        <f t="shared" si="7"/>
        <v>0.42857142857142855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18</v>
      </c>
      <c r="M22" s="17">
        <f t="shared" si="6"/>
        <v>10</v>
      </c>
      <c r="N22" s="18">
        <f t="shared" si="7"/>
        <v>0.6428571428571429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18</v>
      </c>
      <c r="M30" s="17">
        <f t="shared" si="6"/>
        <v>10</v>
      </c>
      <c r="N30" s="18">
        <f t="shared" si="7"/>
        <v>0.6428571428571429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25</v>
      </c>
      <c r="M51" s="17">
        <f t="shared" si="6"/>
        <v>3</v>
      </c>
      <c r="N51" s="18">
        <f t="shared" si="7"/>
        <v>0.8928571428571429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23</v>
      </c>
      <c r="M52" s="17">
        <f t="shared" si="6"/>
        <v>5</v>
      </c>
      <c r="N52" s="18">
        <f t="shared" si="7"/>
        <v>0.8214285714285714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14</v>
      </c>
      <c r="M56" s="17">
        <f t="shared" si="6"/>
        <v>14</v>
      </c>
      <c r="N56" s="18">
        <f t="shared" si="7"/>
        <v>0.5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7</v>
      </c>
      <c r="M80" s="17">
        <f t="shared" si="9"/>
        <v>21</v>
      </c>
      <c r="N80" s="18">
        <f t="shared" si="10"/>
        <v>0.25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18</v>
      </c>
      <c r="M94" s="17">
        <f t="shared" si="9"/>
        <v>10</v>
      </c>
      <c r="N94" s="18">
        <f t="shared" si="10"/>
        <v>0.6428571428571429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23</v>
      </c>
      <c r="M96" s="17">
        <f t="shared" si="9"/>
        <v>5</v>
      </c>
      <c r="N96" s="18">
        <f t="shared" si="10"/>
        <v>0.8214285714285714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18</v>
      </c>
      <c r="M99" s="17">
        <f t="shared" si="9"/>
        <v>10</v>
      </c>
      <c r="N99" s="18">
        <f t="shared" si="10"/>
        <v>0.6428571428571429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21</v>
      </c>
      <c r="M120" s="17">
        <f t="shared" si="9"/>
        <v>7</v>
      </c>
      <c r="N120" s="18">
        <f t="shared" si="10"/>
        <v>0.75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22</v>
      </c>
      <c r="M121" s="17">
        <f t="shared" si="9"/>
        <v>6</v>
      </c>
      <c r="N121" s="18">
        <f t="shared" si="10"/>
        <v>0.7857142857142857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7</v>
      </c>
      <c r="M133" s="17">
        <f t="shared" ref="M133:M196" si="12">COUNTIF(O133:AP133,"APAGADO")</f>
        <v>21</v>
      </c>
      <c r="N133" s="18">
        <f t="shared" ref="N133:N196" si="13">(L133)/(M133+L133)</f>
        <v>0.25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8</v>
      </c>
      <c r="M135" s="17">
        <f t="shared" si="12"/>
        <v>20</v>
      </c>
      <c r="N135" s="18">
        <f t="shared" si="13"/>
        <v>0.2857142857142857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17</v>
      </c>
      <c r="M142" s="17">
        <f t="shared" si="12"/>
        <v>11</v>
      </c>
      <c r="N142" s="18">
        <f t="shared" si="13"/>
        <v>0.6071428571428571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18</v>
      </c>
      <c r="M143" s="17">
        <f t="shared" si="12"/>
        <v>10</v>
      </c>
      <c r="N143" s="18">
        <f t="shared" si="13"/>
        <v>0.6428571428571429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12</v>
      </c>
      <c r="M144" s="17">
        <f t="shared" si="12"/>
        <v>16</v>
      </c>
      <c r="N144" s="18">
        <f t="shared" si="13"/>
        <v>0.42857142857142855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7</v>
      </c>
      <c r="M166" s="17">
        <f t="shared" si="12"/>
        <v>21</v>
      </c>
      <c r="N166" s="18">
        <f t="shared" si="13"/>
        <v>0.25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7</v>
      </c>
      <c r="M177" s="17">
        <f t="shared" si="12"/>
        <v>21</v>
      </c>
      <c r="N177" s="18">
        <f t="shared" si="13"/>
        <v>0.25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7</v>
      </c>
      <c r="M191" s="17">
        <f t="shared" si="12"/>
        <v>21</v>
      </c>
      <c r="N191" s="18">
        <f t="shared" si="13"/>
        <v>0.25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7</v>
      </c>
      <c r="M192" s="17">
        <f t="shared" si="12"/>
        <v>21</v>
      </c>
      <c r="N192" s="18">
        <f t="shared" si="13"/>
        <v>0.25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12</v>
      </c>
      <c r="M194" s="17">
        <f t="shared" si="12"/>
        <v>16</v>
      </c>
      <c r="N194" s="18">
        <f t="shared" si="13"/>
        <v>0.42857142857142855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13</v>
      </c>
      <c r="M198" s="17">
        <f t="shared" si="15"/>
        <v>15</v>
      </c>
      <c r="N198" s="18">
        <f t="shared" si="16"/>
        <v>0.4642857142857143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7</v>
      </c>
      <c r="M206" s="17">
        <f t="shared" si="15"/>
        <v>21</v>
      </c>
      <c r="N206" s="18">
        <f t="shared" si="16"/>
        <v>0.25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9</v>
      </c>
      <c r="M211" s="17">
        <f t="shared" si="15"/>
        <v>19</v>
      </c>
      <c r="N211" s="18">
        <f t="shared" si="16"/>
        <v>0.32142857142857145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7</v>
      </c>
      <c r="M212" s="17">
        <f t="shared" si="15"/>
        <v>21</v>
      </c>
      <c r="N212" s="18">
        <f t="shared" si="16"/>
        <v>0.25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10</v>
      </c>
      <c r="M216" s="17">
        <f t="shared" si="15"/>
        <v>18</v>
      </c>
      <c r="N216" s="18">
        <f t="shared" si="16"/>
        <v>0.35714285714285715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8</v>
      </c>
      <c r="M217" s="17">
        <f t="shared" si="15"/>
        <v>20</v>
      </c>
      <c r="N217" s="18">
        <f t="shared" si="16"/>
        <v>0.2857142857142857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9</v>
      </c>
      <c r="M218" s="17">
        <f t="shared" si="15"/>
        <v>19</v>
      </c>
      <c r="N218" s="18">
        <f t="shared" si="16"/>
        <v>0.32142857142857145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9</v>
      </c>
      <c r="M219" s="17">
        <f t="shared" si="15"/>
        <v>19</v>
      </c>
      <c r="N219" s="18">
        <f t="shared" si="16"/>
        <v>0.32142857142857145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23</v>
      </c>
      <c r="M260" s="17">
        <f t="shared" si="15"/>
        <v>5</v>
      </c>
      <c r="N260" s="18">
        <f t="shared" si="16"/>
        <v>0.8214285714285714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18</v>
      </c>
      <c r="M263" s="17">
        <f t="shared" ref="M263:M326" si="18">COUNTIF(O263:AP263,"APAGADO")</f>
        <v>10</v>
      </c>
      <c r="N263" s="18">
        <f t="shared" ref="N263:N326" si="19">(L263)/(M263+L263)</f>
        <v>0.6428571428571429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18</v>
      </c>
      <c r="M264" s="17">
        <f t="shared" si="18"/>
        <v>10</v>
      </c>
      <c r="N264" s="18">
        <f t="shared" si="19"/>
        <v>0.6428571428571429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18</v>
      </c>
      <c r="M265" s="17">
        <f t="shared" si="18"/>
        <v>10</v>
      </c>
      <c r="N265" s="18">
        <f t="shared" si="19"/>
        <v>0.6428571428571429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18</v>
      </c>
      <c r="M266" s="17">
        <f t="shared" si="18"/>
        <v>10</v>
      </c>
      <c r="N266" s="18">
        <f t="shared" si="19"/>
        <v>0.6428571428571429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10</v>
      </c>
      <c r="M303" s="17">
        <f t="shared" si="18"/>
        <v>18</v>
      </c>
      <c r="N303" s="18">
        <f t="shared" si="19"/>
        <v>0.35714285714285715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7</v>
      </c>
      <c r="M352" s="17">
        <f t="shared" si="21"/>
        <v>21</v>
      </c>
      <c r="N352" s="18">
        <f t="shared" si="22"/>
        <v>0.25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21</v>
      </c>
      <c r="M359" s="17">
        <f t="shared" si="21"/>
        <v>7</v>
      </c>
      <c r="N359" s="18">
        <f t="shared" si="22"/>
        <v>0.75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20</v>
      </c>
      <c r="M360" s="17">
        <f t="shared" si="21"/>
        <v>8</v>
      </c>
      <c r="N360" s="18">
        <f t="shared" si="22"/>
        <v>0.7142857142857143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20</v>
      </c>
      <c r="M361" s="17">
        <f t="shared" si="21"/>
        <v>8</v>
      </c>
      <c r="N361" s="18">
        <f t="shared" si="22"/>
        <v>0.7142857142857143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20</v>
      </c>
      <c r="M362" s="17">
        <f t="shared" si="21"/>
        <v>8</v>
      </c>
      <c r="N362" s="18">
        <f t="shared" si="22"/>
        <v>0.7142857142857143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26</v>
      </c>
      <c r="M364" s="17">
        <f t="shared" si="21"/>
        <v>2</v>
      </c>
      <c r="N364" s="18">
        <f t="shared" si="22"/>
        <v>0.9285714285714286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101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102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98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102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99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102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99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3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99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101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99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102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99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102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99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102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99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3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99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101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99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102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0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102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102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3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101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102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102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102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3"/>
    </row>
    <row r="22" spans="1:5" ht="15.75" thickTop="1" x14ac:dyDescent="0.25">
      <c r="A22" s="72" t="s">
        <v>1350</v>
      </c>
      <c r="B22" s="83"/>
      <c r="C22" s="79"/>
      <c r="D22" s="76"/>
      <c r="E22" s="101">
        <v>44701</v>
      </c>
    </row>
    <row r="23" spans="1:5" x14ac:dyDescent="0.25">
      <c r="A23" s="73" t="s">
        <v>6</v>
      </c>
      <c r="B23" s="84"/>
      <c r="C23" s="80"/>
      <c r="D23" s="77"/>
      <c r="E23" s="102"/>
    </row>
    <row r="24" spans="1:5" x14ac:dyDescent="0.25">
      <c r="A24" s="73" t="s">
        <v>1352</v>
      </c>
      <c r="B24" s="84"/>
      <c r="C24" s="80"/>
      <c r="D24" s="77"/>
      <c r="E24" s="102"/>
    </row>
    <row r="25" spans="1:5" x14ac:dyDescent="0.25">
      <c r="A25" s="73" t="s">
        <v>1351</v>
      </c>
      <c r="B25" s="84"/>
      <c r="C25" s="80"/>
      <c r="D25" s="77"/>
      <c r="E25" s="102"/>
    </row>
    <row r="26" spans="1:5" ht="15.75" thickBot="1" x14ac:dyDescent="0.3">
      <c r="A26" s="74" t="s">
        <v>20</v>
      </c>
      <c r="B26" s="85"/>
      <c r="C26" s="81"/>
      <c r="D26" s="78"/>
      <c r="E26" s="103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2022-05-23T10:52:13Z</dcterms:modified>
</cp:coreProperties>
</file>