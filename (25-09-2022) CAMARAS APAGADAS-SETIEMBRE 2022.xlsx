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F53FF9C3-9C85-4983-B323-2B295415638A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2" l="1"/>
  <c r="AM2" i="2"/>
  <c r="AL2" i="2"/>
  <c r="AK2" i="2"/>
  <c r="AJ2" i="2"/>
  <c r="AI2" i="2"/>
  <c r="AH2" i="2"/>
  <c r="I375" i="2"/>
  <c r="H375" i="2"/>
  <c r="I374" i="2"/>
  <c r="H374" i="2"/>
  <c r="H376" i="2"/>
  <c r="I376" i="2"/>
  <c r="J376" i="2" s="1"/>
  <c r="H377" i="2"/>
  <c r="J377" i="2" s="1"/>
  <c r="I377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J375" i="2" l="1"/>
  <c r="J374" i="2"/>
  <c r="J255" i="2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1" i="2"/>
  <c r="I411" i="2"/>
  <c r="H412" i="2"/>
  <c r="I412" i="2"/>
  <c r="H94" i="2"/>
  <c r="I94" i="2"/>
  <c r="H95" i="2"/>
  <c r="I95" i="2"/>
  <c r="H96" i="2"/>
  <c r="I96" i="2"/>
  <c r="D38" i="24"/>
  <c r="C39" i="24"/>
  <c r="D39" i="24" s="1"/>
  <c r="J94" i="2" l="1"/>
  <c r="D49" i="24"/>
  <c r="D50" i="24"/>
  <c r="C51" i="24"/>
  <c r="D51" i="24" s="1"/>
  <c r="J412" i="2"/>
  <c r="J96" i="2"/>
  <c r="J411" i="2"/>
  <c r="J95" i="2"/>
  <c r="D44" i="24"/>
  <c r="C46" i="24"/>
  <c r="D46" i="24" s="1"/>
  <c r="D45" i="24"/>
  <c r="C40" i="24"/>
  <c r="D40" i="24" l="1"/>
  <c r="C41" i="24"/>
  <c r="D41" i="24" s="1"/>
  <c r="B1" i="2" l="1"/>
  <c r="F23" i="14" s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8" i="2"/>
  <c r="I398" i="2"/>
  <c r="H399" i="2"/>
  <c r="I399" i="2"/>
  <c r="H400" i="2"/>
  <c r="I400" i="2"/>
  <c r="H401" i="2"/>
  <c r="I401" i="2"/>
  <c r="H402" i="2"/>
  <c r="I402" i="2"/>
  <c r="H404" i="2"/>
  <c r="I404" i="2"/>
  <c r="H405" i="2"/>
  <c r="I405" i="2"/>
  <c r="H403" i="2"/>
  <c r="I403" i="2"/>
  <c r="H406" i="2"/>
  <c r="I406" i="2"/>
  <c r="H407" i="2"/>
  <c r="I407" i="2"/>
  <c r="H409" i="2"/>
  <c r="I409" i="2"/>
  <c r="H410" i="2"/>
  <c r="I410" i="2"/>
  <c r="H408" i="2"/>
  <c r="I408" i="2"/>
  <c r="H416" i="2"/>
  <c r="I416" i="2"/>
  <c r="H413" i="2"/>
  <c r="I413" i="2"/>
  <c r="H414" i="2"/>
  <c r="I414" i="2"/>
  <c r="H415" i="2"/>
  <c r="I415" i="2"/>
  <c r="I396" i="2"/>
  <c r="I397" i="2"/>
  <c r="H396" i="2"/>
  <c r="H39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82" i="2"/>
  <c r="H378" i="2"/>
  <c r="H379" i="2"/>
  <c r="H380" i="2"/>
  <c r="H381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7" i="2"/>
  <c r="D3" i="24"/>
  <c r="C4" i="24"/>
  <c r="D4" i="24" s="1"/>
  <c r="F21" i="14" l="1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6" i="2"/>
  <c r="J407" i="2"/>
  <c r="J39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4" i="2"/>
  <c r="J40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3" i="2"/>
  <c r="J40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5" i="2"/>
  <c r="J40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0" i="2"/>
  <c r="J40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3" i="2"/>
  <c r="J405" i="2"/>
  <c r="C5" i="24"/>
  <c r="J397" i="2"/>
  <c r="J396" i="2"/>
  <c r="I395" i="2"/>
  <c r="I394" i="2"/>
  <c r="I393" i="2"/>
  <c r="I392" i="2"/>
  <c r="I391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82" i="2"/>
  <c r="I378" i="2"/>
  <c r="I379" i="2"/>
  <c r="I380" i="2"/>
  <c r="I381" i="2"/>
  <c r="I383" i="2"/>
  <c r="I384" i="2"/>
  <c r="I385" i="2"/>
  <c r="I386" i="2"/>
  <c r="I387" i="2"/>
  <c r="I388" i="2"/>
  <c r="I389" i="2"/>
  <c r="J389" i="2" s="1"/>
  <c r="I390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8" i="2"/>
  <c r="J354" i="2"/>
  <c r="J366" i="2"/>
  <c r="J310" i="2"/>
  <c r="J304" i="2"/>
  <c r="J284" i="2"/>
  <c r="J269" i="2"/>
  <c r="J260" i="2"/>
  <c r="A368" i="9"/>
  <c r="AH128" i="21"/>
  <c r="J387" i="2"/>
  <c r="J362" i="2"/>
  <c r="H369" i="11"/>
  <c r="Y368" i="10"/>
  <c r="AH305" i="21"/>
  <c r="C367" i="9"/>
  <c r="J368" i="10"/>
  <c r="AG368" i="11"/>
  <c r="AH263" i="11"/>
  <c r="J390" i="2"/>
  <c r="J381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8" i="2"/>
  <c r="J272" i="2"/>
  <c r="J379" i="2"/>
  <c r="J273" i="2"/>
  <c r="J266" i="2"/>
  <c r="J312" i="2"/>
  <c r="J286" i="2"/>
  <c r="J275" i="2"/>
  <c r="J271" i="2"/>
  <c r="P369" i="11"/>
  <c r="J382" i="2"/>
  <c r="J364" i="2"/>
  <c r="J324" i="2"/>
  <c r="J334" i="2"/>
  <c r="J386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3" i="2"/>
  <c r="J373" i="2"/>
  <c r="J357" i="2"/>
  <c r="J371" i="2"/>
  <c r="J346" i="2"/>
  <c r="J330" i="2"/>
  <c r="J313" i="2"/>
  <c r="J287" i="2"/>
  <c r="J276" i="2"/>
  <c r="J278" i="2"/>
  <c r="J262" i="2"/>
  <c r="J392" i="2"/>
  <c r="M368" i="11"/>
  <c r="U368" i="11"/>
  <c r="AB369" i="11"/>
  <c r="AC367" i="9"/>
  <c r="J394" i="2"/>
  <c r="T368" i="9"/>
  <c r="J385" i="2"/>
  <c r="J360" i="2"/>
  <c r="J363" i="2"/>
  <c r="J323" i="2"/>
  <c r="J307" i="2"/>
  <c r="J281" i="2"/>
  <c r="J280" i="2"/>
  <c r="J265" i="2"/>
  <c r="J38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3" i="2"/>
  <c r="J391" i="2"/>
  <c r="J395" i="2"/>
  <c r="J319" i="2"/>
  <c r="J318" i="2"/>
  <c r="J316" i="2"/>
  <c r="J309" i="2"/>
  <c r="J380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B23" i="14"/>
  <c r="AC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23" i="14" l="1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<sst xmlns="http://schemas.openxmlformats.org/spreadsheetml/2006/main" count="3957" uniqueCount="1249">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</sst>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37</c:v>
                </c:pt>
                <c:pt idx="24">
                  <c:v>38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</c:v>
                      </c:pt>
                      <c:pt idx="1">
                        <c:v>0.22727272727272727</c:v>
                      </c:pt>
                      <c:pt idx="2">
                        <c:v>0.27272727272727271</c:v>
                      </c:pt>
                      <c:pt idx="3">
                        <c:v>0.25</c:v>
                      </c:pt>
                      <c:pt idx="4">
                        <c:v>0.12272727272727273</c:v>
                      </c:pt>
                      <c:pt idx="5">
                        <c:v>0.13181818181818181</c:v>
                      </c:pt>
                      <c:pt idx="6">
                        <c:v>7.7272727272727271E-2</c:v>
                      </c:pt>
                      <c:pt idx="7">
                        <c:v>8.1818181818181818E-2</c:v>
                      </c:pt>
                      <c:pt idx="8">
                        <c:v>0.1</c:v>
                      </c:pt>
                      <c:pt idx="9">
                        <c:v>9.0909090909090912E-2</c:v>
                      </c:pt>
                      <c:pt idx="10">
                        <c:v>0.1</c:v>
                      </c:pt>
                      <c:pt idx="11">
                        <c:v>9.5454545454545459E-2</c:v>
                      </c:pt>
                      <c:pt idx="12">
                        <c:v>0.10909090909090909</c:v>
                      </c:pt>
                      <c:pt idx="13">
                        <c:v>0.12272727272727273</c:v>
                      </c:pt>
                      <c:pt idx="14">
                        <c:v>0.13636363636363635</c:v>
                      </c:pt>
                      <c:pt idx="15">
                        <c:v>0.13181818181818181</c:v>
                      </c:pt>
                      <c:pt idx="16">
                        <c:v>0.13636363636363635</c:v>
                      </c:pt>
                      <c:pt idx="17">
                        <c:v>0.13181818181818181</c:v>
                      </c:pt>
                      <c:pt idx="18">
                        <c:v>0.12727272727272726</c:v>
                      </c:pt>
                      <c:pt idx="19">
                        <c:v>0.14545454545454545</c:v>
                      </c:pt>
                      <c:pt idx="20">
                        <c:v>0.15454545454545454</c:v>
                      </c:pt>
                      <c:pt idx="21">
                        <c:v>0.15</c:v>
                      </c:pt>
                      <c:pt idx="22">
                        <c:v>0.19090909090909092</c:v>
                      </c:pt>
                      <c:pt idx="23">
                        <c:v>0.16818181818181818</c:v>
                      </c:pt>
                      <c:pt idx="24">
                        <c:v>0.17272727272727273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3.1746031746031744E-2</c:v>
                      </c:pt>
                      <c:pt idx="1">
                        <c:v>1.5873015873015872E-2</c:v>
                      </c:pt>
                      <c:pt idx="2">
                        <c:v>0.13756613756613756</c:v>
                      </c:pt>
                      <c:pt idx="3">
                        <c:v>0.18518518518518517</c:v>
                      </c:pt>
                      <c:pt idx="4">
                        <c:v>5.8201058201058198E-2</c:v>
                      </c:pt>
                      <c:pt idx="5">
                        <c:v>1.5873015873015872E-2</c:v>
                      </c:pt>
                      <c:pt idx="6">
                        <c:v>2.1164021164021163E-2</c:v>
                      </c:pt>
                      <c:pt idx="7">
                        <c:v>1.5873015873015872E-2</c:v>
                      </c:pt>
                      <c:pt idx="8">
                        <c:v>7.9365079365079361E-2</c:v>
                      </c:pt>
                      <c:pt idx="9">
                        <c:v>3.7037037037037035E-2</c:v>
                      </c:pt>
                      <c:pt idx="10">
                        <c:v>5.2910052910052907E-2</c:v>
                      </c:pt>
                      <c:pt idx="11">
                        <c:v>2.6455026455026454E-2</c:v>
                      </c:pt>
                      <c:pt idx="12">
                        <c:v>2.6455026455026454E-2</c:v>
                      </c:pt>
                      <c:pt idx="13">
                        <c:v>3.7037037037037035E-2</c:v>
                      </c:pt>
                      <c:pt idx="14">
                        <c:v>7.407407407407407E-2</c:v>
                      </c:pt>
                      <c:pt idx="15">
                        <c:v>3.7037037037037035E-2</c:v>
                      </c:pt>
                      <c:pt idx="16">
                        <c:v>5.2910052910052907E-2</c:v>
                      </c:pt>
                      <c:pt idx="17">
                        <c:v>5.2910052910052907E-2</c:v>
                      </c:pt>
                      <c:pt idx="18">
                        <c:v>4.7619047619047616E-2</c:v>
                      </c:pt>
                      <c:pt idx="19">
                        <c:v>5.2910052910052907E-2</c:v>
                      </c:pt>
                      <c:pt idx="20">
                        <c:v>2.1164021164021163E-2</c:v>
                      </c:pt>
                      <c:pt idx="21">
                        <c:v>4.2328042328042326E-2</c:v>
                      </c:pt>
                      <c:pt idx="22">
                        <c:v>2.6455026455026454E-2</c:v>
                      </c:pt>
                      <c:pt idx="23">
                        <c:v>3.1746031746031744E-2</c:v>
                      </c:pt>
                      <c:pt idx="24">
                        <c:v>1.5873015873015872E-2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</c:v>
                </c:pt>
                <c:pt idx="1">
                  <c:v>0.22727272727272727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0.12272727272727273</c:v>
                </c:pt>
                <c:pt idx="5">
                  <c:v>0.13181818181818181</c:v>
                </c:pt>
                <c:pt idx="6">
                  <c:v>7.7272727272727271E-2</c:v>
                </c:pt>
                <c:pt idx="7">
                  <c:v>8.1818181818181818E-2</c:v>
                </c:pt>
                <c:pt idx="8">
                  <c:v>0.1</c:v>
                </c:pt>
                <c:pt idx="9">
                  <c:v>9.0909090909090912E-2</c:v>
                </c:pt>
                <c:pt idx="10">
                  <c:v>0.1</c:v>
                </c:pt>
                <c:pt idx="11">
                  <c:v>9.5454545454545459E-2</c:v>
                </c:pt>
                <c:pt idx="12">
                  <c:v>0.10909090909090909</c:v>
                </c:pt>
                <c:pt idx="13">
                  <c:v>0.12272727272727273</c:v>
                </c:pt>
                <c:pt idx="14">
                  <c:v>0.13636363636363635</c:v>
                </c:pt>
                <c:pt idx="15">
                  <c:v>0.13181818181818181</c:v>
                </c:pt>
                <c:pt idx="16">
                  <c:v>0.13636363636363635</c:v>
                </c:pt>
                <c:pt idx="17">
                  <c:v>0.13181818181818181</c:v>
                </c:pt>
                <c:pt idx="18">
                  <c:v>0.12727272727272726</c:v>
                </c:pt>
                <c:pt idx="19">
                  <c:v>0.14545454545454545</c:v>
                </c:pt>
                <c:pt idx="20">
                  <c:v>0.15454545454545454</c:v>
                </c:pt>
                <c:pt idx="21">
                  <c:v>0.15</c:v>
                </c:pt>
                <c:pt idx="22">
                  <c:v>0.19090909090909092</c:v>
                </c:pt>
                <c:pt idx="23">
                  <c:v>0.16818181818181818</c:v>
                </c:pt>
                <c:pt idx="24">
                  <c:v>0.17272727272727273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3.1746031746031744E-2</c:v>
                </c:pt>
                <c:pt idx="1">
                  <c:v>1.5873015873015872E-2</c:v>
                </c:pt>
                <c:pt idx="2">
                  <c:v>0.13756613756613756</c:v>
                </c:pt>
                <c:pt idx="3">
                  <c:v>0.18518518518518517</c:v>
                </c:pt>
                <c:pt idx="4">
                  <c:v>5.8201058201058198E-2</c:v>
                </c:pt>
                <c:pt idx="5">
                  <c:v>1.5873015873015872E-2</c:v>
                </c:pt>
                <c:pt idx="6">
                  <c:v>2.1164021164021163E-2</c:v>
                </c:pt>
                <c:pt idx="7">
                  <c:v>1.5873015873015872E-2</c:v>
                </c:pt>
                <c:pt idx="8">
                  <c:v>7.9365079365079361E-2</c:v>
                </c:pt>
                <c:pt idx="9">
                  <c:v>3.7037037037037035E-2</c:v>
                </c:pt>
                <c:pt idx="10">
                  <c:v>5.2910052910052907E-2</c:v>
                </c:pt>
                <c:pt idx="11">
                  <c:v>2.6455026455026454E-2</c:v>
                </c:pt>
                <c:pt idx="12">
                  <c:v>2.6455026455026454E-2</c:v>
                </c:pt>
                <c:pt idx="13">
                  <c:v>3.7037037037037035E-2</c:v>
                </c:pt>
                <c:pt idx="14">
                  <c:v>7.407407407407407E-2</c:v>
                </c:pt>
                <c:pt idx="15">
                  <c:v>3.7037037037037035E-2</c:v>
                </c:pt>
                <c:pt idx="16">
                  <c:v>5.2910052910052907E-2</c:v>
                </c:pt>
                <c:pt idx="17">
                  <c:v>5.2910052910052907E-2</c:v>
                </c:pt>
                <c:pt idx="18">
                  <c:v>4.7619047619047616E-2</c:v>
                </c:pt>
                <c:pt idx="19">
                  <c:v>5.2910052910052907E-2</c:v>
                </c:pt>
                <c:pt idx="20">
                  <c:v>2.1164021164021163E-2</c:v>
                </c:pt>
                <c:pt idx="21">
                  <c:v>4.2328042328042326E-2</c:v>
                </c:pt>
                <c:pt idx="22">
                  <c:v>2.6455026455026454E-2</c:v>
                </c:pt>
                <c:pt idx="23">
                  <c:v>3.1746031746031744E-2</c:v>
                </c:pt>
                <c:pt idx="24">
                  <c:v>1.5873015873015872E-2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37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7"/>
  <sheetViews>
    <sheetView tabSelected="1" zoomScale="80" zoomScaleNormal="80" workbookViewId="0">
      <pane xSplit="10" ySplit="4" topLeftCell="AI215" activePane="bottomRight" state="frozen"/>
      <selection pane="topRight" activeCell="M1" sqref="M1"/>
      <selection pane="bottomLeft" activeCell="A5" sqref="A5"/>
      <selection pane="bottomRight" activeCell="AI217" sqref="AI217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COUNTA(B5:B528)</f>
        <v>412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6.8459657701711488E-2</v>
      </c>
      <c r="L1" s="4">
        <f t="shared" si="0"/>
        <v>0.1295843520782396</v>
      </c>
      <c r="M1" s="4">
        <f t="shared" si="0"/>
        <v>0.21026894865525672</v>
      </c>
      <c r="N1" s="4">
        <f t="shared" si="0"/>
        <v>0.22004889975550121</v>
      </c>
      <c r="O1" s="4">
        <f t="shared" si="0"/>
        <v>9.2909535452322736E-2</v>
      </c>
      <c r="P1" s="4">
        <f t="shared" si="0"/>
        <v>7.823960880195599E-2</v>
      </c>
      <c r="Q1" s="4">
        <f t="shared" si="0"/>
        <v>5.1344743276283619E-2</v>
      </c>
      <c r="R1" s="4">
        <f t="shared" si="0"/>
        <v>5.1344743276283619E-2</v>
      </c>
      <c r="S1" s="4">
        <f t="shared" si="0"/>
        <v>9.0464547677261614E-2</v>
      </c>
      <c r="T1" s="4">
        <f t="shared" si="0"/>
        <v>6.6014669926650366E-2</v>
      </c>
      <c r="U1" s="4">
        <f t="shared" si="0"/>
        <v>7.823960880195599E-2</v>
      </c>
      <c r="V1" s="4">
        <f t="shared" si="0"/>
        <v>6.3569682151589244E-2</v>
      </c>
      <c r="W1" s="4">
        <f t="shared" si="0"/>
        <v>7.090464547677261E-2</v>
      </c>
      <c r="X1" s="4">
        <f t="shared" si="0"/>
        <v>8.3129584352078234E-2</v>
      </c>
      <c r="Y1" s="4">
        <f t="shared" si="0"/>
        <v>0.10757946210268948</v>
      </c>
      <c r="Z1" s="4">
        <f t="shared" si="0"/>
        <v>8.8019559902200492E-2</v>
      </c>
      <c r="AA1" s="4">
        <f t="shared" si="0"/>
        <v>9.7799511002444994E-2</v>
      </c>
      <c r="AB1" s="4">
        <f t="shared" si="0"/>
        <v>9.5354523227383858E-2</v>
      </c>
      <c r="AC1" s="4">
        <f t="shared" si="0"/>
        <v>9.0464547677261614E-2</v>
      </c>
      <c r="AD1" s="4">
        <f t="shared" si="0"/>
        <v>0.10268948655256724</v>
      </c>
      <c r="AE1" s="4">
        <f t="shared" si="0"/>
        <v>9.2909535452322736E-2</v>
      </c>
      <c r="AF1" s="4">
        <f t="shared" si="0"/>
        <v>9.9514563106796114E-2</v>
      </c>
      <c r="AG1" s="4">
        <f t="shared" si="0"/>
        <v>0.11407766990291263</v>
      </c>
      <c r="AH1" s="4">
        <f t="shared" si="0"/>
        <v>0.10436893203883495</v>
      </c>
      <c r="AI1" s="4">
        <f t="shared" si="0"/>
        <v>9.9514563106796114E-2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COUNTIF(K7:K415, "")</f>
        <v>381</v>
      </c>
      <c r="L2" s="10">
        <f t="shared" si="1"/>
        <v>356</v>
      </c>
      <c r="M2" s="10">
        <f t="shared" si="1"/>
        <v>323</v>
      </c>
      <c r="N2" s="10">
        <f t="shared" si="1"/>
        <v>319</v>
      </c>
      <c r="O2" s="10">
        <f t="shared" si="1"/>
        <v>371</v>
      </c>
      <c r="P2" s="10">
        <f t="shared" si="1"/>
        <v>377</v>
      </c>
      <c r="Q2" s="10">
        <f t="shared" si="1"/>
        <v>388</v>
      </c>
      <c r="R2" s="10">
        <f t="shared" si="1"/>
        <v>388</v>
      </c>
      <c r="S2" s="10">
        <f t="shared" si="1"/>
        <v>372</v>
      </c>
      <c r="T2" s="10">
        <f t="shared" si="1"/>
        <v>382</v>
      </c>
      <c r="U2" s="10">
        <f t="shared" si="1"/>
        <v>377</v>
      </c>
      <c r="V2" s="10">
        <f t="shared" si="1"/>
        <v>383</v>
      </c>
      <c r="W2" s="10">
        <f t="shared" si="1"/>
        <v>380</v>
      </c>
      <c r="X2" s="10">
        <f t="shared" si="1"/>
        <v>375</v>
      </c>
      <c r="Y2" s="10">
        <f t="shared" si="1"/>
        <v>365</v>
      </c>
      <c r="Z2" s="10">
        <f t="shared" si="1"/>
        <v>373</v>
      </c>
      <c r="AA2" s="10">
        <f t="shared" si="1"/>
        <v>369</v>
      </c>
      <c r="AB2" s="10">
        <f t="shared" si="1"/>
        <v>370</v>
      </c>
      <c r="AC2" s="10">
        <f t="shared" si="1"/>
        <v>372</v>
      </c>
      <c r="AD2" s="10">
        <f t="shared" si="1"/>
        <v>367</v>
      </c>
      <c r="AE2" s="10">
        <f t="shared" si="1"/>
        <v>371</v>
      </c>
      <c r="AF2" s="10">
        <f t="shared" ref="AF2:AG2" si="2">COUNTIF(AF5:AF416, "")</f>
        <v>371</v>
      </c>
      <c r="AG2" s="10">
        <f t="shared" si="2"/>
        <v>365</v>
      </c>
      <c r="AH2" s="10">
        <f t="shared" ref="AH2:AN2" si="3">COUNTIF(AH5:AH416, "")</f>
        <v>369</v>
      </c>
      <c r="AI2" s="10">
        <f t="shared" si="3"/>
        <v>371</v>
      </c>
      <c r="AJ2" s="10">
        <f t="shared" si="3"/>
        <v>412</v>
      </c>
      <c r="AK2" s="10">
        <f t="shared" si="3"/>
        <v>412</v>
      </c>
      <c r="AL2" s="10">
        <f t="shared" si="3"/>
        <v>412</v>
      </c>
      <c r="AM2" s="10">
        <f t="shared" si="3"/>
        <v>412</v>
      </c>
      <c r="AN2" s="10">
        <f t="shared" si="3"/>
        <v>412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4">COUNTIF(K4:K448, "apagado")</f>
        <v>28</v>
      </c>
      <c r="L3" s="14">
        <f t="shared" si="4"/>
        <v>53</v>
      </c>
      <c r="M3" s="14">
        <f t="shared" si="4"/>
        <v>86</v>
      </c>
      <c r="N3" s="14">
        <f t="shared" si="4"/>
        <v>90</v>
      </c>
      <c r="O3" s="14">
        <f t="shared" si="4"/>
        <v>38</v>
      </c>
      <c r="P3" s="14">
        <f t="shared" si="4"/>
        <v>32</v>
      </c>
      <c r="Q3" s="14">
        <f t="shared" si="4"/>
        <v>21</v>
      </c>
      <c r="R3" s="14">
        <f t="shared" si="4"/>
        <v>21</v>
      </c>
      <c r="S3" s="14">
        <f t="shared" si="4"/>
        <v>37</v>
      </c>
      <c r="T3" s="14">
        <f t="shared" si="4"/>
        <v>27</v>
      </c>
      <c r="U3" s="14">
        <f t="shared" si="4"/>
        <v>32</v>
      </c>
      <c r="V3" s="14">
        <f t="shared" si="4"/>
        <v>26</v>
      </c>
      <c r="W3" s="14">
        <f t="shared" si="4"/>
        <v>29</v>
      </c>
      <c r="X3" s="14">
        <f t="shared" si="4"/>
        <v>34</v>
      </c>
      <c r="Y3" s="14">
        <f t="shared" si="4"/>
        <v>44</v>
      </c>
      <c r="Z3" s="14">
        <f t="shared" si="4"/>
        <v>36</v>
      </c>
      <c r="AA3" s="14">
        <f t="shared" si="4"/>
        <v>40</v>
      </c>
      <c r="AB3" s="14">
        <f t="shared" si="4"/>
        <v>39</v>
      </c>
      <c r="AC3" s="14">
        <f t="shared" si="4"/>
        <v>37</v>
      </c>
      <c r="AD3" s="14">
        <f t="shared" si="4"/>
        <v>42</v>
      </c>
      <c r="AE3" s="14">
        <f t="shared" si="4"/>
        <v>38</v>
      </c>
      <c r="AF3" s="14">
        <f t="shared" si="4"/>
        <v>41</v>
      </c>
      <c r="AG3" s="14">
        <f t="shared" si="4"/>
        <v>47</v>
      </c>
      <c r="AH3" s="14">
        <f t="shared" si="4"/>
        <v>43</v>
      </c>
      <c r="AI3" s="14">
        <f t="shared" si="4"/>
        <v>41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27</v>
      </c>
      <c r="I7" s="16">
        <f t="shared" ref="I7:I51" si="5">COUNTIF(K7:AL7,"APAGADO")</f>
        <v>3</v>
      </c>
      <c r="J7" s="17">
        <f t="shared" ref="J7:J51" si="6">(H7)/(I7+H7)</f>
        <v>0.9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 t="s">
        <v>1199</v>
      </c>
      <c r="AI7" s="18" t="s">
        <v>1199</v>
      </c>
      <c r="AJ7" s="28"/>
      <c r="AK7" s="18"/>
      <c r="AL7" s="18"/>
      <c r="AM7" s="28"/>
      <c r="AN7" s="28"/>
    </row>
    <row r="8" spans="1:40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7">COUNTIF(K8:AN8,"")</f>
        <v>12</v>
      </c>
      <c r="I8" s="16">
        <f t="shared" si="5"/>
        <v>18</v>
      </c>
      <c r="J8" s="17">
        <f t="shared" si="6"/>
        <v>0.4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 t="s">
        <v>1199</v>
      </c>
      <c r="AI8" s="8" t="s">
        <v>1199</v>
      </c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5</v>
      </c>
      <c r="I9" s="16">
        <f>COUNTIF(K9:AL9,"APAGADO")</f>
        <v>25</v>
      </c>
      <c r="J9" s="17">
        <f>(H9)/(I9+H9)</f>
        <v>0.16666666666666666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 t="s">
        <v>1199</v>
      </c>
      <c r="AI9" s="8" t="s">
        <v>1199</v>
      </c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7"/>
        <v>27</v>
      </c>
      <c r="I10" s="16">
        <f t="shared" si="5"/>
        <v>3</v>
      </c>
      <c r="J10" s="17">
        <f t="shared" si="6"/>
        <v>0.9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 t="s">
        <v>1199</v>
      </c>
      <c r="AI10" s="8" t="s">
        <v>1199</v>
      </c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7"/>
        <v>27</v>
      </c>
      <c r="I12" s="16">
        <f t="shared" si="5"/>
        <v>3</v>
      </c>
      <c r="J12" s="17">
        <f t="shared" si="6"/>
        <v>0.9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 t="s">
        <v>1199</v>
      </c>
      <c r="AI12" s="8" t="s">
        <v>1199</v>
      </c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7"/>
        <v>27</v>
      </c>
      <c r="I13" s="16">
        <f t="shared" si="5"/>
        <v>3</v>
      </c>
      <c r="J13" s="17">
        <f t="shared" si="6"/>
        <v>0.9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 t="s">
        <v>1199</v>
      </c>
      <c r="AI13" s="8" t="s">
        <v>1199</v>
      </c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7"/>
        <v>5</v>
      </c>
      <c r="I14" s="16">
        <f t="shared" si="5"/>
        <v>25</v>
      </c>
      <c r="J14" s="17">
        <f t="shared" si="6"/>
        <v>0.16666666666666666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 t="s">
        <v>1199</v>
      </c>
      <c r="AI14" s="8" t="s">
        <v>1199</v>
      </c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7"/>
        <v>30</v>
      </c>
      <c r="I15" s="16">
        <f t="shared" si="5"/>
        <v>0</v>
      </c>
      <c r="J15" s="17">
        <f t="shared" si="6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7"/>
        <v>11</v>
      </c>
      <c r="I16" s="16">
        <f t="shared" si="5"/>
        <v>19</v>
      </c>
      <c r="J16" s="17">
        <f t="shared" si="6"/>
        <v>0.36666666666666664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 t="s">
        <v>1199</v>
      </c>
      <c r="AI16" s="8" t="s">
        <v>1199</v>
      </c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7"/>
        <v>28</v>
      </c>
      <c r="I17" s="16">
        <f t="shared" si="5"/>
        <v>2</v>
      </c>
      <c r="J17" s="17">
        <f t="shared" si="6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7"/>
        <v>28</v>
      </c>
      <c r="I18" s="16">
        <f t="shared" si="5"/>
        <v>2</v>
      </c>
      <c r="J18" s="17">
        <f t="shared" si="6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7"/>
        <v>30</v>
      </c>
      <c r="I19" s="16">
        <f t="shared" si="5"/>
        <v>0</v>
      </c>
      <c r="J19" s="17">
        <f t="shared" si="6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7"/>
        <v>30</v>
      </c>
      <c r="I20" s="16">
        <f t="shared" si="5"/>
        <v>0</v>
      </c>
      <c r="J20" s="17">
        <f t="shared" si="6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7"/>
        <v>30</v>
      </c>
      <c r="I22" s="16">
        <f t="shared" si="5"/>
        <v>0</v>
      </c>
      <c r="J22" s="17">
        <f t="shared" si="6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7"/>
        <v>26</v>
      </c>
      <c r="I23" s="16">
        <f t="shared" si="5"/>
        <v>4</v>
      </c>
      <c r="J23" s="17">
        <f t="shared" si="6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7"/>
        <v>30</v>
      </c>
      <c r="I24" s="16">
        <f t="shared" si="5"/>
        <v>0</v>
      </c>
      <c r="J24" s="17">
        <f t="shared" si="6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7"/>
        <v>30</v>
      </c>
      <c r="I25" s="16">
        <f t="shared" si="5"/>
        <v>0</v>
      </c>
      <c r="J25" s="17">
        <f t="shared" si="6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7"/>
        <v>30</v>
      </c>
      <c r="I26" s="16">
        <f t="shared" si="5"/>
        <v>0</v>
      </c>
      <c r="J26" s="17">
        <f t="shared" si="6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7"/>
        <v>30</v>
      </c>
      <c r="I27" s="16">
        <f t="shared" si="5"/>
        <v>0</v>
      </c>
      <c r="J27" s="17">
        <f t="shared" si="6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7"/>
        <v>30</v>
      </c>
      <c r="I30" s="16">
        <f t="shared" si="5"/>
        <v>0</v>
      </c>
      <c r="J30" s="17">
        <f t="shared" si="6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7"/>
        <v>30</v>
      </c>
      <c r="I31" s="16">
        <f t="shared" si="5"/>
        <v>0</v>
      </c>
      <c r="J31" s="17">
        <f t="shared" si="6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7"/>
        <v>30</v>
      </c>
      <c r="I32" s="16">
        <f t="shared" si="5"/>
        <v>0</v>
      </c>
      <c r="J32" s="17">
        <f t="shared" si="6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7"/>
        <v>28</v>
      </c>
      <c r="I33" s="16">
        <f t="shared" si="5"/>
        <v>2</v>
      </c>
      <c r="J33" s="17">
        <f t="shared" si="6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7"/>
        <v>30</v>
      </c>
      <c r="I34" s="16">
        <f t="shared" si="5"/>
        <v>0</v>
      </c>
      <c r="J34" s="17">
        <f t="shared" si="6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7"/>
        <v>29</v>
      </c>
      <c r="I35" s="16">
        <f t="shared" si="5"/>
        <v>1</v>
      </c>
      <c r="J35" s="17">
        <f t="shared" si="6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7"/>
        <v>30</v>
      </c>
      <c r="I36" s="16">
        <f t="shared" si="5"/>
        <v>0</v>
      </c>
      <c r="J36" s="17">
        <f t="shared" si="6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7"/>
        <v>29</v>
      </c>
      <c r="I37" s="16">
        <f t="shared" si="5"/>
        <v>1</v>
      </c>
      <c r="J37" s="17">
        <f t="shared" si="6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7"/>
        <v>30</v>
      </c>
      <c r="I38" s="16">
        <f t="shared" si="5"/>
        <v>0</v>
      </c>
      <c r="J38" s="17">
        <f t="shared" si="6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7"/>
        <v>30</v>
      </c>
      <c r="I39" s="16">
        <f t="shared" si="5"/>
        <v>0</v>
      </c>
      <c r="J39" s="17">
        <f t="shared" si="6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7"/>
        <v>24</v>
      </c>
      <c r="I40" s="16">
        <f t="shared" si="5"/>
        <v>6</v>
      </c>
      <c r="J40" s="17">
        <f t="shared" si="6"/>
        <v>0.8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 t="s">
        <v>1199</v>
      </c>
      <c r="AI40" s="8" t="s">
        <v>1199</v>
      </c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7"/>
        <v>28</v>
      </c>
      <c r="I41" s="16">
        <f t="shared" si="5"/>
        <v>2</v>
      </c>
      <c r="J41" s="17">
        <f t="shared" si="6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7"/>
        <v>8</v>
      </c>
      <c r="I42" s="16">
        <f t="shared" si="5"/>
        <v>22</v>
      </c>
      <c r="J42" s="17">
        <f t="shared" si="6"/>
        <v>0.26666666666666666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 t="s">
        <v>1199</v>
      </c>
      <c r="AI42" s="8" t="s">
        <v>1199</v>
      </c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7"/>
        <v>30</v>
      </c>
      <c r="I43" s="16">
        <f t="shared" si="5"/>
        <v>0</v>
      </c>
      <c r="J43" s="17">
        <f t="shared" si="6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7"/>
        <v>30</v>
      </c>
      <c r="I44" s="16">
        <f t="shared" si="5"/>
        <v>0</v>
      </c>
      <c r="J44" s="17">
        <f t="shared" si="6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7"/>
        <v>28</v>
      </c>
      <c r="I45" s="16">
        <f t="shared" si="5"/>
        <v>2</v>
      </c>
      <c r="J45" s="17">
        <f t="shared" si="6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7"/>
        <v>28</v>
      </c>
      <c r="I46" s="16">
        <f t="shared" si="5"/>
        <v>2</v>
      </c>
      <c r="J46" s="17">
        <f t="shared" si="6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7"/>
        <v>30</v>
      </c>
      <c r="I47" s="16">
        <f t="shared" si="5"/>
        <v>0</v>
      </c>
      <c r="J47" s="17">
        <f t="shared" si="6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7"/>
        <v>28</v>
      </c>
      <c r="I48" s="16">
        <f t="shared" si="5"/>
        <v>2</v>
      </c>
      <c r="J48" s="17">
        <f t="shared" si="6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7"/>
        <v>30</v>
      </c>
      <c r="I49" s="16">
        <f t="shared" si="5"/>
        <v>0</v>
      </c>
      <c r="J49" s="17">
        <f t="shared" si="6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7"/>
        <v>20</v>
      </c>
      <c r="I50" s="16">
        <f t="shared" si="5"/>
        <v>10</v>
      </c>
      <c r="J50" s="17">
        <f t="shared" si="6"/>
        <v>0.66666666666666663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7"/>
        <v>30</v>
      </c>
      <c r="I51" s="16">
        <f t="shared" si="5"/>
        <v>0</v>
      </c>
      <c r="J51" s="17">
        <f t="shared" si="6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7"/>
        <v>30</v>
      </c>
      <c r="I52" s="16">
        <f t="shared" ref="I52:I138" si="8">COUNTIF(K52:AL52,"APAGADO")</f>
        <v>0</v>
      </c>
      <c r="J52" s="17">
        <f t="shared" ref="J52:J138" si="9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10">COUNTIF(K54:AN54,"")</f>
        <v>30</v>
      </c>
      <c r="I54" s="16">
        <f t="shared" si="8"/>
        <v>0</v>
      </c>
      <c r="J54" s="17">
        <f t="shared" si="9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0"/>
        <v>30</v>
      </c>
      <c r="I55" s="16">
        <f t="shared" si="8"/>
        <v>0</v>
      </c>
      <c r="J55" s="17">
        <f t="shared" si="9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0"/>
        <v>30</v>
      </c>
      <c r="I56" s="16">
        <f t="shared" si="8"/>
        <v>0</v>
      </c>
      <c r="J56" s="17">
        <f t="shared" si="9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0"/>
        <v>29</v>
      </c>
      <c r="I57" s="16">
        <f t="shared" si="8"/>
        <v>1</v>
      </c>
      <c r="J57" s="17">
        <f t="shared" si="9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0"/>
        <v>30</v>
      </c>
      <c r="I58" s="16">
        <f t="shared" si="8"/>
        <v>0</v>
      </c>
      <c r="J58" s="17">
        <f t="shared" si="9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0"/>
        <v>30</v>
      </c>
      <c r="I59" s="16">
        <f t="shared" si="8"/>
        <v>0</v>
      </c>
      <c r="J59" s="17">
        <f t="shared" si="9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0"/>
        <v>27</v>
      </c>
      <c r="I60" s="16">
        <f t="shared" si="8"/>
        <v>3</v>
      </c>
      <c r="J60" s="17">
        <f t="shared" si="9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0"/>
        <v>30</v>
      </c>
      <c r="I61" s="16">
        <f t="shared" si="8"/>
        <v>0</v>
      </c>
      <c r="J61" s="17">
        <f t="shared" si="9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0"/>
        <v>30</v>
      </c>
      <c r="I62" s="16">
        <f t="shared" si="8"/>
        <v>0</v>
      </c>
      <c r="J62" s="17">
        <f t="shared" si="9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0"/>
        <v>5</v>
      </c>
      <c r="I63" s="16">
        <f t="shared" si="8"/>
        <v>25</v>
      </c>
      <c r="J63" s="17">
        <f t="shared" si="9"/>
        <v>0.16666666666666666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 t="s">
        <v>1199</v>
      </c>
      <c r="AI63" s="8" t="s">
        <v>1199</v>
      </c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0"/>
        <v>30</v>
      </c>
      <c r="I64" s="16">
        <f t="shared" si="8"/>
        <v>0</v>
      </c>
      <c r="J64" s="17">
        <f t="shared" si="9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0"/>
        <v>30</v>
      </c>
      <c r="I65" s="16">
        <f t="shared" si="8"/>
        <v>0</v>
      </c>
      <c r="J65" s="17">
        <f t="shared" si="9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0"/>
        <v>30</v>
      </c>
      <c r="I68" s="16">
        <f t="shared" si="8"/>
        <v>0</v>
      </c>
      <c r="J68" s="17">
        <f t="shared" si="9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1">COUNTIF(K69:AN69,"")</f>
        <v>27</v>
      </c>
      <c r="I69" s="16">
        <f t="shared" ref="I69:I74" si="12">COUNTIF(K69:AL69,"APAGADO")</f>
        <v>3</v>
      </c>
      <c r="J69" s="17">
        <f t="shared" ref="J69:J74" si="13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1"/>
        <v>29</v>
      </c>
      <c r="I70" s="16">
        <f t="shared" si="12"/>
        <v>1</v>
      </c>
      <c r="J70" s="17">
        <f t="shared" si="13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1"/>
        <v>27</v>
      </c>
      <c r="I71" s="16">
        <f t="shared" si="12"/>
        <v>3</v>
      </c>
      <c r="J71" s="17">
        <f t="shared" si="13"/>
        <v>0.9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1"/>
        <v>30</v>
      </c>
      <c r="I72" s="16">
        <f t="shared" si="12"/>
        <v>0</v>
      </c>
      <c r="J72" s="17">
        <f t="shared" si="13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1"/>
        <v>30</v>
      </c>
      <c r="I73" s="16">
        <f t="shared" si="12"/>
        <v>0</v>
      </c>
      <c r="J73" s="17">
        <f t="shared" si="13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1"/>
        <v>30</v>
      </c>
      <c r="I74" s="16">
        <f t="shared" si="12"/>
        <v>0</v>
      </c>
      <c r="J74" s="17">
        <f t="shared" si="13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0"/>
        <v>30</v>
      </c>
      <c r="I75" s="16">
        <f t="shared" si="8"/>
        <v>0</v>
      </c>
      <c r="J75" s="17">
        <f t="shared" si="9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0"/>
        <v>30</v>
      </c>
      <c r="I78" s="16">
        <f t="shared" si="8"/>
        <v>0</v>
      </c>
      <c r="J78" s="17">
        <f t="shared" si="9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0"/>
        <v>30</v>
      </c>
      <c r="I79" s="16">
        <f t="shared" si="8"/>
        <v>0</v>
      </c>
      <c r="J79" s="17">
        <f t="shared" si="9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0"/>
        <v>30</v>
      </c>
      <c r="I80" s="16">
        <f t="shared" si="8"/>
        <v>0</v>
      </c>
      <c r="J80" s="17">
        <f t="shared" si="9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20</v>
      </c>
      <c r="I81" s="16">
        <f>COUNTIF(K81:AL81,"APAGADO")</f>
        <v>10</v>
      </c>
      <c r="J81" s="17">
        <f>(H81)/(I81+H81)</f>
        <v>0.66666666666666663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0"/>
        <v>20</v>
      </c>
      <c r="I82" s="16">
        <f t="shared" si="8"/>
        <v>10</v>
      </c>
      <c r="J82" s="17">
        <f t="shared" si="9"/>
        <v>0.66666666666666663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0"/>
        <v>30</v>
      </c>
      <c r="I83" s="16">
        <f t="shared" si="8"/>
        <v>0</v>
      </c>
      <c r="J83" s="17">
        <f t="shared" si="9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0"/>
        <v>30</v>
      </c>
      <c r="I84" s="16">
        <f t="shared" si="8"/>
        <v>0</v>
      </c>
      <c r="J84" s="17">
        <f t="shared" si="9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0"/>
        <v>30</v>
      </c>
      <c r="I85" s="16">
        <f t="shared" si="8"/>
        <v>0</v>
      </c>
      <c r="J85" s="17">
        <f t="shared" si="9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5</v>
      </c>
      <c r="I88" s="16">
        <f>COUNTIF(K88:AL88,"APAGADO")</f>
        <v>25</v>
      </c>
      <c r="J88" s="17">
        <f>(H88)/(I88+H88)</f>
        <v>0.16666666666666666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 t="s">
        <v>1199</v>
      </c>
      <c r="AI88" s="8" t="s">
        <v>1199</v>
      </c>
      <c r="AJ88" s="26"/>
      <c r="AK88" s="8"/>
      <c r="AL88" s="8"/>
      <c r="AM88" s="26"/>
      <c r="AN88" s="26"/>
    </row>
    <row r="89" spans="1:40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0"/>
        <v>28</v>
      </c>
      <c r="I89" s="16">
        <f t="shared" si="8"/>
        <v>2</v>
      </c>
      <c r="J89" s="17">
        <f t="shared" si="9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0"/>
        <v>30</v>
      </c>
      <c r="I90" s="16">
        <f t="shared" si="8"/>
        <v>0</v>
      </c>
      <c r="J90" s="17">
        <f t="shared" si="9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.75" thickBot="1" x14ac:dyDescent="0.3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10"/>
        <v>30</v>
      </c>
      <c r="I93" s="52">
        <f t="shared" si="8"/>
        <v>0</v>
      </c>
      <c r="J93" s="53">
        <f t="shared" si="9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.75" thickBot="1" x14ac:dyDescent="0.3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4">COUNTIF(K94:AN94,"")</f>
        <v>30</v>
      </c>
      <c r="I94" s="52">
        <f t="shared" ref="I94:I96" si="15">COUNTIF(K94:AL94,"APAGADO")</f>
        <v>0</v>
      </c>
      <c r="J94" s="53">
        <f t="shared" ref="J94:J96" si="16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.75" thickBot="1" x14ac:dyDescent="0.3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4"/>
        <v>25</v>
      </c>
      <c r="I95" s="52">
        <f t="shared" si="15"/>
        <v>5</v>
      </c>
      <c r="J95" s="53">
        <f t="shared" si="16"/>
        <v>0.83333333333333337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 t="s">
        <v>1199</v>
      </c>
      <c r="AI95" s="26" t="s">
        <v>1199</v>
      </c>
      <c r="AJ95" s="26"/>
      <c r="AK95" s="26"/>
      <c r="AL95" s="26"/>
      <c r="AM95" s="26"/>
      <c r="AN95" s="26"/>
    </row>
    <row r="96" spans="1:40" ht="15.75" thickBot="1" x14ac:dyDescent="0.3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4"/>
        <v>25</v>
      </c>
      <c r="I96" s="52">
        <f t="shared" si="15"/>
        <v>5</v>
      </c>
      <c r="J96" s="53">
        <f t="shared" si="16"/>
        <v>0.83333333333333337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 t="s">
        <v>1199</v>
      </c>
      <c r="AI96" s="26" t="s">
        <v>1199</v>
      </c>
      <c r="AJ96" s="26"/>
      <c r="AK96" s="26"/>
      <c r="AL96" s="26"/>
      <c r="AM96" s="26"/>
      <c r="AN96" s="26"/>
    </row>
    <row r="97" spans="1:40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0"/>
        <v>30</v>
      </c>
      <c r="I97" s="16">
        <f t="shared" si="8"/>
        <v>0</v>
      </c>
      <c r="J97" s="17">
        <f t="shared" si="9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0"/>
        <v>30</v>
      </c>
      <c r="I98" s="16">
        <f t="shared" si="8"/>
        <v>0</v>
      </c>
      <c r="J98" s="17">
        <f t="shared" si="9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0"/>
        <v>30</v>
      </c>
      <c r="I99" s="16">
        <f t="shared" si="8"/>
        <v>0</v>
      </c>
      <c r="J99" s="17">
        <f t="shared" si="9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0"/>
        <v>24</v>
      </c>
      <c r="I100" s="16">
        <f t="shared" si="8"/>
        <v>6</v>
      </c>
      <c r="J100" s="17">
        <f t="shared" si="9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0"/>
        <v>30</v>
      </c>
      <c r="I101" s="16">
        <f t="shared" si="8"/>
        <v>0</v>
      </c>
      <c r="J101" s="17">
        <f t="shared" si="9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0"/>
        <v>30</v>
      </c>
      <c r="I102" s="16">
        <f t="shared" si="8"/>
        <v>0</v>
      </c>
      <c r="J102" s="17">
        <f t="shared" si="9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0"/>
        <v>30</v>
      </c>
      <c r="I103" s="16">
        <f t="shared" si="8"/>
        <v>0</v>
      </c>
      <c r="J103" s="17">
        <f t="shared" si="9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0"/>
        <v>30</v>
      </c>
      <c r="I105" s="16">
        <f t="shared" si="8"/>
        <v>0</v>
      </c>
      <c r="J105" s="17">
        <f t="shared" si="9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0"/>
        <v>30</v>
      </c>
      <c r="I106" s="16">
        <f t="shared" si="8"/>
        <v>0</v>
      </c>
      <c r="J106" s="17">
        <f t="shared" si="9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0"/>
        <v>28</v>
      </c>
      <c r="I107" s="16">
        <f t="shared" si="8"/>
        <v>2</v>
      </c>
      <c r="J107" s="17">
        <f t="shared" si="9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0"/>
        <v>28</v>
      </c>
      <c r="I108" s="16">
        <f t="shared" si="8"/>
        <v>2</v>
      </c>
      <c r="J108" s="17">
        <f t="shared" si="9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.75" thickBot="1" x14ac:dyDescent="0.3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7">COUNTIF(K109:AN109,"")</f>
        <v>30</v>
      </c>
      <c r="I109" s="52">
        <f t="shared" ref="I109:I110" si="18">COUNTIF(K109:AL109,"APAGADO")</f>
        <v>0</v>
      </c>
      <c r="J109" s="53">
        <f t="shared" ref="J109:J110" si="19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.75" thickBot="1" x14ac:dyDescent="0.3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7"/>
        <v>30</v>
      </c>
      <c r="I110" s="52">
        <f t="shared" si="18"/>
        <v>0</v>
      </c>
      <c r="J110" s="53">
        <f t="shared" si="19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0"/>
        <v>30</v>
      </c>
      <c r="I111" s="16">
        <f t="shared" si="8"/>
        <v>0</v>
      </c>
      <c r="J111" s="17">
        <f t="shared" si="9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0"/>
        <v>30</v>
      </c>
      <c r="I112" s="16">
        <f t="shared" si="8"/>
        <v>0</v>
      </c>
      <c r="J112" s="17">
        <f t="shared" si="9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0"/>
        <v>30</v>
      </c>
      <c r="I113" s="16">
        <f t="shared" si="8"/>
        <v>0</v>
      </c>
      <c r="J113" s="17">
        <f t="shared" si="9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0"/>
        <v>30</v>
      </c>
      <c r="I114" s="16">
        <f t="shared" si="8"/>
        <v>0</v>
      </c>
      <c r="J114" s="17">
        <f t="shared" si="9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0"/>
        <v>28</v>
      </c>
      <c r="I115" s="16">
        <f t="shared" si="8"/>
        <v>2</v>
      </c>
      <c r="J115" s="17">
        <f t="shared" si="9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0"/>
        <v>30</v>
      </c>
      <c r="I116" s="16">
        <f t="shared" si="8"/>
        <v>0</v>
      </c>
      <c r="J116" s="17">
        <f t="shared" si="9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0"/>
        <v>30</v>
      </c>
      <c r="I117" s="16">
        <f t="shared" si="8"/>
        <v>0</v>
      </c>
      <c r="J117" s="17">
        <f t="shared" si="9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0"/>
        <v>28</v>
      </c>
      <c r="I118" s="16">
        <f t="shared" si="8"/>
        <v>2</v>
      </c>
      <c r="J118" s="17">
        <f t="shared" si="9"/>
        <v>0.93333333333333335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0"/>
        <v>30</v>
      </c>
      <c r="I119" s="16">
        <f t="shared" si="8"/>
        <v>0</v>
      </c>
      <c r="J119" s="17">
        <f t="shared" si="9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0"/>
        <v>30</v>
      </c>
      <c r="I120" s="16">
        <f t="shared" si="8"/>
        <v>0</v>
      </c>
      <c r="J120" s="17">
        <f t="shared" si="9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0"/>
        <v>30</v>
      </c>
      <c r="I121" s="16">
        <f t="shared" si="8"/>
        <v>0</v>
      </c>
      <c r="J121" s="17">
        <f t="shared" si="9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0"/>
        <v>21</v>
      </c>
      <c r="I122" s="16">
        <f t="shared" si="8"/>
        <v>9</v>
      </c>
      <c r="J122" s="17">
        <f t="shared" si="9"/>
        <v>0.7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0"/>
        <v>30</v>
      </c>
      <c r="I123" s="16">
        <f t="shared" si="8"/>
        <v>0</v>
      </c>
      <c r="J123" s="17">
        <f t="shared" si="9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0"/>
        <v>30</v>
      </c>
      <c r="I124" s="16">
        <f t="shared" si="8"/>
        <v>0</v>
      </c>
      <c r="J124" s="17">
        <f t="shared" si="9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0"/>
        <v>30</v>
      </c>
      <c r="I125" s="16">
        <f t="shared" si="8"/>
        <v>0</v>
      </c>
      <c r="J125" s="17">
        <f t="shared" si="9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0"/>
        <v>30</v>
      </c>
      <c r="I126" s="16">
        <f t="shared" si="8"/>
        <v>0</v>
      </c>
      <c r="J126" s="17">
        <f t="shared" si="9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10"/>
        <v>30</v>
      </c>
      <c r="I127" s="16">
        <f t="shared" si="8"/>
        <v>0</v>
      </c>
      <c r="J127" s="17">
        <f t="shared" si="9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10"/>
        <v>29</v>
      </c>
      <c r="I128" s="16">
        <f t="shared" si="8"/>
        <v>1</v>
      </c>
      <c r="J128" s="17">
        <f t="shared" si="9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10"/>
        <v>30</v>
      </c>
      <c r="I129" s="16">
        <f t="shared" si="8"/>
        <v>0</v>
      </c>
      <c r="J129" s="17">
        <f t="shared" si="9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10"/>
        <v>30</v>
      </c>
      <c r="I130" s="16">
        <f t="shared" si="8"/>
        <v>0</v>
      </c>
      <c r="J130" s="17">
        <f t="shared" si="9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10"/>
        <v>25</v>
      </c>
      <c r="I131" s="16">
        <f t="shared" si="8"/>
        <v>5</v>
      </c>
      <c r="J131" s="17">
        <f t="shared" si="9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10"/>
        <v>30</v>
      </c>
      <c r="I132" s="16">
        <f t="shared" si="8"/>
        <v>0</v>
      </c>
      <c r="J132" s="17">
        <f t="shared" si="9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10"/>
        <v>30</v>
      </c>
      <c r="I133" s="16">
        <f t="shared" si="8"/>
        <v>0</v>
      </c>
      <c r="J133" s="17">
        <f t="shared" si="9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10"/>
        <v>30</v>
      </c>
      <c r="I134" s="16">
        <f t="shared" si="8"/>
        <v>0</v>
      </c>
      <c r="J134" s="17">
        <f t="shared" si="9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10"/>
        <v>30</v>
      </c>
      <c r="I137" s="16">
        <f t="shared" si="8"/>
        <v>0</v>
      </c>
      <c r="J137" s="17">
        <f t="shared" si="9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10"/>
        <v>29</v>
      </c>
      <c r="I138" s="16">
        <f t="shared" si="8"/>
        <v>1</v>
      </c>
      <c r="J138" s="17">
        <f t="shared" si="9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10"/>
        <v>30</v>
      </c>
      <c r="I139" s="16">
        <f t="shared" ref="I139:I202" si="20">COUNTIF(K139:AL139,"APAGADO")</f>
        <v>0</v>
      </c>
      <c r="J139" s="17">
        <f t="shared" ref="J139:J202" si="21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2">COUNTIF(K140:AN140,"")</f>
        <v>8</v>
      </c>
      <c r="I140" s="16">
        <f t="shared" si="20"/>
        <v>22</v>
      </c>
      <c r="J140" s="17">
        <f t="shared" si="21"/>
        <v>0.26666666666666666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 t="s">
        <v>1199</v>
      </c>
      <c r="AI140" s="8" t="s">
        <v>1199</v>
      </c>
      <c r="AJ140" s="26"/>
      <c r="AK140" s="8"/>
      <c r="AL140" s="8"/>
      <c r="AM140" s="26"/>
      <c r="AN140" s="26"/>
    </row>
    <row r="141" spans="1:40" ht="15.75" thickBot="1" x14ac:dyDescent="0.3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2"/>
        <v>30</v>
      </c>
      <c r="I141" s="16">
        <f t="shared" si="20"/>
        <v>0</v>
      </c>
      <c r="J141" s="17">
        <f t="shared" si="21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2"/>
        <v>30</v>
      </c>
      <c r="I142" s="16">
        <f t="shared" si="20"/>
        <v>0</v>
      </c>
      <c r="J142" s="17">
        <f t="shared" si="21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2"/>
        <v>29</v>
      </c>
      <c r="I143" s="16">
        <f t="shared" si="20"/>
        <v>1</v>
      </c>
      <c r="J143" s="17">
        <f t="shared" si="21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2"/>
        <v>28</v>
      </c>
      <c r="I144" s="16">
        <f t="shared" si="20"/>
        <v>2</v>
      </c>
      <c r="J144" s="17">
        <f t="shared" si="21"/>
        <v>0.93333333333333335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 t="s">
        <v>1199</v>
      </c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2"/>
        <v>30</v>
      </c>
      <c r="I145" s="16">
        <f t="shared" si="20"/>
        <v>0</v>
      </c>
      <c r="J145" s="17">
        <f t="shared" si="2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2"/>
        <v>30</v>
      </c>
      <c r="I146" s="16">
        <f t="shared" si="20"/>
        <v>0</v>
      </c>
      <c r="J146" s="17">
        <f t="shared" si="2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2"/>
        <v>28</v>
      </c>
      <c r="I147" s="16">
        <f t="shared" si="20"/>
        <v>2</v>
      </c>
      <c r="J147" s="17">
        <f t="shared" si="21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2"/>
        <v>28</v>
      </c>
      <c r="I148" s="16">
        <f t="shared" si="20"/>
        <v>2</v>
      </c>
      <c r="J148" s="17">
        <f t="shared" si="21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2"/>
        <v>28</v>
      </c>
      <c r="I149" s="16">
        <f t="shared" si="20"/>
        <v>2</v>
      </c>
      <c r="J149" s="17">
        <f t="shared" si="21"/>
        <v>0.93333333333333335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2"/>
        <v>30</v>
      </c>
      <c r="I150" s="16">
        <f t="shared" si="20"/>
        <v>0</v>
      </c>
      <c r="J150" s="17">
        <f t="shared" si="2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2"/>
        <v>30</v>
      </c>
      <c r="I151" s="16">
        <f t="shared" si="20"/>
        <v>0</v>
      </c>
      <c r="J151" s="17">
        <f t="shared" si="2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2"/>
        <v>30</v>
      </c>
      <c r="I152" s="16">
        <f t="shared" si="20"/>
        <v>0</v>
      </c>
      <c r="J152" s="17">
        <f t="shared" si="2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2"/>
        <v>30</v>
      </c>
      <c r="I153" s="16">
        <f t="shared" si="20"/>
        <v>0</v>
      </c>
      <c r="J153" s="17">
        <f t="shared" si="2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2"/>
        <v>30</v>
      </c>
      <c r="I154" s="16">
        <f t="shared" si="20"/>
        <v>0</v>
      </c>
      <c r="J154" s="17">
        <f t="shared" si="21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2"/>
        <v>30</v>
      </c>
      <c r="I155" s="16">
        <f t="shared" si="20"/>
        <v>0</v>
      </c>
      <c r="J155" s="17">
        <f t="shared" si="21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2"/>
        <v>30</v>
      </c>
      <c r="I156" s="16">
        <f t="shared" si="20"/>
        <v>0</v>
      </c>
      <c r="J156" s="17">
        <f t="shared" si="21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2"/>
        <v>27</v>
      </c>
      <c r="I157" s="16">
        <f t="shared" si="20"/>
        <v>3</v>
      </c>
      <c r="J157" s="17">
        <f t="shared" si="21"/>
        <v>0.9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 t="s">
        <v>1199</v>
      </c>
      <c r="AH157" s="8" t="s">
        <v>1199</v>
      </c>
      <c r="AI157" s="8" t="s">
        <v>1199</v>
      </c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2"/>
        <v>16</v>
      </c>
      <c r="I158" s="16">
        <f t="shared" si="20"/>
        <v>14</v>
      </c>
      <c r="J158" s="17">
        <f t="shared" si="21"/>
        <v>0.53333333333333333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 t="s">
        <v>1199</v>
      </c>
      <c r="AH158" s="8" t="s">
        <v>1199</v>
      </c>
      <c r="AI158" s="8" t="s">
        <v>1199</v>
      </c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2"/>
        <v>30</v>
      </c>
      <c r="I159" s="16">
        <f t="shared" si="20"/>
        <v>0</v>
      </c>
      <c r="J159" s="17">
        <f t="shared" si="21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2"/>
        <v>14</v>
      </c>
      <c r="I160" s="16">
        <f t="shared" si="20"/>
        <v>16</v>
      </c>
      <c r="J160" s="17">
        <f t="shared" si="21"/>
        <v>0.46666666666666667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 t="s">
        <v>1199</v>
      </c>
      <c r="AH160" s="8" t="s">
        <v>1199</v>
      </c>
      <c r="AI160" s="8" t="s">
        <v>1199</v>
      </c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2"/>
        <v>14</v>
      </c>
      <c r="I161" s="16">
        <f t="shared" si="20"/>
        <v>16</v>
      </c>
      <c r="J161" s="17">
        <f t="shared" si="21"/>
        <v>0.46666666666666667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 t="s">
        <v>1199</v>
      </c>
      <c r="AH161" s="8" t="s">
        <v>1199</v>
      </c>
      <c r="AI161" s="8" t="s">
        <v>1199</v>
      </c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2"/>
        <v>6</v>
      </c>
      <c r="I162" s="16">
        <f t="shared" si="20"/>
        <v>24</v>
      </c>
      <c r="J162" s="17">
        <f t="shared" si="21"/>
        <v>0.2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 t="s">
        <v>1199</v>
      </c>
      <c r="AI162" s="8" t="s">
        <v>1199</v>
      </c>
      <c r="AJ162" s="26"/>
      <c r="AK162" s="8"/>
      <c r="AL162" s="8"/>
      <c r="AM162" s="26"/>
      <c r="AN162" s="26"/>
    </row>
    <row r="163" spans="1:40" ht="15.75" thickBot="1" x14ac:dyDescent="0.3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2"/>
        <v>24</v>
      </c>
      <c r="I163" s="16">
        <f t="shared" si="20"/>
        <v>6</v>
      </c>
      <c r="J163" s="17">
        <f t="shared" si="21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2"/>
        <v>6</v>
      </c>
      <c r="I164" s="16">
        <f t="shared" si="20"/>
        <v>24</v>
      </c>
      <c r="J164" s="17">
        <f t="shared" si="21"/>
        <v>0.2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 t="s">
        <v>1199</v>
      </c>
      <c r="AI164" s="8" t="s">
        <v>1199</v>
      </c>
      <c r="AJ164" s="26"/>
      <c r="AK164" s="8"/>
      <c r="AL164" s="8"/>
      <c r="AM164" s="26"/>
      <c r="AN164" s="26"/>
    </row>
    <row r="165" spans="1:40" ht="15.75" thickBot="1" x14ac:dyDescent="0.3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2"/>
        <v>28</v>
      </c>
      <c r="I165" s="16">
        <f t="shared" si="20"/>
        <v>2</v>
      </c>
      <c r="J165" s="17">
        <f t="shared" si="21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2"/>
        <v>30</v>
      </c>
      <c r="I166" s="16">
        <f t="shared" si="20"/>
        <v>0</v>
      </c>
      <c r="J166" s="17">
        <f t="shared" si="21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2"/>
        <v>16</v>
      </c>
      <c r="I167" s="16">
        <f t="shared" si="20"/>
        <v>14</v>
      </c>
      <c r="J167" s="17">
        <f t="shared" si="21"/>
        <v>0.53333333333333333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 t="s">
        <v>1199</v>
      </c>
      <c r="AH167" s="8" t="s">
        <v>1199</v>
      </c>
      <c r="AI167" s="8" t="s">
        <v>1199</v>
      </c>
      <c r="AJ167" s="26"/>
      <c r="AK167" s="8"/>
      <c r="AL167" s="8"/>
      <c r="AM167" s="26"/>
      <c r="AN167" s="26"/>
    </row>
    <row r="168" spans="1:40" ht="15.75" thickBot="1" x14ac:dyDescent="0.3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2"/>
        <v>11</v>
      </c>
      <c r="I168" s="16">
        <f t="shared" si="20"/>
        <v>19</v>
      </c>
      <c r="J168" s="17">
        <f t="shared" si="21"/>
        <v>0.36666666666666664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 t="s">
        <v>1199</v>
      </c>
      <c r="AI168" s="8" t="s">
        <v>1199</v>
      </c>
      <c r="AJ168" s="26"/>
      <c r="AK168" s="8"/>
      <c r="AL168" s="8"/>
      <c r="AM168" s="26"/>
      <c r="AN168" s="26"/>
    </row>
    <row r="169" spans="1:40" ht="15.75" thickBot="1" x14ac:dyDescent="0.3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2"/>
        <v>5</v>
      </c>
      <c r="I169" s="16">
        <f t="shared" si="20"/>
        <v>25</v>
      </c>
      <c r="J169" s="17">
        <f t="shared" si="21"/>
        <v>0.16666666666666666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 t="s">
        <v>1199</v>
      </c>
      <c r="AH169" s="8" t="s">
        <v>1199</v>
      </c>
      <c r="AI169" s="8" t="s">
        <v>1199</v>
      </c>
      <c r="AJ169" s="26"/>
      <c r="AK169" s="8"/>
      <c r="AL169" s="8"/>
      <c r="AM169" s="26"/>
      <c r="AN169" s="26"/>
    </row>
    <row r="170" spans="1:40" ht="15.75" thickBot="1" x14ac:dyDescent="0.3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2"/>
        <v>30</v>
      </c>
      <c r="I170" s="16">
        <f t="shared" si="20"/>
        <v>0</v>
      </c>
      <c r="J170" s="17">
        <f t="shared" si="2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2"/>
        <v>28</v>
      </c>
      <c r="I171" s="16">
        <f t="shared" si="20"/>
        <v>2</v>
      </c>
      <c r="J171" s="17">
        <f t="shared" si="21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2"/>
        <v>5</v>
      </c>
      <c r="I172" s="16">
        <f t="shared" si="20"/>
        <v>25</v>
      </c>
      <c r="J172" s="17">
        <f t="shared" si="21"/>
        <v>0.16666666666666666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 t="s">
        <v>1199</v>
      </c>
      <c r="AI172" s="8" t="s">
        <v>1199</v>
      </c>
      <c r="AJ172" s="26"/>
      <c r="AK172" s="8"/>
      <c r="AL172" s="8"/>
      <c r="AM172" s="26"/>
      <c r="AN172" s="26"/>
    </row>
    <row r="173" spans="1:40" ht="15.75" thickBot="1" x14ac:dyDescent="0.3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2"/>
        <v>30</v>
      </c>
      <c r="I173" s="16">
        <f t="shared" si="20"/>
        <v>0</v>
      </c>
      <c r="J173" s="17">
        <f t="shared" si="2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2"/>
        <v>30</v>
      </c>
      <c r="I174" s="16">
        <f t="shared" si="20"/>
        <v>0</v>
      </c>
      <c r="J174" s="17">
        <f t="shared" si="21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2"/>
        <v>30</v>
      </c>
      <c r="I175" s="16">
        <f t="shared" si="20"/>
        <v>0</v>
      </c>
      <c r="J175" s="17">
        <f t="shared" si="21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2"/>
        <v>30</v>
      </c>
      <c r="I176" s="16">
        <f t="shared" si="20"/>
        <v>0</v>
      </c>
      <c r="J176" s="17">
        <f t="shared" si="2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2"/>
        <v>30</v>
      </c>
      <c r="I177" s="16">
        <f t="shared" si="20"/>
        <v>0</v>
      </c>
      <c r="J177" s="17">
        <f t="shared" si="21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2"/>
        <v>30</v>
      </c>
      <c r="I178" s="16">
        <f t="shared" si="20"/>
        <v>0</v>
      </c>
      <c r="J178" s="17">
        <f t="shared" si="2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2"/>
        <v>30</v>
      </c>
      <c r="I179" s="16">
        <f t="shared" si="20"/>
        <v>0</v>
      </c>
      <c r="J179" s="17">
        <f t="shared" si="21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2"/>
        <v>28</v>
      </c>
      <c r="I180" s="16">
        <f t="shared" si="20"/>
        <v>2</v>
      </c>
      <c r="J180" s="17">
        <f t="shared" si="21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2"/>
        <v>28</v>
      </c>
      <c r="I181" s="16">
        <f t="shared" si="20"/>
        <v>2</v>
      </c>
      <c r="J181" s="17">
        <f t="shared" si="21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2"/>
        <v>30</v>
      </c>
      <c r="I182" s="16">
        <f t="shared" si="20"/>
        <v>0</v>
      </c>
      <c r="J182" s="17">
        <f t="shared" si="21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27</v>
      </c>
      <c r="I183" s="16">
        <f>COUNTIF(K183:AL183,"APAGADO")</f>
        <v>3</v>
      </c>
      <c r="J183" s="17">
        <f>(H183)/(I183+H183)</f>
        <v>0.9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 t="s">
        <v>1199</v>
      </c>
      <c r="AH183" s="8" t="s">
        <v>1199</v>
      </c>
      <c r="AI183" s="8" t="s">
        <v>1199</v>
      </c>
      <c r="AJ183" s="26"/>
      <c r="AK183" s="8"/>
      <c r="AL183" s="8"/>
      <c r="AM183" s="26"/>
      <c r="AN183" s="26"/>
    </row>
    <row r="184" spans="1:40" ht="15.75" thickBot="1" x14ac:dyDescent="0.3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2"/>
        <v>28</v>
      </c>
      <c r="I184" s="16">
        <f t="shared" si="20"/>
        <v>2</v>
      </c>
      <c r="J184" s="17">
        <f t="shared" si="21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26</v>
      </c>
      <c r="I185" s="16">
        <f>COUNTIF(K185:AL185,"APAGADO")</f>
        <v>4</v>
      </c>
      <c r="J185" s="17">
        <f>(H185)/(I185+H185)</f>
        <v>0.8666666666666667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 t="s">
        <v>1199</v>
      </c>
      <c r="AH185" s="8" t="s">
        <v>1199</v>
      </c>
      <c r="AI185" s="8" t="s">
        <v>1199</v>
      </c>
      <c r="AJ185" s="26"/>
      <c r="AK185" s="8"/>
      <c r="AL185" s="8"/>
      <c r="AM185" s="26"/>
      <c r="AN185" s="26"/>
    </row>
    <row r="186" spans="1:40" ht="15.75" thickBot="1" x14ac:dyDescent="0.3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2"/>
        <v>27</v>
      </c>
      <c r="I186" s="16">
        <f t="shared" si="20"/>
        <v>3</v>
      </c>
      <c r="J186" s="17">
        <f t="shared" si="21"/>
        <v>0.9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 t="s">
        <v>1199</v>
      </c>
      <c r="AH186" s="8" t="s">
        <v>1199</v>
      </c>
      <c r="AI186" s="8" t="s">
        <v>1199</v>
      </c>
      <c r="AJ186" s="26"/>
      <c r="AK186" s="8"/>
      <c r="AL186" s="8"/>
      <c r="AM186" s="26"/>
      <c r="AN186" s="26"/>
    </row>
    <row r="187" spans="1:40" ht="15.75" thickBot="1" x14ac:dyDescent="0.3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2"/>
        <v>30</v>
      </c>
      <c r="I187" s="16">
        <f t="shared" si="20"/>
        <v>0</v>
      </c>
      <c r="J187" s="17">
        <f t="shared" si="21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2"/>
        <v>27</v>
      </c>
      <c r="I188" s="16">
        <f t="shared" si="20"/>
        <v>3</v>
      </c>
      <c r="J188" s="17">
        <f t="shared" si="21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2"/>
        <v>28</v>
      </c>
      <c r="I189" s="16">
        <f t="shared" si="20"/>
        <v>2</v>
      </c>
      <c r="J189" s="17">
        <f t="shared" si="21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2"/>
        <v>30</v>
      </c>
      <c r="I190" s="16">
        <f t="shared" si="20"/>
        <v>0</v>
      </c>
      <c r="J190" s="17">
        <f t="shared" si="2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2"/>
        <v>28</v>
      </c>
      <c r="I191" s="16">
        <f t="shared" si="20"/>
        <v>2</v>
      </c>
      <c r="J191" s="17">
        <f t="shared" si="21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2"/>
        <v>28</v>
      </c>
      <c r="I192" s="16">
        <f t="shared" si="20"/>
        <v>2</v>
      </c>
      <c r="J192" s="17">
        <f t="shared" si="21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2"/>
        <v>28</v>
      </c>
      <c r="I193" s="16">
        <f t="shared" si="20"/>
        <v>2</v>
      </c>
      <c r="J193" s="17">
        <f t="shared" si="21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2"/>
        <v>30</v>
      </c>
      <c r="I194" s="16">
        <f t="shared" si="20"/>
        <v>0</v>
      </c>
      <c r="J194" s="17">
        <f t="shared" si="2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2"/>
        <v>30</v>
      </c>
      <c r="I195" s="16">
        <f t="shared" si="20"/>
        <v>0</v>
      </c>
      <c r="J195" s="17">
        <f t="shared" si="2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2"/>
        <v>27</v>
      </c>
      <c r="I196" s="16">
        <f t="shared" si="20"/>
        <v>3</v>
      </c>
      <c r="J196" s="17">
        <f t="shared" si="21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2"/>
        <v>30</v>
      </c>
      <c r="I197" s="16">
        <f t="shared" si="20"/>
        <v>0</v>
      </c>
      <c r="J197" s="17">
        <f t="shared" si="21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2"/>
        <v>30</v>
      </c>
      <c r="I199" s="16">
        <f t="shared" si="20"/>
        <v>0</v>
      </c>
      <c r="J199" s="17">
        <f t="shared" si="21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2"/>
        <v>30</v>
      </c>
      <c r="I200" s="16">
        <f t="shared" si="20"/>
        <v>0</v>
      </c>
      <c r="J200" s="17">
        <f t="shared" si="21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2"/>
        <v>30</v>
      </c>
      <c r="I201" s="16">
        <f t="shared" si="20"/>
        <v>0</v>
      </c>
      <c r="J201" s="17">
        <f t="shared" si="21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2"/>
        <v>30</v>
      </c>
      <c r="I202" s="16">
        <f t="shared" si="20"/>
        <v>0</v>
      </c>
      <c r="J202" s="17">
        <f t="shared" si="21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2"/>
        <v>30</v>
      </c>
      <c r="I203" s="16">
        <f t="shared" ref="I203:I265" si="23">COUNTIF(K203:AL203,"APAGADO")</f>
        <v>0</v>
      </c>
      <c r="J203" s="17">
        <f t="shared" ref="J203:J265" si="24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5">COUNTIF(K204:AN204,"")</f>
        <v>30</v>
      </c>
      <c r="I204" s="16">
        <f t="shared" si="23"/>
        <v>0</v>
      </c>
      <c r="J204" s="17">
        <f t="shared" si="2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5"/>
        <v>30</v>
      </c>
      <c r="I205" s="16">
        <f t="shared" si="23"/>
        <v>0</v>
      </c>
      <c r="J205" s="17">
        <f t="shared" si="2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5"/>
        <v>30</v>
      </c>
      <c r="I206" s="16">
        <f t="shared" si="23"/>
        <v>0</v>
      </c>
      <c r="J206" s="17">
        <f t="shared" si="2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5"/>
        <v>30</v>
      </c>
      <c r="I207" s="16">
        <f t="shared" si="23"/>
        <v>0</v>
      </c>
      <c r="J207" s="17">
        <f t="shared" si="2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5"/>
        <v>29</v>
      </c>
      <c r="I208" s="16">
        <f t="shared" si="23"/>
        <v>1</v>
      </c>
      <c r="J208" s="17">
        <f t="shared" si="24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 t="s">
        <v>1199</v>
      </c>
      <c r="AJ208" s="26"/>
      <c r="AK208" s="8"/>
      <c r="AL208" s="8"/>
      <c r="AM208" s="26"/>
      <c r="AN208" s="26"/>
    </row>
    <row r="209" spans="1:40" ht="15.75" thickBot="1" x14ac:dyDescent="0.3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5"/>
        <v>30</v>
      </c>
      <c r="I209" s="16">
        <f t="shared" si="23"/>
        <v>0</v>
      </c>
      <c r="J209" s="17">
        <f t="shared" si="2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5"/>
        <v>30</v>
      </c>
      <c r="I210" s="16">
        <f t="shared" si="23"/>
        <v>0</v>
      </c>
      <c r="J210" s="17">
        <f t="shared" si="24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5"/>
        <v>27</v>
      </c>
      <c r="I211" s="16">
        <f t="shared" si="23"/>
        <v>3</v>
      </c>
      <c r="J211" s="17">
        <f t="shared" si="24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5"/>
        <v>27</v>
      </c>
      <c r="I212" s="16">
        <f t="shared" si="23"/>
        <v>3</v>
      </c>
      <c r="J212" s="17">
        <f t="shared" si="24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5"/>
        <v>30</v>
      </c>
      <c r="I213" s="16">
        <f t="shared" si="23"/>
        <v>0</v>
      </c>
      <c r="J213" s="17">
        <f t="shared" si="24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5"/>
        <v>24</v>
      </c>
      <c r="I214" s="16">
        <f t="shared" si="23"/>
        <v>6</v>
      </c>
      <c r="J214" s="17">
        <f t="shared" si="24"/>
        <v>0.8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 t="s">
        <v>1199</v>
      </c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5"/>
        <v>25</v>
      </c>
      <c r="I215" s="16">
        <f t="shared" si="23"/>
        <v>5</v>
      </c>
      <c r="J215" s="17">
        <f t="shared" si="24"/>
        <v>0.83333333333333337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 t="s">
        <v>1199</v>
      </c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5"/>
        <v>5</v>
      </c>
      <c r="I216" s="16">
        <f t="shared" si="23"/>
        <v>25</v>
      </c>
      <c r="J216" s="17">
        <f t="shared" si="24"/>
        <v>0.16666666666666666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 t="s">
        <v>1199</v>
      </c>
      <c r="AH216" s="8" t="s">
        <v>1199</v>
      </c>
      <c r="AI216" s="8" t="s">
        <v>1199</v>
      </c>
      <c r="AJ216" s="26"/>
      <c r="AK216" s="8"/>
      <c r="AL216" s="8"/>
      <c r="AM216" s="26"/>
      <c r="AN216" s="26"/>
    </row>
    <row r="217" spans="1:40" ht="15.75" thickBot="1" x14ac:dyDescent="0.3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5"/>
        <v>29</v>
      </c>
      <c r="I217" s="16">
        <f t="shared" si="23"/>
        <v>1</v>
      </c>
      <c r="J217" s="17">
        <f t="shared" si="24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5"/>
        <v>29</v>
      </c>
      <c r="I218" s="16">
        <f t="shared" si="23"/>
        <v>1</v>
      </c>
      <c r="J218" s="17">
        <f t="shared" si="24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5"/>
        <v>28</v>
      </c>
      <c r="I219" s="16">
        <f t="shared" si="23"/>
        <v>2</v>
      </c>
      <c r="J219" s="17">
        <f t="shared" si="24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5"/>
        <v>30</v>
      </c>
      <c r="I220" s="16">
        <f t="shared" si="23"/>
        <v>0</v>
      </c>
      <c r="J220" s="17">
        <f t="shared" si="24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5"/>
        <v>29</v>
      </c>
      <c r="I221" s="16">
        <f t="shared" si="23"/>
        <v>1</v>
      </c>
      <c r="J221" s="17">
        <f t="shared" si="24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5"/>
        <v>11</v>
      </c>
      <c r="I222" s="16">
        <f t="shared" si="23"/>
        <v>19</v>
      </c>
      <c r="J222" s="17">
        <f t="shared" si="24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5"/>
        <v>7</v>
      </c>
      <c r="I223" s="16">
        <f t="shared" si="23"/>
        <v>23</v>
      </c>
      <c r="J223" s="17">
        <f t="shared" si="24"/>
        <v>0.23333333333333334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 t="s">
        <v>1199</v>
      </c>
      <c r="AH223" s="8" t="s">
        <v>1199</v>
      </c>
      <c r="AI223" s="8" t="s">
        <v>1199</v>
      </c>
      <c r="AJ223" s="26"/>
      <c r="AK223" s="8"/>
      <c r="AL223" s="8"/>
      <c r="AM223" s="26"/>
      <c r="AN223" s="26"/>
    </row>
    <row r="224" spans="1:40" ht="15.75" thickBot="1" x14ac:dyDescent="0.3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5"/>
        <v>30</v>
      </c>
      <c r="I224" s="16">
        <f t="shared" si="23"/>
        <v>0</v>
      </c>
      <c r="J224" s="17">
        <f t="shared" si="2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5"/>
        <v>30</v>
      </c>
      <c r="I225" s="16">
        <f t="shared" si="23"/>
        <v>0</v>
      </c>
      <c r="J225" s="17">
        <f t="shared" si="2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5"/>
        <v>30</v>
      </c>
      <c r="I226" s="16">
        <f t="shared" si="23"/>
        <v>0</v>
      </c>
      <c r="J226" s="17">
        <f t="shared" si="2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5"/>
        <v>30</v>
      </c>
      <c r="I227" s="16">
        <f t="shared" si="23"/>
        <v>0</v>
      </c>
      <c r="J227" s="17">
        <f t="shared" si="2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5"/>
        <v>20</v>
      </c>
      <c r="I228" s="16">
        <f t="shared" si="23"/>
        <v>10</v>
      </c>
      <c r="J228" s="17">
        <f t="shared" si="24"/>
        <v>0.66666666666666663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 t="s">
        <v>1199</v>
      </c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5"/>
        <v>29</v>
      </c>
      <c r="I229" s="16">
        <f t="shared" si="23"/>
        <v>1</v>
      </c>
      <c r="J229" s="17">
        <f t="shared" si="24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5"/>
        <v>30</v>
      </c>
      <c r="I230" s="16">
        <f t="shared" si="23"/>
        <v>0</v>
      </c>
      <c r="J230" s="17">
        <f t="shared" si="2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5"/>
        <v>29</v>
      </c>
      <c r="I231" s="16">
        <f t="shared" si="23"/>
        <v>1</v>
      </c>
      <c r="J231" s="17">
        <f t="shared" si="24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5"/>
        <v>27</v>
      </c>
      <c r="I232" s="16">
        <f t="shared" si="23"/>
        <v>3</v>
      </c>
      <c r="J232" s="17">
        <f t="shared" si="24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5"/>
        <v>30</v>
      </c>
      <c r="I233" s="16">
        <f t="shared" si="23"/>
        <v>0</v>
      </c>
      <c r="J233" s="17">
        <f t="shared" si="2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5"/>
        <v>30</v>
      </c>
      <c r="I234" s="16">
        <f t="shared" si="23"/>
        <v>0</v>
      </c>
      <c r="J234" s="17">
        <f t="shared" si="2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5"/>
        <v>30</v>
      </c>
      <c r="I235" s="16">
        <f t="shared" si="23"/>
        <v>0</v>
      </c>
      <c r="J235" s="17">
        <f t="shared" si="2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5"/>
        <v>30</v>
      </c>
      <c r="I236" s="16">
        <f t="shared" si="23"/>
        <v>0</v>
      </c>
      <c r="J236" s="17">
        <f t="shared" si="2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5"/>
        <v>30</v>
      </c>
      <c r="I237" s="16">
        <f t="shared" si="23"/>
        <v>0</v>
      </c>
      <c r="J237" s="17">
        <f t="shared" si="2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5"/>
        <v>28</v>
      </c>
      <c r="I238" s="16">
        <f t="shared" si="23"/>
        <v>2</v>
      </c>
      <c r="J238" s="17">
        <f t="shared" si="24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5"/>
        <v>30</v>
      </c>
      <c r="I239" s="16">
        <f t="shared" si="23"/>
        <v>0</v>
      </c>
      <c r="J239" s="17">
        <f t="shared" si="2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5"/>
        <v>30</v>
      </c>
      <c r="I240" s="16">
        <f t="shared" si="23"/>
        <v>0</v>
      </c>
      <c r="J240" s="17">
        <f t="shared" si="2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5"/>
        <v>30</v>
      </c>
      <c r="I241" s="16">
        <f t="shared" si="23"/>
        <v>0</v>
      </c>
      <c r="J241" s="17">
        <f t="shared" si="24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5"/>
        <v>30</v>
      </c>
      <c r="I242" s="16">
        <f t="shared" si="23"/>
        <v>0</v>
      </c>
      <c r="J242" s="17">
        <f t="shared" si="2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5"/>
        <v>30</v>
      </c>
      <c r="I243" s="16">
        <f t="shared" si="23"/>
        <v>0</v>
      </c>
      <c r="J243" s="17">
        <f t="shared" si="2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5"/>
        <v>30</v>
      </c>
      <c r="I244" s="16">
        <f t="shared" si="23"/>
        <v>0</v>
      </c>
      <c r="J244" s="17">
        <f t="shared" si="24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5"/>
        <v>30</v>
      </c>
      <c r="I245" s="16">
        <f t="shared" si="23"/>
        <v>0</v>
      </c>
      <c r="J245" s="17">
        <f t="shared" si="24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.75" thickBot="1" x14ac:dyDescent="0.3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5"/>
        <v>30</v>
      </c>
      <c r="I246" s="16">
        <f t="shared" si="23"/>
        <v>0</v>
      </c>
      <c r="J246" s="17">
        <f t="shared" si="24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.75" thickBot="1" x14ac:dyDescent="0.3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5"/>
        <v>28</v>
      </c>
      <c r="I247" s="16">
        <f t="shared" si="23"/>
        <v>2</v>
      </c>
      <c r="J247" s="17">
        <f t="shared" si="24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5"/>
        <v>30</v>
      </c>
      <c r="I248" s="16">
        <f t="shared" si="23"/>
        <v>0</v>
      </c>
      <c r="J248" s="17">
        <f t="shared" si="2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5"/>
        <v>30</v>
      </c>
      <c r="I249" s="16">
        <f t="shared" si="23"/>
        <v>0</v>
      </c>
      <c r="J249" s="17">
        <f t="shared" si="24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5"/>
        <v>23</v>
      </c>
      <c r="I251" s="16">
        <f t="shared" si="23"/>
        <v>7</v>
      </c>
      <c r="J251" s="17">
        <f t="shared" si="24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5"/>
        <v>23</v>
      </c>
      <c r="I252" s="16">
        <f t="shared" si="23"/>
        <v>7</v>
      </c>
      <c r="J252" s="17">
        <f t="shared" si="24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.75" thickBot="1" x14ac:dyDescent="0.3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5"/>
        <v>30</v>
      </c>
      <c r="I253" s="16">
        <f t="shared" si="23"/>
        <v>0</v>
      </c>
      <c r="J253" s="17">
        <f t="shared" si="24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.75" thickBot="1" x14ac:dyDescent="0.3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5"/>
        <v>30</v>
      </c>
      <c r="I254" s="16">
        <f t="shared" si="23"/>
        <v>0</v>
      </c>
      <c r="J254" s="17">
        <f t="shared" si="24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.75" thickBot="1" x14ac:dyDescent="0.3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.75" thickBot="1" x14ac:dyDescent="0.3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.75" thickBot="1" x14ac:dyDescent="0.3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.75" thickBot="1" x14ac:dyDescent="0.3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.75" thickBot="1" x14ac:dyDescent="0.3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5"/>
        <v>26</v>
      </c>
      <c r="I259" s="16">
        <f t="shared" si="23"/>
        <v>4</v>
      </c>
      <c r="J259" s="17">
        <f t="shared" si="24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5"/>
        <v>30</v>
      </c>
      <c r="I260" s="16">
        <f t="shared" si="23"/>
        <v>0</v>
      </c>
      <c r="J260" s="17">
        <f t="shared" si="24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5"/>
        <v>30</v>
      </c>
      <c r="I261" s="16">
        <f t="shared" si="23"/>
        <v>0</v>
      </c>
      <c r="J261" s="17">
        <f t="shared" si="24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5"/>
        <v>27</v>
      </c>
      <c r="I262" s="16">
        <f t="shared" si="23"/>
        <v>3</v>
      </c>
      <c r="J262" s="17">
        <f t="shared" si="24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12</v>
      </c>
      <c r="I263" s="16">
        <f>COUNTIF(K263:AL263,"APAGADO")</f>
        <v>18</v>
      </c>
      <c r="J263" s="17">
        <f>(H263)/(I263+H263)</f>
        <v>0.4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 t="s">
        <v>1199</v>
      </c>
      <c r="AH263" s="8" t="s">
        <v>1199</v>
      </c>
      <c r="AI263" s="8" t="s">
        <v>1199</v>
      </c>
      <c r="AJ263" s="26"/>
      <c r="AK263" s="8"/>
      <c r="AL263" s="8"/>
      <c r="AM263" s="26"/>
      <c r="AN263" s="26"/>
    </row>
    <row r="264" spans="1:40" ht="15.75" thickBot="1" x14ac:dyDescent="0.3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5"/>
        <v>23</v>
      </c>
      <c r="I264" s="16">
        <f t="shared" si="23"/>
        <v>7</v>
      </c>
      <c r="J264" s="17">
        <f t="shared" si="24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5"/>
        <v>23</v>
      </c>
      <c r="I265" s="16">
        <f t="shared" si="23"/>
        <v>7</v>
      </c>
      <c r="J265" s="17">
        <f t="shared" si="24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6">COUNTIF(K266:AN266,"")</f>
        <v>30</v>
      </c>
      <c r="I266" s="16">
        <f t="shared" ref="I266:I337" si="27">COUNTIF(K266:AL266,"APAGADO")</f>
        <v>0</v>
      </c>
      <c r="J266" s="17">
        <f t="shared" ref="J266:J337" si="28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6"/>
        <v>29</v>
      </c>
      <c r="I272" s="16">
        <f t="shared" si="27"/>
        <v>1</v>
      </c>
      <c r="J272" s="17">
        <f t="shared" si="28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6"/>
        <v>29</v>
      </c>
      <c r="I273" s="16">
        <f t="shared" si="27"/>
        <v>1</v>
      </c>
      <c r="J273" s="17">
        <f t="shared" si="28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6"/>
        <v>29</v>
      </c>
      <c r="I274" s="16">
        <f t="shared" si="27"/>
        <v>1</v>
      </c>
      <c r="J274" s="17">
        <f t="shared" si="28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6"/>
        <v>29</v>
      </c>
      <c r="I275" s="16">
        <f t="shared" si="27"/>
        <v>1</v>
      </c>
      <c r="J275" s="17">
        <f t="shared" si="28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6"/>
        <v>29</v>
      </c>
      <c r="I276" s="16">
        <f t="shared" si="27"/>
        <v>1</v>
      </c>
      <c r="J276" s="17">
        <f t="shared" si="28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6"/>
        <v>29</v>
      </c>
      <c r="I277" s="16">
        <f t="shared" si="27"/>
        <v>1</v>
      </c>
      <c r="J277" s="17">
        <f t="shared" si="28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6"/>
        <v>28</v>
      </c>
      <c r="I281" s="16">
        <f t="shared" si="27"/>
        <v>2</v>
      </c>
      <c r="J281" s="17">
        <f t="shared" si="28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6"/>
        <v>28</v>
      </c>
      <c r="I282" s="16">
        <f t="shared" si="27"/>
        <v>2</v>
      </c>
      <c r="J282" s="17">
        <f t="shared" si="28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6"/>
        <v>30</v>
      </c>
      <c r="I283" s="16">
        <f t="shared" si="27"/>
        <v>0</v>
      </c>
      <c r="J283" s="17">
        <f t="shared" si="2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6"/>
        <v>30</v>
      </c>
      <c r="I284" s="16">
        <f t="shared" si="27"/>
        <v>0</v>
      </c>
      <c r="J284" s="17">
        <f t="shared" si="2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6"/>
        <v>30</v>
      </c>
      <c r="I285" s="16">
        <f t="shared" si="27"/>
        <v>0</v>
      </c>
      <c r="J285" s="17">
        <f t="shared" si="2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6"/>
        <v>27</v>
      </c>
      <c r="I286" s="16">
        <f t="shared" si="27"/>
        <v>3</v>
      </c>
      <c r="J286" s="17">
        <f t="shared" si="28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6"/>
        <v>27</v>
      </c>
      <c r="I287" s="16">
        <f t="shared" si="27"/>
        <v>3</v>
      </c>
      <c r="J287" s="17">
        <f t="shared" si="28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6"/>
        <v>27</v>
      </c>
      <c r="I288" s="16">
        <f t="shared" si="27"/>
        <v>3</v>
      </c>
      <c r="J288" s="17">
        <f t="shared" si="28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.75" thickBot="1" x14ac:dyDescent="0.3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6"/>
        <v>27</v>
      </c>
      <c r="I289" s="16">
        <f t="shared" si="27"/>
        <v>3</v>
      </c>
      <c r="J289" s="17">
        <f t="shared" si="28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6"/>
        <v>27</v>
      </c>
      <c r="I290" s="16">
        <f t="shared" si="27"/>
        <v>3</v>
      </c>
      <c r="J290" s="17">
        <f t="shared" si="28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6"/>
        <v>28</v>
      </c>
      <c r="I291" s="16">
        <f t="shared" si="27"/>
        <v>2</v>
      </c>
      <c r="J291" s="17">
        <f t="shared" si="28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6"/>
        <v>30</v>
      </c>
      <c r="I292" s="16">
        <f t="shared" si="27"/>
        <v>0</v>
      </c>
      <c r="J292" s="17">
        <f t="shared" si="28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6"/>
        <v>30</v>
      </c>
      <c r="I293" s="16">
        <f t="shared" si="27"/>
        <v>0</v>
      </c>
      <c r="J293" s="17">
        <f t="shared" si="2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9">COUNTIF(K294:AN294,"")</f>
        <v>30</v>
      </c>
      <c r="I294" s="16">
        <f t="shared" ref="I294:I300" si="30">COUNTIF(K294:AL294,"APAGADO")</f>
        <v>0</v>
      </c>
      <c r="J294" s="17">
        <f t="shared" ref="J294:J300" si="31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9"/>
        <v>30</v>
      </c>
      <c r="I295" s="16">
        <f t="shared" si="30"/>
        <v>0</v>
      </c>
      <c r="J295" s="17">
        <f t="shared" si="31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9"/>
        <v>30</v>
      </c>
      <c r="I296" s="16">
        <f t="shared" si="30"/>
        <v>0</v>
      </c>
      <c r="J296" s="17">
        <f t="shared" si="31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9"/>
        <v>30</v>
      </c>
      <c r="I297" s="16">
        <f t="shared" si="30"/>
        <v>0</v>
      </c>
      <c r="J297" s="17">
        <f t="shared" si="31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9"/>
        <v>30</v>
      </c>
      <c r="I298" s="16">
        <f t="shared" si="30"/>
        <v>0</v>
      </c>
      <c r="J298" s="17">
        <f t="shared" si="31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.75" thickBot="1" x14ac:dyDescent="0.3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9"/>
        <v>30</v>
      </c>
      <c r="I299" s="52">
        <f t="shared" si="30"/>
        <v>0</v>
      </c>
      <c r="J299" s="53">
        <f t="shared" si="31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.75" thickBot="1" x14ac:dyDescent="0.3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9"/>
        <v>30</v>
      </c>
      <c r="I300" s="52">
        <f t="shared" si="30"/>
        <v>0</v>
      </c>
      <c r="J300" s="53">
        <f t="shared" si="31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.75" thickBot="1" x14ac:dyDescent="0.3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6"/>
        <v>24</v>
      </c>
      <c r="I301" s="16">
        <f t="shared" si="27"/>
        <v>6</v>
      </c>
      <c r="J301" s="17">
        <f t="shared" si="28"/>
        <v>0.8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6"/>
        <v>24</v>
      </c>
      <c r="I302" s="16">
        <f t="shared" si="27"/>
        <v>6</v>
      </c>
      <c r="J302" s="17">
        <f t="shared" si="28"/>
        <v>0.8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6.899999999999999" customHeight="1" thickBot="1" x14ac:dyDescent="0.3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24</v>
      </c>
      <c r="I303" s="16">
        <f>COUNTIF(K303:AL303,"APAGADO")</f>
        <v>6</v>
      </c>
      <c r="J303" s="17">
        <f>(H303)/(I303+H303)</f>
        <v>0.8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24</v>
      </c>
      <c r="I304" s="16">
        <f>COUNTIF(K304:AL304,"APAGADO")</f>
        <v>6</v>
      </c>
      <c r="J304" s="17">
        <f>(H304)/(I304+H304)</f>
        <v>0.8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6"/>
        <v>30</v>
      </c>
      <c r="I305" s="16">
        <f t="shared" si="27"/>
        <v>0</v>
      </c>
      <c r="J305" s="17">
        <f t="shared" si="28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6"/>
        <v>28</v>
      </c>
      <c r="I306" s="16">
        <f t="shared" si="27"/>
        <v>2</v>
      </c>
      <c r="J306" s="17">
        <f t="shared" si="28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6"/>
        <v>30</v>
      </c>
      <c r="I307" s="16">
        <f t="shared" si="27"/>
        <v>0</v>
      </c>
      <c r="J307" s="17">
        <f t="shared" si="2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6"/>
        <v>30</v>
      </c>
      <c r="I308" s="16">
        <f t="shared" si="27"/>
        <v>0</v>
      </c>
      <c r="J308" s="17">
        <f t="shared" si="2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6"/>
        <v>30</v>
      </c>
      <c r="I309" s="16">
        <f t="shared" si="27"/>
        <v>0</v>
      </c>
      <c r="J309" s="17">
        <f t="shared" si="28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6"/>
        <v>29</v>
      </c>
      <c r="I310" s="16">
        <f t="shared" si="27"/>
        <v>1</v>
      </c>
      <c r="J310" s="17">
        <f t="shared" si="28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6"/>
        <v>29</v>
      </c>
      <c r="I311" s="16">
        <f t="shared" si="27"/>
        <v>1</v>
      </c>
      <c r="J311" s="17">
        <f t="shared" si="28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6"/>
        <v>29</v>
      </c>
      <c r="I312" s="16">
        <f t="shared" si="27"/>
        <v>1</v>
      </c>
      <c r="J312" s="17">
        <f t="shared" si="28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6"/>
        <v>30</v>
      </c>
      <c r="I313" s="16">
        <f t="shared" si="27"/>
        <v>0</v>
      </c>
      <c r="J313" s="17">
        <f t="shared" si="2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6"/>
        <v>30</v>
      </c>
      <c r="I314" s="16">
        <f t="shared" si="27"/>
        <v>0</v>
      </c>
      <c r="J314" s="17">
        <f t="shared" si="2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6"/>
        <v>28</v>
      </c>
      <c r="I315" s="16">
        <f t="shared" si="27"/>
        <v>2</v>
      </c>
      <c r="J315" s="17">
        <f t="shared" si="28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6"/>
        <v>28</v>
      </c>
      <c r="I316" s="16">
        <f t="shared" si="27"/>
        <v>2</v>
      </c>
      <c r="J316" s="17">
        <f t="shared" si="28"/>
        <v>0.93333333333333335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6"/>
        <v>28</v>
      </c>
      <c r="I317" s="16">
        <f t="shared" si="27"/>
        <v>2</v>
      </c>
      <c r="J317" s="17">
        <f t="shared" si="28"/>
        <v>0.93333333333333335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6"/>
        <v>30</v>
      </c>
      <c r="I318" s="16">
        <f t="shared" si="27"/>
        <v>0</v>
      </c>
      <c r="J318" s="17">
        <f t="shared" si="2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6"/>
        <v>30</v>
      </c>
      <c r="I319" s="16">
        <f t="shared" si="27"/>
        <v>0</v>
      </c>
      <c r="J319" s="17">
        <f t="shared" si="2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6"/>
        <v>30</v>
      </c>
      <c r="I320" s="16">
        <f t="shared" si="27"/>
        <v>0</v>
      </c>
      <c r="J320" s="17">
        <f t="shared" si="2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6"/>
        <v>30</v>
      </c>
      <c r="I321" s="16">
        <f t="shared" si="27"/>
        <v>0</v>
      </c>
      <c r="J321" s="17">
        <f t="shared" si="2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6"/>
        <v>30</v>
      </c>
      <c r="I322" s="16">
        <f t="shared" si="27"/>
        <v>0</v>
      </c>
      <c r="J322" s="17">
        <f t="shared" si="28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6"/>
        <v>30</v>
      </c>
      <c r="I323" s="16">
        <f t="shared" si="27"/>
        <v>0</v>
      </c>
      <c r="J323" s="17">
        <f t="shared" si="28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6"/>
        <v>30</v>
      </c>
      <c r="I324" s="16">
        <f t="shared" si="27"/>
        <v>0</v>
      </c>
      <c r="J324" s="17">
        <f t="shared" si="28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6"/>
        <v>30</v>
      </c>
      <c r="I325" s="16">
        <f t="shared" si="27"/>
        <v>0</v>
      </c>
      <c r="J325" s="17">
        <f t="shared" si="2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2">COUNTIF(K326:AN326,"")</f>
        <v>30</v>
      </c>
      <c r="I326" s="52">
        <f t="shared" ref="I326" si="33">COUNTIF(K326:AL326,"APAGADO")</f>
        <v>0</v>
      </c>
      <c r="J326" s="53">
        <f t="shared" ref="J326" si="34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.75" thickBot="1" x14ac:dyDescent="0.3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6"/>
        <v>30</v>
      </c>
      <c r="I327" s="16">
        <f t="shared" si="27"/>
        <v>0</v>
      </c>
      <c r="J327" s="17">
        <f t="shared" si="28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6"/>
        <v>30</v>
      </c>
      <c r="I328" s="16">
        <f t="shared" si="27"/>
        <v>0</v>
      </c>
      <c r="J328" s="17">
        <f t="shared" si="28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6"/>
        <v>17</v>
      </c>
      <c r="I329" s="16">
        <f t="shared" si="27"/>
        <v>13</v>
      </c>
      <c r="J329" s="17">
        <f t="shared" si="28"/>
        <v>0.56666666666666665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 t="s">
        <v>1199</v>
      </c>
      <c r="AH329" s="8" t="s">
        <v>1199</v>
      </c>
      <c r="AI329" s="8" t="s">
        <v>1199</v>
      </c>
      <c r="AJ329" s="26"/>
      <c r="AK329" s="8"/>
      <c r="AL329" s="8"/>
      <c r="AM329" s="26"/>
      <c r="AN329" s="26"/>
    </row>
    <row r="330" spans="1:40" ht="15.75" thickBot="1" x14ac:dyDescent="0.3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6"/>
        <v>19</v>
      </c>
      <c r="I330" s="16">
        <f t="shared" si="27"/>
        <v>11</v>
      </c>
      <c r="J330" s="17">
        <f t="shared" si="28"/>
        <v>0.6333333333333333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 t="s">
        <v>1199</v>
      </c>
      <c r="AH330" s="8" t="s">
        <v>1199</v>
      </c>
      <c r="AI330" s="8" t="s">
        <v>1199</v>
      </c>
      <c r="AJ330" s="26"/>
      <c r="AK330" s="8"/>
      <c r="AL330" s="8"/>
      <c r="AM330" s="26"/>
      <c r="AN330" s="26"/>
    </row>
    <row r="331" spans="1:40" ht="15.75" thickBot="1" x14ac:dyDescent="0.3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6"/>
        <v>19</v>
      </c>
      <c r="I331" s="16">
        <f t="shared" si="27"/>
        <v>11</v>
      </c>
      <c r="J331" s="17">
        <f t="shared" si="28"/>
        <v>0.6333333333333333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 t="s">
        <v>1199</v>
      </c>
      <c r="AH331" s="8" t="s">
        <v>1199</v>
      </c>
      <c r="AI331" s="8" t="s">
        <v>1199</v>
      </c>
      <c r="AJ331" s="26"/>
      <c r="AK331" s="8"/>
      <c r="AL331" s="8"/>
      <c r="AM331" s="26"/>
      <c r="AN331" s="26"/>
    </row>
    <row r="332" spans="1:40" ht="15.75" thickBot="1" x14ac:dyDescent="0.3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6"/>
        <v>19</v>
      </c>
      <c r="I332" s="16">
        <f t="shared" si="27"/>
        <v>11</v>
      </c>
      <c r="J332" s="17">
        <f t="shared" si="28"/>
        <v>0.6333333333333333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 t="s">
        <v>1199</v>
      </c>
      <c r="AH332" s="8" t="s">
        <v>1199</v>
      </c>
      <c r="AI332" s="8" t="s">
        <v>1199</v>
      </c>
      <c r="AJ332" s="26"/>
      <c r="AK332" s="8"/>
      <c r="AL332" s="8"/>
      <c r="AM332" s="26"/>
      <c r="AN332" s="26"/>
    </row>
    <row r="333" spans="1:40" ht="15.75" thickBot="1" x14ac:dyDescent="0.3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6"/>
        <v>19</v>
      </c>
      <c r="I333" s="16">
        <f t="shared" si="27"/>
        <v>11</v>
      </c>
      <c r="J333" s="17">
        <f t="shared" si="28"/>
        <v>0.6333333333333333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 t="s">
        <v>1199</v>
      </c>
      <c r="AH333" s="8" t="s">
        <v>1199</v>
      </c>
      <c r="AI333" s="8" t="s">
        <v>1199</v>
      </c>
      <c r="AJ333" s="26"/>
      <c r="AK333" s="8"/>
      <c r="AL333" s="8"/>
      <c r="AM333" s="26"/>
      <c r="AN333" s="26"/>
    </row>
    <row r="334" spans="1:40" ht="15.75" thickBot="1" x14ac:dyDescent="0.3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6"/>
        <v>19</v>
      </c>
      <c r="I334" s="16">
        <f t="shared" si="27"/>
        <v>11</v>
      </c>
      <c r="J334" s="17">
        <f t="shared" si="28"/>
        <v>0.6333333333333333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 t="s">
        <v>1199</v>
      </c>
      <c r="AH334" s="8" t="s">
        <v>1199</v>
      </c>
      <c r="AI334" s="8" t="s">
        <v>1199</v>
      </c>
      <c r="AJ334" s="26"/>
      <c r="AK334" s="8"/>
      <c r="AL334" s="8"/>
      <c r="AM334" s="26"/>
      <c r="AN334" s="26"/>
    </row>
    <row r="335" spans="1:40" ht="15.75" thickBot="1" x14ac:dyDescent="0.3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6"/>
        <v>19</v>
      </c>
      <c r="I335" s="16">
        <f t="shared" si="27"/>
        <v>11</v>
      </c>
      <c r="J335" s="17">
        <f t="shared" si="28"/>
        <v>0.6333333333333333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 t="s">
        <v>1199</v>
      </c>
      <c r="AI335" s="8" t="s">
        <v>1199</v>
      </c>
      <c r="AJ335" s="26"/>
      <c r="AK335" s="8"/>
      <c r="AL335" s="8"/>
      <c r="AM335" s="26"/>
      <c r="AN335" s="26"/>
    </row>
    <row r="336" spans="1:40" ht="15.75" thickBot="1" x14ac:dyDescent="0.3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6"/>
        <v>30</v>
      </c>
      <c r="I336" s="16">
        <f t="shared" si="27"/>
        <v>0</v>
      </c>
      <c r="J336" s="17">
        <f t="shared" si="28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.75" thickBot="1" x14ac:dyDescent="0.3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6"/>
        <v>25</v>
      </c>
      <c r="I337" s="16">
        <f t="shared" si="27"/>
        <v>5</v>
      </c>
      <c r="J337" s="17">
        <f t="shared" si="28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7" si="35">COUNTIF(K338:AN338,"")</f>
        <v>26</v>
      </c>
      <c r="I338" s="16">
        <f t="shared" ref="I338:I390" si="36">COUNTIF(K338:AL338,"APAGADO")</f>
        <v>4</v>
      </c>
      <c r="J338" s="17">
        <f t="shared" ref="J338:J390" si="37">(H338)/(I338+H338)</f>
        <v>0.8666666666666667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 t="s">
        <v>1199</v>
      </c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5"/>
        <v>27</v>
      </c>
      <c r="I339" s="16">
        <f t="shared" si="36"/>
        <v>3</v>
      </c>
      <c r="J339" s="17">
        <f t="shared" si="37"/>
        <v>0.9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 t="s">
        <v>1199</v>
      </c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5"/>
        <v>29</v>
      </c>
      <c r="I340" s="16">
        <f t="shared" si="36"/>
        <v>1</v>
      </c>
      <c r="J340" s="17">
        <f t="shared" si="37"/>
        <v>0.96666666666666667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 t="s">
        <v>1199</v>
      </c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5"/>
        <v>29</v>
      </c>
      <c r="I341" s="16">
        <f t="shared" si="36"/>
        <v>1</v>
      </c>
      <c r="J341" s="17">
        <f t="shared" si="37"/>
        <v>0.96666666666666667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 t="s">
        <v>1199</v>
      </c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5"/>
        <v>27</v>
      </c>
      <c r="I342" s="16">
        <f t="shared" si="36"/>
        <v>3</v>
      </c>
      <c r="J342" s="17">
        <f t="shared" si="37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5"/>
        <v>30</v>
      </c>
      <c r="I345" s="16">
        <f t="shared" si="36"/>
        <v>0</v>
      </c>
      <c r="J345" s="17">
        <f t="shared" si="37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5"/>
        <v>30</v>
      </c>
      <c r="I346" s="16">
        <f t="shared" si="36"/>
        <v>0</v>
      </c>
      <c r="J346" s="17">
        <f t="shared" si="37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.75" thickBot="1" x14ac:dyDescent="0.3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.75" thickBot="1" x14ac:dyDescent="0.3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8">COUNTIF(K349:AN349,"")</f>
        <v>26</v>
      </c>
      <c r="I349" s="52">
        <f t="shared" ref="I349" si="39">COUNTIF(K349:AL349,"APAGADO")</f>
        <v>4</v>
      </c>
      <c r="J349" s="53">
        <f t="shared" ref="J349" si="40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.75" thickBot="1" x14ac:dyDescent="0.3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5"/>
        <v>30</v>
      </c>
      <c r="I350" s="16">
        <f t="shared" si="36"/>
        <v>0</v>
      </c>
      <c r="J350" s="17">
        <f t="shared" si="37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5"/>
        <v>28</v>
      </c>
      <c r="I351" s="16">
        <f t="shared" si="36"/>
        <v>2</v>
      </c>
      <c r="J351" s="17">
        <f t="shared" si="37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5"/>
        <v>28</v>
      </c>
      <c r="I352" s="16">
        <f t="shared" si="36"/>
        <v>2</v>
      </c>
      <c r="J352" s="17">
        <f t="shared" si="37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5"/>
        <v>28</v>
      </c>
      <c r="I353" s="16">
        <f t="shared" si="36"/>
        <v>2</v>
      </c>
      <c r="J353" s="17">
        <f t="shared" si="37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5"/>
        <v>30</v>
      </c>
      <c r="I354" s="16">
        <f t="shared" si="36"/>
        <v>0</v>
      </c>
      <c r="J354" s="17">
        <f t="shared" si="37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5"/>
        <v>28</v>
      </c>
      <c r="I355" s="16">
        <f t="shared" si="36"/>
        <v>2</v>
      </c>
      <c r="J355" s="17">
        <f t="shared" si="37"/>
        <v>0.93333333333333335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5"/>
        <v>19</v>
      </c>
      <c r="I356" s="16">
        <f t="shared" si="36"/>
        <v>11</v>
      </c>
      <c r="J356" s="17">
        <f t="shared" si="37"/>
        <v>0.6333333333333333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 t="s">
        <v>1199</v>
      </c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5"/>
        <v>30</v>
      </c>
      <c r="I357" s="16">
        <f t="shared" si="36"/>
        <v>0</v>
      </c>
      <c r="J357" s="17">
        <f t="shared" si="37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5"/>
        <v>30</v>
      </c>
      <c r="I358" s="16">
        <f t="shared" si="36"/>
        <v>0</v>
      </c>
      <c r="J358" s="17">
        <f t="shared" si="37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5"/>
        <v>28</v>
      </c>
      <c r="I360" s="16">
        <f t="shared" si="36"/>
        <v>2</v>
      </c>
      <c r="J360" s="17">
        <f t="shared" si="37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5"/>
        <v>30</v>
      </c>
      <c r="I361" s="16">
        <f t="shared" si="36"/>
        <v>0</v>
      </c>
      <c r="J361" s="17">
        <f t="shared" si="37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5"/>
        <v>30</v>
      </c>
      <c r="I362" s="16">
        <f t="shared" si="36"/>
        <v>0</v>
      </c>
      <c r="J362" s="17">
        <f t="shared" si="37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5"/>
        <v>28</v>
      </c>
      <c r="I367" s="16">
        <f t="shared" si="36"/>
        <v>2</v>
      </c>
      <c r="J367" s="17">
        <f t="shared" si="37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5"/>
        <v>30</v>
      </c>
      <c r="I368" s="16">
        <f t="shared" si="36"/>
        <v>0</v>
      </c>
      <c r="J368" s="17">
        <f t="shared" si="37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5"/>
        <v>20</v>
      </c>
      <c r="I372" s="16">
        <f t="shared" si="36"/>
        <v>10</v>
      </c>
      <c r="J372" s="17">
        <f t="shared" si="37"/>
        <v>0.66666666666666663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 t="s">
        <v>1199</v>
      </c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5"/>
        <v>20</v>
      </c>
      <c r="I373" s="16">
        <f t="shared" si="36"/>
        <v>10</v>
      </c>
      <c r="J373" s="17">
        <f t="shared" si="37"/>
        <v>0.66666666666666663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 t="s">
        <v>1199</v>
      </c>
      <c r="AH373" s="8"/>
      <c r="AI373" s="8"/>
      <c r="AJ373" s="26"/>
      <c r="AK373" s="8"/>
      <c r="AL373" s="8"/>
      <c r="AM373" s="26"/>
      <c r="AN373" s="26"/>
    </row>
    <row r="374" spans="1:40" s="50" customFormat="1" ht="15.75" thickBot="1" x14ac:dyDescent="0.3">
      <c r="A374" s="50" t="s">
        <v>522</v>
      </c>
      <c r="B374" s="50" t="s">
        <v>1244</v>
      </c>
      <c r="C374" s="50" t="s">
        <v>1160</v>
      </c>
      <c r="D374" s="50" t="s">
        <v>1246</v>
      </c>
      <c r="E374" s="50" t="s">
        <v>73</v>
      </c>
      <c r="F374" s="50" t="s">
        <v>28</v>
      </c>
      <c r="G374" s="50" t="s">
        <v>1247</v>
      </c>
      <c r="H374" s="52">
        <f t="shared" si="35"/>
        <v>30</v>
      </c>
      <c r="I374" s="52">
        <f t="shared" si="36"/>
        <v>0</v>
      </c>
      <c r="J374" s="53">
        <f t="shared" si="37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.75" thickBot="1" x14ac:dyDescent="0.3">
      <c r="A375" s="50" t="s">
        <v>522</v>
      </c>
      <c r="B375" s="50" t="s">
        <v>1245</v>
      </c>
      <c r="C375" s="50" t="s">
        <v>1160</v>
      </c>
      <c r="D375" s="50" t="s">
        <v>1246</v>
      </c>
      <c r="E375" s="50" t="s">
        <v>1213</v>
      </c>
      <c r="F375" s="50" t="s">
        <v>28</v>
      </c>
      <c r="G375" s="50" t="s">
        <v>1248</v>
      </c>
      <c r="H375" s="52">
        <f t="shared" si="35"/>
        <v>30</v>
      </c>
      <c r="I375" s="52">
        <f t="shared" si="36"/>
        <v>0</v>
      </c>
      <c r="J375" s="53">
        <f t="shared" si="37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415</v>
      </c>
      <c r="B376" s="50" t="s">
        <v>1139</v>
      </c>
      <c r="C376" s="50" t="s">
        <v>1159</v>
      </c>
      <c r="D376" s="50" t="s">
        <v>558</v>
      </c>
      <c r="E376" s="50" t="s">
        <v>19</v>
      </c>
      <c r="F376" s="50" t="s">
        <v>28</v>
      </c>
      <c r="G376" s="50" t="s">
        <v>945</v>
      </c>
      <c r="H376" s="52">
        <f t="shared" si="35"/>
        <v>27</v>
      </c>
      <c r="I376" s="16">
        <f t="shared" si="36"/>
        <v>3</v>
      </c>
      <c r="J376" s="17">
        <f t="shared" si="37"/>
        <v>0.9</v>
      </c>
      <c r="K376" s="26"/>
      <c r="L376" s="8" t="s">
        <v>1199</v>
      </c>
      <c r="M376" s="8" t="s">
        <v>1199</v>
      </c>
      <c r="N376" s="8" t="s">
        <v>1199</v>
      </c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.75" thickBot="1" x14ac:dyDescent="0.3">
      <c r="A377" s="50" t="s">
        <v>297</v>
      </c>
      <c r="B377" s="50" t="s">
        <v>1140</v>
      </c>
      <c r="C377" s="50" t="s">
        <v>1159</v>
      </c>
      <c r="D377" s="50" t="s">
        <v>559</v>
      </c>
      <c r="E377" s="50" t="s">
        <v>19</v>
      </c>
      <c r="F377" s="50" t="s">
        <v>28</v>
      </c>
      <c r="G377" s="50" t="s">
        <v>946</v>
      </c>
      <c r="H377" s="52">
        <f t="shared" si="35"/>
        <v>28</v>
      </c>
      <c r="I377" s="16">
        <f t="shared" si="36"/>
        <v>2</v>
      </c>
      <c r="J377" s="17">
        <f t="shared" si="37"/>
        <v>0.93333333333333335</v>
      </c>
      <c r="K377" s="26"/>
      <c r="L377" s="8" t="s">
        <v>1199</v>
      </c>
      <c r="M377" s="8"/>
      <c r="N377" s="8" t="s">
        <v>1199</v>
      </c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.75" thickBot="1" x14ac:dyDescent="0.3">
      <c r="A378" s="50" t="s">
        <v>415</v>
      </c>
      <c r="B378" s="50" t="s">
        <v>560</v>
      </c>
      <c r="C378" s="50" t="s">
        <v>1159</v>
      </c>
      <c r="D378" s="50" t="s">
        <v>561</v>
      </c>
      <c r="E378" s="50" t="s">
        <v>73</v>
      </c>
      <c r="F378" s="50" t="s">
        <v>28</v>
      </c>
      <c r="G378" s="50" t="s">
        <v>943</v>
      </c>
      <c r="H378" s="52">
        <f t="shared" si="35"/>
        <v>23</v>
      </c>
      <c r="I378" s="16">
        <f t="shared" si="36"/>
        <v>7</v>
      </c>
      <c r="J378" s="17">
        <f t="shared" si="37"/>
        <v>0.76666666666666672</v>
      </c>
      <c r="K378" s="26"/>
      <c r="L378" s="8" t="s">
        <v>1199</v>
      </c>
      <c r="M378" s="8" t="s">
        <v>1199</v>
      </c>
      <c r="N378" s="8" t="s">
        <v>1199</v>
      </c>
      <c r="O378" s="26" t="s">
        <v>1199</v>
      </c>
      <c r="P378" s="26" t="s">
        <v>1199</v>
      </c>
      <c r="Q378" s="8" t="s">
        <v>1199</v>
      </c>
      <c r="R378" s="8" t="s">
        <v>1199</v>
      </c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.75" thickBot="1" x14ac:dyDescent="0.3">
      <c r="A379" s="50" t="s">
        <v>415</v>
      </c>
      <c r="B379" s="50" t="s">
        <v>562</v>
      </c>
      <c r="C379" s="50" t="s">
        <v>1159</v>
      </c>
      <c r="D379" s="50" t="s">
        <v>561</v>
      </c>
      <c r="E379" s="50" t="s">
        <v>73</v>
      </c>
      <c r="F379" s="50" t="s">
        <v>28</v>
      </c>
      <c r="G379" s="50" t="s">
        <v>944</v>
      </c>
      <c r="H379" s="52">
        <f t="shared" si="35"/>
        <v>23</v>
      </c>
      <c r="I379" s="16">
        <f t="shared" si="36"/>
        <v>7</v>
      </c>
      <c r="J379" s="17">
        <f t="shared" si="37"/>
        <v>0.76666666666666672</v>
      </c>
      <c r="K379" s="26"/>
      <c r="L379" s="8" t="s">
        <v>1199</v>
      </c>
      <c r="M379" s="8" t="s">
        <v>1199</v>
      </c>
      <c r="N379" s="8" t="s">
        <v>1199</v>
      </c>
      <c r="O379" s="26" t="s">
        <v>1199</v>
      </c>
      <c r="P379" s="26" t="s">
        <v>1199</v>
      </c>
      <c r="Q379" s="8" t="s">
        <v>1199</v>
      </c>
      <c r="R379" s="8" t="s">
        <v>1199</v>
      </c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.75" thickBot="1" x14ac:dyDescent="0.3">
      <c r="A380" s="50" t="s">
        <v>415</v>
      </c>
      <c r="B380" s="50" t="s">
        <v>563</v>
      </c>
      <c r="C380" s="50" t="s">
        <v>1159</v>
      </c>
      <c r="D380" s="50" t="s">
        <v>564</v>
      </c>
      <c r="E380" s="50" t="s">
        <v>73</v>
      </c>
      <c r="F380" s="50" t="s">
        <v>28</v>
      </c>
      <c r="G380" s="50" t="s">
        <v>947</v>
      </c>
      <c r="H380" s="52">
        <f t="shared" si="35"/>
        <v>29</v>
      </c>
      <c r="I380" s="16">
        <f t="shared" si="36"/>
        <v>1</v>
      </c>
      <c r="J380" s="17">
        <f t="shared" si="37"/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.75" thickBot="1" x14ac:dyDescent="0.3">
      <c r="A381" s="50" t="s">
        <v>415</v>
      </c>
      <c r="B381" s="50" t="s">
        <v>565</v>
      </c>
      <c r="C381" s="50" t="s">
        <v>1159</v>
      </c>
      <c r="D381" s="50" t="s">
        <v>564</v>
      </c>
      <c r="E381" s="50" t="s">
        <v>73</v>
      </c>
      <c r="F381" s="50" t="s">
        <v>28</v>
      </c>
      <c r="G381" s="50" t="s">
        <v>948</v>
      </c>
      <c r="H381" s="52">
        <f t="shared" si="35"/>
        <v>29</v>
      </c>
      <c r="I381" s="16">
        <f t="shared" si="36"/>
        <v>1</v>
      </c>
      <c r="J381" s="17">
        <f t="shared" si="37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.75" thickBot="1" x14ac:dyDescent="0.3">
      <c r="A382" s="50" t="s">
        <v>415</v>
      </c>
      <c r="B382" s="50" t="s">
        <v>556</v>
      </c>
      <c r="C382" s="50" t="s">
        <v>1159</v>
      </c>
      <c r="D382" s="50" t="s">
        <v>557</v>
      </c>
      <c r="E382" s="50" t="s">
        <v>19</v>
      </c>
      <c r="F382" s="50" t="s">
        <v>28</v>
      </c>
      <c r="G382" s="50" t="s">
        <v>949</v>
      </c>
      <c r="H382" s="52">
        <f>COUNTIF(K382:AN382,"")</f>
        <v>29</v>
      </c>
      <c r="I382" s="16">
        <f>COUNTIF(K382:AL382,"APAGADO")</f>
        <v>1</v>
      </c>
      <c r="J382" s="17">
        <f>(H382)/(I382+H382)</f>
        <v>0.96666666666666667</v>
      </c>
      <c r="K382" s="26"/>
      <c r="L382" s="8" t="s">
        <v>1199</v>
      </c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.75" thickBot="1" x14ac:dyDescent="0.3">
      <c r="A383" s="50" t="s">
        <v>415</v>
      </c>
      <c r="B383" s="50" t="s">
        <v>566</v>
      </c>
      <c r="C383" s="50" t="s">
        <v>1159</v>
      </c>
      <c r="D383" s="50" t="s">
        <v>567</v>
      </c>
      <c r="E383" s="50" t="s">
        <v>15</v>
      </c>
      <c r="F383" s="50" t="s">
        <v>28</v>
      </c>
      <c r="G383" s="50" t="s">
        <v>950</v>
      </c>
      <c r="H383" s="52">
        <f t="shared" si="35"/>
        <v>29</v>
      </c>
      <c r="I383" s="16">
        <f t="shared" si="36"/>
        <v>1</v>
      </c>
      <c r="J383" s="17">
        <f t="shared" si="37"/>
        <v>0.96666666666666667</v>
      </c>
      <c r="K383" s="26"/>
      <c r="L383" s="8" t="s">
        <v>1199</v>
      </c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.75" thickBot="1" x14ac:dyDescent="0.3">
      <c r="A384" s="50" t="s">
        <v>491</v>
      </c>
      <c r="B384" s="50" t="s">
        <v>568</v>
      </c>
      <c r="C384" s="50" t="s">
        <v>1159</v>
      </c>
      <c r="D384" s="50" t="s">
        <v>569</v>
      </c>
      <c r="E384" s="50" t="s">
        <v>19</v>
      </c>
      <c r="F384" s="50" t="s">
        <v>28</v>
      </c>
      <c r="G384" s="50" t="s">
        <v>951</v>
      </c>
      <c r="H384" s="52">
        <f t="shared" si="35"/>
        <v>19</v>
      </c>
      <c r="I384" s="16">
        <f t="shared" si="36"/>
        <v>11</v>
      </c>
      <c r="J384" s="17">
        <f t="shared" si="37"/>
        <v>0.6333333333333333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 t="s">
        <v>1199</v>
      </c>
      <c r="Z384" s="26" t="s">
        <v>1199</v>
      </c>
      <c r="AA384" s="26" t="s">
        <v>1199</v>
      </c>
      <c r="AB384" s="26" t="s">
        <v>1199</v>
      </c>
      <c r="AC384" s="26" t="s">
        <v>1199</v>
      </c>
      <c r="AD384" s="26" t="s">
        <v>1199</v>
      </c>
      <c r="AE384" s="26" t="s">
        <v>1199</v>
      </c>
      <c r="AF384" s="26" t="s">
        <v>1199</v>
      </c>
      <c r="AG384" s="8" t="s">
        <v>1199</v>
      </c>
      <c r="AH384" s="8" t="s">
        <v>1199</v>
      </c>
      <c r="AI384" s="8" t="s">
        <v>1199</v>
      </c>
      <c r="AJ384" s="26"/>
      <c r="AK384" s="8"/>
      <c r="AL384" s="8"/>
      <c r="AM384" s="26"/>
      <c r="AN384" s="26"/>
    </row>
    <row r="385" spans="1:40" ht="15.75" thickBot="1" x14ac:dyDescent="0.3">
      <c r="A385" s="50" t="s">
        <v>491</v>
      </c>
      <c r="B385" s="50" t="s">
        <v>570</v>
      </c>
      <c r="C385" s="50" t="s">
        <v>1159</v>
      </c>
      <c r="D385" s="50" t="s">
        <v>571</v>
      </c>
      <c r="E385" s="50" t="s">
        <v>19</v>
      </c>
      <c r="F385" s="50" t="s">
        <v>20</v>
      </c>
      <c r="G385" s="50" t="s">
        <v>952</v>
      </c>
      <c r="H385" s="52">
        <f t="shared" si="35"/>
        <v>29</v>
      </c>
      <c r="I385" s="16">
        <f t="shared" si="36"/>
        <v>1</v>
      </c>
      <c r="J385" s="17">
        <f t="shared" si="37"/>
        <v>0.96666666666666667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.75" thickBot="1" x14ac:dyDescent="0.3">
      <c r="A386" s="50" t="s">
        <v>491</v>
      </c>
      <c r="B386" s="50" t="s">
        <v>572</v>
      </c>
      <c r="C386" s="50" t="s">
        <v>1159</v>
      </c>
      <c r="D386" s="50" t="s">
        <v>573</v>
      </c>
      <c r="E386" s="50" t="s">
        <v>19</v>
      </c>
      <c r="F386" s="50" t="s">
        <v>20</v>
      </c>
      <c r="G386" s="50" t="s">
        <v>953</v>
      </c>
      <c r="H386" s="52">
        <f t="shared" si="35"/>
        <v>30</v>
      </c>
      <c r="I386" s="16">
        <f t="shared" si="36"/>
        <v>0</v>
      </c>
      <c r="J386" s="17">
        <f t="shared" si="37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.75" thickBot="1" x14ac:dyDescent="0.3">
      <c r="A387" s="50" t="s">
        <v>491</v>
      </c>
      <c r="B387" s="50" t="s">
        <v>574</v>
      </c>
      <c r="C387" s="50" t="s">
        <v>1159</v>
      </c>
      <c r="D387" s="50" t="s">
        <v>575</v>
      </c>
      <c r="E387" s="50" t="s">
        <v>19</v>
      </c>
      <c r="F387" s="50" t="s">
        <v>1152</v>
      </c>
      <c r="G387" s="50" t="s">
        <v>954</v>
      </c>
      <c r="H387" s="52">
        <f t="shared" si="35"/>
        <v>20</v>
      </c>
      <c r="I387" s="16">
        <f t="shared" si="36"/>
        <v>10</v>
      </c>
      <c r="J387" s="17">
        <f t="shared" si="37"/>
        <v>0.66666666666666663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 t="s">
        <v>1199</v>
      </c>
      <c r="Z387" s="26" t="s">
        <v>1199</v>
      </c>
      <c r="AA387" s="26" t="s">
        <v>1199</v>
      </c>
      <c r="AB387" s="26" t="s">
        <v>1199</v>
      </c>
      <c r="AC387" s="26" t="s">
        <v>1199</v>
      </c>
      <c r="AD387" s="26" t="s">
        <v>1199</v>
      </c>
      <c r="AE387" s="26" t="s">
        <v>1199</v>
      </c>
      <c r="AF387" s="26" t="s">
        <v>1199</v>
      </c>
      <c r="AG387" s="8" t="s">
        <v>1199</v>
      </c>
      <c r="AH387" s="8"/>
      <c r="AI387" s="8" t="s">
        <v>1199</v>
      </c>
      <c r="AJ387" s="26"/>
      <c r="AK387" s="8"/>
      <c r="AL387" s="8"/>
      <c r="AM387" s="26"/>
      <c r="AN387" s="26"/>
    </row>
    <row r="388" spans="1:40" ht="15.75" thickBot="1" x14ac:dyDescent="0.3">
      <c r="A388" s="50" t="s">
        <v>486</v>
      </c>
      <c r="B388" s="50" t="s">
        <v>576</v>
      </c>
      <c r="C388" s="50" t="s">
        <v>1159</v>
      </c>
      <c r="D388" s="50" t="s">
        <v>577</v>
      </c>
      <c r="E388" s="50" t="s">
        <v>19</v>
      </c>
      <c r="F388" s="50" t="s">
        <v>20</v>
      </c>
      <c r="G388" s="50" t="s">
        <v>955</v>
      </c>
      <c r="H388" s="52">
        <f t="shared" si="35"/>
        <v>30</v>
      </c>
      <c r="I388" s="16">
        <f t="shared" si="36"/>
        <v>0</v>
      </c>
      <c r="J388" s="17">
        <f t="shared" si="37"/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578</v>
      </c>
      <c r="B389" s="50" t="s">
        <v>579</v>
      </c>
      <c r="C389" s="50" t="s">
        <v>1160</v>
      </c>
      <c r="D389" s="50" t="s">
        <v>580</v>
      </c>
      <c r="E389" s="50" t="s">
        <v>15</v>
      </c>
      <c r="F389" s="50" t="s">
        <v>28</v>
      </c>
      <c r="G389" s="50" t="s">
        <v>956</v>
      </c>
      <c r="H389" s="52">
        <f t="shared" si="35"/>
        <v>30</v>
      </c>
      <c r="I389" s="16">
        <f t="shared" si="36"/>
        <v>0</v>
      </c>
      <c r="J389" s="17">
        <f t="shared" si="37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578</v>
      </c>
      <c r="B390" s="50" t="s">
        <v>581</v>
      </c>
      <c r="C390" s="50" t="s">
        <v>1160</v>
      </c>
      <c r="D390" s="50" t="s">
        <v>582</v>
      </c>
      <c r="E390" s="50" t="s">
        <v>15</v>
      </c>
      <c r="F390" s="50" t="s">
        <v>28</v>
      </c>
      <c r="G390" s="50" t="s">
        <v>957</v>
      </c>
      <c r="H390" s="52">
        <f t="shared" si="35"/>
        <v>30</v>
      </c>
      <c r="I390" s="16">
        <f t="shared" si="36"/>
        <v>0</v>
      </c>
      <c r="J390" s="17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.75" thickBot="1" x14ac:dyDescent="0.3">
      <c r="A391" s="50" t="s">
        <v>578</v>
      </c>
      <c r="B391" s="50" t="s">
        <v>1141</v>
      </c>
      <c r="C391" s="50" t="s">
        <v>1160</v>
      </c>
      <c r="D391" s="50" t="s">
        <v>583</v>
      </c>
      <c r="E391" s="50" t="s">
        <v>73</v>
      </c>
      <c r="F391" s="50" t="s">
        <v>28</v>
      </c>
      <c r="G391" s="50" t="s">
        <v>958</v>
      </c>
      <c r="H391" s="52">
        <f t="shared" si="35"/>
        <v>30</v>
      </c>
      <c r="I391" s="52">
        <f t="shared" ref="I391:I397" si="41">COUNTIF(K391:AL391,"APAGADO")</f>
        <v>0</v>
      </c>
      <c r="J391" s="53">
        <f t="shared" ref="J391:J397" si="42">(H391)/(I391+H391)</f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.75" thickBot="1" x14ac:dyDescent="0.3">
      <c r="A392" s="50" t="s">
        <v>578</v>
      </c>
      <c r="B392" s="50" t="s">
        <v>1142</v>
      </c>
      <c r="C392" s="50" t="s">
        <v>1160</v>
      </c>
      <c r="D392" s="50" t="s">
        <v>583</v>
      </c>
      <c r="E392" s="50" t="s">
        <v>73</v>
      </c>
      <c r="F392" s="50" t="s">
        <v>28</v>
      </c>
      <c r="G392" s="50" t="s">
        <v>959</v>
      </c>
      <c r="H392" s="52">
        <f t="shared" si="35"/>
        <v>30</v>
      </c>
      <c r="I392" s="52">
        <f t="shared" si="41"/>
        <v>0</v>
      </c>
      <c r="J392" s="53">
        <f t="shared" si="42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.75" thickBot="1" x14ac:dyDescent="0.3">
      <c r="A393" s="50" t="s">
        <v>584</v>
      </c>
      <c r="B393" s="50" t="s">
        <v>1143</v>
      </c>
      <c r="C393" s="50" t="s">
        <v>1160</v>
      </c>
      <c r="D393" s="50" t="s">
        <v>585</v>
      </c>
      <c r="E393" s="50" t="s">
        <v>73</v>
      </c>
      <c r="F393" s="50" t="s">
        <v>28</v>
      </c>
      <c r="G393" s="50" t="s">
        <v>960</v>
      </c>
      <c r="H393" s="52">
        <f t="shared" si="35"/>
        <v>30</v>
      </c>
      <c r="I393" s="52">
        <f t="shared" si="41"/>
        <v>0</v>
      </c>
      <c r="J393" s="53">
        <f t="shared" si="42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.75" thickBot="1" x14ac:dyDescent="0.3">
      <c r="A394" s="50" t="s">
        <v>584</v>
      </c>
      <c r="B394" s="50" t="s">
        <v>1144</v>
      </c>
      <c r="C394" s="50" t="s">
        <v>1160</v>
      </c>
      <c r="D394" s="50" t="s">
        <v>586</v>
      </c>
      <c r="E394" s="50" t="s">
        <v>15</v>
      </c>
      <c r="F394" s="50" t="s">
        <v>28</v>
      </c>
      <c r="G394" s="50" t="s">
        <v>961</v>
      </c>
      <c r="H394" s="52">
        <f t="shared" si="35"/>
        <v>29</v>
      </c>
      <c r="I394" s="52">
        <f t="shared" si="41"/>
        <v>1</v>
      </c>
      <c r="J394" s="53">
        <f t="shared" si="42"/>
        <v>0.96666666666666667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s">
        <v>1199</v>
      </c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s="50" customFormat="1" ht="15.75" thickBot="1" x14ac:dyDescent="0.3">
      <c r="A395" s="50" t="s">
        <v>584</v>
      </c>
      <c r="B395" s="50" t="s">
        <v>587</v>
      </c>
      <c r="C395" s="50" t="s">
        <v>1160</v>
      </c>
      <c r="D395" s="50" t="s">
        <v>588</v>
      </c>
      <c r="E395" s="50" t="s">
        <v>73</v>
      </c>
      <c r="F395" s="50" t="s">
        <v>28</v>
      </c>
      <c r="G395" s="50" t="s">
        <v>962</v>
      </c>
      <c r="H395" s="52">
        <f t="shared" si="35"/>
        <v>30</v>
      </c>
      <c r="I395" s="52">
        <f t="shared" si="41"/>
        <v>0</v>
      </c>
      <c r="J395" s="53">
        <f t="shared" si="42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s="50" customFormat="1" ht="15.75" thickBot="1" x14ac:dyDescent="0.3">
      <c r="A396" s="50" t="s">
        <v>584</v>
      </c>
      <c r="B396" s="50" t="s">
        <v>589</v>
      </c>
      <c r="C396" s="50" t="s">
        <v>1160</v>
      </c>
      <c r="D396" s="50" t="s">
        <v>590</v>
      </c>
      <c r="E396" s="50" t="s">
        <v>15</v>
      </c>
      <c r="F396" s="50" t="s">
        <v>28</v>
      </c>
      <c r="G396" s="50" t="s">
        <v>963</v>
      </c>
      <c r="H396" s="52">
        <f t="shared" si="35"/>
        <v>30</v>
      </c>
      <c r="I396" s="52">
        <f t="shared" si="41"/>
        <v>0</v>
      </c>
      <c r="J396" s="53">
        <f t="shared" si="42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.75" thickBot="1" x14ac:dyDescent="0.3">
      <c r="A397" s="50" t="s">
        <v>584</v>
      </c>
      <c r="B397" s="50" t="s">
        <v>591</v>
      </c>
      <c r="C397" s="50" t="s">
        <v>1160</v>
      </c>
      <c r="D397" s="50" t="s">
        <v>592</v>
      </c>
      <c r="E397" s="50" t="s">
        <v>15</v>
      </c>
      <c r="F397" s="50" t="s">
        <v>28</v>
      </c>
      <c r="G397" s="50" t="s">
        <v>964</v>
      </c>
      <c r="H397" s="52">
        <f t="shared" si="35"/>
        <v>30</v>
      </c>
      <c r="I397" s="52">
        <f t="shared" si="41"/>
        <v>0</v>
      </c>
      <c r="J397" s="53">
        <f t="shared" si="42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178</v>
      </c>
      <c r="B398" s="50" t="s">
        <v>593</v>
      </c>
      <c r="C398" s="50" t="s">
        <v>1160</v>
      </c>
      <c r="D398" s="50" t="s">
        <v>1190</v>
      </c>
      <c r="E398" s="50" t="s">
        <v>19</v>
      </c>
      <c r="F398" s="50" t="s">
        <v>20</v>
      </c>
      <c r="G398" s="50" t="s">
        <v>965</v>
      </c>
      <c r="H398" s="52">
        <f t="shared" ref="H398:H415" si="43">COUNTIF(K398:AN398,"")</f>
        <v>30</v>
      </c>
      <c r="I398" s="52">
        <f t="shared" ref="I398:I415" si="44">COUNTIF(K398:AL398,"APAGADO")</f>
        <v>0</v>
      </c>
      <c r="J398" s="53">
        <f t="shared" ref="J398:J415" si="45"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178</v>
      </c>
      <c r="B399" s="50" t="s">
        <v>1145</v>
      </c>
      <c r="C399" s="50" t="s">
        <v>1160</v>
      </c>
      <c r="D399" s="50" t="s">
        <v>1191</v>
      </c>
      <c r="E399" s="50" t="s">
        <v>73</v>
      </c>
      <c r="F399" s="50" t="s">
        <v>28</v>
      </c>
      <c r="G399" s="50" t="s">
        <v>966</v>
      </c>
      <c r="H399" s="52">
        <f t="shared" si="43"/>
        <v>28</v>
      </c>
      <c r="I399" s="52">
        <f t="shared" si="44"/>
        <v>2</v>
      </c>
      <c r="J399" s="53">
        <f t="shared" si="45"/>
        <v>0.93333333333333335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 t="s">
        <v>1199</v>
      </c>
      <c r="AE399" s="26" t="s">
        <v>1199</v>
      </c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178</v>
      </c>
      <c r="B400" s="50" t="s">
        <v>1146</v>
      </c>
      <c r="C400" s="50" t="s">
        <v>1160</v>
      </c>
      <c r="D400" s="50" t="s">
        <v>1191</v>
      </c>
      <c r="E400" s="50" t="s">
        <v>73</v>
      </c>
      <c r="F400" s="50" t="s">
        <v>28</v>
      </c>
      <c r="G400" s="50" t="s">
        <v>967</v>
      </c>
      <c r="H400" s="52">
        <f t="shared" si="43"/>
        <v>30</v>
      </c>
      <c r="I400" s="52">
        <f t="shared" si="44"/>
        <v>0</v>
      </c>
      <c r="J400" s="53">
        <f t="shared" si="45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.75" thickBot="1" x14ac:dyDescent="0.3">
      <c r="A401" s="50" t="s">
        <v>178</v>
      </c>
      <c r="B401" s="50" t="s">
        <v>1147</v>
      </c>
      <c r="C401" s="50" t="s">
        <v>1160</v>
      </c>
      <c r="D401" s="50" t="s">
        <v>1206</v>
      </c>
      <c r="E401" s="50" t="s">
        <v>15</v>
      </c>
      <c r="F401" s="50" t="s">
        <v>28</v>
      </c>
      <c r="G401" s="50" t="s">
        <v>968</v>
      </c>
      <c r="H401" s="52">
        <f t="shared" si="43"/>
        <v>23</v>
      </c>
      <c r="I401" s="52">
        <f t="shared" si="44"/>
        <v>7</v>
      </c>
      <c r="J401" s="53">
        <f t="shared" si="45"/>
        <v>0.76666666666666672</v>
      </c>
      <c r="K401" s="26"/>
      <c r="L401" s="26"/>
      <c r="M401" s="26"/>
      <c r="N401" s="26"/>
      <c r="O401" s="26"/>
      <c r="P401" s="26"/>
      <c r="Q401" s="26"/>
      <c r="R401" s="26"/>
      <c r="S401" s="26" t="s">
        <v>1199</v>
      </c>
      <c r="T401" s="26"/>
      <c r="U401" s="26"/>
      <c r="V401" s="26"/>
      <c r="W401" s="26"/>
      <c r="X401" s="26" t="s">
        <v>1199</v>
      </c>
      <c r="Y401" s="26" t="s">
        <v>1199</v>
      </c>
      <c r="Z401" s="26" t="s">
        <v>1199</v>
      </c>
      <c r="AA401" s="26" t="s">
        <v>1199</v>
      </c>
      <c r="AB401" s="26" t="s">
        <v>1199</v>
      </c>
      <c r="AC401" s="26" t="s">
        <v>1199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.75" thickBot="1" x14ac:dyDescent="0.3">
      <c r="A402" s="50" t="s">
        <v>178</v>
      </c>
      <c r="B402" s="50" t="s">
        <v>594</v>
      </c>
      <c r="C402" s="50" t="s">
        <v>1160</v>
      </c>
      <c r="D402" s="50" t="s">
        <v>1192</v>
      </c>
      <c r="E402" s="50" t="s">
        <v>15</v>
      </c>
      <c r="F402" s="50" t="s">
        <v>28</v>
      </c>
      <c r="G402" s="50"/>
      <c r="H402" s="52">
        <f t="shared" si="43"/>
        <v>24</v>
      </c>
      <c r="I402" s="52">
        <f t="shared" si="44"/>
        <v>6</v>
      </c>
      <c r="J402" s="53">
        <f t="shared" si="45"/>
        <v>0.8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 t="s">
        <v>1199</v>
      </c>
      <c r="Y402" s="26" t="s">
        <v>1199</v>
      </c>
      <c r="Z402" s="26" t="s">
        <v>1199</v>
      </c>
      <c r="AA402" s="26" t="s">
        <v>1199</v>
      </c>
      <c r="AB402" s="26" t="s">
        <v>1199</v>
      </c>
      <c r="AC402" s="26" t="s">
        <v>1199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.75" thickBot="1" x14ac:dyDescent="0.3">
      <c r="A403" s="50" t="s">
        <v>595</v>
      </c>
      <c r="B403" s="50" t="s">
        <v>596</v>
      </c>
      <c r="C403" s="50" t="s">
        <v>1160</v>
      </c>
      <c r="D403" s="50" t="s">
        <v>597</v>
      </c>
      <c r="E403" s="50" t="s">
        <v>73</v>
      </c>
      <c r="F403" s="50" t="s">
        <v>28</v>
      </c>
      <c r="G403" s="50" t="s">
        <v>969</v>
      </c>
      <c r="H403" s="52">
        <f>COUNTIF(K403:AN403,"")</f>
        <v>30</v>
      </c>
      <c r="I403" s="52">
        <f>COUNTIF(K403:AL403,"APAGADO")</f>
        <v>0</v>
      </c>
      <c r="J403" s="53">
        <f>(H403)/(I403+H403)</f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.75" thickBot="1" x14ac:dyDescent="0.3">
      <c r="A404" s="50" t="s">
        <v>595</v>
      </c>
      <c r="B404" s="50" t="s">
        <v>1148</v>
      </c>
      <c r="C404" s="50" t="s">
        <v>1160</v>
      </c>
      <c r="D404" s="50" t="s">
        <v>597</v>
      </c>
      <c r="E404" s="50" t="s">
        <v>73</v>
      </c>
      <c r="F404" s="50" t="s">
        <v>28</v>
      </c>
      <c r="G404" s="50" t="s">
        <v>970</v>
      </c>
      <c r="H404" s="52">
        <f t="shared" si="43"/>
        <v>30</v>
      </c>
      <c r="I404" s="52">
        <f t="shared" si="44"/>
        <v>0</v>
      </c>
      <c r="J404" s="53">
        <f t="shared" si="45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.75" thickBot="1" x14ac:dyDescent="0.3">
      <c r="A405" s="50" t="s">
        <v>595</v>
      </c>
      <c r="B405" s="50" t="s">
        <v>1149</v>
      </c>
      <c r="C405" s="50" t="s">
        <v>1160</v>
      </c>
      <c r="D405" s="50" t="s">
        <v>598</v>
      </c>
      <c r="E405" s="50" t="s">
        <v>73</v>
      </c>
      <c r="F405" s="50" t="s">
        <v>28</v>
      </c>
      <c r="G405" s="50" t="s">
        <v>971</v>
      </c>
      <c r="H405" s="52">
        <f t="shared" si="43"/>
        <v>30</v>
      </c>
      <c r="I405" s="52">
        <f t="shared" si="44"/>
        <v>0</v>
      </c>
      <c r="J405" s="53">
        <f t="shared" si="45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.75" thickBot="1" x14ac:dyDescent="0.3">
      <c r="A406" s="50" t="s">
        <v>595</v>
      </c>
      <c r="B406" s="50" t="s">
        <v>599</v>
      </c>
      <c r="C406" s="50" t="s">
        <v>1160</v>
      </c>
      <c r="D406" s="50" t="s">
        <v>598</v>
      </c>
      <c r="E406" s="50" t="s">
        <v>73</v>
      </c>
      <c r="F406" s="50" t="s">
        <v>28</v>
      </c>
      <c r="G406" s="50" t="s">
        <v>972</v>
      </c>
      <c r="H406" s="52">
        <f t="shared" si="43"/>
        <v>30</v>
      </c>
      <c r="I406" s="52">
        <f t="shared" si="44"/>
        <v>0</v>
      </c>
      <c r="J406" s="53">
        <f t="shared" si="45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.75" thickBot="1" x14ac:dyDescent="0.3">
      <c r="A407" s="50" t="s">
        <v>600</v>
      </c>
      <c r="B407" s="50" t="s">
        <v>601</v>
      </c>
      <c r="C407" s="50" t="s">
        <v>1160</v>
      </c>
      <c r="D407" s="50" t="s">
        <v>602</v>
      </c>
      <c r="E407" s="50" t="s">
        <v>15</v>
      </c>
      <c r="F407" s="50" t="s">
        <v>28</v>
      </c>
      <c r="G407" s="50" t="s">
        <v>973</v>
      </c>
      <c r="H407" s="52">
        <f t="shared" si="43"/>
        <v>30</v>
      </c>
      <c r="I407" s="52">
        <f t="shared" si="44"/>
        <v>0</v>
      </c>
      <c r="J407" s="53">
        <f t="shared" si="45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.75" thickBot="1" x14ac:dyDescent="0.3">
      <c r="A408" s="50" t="s">
        <v>603</v>
      </c>
      <c r="B408" s="50" t="s">
        <v>1150</v>
      </c>
      <c r="C408" s="50" t="s">
        <v>1160</v>
      </c>
      <c r="D408" s="50" t="s">
        <v>604</v>
      </c>
      <c r="E408" s="50" t="s">
        <v>15</v>
      </c>
      <c r="F408" s="50" t="s">
        <v>20</v>
      </c>
      <c r="G408" s="50" t="s">
        <v>974</v>
      </c>
      <c r="H408" s="52">
        <f>COUNTIF(K408:AN408,"")</f>
        <v>30</v>
      </c>
      <c r="I408" s="52">
        <f>COUNTIF(K408:AL408,"APAGADO")</f>
        <v>0</v>
      </c>
      <c r="J408" s="53">
        <f>(H408)/(I408+H408)</f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.75" thickBot="1" x14ac:dyDescent="0.3">
      <c r="A409" s="50" t="s">
        <v>603</v>
      </c>
      <c r="B409" s="50" t="s">
        <v>605</v>
      </c>
      <c r="C409" s="50" t="s">
        <v>1160</v>
      </c>
      <c r="D409" s="50" t="s">
        <v>606</v>
      </c>
      <c r="E409" s="50" t="s">
        <v>15</v>
      </c>
      <c r="F409" s="50" t="s">
        <v>20</v>
      </c>
      <c r="G409" s="50" t="s">
        <v>975</v>
      </c>
      <c r="H409" s="52">
        <f t="shared" si="43"/>
        <v>30</v>
      </c>
      <c r="I409" s="52">
        <f t="shared" si="44"/>
        <v>0</v>
      </c>
      <c r="J409" s="53">
        <f t="shared" si="45"/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.75" thickBot="1" x14ac:dyDescent="0.3">
      <c r="A410" s="50" t="s">
        <v>603</v>
      </c>
      <c r="B410" s="50" t="s">
        <v>607</v>
      </c>
      <c r="C410" s="50" t="s">
        <v>1160</v>
      </c>
      <c r="D410" s="50" t="s">
        <v>608</v>
      </c>
      <c r="E410" s="50" t="s">
        <v>15</v>
      </c>
      <c r="F410" s="50" t="s">
        <v>20</v>
      </c>
      <c r="G410" s="50" t="s">
        <v>976</v>
      </c>
      <c r="H410" s="52">
        <f t="shared" si="43"/>
        <v>29</v>
      </c>
      <c r="I410" s="52">
        <f t="shared" si="44"/>
        <v>1</v>
      </c>
      <c r="J410" s="53">
        <f t="shared" si="45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.75" thickBot="1" x14ac:dyDescent="0.3">
      <c r="A411" t="s">
        <v>603</v>
      </c>
      <c r="B411" s="44" t="s">
        <v>1214</v>
      </c>
      <c r="C411" s="51" t="s">
        <v>1160</v>
      </c>
      <c r="D411" t="s">
        <v>1216</v>
      </c>
      <c r="E411" s="50" t="s">
        <v>1213</v>
      </c>
      <c r="F411" s="50" t="s">
        <v>28</v>
      </c>
      <c r="G411" s="50" t="s">
        <v>1221</v>
      </c>
      <c r="H411" s="52">
        <f t="shared" ref="H411:H412" si="46">COUNTIF(K411:AN411,"")</f>
        <v>29</v>
      </c>
      <c r="I411" s="52">
        <f t="shared" ref="I411:I412" si="47">COUNTIF(K411:AL411,"APAGADO")</f>
        <v>1</v>
      </c>
      <c r="J411" s="53">
        <f t="shared" ref="J411:J412" si="48">(H411)/(I411+H411)</f>
        <v>0.96666666666666667</v>
      </c>
      <c r="K411" s="26"/>
      <c r="L411" s="26"/>
      <c r="M411" s="26"/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.75" thickBot="1" x14ac:dyDescent="0.3">
      <c r="A412" t="s">
        <v>603</v>
      </c>
      <c r="B412" s="44" t="s">
        <v>1215</v>
      </c>
      <c r="C412" s="51" t="s">
        <v>1160</v>
      </c>
      <c r="D412" s="50" t="s">
        <v>1216</v>
      </c>
      <c r="E412" s="50" t="s">
        <v>1213</v>
      </c>
      <c r="F412" s="50" t="s">
        <v>28</v>
      </c>
      <c r="G412" s="50" t="s">
        <v>1222</v>
      </c>
      <c r="H412" s="52">
        <f t="shared" si="46"/>
        <v>29</v>
      </c>
      <c r="I412" s="52">
        <f t="shared" si="47"/>
        <v>1</v>
      </c>
      <c r="J412" s="53">
        <f t="shared" si="48"/>
        <v>0.96666666666666667</v>
      </c>
      <c r="K412" s="26"/>
      <c r="L412" s="26"/>
      <c r="M412" s="26"/>
      <c r="N412" s="26" t="s">
        <v>1199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.75" thickBot="1" x14ac:dyDescent="0.3">
      <c r="A413" s="50" t="s">
        <v>611</v>
      </c>
      <c r="B413" s="50" t="s">
        <v>612</v>
      </c>
      <c r="C413" s="50" t="s">
        <v>1160</v>
      </c>
      <c r="D413" s="50" t="s">
        <v>613</v>
      </c>
      <c r="E413" s="50" t="s">
        <v>19</v>
      </c>
      <c r="F413" s="50" t="s">
        <v>20</v>
      </c>
      <c r="G413" s="50" t="s">
        <v>977</v>
      </c>
      <c r="H413" s="52">
        <f t="shared" si="43"/>
        <v>28</v>
      </c>
      <c r="I413" s="52">
        <f t="shared" si="44"/>
        <v>2</v>
      </c>
      <c r="J413" s="53">
        <f t="shared" si="45"/>
        <v>0.93333333333333335</v>
      </c>
      <c r="K413" s="26"/>
      <c r="L413" s="26"/>
      <c r="M413" s="26" t="s">
        <v>1199</v>
      </c>
      <c r="N413" s="26" t="s">
        <v>1199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.75" thickBot="1" x14ac:dyDescent="0.3">
      <c r="A414" s="50" t="s">
        <v>313</v>
      </c>
      <c r="B414" s="50" t="s">
        <v>614</v>
      </c>
      <c r="C414" s="50" t="s">
        <v>1160</v>
      </c>
      <c r="D414" s="50" t="s">
        <v>615</v>
      </c>
      <c r="E414" s="50" t="s">
        <v>19</v>
      </c>
      <c r="F414" s="50" t="s">
        <v>20</v>
      </c>
      <c r="G414" s="50" t="s">
        <v>978</v>
      </c>
      <c r="H414" s="52">
        <f t="shared" si="43"/>
        <v>30</v>
      </c>
      <c r="I414" s="52">
        <f t="shared" si="44"/>
        <v>0</v>
      </c>
      <c r="J414" s="53">
        <f t="shared" si="45"/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.75" thickBot="1" x14ac:dyDescent="0.3">
      <c r="A415" s="50" t="s">
        <v>611</v>
      </c>
      <c r="B415" s="50" t="s">
        <v>616</v>
      </c>
      <c r="C415" s="50" t="s">
        <v>1160</v>
      </c>
      <c r="D415" s="50" t="s">
        <v>617</v>
      </c>
      <c r="E415" s="50" t="s">
        <v>15</v>
      </c>
      <c r="F415" s="50" t="s">
        <v>20</v>
      </c>
      <c r="G415" s="50" t="s">
        <v>979</v>
      </c>
      <c r="H415" s="52">
        <f t="shared" si="43"/>
        <v>30</v>
      </c>
      <c r="I415" s="52">
        <f t="shared" si="44"/>
        <v>0</v>
      </c>
      <c r="J415" s="53">
        <f t="shared" si="45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.75" thickBot="1" x14ac:dyDescent="0.3">
      <c r="A416" s="50" t="s">
        <v>611</v>
      </c>
      <c r="B416" s="50" t="s">
        <v>609</v>
      </c>
      <c r="C416" s="50" t="s">
        <v>1160</v>
      </c>
      <c r="D416" s="50" t="s">
        <v>610</v>
      </c>
      <c r="E416" s="50" t="s">
        <v>19</v>
      </c>
      <c r="F416" s="50" t="s">
        <v>20</v>
      </c>
      <c r="G416" s="50" t="s">
        <v>980</v>
      </c>
      <c r="H416" s="52">
        <f>COUNTIF(K416:AN416,"")</f>
        <v>30</v>
      </c>
      <c r="I416" s="52">
        <f>COUNTIF(K416:AL416,"APAGADO")</f>
        <v>0</v>
      </c>
      <c r="J416" s="53">
        <f>(H416)/(I416+H416)</f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16" xr:uid="{32AE3966-3F3A-4A38-B5F8-35AF221F7220}"/>
  <phoneticPr fontId="6" type="noConversion"/>
  <conditionalFormatting sqref="L242:Q251 L347:AF349 R378:AF390 AG378:AN387 K378:K387 J359:AN359 L365:Q373 J360:K373 R301:AN373 L301:Q362 R294:T295 L292:T293 L296:T300 U292:AN300 U251:AN258 J259:AN291 J250:AN250 J192:K251 R192:T251 U192:AN249 L192:Q236 K5:AN6 K8:AN96 L299:AF300 J292:K358 L255:AF258 J252:T258 K99:K108 AG99:AN108 L100:AF108 J109:AN191 J4:J108 L391:AF416 J378:J416 R376:AN377 J376:K377 L376:Q384 J374:AN375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408:G408 E1:G397 E410:G1048576">
    <cfRule type="containsText" dxfId="702" priority="2260" operator="containsText" text="Radio">
      <formula>NOT(ISERROR(SEARCH("Radio",E1)))</formula>
    </cfRule>
  </conditionalFormatting>
  <conditionalFormatting sqref="L242:Q251 K347:AN349 K359:AN359 L365:Q373 K360:K373 R301:AN373 L301:Q362 R294:T295 L292:T293 L296:T300 U292:AN300 K292:K358 U251:AN258 K252:T258 K250:AN250 R192:T251 U192:AN249 L192:Q236 K5:AN6 K8:AN96 K299:AN300 K255:AN291 K109:AN110 AG99:AN108 L109:AN191 L100:AF108 K99:K251 R376:AN390 K376:K390 L376:Q384 K374:AN375 K39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64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64">
    <cfRule type="notContainsText" dxfId="697" priority="1707" operator="notContains" text="Caida">
      <formula>ISERROR(SEARCH("Caida",L364))</formula>
    </cfRule>
    <cfRule type="containsText" dxfId="696" priority="1708" operator="containsText" text="Caida">
      <formula>NOT(ISERROR(SEARCH("Caida",L364)))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94">
    <cfRule type="notContainsText" dxfId="692" priority="1743" operator="notContains" text="Caida">
      <formula>ISERROR(SEARCH("Caida",L294))</formula>
    </cfRule>
    <cfRule type="containsText" dxfId="691" priority="1744" operator="containsText" text="Caida">
      <formula>NOT(ISERROR(SEARCH("Caida",L294)))</formula>
    </cfRule>
  </conditionalFormatting>
  <conditionalFormatting sqref="L295:L296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95:L296">
    <cfRule type="notContainsText" dxfId="688" priority="1739" operator="notContains" text="Caida">
      <formula>ISERROR(SEARCH("Caida",L295))</formula>
    </cfRule>
    <cfRule type="containsText" dxfId="687" priority="1740" operator="containsText" text="Caida">
      <formula>NOT(ISERROR(SEARCH("Caida",L295)))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7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7">
    <cfRule type="notContainsText" dxfId="680" priority="1731" operator="notContains" text="Caida">
      <formula>ISERROR(SEARCH("Caida",L237))</formula>
    </cfRule>
    <cfRule type="containsText" dxfId="679" priority="1732" operator="containsText" text="Caida">
      <formula>NOT(ISERROR(SEARCH("Caida",L237)))</formula>
    </cfRule>
  </conditionalFormatting>
  <conditionalFormatting sqref="L238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8">
    <cfRule type="notContainsText" dxfId="676" priority="1727" operator="notContains" text="Caida">
      <formula>ISERROR(SEARCH("Caida",L238))</formula>
    </cfRule>
    <cfRule type="containsText" dxfId="675" priority="1728" operator="containsText" text="Caida">
      <formula>NOT(ISERROR(SEARCH("Caida",L238)))</formula>
    </cfRule>
  </conditionalFormatting>
  <conditionalFormatting sqref="L239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9">
    <cfRule type="notContainsText" dxfId="672" priority="1723" operator="notContains" text="Caida">
      <formula>ISERROR(SEARCH("Caida",L239))</formula>
    </cfRule>
    <cfRule type="containsText" dxfId="671" priority="1724" operator="containsText" text="Caida">
      <formula>NOT(ISERROR(SEARCH("Caida",L239)))</formula>
    </cfRule>
  </conditionalFormatting>
  <conditionalFormatting sqref="L240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40">
    <cfRule type="notContainsText" dxfId="668" priority="1719" operator="notContains" text="Caida">
      <formula>ISERROR(SEARCH("Caida",L240))</formula>
    </cfRule>
    <cfRule type="containsText" dxfId="667" priority="1720" operator="containsText" text="Caida">
      <formula>NOT(ISERROR(SEARCH("Caida",L240)))</formula>
    </cfRule>
  </conditionalFormatting>
  <conditionalFormatting sqref="L241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41">
    <cfRule type="notContainsText" dxfId="664" priority="1715" operator="notContains" text="Caida">
      <formula>ISERROR(SEARCH("Caida",L241))</formula>
    </cfRule>
    <cfRule type="containsText" dxfId="663" priority="1716" operator="containsText" text="Caida">
      <formula>NOT(ISERROR(SEARCH("Caida",L241)))</formula>
    </cfRule>
  </conditionalFormatting>
  <conditionalFormatting sqref="L363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63">
    <cfRule type="notContainsText" dxfId="660" priority="1711" operator="notContains" text="Caida">
      <formula>ISERROR(SEARCH("Caida",L363))</formula>
    </cfRule>
    <cfRule type="containsText" dxfId="659" priority="1712" operator="containsText" text="Caida">
      <formula>NOT(ISERROR(SEARCH("Caida",L363)))</formula>
    </cfRule>
  </conditionalFormatting>
  <conditionalFormatting sqref="M364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64">
    <cfRule type="notContainsText" dxfId="656" priority="1658" operator="notContains" text="Caida">
      <formula>ISERROR(SEARCH("Caida",M364))</formula>
    </cfRule>
    <cfRule type="containsText" dxfId="655" priority="1659" operator="containsText" text="Caida">
      <formula>NOT(ISERROR(SEARCH("Caida",M364)))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94">
    <cfRule type="notContainsText" dxfId="651" priority="1694" operator="notContains" text="Caida">
      <formula>ISERROR(SEARCH("Caida",M294))</formula>
    </cfRule>
    <cfRule type="containsText" dxfId="650" priority="1695" operator="containsText" text="Caida">
      <formula>NOT(ISERROR(SEARCH("Caida",M294)))</formula>
    </cfRule>
  </conditionalFormatting>
  <conditionalFormatting sqref="M295:M296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95:M296">
    <cfRule type="notContainsText" dxfId="647" priority="1690" operator="notContains" text="Caida">
      <formula>ISERROR(SEARCH("Caida",M295))</formula>
    </cfRule>
    <cfRule type="containsText" dxfId="646" priority="1691" operator="containsText" text="Caida">
      <formula>NOT(ISERROR(SEARCH("Caida",M295)))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7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7">
    <cfRule type="notContainsText" dxfId="639" priority="1682" operator="notContains" text="Caida">
      <formula>ISERROR(SEARCH("Caida",M237))</formula>
    </cfRule>
    <cfRule type="containsText" dxfId="638" priority="1683" operator="containsText" text="Caida">
      <formula>NOT(ISERROR(SEARCH("Caida",M237)))</formula>
    </cfRule>
  </conditionalFormatting>
  <conditionalFormatting sqref="M238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8">
    <cfRule type="notContainsText" dxfId="635" priority="1678" operator="notContains" text="Caida">
      <formula>ISERROR(SEARCH("Caida",M238))</formula>
    </cfRule>
    <cfRule type="containsText" dxfId="634" priority="1679" operator="containsText" text="Caida">
      <formula>NOT(ISERROR(SEARCH("Caida",M238)))</formula>
    </cfRule>
  </conditionalFormatting>
  <conditionalFormatting sqref="M239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9">
    <cfRule type="notContainsText" dxfId="631" priority="1674" operator="notContains" text="Caida">
      <formula>ISERROR(SEARCH("Caida",M239))</formula>
    </cfRule>
    <cfRule type="containsText" dxfId="630" priority="1675" operator="containsText" text="Caida">
      <formula>NOT(ISERROR(SEARCH("Caida",M239)))</formula>
    </cfRule>
  </conditionalFormatting>
  <conditionalFormatting sqref="M240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40">
    <cfRule type="notContainsText" dxfId="627" priority="1670" operator="notContains" text="Caida">
      <formula>ISERROR(SEARCH("Caida",M240))</formula>
    </cfRule>
    <cfRule type="containsText" dxfId="626" priority="1671" operator="containsText" text="Caida">
      <formula>NOT(ISERROR(SEARCH("Caida",M240)))</formula>
    </cfRule>
  </conditionalFormatting>
  <conditionalFormatting sqref="M241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41">
    <cfRule type="notContainsText" dxfId="623" priority="1666" operator="notContains" text="Caida">
      <formula>ISERROR(SEARCH("Caida",M241))</formula>
    </cfRule>
    <cfRule type="containsText" dxfId="622" priority="1667" operator="containsText" text="Caida">
      <formula>NOT(ISERROR(SEARCH("Caida",M241)))</formula>
    </cfRule>
  </conditionalFormatting>
  <conditionalFormatting sqref="M363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63">
    <cfRule type="notContainsText" dxfId="619" priority="1662" operator="notContains" text="Caida">
      <formula>ISERROR(SEARCH("Caida",M363))</formula>
    </cfRule>
    <cfRule type="containsText" dxfId="618" priority="1663" operator="containsText" text="Caida">
      <formula>NOT(ISERROR(SEARCH("Caida",M363)))</formula>
    </cfRule>
  </conditionalFormatting>
  <conditionalFormatting sqref="N364:P364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64:P364">
    <cfRule type="notContainsText" dxfId="615" priority="1609" operator="notContains" text="Caida">
      <formula>ISERROR(SEARCH("Caida",N364))</formula>
    </cfRule>
    <cfRule type="containsText" dxfId="614" priority="1610" operator="containsText" text="Caida">
      <formula>NOT(ISERROR(SEARCH("Caida",N364)))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94:P294">
    <cfRule type="notContainsText" dxfId="610" priority="1645" operator="notContains" text="Caida">
      <formula>ISERROR(SEARCH("Caida",N294))</formula>
    </cfRule>
    <cfRule type="containsText" dxfId="609" priority="1646" operator="containsText" text="Caida">
      <formula>NOT(ISERROR(SEARCH("Caida",N294)))</formula>
    </cfRule>
  </conditionalFormatting>
  <conditionalFormatting sqref="N295:P296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95:P296">
    <cfRule type="notContainsText" dxfId="606" priority="1641" operator="notContains" text="Caida">
      <formula>ISERROR(SEARCH("Caida",N295))</formula>
    </cfRule>
    <cfRule type="containsText" dxfId="605" priority="1642" operator="containsText" text="Caida">
      <formula>NOT(ISERROR(SEARCH("Caida",N295)))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7:P237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7:P237">
    <cfRule type="notContainsText" dxfId="598" priority="1633" operator="notContains" text="Caida">
      <formula>ISERROR(SEARCH("Caida",N237))</formula>
    </cfRule>
    <cfRule type="containsText" dxfId="597" priority="1634" operator="containsText" text="Caida">
      <formula>NOT(ISERROR(SEARCH("Caida",N237)))</formula>
    </cfRule>
  </conditionalFormatting>
  <conditionalFormatting sqref="N238:P238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8:P238">
    <cfRule type="notContainsText" dxfId="594" priority="1629" operator="notContains" text="Caida">
      <formula>ISERROR(SEARCH("Caida",N238))</formula>
    </cfRule>
    <cfRule type="containsText" dxfId="593" priority="1630" operator="containsText" text="Caida">
      <formula>NOT(ISERROR(SEARCH("Caida",N238)))</formula>
    </cfRule>
  </conditionalFormatting>
  <conditionalFormatting sqref="N239:P239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9:P239">
    <cfRule type="notContainsText" dxfId="590" priority="1625" operator="notContains" text="Caida">
      <formula>ISERROR(SEARCH("Caida",N239))</formula>
    </cfRule>
    <cfRule type="containsText" dxfId="589" priority="1626" operator="containsText" text="Caida">
      <formula>NOT(ISERROR(SEARCH("Caida",N239)))</formula>
    </cfRule>
  </conditionalFormatting>
  <conditionalFormatting sqref="N240:P240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40:P240">
    <cfRule type="notContainsText" dxfId="586" priority="1621" operator="notContains" text="Caida">
      <formula>ISERROR(SEARCH("Caida",N240))</formula>
    </cfRule>
    <cfRule type="containsText" dxfId="585" priority="1622" operator="containsText" text="Caida">
      <formula>NOT(ISERROR(SEARCH("Caida",N240)))</formula>
    </cfRule>
  </conditionalFormatting>
  <conditionalFormatting sqref="N241:P241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41:P241">
    <cfRule type="notContainsText" dxfId="582" priority="1617" operator="notContains" text="Caida">
      <formula>ISERROR(SEARCH("Caida",N241))</formula>
    </cfRule>
    <cfRule type="containsText" dxfId="581" priority="1618" operator="containsText" text="Caida">
      <formula>NOT(ISERROR(SEARCH("Caida",N241)))</formula>
    </cfRule>
  </conditionalFormatting>
  <conditionalFormatting sqref="N363:P363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63:P363">
    <cfRule type="notContainsText" dxfId="578" priority="1613" operator="notContains" text="Caida">
      <formula>ISERROR(SEARCH("Caida",N363))</formula>
    </cfRule>
    <cfRule type="containsText" dxfId="577" priority="1614" operator="containsText" text="Caida">
      <formula>NOT(ISERROR(SEARCH("Caida",N363)))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8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85">
    <cfRule type="notContainsText" dxfId="562" priority="1437" operator="notContains" text="Caida">
      <formula>ISERROR(SEARCH("Caida",L385))</formula>
    </cfRule>
    <cfRule type="containsText" dxfId="561" priority="1438" operator="containsText" text="Caida">
      <formula>NOT(ISERROR(SEARCH("Caida",L385)))</formula>
    </cfRule>
  </conditionalFormatting>
  <conditionalFormatting sqref="M38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85">
    <cfRule type="notContainsText" dxfId="558" priority="1433" operator="notContains" text="Caida">
      <formula>ISERROR(SEARCH("Caida",M385))</formula>
    </cfRule>
    <cfRule type="containsText" dxfId="557" priority="1434" operator="containsText" text="Caida">
      <formula>NOT(ISERROR(SEARCH("Caida",M385)))</formula>
    </cfRule>
  </conditionalFormatting>
  <conditionalFormatting sqref="N385:P38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85:P385">
    <cfRule type="notContainsText" dxfId="554" priority="1429" operator="notContains" text="Caida">
      <formula>ISERROR(SEARCH("Caida",N385))</formula>
    </cfRule>
    <cfRule type="containsText" dxfId="553" priority="1430" operator="containsText" text="Caida">
      <formula>NOT(ISERROR(SEARCH("Caida",N385)))</formula>
    </cfRule>
  </conditionalFormatting>
  <conditionalFormatting sqref="L38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86">
    <cfRule type="notContainsText" dxfId="550" priority="1398" operator="notContains" text="Caida">
      <formula>ISERROR(SEARCH("Caida",L386))</formula>
    </cfRule>
    <cfRule type="containsText" dxfId="549" priority="1399" operator="containsText" text="Caida">
      <formula>NOT(ISERROR(SEARCH("Caida",L386)))</formula>
    </cfRule>
  </conditionalFormatting>
  <conditionalFormatting sqref="M38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86">
    <cfRule type="notContainsText" dxfId="546" priority="1394" operator="notContains" text="Caida">
      <formula>ISERROR(SEARCH("Caida",M386))</formula>
    </cfRule>
    <cfRule type="containsText" dxfId="545" priority="1395" operator="containsText" text="Caida">
      <formula>NOT(ISERROR(SEARCH("Caida",M386)))</formula>
    </cfRule>
  </conditionalFormatting>
  <conditionalFormatting sqref="N386:P38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86:P386">
    <cfRule type="notContainsText" dxfId="542" priority="1390" operator="notContains" text="Caida">
      <formula>ISERROR(SEARCH("Caida",N386))</formula>
    </cfRule>
    <cfRule type="containsText" dxfId="541" priority="1391" operator="containsText" text="Caida">
      <formula>NOT(ISERROR(SEARCH("Caida",N386)))</formula>
    </cfRule>
  </conditionalFormatting>
  <conditionalFormatting sqref="L38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87">
    <cfRule type="notContainsText" dxfId="538" priority="1359" operator="notContains" text="Caida">
      <formula>ISERROR(SEARCH("Caida",L387))</formula>
    </cfRule>
    <cfRule type="containsText" dxfId="537" priority="1360" operator="containsText" text="Caida">
      <formula>NOT(ISERROR(SEARCH("Caida",L387)))</formula>
    </cfRule>
  </conditionalFormatting>
  <conditionalFormatting sqref="M38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87">
    <cfRule type="notContainsText" dxfId="534" priority="1355" operator="notContains" text="Caida">
      <formula>ISERROR(SEARCH("Caida",M387))</formula>
    </cfRule>
    <cfRule type="containsText" dxfId="533" priority="1356" operator="containsText" text="Caida">
      <formula>NOT(ISERROR(SEARCH("Caida",M387)))</formula>
    </cfRule>
  </conditionalFormatting>
  <conditionalFormatting sqref="N387:P38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87:P387">
    <cfRule type="notContainsText" dxfId="530" priority="1351" operator="notContains" text="Caida">
      <formula>ISERROR(SEARCH("Caida",N387))</formula>
    </cfRule>
    <cfRule type="containsText" dxfId="529" priority="1352" operator="containsText" text="Caida">
      <formula>NOT(ISERROR(SEARCH("Caida",N387)))</formula>
    </cfRule>
  </conditionalFormatting>
  <conditionalFormatting sqref="Q237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7">
    <cfRule type="notContainsText" dxfId="526" priority="1279" operator="notContains" text="Caida">
      <formula>ISERROR(SEARCH("Caida",Q237))</formula>
    </cfRule>
    <cfRule type="containsText" dxfId="525" priority="1280" operator="containsText" text="Caida">
      <formula>NOT(ISERROR(SEARCH("Caida",Q237)))</formula>
    </cfRule>
  </conditionalFormatting>
  <conditionalFormatting sqref="Q238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8">
    <cfRule type="notContainsText" dxfId="522" priority="1275" operator="notContains" text="Caida">
      <formula>ISERROR(SEARCH("Caida",Q238))</formula>
    </cfRule>
    <cfRule type="containsText" dxfId="521" priority="1276" operator="containsText" text="Caida">
      <formula>NOT(ISERROR(SEARCH("Caida",Q238)))</formula>
    </cfRule>
  </conditionalFormatting>
  <conditionalFormatting sqref="L388:L39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88:L390">
    <cfRule type="notContainsText" dxfId="518" priority="1320" operator="notContains" text="Caida">
      <formula>ISERROR(SEARCH("Caida",L388))</formula>
    </cfRule>
    <cfRule type="containsText" dxfId="517" priority="1321" operator="containsText" text="Caida">
      <formula>NOT(ISERROR(SEARCH("Caida",L388)))</formula>
    </cfRule>
  </conditionalFormatting>
  <conditionalFormatting sqref="M388:M39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88:M390">
    <cfRule type="notContainsText" dxfId="514" priority="1316" operator="notContains" text="Caida">
      <formula>ISERROR(SEARCH("Caida",M388))</formula>
    </cfRule>
    <cfRule type="containsText" dxfId="513" priority="1317" operator="containsText" text="Caida">
      <formula>NOT(ISERROR(SEARCH("Caida",M388)))</formula>
    </cfRule>
  </conditionalFormatting>
  <conditionalFormatting sqref="N388:P38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88:P388">
    <cfRule type="notContainsText" dxfId="510" priority="1312" operator="notContains" text="Caida">
      <formula>ISERROR(SEARCH("Caida",N388))</formula>
    </cfRule>
    <cfRule type="containsText" dxfId="509" priority="1313" operator="containsText" text="Caida">
      <formula>NOT(ISERROR(SEARCH("Caida",N388)))</formula>
    </cfRule>
  </conditionalFormatting>
  <conditionalFormatting sqref="Q38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86">
    <cfRule type="notContainsText" dxfId="506" priority="1243" operator="notContains" text="Caida">
      <formula>ISERROR(SEARCH("Caida",Q386))</formula>
    </cfRule>
    <cfRule type="containsText" dxfId="505" priority="1244" operator="containsText" text="Caida">
      <formula>NOT(ISERROR(SEARCH("Caida",Q386)))</formula>
    </cfRule>
  </conditionalFormatting>
  <conditionalFormatting sqref="Q38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87">
    <cfRule type="notContainsText" dxfId="502" priority="1239" operator="notContains" text="Caida">
      <formula>ISERROR(SEARCH("Caida",Q387))</formula>
    </cfRule>
    <cfRule type="containsText" dxfId="501" priority="1240" operator="containsText" text="Caida">
      <formula>NOT(ISERROR(SEARCH("Caida",Q387)))</formula>
    </cfRule>
  </conditionalFormatting>
  <conditionalFormatting sqref="Q388:Q39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88:Q390">
    <cfRule type="notContainsText" dxfId="498" priority="1235" operator="notContains" text="Caida">
      <formula>ISERROR(SEARCH("Caida",Q388))</formula>
    </cfRule>
    <cfRule type="containsText" dxfId="497" priority="1236" operator="containsText" text="Caida">
      <formula>NOT(ISERROR(SEARCH("Caida",Q388)))</formula>
    </cfRule>
  </conditionalFormatting>
  <conditionalFormatting sqref="Q364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64">
    <cfRule type="notContainsText" dxfId="494" priority="1255" operator="notContains" text="Caida">
      <formula>ISERROR(SEARCH("Caida",Q364))</formula>
    </cfRule>
    <cfRule type="containsText" dxfId="493" priority="1256" operator="containsText" text="Caida">
      <formula>NOT(ISERROR(SEARCH("Caida",Q364)))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94">
    <cfRule type="notContainsText" dxfId="489" priority="1291" operator="notContains" text="Caida">
      <formula>ISERROR(SEARCH("Caida",Q294))</formula>
    </cfRule>
    <cfRule type="containsText" dxfId="488" priority="1292" operator="containsText" text="Caida">
      <formula>NOT(ISERROR(SEARCH("Caida",Q294)))</formula>
    </cfRule>
  </conditionalFormatting>
  <conditionalFormatting sqref="Q295:Q296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95:Q296">
    <cfRule type="notContainsText" dxfId="485" priority="1287" operator="notContains" text="Caida">
      <formula>ISERROR(SEARCH("Caida",Q295))</formula>
    </cfRule>
    <cfRule type="containsText" dxfId="484" priority="1288" operator="containsText" text="Caida">
      <formula>NOT(ISERROR(SEARCH("Caida",Q295)))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9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9">
    <cfRule type="notContainsText" dxfId="477" priority="1271" operator="notContains" text="Caida">
      <formula>ISERROR(SEARCH("Caida",Q239))</formula>
    </cfRule>
    <cfRule type="containsText" dxfId="476" priority="1272" operator="containsText" text="Caida">
      <formula>NOT(ISERROR(SEARCH("Caida",Q239)))</formula>
    </cfRule>
  </conditionalFormatting>
  <conditionalFormatting sqref="Q240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40">
    <cfRule type="notContainsText" dxfId="473" priority="1267" operator="notContains" text="Caida">
      <formula>ISERROR(SEARCH("Caida",Q240))</formula>
    </cfRule>
    <cfRule type="containsText" dxfId="472" priority="1268" operator="containsText" text="Caida">
      <formula>NOT(ISERROR(SEARCH("Caida",Q240)))</formula>
    </cfRule>
  </conditionalFormatting>
  <conditionalFormatting sqref="Q241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41">
    <cfRule type="notContainsText" dxfId="469" priority="1263" operator="notContains" text="Caida">
      <formula>ISERROR(SEARCH("Caida",Q241))</formula>
    </cfRule>
    <cfRule type="containsText" dxfId="468" priority="1264" operator="containsText" text="Caida">
      <formula>NOT(ISERROR(SEARCH("Caida",Q241)))</formula>
    </cfRule>
  </conditionalFormatting>
  <conditionalFormatting sqref="Q363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63">
    <cfRule type="notContainsText" dxfId="465" priority="1259" operator="notContains" text="Caida">
      <formula>ISERROR(SEARCH("Caida",Q363))</formula>
    </cfRule>
    <cfRule type="containsText" dxfId="464" priority="1260" operator="containsText" text="Caida">
      <formula>NOT(ISERROR(SEARCH("Caida",Q363)))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8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85">
    <cfRule type="notContainsText" dxfId="457" priority="1247" operator="notContains" text="Caida">
      <formula>ISERROR(SEARCH("Caida",Q385))</formula>
    </cfRule>
    <cfRule type="containsText" dxfId="456" priority="1248" operator="containsText" text="Caida">
      <formula>NOT(ISERROR(SEARCH("Caida",Q385)))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408 E1:E390 E41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17:AN1048576 K5:AN41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408 F1:F390 F410:F1048576">
    <cfRule type="cellIs" dxfId="426" priority="937" operator="equal">
      <formula>"PTP A FO"</formula>
    </cfRule>
  </conditionalFormatting>
  <conditionalFormatting sqref="N389:P39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89:P390">
    <cfRule type="notContainsText" dxfId="423" priority="564" operator="notContains" text="Caida">
      <formula>ISERROR(SEARCH("Caida",N389))</formula>
    </cfRule>
    <cfRule type="containsText" dxfId="422" priority="565" operator="containsText" text="Caida">
      <formula>NOT(ISERROR(SEARCH("Caida",N389)))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:AD104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:AD104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21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21">
    <cfRule type="notContainsText" dxfId="338" priority="293" operator="notContains" text="Caida">
      <formula>ISERROR(SEARCH("Caida",AD121))</formula>
    </cfRule>
    <cfRule type="containsText" dxfId="337" priority="294" operator="containsText" text="Caida">
      <formula>NOT(ISERROR(SEARCH("Caida",AD121)))</formula>
    </cfRule>
  </conditionalFormatting>
  <conditionalFormatting sqref="AD122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2">
    <cfRule type="notContainsText" dxfId="334" priority="289" operator="notContains" text="Caida">
      <formula>ISERROR(SEARCH("Caida",AD122))</formula>
    </cfRule>
    <cfRule type="containsText" dxfId="333" priority="290" operator="containsText" text="Caida">
      <formula>NOT(ISERROR(SEARCH("Caida",AD122)))</formula>
    </cfRule>
  </conditionalFormatting>
  <conditionalFormatting sqref="AD126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6">
    <cfRule type="notContainsText" dxfId="330" priority="285" operator="notContains" text="Caida">
      <formula>ISERROR(SEARCH("Caida",AD126))</formula>
    </cfRule>
    <cfRule type="containsText" dxfId="329" priority="286" operator="containsText" text="Caida">
      <formula>NOT(ISERROR(SEARCH("Caida",AD126)))</formula>
    </cfRule>
  </conditionalFormatting>
  <conditionalFormatting sqref="AD127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7">
    <cfRule type="notContainsText" dxfId="326" priority="281" operator="notContains" text="Caida">
      <formula>ISERROR(SEARCH("Caida",AD127))</formula>
    </cfRule>
    <cfRule type="containsText" dxfId="325" priority="282" operator="containsText" text="Caida">
      <formula>NOT(ISERROR(SEARCH("Caida",AD127)))</formula>
    </cfRule>
  </conditionalFormatting>
  <conditionalFormatting sqref="AD139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9">
    <cfRule type="notContainsText" dxfId="322" priority="277" operator="notContains" text="Caida">
      <formula>ISERROR(SEARCH("Caida",AD139))</formula>
    </cfRule>
    <cfRule type="containsText" dxfId="321" priority="278" operator="containsText" text="Caida">
      <formula>NOT(ISERROR(SEARCH("Caida",AD139)))</formula>
    </cfRule>
  </conditionalFormatting>
  <conditionalFormatting sqref="AD141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41">
    <cfRule type="notContainsText" dxfId="318" priority="273" operator="notContains" text="Caida">
      <formula>ISERROR(SEARCH("Caida",AD141))</formula>
    </cfRule>
    <cfRule type="containsText" dxfId="317" priority="274" operator="containsText" text="Caida">
      <formula>NOT(ISERROR(SEARCH("Caida",AD141)))</formula>
    </cfRule>
  </conditionalFormatting>
  <conditionalFormatting sqref="AD148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8">
    <cfRule type="notContainsText" dxfId="314" priority="269" operator="notContains" text="Caida">
      <formula>ISERROR(SEARCH("Caida",AD148))</formula>
    </cfRule>
    <cfRule type="containsText" dxfId="313" priority="270" operator="containsText" text="Caida">
      <formula>NOT(ISERROR(SEARCH("Caida",AD148)))</formula>
    </cfRule>
  </conditionalFormatting>
  <conditionalFormatting sqref="AD149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9">
    <cfRule type="notContainsText" dxfId="310" priority="265" operator="notContains" text="Caida">
      <formula>ISERROR(SEARCH("Caida",AD149))</formula>
    </cfRule>
    <cfRule type="containsText" dxfId="309" priority="266" operator="containsText" text="Caida">
      <formula>NOT(ISERROR(SEARCH("Caida",AD149)))</formula>
    </cfRule>
  </conditionalFormatting>
  <conditionalFormatting sqref="AD150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50">
    <cfRule type="notContainsText" dxfId="306" priority="261" operator="notContains" text="Caida">
      <formula>ISERROR(SEARCH("Caida",AD150))</formula>
    </cfRule>
    <cfRule type="containsText" dxfId="305" priority="262" operator="containsText" text="Caida">
      <formula>NOT(ISERROR(SEARCH("Caida",AD150)))</formula>
    </cfRule>
  </conditionalFormatting>
  <conditionalFormatting sqref="AD169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9">
    <cfRule type="notContainsText" dxfId="302" priority="257" operator="notContains" text="Caida">
      <formula>ISERROR(SEARCH("Caida",AD169))</formula>
    </cfRule>
    <cfRule type="containsText" dxfId="301" priority="258" operator="containsText" text="Caida">
      <formula>NOT(ISERROR(SEARCH("Caida",AD169)))</formula>
    </cfRule>
  </conditionalFormatting>
  <conditionalFormatting sqref="AD170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70">
    <cfRule type="notContainsText" dxfId="298" priority="253" operator="notContains" text="Caida">
      <formula>ISERROR(SEARCH("Caida",AD170))</formula>
    </cfRule>
    <cfRule type="containsText" dxfId="297" priority="254" operator="containsText" text="Caida">
      <formula>NOT(ISERROR(SEARCH("Caida",AD170)))</formula>
    </cfRule>
  </conditionalFormatting>
  <conditionalFormatting sqref="AD17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2">
    <cfRule type="notContainsText" dxfId="294" priority="249" operator="notContains" text="Caida">
      <formula>ISERROR(SEARCH("Caida",AD172))</formula>
    </cfRule>
    <cfRule type="containsText" dxfId="293" priority="250" operator="containsText" text="Caida">
      <formula>NOT(ISERROR(SEARCH("Caida",AD172)))</formula>
    </cfRule>
  </conditionalFormatting>
  <conditionalFormatting sqref="AD185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5">
    <cfRule type="notContainsText" dxfId="290" priority="245" operator="notContains" text="Caida">
      <formula>ISERROR(SEARCH("Caida",AD185))</formula>
    </cfRule>
    <cfRule type="containsText" dxfId="289" priority="246" operator="containsText" text="Caida">
      <formula>NOT(ISERROR(SEARCH("Caida",AD185)))</formula>
    </cfRule>
  </conditionalFormatting>
  <conditionalFormatting sqref="AD19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6">
    <cfRule type="notContainsText" dxfId="286" priority="241" operator="notContains" text="Caida">
      <formula>ISERROR(SEARCH("Caida",AD196))</formula>
    </cfRule>
    <cfRule type="containsText" dxfId="285" priority="242" operator="containsText" text="Caida">
      <formula>NOT(ISERROR(SEARCH("Caida",AD196)))</formula>
    </cfRule>
  </conditionalFormatting>
  <conditionalFormatting sqref="AD197:AD198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7:AD198">
    <cfRule type="notContainsText" dxfId="282" priority="237" operator="notContains" text="Caida">
      <formula>ISERROR(SEARCH("Caida",AD197))</formula>
    </cfRule>
    <cfRule type="containsText" dxfId="281" priority="238" operator="containsText" text="Caida">
      <formula>NOT(ISERROR(SEARCH("Caida",AD197)))</formula>
    </cfRule>
  </conditionalFormatting>
  <conditionalFormatting sqref="AD20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4">
    <cfRule type="notContainsText" dxfId="278" priority="233" operator="notContains" text="Caida">
      <formula>ISERROR(SEARCH("Caida",AD204))</formula>
    </cfRule>
    <cfRule type="containsText" dxfId="277" priority="234" operator="containsText" text="Caida">
      <formula>NOT(ISERROR(SEARCH("Caida",AD204)))</formula>
    </cfRule>
  </conditionalFormatting>
  <conditionalFormatting sqref="AD212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2">
    <cfRule type="notContainsText" dxfId="274" priority="229" operator="notContains" text="Caida">
      <formula>ISERROR(SEARCH("Caida",AD212))</formula>
    </cfRule>
    <cfRule type="containsText" dxfId="273" priority="230" operator="containsText" text="Caida">
      <formula>NOT(ISERROR(SEARCH("Caida",AD212)))</formula>
    </cfRule>
  </conditionalFormatting>
  <conditionalFormatting sqref="AD217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7">
    <cfRule type="notContainsText" dxfId="270" priority="225" operator="notContains" text="Caida">
      <formula>ISERROR(SEARCH("Caida",AD217))</formula>
    </cfRule>
    <cfRule type="containsText" dxfId="269" priority="226" operator="containsText" text="Caida">
      <formula>NOT(ISERROR(SEARCH("Caida",AD217)))</formula>
    </cfRule>
  </conditionalFormatting>
  <conditionalFormatting sqref="AD218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8">
    <cfRule type="notContainsText" dxfId="266" priority="221" operator="notContains" text="Caida">
      <formula>ISERROR(SEARCH("Caida",AD218))</formula>
    </cfRule>
    <cfRule type="containsText" dxfId="265" priority="222" operator="containsText" text="Caida">
      <formula>NOT(ISERROR(SEARCH("Caida",AD218)))</formula>
    </cfRule>
  </conditionalFormatting>
  <conditionalFormatting sqref="AD377">
    <cfRule type="cellIs" dxfId="264" priority="220" operator="equal">
      <formula>"apagado"</formula>
    </cfRule>
  </conditionalFormatting>
  <conditionalFormatting sqref="AD382">
    <cfRule type="cellIs" dxfId="263" priority="219" operator="equal">
      <formula>"apagado"</formula>
    </cfRule>
  </conditionalFormatting>
  <conditionalFormatting sqref="AD378">
    <cfRule type="cellIs" dxfId="262" priority="218" operator="equal">
      <formula>"apagado"</formula>
    </cfRule>
  </conditionalFormatting>
  <conditionalFormatting sqref="AD379">
    <cfRule type="cellIs" dxfId="261" priority="217" operator="equal">
      <formula>"apagado"</formula>
    </cfRule>
  </conditionalFormatting>
  <conditionalFormatting sqref="AD212">
    <cfRule type="cellIs" dxfId="260" priority="216" operator="equal">
      <formula>"apagado"</formula>
    </cfRule>
  </conditionalFormatting>
  <conditionalFormatting sqref="AD217">
    <cfRule type="cellIs" dxfId="259" priority="215" operator="equal">
      <formula>"apagado"</formula>
    </cfRule>
  </conditionalFormatting>
  <conditionalFormatting sqref="AD218">
    <cfRule type="cellIs" dxfId="258" priority="214" operator="equal">
      <formula>"apagado"</formula>
    </cfRule>
  </conditionalFormatting>
  <conditionalFormatting sqref="AD204">
    <cfRule type="cellIs" dxfId="257" priority="213" operator="equal">
      <formula>"apagado"</formula>
    </cfRule>
  </conditionalFormatting>
  <conditionalFormatting sqref="AD197:AD198">
    <cfRule type="cellIs" dxfId="256" priority="212" operator="equal">
      <formula>"apagado"</formula>
    </cfRule>
  </conditionalFormatting>
  <conditionalFormatting sqref="AD196">
    <cfRule type="cellIs" dxfId="255" priority="211" operator="equal">
      <formula>"apagado"</formula>
    </cfRule>
  </conditionalFormatting>
  <conditionalFormatting sqref="AD185">
    <cfRule type="cellIs" dxfId="254" priority="210" operator="equal">
      <formula>"apagado"</formula>
    </cfRule>
  </conditionalFormatting>
  <conditionalFormatting sqref="AD172">
    <cfRule type="cellIs" dxfId="253" priority="209" operator="equal">
      <formula>"apagado"</formula>
    </cfRule>
  </conditionalFormatting>
  <conditionalFormatting sqref="AD169">
    <cfRule type="cellIs" dxfId="252" priority="208" operator="equal">
      <formula>"apagado"</formula>
    </cfRule>
  </conditionalFormatting>
  <conditionalFormatting sqref="AD170">
    <cfRule type="cellIs" dxfId="251" priority="207" operator="equal">
      <formula>"apagado"</formula>
    </cfRule>
  </conditionalFormatting>
  <conditionalFormatting sqref="AD148">
    <cfRule type="cellIs" dxfId="250" priority="206" operator="equal">
      <formula>"apagado"</formula>
    </cfRule>
  </conditionalFormatting>
  <conditionalFormatting sqref="AD149">
    <cfRule type="cellIs" dxfId="249" priority="205" operator="equal">
      <formula>"apagado"</formula>
    </cfRule>
  </conditionalFormatting>
  <conditionalFormatting sqref="AD150">
    <cfRule type="cellIs" dxfId="248" priority="204" operator="equal">
      <formula>"apagado"</formula>
    </cfRule>
  </conditionalFormatting>
  <conditionalFormatting sqref="AD139">
    <cfRule type="cellIs" dxfId="247" priority="203" operator="equal">
      <formula>"apagado"</formula>
    </cfRule>
  </conditionalFormatting>
  <conditionalFormatting sqref="AD141">
    <cfRule type="cellIs" dxfId="246" priority="202" operator="equal">
      <formula>"apagado"</formula>
    </cfRule>
  </conditionalFormatting>
  <conditionalFormatting sqref="AD121">
    <cfRule type="cellIs" dxfId="245" priority="201" operator="equal">
      <formula>"apagado"</formula>
    </cfRule>
  </conditionalFormatting>
  <conditionalFormatting sqref="AD122">
    <cfRule type="cellIs" dxfId="244" priority="200" operator="equal">
      <formula>"apagado"</formula>
    </cfRule>
  </conditionalFormatting>
  <conditionalFormatting sqref="AD126">
    <cfRule type="cellIs" dxfId="243" priority="199" operator="equal">
      <formula>"apagado"</formula>
    </cfRule>
  </conditionalFormatting>
  <conditionalFormatting sqref="AD127">
    <cfRule type="cellIs" dxfId="242" priority="198" operator="equal">
      <formula>"apagado"</formula>
    </cfRule>
  </conditionalFormatting>
  <conditionalFormatting sqref="AD103:AD104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91:E397">
    <cfRule type="containsText" dxfId="234" priority="158" operator="containsText" text="fija">
      <formula>NOT(ISERROR(SEARCH("fija",E391)))</formula>
    </cfRule>
    <cfRule type="containsText" dxfId="233" priority="159" operator="containsText" text="domo">
      <formula>NOT(ISERROR(SEARCH("domo",E391)))</formula>
    </cfRule>
  </conditionalFormatting>
  <conditionalFormatting sqref="F391:F39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$C$200</formula>
    </cfRule>
    <cfRule type="cellIs" dxfId="227" priority="99" operator="equal">
      <formula>$C$188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40">
    <cfRule type="cellIs" dxfId="211" priority="65" operator="equal">
      <formula>"apagado"</formula>
    </cfRule>
  </conditionalFormatting>
  <conditionalFormatting sqref="AB162">
    <cfRule type="cellIs" dxfId="210" priority="64" operator="equal">
      <formula>"apagado"</formula>
    </cfRule>
  </conditionalFormatting>
  <conditionalFormatting sqref="AB164">
    <cfRule type="cellIs" dxfId="209" priority="63" operator="equal">
      <formula>"apagado"</formula>
    </cfRule>
  </conditionalFormatting>
  <conditionalFormatting sqref="AB169">
    <cfRule type="cellIs" dxfId="208" priority="62" operator="equal">
      <formula>"apagado"</formula>
    </cfRule>
  </conditionalFormatting>
  <conditionalFormatting sqref="AB172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6">
    <cfRule type="cellIs" dxfId="201" priority="55" operator="equal">
      <formula>"apagado"</formula>
    </cfRule>
  </conditionalFormatting>
  <conditionalFormatting sqref="AB264">
    <cfRule type="cellIs" dxfId="200" priority="54" operator="equal">
      <formula>"apagado"</formula>
    </cfRule>
  </conditionalFormatting>
  <conditionalFormatting sqref="AB265">
    <cfRule type="cellIs" dxfId="199" priority="53" operator="equal">
      <formula>"apagado"</formula>
    </cfRule>
  </conditionalFormatting>
  <conditionalFormatting sqref="AB303">
    <cfRule type="cellIs" dxfId="198" priority="52" operator="equal">
      <formula>"apagado"</formula>
    </cfRule>
  </conditionalFormatting>
  <conditionalFormatting sqref="AB304">
    <cfRule type="cellIs" dxfId="197" priority="51" operator="equal">
      <formula>"apagado"</formula>
    </cfRule>
  </conditionalFormatting>
  <conditionalFormatting sqref="AB301">
    <cfRule type="cellIs" dxfId="196" priority="50" operator="equal">
      <formula>"apagado"</formula>
    </cfRule>
  </conditionalFormatting>
  <conditionalFormatting sqref="AB302:AB304">
    <cfRule type="cellIs" dxfId="195" priority="49" operator="equal">
      <formula>"apagado"</formula>
    </cfRule>
  </conditionalFormatting>
  <conditionalFormatting sqref="AB329">
    <cfRule type="cellIs" dxfId="194" priority="48" operator="equal">
      <formula>"apagado"</formula>
    </cfRule>
  </conditionalFormatting>
  <conditionalFormatting sqref="AB338">
    <cfRule type="cellIs" dxfId="193" priority="47" operator="equal">
      <formula>"apagado"</formula>
    </cfRule>
  </conditionalFormatting>
  <conditionalFormatting sqref="AB339">
    <cfRule type="cellIs" dxfId="192" priority="46" operator="equal">
      <formula>"apagado"</formula>
    </cfRule>
  </conditionalFormatting>
  <conditionalFormatting sqref="AB356">
    <cfRule type="cellIs" dxfId="191" priority="45" operator="equal">
      <formula>"apagado"</formula>
    </cfRule>
  </conditionalFormatting>
  <conditionalFormatting sqref="AB372">
    <cfRule type="cellIs" dxfId="190" priority="44" operator="equal">
      <formula>"apagado"</formula>
    </cfRule>
  </conditionalFormatting>
  <conditionalFormatting sqref="AB373:AB375">
    <cfRule type="cellIs" dxfId="189" priority="43" operator="equal">
      <formula>"apagado"</formula>
    </cfRule>
  </conditionalFormatting>
  <conditionalFormatting sqref="AB378">
    <cfRule type="cellIs" dxfId="188" priority="42" operator="equal">
      <formula>"apagado"</formula>
    </cfRule>
  </conditionalFormatting>
  <conditionalFormatting sqref="AB379">
    <cfRule type="cellIs" dxfId="187" priority="41" operator="equal">
      <formula>"apagado"</formula>
    </cfRule>
  </conditionalFormatting>
  <conditionalFormatting sqref="AB387">
    <cfRule type="cellIs" dxfId="186" priority="40" operator="equal">
      <formula>"apagado"</formula>
    </cfRule>
  </conditionalFormatting>
  <conditionalFormatting sqref="AB219">
    <cfRule type="cellIs" dxfId="185" priority="39" operator="equal">
      <formula>"apagado"</formula>
    </cfRule>
  </conditionalFormatting>
  <conditionalFormatting sqref="AB220">
    <cfRule type="cellIs" dxfId="184" priority="38" operator="equal">
      <formula>"apagado"</formula>
    </cfRule>
  </conditionalFormatting>
  <conditionalFormatting sqref="AB221">
    <cfRule type="cellIs" dxfId="183" priority="37" operator="equal">
      <formula>"apagado"</formula>
    </cfRule>
  </conditionalFormatting>
  <conditionalFormatting sqref="AB222">
    <cfRule type="cellIs" dxfId="182" priority="36" operator="equal">
      <formula>"apagado"</formula>
    </cfRule>
  </conditionalFormatting>
  <conditionalFormatting sqref="AB230">
    <cfRule type="cellIs" dxfId="181" priority="35" operator="equal">
      <formula>"apagado"</formula>
    </cfRule>
  </conditionalFormatting>
  <conditionalFormatting sqref="AB223">
    <cfRule type="cellIs" dxfId="180" priority="34" operator="equal">
      <formula>"apagado"</formula>
    </cfRule>
  </conditionalFormatting>
  <conditionalFormatting sqref="AB216">
    <cfRule type="cellIs" dxfId="179" priority="33" operator="equal">
      <formula>"apagado"</formula>
    </cfRule>
  </conditionalFormatting>
  <conditionalFormatting sqref="E411:E412">
    <cfRule type="containsText" dxfId="178" priority="31" operator="containsText" text="fija">
      <formula>NOT(ISERROR(SEARCH("fija",E411)))</formula>
    </cfRule>
    <cfRule type="containsText" dxfId="177" priority="32" operator="containsText" text="domo">
      <formula>NOT(ISERROR(SEARCH("domo",E411)))</formula>
    </cfRule>
  </conditionalFormatting>
  <conditionalFormatting sqref="E399">
    <cfRule type="containsText" dxfId="176" priority="30" operator="containsText" text="Radio">
      <formula>NOT(ISERROR(SEARCH("Radio",E399)))</formula>
    </cfRule>
  </conditionalFormatting>
  <conditionalFormatting sqref="E399">
    <cfRule type="containsText" dxfId="175" priority="28" operator="containsText" text="fija">
      <formula>NOT(ISERROR(SEARCH("fija",E399)))</formula>
    </cfRule>
    <cfRule type="containsText" dxfId="174" priority="29" operator="containsText" text="domo">
      <formula>NOT(ISERROR(SEARCH("domo",E399)))</formula>
    </cfRule>
  </conditionalFormatting>
  <conditionalFormatting sqref="E399">
    <cfRule type="containsText" dxfId="173" priority="26" operator="containsText" text="fija">
      <formula>NOT(ISERROR(SEARCH("fija",E399)))</formula>
    </cfRule>
    <cfRule type="containsText" dxfId="172" priority="27" operator="containsText" text="domo">
      <formula>NOT(ISERROR(SEARCH("domo",E399)))</formula>
    </cfRule>
  </conditionalFormatting>
  <conditionalFormatting sqref="E400">
    <cfRule type="containsText" dxfId="171" priority="25" operator="containsText" text="Radio">
      <formula>NOT(ISERROR(SEARCH("Radio",E400)))</formula>
    </cfRule>
  </conditionalFormatting>
  <conditionalFormatting sqref="E400">
    <cfRule type="containsText" dxfId="170" priority="23" operator="containsText" text="fija">
      <formula>NOT(ISERROR(SEARCH("fija",E400)))</formula>
    </cfRule>
    <cfRule type="containsText" dxfId="169" priority="24" operator="containsText" text="domo">
      <formula>NOT(ISERROR(SEARCH("domo",E400)))</formula>
    </cfRule>
  </conditionalFormatting>
  <conditionalFormatting sqref="E400">
    <cfRule type="containsText" dxfId="168" priority="21" operator="containsText" text="fija">
      <formula>NOT(ISERROR(SEARCH("fija",E400)))</formula>
    </cfRule>
    <cfRule type="containsText" dxfId="167" priority="22" operator="containsText" text="domo">
      <formula>NOT(ISERROR(SEARCH("domo",E400)))</formula>
    </cfRule>
  </conditionalFormatting>
  <conditionalFormatting sqref="E403">
    <cfRule type="containsText" dxfId="166" priority="20" operator="containsText" text="Radio">
      <formula>NOT(ISERROR(SEARCH("Radio",E403)))</formula>
    </cfRule>
  </conditionalFormatting>
  <conditionalFormatting sqref="E403">
    <cfRule type="containsText" dxfId="165" priority="18" operator="containsText" text="fija">
      <formula>NOT(ISERROR(SEARCH("fija",E403)))</formula>
    </cfRule>
    <cfRule type="containsText" dxfId="164" priority="19" operator="containsText" text="domo">
      <formula>NOT(ISERROR(SEARCH("domo",E403)))</formula>
    </cfRule>
  </conditionalFormatting>
  <conditionalFormatting sqref="E403">
    <cfRule type="containsText" dxfId="163" priority="16" operator="containsText" text="fija">
      <formula>NOT(ISERROR(SEARCH("fija",E403)))</formula>
    </cfRule>
    <cfRule type="containsText" dxfId="162" priority="17" operator="containsText" text="domo">
      <formula>NOT(ISERROR(SEARCH("domo",E403)))</formula>
    </cfRule>
  </conditionalFormatting>
  <conditionalFormatting sqref="E404">
    <cfRule type="containsText" dxfId="161" priority="15" operator="containsText" text="Radio">
      <formula>NOT(ISERROR(SEARCH("Radio",E404)))</formula>
    </cfRule>
  </conditionalFormatting>
  <conditionalFormatting sqref="E404">
    <cfRule type="containsText" dxfId="160" priority="13" operator="containsText" text="fija">
      <formula>NOT(ISERROR(SEARCH("fija",E404)))</formula>
    </cfRule>
    <cfRule type="containsText" dxfId="159" priority="14" operator="containsText" text="domo">
      <formula>NOT(ISERROR(SEARCH("domo",E404)))</formula>
    </cfRule>
  </conditionalFormatting>
  <conditionalFormatting sqref="E404">
    <cfRule type="containsText" dxfId="158" priority="11" operator="containsText" text="fija">
      <formula>NOT(ISERROR(SEARCH("fija",E404)))</formula>
    </cfRule>
    <cfRule type="containsText" dxfId="157" priority="12" operator="containsText" text="domo">
      <formula>NOT(ISERROR(SEARCH("domo",E404)))</formula>
    </cfRule>
  </conditionalFormatting>
  <conditionalFormatting sqref="E405">
    <cfRule type="containsText" dxfId="156" priority="10" operator="containsText" text="Radio">
      <formula>NOT(ISERROR(SEARCH("Radio",E405)))</formula>
    </cfRule>
  </conditionalFormatting>
  <conditionalFormatting sqref="E405">
    <cfRule type="containsText" dxfId="155" priority="8" operator="containsText" text="fija">
      <formula>NOT(ISERROR(SEARCH("fija",E405)))</formula>
    </cfRule>
    <cfRule type="containsText" dxfId="154" priority="9" operator="containsText" text="domo">
      <formula>NOT(ISERROR(SEARCH("domo",E405)))</formula>
    </cfRule>
  </conditionalFormatting>
  <conditionalFormatting sqref="E405">
    <cfRule type="containsText" dxfId="153" priority="6" operator="containsText" text="fija">
      <formula>NOT(ISERROR(SEARCH("fija",E405)))</formula>
    </cfRule>
    <cfRule type="containsText" dxfId="152" priority="7" operator="containsText" text="domo">
      <formula>NOT(ISERROR(SEARCH("domo",E405)))</formula>
    </cfRule>
  </conditionalFormatting>
  <conditionalFormatting sqref="E406">
    <cfRule type="containsText" dxfId="151" priority="5" operator="containsText" text="Radio">
      <formula>NOT(ISERROR(SEARCH("Radio",E406)))</formula>
    </cfRule>
  </conditionalFormatting>
  <conditionalFormatting sqref="E406">
    <cfRule type="containsText" dxfId="150" priority="3" operator="containsText" text="fija">
      <formula>NOT(ISERROR(SEARCH("fija",E406)))</formula>
    </cfRule>
    <cfRule type="containsText" dxfId="149" priority="4" operator="containsText" text="domo">
      <formula>NOT(ISERROR(SEARCH("domo",E406)))</formula>
    </cfRule>
  </conditionalFormatting>
  <conditionalFormatting sqref="E406">
    <cfRule type="containsText" dxfId="148" priority="1" operator="containsText" text="fija">
      <formula>NOT(ISERROR(SEARCH("fija",E406)))</formula>
    </cfRule>
    <cfRule type="containsText" dxfId="147" priority="2" operator="containsText" text="domo">
      <formula>NOT(ISERROR(SEARCH("domo",E406)))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 t="str">
        <f>'RESUMEN TOTAL'!AH7</f>
        <v>APAGADO</v>
      </c>
      <c r="AD4" s="29" t="str">
        <f>'RESUMEN TOTAL'!AI7</f>
        <v>APAGADO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 t="str">
        <f>'RESUMEN TOTAL'!AH8</f>
        <v>APAGADO</v>
      </c>
      <c r="AD5" s="29" t="str">
        <f>'RESUMEN TOTAL'!AI8</f>
        <v>APAGADO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 t="str">
        <f>'RESUMEN TOTAL'!AI9</f>
        <v>APAGADO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 t="str">
        <f>'RESUMEN TOTAL'!AH10</f>
        <v>APAGADO</v>
      </c>
      <c r="AD7" s="29" t="str">
        <f>'RESUMEN TOTAL'!AI10</f>
        <v>APAGADO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 t="str">
        <f>'RESUMEN TOTAL'!AH12</f>
        <v>APAGADO</v>
      </c>
      <c r="AD9" s="29" t="str">
        <f>'RESUMEN TOTAL'!AI12</f>
        <v>APAGADO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 t="str">
        <f>'RESUMEN TOTAL'!AH13</f>
        <v>APAGADO</v>
      </c>
      <c r="AD10" s="29" t="str">
        <f>'RESUMEN TOTAL'!AI13</f>
        <v>APAGADO</v>
      </c>
      <c r="AE10" s="29">
        <f>'RESUMEN TOTAL'!AJ13</f>
        <v>0</v>
      </c>
      <c r="AF10" s="29">
        <f>'RESUMEN TOTAL'!AK13</f>
        <v>0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 t="str">
        <f>'RESUMEN TOTAL'!AI14</f>
        <v>APAGADO</v>
      </c>
      <c r="AE11" s="29">
        <f>'RESUMEN TOTAL'!AJ14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 t="str">
        <f>'RESUMEN TOTAL'!AH16</f>
        <v>APAGADO</v>
      </c>
      <c r="AD13" s="29" t="str">
        <f>'RESUMEN TOTAL'!AI16</f>
        <v>APAGADO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 t="str">
        <f>'RESUMEN TOTAL'!AH40</f>
        <v>APAGADO</v>
      </c>
      <c r="AD37" s="29" t="str">
        <f>'RESUMEN TOTAL'!AI40</f>
        <v>APAGADO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 t="str">
        <f>'RESUMEN TOTAL'!AI42</f>
        <v>APAGADO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 t="str">
        <f>'RESUMEN TOTAL'!AI63</f>
        <v>APAGADO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 t="str">
        <f>'RESUMEN TOTAL'!AI88</f>
        <v>APAGADO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 t="str">
        <f>'RESUMEN TOTAL'!AI95</f>
        <v>APAGADO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 t="str">
        <f>'RESUMEN TOTAL'!AI96</f>
        <v>APAGADO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25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25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25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25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25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25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 t="str">
        <f>'RESUMEN TOTAL'!AH140</f>
        <v>APAGADO</v>
      </c>
      <c r="AD137" s="29" t="str">
        <f>'RESUMEN TOTAL'!AI140</f>
        <v>APAGADO</v>
      </c>
      <c r="AE137" s="29">
        <f>'RESUMEN TOTAL'!AJ140</f>
        <v>0</v>
      </c>
      <c r="AF137" s="29">
        <f>'RESUMEN TOTAL'!AK140</f>
        <v>0</v>
      </c>
      <c r="AG137" s="29">
        <f>'RESUMEN TOTAL'!AL140</f>
        <v>0</v>
      </c>
      <c r="AH137" s="29">
        <f>'RESUMEN TOTAL'!AM140</f>
        <v>0</v>
      </c>
      <c r="AI137" s="29">
        <f>'RESUMEN TOTAL'!AN140</f>
        <v>0</v>
      </c>
    </row>
    <row r="138" spans="1:35" x14ac:dyDescent="0.25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>
        <f>'RESUMEN TOTAL'!AM141</f>
        <v>0</v>
      </c>
      <c r="AI138" s="29">
        <f>'RESUMEN TOTAL'!AN141</f>
        <v>0</v>
      </c>
    </row>
    <row r="139" spans="1:35" x14ac:dyDescent="0.25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25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25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 t="str">
        <f>'RESUMEN TOTAL'!AG144</f>
        <v>APAGADO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25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25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25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25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25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>
        <f>'RESUMEN TOTAL'!AL149</f>
        <v>0</v>
      </c>
      <c r="AH146" s="29">
        <f>'RESUMEN TOTAL'!AM149</f>
        <v>0</v>
      </c>
      <c r="AI146" s="29">
        <f>'RESUMEN TOTAL'!AN149</f>
        <v>0</v>
      </c>
    </row>
    <row r="147" spans="1:35" x14ac:dyDescent="0.25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25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25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25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25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25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25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25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 t="str">
        <f>'RESUMEN TOTAL'!AG157</f>
        <v>APAGADO</v>
      </c>
      <c r="AC154" s="29" t="str">
        <f>'RESUMEN TOTAL'!AH157</f>
        <v>APAGADO</v>
      </c>
      <c r="AD154" s="29" t="str">
        <f>'RESUMEN TOTAL'!AI157</f>
        <v>APAGADO</v>
      </c>
      <c r="AE154" s="29">
        <f>'RESUMEN TOTAL'!AJ157</f>
        <v>0</v>
      </c>
      <c r="AF154" s="29">
        <f>'RESUMEN TOTAL'!AK157</f>
        <v>0</v>
      </c>
      <c r="AG154" s="29">
        <f>'RESUMEN TOTAL'!AL157</f>
        <v>0</v>
      </c>
      <c r="AH154" s="29">
        <f>'RESUMEN TOTAL'!AM157</f>
        <v>0</v>
      </c>
      <c r="AI154" s="29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 t="str">
        <f>'RESUMEN TOTAL'!AG158</f>
        <v>APAGADO</v>
      </c>
      <c r="AC155" s="29" t="str">
        <f>'RESUMEN TOTAL'!AH158</f>
        <v>APAGADO</v>
      </c>
      <c r="AD155" s="29" t="str">
        <f>'RESUMEN TOTAL'!AI158</f>
        <v>APAGADO</v>
      </c>
      <c r="AE155" s="29">
        <f>'RESUMEN TOTAL'!AJ158</f>
        <v>0</v>
      </c>
      <c r="AF155" s="29">
        <f>'RESUMEN TOTAL'!AK158</f>
        <v>0</v>
      </c>
      <c r="AG155" s="29">
        <f>'RESUMEN TOTAL'!AL158</f>
        <v>0</v>
      </c>
      <c r="AH155" s="29">
        <f>'RESUMEN TOTAL'!AM158</f>
        <v>0</v>
      </c>
      <c r="AI155" s="29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25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 t="str">
        <f>'RESUMEN TOTAL'!AG160</f>
        <v>APAGADO</v>
      </c>
      <c r="AC157" s="29" t="str">
        <f>'RESUMEN TOTAL'!AH160</f>
        <v>APAGADO</v>
      </c>
      <c r="AD157" s="29" t="str">
        <f>'RESUMEN TOTAL'!AI160</f>
        <v>APAGADO</v>
      </c>
      <c r="AE157" s="29">
        <f>'RESUMEN TOTAL'!AJ160</f>
        <v>0</v>
      </c>
      <c r="AF157" s="29">
        <f>'RESUMEN TOTAL'!AK160</f>
        <v>0</v>
      </c>
      <c r="AG157" s="29">
        <f>'RESUMEN TOTAL'!AL160</f>
        <v>0</v>
      </c>
      <c r="AH157" s="29">
        <f>'RESUMEN TOTAL'!AM160</f>
        <v>0</v>
      </c>
      <c r="AI157" s="29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 t="str">
        <f>'RESUMEN TOTAL'!AG161</f>
        <v>APAGADO</v>
      </c>
      <c r="AC158" s="29" t="str">
        <f>'RESUMEN TOTAL'!AH161</f>
        <v>APAGADO</v>
      </c>
      <c r="AD158" s="29" t="str">
        <f>'RESUMEN TOTAL'!AI161</f>
        <v>APAGADO</v>
      </c>
      <c r="AE158" s="29">
        <f>'RESUMEN TOTAL'!AJ161</f>
        <v>0</v>
      </c>
      <c r="AF158" s="29">
        <f>'RESUMEN TOTAL'!AK161</f>
        <v>0</v>
      </c>
      <c r="AG158" s="29">
        <f>'RESUMEN TOTAL'!AL161</f>
        <v>0</v>
      </c>
      <c r="AH158" s="29">
        <f>'RESUMEN TOTAL'!AM161</f>
        <v>0</v>
      </c>
      <c r="AI158" s="29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 t="str">
        <f>'RESUMEN TOTAL'!AG162</f>
        <v>APAGADO</v>
      </c>
      <c r="AC159" s="29" t="str">
        <f>'RESUMEN TOTAL'!AH162</f>
        <v>APAGADO</v>
      </c>
      <c r="AD159" s="29" t="str">
        <f>'RESUMEN TOTAL'!AI162</f>
        <v>APAGADO</v>
      </c>
      <c r="AE159" s="29">
        <f>'RESUMEN TOTAL'!AJ162</f>
        <v>0</v>
      </c>
      <c r="AF159" s="29">
        <f>'RESUMEN TOTAL'!AK162</f>
        <v>0</v>
      </c>
      <c r="AG159" s="29">
        <f>'RESUMEN TOTAL'!AL162</f>
        <v>0</v>
      </c>
      <c r="AH159" s="29">
        <f>'RESUMEN TOTAL'!AM162</f>
        <v>0</v>
      </c>
      <c r="AI159" s="29">
        <f>'RESUMEN TOTAL'!AN162</f>
        <v>0</v>
      </c>
    </row>
    <row r="160" spans="1:35" x14ac:dyDescent="0.25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 t="str">
        <f>'RESUMEN TOTAL'!AG164</f>
        <v>APAGADO</v>
      </c>
      <c r="AC161" s="29" t="str">
        <f>'RESUMEN TOTAL'!AH164</f>
        <v>APAGADO</v>
      </c>
      <c r="AD161" s="29" t="str">
        <f>'RESUMEN TOTAL'!AI164</f>
        <v>APAGADO</v>
      </c>
      <c r="AE161" s="29">
        <f>'RESUMEN TOTAL'!AJ164</f>
        <v>0</v>
      </c>
      <c r="AF161" s="29">
        <f>'RESUMEN TOTAL'!AK164</f>
        <v>0</v>
      </c>
      <c r="AG161" s="29">
        <f>'RESUMEN TOTAL'!AL164</f>
        <v>0</v>
      </c>
      <c r="AH161" s="29">
        <f>'RESUMEN TOTAL'!AM164</f>
        <v>0</v>
      </c>
      <c r="AI161" s="29">
        <f>'RESUMEN TOTAL'!AN164</f>
        <v>0</v>
      </c>
    </row>
    <row r="162" spans="1:35" x14ac:dyDescent="0.25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25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25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 t="str">
        <f>'RESUMEN TOTAL'!AG167</f>
        <v>APAGADO</v>
      </c>
      <c r="AC164" s="29" t="str">
        <f>'RESUMEN TOTAL'!AH167</f>
        <v>APAGADO</v>
      </c>
      <c r="AD164" s="29" t="str">
        <f>'RESUMEN TOTAL'!AI167</f>
        <v>APAGADO</v>
      </c>
      <c r="AE164" s="29">
        <f>'RESUMEN TOTAL'!AJ167</f>
        <v>0</v>
      </c>
      <c r="AF164" s="29">
        <f>'RESUMEN TOTAL'!AK167</f>
        <v>0</v>
      </c>
      <c r="AG164" s="29">
        <f>'RESUMEN TOTAL'!AL167</f>
        <v>0</v>
      </c>
      <c r="AH164" s="29">
        <f>'RESUMEN TOTAL'!AM167</f>
        <v>0</v>
      </c>
      <c r="AI164" s="29">
        <f>'RESUMEN TOTAL'!AN167</f>
        <v>0</v>
      </c>
    </row>
    <row r="165" spans="1:35" x14ac:dyDescent="0.25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 t="str">
        <f>'RESUMEN TOTAL'!AG168</f>
        <v>APAGADO</v>
      </c>
      <c r="AC165" s="29" t="str">
        <f>'RESUMEN TOTAL'!AH168</f>
        <v>APAGADO</v>
      </c>
      <c r="AD165" s="29" t="str">
        <f>'RESUMEN TOTAL'!AI168</f>
        <v>APAGADO</v>
      </c>
      <c r="AE165" s="29">
        <f>'RESUMEN TOTAL'!AJ168</f>
        <v>0</v>
      </c>
      <c r="AF165" s="29">
        <f>'RESUMEN TOTAL'!AK168</f>
        <v>0</v>
      </c>
      <c r="AG165" s="29">
        <f>'RESUMEN TOTAL'!AL168</f>
        <v>0</v>
      </c>
      <c r="AH165" s="29">
        <f>'RESUMEN TOTAL'!AM168</f>
        <v>0</v>
      </c>
      <c r="AI165" s="29">
        <f>'RESUMEN TOTAL'!AN168</f>
        <v>0</v>
      </c>
    </row>
    <row r="166" spans="1:35" x14ac:dyDescent="0.25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 t="str">
        <f>'RESUMEN TOTAL'!AG169</f>
        <v>APAGADO</v>
      </c>
      <c r="AC166" s="29" t="str">
        <f>'RESUMEN TOTAL'!AH169</f>
        <v>APAGADO</v>
      </c>
      <c r="AD166" s="29" t="str">
        <f>'RESUMEN TOTAL'!AI169</f>
        <v>APAGADO</v>
      </c>
      <c r="AE166" s="29">
        <f>'RESUMEN TOTAL'!AJ169</f>
        <v>0</v>
      </c>
      <c r="AF166" s="29">
        <f>'RESUMEN TOTAL'!AK169</f>
        <v>0</v>
      </c>
      <c r="AG166" s="29">
        <f>'RESUMEN TOTAL'!AL169</f>
        <v>0</v>
      </c>
      <c r="AH166" s="29">
        <f>'RESUMEN TOTAL'!AM169</f>
        <v>0</v>
      </c>
      <c r="AI166" s="29">
        <f>'RESUMEN TOTAL'!AN169</f>
        <v>0</v>
      </c>
    </row>
    <row r="167" spans="1:35" x14ac:dyDescent="0.25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25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25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 t="str">
        <f>'RESUMEN TOTAL'!AG172</f>
        <v>APAGADO</v>
      </c>
      <c r="AC169" s="29" t="str">
        <f>'RESUMEN TOTAL'!AH172</f>
        <v>APAGADO</v>
      </c>
      <c r="AD169" s="29" t="str">
        <f>'RESUMEN TOTAL'!AI172</f>
        <v>APAGADO</v>
      </c>
      <c r="AE169" s="29">
        <f>'RESUMEN TOTAL'!AJ172</f>
        <v>0</v>
      </c>
      <c r="AF169" s="29">
        <f>'RESUMEN TOTAL'!AK172</f>
        <v>0</v>
      </c>
      <c r="AG169" s="29">
        <f>'RESUMEN TOTAL'!AL172</f>
        <v>0</v>
      </c>
      <c r="AH169" s="29">
        <f>'RESUMEN TOTAL'!AM172</f>
        <v>0</v>
      </c>
      <c r="AI169" s="29">
        <f>'RESUMEN TOTAL'!AN172</f>
        <v>0</v>
      </c>
    </row>
    <row r="170" spans="1:35" x14ac:dyDescent="0.25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25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25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25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25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25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25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25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25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25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25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 t="str">
        <f>'RESUMEN TOTAL'!AG183</f>
        <v>APAGADO</v>
      </c>
      <c r="AC180" s="29" t="str">
        <f>'RESUMEN TOTAL'!AH183</f>
        <v>APAGADO</v>
      </c>
      <c r="AD180" s="29" t="str">
        <f>'RESUMEN TOTAL'!AI183</f>
        <v>APAGADO</v>
      </c>
      <c r="AE180" s="29">
        <f>'RESUMEN TOTAL'!AJ183</f>
        <v>0</v>
      </c>
      <c r="AF180" s="29">
        <f>'RESUMEN TOTAL'!AK183</f>
        <v>0</v>
      </c>
      <c r="AG180" s="29">
        <f>'RESUMEN TOTAL'!AL183</f>
        <v>0</v>
      </c>
      <c r="AH180" s="29">
        <f>'RESUMEN TOTAL'!AM183</f>
        <v>0</v>
      </c>
      <c r="AI180" s="29">
        <f>'RESUMEN TOTAL'!AN183</f>
        <v>0</v>
      </c>
    </row>
    <row r="181" spans="1:35" x14ac:dyDescent="0.25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25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 t="str">
        <f>'RESUMEN TOTAL'!AG185</f>
        <v>APAGADO</v>
      </c>
      <c r="AC182" s="29" t="str">
        <f>'RESUMEN TOTAL'!AH185</f>
        <v>APAGADO</v>
      </c>
      <c r="AD182" s="29" t="str">
        <f>'RESUMEN TOTAL'!AI185</f>
        <v>APAGADO</v>
      </c>
      <c r="AE182" s="29">
        <f>'RESUMEN TOTAL'!AJ185</f>
        <v>0</v>
      </c>
      <c r="AF182" s="29">
        <f>'RESUMEN TOTAL'!AK185</f>
        <v>0</v>
      </c>
      <c r="AG182" s="29">
        <f>'RESUMEN TOTAL'!AL185</f>
        <v>0</v>
      </c>
      <c r="AH182" s="29">
        <f>'RESUMEN TOTAL'!AM185</f>
        <v>0</v>
      </c>
      <c r="AI182" s="29">
        <f>'RESUMEN TOTAL'!AN185</f>
        <v>0</v>
      </c>
    </row>
    <row r="183" spans="1:35" x14ac:dyDescent="0.25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 t="str">
        <f>'RESUMEN TOTAL'!AG186</f>
        <v>APAGADO</v>
      </c>
      <c r="AC183" s="29" t="str">
        <f>'RESUMEN TOTAL'!AH186</f>
        <v>APAGADO</v>
      </c>
      <c r="AD183" s="29" t="str">
        <f>'RESUMEN TOTAL'!AI186</f>
        <v>APAGADO</v>
      </c>
      <c r="AE183" s="29">
        <f>'RESUMEN TOTAL'!AJ186</f>
        <v>0</v>
      </c>
      <c r="AF183" s="29">
        <f>'RESUMEN TOTAL'!AK186</f>
        <v>0</v>
      </c>
      <c r="AG183" s="29">
        <f>'RESUMEN TOTAL'!AL186</f>
        <v>0</v>
      </c>
      <c r="AH183" s="29">
        <f>'RESUMEN TOTAL'!AM186</f>
        <v>0</v>
      </c>
      <c r="AI183" s="29">
        <f>'RESUMEN TOTAL'!AN186</f>
        <v>0</v>
      </c>
    </row>
    <row r="184" spans="1:35" x14ac:dyDescent="0.25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25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25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25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25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25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25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25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25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25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25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25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25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25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25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25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25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25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25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25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 t="str">
        <f>'RESUMEN TOTAL'!AI208</f>
        <v>APAGADO</v>
      </c>
      <c r="AE205" s="29">
        <f>'RESUMEN TOTAL'!AJ208</f>
        <v>0</v>
      </c>
      <c r="AF205" s="29">
        <f>'RESUMEN TOTAL'!AK208</f>
        <v>0</v>
      </c>
      <c r="AG205" s="29">
        <f>'RESUMEN TOTAL'!AL208</f>
        <v>0</v>
      </c>
      <c r="AH205" s="29">
        <f>'RESUMEN TOTAL'!AM208</f>
        <v>0</v>
      </c>
      <c r="AI205" s="29">
        <f>'RESUMEN TOTAL'!AN208</f>
        <v>0</v>
      </c>
    </row>
    <row r="206" spans="1:35" x14ac:dyDescent="0.25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25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25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25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25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25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 t="str">
        <f>'RESUMEN TOTAL'!AG214</f>
        <v>APAGADO</v>
      </c>
      <c r="AC211" s="29">
        <f>'RESUMEN TOTAL'!AH214</f>
        <v>0</v>
      </c>
      <c r="AD211" s="29">
        <f>'RESUMEN TOTAL'!AI214</f>
        <v>0</v>
      </c>
      <c r="AE211" s="29">
        <f>'RESUMEN TOTAL'!AJ214</f>
        <v>0</v>
      </c>
      <c r="AF211" s="29">
        <f>'RESUMEN TOTAL'!AK214</f>
        <v>0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 t="str">
        <f>'RESUMEN TOTAL'!AG215</f>
        <v>APAGADO</v>
      </c>
      <c r="AC212" s="29">
        <f>'RESUMEN TOTAL'!AH215</f>
        <v>0</v>
      </c>
      <c r="AD212" s="29">
        <f>'RESUMEN TOTAL'!AI215</f>
        <v>0</v>
      </c>
      <c r="AE212" s="29">
        <f>'RESUMEN TOTAL'!AJ215</f>
        <v>0</v>
      </c>
      <c r="AF212" s="29">
        <f>'RESUMEN TOTAL'!AK215</f>
        <v>0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25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 t="str">
        <f>'RESUMEN TOTAL'!AG216</f>
        <v>APAGADO</v>
      </c>
      <c r="AC213" s="29" t="str">
        <f>'RESUMEN TOTAL'!AH216</f>
        <v>APAGADO</v>
      </c>
      <c r="AD213" s="29" t="str">
        <f>'RESUMEN TOTAL'!AI216</f>
        <v>APAGADO</v>
      </c>
      <c r="AE213" s="29">
        <f>'RESUMEN TOTAL'!AJ216</f>
        <v>0</v>
      </c>
      <c r="AF213" s="29">
        <f>'RESUMEN TOTAL'!AK216</f>
        <v>0</v>
      </c>
      <c r="AG213" s="29">
        <f>'RESUMEN TOTAL'!AL216</f>
        <v>0</v>
      </c>
      <c r="AH213" s="29">
        <f>'RESUMEN TOTAL'!AM216</f>
        <v>0</v>
      </c>
      <c r="AI213" s="29">
        <f>'RESUMEN TOTAL'!AN216</f>
        <v>0</v>
      </c>
    </row>
    <row r="214" spans="1:35" x14ac:dyDescent="0.25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25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25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25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>
        <f>'RESUMEN TOTAL'!AJ220</f>
        <v>0</v>
      </c>
      <c r="AF217" s="29">
        <f>'RESUMEN TOTAL'!AK220</f>
        <v>0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25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25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 t="str">
        <f>'RESUMEN TOTAL'!AG223</f>
        <v>APAGADO</v>
      </c>
      <c r="AC220" s="29" t="str">
        <f>'RESUMEN TOTAL'!AH223</f>
        <v>APAGADO</v>
      </c>
      <c r="AD220" s="29" t="str">
        <f>'RESUMEN TOTAL'!AI223</f>
        <v>APAGADO</v>
      </c>
      <c r="AE220" s="29">
        <f>'RESUMEN TOTAL'!AJ223</f>
        <v>0</v>
      </c>
      <c r="AF220" s="29">
        <f>'RESUMEN TOTAL'!AK223</f>
        <v>0</v>
      </c>
      <c r="AG220" s="29">
        <f>'RESUMEN TOTAL'!AL223</f>
        <v>0</v>
      </c>
      <c r="AH220" s="29">
        <f>'RESUMEN TOTAL'!AM223</f>
        <v>0</v>
      </c>
      <c r="AI220" s="29">
        <f>'RESUMEN TOTAL'!AN223</f>
        <v>0</v>
      </c>
    </row>
    <row r="221" spans="1:35" x14ac:dyDescent="0.25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>
        <f>'RESUMEN TOTAL'!AL224</f>
        <v>0</v>
      </c>
      <c r="AH221" s="29">
        <f>'RESUMEN TOTAL'!AM224</f>
        <v>0</v>
      </c>
      <c r="AI221" s="29">
        <f>'RESUMEN TOTAL'!AN224</f>
        <v>0</v>
      </c>
    </row>
    <row r="222" spans="1:35" x14ac:dyDescent="0.25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25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25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25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 t="str">
        <f>'RESUMEN TOTAL'!AG228</f>
        <v>APAGADO</v>
      </c>
      <c r="AC225" s="29">
        <f>'RESUMEN TOTAL'!AH228</f>
        <v>0</v>
      </c>
      <c r="AD225" s="29">
        <f>'RESUMEN TOTAL'!AI228</f>
        <v>0</v>
      </c>
      <c r="AE225" s="29">
        <f>'RESUMEN TOTAL'!AJ228</f>
        <v>0</v>
      </c>
      <c r="AF225" s="29">
        <f>'RESUMEN TOTAL'!AK228</f>
        <v>0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25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25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25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25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25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25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25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25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25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25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25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25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25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25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25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25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25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25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25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25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25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25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25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25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25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25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25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25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25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25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25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25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 t="str">
        <f>'RESUMEN TOTAL'!AG263</f>
        <v>APAGADO</v>
      </c>
      <c r="AC260" s="29" t="str">
        <f>'RESUMEN TOTAL'!AH263</f>
        <v>APAGADO</v>
      </c>
      <c r="AD260" s="29" t="str">
        <f>'RESUMEN TOTAL'!AI263</f>
        <v>APAGADO</v>
      </c>
      <c r="AE260" s="29">
        <f>'RESUMEN TOTAL'!AJ263</f>
        <v>0</v>
      </c>
      <c r="AF260" s="29">
        <f>'RESUMEN TOTAL'!AK263</f>
        <v>0</v>
      </c>
      <c r="AG260" s="29">
        <f>'RESUMEN TOTAL'!AL263</f>
        <v>0</v>
      </c>
      <c r="AH260" s="29">
        <f>'RESUMEN TOTAL'!AM263</f>
        <v>0</v>
      </c>
      <c r="AI260" s="29">
        <f>'RESUMEN TOTAL'!AN263</f>
        <v>0</v>
      </c>
    </row>
    <row r="261" spans="1:35" x14ac:dyDescent="0.25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25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25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25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25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25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25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25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25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25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25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25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25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25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25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25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25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25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25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25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25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25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25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25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25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25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25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25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25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25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25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25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25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25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25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25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>
        <f>'RESUMEN TOTAL'!AL301</f>
        <v>0</v>
      </c>
      <c r="AH298" s="29">
        <f>'RESUMEN TOTAL'!AM301</f>
        <v>0</v>
      </c>
      <c r="AI298" s="29">
        <f>'RESUMEN TOTAL'!AN301</f>
        <v>0</v>
      </c>
    </row>
    <row r="299" spans="1:35" x14ac:dyDescent="0.25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>
        <f>'RESUMEN TOTAL'!AL302</f>
        <v>0</v>
      </c>
      <c r="AH299" s="29">
        <f>'RESUMEN TOTAL'!AM302</f>
        <v>0</v>
      </c>
      <c r="AI299" s="29">
        <f>'RESUMEN TOTAL'!AN302</f>
        <v>0</v>
      </c>
    </row>
    <row r="300" spans="1:35" x14ac:dyDescent="0.25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>
        <f>'RESUMEN TOTAL'!AL303</f>
        <v>0</v>
      </c>
      <c r="AH300" s="29">
        <f>'RESUMEN TOTAL'!AM303</f>
        <v>0</v>
      </c>
      <c r="AI300" s="29">
        <f>'RESUMEN TOTAL'!AN303</f>
        <v>0</v>
      </c>
    </row>
    <row r="301" spans="1:35" x14ac:dyDescent="0.25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>
        <f>'RESUMEN TOTAL'!AL304</f>
        <v>0</v>
      </c>
      <c r="AH301" s="29">
        <f>'RESUMEN TOTAL'!AM304</f>
        <v>0</v>
      </c>
      <c r="AI301" s="29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>
        <f>'RESUMEN TOTAL'!AL305</f>
        <v>0</v>
      </c>
      <c r="AH302" s="29">
        <f>'RESUMEN TOTAL'!AM305</f>
        <v>0</v>
      </c>
      <c r="AI302" s="29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>
        <f>'RESUMEN TOTAL'!AK306</f>
        <v>0</v>
      </c>
      <c r="AG303" s="29">
        <f>'RESUMEN TOTAL'!AL306</f>
        <v>0</v>
      </c>
      <c r="AH303" s="29">
        <f>'RESUMEN TOTAL'!AM306</f>
        <v>0</v>
      </c>
      <c r="AI303" s="29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25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25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>
        <f>'RESUMEN TOTAL'!AK309</f>
        <v>0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25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25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25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25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25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>
        <f>'RESUMEN TOTAL'!AK316</f>
        <v>0</v>
      </c>
      <c r="AG313" s="29">
        <f>'RESUMEN TOTAL'!AL316</f>
        <v>0</v>
      </c>
      <c r="AH313" s="29">
        <f>'RESUMEN TOTAL'!AM316</f>
        <v>0</v>
      </c>
      <c r="AI313" s="29">
        <f>'RESUMEN TOTAL'!AN316</f>
        <v>0</v>
      </c>
    </row>
    <row r="314" spans="1:35" x14ac:dyDescent="0.25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>
        <f>'RESUMEN TOTAL'!AK317</f>
        <v>0</v>
      </c>
      <c r="AG314" s="29">
        <f>'RESUMEN TOTAL'!AL317</f>
        <v>0</v>
      </c>
      <c r="AH314" s="29">
        <f>'RESUMEN TOTAL'!AM317</f>
        <v>0</v>
      </c>
      <c r="AI314" s="29">
        <f>'RESUMEN TOTAL'!AN317</f>
        <v>0</v>
      </c>
    </row>
    <row r="315" spans="1:35" x14ac:dyDescent="0.25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25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25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25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25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>
        <f>'RESUMEN TOTAL'!AK322</f>
        <v>0</v>
      </c>
      <c r="AG319" s="29">
        <f>'RESUMEN TOTAL'!AL322</f>
        <v>0</v>
      </c>
      <c r="AH319" s="29">
        <f>'RESUMEN TOTAL'!AM322</f>
        <v>0</v>
      </c>
      <c r="AI319" s="29">
        <f>'RESUMEN TOTAL'!AN322</f>
        <v>0</v>
      </c>
    </row>
    <row r="320" spans="1:35" x14ac:dyDescent="0.25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>
        <f>'RESUMEN TOTAL'!AK323</f>
        <v>0</v>
      </c>
      <c r="AG320" s="29">
        <f>'RESUMEN TOTAL'!AL323</f>
        <v>0</v>
      </c>
      <c r="AH320" s="29">
        <f>'RESUMEN TOTAL'!AM323</f>
        <v>0</v>
      </c>
      <c r="AI320" s="29">
        <f>'RESUMEN TOTAL'!AN323</f>
        <v>0</v>
      </c>
    </row>
    <row r="321" spans="1:35" x14ac:dyDescent="0.25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25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25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25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25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25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 t="str">
        <f>'RESUMEN TOTAL'!AG329</f>
        <v>APAGADO</v>
      </c>
      <c r="AC326" s="29" t="str">
        <f>'RESUMEN TOTAL'!AH329</f>
        <v>APAGADO</v>
      </c>
      <c r="AD326" s="29" t="str">
        <f>'RESUMEN TOTAL'!AI329</f>
        <v>APAGADO</v>
      </c>
      <c r="AE326" s="29">
        <f>'RESUMEN TOTAL'!AJ329</f>
        <v>0</v>
      </c>
      <c r="AF326" s="29">
        <f>'RESUMEN TOTAL'!AK329</f>
        <v>0</v>
      </c>
      <c r="AG326" s="29">
        <f>'RESUMEN TOTAL'!AL329</f>
        <v>0</v>
      </c>
      <c r="AH326" s="29">
        <f>'RESUMEN TOTAL'!AM329</f>
        <v>0</v>
      </c>
      <c r="AI326" s="29">
        <f>'RESUMEN TOTAL'!AN329</f>
        <v>0</v>
      </c>
    </row>
    <row r="327" spans="1:35" x14ac:dyDescent="0.25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 t="str">
        <f>'RESUMEN TOTAL'!AG330</f>
        <v>APAGADO</v>
      </c>
      <c r="AC327" s="29" t="str">
        <f>'RESUMEN TOTAL'!AH330</f>
        <v>APAGADO</v>
      </c>
      <c r="AD327" s="29" t="str">
        <f>'RESUMEN TOTAL'!AI330</f>
        <v>APAGADO</v>
      </c>
      <c r="AE327" s="29">
        <f>'RESUMEN TOTAL'!AJ330</f>
        <v>0</v>
      </c>
      <c r="AF327" s="29">
        <f>'RESUMEN TOTAL'!AK330</f>
        <v>0</v>
      </c>
      <c r="AG327" s="29">
        <f>'RESUMEN TOTAL'!AL330</f>
        <v>0</v>
      </c>
      <c r="AH327" s="29">
        <f>'RESUMEN TOTAL'!AM330</f>
        <v>0</v>
      </c>
      <c r="AI327" s="29">
        <f>'RESUMEN TOTAL'!AN330</f>
        <v>0</v>
      </c>
    </row>
    <row r="328" spans="1:35" x14ac:dyDescent="0.25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 t="str">
        <f>'RESUMEN TOTAL'!AG331</f>
        <v>APAGADO</v>
      </c>
      <c r="AC328" s="29" t="str">
        <f>'RESUMEN TOTAL'!AH331</f>
        <v>APAGADO</v>
      </c>
      <c r="AD328" s="29" t="str">
        <f>'RESUMEN TOTAL'!AI331</f>
        <v>APAGADO</v>
      </c>
      <c r="AE328" s="29">
        <f>'RESUMEN TOTAL'!AJ331</f>
        <v>0</v>
      </c>
      <c r="AF328" s="29">
        <f>'RESUMEN TOTAL'!AK331</f>
        <v>0</v>
      </c>
      <c r="AG328" s="29">
        <f>'RESUMEN TOTAL'!AL331</f>
        <v>0</v>
      </c>
      <c r="AH328" s="29">
        <f>'RESUMEN TOTAL'!AM331</f>
        <v>0</v>
      </c>
      <c r="AI328" s="29">
        <f>'RESUMEN TOTAL'!AN331</f>
        <v>0</v>
      </c>
    </row>
    <row r="329" spans="1:35" x14ac:dyDescent="0.25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 t="str">
        <f>'RESUMEN TOTAL'!AG332</f>
        <v>APAGADO</v>
      </c>
      <c r="AC329" s="29" t="str">
        <f>'RESUMEN TOTAL'!AH332</f>
        <v>APAGADO</v>
      </c>
      <c r="AD329" s="29" t="str">
        <f>'RESUMEN TOTAL'!AI332</f>
        <v>APAGADO</v>
      </c>
      <c r="AE329" s="29">
        <f>'RESUMEN TOTAL'!AJ332</f>
        <v>0</v>
      </c>
      <c r="AF329" s="29">
        <f>'RESUMEN TOTAL'!AK332</f>
        <v>0</v>
      </c>
      <c r="AG329" s="29">
        <f>'RESUMEN TOTAL'!AL332</f>
        <v>0</v>
      </c>
      <c r="AH329" s="29">
        <f>'RESUMEN TOTAL'!AM332</f>
        <v>0</v>
      </c>
      <c r="AI329" s="29">
        <f>'RESUMEN TOTAL'!AN332</f>
        <v>0</v>
      </c>
    </row>
    <row r="330" spans="1:35" x14ac:dyDescent="0.25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 t="str">
        <f>'RESUMEN TOTAL'!AG333</f>
        <v>APAGADO</v>
      </c>
      <c r="AC330" s="29" t="str">
        <f>'RESUMEN TOTAL'!AH333</f>
        <v>APAGADO</v>
      </c>
      <c r="AD330" s="29" t="str">
        <f>'RESUMEN TOTAL'!AI333</f>
        <v>APAGADO</v>
      </c>
      <c r="AE330" s="29">
        <f>'RESUMEN TOTAL'!AJ333</f>
        <v>0</v>
      </c>
      <c r="AF330" s="29">
        <f>'RESUMEN TOTAL'!AK333</f>
        <v>0</v>
      </c>
      <c r="AG330" s="29">
        <f>'RESUMEN TOTAL'!AL333</f>
        <v>0</v>
      </c>
      <c r="AH330" s="29">
        <f>'RESUMEN TOTAL'!AM333</f>
        <v>0</v>
      </c>
      <c r="AI330" s="29">
        <f>'RESUMEN TOTAL'!AN333</f>
        <v>0</v>
      </c>
    </row>
    <row r="331" spans="1:35" x14ac:dyDescent="0.25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 t="str">
        <f>'RESUMEN TOTAL'!AG334</f>
        <v>APAGADO</v>
      </c>
      <c r="AC331" s="29" t="str">
        <f>'RESUMEN TOTAL'!AH334</f>
        <v>APAGADO</v>
      </c>
      <c r="AD331" s="29" t="str">
        <f>'RESUMEN TOTAL'!AI334</f>
        <v>APAGADO</v>
      </c>
      <c r="AE331" s="29">
        <f>'RESUMEN TOTAL'!AJ334</f>
        <v>0</v>
      </c>
      <c r="AF331" s="29">
        <f>'RESUMEN TOTAL'!AK334</f>
        <v>0</v>
      </c>
      <c r="AG331" s="29">
        <f>'RESUMEN TOTAL'!AL334</f>
        <v>0</v>
      </c>
      <c r="AH331" s="29">
        <f>'RESUMEN TOTAL'!AM334</f>
        <v>0</v>
      </c>
      <c r="AI331" s="29">
        <f>'RESUMEN TOTAL'!AN334</f>
        <v>0</v>
      </c>
    </row>
    <row r="332" spans="1:35" x14ac:dyDescent="0.25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 t="str">
        <f>'RESUMEN TOTAL'!AG335</f>
        <v>APAGADO</v>
      </c>
      <c r="AC332" s="29" t="str">
        <f>'RESUMEN TOTAL'!AH335</f>
        <v>APAGADO</v>
      </c>
      <c r="AD332" s="29" t="str">
        <f>'RESUMEN TOTAL'!AI335</f>
        <v>APAGADO</v>
      </c>
      <c r="AE332" s="29">
        <f>'RESUMEN TOTAL'!AJ335</f>
        <v>0</v>
      </c>
      <c r="AF332" s="29">
        <f>'RESUMEN TOTAL'!AK335</f>
        <v>0</v>
      </c>
      <c r="AG332" s="29">
        <f>'RESUMEN TOTAL'!AL335</f>
        <v>0</v>
      </c>
      <c r="AH332" s="29">
        <f>'RESUMEN TOTAL'!AM335</f>
        <v>0</v>
      </c>
      <c r="AI332" s="29">
        <f>'RESUMEN TOTAL'!AN335</f>
        <v>0</v>
      </c>
    </row>
    <row r="333" spans="1:35" x14ac:dyDescent="0.25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25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25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 t="str">
        <f>'RESUMEN TOTAL'!AH338</f>
        <v>APAGADO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25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 t="str">
        <f>'RESUMEN TOTAL'!AH339</f>
        <v>APAGADO</v>
      </c>
      <c r="AD336" s="29">
        <f>'RESUMEN TOTAL'!AI339</f>
        <v>0</v>
      </c>
      <c r="AE336" s="29">
        <f>'RESUMEN TOTAL'!AJ339</f>
        <v>0</v>
      </c>
      <c r="AF336" s="29">
        <f>'RESUMEN TOTAL'!AK339</f>
        <v>0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25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 t="str">
        <f>'RESUMEN TOTAL'!AH340</f>
        <v>APAGADO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25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 t="str">
        <f>'RESUMEN TOTAL'!AH341</f>
        <v>APAGADO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25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25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25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25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25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25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25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25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25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25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>
        <f>'RESUMEN TOTAL'!AJ355</f>
        <v>0</v>
      </c>
      <c r="AF352" s="29">
        <f>'RESUMEN TOTAL'!AK355</f>
        <v>0</v>
      </c>
      <c r="AG352" s="29">
        <f>'RESUMEN TOTAL'!AL355</f>
        <v>0</v>
      </c>
      <c r="AH352" s="29">
        <f>'RESUMEN TOTAL'!AM355</f>
        <v>0</v>
      </c>
      <c r="AI352" s="29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 t="str">
        <f>'RESUMEN TOTAL'!AG356</f>
        <v>APAGADO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>
        <f>'RESUMEN TOTAL'!AL356</f>
        <v>0</v>
      </c>
      <c r="AH353" s="29">
        <f>'RESUMEN TOTAL'!AM356</f>
        <v>0</v>
      </c>
      <c r="AI353" s="29">
        <f>'RESUMEN TOTAL'!AN356</f>
        <v>0</v>
      </c>
    </row>
    <row r="354" spans="1:35" x14ac:dyDescent="0.25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25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25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25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25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>
        <f>'RESUMEN TOTAL'!AM361</f>
        <v>0</v>
      </c>
      <c r="AI358" s="29">
        <f>'RESUMEN TOTAL'!AN361</f>
        <v>0</v>
      </c>
    </row>
    <row r="359" spans="1:35" x14ac:dyDescent="0.25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25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25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25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25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25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25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25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25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25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25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 t="str">
        <f>'RESUMEN TOTAL'!AG372</f>
        <v>APAGADO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>
        <f>'RESUMEN TOTAL'!AL372</f>
        <v>0</v>
      </c>
      <c r="AH369" s="29">
        <f>'RESUMEN TOTAL'!AM372</f>
        <v>0</v>
      </c>
      <c r="AI369" s="29">
        <f>'RESUMEN TOTAL'!AN372</f>
        <v>0</v>
      </c>
    </row>
    <row r="370" spans="1:35" x14ac:dyDescent="0.25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 t="str">
        <f>'RESUMEN TOTAL'!AG373</f>
        <v>APAGADO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>
        <f>'RESUMEN TOTAL'!AL373</f>
        <v>0</v>
      </c>
      <c r="AH370" s="29">
        <f>'RESUMEN TOTAL'!AM373</f>
        <v>0</v>
      </c>
      <c r="AI370" s="29">
        <f>'RESUMEN TOTAL'!AN373</f>
        <v>0</v>
      </c>
    </row>
    <row r="371" spans="1:35" x14ac:dyDescent="0.25">
      <c r="A371" t="str">
        <f>'RESUMEN TOTAL'!A376</f>
        <v>VILLA AURORA</v>
      </c>
      <c r="B371" t="str">
        <f>'RESUMEN TOTAL'!B376</f>
        <v>VAU 01</v>
      </c>
      <c r="C371" t="str">
        <f>'RESUMEN TOTAL'!D376</f>
        <v>San Martin y Monteverde</v>
      </c>
      <c r="D371" t="str">
        <f>'RESUMEN TOTAL'!E376</f>
        <v>Domo</v>
      </c>
      <c r="E371" t="str">
        <f>'RESUMEN TOTAL'!F376</f>
        <v>Fibra Optica</v>
      </c>
      <c r="F371" s="29">
        <f>'RESUMEN TOTAL'!K376</f>
        <v>0</v>
      </c>
      <c r="G371" s="29" t="str">
        <f>'RESUMEN TOTAL'!L376</f>
        <v>APAGADO</v>
      </c>
      <c r="H371" s="29" t="str">
        <f>'RESUMEN TOTAL'!M376</f>
        <v>APAGADO</v>
      </c>
      <c r="I371" s="29" t="str">
        <f>'RESUMEN TOTAL'!N376</f>
        <v>APAGADO</v>
      </c>
      <c r="J371" s="29">
        <f>'RESUMEN TOTAL'!O376</f>
        <v>0</v>
      </c>
      <c r="K371" s="29">
        <f>'RESUMEN TOTAL'!P376</f>
        <v>0</v>
      </c>
      <c r="L371" s="29">
        <f>'RESUMEN TOTAL'!Q376</f>
        <v>0</v>
      </c>
      <c r="M371" s="29">
        <f>'RESUMEN TOTAL'!R376</f>
        <v>0</v>
      </c>
      <c r="N371" s="29">
        <f>'RESUMEN TOTAL'!S376</f>
        <v>0</v>
      </c>
      <c r="O371" s="29">
        <f>'RESUMEN TOTAL'!T376</f>
        <v>0</v>
      </c>
      <c r="P371" s="29">
        <f>'RESUMEN TOTAL'!U376</f>
        <v>0</v>
      </c>
      <c r="Q371" s="29">
        <f>'RESUMEN TOTAL'!V376</f>
        <v>0</v>
      </c>
      <c r="R371" s="29">
        <f>'RESUMEN TOTAL'!W376</f>
        <v>0</v>
      </c>
      <c r="S371" s="29">
        <f>'RESUMEN TOTAL'!X376</f>
        <v>0</v>
      </c>
      <c r="T371" s="29">
        <f>'RESUMEN TOTAL'!Y376</f>
        <v>0</v>
      </c>
      <c r="U371" s="29">
        <f>'RESUMEN TOTAL'!Z376</f>
        <v>0</v>
      </c>
      <c r="V371" s="29">
        <f>'RESUMEN TOTAL'!AA376</f>
        <v>0</v>
      </c>
      <c r="W371" s="29">
        <f>'RESUMEN TOTAL'!AB376</f>
        <v>0</v>
      </c>
      <c r="X371" s="29">
        <f>'RESUMEN TOTAL'!AC376</f>
        <v>0</v>
      </c>
      <c r="Y371" s="29">
        <f>'RESUMEN TOTAL'!AD376</f>
        <v>0</v>
      </c>
      <c r="Z371" s="29">
        <f>'RESUMEN TOTAL'!AE376</f>
        <v>0</v>
      </c>
      <c r="AA371" s="29">
        <f>'RESUMEN TOTAL'!AF376</f>
        <v>0</v>
      </c>
      <c r="AB371" s="29">
        <f>'RESUMEN TOTAL'!AG376</f>
        <v>0</v>
      </c>
      <c r="AC371" s="29">
        <f>'RESUMEN TOTAL'!AH376</f>
        <v>0</v>
      </c>
      <c r="AD371" s="29">
        <f>'RESUMEN TOTAL'!AI376</f>
        <v>0</v>
      </c>
      <c r="AE371" s="29">
        <f>'RESUMEN TOTAL'!AJ376</f>
        <v>0</v>
      </c>
      <c r="AF371" s="29">
        <f>'RESUMEN TOTAL'!AK376</f>
        <v>0</v>
      </c>
      <c r="AG371" s="29">
        <f>'RESUMEN TOTAL'!AL376</f>
        <v>0</v>
      </c>
      <c r="AH371" s="29">
        <f>'RESUMEN TOTAL'!AM376</f>
        <v>0</v>
      </c>
      <c r="AI371" s="29">
        <f>'RESUMEN TOTAL'!AN376</f>
        <v>0</v>
      </c>
    </row>
    <row r="372" spans="1:35" x14ac:dyDescent="0.25">
      <c r="A372" t="str">
        <f>'RESUMEN TOTAL'!A377</f>
        <v>SAN EMILIO</v>
      </c>
      <c r="B372" t="str">
        <f>'RESUMEN TOTAL'!B377</f>
        <v>VAU 02</v>
      </c>
      <c r="C372" t="str">
        <f>'RESUMEN TOTAL'!D377</f>
        <v>San Martin y Lope de Vega</v>
      </c>
      <c r="D372" t="str">
        <f>'RESUMEN TOTAL'!E377</f>
        <v>Domo</v>
      </c>
      <c r="E372" t="str">
        <f>'RESUMEN TOTAL'!F377</f>
        <v>Fibra Optica</v>
      </c>
      <c r="F372" s="29">
        <f>'RESUMEN TOTAL'!K377</f>
        <v>0</v>
      </c>
      <c r="G372" s="29" t="str">
        <f>'RESUMEN TOTAL'!L377</f>
        <v>APAGADO</v>
      </c>
      <c r="H372" s="29">
        <f>'RESUMEN TOTAL'!M377</f>
        <v>0</v>
      </c>
      <c r="I372" s="29" t="str">
        <f>'RESUMEN TOTAL'!N377</f>
        <v>APAGADO</v>
      </c>
      <c r="J372" s="29">
        <f>'RESUMEN TOTAL'!O377</f>
        <v>0</v>
      </c>
      <c r="K372" s="29">
        <f>'RESUMEN TOTAL'!P377</f>
        <v>0</v>
      </c>
      <c r="L372" s="29">
        <f>'RESUMEN TOTAL'!Q377</f>
        <v>0</v>
      </c>
      <c r="M372" s="29">
        <f>'RESUMEN TOTAL'!R377</f>
        <v>0</v>
      </c>
      <c r="N372" s="29">
        <f>'RESUMEN TOTAL'!S377</f>
        <v>0</v>
      </c>
      <c r="O372" s="29">
        <f>'RESUMEN TOTAL'!T377</f>
        <v>0</v>
      </c>
      <c r="P372" s="29">
        <f>'RESUMEN TOTAL'!U377</f>
        <v>0</v>
      </c>
      <c r="Q372" s="29">
        <f>'RESUMEN TOTAL'!V377</f>
        <v>0</v>
      </c>
      <c r="R372" s="29">
        <f>'RESUMEN TOTAL'!W377</f>
        <v>0</v>
      </c>
      <c r="S372" s="29">
        <f>'RESUMEN TOTAL'!X377</f>
        <v>0</v>
      </c>
      <c r="T372" s="29">
        <f>'RESUMEN TOTAL'!Y377</f>
        <v>0</v>
      </c>
      <c r="U372" s="29">
        <f>'RESUMEN TOTAL'!Z377</f>
        <v>0</v>
      </c>
      <c r="V372" s="29">
        <f>'RESUMEN TOTAL'!AA377</f>
        <v>0</v>
      </c>
      <c r="W372" s="29">
        <f>'RESUMEN TOTAL'!AB377</f>
        <v>0</v>
      </c>
      <c r="X372" s="29">
        <f>'RESUMEN TOTAL'!AC377</f>
        <v>0</v>
      </c>
      <c r="Y372" s="29">
        <f>'RESUMEN TOTAL'!AD377</f>
        <v>0</v>
      </c>
      <c r="Z372" s="29">
        <f>'RESUMEN TOTAL'!AE377</f>
        <v>0</v>
      </c>
      <c r="AA372" s="29">
        <f>'RESUMEN TOTAL'!AF377</f>
        <v>0</v>
      </c>
      <c r="AB372" s="29">
        <f>'RESUMEN TOTAL'!AG377</f>
        <v>0</v>
      </c>
      <c r="AC372" s="29">
        <f>'RESUMEN TOTAL'!AH377</f>
        <v>0</v>
      </c>
      <c r="AD372" s="29">
        <f>'RESUMEN TOTAL'!AI377</f>
        <v>0</v>
      </c>
      <c r="AE372" s="29">
        <f>'RESUMEN TOTAL'!AJ377</f>
        <v>0</v>
      </c>
      <c r="AF372" s="29">
        <f>'RESUMEN TOTAL'!AK377</f>
        <v>0</v>
      </c>
      <c r="AG372" s="29">
        <f>'RESUMEN TOTAL'!AL377</f>
        <v>0</v>
      </c>
      <c r="AH372" s="29">
        <f>'RESUMEN TOTAL'!AM377</f>
        <v>0</v>
      </c>
      <c r="AI372" s="29">
        <f>'RESUMEN TOTAL'!AN377</f>
        <v>0</v>
      </c>
    </row>
    <row r="373" spans="1:35" x14ac:dyDescent="0.25">
      <c r="A373" t="str">
        <f>'RESUMEN TOTAL'!A378</f>
        <v>VILLA AURORA</v>
      </c>
      <c r="B373" t="str">
        <f>'RESUMEN TOTAL'!B378</f>
        <v>VAU03 (fija 1)</v>
      </c>
      <c r="C373" t="str">
        <f>'RESUMEN TOTAL'!D378</f>
        <v>PIZZURNO Y NUESTRAS MALVINAS</v>
      </c>
      <c r="D373" t="str">
        <f>'RESUMEN TOTAL'!E378</f>
        <v>Fija</v>
      </c>
      <c r="E373" t="str">
        <f>'RESUMEN TOTAL'!F378</f>
        <v>Fibra Optica</v>
      </c>
      <c r="F373" s="29">
        <f>'RESUMEN TOTAL'!K378</f>
        <v>0</v>
      </c>
      <c r="G373" s="29" t="str">
        <f>'RESUMEN TOTAL'!L378</f>
        <v>APAGADO</v>
      </c>
      <c r="H373" s="29" t="str">
        <f>'RESUMEN TOTAL'!M378</f>
        <v>APAGADO</v>
      </c>
      <c r="I373" s="29" t="str">
        <f>'RESUMEN TOTAL'!N378</f>
        <v>APAGADO</v>
      </c>
      <c r="J373" s="29" t="str">
        <f>'RESUMEN TOTAL'!O378</f>
        <v>APAGADO</v>
      </c>
      <c r="K373" s="29" t="str">
        <f>'RESUMEN TOTAL'!P378</f>
        <v>APAGADO</v>
      </c>
      <c r="L373" s="29" t="str">
        <f>'RESUMEN TOTAL'!Q378</f>
        <v>APAGADO</v>
      </c>
      <c r="M373" s="29" t="str">
        <f>'RESUMEN TOTAL'!R378</f>
        <v>APAGADO</v>
      </c>
      <c r="N373" s="29">
        <f>'RESUMEN TOTAL'!S378</f>
        <v>0</v>
      </c>
      <c r="O373" s="29">
        <f>'RESUMEN TOTAL'!T378</f>
        <v>0</v>
      </c>
      <c r="P373" s="29">
        <f>'RESUMEN TOTAL'!U378</f>
        <v>0</v>
      </c>
      <c r="Q373" s="29">
        <f>'RESUMEN TOTAL'!V378</f>
        <v>0</v>
      </c>
      <c r="R373" s="29">
        <f>'RESUMEN TOTAL'!W378</f>
        <v>0</v>
      </c>
      <c r="S373" s="29">
        <f>'RESUMEN TOTAL'!X378</f>
        <v>0</v>
      </c>
      <c r="T373" s="29">
        <f>'RESUMEN TOTAL'!Y378</f>
        <v>0</v>
      </c>
      <c r="U373" s="29">
        <f>'RESUMEN TOTAL'!Z378</f>
        <v>0</v>
      </c>
      <c r="V373" s="29">
        <f>'RESUMEN TOTAL'!AA378</f>
        <v>0</v>
      </c>
      <c r="W373" s="29">
        <f>'RESUMEN TOTAL'!AB378</f>
        <v>0</v>
      </c>
      <c r="X373" s="29">
        <f>'RESUMEN TOTAL'!AC378</f>
        <v>0</v>
      </c>
      <c r="Y373" s="29">
        <f>'RESUMEN TOTAL'!AD378</f>
        <v>0</v>
      </c>
      <c r="Z373" s="29">
        <f>'RESUMEN TOTAL'!AE378</f>
        <v>0</v>
      </c>
      <c r="AA373" s="29">
        <f>'RESUMEN TOTAL'!AF378</f>
        <v>0</v>
      </c>
      <c r="AB373" s="29">
        <f>'RESUMEN TOTAL'!AG378</f>
        <v>0</v>
      </c>
      <c r="AC373" s="29">
        <f>'RESUMEN TOTAL'!AH378</f>
        <v>0</v>
      </c>
      <c r="AD373" s="29">
        <f>'RESUMEN TOTAL'!AI378</f>
        <v>0</v>
      </c>
      <c r="AE373" s="29">
        <f>'RESUMEN TOTAL'!AJ378</f>
        <v>0</v>
      </c>
      <c r="AF373" s="29">
        <f>'RESUMEN TOTAL'!AK378</f>
        <v>0</v>
      </c>
      <c r="AG373" s="29">
        <f>'RESUMEN TOTAL'!AL378</f>
        <v>0</v>
      </c>
      <c r="AH373" s="29">
        <f>'RESUMEN TOTAL'!AM378</f>
        <v>0</v>
      </c>
      <c r="AI373" s="29">
        <f>'RESUMEN TOTAL'!AN378</f>
        <v>0</v>
      </c>
    </row>
    <row r="374" spans="1:35" x14ac:dyDescent="0.25">
      <c r="A374" t="str">
        <f>'RESUMEN TOTAL'!A379</f>
        <v>VILLA AURORA</v>
      </c>
      <c r="B374" t="str">
        <f>'RESUMEN TOTAL'!B379</f>
        <v>VAU04 (fija 2)</v>
      </c>
      <c r="C374" t="str">
        <f>'RESUMEN TOTAL'!D379</f>
        <v>PIZZURNO Y NUESTRAS MALVINAS</v>
      </c>
      <c r="D374" t="str">
        <f>'RESUMEN TOTAL'!E379</f>
        <v>Fija</v>
      </c>
      <c r="E374" t="str">
        <f>'RESUMEN TOTAL'!F379</f>
        <v>Fibra Optica</v>
      </c>
      <c r="F374" s="29">
        <f>'RESUMEN TOTAL'!K379</f>
        <v>0</v>
      </c>
      <c r="G374" s="29" t="str">
        <f>'RESUMEN TOTAL'!L379</f>
        <v>APAGADO</v>
      </c>
      <c r="H374" s="29" t="str">
        <f>'RESUMEN TOTAL'!M379</f>
        <v>APAGADO</v>
      </c>
      <c r="I374" s="29" t="str">
        <f>'RESUMEN TOTAL'!N379</f>
        <v>APAGADO</v>
      </c>
      <c r="J374" s="29" t="str">
        <f>'RESUMEN TOTAL'!O379</f>
        <v>APAGADO</v>
      </c>
      <c r="K374" s="29" t="str">
        <f>'RESUMEN TOTAL'!P379</f>
        <v>APAGADO</v>
      </c>
      <c r="L374" s="29" t="str">
        <f>'RESUMEN TOTAL'!Q379</f>
        <v>APAGADO</v>
      </c>
      <c r="M374" s="29" t="str">
        <f>'RESUMEN TOTAL'!R379</f>
        <v>APAGADO</v>
      </c>
      <c r="N374" s="29">
        <f>'RESUMEN TOTAL'!S379</f>
        <v>0</v>
      </c>
      <c r="O374" s="29">
        <f>'RESUMEN TOTAL'!T379</f>
        <v>0</v>
      </c>
      <c r="P374" s="29">
        <f>'RESUMEN TOTAL'!U379</f>
        <v>0</v>
      </c>
      <c r="Q374" s="29">
        <f>'RESUMEN TOTAL'!V379</f>
        <v>0</v>
      </c>
      <c r="R374" s="29">
        <f>'RESUMEN TOTAL'!W379</f>
        <v>0</v>
      </c>
      <c r="S374" s="29">
        <f>'RESUMEN TOTAL'!X379</f>
        <v>0</v>
      </c>
      <c r="T374" s="29">
        <f>'RESUMEN TOTAL'!Y379</f>
        <v>0</v>
      </c>
      <c r="U374" s="29">
        <f>'RESUMEN TOTAL'!Z379</f>
        <v>0</v>
      </c>
      <c r="V374" s="29">
        <f>'RESUMEN TOTAL'!AA379</f>
        <v>0</v>
      </c>
      <c r="W374" s="29">
        <f>'RESUMEN TOTAL'!AB379</f>
        <v>0</v>
      </c>
      <c r="X374" s="29">
        <f>'RESUMEN TOTAL'!AC379</f>
        <v>0</v>
      </c>
      <c r="Y374" s="29">
        <f>'RESUMEN TOTAL'!AD379</f>
        <v>0</v>
      </c>
      <c r="Z374" s="29">
        <f>'RESUMEN TOTAL'!AE379</f>
        <v>0</v>
      </c>
      <c r="AA374" s="29">
        <f>'RESUMEN TOTAL'!AF379</f>
        <v>0</v>
      </c>
      <c r="AB374" s="29">
        <f>'RESUMEN TOTAL'!AG379</f>
        <v>0</v>
      </c>
      <c r="AC374" s="29">
        <f>'RESUMEN TOTAL'!AH379</f>
        <v>0</v>
      </c>
      <c r="AD374" s="29">
        <f>'RESUMEN TOTAL'!AI379</f>
        <v>0</v>
      </c>
      <c r="AE374" s="29">
        <f>'RESUMEN TOTAL'!AJ379</f>
        <v>0</v>
      </c>
      <c r="AF374" s="29">
        <f>'RESUMEN TOTAL'!AK379</f>
        <v>0</v>
      </c>
      <c r="AG374" s="29">
        <f>'RESUMEN TOTAL'!AL379</f>
        <v>0</v>
      </c>
      <c r="AH374" s="29">
        <f>'RESUMEN TOTAL'!AM379</f>
        <v>0</v>
      </c>
      <c r="AI374" s="29">
        <f>'RESUMEN TOTAL'!AN379</f>
        <v>0</v>
      </c>
    </row>
    <row r="375" spans="1:35" x14ac:dyDescent="0.25">
      <c r="A375" s="50" t="str">
        <f>'RESUMEN TOTAL'!A380</f>
        <v>VILLA AURORA</v>
      </c>
      <c r="B375" s="50" t="str">
        <f>'RESUMEN TOTAL'!B380</f>
        <v>VAU05 (fija 1)</v>
      </c>
      <c r="C375" s="50" t="str">
        <f>'RESUMEN TOTAL'!D380</f>
        <v>GUIDO SPANO Y VICTORINO DE LA PLAZA</v>
      </c>
      <c r="D375" s="50" t="str">
        <f>'RESUMEN TOTAL'!E380</f>
        <v>Fija</v>
      </c>
      <c r="E375" s="50" t="str">
        <f>'RESUMEN TOTAL'!F380</f>
        <v>Fibra Optica</v>
      </c>
      <c r="F375" s="29">
        <f>'RESUMEN TOTAL'!K380</f>
        <v>0</v>
      </c>
      <c r="G375" s="29" t="str">
        <f>'RESUMEN TOTAL'!L380</f>
        <v>APAGADO</v>
      </c>
      <c r="H375" s="29">
        <f>'RESUMEN TOTAL'!M380</f>
        <v>0</v>
      </c>
      <c r="I375" s="29">
        <f>'RESUMEN TOTAL'!N380</f>
        <v>0</v>
      </c>
      <c r="J375" s="29">
        <f>'RESUMEN TOTAL'!O380</f>
        <v>0</v>
      </c>
      <c r="K375" s="29">
        <f>'RESUMEN TOTAL'!P380</f>
        <v>0</v>
      </c>
      <c r="L375" s="29">
        <f>'RESUMEN TOTAL'!Q380</f>
        <v>0</v>
      </c>
      <c r="M375" s="29">
        <f>'RESUMEN TOTAL'!R380</f>
        <v>0</v>
      </c>
      <c r="N375" s="29">
        <f>'RESUMEN TOTAL'!S380</f>
        <v>0</v>
      </c>
      <c r="O375" s="29">
        <f>'RESUMEN TOTAL'!T380</f>
        <v>0</v>
      </c>
      <c r="P375" s="29">
        <f>'RESUMEN TOTAL'!U380</f>
        <v>0</v>
      </c>
      <c r="Q375" s="29">
        <f>'RESUMEN TOTAL'!V380</f>
        <v>0</v>
      </c>
      <c r="R375" s="29">
        <f>'RESUMEN TOTAL'!W380</f>
        <v>0</v>
      </c>
      <c r="S375" s="29">
        <f>'RESUMEN TOTAL'!X380</f>
        <v>0</v>
      </c>
      <c r="T375" s="29">
        <f>'RESUMEN TOTAL'!Y380</f>
        <v>0</v>
      </c>
      <c r="U375" s="29">
        <f>'RESUMEN TOTAL'!Z380</f>
        <v>0</v>
      </c>
      <c r="V375" s="29">
        <f>'RESUMEN TOTAL'!AA380</f>
        <v>0</v>
      </c>
      <c r="W375" s="29">
        <f>'RESUMEN TOTAL'!AB380</f>
        <v>0</v>
      </c>
      <c r="X375" s="29">
        <f>'RESUMEN TOTAL'!AC380</f>
        <v>0</v>
      </c>
      <c r="Y375" s="29">
        <f>'RESUMEN TOTAL'!AD380</f>
        <v>0</v>
      </c>
      <c r="Z375" s="29">
        <f>'RESUMEN TOTAL'!AE380</f>
        <v>0</v>
      </c>
      <c r="AA375" s="29">
        <f>'RESUMEN TOTAL'!AF380</f>
        <v>0</v>
      </c>
      <c r="AB375" s="29">
        <f>'RESUMEN TOTAL'!AG380</f>
        <v>0</v>
      </c>
      <c r="AC375" s="29">
        <f>'RESUMEN TOTAL'!AH380</f>
        <v>0</v>
      </c>
      <c r="AD375" s="29">
        <f>'RESUMEN TOTAL'!AI380</f>
        <v>0</v>
      </c>
      <c r="AE375" s="29">
        <f>'RESUMEN TOTAL'!AJ380</f>
        <v>0</v>
      </c>
      <c r="AF375" s="29">
        <f>'RESUMEN TOTAL'!AK380</f>
        <v>0</v>
      </c>
      <c r="AG375" s="29">
        <f>'RESUMEN TOTAL'!AL380</f>
        <v>0</v>
      </c>
      <c r="AH375" s="29">
        <f>'RESUMEN TOTAL'!AM380</f>
        <v>0</v>
      </c>
      <c r="AI375" s="29">
        <f>'RESUMEN TOTAL'!AN380</f>
        <v>0</v>
      </c>
    </row>
    <row r="376" spans="1:35" x14ac:dyDescent="0.25">
      <c r="A376" s="50" t="str">
        <f>'RESUMEN TOTAL'!A381</f>
        <v>VILLA AURORA</v>
      </c>
      <c r="B376" s="50" t="str">
        <f>'RESUMEN TOTAL'!B381</f>
        <v>VAU06 (fija 2)</v>
      </c>
      <c r="C376" s="50" t="str">
        <f>'RESUMEN TOTAL'!D381</f>
        <v>GUIDO SPANO Y VICTORINO DE LA PLAZA</v>
      </c>
      <c r="D376" s="50" t="str">
        <f>'RESUMEN TOTAL'!E381</f>
        <v>Fija</v>
      </c>
      <c r="E376" s="50" t="str">
        <f>'RESUMEN TOTAL'!F381</f>
        <v>Fibra Optica</v>
      </c>
      <c r="F376" s="29">
        <f>'RESUMEN TOTAL'!K381</f>
        <v>0</v>
      </c>
      <c r="G376" s="29" t="str">
        <f>'RESUMEN TOTAL'!L381</f>
        <v>APAGADO</v>
      </c>
      <c r="H376" s="29">
        <f>'RESUMEN TOTAL'!M381</f>
        <v>0</v>
      </c>
      <c r="I376" s="29">
        <f>'RESUMEN TOTAL'!N381</f>
        <v>0</v>
      </c>
      <c r="J376" s="29">
        <f>'RESUMEN TOTAL'!O381</f>
        <v>0</v>
      </c>
      <c r="K376" s="29">
        <f>'RESUMEN TOTAL'!P381</f>
        <v>0</v>
      </c>
      <c r="L376" s="29">
        <f>'RESUMEN TOTAL'!Q381</f>
        <v>0</v>
      </c>
      <c r="M376" s="29">
        <f>'RESUMEN TOTAL'!R381</f>
        <v>0</v>
      </c>
      <c r="N376" s="29">
        <f>'RESUMEN TOTAL'!S381</f>
        <v>0</v>
      </c>
      <c r="O376" s="29">
        <f>'RESUMEN TOTAL'!T381</f>
        <v>0</v>
      </c>
      <c r="P376" s="29">
        <f>'RESUMEN TOTAL'!U381</f>
        <v>0</v>
      </c>
      <c r="Q376" s="29">
        <f>'RESUMEN TOTAL'!V381</f>
        <v>0</v>
      </c>
      <c r="R376" s="29">
        <f>'RESUMEN TOTAL'!W381</f>
        <v>0</v>
      </c>
      <c r="S376" s="29">
        <f>'RESUMEN TOTAL'!X381</f>
        <v>0</v>
      </c>
      <c r="T376" s="29">
        <f>'RESUMEN TOTAL'!Y381</f>
        <v>0</v>
      </c>
      <c r="U376" s="29">
        <f>'RESUMEN TOTAL'!Z381</f>
        <v>0</v>
      </c>
      <c r="V376" s="29">
        <f>'RESUMEN TOTAL'!AA381</f>
        <v>0</v>
      </c>
      <c r="W376" s="29">
        <f>'RESUMEN TOTAL'!AB381</f>
        <v>0</v>
      </c>
      <c r="X376" s="29">
        <f>'RESUMEN TOTAL'!AC381</f>
        <v>0</v>
      </c>
      <c r="Y376" s="29">
        <f>'RESUMEN TOTAL'!AD381</f>
        <v>0</v>
      </c>
      <c r="Z376" s="29">
        <f>'RESUMEN TOTAL'!AE381</f>
        <v>0</v>
      </c>
      <c r="AA376" s="29">
        <f>'RESUMEN TOTAL'!AF381</f>
        <v>0</v>
      </c>
      <c r="AB376" s="29">
        <f>'RESUMEN TOTAL'!AG381</f>
        <v>0</v>
      </c>
      <c r="AC376" s="29">
        <f>'RESUMEN TOTAL'!AH381</f>
        <v>0</v>
      </c>
      <c r="AD376" s="29">
        <f>'RESUMEN TOTAL'!AI381</f>
        <v>0</v>
      </c>
      <c r="AE376" s="29">
        <f>'RESUMEN TOTAL'!AJ381</f>
        <v>0</v>
      </c>
      <c r="AF376" s="29">
        <f>'RESUMEN TOTAL'!AK381</f>
        <v>0</v>
      </c>
      <c r="AG376" s="29">
        <f>'RESUMEN TOTAL'!AL381</f>
        <v>0</v>
      </c>
      <c r="AH376" s="29">
        <f>'RESUMEN TOTAL'!AM381</f>
        <v>0</v>
      </c>
      <c r="AI376" s="29">
        <f>'RESUMEN TOTAL'!AN381</f>
        <v>0</v>
      </c>
    </row>
    <row r="377" spans="1:35" x14ac:dyDescent="0.25">
      <c r="A377" s="50" t="str">
        <f>'RESUMEN TOTAL'!A382</f>
        <v>VILLA AURORA</v>
      </c>
      <c r="B377" s="50" t="str">
        <f>'RESUMEN TOTAL'!B382</f>
        <v>VAU 07</v>
      </c>
      <c r="C377" s="50" t="str">
        <f>'RESUMEN TOTAL'!D382</f>
        <v>VICTORINO DE LA PLAZA Y MONTEVERDE</v>
      </c>
      <c r="D377" s="50" t="str">
        <f>'RESUMEN TOTAL'!E382</f>
        <v>Domo</v>
      </c>
      <c r="E377" s="50" t="str">
        <f>'RESUMEN TOTAL'!F382</f>
        <v>Fibra Optica</v>
      </c>
      <c r="F377" s="29">
        <f>'RESUMEN TOTAL'!K382</f>
        <v>0</v>
      </c>
      <c r="G377" s="29" t="str">
        <f>'RESUMEN TOTAL'!L382</f>
        <v>APAGADO</v>
      </c>
      <c r="H377" s="29">
        <f>'RESUMEN TOTAL'!M382</f>
        <v>0</v>
      </c>
      <c r="I377" s="29">
        <f>'RESUMEN TOTAL'!N382</f>
        <v>0</v>
      </c>
      <c r="J377" s="29">
        <f>'RESUMEN TOTAL'!O382</f>
        <v>0</v>
      </c>
      <c r="K377" s="29">
        <f>'RESUMEN TOTAL'!P382</f>
        <v>0</v>
      </c>
      <c r="L377" s="29">
        <f>'RESUMEN TOTAL'!Q382</f>
        <v>0</v>
      </c>
      <c r="M377" s="29">
        <f>'RESUMEN TOTAL'!R382</f>
        <v>0</v>
      </c>
      <c r="N377" s="29">
        <f>'RESUMEN TOTAL'!S382</f>
        <v>0</v>
      </c>
      <c r="O377" s="29">
        <f>'RESUMEN TOTAL'!T382</f>
        <v>0</v>
      </c>
      <c r="P377" s="29">
        <f>'RESUMEN TOTAL'!U382</f>
        <v>0</v>
      </c>
      <c r="Q377" s="29">
        <f>'RESUMEN TOTAL'!V382</f>
        <v>0</v>
      </c>
      <c r="R377" s="29">
        <f>'RESUMEN TOTAL'!W382</f>
        <v>0</v>
      </c>
      <c r="S377" s="29">
        <f>'RESUMEN TOTAL'!X382</f>
        <v>0</v>
      </c>
      <c r="T377" s="29">
        <f>'RESUMEN TOTAL'!Y382</f>
        <v>0</v>
      </c>
      <c r="U377" s="29">
        <f>'RESUMEN TOTAL'!Z382</f>
        <v>0</v>
      </c>
      <c r="V377" s="29">
        <f>'RESUMEN TOTAL'!AA382</f>
        <v>0</v>
      </c>
      <c r="W377" s="29">
        <f>'RESUMEN TOTAL'!AB382</f>
        <v>0</v>
      </c>
      <c r="X377" s="29">
        <f>'RESUMEN TOTAL'!AC382</f>
        <v>0</v>
      </c>
      <c r="Y377" s="29">
        <f>'RESUMEN TOTAL'!AD382</f>
        <v>0</v>
      </c>
      <c r="Z377" s="29">
        <f>'RESUMEN TOTAL'!AE382</f>
        <v>0</v>
      </c>
      <c r="AA377" s="29">
        <f>'RESUMEN TOTAL'!AF382</f>
        <v>0</v>
      </c>
      <c r="AB377" s="29">
        <f>'RESUMEN TOTAL'!AG382</f>
        <v>0</v>
      </c>
      <c r="AC377" s="29">
        <f>'RESUMEN TOTAL'!AH382</f>
        <v>0</v>
      </c>
      <c r="AD377" s="29">
        <f>'RESUMEN TOTAL'!AI382</f>
        <v>0</v>
      </c>
      <c r="AE377" s="29">
        <f>'RESUMEN TOTAL'!AJ382</f>
        <v>0</v>
      </c>
      <c r="AF377" s="29">
        <f>'RESUMEN TOTAL'!AK382</f>
        <v>0</v>
      </c>
      <c r="AG377" s="29">
        <f>'RESUMEN TOTAL'!AL382</f>
        <v>0</v>
      </c>
      <c r="AH377" s="29">
        <f>'RESUMEN TOTAL'!AM382</f>
        <v>0</v>
      </c>
      <c r="AI377" s="29">
        <f>'RESUMEN TOTAL'!AN382</f>
        <v>0</v>
      </c>
    </row>
    <row r="378" spans="1:35" x14ac:dyDescent="0.25">
      <c r="A378" s="50" t="str">
        <f>'RESUMEN TOTAL'!A383</f>
        <v>VILLA AURORA</v>
      </c>
      <c r="B378" s="50" t="str">
        <f>'RESUMEN TOTAL'!B383</f>
        <v>VAU08</v>
      </c>
      <c r="C378" s="50" t="str">
        <f>'RESUMEN TOTAL'!D383</f>
        <v>MONTEVERDE Y WASHINGTON</v>
      </c>
      <c r="D378" s="50" t="str">
        <f>'RESUMEN TOTAL'!E383</f>
        <v>DOMO</v>
      </c>
      <c r="E378" s="50" t="str">
        <f>'RESUMEN TOTAL'!F383</f>
        <v>Fibra Optica</v>
      </c>
      <c r="F378" s="29">
        <f>'RESUMEN TOTAL'!K383</f>
        <v>0</v>
      </c>
      <c r="G378" s="29" t="str">
        <f>'RESUMEN TOTAL'!L383</f>
        <v>APAGADO</v>
      </c>
      <c r="H378" s="29">
        <f>'RESUMEN TOTAL'!M383</f>
        <v>0</v>
      </c>
      <c r="I378" s="29">
        <f>'RESUMEN TOTAL'!N383</f>
        <v>0</v>
      </c>
      <c r="J378" s="29">
        <f>'RESUMEN TOTAL'!O383</f>
        <v>0</v>
      </c>
      <c r="K378" s="29">
        <f>'RESUMEN TOTAL'!P383</f>
        <v>0</v>
      </c>
      <c r="L378" s="29">
        <f>'RESUMEN TOTAL'!Q383</f>
        <v>0</v>
      </c>
      <c r="M378" s="29">
        <f>'RESUMEN TOTAL'!R383</f>
        <v>0</v>
      </c>
      <c r="N378" s="29">
        <f>'RESUMEN TOTAL'!S383</f>
        <v>0</v>
      </c>
      <c r="O378" s="29">
        <f>'RESUMEN TOTAL'!T383</f>
        <v>0</v>
      </c>
      <c r="P378" s="29">
        <f>'RESUMEN TOTAL'!U383</f>
        <v>0</v>
      </c>
      <c r="Q378" s="29">
        <f>'RESUMEN TOTAL'!V383</f>
        <v>0</v>
      </c>
      <c r="R378" s="29">
        <f>'RESUMEN TOTAL'!W383</f>
        <v>0</v>
      </c>
      <c r="S378" s="29">
        <f>'RESUMEN TOTAL'!X383</f>
        <v>0</v>
      </c>
      <c r="T378" s="29">
        <f>'RESUMEN TOTAL'!Y383</f>
        <v>0</v>
      </c>
      <c r="U378" s="29">
        <f>'RESUMEN TOTAL'!Z383</f>
        <v>0</v>
      </c>
      <c r="V378" s="29">
        <f>'RESUMEN TOTAL'!AA383</f>
        <v>0</v>
      </c>
      <c r="W378" s="29">
        <f>'RESUMEN TOTAL'!AB383</f>
        <v>0</v>
      </c>
      <c r="X378" s="29">
        <f>'RESUMEN TOTAL'!AC383</f>
        <v>0</v>
      </c>
      <c r="Y378" s="29">
        <f>'RESUMEN TOTAL'!AD383</f>
        <v>0</v>
      </c>
      <c r="Z378" s="29">
        <f>'RESUMEN TOTAL'!AE383</f>
        <v>0</v>
      </c>
      <c r="AA378" s="29">
        <f>'RESUMEN TOTAL'!AF383</f>
        <v>0</v>
      </c>
      <c r="AB378" s="29">
        <f>'RESUMEN TOTAL'!AG383</f>
        <v>0</v>
      </c>
      <c r="AC378" s="29">
        <f>'RESUMEN TOTAL'!AH383</f>
        <v>0</v>
      </c>
      <c r="AD378" s="29">
        <f>'RESUMEN TOTAL'!AI383</f>
        <v>0</v>
      </c>
      <c r="AE378" s="29">
        <f>'RESUMEN TOTAL'!AJ383</f>
        <v>0</v>
      </c>
      <c r="AF378" s="29">
        <f>'RESUMEN TOTAL'!AK383</f>
        <v>0</v>
      </c>
      <c r="AG378" s="29">
        <f>'RESUMEN TOTAL'!AL383</f>
        <v>0</v>
      </c>
      <c r="AH378" s="29">
        <f>'RESUMEN TOTAL'!AM383</f>
        <v>0</v>
      </c>
      <c r="AI378" s="29">
        <f>'RESUMEN TOTAL'!AN383</f>
        <v>0</v>
      </c>
    </row>
    <row r="379" spans="1:35" x14ac:dyDescent="0.25">
      <c r="A379" s="50" t="str">
        <f>'RESUMEN TOTAL'!A384</f>
        <v>VILLA DEL PLATA</v>
      </c>
      <c r="B379" s="50" t="str">
        <f>'RESUMEN TOTAL'!B384</f>
        <v>VDPL02</v>
      </c>
      <c r="C379" s="50" t="str">
        <f>'RESUMEN TOTAL'!D384</f>
        <v>Thevenet y Berutti</v>
      </c>
      <c r="D379" s="50" t="str">
        <f>'RESUMEN TOTAL'!E384</f>
        <v>Domo</v>
      </c>
      <c r="E379" s="50" t="str">
        <f>'RESUMEN TOTAL'!F384</f>
        <v>Fibra Optica</v>
      </c>
      <c r="F379" s="29">
        <f>'RESUMEN TOTAL'!K384</f>
        <v>0</v>
      </c>
      <c r="G379" s="29">
        <f>'RESUMEN TOTAL'!L384</f>
        <v>0</v>
      </c>
      <c r="H379" s="29">
        <f>'RESUMEN TOTAL'!M384</f>
        <v>0</v>
      </c>
      <c r="I379" s="29">
        <f>'RESUMEN TOTAL'!N384</f>
        <v>0</v>
      </c>
      <c r="J379" s="29">
        <f>'RESUMEN TOTAL'!O384</f>
        <v>0</v>
      </c>
      <c r="K379" s="29">
        <f>'RESUMEN TOTAL'!P384</f>
        <v>0</v>
      </c>
      <c r="L379" s="29">
        <f>'RESUMEN TOTAL'!Q384</f>
        <v>0</v>
      </c>
      <c r="M379" s="29">
        <f>'RESUMEN TOTAL'!R384</f>
        <v>0</v>
      </c>
      <c r="N379" s="29">
        <f>'RESUMEN TOTAL'!S384</f>
        <v>0</v>
      </c>
      <c r="O379" s="29">
        <f>'RESUMEN TOTAL'!T384</f>
        <v>0</v>
      </c>
      <c r="P379" s="29">
        <f>'RESUMEN TOTAL'!U384</f>
        <v>0</v>
      </c>
      <c r="Q379" s="29">
        <f>'RESUMEN TOTAL'!V384</f>
        <v>0</v>
      </c>
      <c r="R379" s="29">
        <f>'RESUMEN TOTAL'!W384</f>
        <v>0</v>
      </c>
      <c r="S379" s="29">
        <f>'RESUMEN TOTAL'!X384</f>
        <v>0</v>
      </c>
      <c r="T379" s="29" t="str">
        <f>'RESUMEN TOTAL'!Y384</f>
        <v>APAGADO</v>
      </c>
      <c r="U379" s="29" t="str">
        <f>'RESUMEN TOTAL'!Z384</f>
        <v>APAGADO</v>
      </c>
      <c r="V379" s="29" t="str">
        <f>'RESUMEN TOTAL'!AA384</f>
        <v>APAGADO</v>
      </c>
      <c r="W379" s="29" t="str">
        <f>'RESUMEN TOTAL'!AB384</f>
        <v>APAGADO</v>
      </c>
      <c r="X379" s="29" t="str">
        <f>'RESUMEN TOTAL'!AC384</f>
        <v>APAGADO</v>
      </c>
      <c r="Y379" s="29" t="str">
        <f>'RESUMEN TOTAL'!AD384</f>
        <v>APAGADO</v>
      </c>
      <c r="Z379" s="29" t="str">
        <f>'RESUMEN TOTAL'!AE384</f>
        <v>APAGADO</v>
      </c>
      <c r="AA379" s="29" t="str">
        <f>'RESUMEN TOTAL'!AF384</f>
        <v>APAGADO</v>
      </c>
      <c r="AB379" s="29" t="str">
        <f>'RESUMEN TOTAL'!AG384</f>
        <v>APAGADO</v>
      </c>
      <c r="AC379" s="29" t="str">
        <f>'RESUMEN TOTAL'!AH384</f>
        <v>APAGADO</v>
      </c>
      <c r="AD379" s="29" t="str">
        <f>'RESUMEN TOTAL'!AI384</f>
        <v>APAGADO</v>
      </c>
      <c r="AE379" s="29">
        <f>'RESUMEN TOTAL'!AJ384</f>
        <v>0</v>
      </c>
      <c r="AF379" s="29">
        <f>'RESUMEN TOTAL'!AK384</f>
        <v>0</v>
      </c>
      <c r="AG379" s="29">
        <f>'RESUMEN TOTAL'!AL384</f>
        <v>0</v>
      </c>
      <c r="AH379" s="29">
        <f>'RESUMEN TOTAL'!AM384</f>
        <v>0</v>
      </c>
      <c r="AI379" s="29">
        <f>'RESUMEN TOTAL'!AN384</f>
        <v>0</v>
      </c>
    </row>
    <row r="380" spans="1:35" x14ac:dyDescent="0.25">
      <c r="A380" s="50" t="str">
        <f>'RESUMEN TOTAL'!A385</f>
        <v>VILLA DEL PLATA</v>
      </c>
      <c r="B380" s="50" t="str">
        <f>'RESUMEN TOTAL'!B385</f>
        <v>VDPL03</v>
      </c>
      <c r="C380" s="50" t="str">
        <f>'RESUMEN TOTAL'!D385</f>
        <v>Neuquen y Alvarado</v>
      </c>
      <c r="D380" s="50" t="str">
        <f>'RESUMEN TOTAL'!E385</f>
        <v>Domo</v>
      </c>
      <c r="E380" s="50" t="str">
        <f>'RESUMEN TOTAL'!F385</f>
        <v>Radio</v>
      </c>
      <c r="F380" s="29">
        <f>'RESUMEN TOTAL'!K385</f>
        <v>0</v>
      </c>
      <c r="G380" s="29">
        <f>'RESUMEN TOTAL'!L385</f>
        <v>0</v>
      </c>
      <c r="H380" s="29">
        <f>'RESUMEN TOTAL'!M385</f>
        <v>0</v>
      </c>
      <c r="I380" s="29">
        <f>'RESUMEN TOTAL'!N385</f>
        <v>0</v>
      </c>
      <c r="J380" s="29">
        <f>'RESUMEN TOTAL'!O385</f>
        <v>0</v>
      </c>
      <c r="K380" s="29">
        <f>'RESUMEN TOTAL'!P385</f>
        <v>0</v>
      </c>
      <c r="L380" s="29">
        <f>'RESUMEN TOTAL'!Q385</f>
        <v>0</v>
      </c>
      <c r="M380" s="29">
        <f>'RESUMEN TOTAL'!R385</f>
        <v>0</v>
      </c>
      <c r="N380" s="29">
        <f>'RESUMEN TOTAL'!S385</f>
        <v>0</v>
      </c>
      <c r="O380" s="29">
        <f>'RESUMEN TOTAL'!T385</f>
        <v>0</v>
      </c>
      <c r="P380" s="29">
        <f>'RESUMEN TOTAL'!U385</f>
        <v>0</v>
      </c>
      <c r="Q380" s="29">
        <f>'RESUMEN TOTAL'!V385</f>
        <v>0</v>
      </c>
      <c r="R380" s="29">
        <f>'RESUMEN TOTAL'!W385</f>
        <v>0</v>
      </c>
      <c r="S380" s="29">
        <f>'RESUMEN TOTAL'!X385</f>
        <v>0</v>
      </c>
      <c r="T380" s="29" t="str">
        <f>'RESUMEN TOTAL'!Y385</f>
        <v>APAGADO</v>
      </c>
      <c r="U380" s="29">
        <f>'RESUMEN TOTAL'!Z385</f>
        <v>0</v>
      </c>
      <c r="V380" s="29">
        <f>'RESUMEN TOTAL'!AA385</f>
        <v>0</v>
      </c>
      <c r="W380" s="29">
        <f>'RESUMEN TOTAL'!AB385</f>
        <v>0</v>
      </c>
      <c r="X380" s="29">
        <f>'RESUMEN TOTAL'!AC385</f>
        <v>0</v>
      </c>
      <c r="Y380" s="29">
        <f>'RESUMEN TOTAL'!AD385</f>
        <v>0</v>
      </c>
      <c r="Z380" s="29">
        <f>'RESUMEN TOTAL'!AE385</f>
        <v>0</v>
      </c>
      <c r="AA380" s="29">
        <f>'RESUMEN TOTAL'!AF385</f>
        <v>0</v>
      </c>
      <c r="AB380" s="29">
        <f>'RESUMEN TOTAL'!AG385</f>
        <v>0</v>
      </c>
      <c r="AC380" s="29">
        <f>'RESUMEN TOTAL'!AH385</f>
        <v>0</v>
      </c>
      <c r="AD380" s="29">
        <f>'RESUMEN TOTAL'!AI385</f>
        <v>0</v>
      </c>
      <c r="AE380" s="29">
        <f>'RESUMEN TOTAL'!AJ385</f>
        <v>0</v>
      </c>
      <c r="AF380" s="29">
        <f>'RESUMEN TOTAL'!AK385</f>
        <v>0</v>
      </c>
      <c r="AG380" s="29">
        <f>'RESUMEN TOTAL'!AL385</f>
        <v>0</v>
      </c>
      <c r="AH380" s="29">
        <f>'RESUMEN TOTAL'!AM385</f>
        <v>0</v>
      </c>
      <c r="AI380" s="29">
        <f>'RESUMEN TOTAL'!AN385</f>
        <v>0</v>
      </c>
    </row>
    <row r="381" spans="1:35" x14ac:dyDescent="0.25">
      <c r="A381" s="50" t="str">
        <f>'RESUMEN TOTAL'!A386</f>
        <v>VILLA DEL PLATA</v>
      </c>
      <c r="B381" s="50" t="str">
        <f>'RESUMEN TOTAL'!B386</f>
        <v>VDPL04</v>
      </c>
      <c r="C381" s="50" t="str">
        <f>'RESUMEN TOTAL'!D386</f>
        <v>Neuquen y Diagonal Guemes</v>
      </c>
      <c r="D381" s="50" t="str">
        <f>'RESUMEN TOTAL'!E386</f>
        <v>Domo</v>
      </c>
      <c r="E381" s="50" t="str">
        <f>'RESUMEN TOTAL'!F386</f>
        <v>Radio</v>
      </c>
      <c r="F381" s="29">
        <f>'RESUMEN TOTAL'!K386</f>
        <v>0</v>
      </c>
      <c r="G381" s="29">
        <f>'RESUMEN TOTAL'!L386</f>
        <v>0</v>
      </c>
      <c r="H381" s="29">
        <f>'RESUMEN TOTAL'!M386</f>
        <v>0</v>
      </c>
      <c r="I381" s="29">
        <f>'RESUMEN TOTAL'!N386</f>
        <v>0</v>
      </c>
      <c r="J381" s="29">
        <f>'RESUMEN TOTAL'!O386</f>
        <v>0</v>
      </c>
      <c r="K381" s="29">
        <f>'RESUMEN TOTAL'!P386</f>
        <v>0</v>
      </c>
      <c r="L381" s="29">
        <f>'RESUMEN TOTAL'!Q386</f>
        <v>0</v>
      </c>
      <c r="M381" s="29">
        <f>'RESUMEN TOTAL'!R386</f>
        <v>0</v>
      </c>
      <c r="N381" s="29">
        <f>'RESUMEN TOTAL'!S386</f>
        <v>0</v>
      </c>
      <c r="O381" s="29">
        <f>'RESUMEN TOTAL'!T386</f>
        <v>0</v>
      </c>
      <c r="P381" s="29">
        <f>'RESUMEN TOTAL'!U386</f>
        <v>0</v>
      </c>
      <c r="Q381" s="29">
        <f>'RESUMEN TOTAL'!V386</f>
        <v>0</v>
      </c>
      <c r="R381" s="29">
        <f>'RESUMEN TOTAL'!W386</f>
        <v>0</v>
      </c>
      <c r="S381" s="29">
        <f>'RESUMEN TOTAL'!X386</f>
        <v>0</v>
      </c>
      <c r="T381" s="29">
        <f>'RESUMEN TOTAL'!Y386</f>
        <v>0</v>
      </c>
      <c r="U381" s="29">
        <f>'RESUMEN TOTAL'!Z386</f>
        <v>0</v>
      </c>
      <c r="V381" s="29">
        <f>'RESUMEN TOTAL'!AA386</f>
        <v>0</v>
      </c>
      <c r="W381" s="29">
        <f>'RESUMEN TOTAL'!AB386</f>
        <v>0</v>
      </c>
      <c r="X381" s="29">
        <f>'RESUMEN TOTAL'!AC386</f>
        <v>0</v>
      </c>
      <c r="Y381" s="29">
        <f>'RESUMEN TOTAL'!AD386</f>
        <v>0</v>
      </c>
      <c r="Z381" s="29">
        <f>'RESUMEN TOTAL'!AE386</f>
        <v>0</v>
      </c>
      <c r="AA381" s="29">
        <f>'RESUMEN TOTAL'!AF386</f>
        <v>0</v>
      </c>
      <c r="AB381" s="29">
        <f>'RESUMEN TOTAL'!AG386</f>
        <v>0</v>
      </c>
      <c r="AC381" s="29">
        <f>'RESUMEN TOTAL'!AH386</f>
        <v>0</v>
      </c>
      <c r="AD381" s="29">
        <f>'RESUMEN TOTAL'!AI386</f>
        <v>0</v>
      </c>
      <c r="AE381" s="29">
        <f>'RESUMEN TOTAL'!AJ386</f>
        <v>0</v>
      </c>
      <c r="AF381" s="29">
        <f>'RESUMEN TOTAL'!AK386</f>
        <v>0</v>
      </c>
      <c r="AG381" s="29">
        <f>'RESUMEN TOTAL'!AL386</f>
        <v>0</v>
      </c>
      <c r="AH381" s="29">
        <f>'RESUMEN TOTAL'!AM386</f>
        <v>0</v>
      </c>
      <c r="AI381" s="29">
        <f>'RESUMEN TOTAL'!AN386</f>
        <v>0</v>
      </c>
    </row>
    <row r="382" spans="1:35" x14ac:dyDescent="0.25">
      <c r="A382" s="50" t="str">
        <f>'RESUMEN TOTAL'!A387</f>
        <v>VILLA DEL PLATA</v>
      </c>
      <c r="B382" s="50" t="str">
        <f>'RESUMEN TOTAL'!B387</f>
        <v>VDPL05</v>
      </c>
      <c r="C382" s="50" t="str">
        <f>'RESUMEN TOTAL'!D387</f>
        <v>Ruta 36 y Abraham</v>
      </c>
      <c r="D382" s="50" t="str">
        <f>'RESUMEN TOTAL'!E387</f>
        <v>Domo</v>
      </c>
      <c r="E382" s="50" t="str">
        <f>'RESUMEN TOTAL'!F387</f>
        <v>PTO A FO</v>
      </c>
      <c r="F382" s="29">
        <f>'RESUMEN TOTAL'!K387</f>
        <v>0</v>
      </c>
      <c r="G382" s="29">
        <f>'RESUMEN TOTAL'!L387</f>
        <v>0</v>
      </c>
      <c r="H382" s="29">
        <f>'RESUMEN TOTAL'!M387</f>
        <v>0</v>
      </c>
      <c r="I382" s="29">
        <f>'RESUMEN TOTAL'!N387</f>
        <v>0</v>
      </c>
      <c r="J382" s="29">
        <f>'RESUMEN TOTAL'!O387</f>
        <v>0</v>
      </c>
      <c r="K382" s="29">
        <f>'RESUMEN TOTAL'!P387</f>
        <v>0</v>
      </c>
      <c r="L382" s="29">
        <f>'RESUMEN TOTAL'!Q387</f>
        <v>0</v>
      </c>
      <c r="M382" s="29">
        <f>'RESUMEN TOTAL'!R387</f>
        <v>0</v>
      </c>
      <c r="N382" s="29">
        <f>'RESUMEN TOTAL'!S387</f>
        <v>0</v>
      </c>
      <c r="O382" s="29">
        <f>'RESUMEN TOTAL'!T387</f>
        <v>0</v>
      </c>
      <c r="P382" s="29">
        <f>'RESUMEN TOTAL'!U387</f>
        <v>0</v>
      </c>
      <c r="Q382" s="29">
        <f>'RESUMEN TOTAL'!V387</f>
        <v>0</v>
      </c>
      <c r="R382" s="29">
        <f>'RESUMEN TOTAL'!W387</f>
        <v>0</v>
      </c>
      <c r="S382" s="29">
        <f>'RESUMEN TOTAL'!X387</f>
        <v>0</v>
      </c>
      <c r="T382" s="29" t="str">
        <f>'RESUMEN TOTAL'!Y387</f>
        <v>APAGADO</v>
      </c>
      <c r="U382" s="29" t="str">
        <f>'RESUMEN TOTAL'!Z387</f>
        <v>APAGADO</v>
      </c>
      <c r="V382" s="29" t="str">
        <f>'RESUMEN TOTAL'!AA387</f>
        <v>APAGADO</v>
      </c>
      <c r="W382" s="29" t="str">
        <f>'RESUMEN TOTAL'!AB387</f>
        <v>APAGADO</v>
      </c>
      <c r="X382" s="29" t="str">
        <f>'RESUMEN TOTAL'!AC387</f>
        <v>APAGADO</v>
      </c>
      <c r="Y382" s="29" t="str">
        <f>'RESUMEN TOTAL'!AD387</f>
        <v>APAGADO</v>
      </c>
      <c r="Z382" s="29" t="str">
        <f>'RESUMEN TOTAL'!AE387</f>
        <v>APAGADO</v>
      </c>
      <c r="AA382" s="29" t="str">
        <f>'RESUMEN TOTAL'!AF387</f>
        <v>APAGADO</v>
      </c>
      <c r="AB382" s="29" t="str">
        <f>'RESUMEN TOTAL'!AG387</f>
        <v>APAGADO</v>
      </c>
      <c r="AC382" s="29">
        <f>'RESUMEN TOTAL'!AH387</f>
        <v>0</v>
      </c>
      <c r="AD382" s="29" t="str">
        <f>'RESUMEN TOTAL'!AI387</f>
        <v>APAGADO</v>
      </c>
      <c r="AE382" s="29">
        <f>'RESUMEN TOTAL'!AJ387</f>
        <v>0</v>
      </c>
      <c r="AF382" s="29">
        <f>'RESUMEN TOTAL'!AK387</f>
        <v>0</v>
      </c>
      <c r="AG382" s="29">
        <f>'RESUMEN TOTAL'!AL387</f>
        <v>0</v>
      </c>
      <c r="AH382" s="29">
        <f>'RESUMEN TOTAL'!AM387</f>
        <v>0</v>
      </c>
      <c r="AI382" s="29">
        <f>'RESUMEN TOTAL'!AN387</f>
        <v>0</v>
      </c>
    </row>
    <row r="383" spans="1:35" x14ac:dyDescent="0.25">
      <c r="A383" s="50" t="str">
        <f>'RESUMEN TOTAL'!A388</f>
        <v>VILLA ANGELICA</v>
      </c>
      <c r="B383" s="50" t="str">
        <f>'RESUMEN TOTAL'!B388</f>
        <v>VDPL06</v>
      </c>
      <c r="C383" s="50" t="str">
        <f>'RESUMEN TOTAL'!D388</f>
        <v>Thevenet e/ Islas Orcadas y Gardel</v>
      </c>
      <c r="D383" s="50" t="str">
        <f>'RESUMEN TOTAL'!E388</f>
        <v>Domo</v>
      </c>
      <c r="E383" s="50" t="str">
        <f>'RESUMEN TOTAL'!F388</f>
        <v>Radio</v>
      </c>
      <c r="F383" s="29">
        <f>'RESUMEN TOTAL'!K388</f>
        <v>0</v>
      </c>
      <c r="G383" s="29">
        <f>'RESUMEN TOTAL'!L388</f>
        <v>0</v>
      </c>
      <c r="H383" s="29">
        <f>'RESUMEN TOTAL'!M388</f>
        <v>0</v>
      </c>
      <c r="I383" s="29">
        <f>'RESUMEN TOTAL'!N388</f>
        <v>0</v>
      </c>
      <c r="J383" s="29">
        <f>'RESUMEN TOTAL'!O388</f>
        <v>0</v>
      </c>
      <c r="K383" s="29">
        <f>'RESUMEN TOTAL'!P388</f>
        <v>0</v>
      </c>
      <c r="L383" s="29">
        <f>'RESUMEN TOTAL'!Q388</f>
        <v>0</v>
      </c>
      <c r="M383" s="29">
        <f>'RESUMEN TOTAL'!R388</f>
        <v>0</v>
      </c>
      <c r="N383" s="29">
        <f>'RESUMEN TOTAL'!S388</f>
        <v>0</v>
      </c>
      <c r="O383" s="29">
        <f>'RESUMEN TOTAL'!T388</f>
        <v>0</v>
      </c>
      <c r="P383" s="29">
        <f>'RESUMEN TOTAL'!U388</f>
        <v>0</v>
      </c>
      <c r="Q383" s="29">
        <f>'RESUMEN TOTAL'!V388</f>
        <v>0</v>
      </c>
      <c r="R383" s="29">
        <f>'RESUMEN TOTAL'!W388</f>
        <v>0</v>
      </c>
      <c r="S383" s="29">
        <f>'RESUMEN TOTAL'!X388</f>
        <v>0</v>
      </c>
      <c r="T383" s="29">
        <f>'RESUMEN TOTAL'!Y388</f>
        <v>0</v>
      </c>
      <c r="U383" s="29">
        <f>'RESUMEN TOTAL'!Z388</f>
        <v>0</v>
      </c>
      <c r="V383" s="29">
        <f>'RESUMEN TOTAL'!AA388</f>
        <v>0</v>
      </c>
      <c r="W383" s="29">
        <f>'RESUMEN TOTAL'!AB388</f>
        <v>0</v>
      </c>
      <c r="X383" s="29">
        <f>'RESUMEN TOTAL'!AC388</f>
        <v>0</v>
      </c>
      <c r="Y383" s="29">
        <f>'RESUMEN TOTAL'!AD388</f>
        <v>0</v>
      </c>
      <c r="Z383" s="29">
        <f>'RESUMEN TOTAL'!AE388</f>
        <v>0</v>
      </c>
      <c r="AA383" s="29">
        <f>'RESUMEN TOTAL'!AF388</f>
        <v>0</v>
      </c>
      <c r="AB383" s="29">
        <f>'RESUMEN TOTAL'!AG388</f>
        <v>0</v>
      </c>
      <c r="AC383" s="29">
        <f>'RESUMEN TOTAL'!AH388</f>
        <v>0</v>
      </c>
      <c r="AD383" s="29">
        <f>'RESUMEN TOTAL'!AI388</f>
        <v>0</v>
      </c>
      <c r="AE383" s="29">
        <f>'RESUMEN TOTAL'!AJ388</f>
        <v>0</v>
      </c>
      <c r="AF383" s="29">
        <f>'RESUMEN TOTAL'!AK388</f>
        <v>0</v>
      </c>
      <c r="AG383" s="29">
        <f>'RESUMEN TOTAL'!AL388</f>
        <v>0</v>
      </c>
      <c r="AH383" s="29">
        <f>'RESUMEN TOTAL'!AM388</f>
        <v>0</v>
      </c>
      <c r="AI383" s="29">
        <f>'RESUMEN TOTAL'!AN388</f>
        <v>0</v>
      </c>
    </row>
    <row r="384" spans="1:35" x14ac:dyDescent="0.25">
      <c r="A384" s="50" t="str">
        <f>'RESUMEN TOTAL'!A389</f>
        <v>VILLA HUDSON</v>
      </c>
      <c r="B384" s="50" t="str">
        <f>'RESUMEN TOTAL'!B389</f>
        <v>VHS 01</v>
      </c>
      <c r="C384" s="50" t="str">
        <f>'RESUMEN TOTAL'!D389</f>
        <v>AV. HUDSON Y AV. LUJAN</v>
      </c>
      <c r="D384" s="50" t="str">
        <f>'RESUMEN TOTAL'!E389</f>
        <v>DOMO</v>
      </c>
      <c r="E384" s="50" t="str">
        <f>'RESUMEN TOTAL'!F389</f>
        <v>Fibra Optica</v>
      </c>
      <c r="F384" s="29">
        <f>'RESUMEN TOTAL'!K389</f>
        <v>0</v>
      </c>
      <c r="G384" s="29">
        <f>'RESUMEN TOTAL'!L389</f>
        <v>0</v>
      </c>
      <c r="H384" s="29">
        <f>'RESUMEN TOTAL'!M389</f>
        <v>0</v>
      </c>
      <c r="I384" s="29">
        <f>'RESUMEN TOTAL'!N389</f>
        <v>0</v>
      </c>
      <c r="J384" s="29">
        <f>'RESUMEN TOTAL'!O389</f>
        <v>0</v>
      </c>
      <c r="K384" s="29">
        <f>'RESUMEN TOTAL'!P389</f>
        <v>0</v>
      </c>
      <c r="L384" s="29">
        <f>'RESUMEN TOTAL'!Q389</f>
        <v>0</v>
      </c>
      <c r="M384" s="29">
        <f>'RESUMEN TOTAL'!R389</f>
        <v>0</v>
      </c>
      <c r="N384" s="29">
        <f>'RESUMEN TOTAL'!S389</f>
        <v>0</v>
      </c>
      <c r="O384" s="29">
        <f>'RESUMEN TOTAL'!T389</f>
        <v>0</v>
      </c>
      <c r="P384" s="29">
        <f>'RESUMEN TOTAL'!U389</f>
        <v>0</v>
      </c>
      <c r="Q384" s="29">
        <f>'RESUMEN TOTAL'!V389</f>
        <v>0</v>
      </c>
      <c r="R384" s="29">
        <f>'RESUMEN TOTAL'!W389</f>
        <v>0</v>
      </c>
      <c r="S384" s="29">
        <f>'RESUMEN TOTAL'!X389</f>
        <v>0</v>
      </c>
      <c r="T384" s="29">
        <f>'RESUMEN TOTAL'!Y389</f>
        <v>0</v>
      </c>
      <c r="U384" s="29">
        <f>'RESUMEN TOTAL'!Z389</f>
        <v>0</v>
      </c>
      <c r="V384" s="29">
        <f>'RESUMEN TOTAL'!AA389</f>
        <v>0</v>
      </c>
      <c r="W384" s="29">
        <f>'RESUMEN TOTAL'!AB389</f>
        <v>0</v>
      </c>
      <c r="X384" s="29">
        <f>'RESUMEN TOTAL'!AC389</f>
        <v>0</v>
      </c>
      <c r="Y384" s="29">
        <f>'RESUMEN TOTAL'!AD389</f>
        <v>0</v>
      </c>
      <c r="Z384" s="29">
        <f>'RESUMEN TOTAL'!AE389</f>
        <v>0</v>
      </c>
      <c r="AA384" s="29">
        <f>'RESUMEN TOTAL'!AF389</f>
        <v>0</v>
      </c>
      <c r="AB384" s="29">
        <f>'RESUMEN TOTAL'!AG389</f>
        <v>0</v>
      </c>
      <c r="AC384" s="29">
        <f>'RESUMEN TOTAL'!AH389</f>
        <v>0</v>
      </c>
      <c r="AD384" s="29">
        <f>'RESUMEN TOTAL'!AI389</f>
        <v>0</v>
      </c>
      <c r="AE384" s="29">
        <f>'RESUMEN TOTAL'!AJ389</f>
        <v>0</v>
      </c>
      <c r="AF384" s="29">
        <f>'RESUMEN TOTAL'!AK389</f>
        <v>0</v>
      </c>
      <c r="AG384" s="29">
        <f>'RESUMEN TOTAL'!AL389</f>
        <v>0</v>
      </c>
      <c r="AH384" s="29">
        <f>'RESUMEN TOTAL'!AM389</f>
        <v>0</v>
      </c>
      <c r="AI384" s="29">
        <f>'RESUMEN TOTAL'!AN389</f>
        <v>0</v>
      </c>
    </row>
    <row r="385" spans="1:35" x14ac:dyDescent="0.25">
      <c r="A385" s="50" t="str">
        <f>'RESUMEN TOTAL'!A390</f>
        <v>VILLA HUDSON</v>
      </c>
      <c r="B385" s="50" t="str">
        <f>'RESUMEN TOTAL'!B390</f>
        <v>VHS 02</v>
      </c>
      <c r="C385" s="50" t="str">
        <f>'RESUMEN TOTAL'!D390</f>
        <v>AV. LUJAN Y CALLE 909 A</v>
      </c>
      <c r="D385" s="50" t="str">
        <f>'RESUMEN TOTAL'!E390</f>
        <v>DOMO</v>
      </c>
      <c r="E385" s="50" t="str">
        <f>'RESUMEN TOTAL'!F390</f>
        <v>Fibra Optica</v>
      </c>
      <c r="F385" s="29">
        <f>'RESUMEN TOTAL'!K390</f>
        <v>0</v>
      </c>
      <c r="G385" s="29">
        <f>'RESUMEN TOTAL'!L390</f>
        <v>0</v>
      </c>
      <c r="H385" s="29">
        <f>'RESUMEN TOTAL'!M390</f>
        <v>0</v>
      </c>
      <c r="I385" s="29">
        <f>'RESUMEN TOTAL'!N390</f>
        <v>0</v>
      </c>
      <c r="J385" s="29">
        <f>'RESUMEN TOTAL'!O390</f>
        <v>0</v>
      </c>
      <c r="K385" s="29">
        <f>'RESUMEN TOTAL'!P390</f>
        <v>0</v>
      </c>
      <c r="L385" s="29">
        <f>'RESUMEN TOTAL'!Q390</f>
        <v>0</v>
      </c>
      <c r="M385" s="29">
        <f>'RESUMEN TOTAL'!R390</f>
        <v>0</v>
      </c>
      <c r="N385" s="29">
        <f>'RESUMEN TOTAL'!S390</f>
        <v>0</v>
      </c>
      <c r="O385" s="29">
        <f>'RESUMEN TOTAL'!T390</f>
        <v>0</v>
      </c>
      <c r="P385" s="29">
        <f>'RESUMEN TOTAL'!U390</f>
        <v>0</v>
      </c>
      <c r="Q385" s="29">
        <f>'RESUMEN TOTAL'!V390</f>
        <v>0</v>
      </c>
      <c r="R385" s="29">
        <f>'RESUMEN TOTAL'!W390</f>
        <v>0</v>
      </c>
      <c r="S385" s="29">
        <f>'RESUMEN TOTAL'!X390</f>
        <v>0</v>
      </c>
      <c r="T385" s="29">
        <f>'RESUMEN TOTAL'!Y390</f>
        <v>0</v>
      </c>
      <c r="U385" s="29">
        <f>'RESUMEN TOTAL'!Z390</f>
        <v>0</v>
      </c>
      <c r="V385" s="29">
        <f>'RESUMEN TOTAL'!AA390</f>
        <v>0</v>
      </c>
      <c r="W385" s="29">
        <f>'RESUMEN TOTAL'!AB390</f>
        <v>0</v>
      </c>
      <c r="X385" s="29">
        <f>'RESUMEN TOTAL'!AC390</f>
        <v>0</v>
      </c>
      <c r="Y385" s="29">
        <f>'RESUMEN TOTAL'!AD390</f>
        <v>0</v>
      </c>
      <c r="Z385" s="29">
        <f>'RESUMEN TOTAL'!AE390</f>
        <v>0</v>
      </c>
      <c r="AA385" s="29">
        <f>'RESUMEN TOTAL'!AF390</f>
        <v>0</v>
      </c>
      <c r="AB385" s="29">
        <f>'RESUMEN TOTAL'!AG390</f>
        <v>0</v>
      </c>
      <c r="AC385" s="29">
        <f>'RESUMEN TOTAL'!AH390</f>
        <v>0</v>
      </c>
      <c r="AD385" s="29">
        <f>'RESUMEN TOTAL'!AI390</f>
        <v>0</v>
      </c>
      <c r="AE385" s="29">
        <f>'RESUMEN TOTAL'!AJ390</f>
        <v>0</v>
      </c>
      <c r="AF385" s="29">
        <f>'RESUMEN TOTAL'!AK390</f>
        <v>0</v>
      </c>
      <c r="AG385" s="29">
        <f>'RESUMEN TOTAL'!AL390</f>
        <v>0</v>
      </c>
      <c r="AH385" s="29">
        <f>'RESUMEN TOTAL'!AM390</f>
        <v>0</v>
      </c>
      <c r="AI385" s="29">
        <f>'RESUMEN TOTAL'!AN390</f>
        <v>0</v>
      </c>
    </row>
    <row r="386" spans="1:35" x14ac:dyDescent="0.25">
      <c r="A386" s="50" t="str">
        <f>'RESUMEN TOTAL'!A391</f>
        <v>VILLA HUDSON</v>
      </c>
      <c r="B386" s="50" t="str">
        <f>'RESUMEN TOTAL'!B391</f>
        <v>VHS 03 (fija 1)</v>
      </c>
      <c r="C386" s="50" t="str">
        <f>'RESUMEN TOTAL'!D391</f>
        <v>AV. HUDSON Y LOS INMIGRANTES</v>
      </c>
      <c r="D386" s="50" t="str">
        <f>'RESUMEN TOTAL'!E391</f>
        <v>Fija</v>
      </c>
      <c r="E386" s="50" t="str">
        <f>'RESUMEN TOTAL'!F391</f>
        <v>Fibra Optica</v>
      </c>
      <c r="F386" s="29">
        <f>'RESUMEN TOTAL'!K391</f>
        <v>0</v>
      </c>
      <c r="G386" s="29">
        <f>'RESUMEN TOTAL'!L391</f>
        <v>0</v>
      </c>
      <c r="H386" s="29">
        <f>'RESUMEN TOTAL'!M391</f>
        <v>0</v>
      </c>
      <c r="I386" s="29">
        <f>'RESUMEN TOTAL'!N391</f>
        <v>0</v>
      </c>
      <c r="J386" s="29">
        <f>'RESUMEN TOTAL'!O391</f>
        <v>0</v>
      </c>
      <c r="K386" s="29">
        <f>'RESUMEN TOTAL'!P391</f>
        <v>0</v>
      </c>
      <c r="L386" s="29">
        <f>'RESUMEN TOTAL'!Q391</f>
        <v>0</v>
      </c>
      <c r="M386" s="29">
        <f>'RESUMEN TOTAL'!R391</f>
        <v>0</v>
      </c>
      <c r="N386" s="29">
        <f>'RESUMEN TOTAL'!S391</f>
        <v>0</v>
      </c>
      <c r="O386" s="29">
        <f>'RESUMEN TOTAL'!T391</f>
        <v>0</v>
      </c>
      <c r="P386" s="29">
        <f>'RESUMEN TOTAL'!U391</f>
        <v>0</v>
      </c>
      <c r="Q386" s="29">
        <f>'RESUMEN TOTAL'!V391</f>
        <v>0</v>
      </c>
      <c r="R386" s="29">
        <f>'RESUMEN TOTAL'!W391</f>
        <v>0</v>
      </c>
      <c r="S386" s="29">
        <f>'RESUMEN TOTAL'!X391</f>
        <v>0</v>
      </c>
      <c r="T386" s="29">
        <f>'RESUMEN TOTAL'!Y391</f>
        <v>0</v>
      </c>
      <c r="U386" s="29">
        <f>'RESUMEN TOTAL'!Z391</f>
        <v>0</v>
      </c>
      <c r="V386" s="29">
        <f>'RESUMEN TOTAL'!AA391</f>
        <v>0</v>
      </c>
      <c r="W386" s="29">
        <f>'RESUMEN TOTAL'!AB391</f>
        <v>0</v>
      </c>
      <c r="X386" s="29">
        <f>'RESUMEN TOTAL'!AC391</f>
        <v>0</v>
      </c>
      <c r="Y386" s="29">
        <f>'RESUMEN TOTAL'!AD391</f>
        <v>0</v>
      </c>
      <c r="Z386" s="29">
        <f>'RESUMEN TOTAL'!AE391</f>
        <v>0</v>
      </c>
      <c r="AA386" s="29">
        <f>'RESUMEN TOTAL'!AF391</f>
        <v>0</v>
      </c>
      <c r="AB386" s="29">
        <f>'RESUMEN TOTAL'!AG391</f>
        <v>0</v>
      </c>
      <c r="AC386" s="29">
        <f>'RESUMEN TOTAL'!AH391</f>
        <v>0</v>
      </c>
      <c r="AD386" s="29">
        <f>'RESUMEN TOTAL'!AI391</f>
        <v>0</v>
      </c>
      <c r="AE386" s="29">
        <f>'RESUMEN TOTAL'!AJ391</f>
        <v>0</v>
      </c>
      <c r="AF386" s="29">
        <f>'RESUMEN TOTAL'!AK391</f>
        <v>0</v>
      </c>
      <c r="AG386" s="29">
        <f>'RESUMEN TOTAL'!AL391</f>
        <v>0</v>
      </c>
      <c r="AH386" s="29">
        <f>'RESUMEN TOTAL'!AM391</f>
        <v>0</v>
      </c>
      <c r="AI386" s="29">
        <f>'RESUMEN TOTAL'!AN391</f>
        <v>0</v>
      </c>
    </row>
    <row r="387" spans="1:35" x14ac:dyDescent="0.25">
      <c r="A387" s="50" t="str">
        <f>'RESUMEN TOTAL'!A392</f>
        <v>VILLA HUDSON</v>
      </c>
      <c r="B387" s="50" t="str">
        <f>'RESUMEN TOTAL'!B392</f>
        <v>VHS 04 (fija 2)</v>
      </c>
      <c r="C387" s="50" t="str">
        <f>'RESUMEN TOTAL'!D392</f>
        <v>AV. HUDSON Y LOS INMIGRANTES</v>
      </c>
      <c r="D387" s="50" t="str">
        <f>'RESUMEN TOTAL'!E392</f>
        <v>Fija</v>
      </c>
      <c r="E387" s="50" t="str">
        <f>'RESUMEN TOTAL'!F392</f>
        <v>Fibra Optica</v>
      </c>
      <c r="F387" s="29">
        <f>'RESUMEN TOTAL'!K392</f>
        <v>0</v>
      </c>
      <c r="G387" s="29">
        <f>'RESUMEN TOTAL'!L392</f>
        <v>0</v>
      </c>
      <c r="H387" s="29">
        <f>'RESUMEN TOTAL'!M392</f>
        <v>0</v>
      </c>
      <c r="I387" s="29">
        <f>'RESUMEN TOTAL'!N392</f>
        <v>0</v>
      </c>
      <c r="J387" s="29">
        <f>'RESUMEN TOTAL'!O392</f>
        <v>0</v>
      </c>
      <c r="K387" s="29">
        <f>'RESUMEN TOTAL'!P392</f>
        <v>0</v>
      </c>
      <c r="L387" s="29">
        <f>'RESUMEN TOTAL'!Q392</f>
        <v>0</v>
      </c>
      <c r="M387" s="29">
        <f>'RESUMEN TOTAL'!R392</f>
        <v>0</v>
      </c>
      <c r="N387" s="29">
        <f>'RESUMEN TOTAL'!S392</f>
        <v>0</v>
      </c>
      <c r="O387" s="29">
        <f>'RESUMEN TOTAL'!T392</f>
        <v>0</v>
      </c>
      <c r="P387" s="29">
        <f>'RESUMEN TOTAL'!U392</f>
        <v>0</v>
      </c>
      <c r="Q387" s="29">
        <f>'RESUMEN TOTAL'!V392</f>
        <v>0</v>
      </c>
      <c r="R387" s="29">
        <f>'RESUMEN TOTAL'!W392</f>
        <v>0</v>
      </c>
      <c r="S387" s="29">
        <f>'RESUMEN TOTAL'!X392</f>
        <v>0</v>
      </c>
      <c r="T387" s="29">
        <f>'RESUMEN TOTAL'!Y392</f>
        <v>0</v>
      </c>
      <c r="U387" s="29">
        <f>'RESUMEN TOTAL'!Z392</f>
        <v>0</v>
      </c>
      <c r="V387" s="29">
        <f>'RESUMEN TOTAL'!AA392</f>
        <v>0</v>
      </c>
      <c r="W387" s="29">
        <f>'RESUMEN TOTAL'!AB392</f>
        <v>0</v>
      </c>
      <c r="X387" s="29">
        <f>'RESUMEN TOTAL'!AC392</f>
        <v>0</v>
      </c>
      <c r="Y387" s="29">
        <f>'RESUMEN TOTAL'!AD392</f>
        <v>0</v>
      </c>
      <c r="Z387" s="29">
        <f>'RESUMEN TOTAL'!AE392</f>
        <v>0</v>
      </c>
      <c r="AA387" s="29">
        <f>'RESUMEN TOTAL'!AF392</f>
        <v>0</v>
      </c>
      <c r="AB387" s="29">
        <f>'RESUMEN TOTAL'!AG392</f>
        <v>0</v>
      </c>
      <c r="AC387" s="29">
        <f>'RESUMEN TOTAL'!AH392</f>
        <v>0</v>
      </c>
      <c r="AD387" s="29">
        <f>'RESUMEN TOTAL'!AI392</f>
        <v>0</v>
      </c>
      <c r="AE387" s="29">
        <f>'RESUMEN TOTAL'!AJ392</f>
        <v>0</v>
      </c>
      <c r="AF387" s="29">
        <f>'RESUMEN TOTAL'!AK392</f>
        <v>0</v>
      </c>
      <c r="AG387" s="29">
        <f>'RESUMEN TOTAL'!AL392</f>
        <v>0</v>
      </c>
      <c r="AH387" s="29">
        <f>'RESUMEN TOTAL'!AM392</f>
        <v>0</v>
      </c>
      <c r="AI387" s="29">
        <f>'RESUMEN TOTAL'!AN392</f>
        <v>0</v>
      </c>
    </row>
    <row r="388" spans="1:35" x14ac:dyDescent="0.25">
      <c r="A388" s="50" t="str">
        <f>'RESUMEN TOTAL'!A393</f>
        <v>VILLA ARIAS</v>
      </c>
      <c r="B388" s="50" t="str">
        <f>'RESUMEN TOTAL'!B393</f>
        <v>VLA 01 (fija 1)</v>
      </c>
      <c r="C388" s="50" t="str">
        <f>'RESUMEN TOTAL'!D393</f>
        <v>820 Y SOLER</v>
      </c>
      <c r="D388" s="50" t="str">
        <f>'RESUMEN TOTAL'!E393</f>
        <v>Fija</v>
      </c>
      <c r="E388" s="50" t="str">
        <f>'RESUMEN TOTAL'!F393</f>
        <v>Fibra Optica</v>
      </c>
      <c r="F388" s="29">
        <f>'RESUMEN TOTAL'!K393</f>
        <v>0</v>
      </c>
      <c r="G388" s="29">
        <f>'RESUMEN TOTAL'!L393</f>
        <v>0</v>
      </c>
      <c r="H388" s="29">
        <f>'RESUMEN TOTAL'!M393</f>
        <v>0</v>
      </c>
      <c r="I388" s="29">
        <f>'RESUMEN TOTAL'!N393</f>
        <v>0</v>
      </c>
      <c r="J388" s="29">
        <f>'RESUMEN TOTAL'!O393</f>
        <v>0</v>
      </c>
      <c r="K388" s="29">
        <f>'RESUMEN TOTAL'!P393</f>
        <v>0</v>
      </c>
      <c r="L388" s="29">
        <f>'RESUMEN TOTAL'!Q393</f>
        <v>0</v>
      </c>
      <c r="M388" s="29">
        <f>'RESUMEN TOTAL'!R393</f>
        <v>0</v>
      </c>
      <c r="N388" s="29">
        <f>'RESUMEN TOTAL'!S393</f>
        <v>0</v>
      </c>
      <c r="O388" s="29">
        <f>'RESUMEN TOTAL'!T393</f>
        <v>0</v>
      </c>
      <c r="P388" s="29">
        <f>'RESUMEN TOTAL'!U393</f>
        <v>0</v>
      </c>
      <c r="Q388" s="29">
        <f>'RESUMEN TOTAL'!V393</f>
        <v>0</v>
      </c>
      <c r="R388" s="29">
        <f>'RESUMEN TOTAL'!W393</f>
        <v>0</v>
      </c>
      <c r="S388" s="29">
        <f>'RESUMEN TOTAL'!X393</f>
        <v>0</v>
      </c>
      <c r="T388" s="29">
        <f>'RESUMEN TOTAL'!Y393</f>
        <v>0</v>
      </c>
      <c r="U388" s="29">
        <f>'RESUMEN TOTAL'!Z393</f>
        <v>0</v>
      </c>
      <c r="V388" s="29">
        <f>'RESUMEN TOTAL'!AA393</f>
        <v>0</v>
      </c>
      <c r="W388" s="29">
        <f>'RESUMEN TOTAL'!AB393</f>
        <v>0</v>
      </c>
      <c r="X388" s="29">
        <f>'RESUMEN TOTAL'!AC393</f>
        <v>0</v>
      </c>
      <c r="Y388" s="29">
        <f>'RESUMEN TOTAL'!AD393</f>
        <v>0</v>
      </c>
      <c r="Z388" s="29">
        <f>'RESUMEN TOTAL'!AE393</f>
        <v>0</v>
      </c>
      <c r="AA388" s="29">
        <f>'RESUMEN TOTAL'!AF393</f>
        <v>0</v>
      </c>
      <c r="AB388" s="29">
        <f>'RESUMEN TOTAL'!AG393</f>
        <v>0</v>
      </c>
      <c r="AC388" s="29">
        <f>'RESUMEN TOTAL'!AH393</f>
        <v>0</v>
      </c>
      <c r="AD388" s="29">
        <f>'RESUMEN TOTAL'!AI393</f>
        <v>0</v>
      </c>
      <c r="AE388" s="29">
        <f>'RESUMEN TOTAL'!AJ393</f>
        <v>0</v>
      </c>
      <c r="AF388" s="29">
        <f>'RESUMEN TOTAL'!AK393</f>
        <v>0</v>
      </c>
      <c r="AG388" s="29">
        <f>'RESUMEN TOTAL'!AL393</f>
        <v>0</v>
      </c>
      <c r="AH388" s="29">
        <f>'RESUMEN TOTAL'!AM393</f>
        <v>0</v>
      </c>
      <c r="AI388" s="29">
        <f>'RESUMEN TOTAL'!AN393</f>
        <v>0</v>
      </c>
    </row>
    <row r="389" spans="1:35" x14ac:dyDescent="0.25">
      <c r="A389" s="50" t="str">
        <f>'RESUMEN TOTAL'!A394</f>
        <v>VILLA ARIAS</v>
      </c>
      <c r="B389" s="50" t="str">
        <f>'RESUMEN TOTAL'!B394</f>
        <v>VLA 02</v>
      </c>
      <c r="C389" s="50" t="str">
        <f>'RESUMEN TOTAL'!D394</f>
        <v>ESPORA Y HUDSON</v>
      </c>
      <c r="D389" s="50" t="str">
        <f>'RESUMEN TOTAL'!E394</f>
        <v>DOMO</v>
      </c>
      <c r="E389" s="50" t="str">
        <f>'RESUMEN TOTAL'!F394</f>
        <v>Fibra Optica</v>
      </c>
      <c r="F389" s="29">
        <f>'RESUMEN TOTAL'!K394</f>
        <v>0</v>
      </c>
      <c r="G389" s="29">
        <f>'RESUMEN TOTAL'!L394</f>
        <v>0</v>
      </c>
      <c r="H389" s="29">
        <f>'RESUMEN TOTAL'!M394</f>
        <v>0</v>
      </c>
      <c r="I389" s="29">
        <f>'RESUMEN TOTAL'!N394</f>
        <v>0</v>
      </c>
      <c r="J389" s="29">
        <f>'RESUMEN TOTAL'!O394</f>
        <v>0</v>
      </c>
      <c r="K389" s="29">
        <f>'RESUMEN TOTAL'!P394</f>
        <v>0</v>
      </c>
      <c r="L389" s="29">
        <f>'RESUMEN TOTAL'!Q394</f>
        <v>0</v>
      </c>
      <c r="M389" s="29">
        <f>'RESUMEN TOTAL'!R394</f>
        <v>0</v>
      </c>
      <c r="N389" s="29">
        <f>'RESUMEN TOTAL'!S394</f>
        <v>0</v>
      </c>
      <c r="O389" s="29">
        <f>'RESUMEN TOTAL'!T394</f>
        <v>0</v>
      </c>
      <c r="P389" s="29">
        <f>'RESUMEN TOTAL'!U394</f>
        <v>0</v>
      </c>
      <c r="Q389" s="29">
        <f>'RESUMEN TOTAL'!V394</f>
        <v>0</v>
      </c>
      <c r="R389" s="29">
        <f>'RESUMEN TOTAL'!W394</f>
        <v>0</v>
      </c>
      <c r="S389" s="29">
        <f>'RESUMEN TOTAL'!X394</f>
        <v>0</v>
      </c>
      <c r="T389" s="29">
        <f>'RESUMEN TOTAL'!Y394</f>
        <v>0</v>
      </c>
      <c r="U389" s="29">
        <f>'RESUMEN TOTAL'!Z394</f>
        <v>0</v>
      </c>
      <c r="V389" s="29">
        <f>'RESUMEN TOTAL'!AA394</f>
        <v>0</v>
      </c>
      <c r="W389" s="29">
        <f>'RESUMEN TOTAL'!AB394</f>
        <v>0</v>
      </c>
      <c r="X389" s="29">
        <f>'RESUMEN TOTAL'!AC394</f>
        <v>0</v>
      </c>
      <c r="Y389" s="29">
        <f>'RESUMEN TOTAL'!AD394</f>
        <v>0</v>
      </c>
      <c r="Z389" s="29" t="str">
        <f>'RESUMEN TOTAL'!AE394</f>
        <v>APAGADO</v>
      </c>
      <c r="AA389" s="29">
        <f>'RESUMEN TOTAL'!AF394</f>
        <v>0</v>
      </c>
      <c r="AB389" s="29">
        <f>'RESUMEN TOTAL'!AG394</f>
        <v>0</v>
      </c>
      <c r="AC389" s="29">
        <f>'RESUMEN TOTAL'!AH394</f>
        <v>0</v>
      </c>
      <c r="AD389" s="29">
        <f>'RESUMEN TOTAL'!AI394</f>
        <v>0</v>
      </c>
      <c r="AE389" s="29">
        <f>'RESUMEN TOTAL'!AJ394</f>
        <v>0</v>
      </c>
      <c r="AF389" s="29">
        <f>'RESUMEN TOTAL'!AK394</f>
        <v>0</v>
      </c>
      <c r="AG389" s="29">
        <f>'RESUMEN TOTAL'!AL394</f>
        <v>0</v>
      </c>
      <c r="AH389" s="29">
        <f>'RESUMEN TOTAL'!AM394</f>
        <v>0</v>
      </c>
      <c r="AI389" s="29">
        <f>'RESUMEN TOTAL'!AN394</f>
        <v>0</v>
      </c>
    </row>
    <row r="390" spans="1:35" x14ac:dyDescent="0.25">
      <c r="A390" s="50" t="str">
        <f>'RESUMEN TOTAL'!A395</f>
        <v>VILLA ARIAS</v>
      </c>
      <c r="B390" s="50" t="str">
        <f>'RESUMEN TOTAL'!B395</f>
        <v>VLA03 (fija 2)</v>
      </c>
      <c r="C390" s="50" t="str">
        <f>'RESUMEN TOTAL'!D395</f>
        <v>820 y SOLER</v>
      </c>
      <c r="D390" s="50" t="str">
        <f>'RESUMEN TOTAL'!E395</f>
        <v>Fija</v>
      </c>
      <c r="E390" s="50" t="str">
        <f>'RESUMEN TOTAL'!F395</f>
        <v>Fibra Optica</v>
      </c>
      <c r="F390" s="29">
        <f>'RESUMEN TOTAL'!K395</f>
        <v>0</v>
      </c>
      <c r="G390" s="29">
        <f>'RESUMEN TOTAL'!L395</f>
        <v>0</v>
      </c>
      <c r="H390" s="29">
        <f>'RESUMEN TOTAL'!M395</f>
        <v>0</v>
      </c>
      <c r="I390" s="29">
        <f>'RESUMEN TOTAL'!N395</f>
        <v>0</v>
      </c>
      <c r="J390" s="29">
        <f>'RESUMEN TOTAL'!O395</f>
        <v>0</v>
      </c>
      <c r="K390" s="29">
        <f>'RESUMEN TOTAL'!P395</f>
        <v>0</v>
      </c>
      <c r="L390" s="29">
        <f>'RESUMEN TOTAL'!Q395</f>
        <v>0</v>
      </c>
      <c r="M390" s="29">
        <f>'RESUMEN TOTAL'!R395</f>
        <v>0</v>
      </c>
      <c r="N390" s="29">
        <f>'RESUMEN TOTAL'!S395</f>
        <v>0</v>
      </c>
      <c r="O390" s="29">
        <f>'RESUMEN TOTAL'!T395</f>
        <v>0</v>
      </c>
      <c r="P390" s="29">
        <f>'RESUMEN TOTAL'!U395</f>
        <v>0</v>
      </c>
      <c r="Q390" s="29">
        <f>'RESUMEN TOTAL'!V395</f>
        <v>0</v>
      </c>
      <c r="R390" s="29">
        <f>'RESUMEN TOTAL'!W395</f>
        <v>0</v>
      </c>
      <c r="S390" s="29">
        <f>'RESUMEN TOTAL'!X395</f>
        <v>0</v>
      </c>
      <c r="T390" s="29">
        <f>'RESUMEN TOTAL'!Y395</f>
        <v>0</v>
      </c>
      <c r="U390" s="29">
        <f>'RESUMEN TOTAL'!Z395</f>
        <v>0</v>
      </c>
      <c r="V390" s="29">
        <f>'RESUMEN TOTAL'!AA395</f>
        <v>0</v>
      </c>
      <c r="W390" s="29">
        <f>'RESUMEN TOTAL'!AB395</f>
        <v>0</v>
      </c>
      <c r="X390" s="29">
        <f>'RESUMEN TOTAL'!AC395</f>
        <v>0</v>
      </c>
      <c r="Y390" s="29">
        <f>'RESUMEN TOTAL'!AD395</f>
        <v>0</v>
      </c>
      <c r="Z390" s="29">
        <f>'RESUMEN TOTAL'!AE395</f>
        <v>0</v>
      </c>
      <c r="AA390" s="29">
        <f>'RESUMEN TOTAL'!AF395</f>
        <v>0</v>
      </c>
      <c r="AB390" s="29">
        <f>'RESUMEN TOTAL'!AG395</f>
        <v>0</v>
      </c>
      <c r="AC390" s="29">
        <f>'RESUMEN TOTAL'!AH395</f>
        <v>0</v>
      </c>
      <c r="AD390" s="29">
        <f>'RESUMEN TOTAL'!AI395</f>
        <v>0</v>
      </c>
      <c r="AE390" s="29">
        <f>'RESUMEN TOTAL'!AJ395</f>
        <v>0</v>
      </c>
      <c r="AF390" s="29">
        <f>'RESUMEN TOTAL'!AK395</f>
        <v>0</v>
      </c>
      <c r="AG390" s="29">
        <f>'RESUMEN TOTAL'!AL395</f>
        <v>0</v>
      </c>
      <c r="AH390" s="29">
        <f>'RESUMEN TOTAL'!AM395</f>
        <v>0</v>
      </c>
      <c r="AI390" s="29">
        <f>'RESUMEN TOTAL'!AN395</f>
        <v>0</v>
      </c>
    </row>
    <row r="391" spans="1:35" x14ac:dyDescent="0.25">
      <c r="A391" s="50" t="str">
        <f>'RESUMEN TOTAL'!A396</f>
        <v>VILLA ARIAS</v>
      </c>
      <c r="B391" s="50" t="str">
        <f>'RESUMEN TOTAL'!B396</f>
        <v>VLA04</v>
      </c>
      <c r="C391" s="50" t="str">
        <f>'RESUMEN TOTAL'!D396</f>
        <v>ESPORA Y MARTIN GRASS</v>
      </c>
      <c r="D391" s="50" t="str">
        <f>'RESUMEN TOTAL'!E396</f>
        <v>DOMO</v>
      </c>
      <c r="E391" s="50" t="str">
        <f>'RESUMEN TOTAL'!F396</f>
        <v>Fibra Optica</v>
      </c>
      <c r="F391" s="29">
        <f>'RESUMEN TOTAL'!K396</f>
        <v>0</v>
      </c>
      <c r="G391" s="29">
        <f>'RESUMEN TOTAL'!L396</f>
        <v>0</v>
      </c>
      <c r="H391" s="29">
        <f>'RESUMEN TOTAL'!M396</f>
        <v>0</v>
      </c>
      <c r="I391" s="29">
        <f>'RESUMEN TOTAL'!N396</f>
        <v>0</v>
      </c>
      <c r="J391" s="29">
        <f>'RESUMEN TOTAL'!O396</f>
        <v>0</v>
      </c>
      <c r="K391" s="29">
        <f>'RESUMEN TOTAL'!P396</f>
        <v>0</v>
      </c>
      <c r="L391" s="29">
        <f>'RESUMEN TOTAL'!Q396</f>
        <v>0</v>
      </c>
      <c r="M391" s="29">
        <f>'RESUMEN TOTAL'!R396</f>
        <v>0</v>
      </c>
      <c r="N391" s="29">
        <f>'RESUMEN TOTAL'!S396</f>
        <v>0</v>
      </c>
      <c r="O391" s="29">
        <f>'RESUMEN TOTAL'!T396</f>
        <v>0</v>
      </c>
      <c r="P391" s="29">
        <f>'RESUMEN TOTAL'!U396</f>
        <v>0</v>
      </c>
      <c r="Q391" s="29">
        <f>'RESUMEN TOTAL'!V396</f>
        <v>0</v>
      </c>
      <c r="R391" s="29">
        <f>'RESUMEN TOTAL'!W396</f>
        <v>0</v>
      </c>
      <c r="S391" s="29">
        <f>'RESUMEN TOTAL'!X396</f>
        <v>0</v>
      </c>
      <c r="T391" s="29">
        <f>'RESUMEN TOTAL'!Y396</f>
        <v>0</v>
      </c>
      <c r="U391" s="29">
        <f>'RESUMEN TOTAL'!Z396</f>
        <v>0</v>
      </c>
      <c r="V391" s="29">
        <f>'RESUMEN TOTAL'!AA396</f>
        <v>0</v>
      </c>
      <c r="W391" s="29">
        <f>'RESUMEN TOTAL'!AB396</f>
        <v>0</v>
      </c>
      <c r="X391" s="29">
        <f>'RESUMEN TOTAL'!AC396</f>
        <v>0</v>
      </c>
      <c r="Y391" s="29">
        <f>'RESUMEN TOTAL'!AD396</f>
        <v>0</v>
      </c>
      <c r="Z391" s="29">
        <f>'RESUMEN TOTAL'!AE396</f>
        <v>0</v>
      </c>
      <c r="AA391" s="29">
        <f>'RESUMEN TOTAL'!AF396</f>
        <v>0</v>
      </c>
      <c r="AB391" s="29">
        <f>'RESUMEN TOTAL'!AG396</f>
        <v>0</v>
      </c>
      <c r="AC391" s="29">
        <f>'RESUMEN TOTAL'!AH396</f>
        <v>0</v>
      </c>
      <c r="AD391" s="29">
        <f>'RESUMEN TOTAL'!AI396</f>
        <v>0</v>
      </c>
      <c r="AE391" s="29">
        <f>'RESUMEN TOTAL'!AJ396</f>
        <v>0</v>
      </c>
      <c r="AF391" s="29">
        <f>'RESUMEN TOTAL'!AK396</f>
        <v>0</v>
      </c>
      <c r="AG391" s="29">
        <f>'RESUMEN TOTAL'!AL396</f>
        <v>0</v>
      </c>
      <c r="AH391" s="29">
        <f>'RESUMEN TOTAL'!AM396</f>
        <v>0</v>
      </c>
      <c r="AI391" s="29">
        <f>'RESUMEN TOTAL'!AN396</f>
        <v>0</v>
      </c>
    </row>
    <row r="392" spans="1:35" x14ac:dyDescent="0.25">
      <c r="A392" s="50" t="str">
        <f>'RESUMEN TOTAL'!A397</f>
        <v>VILLA ARIAS</v>
      </c>
      <c r="B392" s="50" t="str">
        <f>'RESUMEN TOTAL'!B397</f>
        <v>VLA05</v>
      </c>
      <c r="C392" s="50" t="str">
        <f>'RESUMEN TOTAL'!D397</f>
        <v>ESPORA Y 802</v>
      </c>
      <c r="D392" s="50" t="str">
        <f>'RESUMEN TOTAL'!E397</f>
        <v>DOMO</v>
      </c>
      <c r="E392" s="50" t="str">
        <f>'RESUMEN TOTAL'!F397</f>
        <v>Fibra Optica</v>
      </c>
      <c r="F392" s="29">
        <f>'RESUMEN TOTAL'!K397</f>
        <v>0</v>
      </c>
      <c r="G392" s="29">
        <f>'RESUMEN TOTAL'!L397</f>
        <v>0</v>
      </c>
      <c r="H392" s="29">
        <f>'RESUMEN TOTAL'!M397</f>
        <v>0</v>
      </c>
      <c r="I392" s="29">
        <f>'RESUMEN TOTAL'!N397</f>
        <v>0</v>
      </c>
      <c r="J392" s="29">
        <f>'RESUMEN TOTAL'!O397</f>
        <v>0</v>
      </c>
      <c r="K392" s="29">
        <f>'RESUMEN TOTAL'!P397</f>
        <v>0</v>
      </c>
      <c r="L392" s="29">
        <f>'RESUMEN TOTAL'!Q397</f>
        <v>0</v>
      </c>
      <c r="M392" s="29">
        <f>'RESUMEN TOTAL'!R397</f>
        <v>0</v>
      </c>
      <c r="N392" s="29">
        <f>'RESUMEN TOTAL'!S397</f>
        <v>0</v>
      </c>
      <c r="O392" s="29">
        <f>'RESUMEN TOTAL'!T397</f>
        <v>0</v>
      </c>
      <c r="P392" s="29">
        <f>'RESUMEN TOTAL'!U397</f>
        <v>0</v>
      </c>
      <c r="Q392" s="29">
        <f>'RESUMEN TOTAL'!V397</f>
        <v>0</v>
      </c>
      <c r="R392" s="29">
        <f>'RESUMEN TOTAL'!W397</f>
        <v>0</v>
      </c>
      <c r="S392" s="29">
        <f>'RESUMEN TOTAL'!X397</f>
        <v>0</v>
      </c>
      <c r="T392" s="29">
        <f>'RESUMEN TOTAL'!Y397</f>
        <v>0</v>
      </c>
      <c r="U392" s="29">
        <f>'RESUMEN TOTAL'!Z397</f>
        <v>0</v>
      </c>
      <c r="V392" s="29">
        <f>'RESUMEN TOTAL'!AA397</f>
        <v>0</v>
      </c>
      <c r="W392" s="29">
        <f>'RESUMEN TOTAL'!AB397</f>
        <v>0</v>
      </c>
      <c r="X392" s="29">
        <f>'RESUMEN TOTAL'!AC397</f>
        <v>0</v>
      </c>
      <c r="Y392" s="29">
        <f>'RESUMEN TOTAL'!AD397</f>
        <v>0</v>
      </c>
      <c r="Z392" s="29">
        <f>'RESUMEN TOTAL'!AE397</f>
        <v>0</v>
      </c>
      <c r="AA392" s="29">
        <f>'RESUMEN TOTAL'!AF397</f>
        <v>0</v>
      </c>
      <c r="AB392" s="29">
        <f>'RESUMEN TOTAL'!AG397</f>
        <v>0</v>
      </c>
      <c r="AC392" s="29">
        <f>'RESUMEN TOTAL'!AH397</f>
        <v>0</v>
      </c>
      <c r="AD392" s="29">
        <f>'RESUMEN TOTAL'!AI397</f>
        <v>0</v>
      </c>
      <c r="AE392" s="29">
        <f>'RESUMEN TOTAL'!AJ397</f>
        <v>0</v>
      </c>
      <c r="AF392" s="29">
        <f>'RESUMEN TOTAL'!AK397</f>
        <v>0</v>
      </c>
      <c r="AG392" s="29">
        <f>'RESUMEN TOTAL'!AL397</f>
        <v>0</v>
      </c>
      <c r="AH392" s="29">
        <f>'RESUMEN TOTAL'!AM397</f>
        <v>0</v>
      </c>
      <c r="AI392" s="29">
        <f>'RESUMEN TOTAL'!AN397</f>
        <v>0</v>
      </c>
    </row>
    <row r="393" spans="1:35" x14ac:dyDescent="0.25">
      <c r="A393" s="50" t="str">
        <f>'RESUMEN TOTAL'!A398</f>
        <v>VILLA MONICA NUEVA</v>
      </c>
      <c r="B393" s="50" t="str">
        <f>'RESUMEN TOTAL'!B398</f>
        <v>VMO 02</v>
      </c>
      <c r="C393" s="50" t="str">
        <f>'RESUMEN TOTAL'!D398</f>
        <v>Rio Carapachay y Oroño</v>
      </c>
      <c r="D393" s="50" t="str">
        <f>'RESUMEN TOTAL'!E398</f>
        <v>Domo</v>
      </c>
      <c r="E393" s="50" t="str">
        <f>'RESUMEN TOTAL'!F398</f>
        <v>Radio</v>
      </c>
      <c r="F393" s="29">
        <f>'RESUMEN TOTAL'!K398</f>
        <v>0</v>
      </c>
      <c r="G393" s="29">
        <f>'RESUMEN TOTAL'!L398</f>
        <v>0</v>
      </c>
      <c r="H393" s="29">
        <f>'RESUMEN TOTAL'!M398</f>
        <v>0</v>
      </c>
      <c r="I393" s="29">
        <f>'RESUMEN TOTAL'!N398</f>
        <v>0</v>
      </c>
      <c r="J393" s="29">
        <f>'RESUMEN TOTAL'!O398</f>
        <v>0</v>
      </c>
      <c r="K393" s="29">
        <f>'RESUMEN TOTAL'!P398</f>
        <v>0</v>
      </c>
      <c r="L393" s="29">
        <f>'RESUMEN TOTAL'!Q398</f>
        <v>0</v>
      </c>
      <c r="M393" s="29">
        <f>'RESUMEN TOTAL'!R398</f>
        <v>0</v>
      </c>
      <c r="N393" s="29">
        <f>'RESUMEN TOTAL'!S398</f>
        <v>0</v>
      </c>
      <c r="O393" s="29">
        <f>'RESUMEN TOTAL'!T398</f>
        <v>0</v>
      </c>
      <c r="P393" s="29">
        <f>'RESUMEN TOTAL'!U398</f>
        <v>0</v>
      </c>
      <c r="Q393" s="29">
        <f>'RESUMEN TOTAL'!V398</f>
        <v>0</v>
      </c>
      <c r="R393" s="29">
        <f>'RESUMEN TOTAL'!W398</f>
        <v>0</v>
      </c>
      <c r="S393" s="29">
        <f>'RESUMEN TOTAL'!X398</f>
        <v>0</v>
      </c>
      <c r="T393" s="29">
        <f>'RESUMEN TOTAL'!Y398</f>
        <v>0</v>
      </c>
      <c r="U393" s="29">
        <f>'RESUMEN TOTAL'!Z398</f>
        <v>0</v>
      </c>
      <c r="V393" s="29">
        <f>'RESUMEN TOTAL'!AA398</f>
        <v>0</v>
      </c>
      <c r="W393" s="29">
        <f>'RESUMEN TOTAL'!AB398</f>
        <v>0</v>
      </c>
      <c r="X393" s="29">
        <f>'RESUMEN TOTAL'!AC398</f>
        <v>0</v>
      </c>
      <c r="Y393" s="29">
        <f>'RESUMEN TOTAL'!AD398</f>
        <v>0</v>
      </c>
      <c r="Z393" s="29">
        <f>'RESUMEN TOTAL'!AE398</f>
        <v>0</v>
      </c>
      <c r="AA393" s="29">
        <f>'RESUMEN TOTAL'!AF398</f>
        <v>0</v>
      </c>
      <c r="AB393" s="29">
        <f>'RESUMEN TOTAL'!AG398</f>
        <v>0</v>
      </c>
      <c r="AC393" s="29">
        <f>'RESUMEN TOTAL'!AH398</f>
        <v>0</v>
      </c>
      <c r="AD393" s="29">
        <f>'RESUMEN TOTAL'!AI398</f>
        <v>0</v>
      </c>
      <c r="AE393" s="29">
        <f>'RESUMEN TOTAL'!AJ398</f>
        <v>0</v>
      </c>
      <c r="AF393" s="29">
        <f>'RESUMEN TOTAL'!AK398</f>
        <v>0</v>
      </c>
      <c r="AG393" s="29">
        <f>'RESUMEN TOTAL'!AL398</f>
        <v>0</v>
      </c>
      <c r="AH393" s="29">
        <f>'RESUMEN TOTAL'!AM398</f>
        <v>0</v>
      </c>
      <c r="AI393" s="29">
        <f>'RESUMEN TOTAL'!AN398</f>
        <v>0</v>
      </c>
    </row>
    <row r="394" spans="1:35" x14ac:dyDescent="0.25">
      <c r="A394" s="50" t="str">
        <f>'RESUMEN TOTAL'!A399</f>
        <v>VILLA MONICA NUEVA</v>
      </c>
      <c r="B394" s="50" t="str">
        <f>'RESUMEN TOTAL'!B399</f>
        <v>VMO 03 (fija 1)</v>
      </c>
      <c r="C394" s="50" t="str">
        <f>'RESUMEN TOTAL'!D399</f>
        <v>EVA PERON E/ OROÑO Y 734 A</v>
      </c>
      <c r="D394" s="50" t="str">
        <f>'RESUMEN TOTAL'!E399</f>
        <v>Fija</v>
      </c>
      <c r="E394" s="50" t="str">
        <f>'RESUMEN TOTAL'!F399</f>
        <v>Fibra Optica</v>
      </c>
      <c r="F394" s="29">
        <f>'RESUMEN TOTAL'!K399</f>
        <v>0</v>
      </c>
      <c r="G394" s="29">
        <f>'RESUMEN TOTAL'!L399</f>
        <v>0</v>
      </c>
      <c r="H394" s="29">
        <f>'RESUMEN TOTAL'!M399</f>
        <v>0</v>
      </c>
      <c r="I394" s="29">
        <f>'RESUMEN TOTAL'!N399</f>
        <v>0</v>
      </c>
      <c r="J394" s="29">
        <f>'RESUMEN TOTAL'!O399</f>
        <v>0</v>
      </c>
      <c r="K394" s="29">
        <f>'RESUMEN TOTAL'!P399</f>
        <v>0</v>
      </c>
      <c r="L394" s="29">
        <f>'RESUMEN TOTAL'!Q399</f>
        <v>0</v>
      </c>
      <c r="M394" s="29">
        <f>'RESUMEN TOTAL'!R399</f>
        <v>0</v>
      </c>
      <c r="N394" s="29">
        <f>'RESUMEN TOTAL'!S399</f>
        <v>0</v>
      </c>
      <c r="O394" s="29">
        <f>'RESUMEN TOTAL'!T399</f>
        <v>0</v>
      </c>
      <c r="P394" s="29">
        <f>'RESUMEN TOTAL'!U399</f>
        <v>0</v>
      </c>
      <c r="Q394" s="29">
        <f>'RESUMEN TOTAL'!V399</f>
        <v>0</v>
      </c>
      <c r="R394" s="29">
        <f>'RESUMEN TOTAL'!W399</f>
        <v>0</v>
      </c>
      <c r="S394" s="29">
        <f>'RESUMEN TOTAL'!X399</f>
        <v>0</v>
      </c>
      <c r="T394" s="29">
        <f>'RESUMEN TOTAL'!Y399</f>
        <v>0</v>
      </c>
      <c r="U394" s="29">
        <f>'RESUMEN TOTAL'!Z399</f>
        <v>0</v>
      </c>
      <c r="V394" s="29">
        <f>'RESUMEN TOTAL'!AA399</f>
        <v>0</v>
      </c>
      <c r="W394" s="29">
        <f>'RESUMEN TOTAL'!AB399</f>
        <v>0</v>
      </c>
      <c r="X394" s="29">
        <f>'RESUMEN TOTAL'!AC399</f>
        <v>0</v>
      </c>
      <c r="Y394" s="29" t="str">
        <f>'RESUMEN TOTAL'!AD399</f>
        <v>APAGADO</v>
      </c>
      <c r="Z394" s="29" t="str">
        <f>'RESUMEN TOTAL'!AE399</f>
        <v>APAGADO</v>
      </c>
      <c r="AA394" s="29">
        <f>'RESUMEN TOTAL'!AF399</f>
        <v>0</v>
      </c>
      <c r="AB394" s="29">
        <f>'RESUMEN TOTAL'!AG399</f>
        <v>0</v>
      </c>
      <c r="AC394" s="29">
        <f>'RESUMEN TOTAL'!AH399</f>
        <v>0</v>
      </c>
      <c r="AD394" s="29">
        <f>'RESUMEN TOTAL'!AI399</f>
        <v>0</v>
      </c>
      <c r="AE394" s="29">
        <f>'RESUMEN TOTAL'!AJ399</f>
        <v>0</v>
      </c>
      <c r="AF394" s="29">
        <f>'RESUMEN TOTAL'!AK399</f>
        <v>0</v>
      </c>
      <c r="AG394" s="29">
        <f>'RESUMEN TOTAL'!AL399</f>
        <v>0</v>
      </c>
      <c r="AH394" s="29">
        <f>'RESUMEN TOTAL'!AM399</f>
        <v>0</v>
      </c>
      <c r="AI394" s="29">
        <f>'RESUMEN TOTAL'!AN399</f>
        <v>0</v>
      </c>
    </row>
    <row r="395" spans="1:35" x14ac:dyDescent="0.25">
      <c r="A395" s="50" t="str">
        <f>'RESUMEN TOTAL'!A400</f>
        <v>VILLA MONICA NUEVA</v>
      </c>
      <c r="B395" s="50" t="str">
        <f>'RESUMEN TOTAL'!B400</f>
        <v>VMO 04 (fija 2)</v>
      </c>
      <c r="C395" s="50" t="str">
        <f>'RESUMEN TOTAL'!D400</f>
        <v>EVA PERON E/ OROÑO Y 734 A</v>
      </c>
      <c r="D395" s="50" t="str">
        <f>'RESUMEN TOTAL'!E400</f>
        <v>Fija</v>
      </c>
      <c r="E395" s="50" t="str">
        <f>'RESUMEN TOTAL'!F400</f>
        <v>Fibra Optica</v>
      </c>
      <c r="F395" s="29">
        <f>'RESUMEN TOTAL'!K400</f>
        <v>0</v>
      </c>
      <c r="G395" s="29">
        <f>'RESUMEN TOTAL'!L400</f>
        <v>0</v>
      </c>
      <c r="H395" s="29">
        <f>'RESUMEN TOTAL'!M400</f>
        <v>0</v>
      </c>
      <c r="I395" s="29">
        <f>'RESUMEN TOTAL'!N400</f>
        <v>0</v>
      </c>
      <c r="J395" s="29">
        <f>'RESUMEN TOTAL'!O400</f>
        <v>0</v>
      </c>
      <c r="K395" s="29">
        <f>'RESUMEN TOTAL'!P400</f>
        <v>0</v>
      </c>
      <c r="L395" s="29">
        <f>'RESUMEN TOTAL'!Q400</f>
        <v>0</v>
      </c>
      <c r="M395" s="29">
        <f>'RESUMEN TOTAL'!R400</f>
        <v>0</v>
      </c>
      <c r="N395" s="29">
        <f>'RESUMEN TOTAL'!S400</f>
        <v>0</v>
      </c>
      <c r="O395" s="29">
        <f>'RESUMEN TOTAL'!T400</f>
        <v>0</v>
      </c>
      <c r="P395" s="29">
        <f>'RESUMEN TOTAL'!U400</f>
        <v>0</v>
      </c>
      <c r="Q395" s="29">
        <f>'RESUMEN TOTAL'!V400</f>
        <v>0</v>
      </c>
      <c r="R395" s="29">
        <f>'RESUMEN TOTAL'!W400</f>
        <v>0</v>
      </c>
      <c r="S395" s="29">
        <f>'RESUMEN TOTAL'!X400</f>
        <v>0</v>
      </c>
      <c r="T395" s="29">
        <f>'RESUMEN TOTAL'!Y400</f>
        <v>0</v>
      </c>
      <c r="U395" s="29">
        <f>'RESUMEN TOTAL'!Z400</f>
        <v>0</v>
      </c>
      <c r="V395" s="29">
        <f>'RESUMEN TOTAL'!AA400</f>
        <v>0</v>
      </c>
      <c r="W395" s="29">
        <f>'RESUMEN TOTAL'!AB400</f>
        <v>0</v>
      </c>
      <c r="X395" s="29">
        <f>'RESUMEN TOTAL'!AC400</f>
        <v>0</v>
      </c>
      <c r="Y395" s="29">
        <f>'RESUMEN TOTAL'!AD400</f>
        <v>0</v>
      </c>
      <c r="Z395" s="29">
        <f>'RESUMEN TOTAL'!AE400</f>
        <v>0</v>
      </c>
      <c r="AA395" s="29">
        <f>'RESUMEN TOTAL'!AF400</f>
        <v>0</v>
      </c>
      <c r="AB395" s="29">
        <f>'RESUMEN TOTAL'!AG400</f>
        <v>0</v>
      </c>
      <c r="AC395" s="29">
        <f>'RESUMEN TOTAL'!AH400</f>
        <v>0</v>
      </c>
      <c r="AD395" s="29">
        <f>'RESUMEN TOTAL'!AI400</f>
        <v>0</v>
      </c>
      <c r="AE395" s="29">
        <f>'RESUMEN TOTAL'!AJ400</f>
        <v>0</v>
      </c>
      <c r="AF395" s="29">
        <f>'RESUMEN TOTAL'!AK400</f>
        <v>0</v>
      </c>
      <c r="AG395" s="29">
        <f>'RESUMEN TOTAL'!AL400</f>
        <v>0</v>
      </c>
      <c r="AH395" s="29">
        <f>'RESUMEN TOTAL'!AM400</f>
        <v>0</v>
      </c>
      <c r="AI395" s="29">
        <f>'RESUMEN TOTAL'!AN400</f>
        <v>0</v>
      </c>
    </row>
    <row r="396" spans="1:35" x14ac:dyDescent="0.25">
      <c r="A396" s="50" t="str">
        <f>'RESUMEN TOTAL'!A401</f>
        <v>VILLA MONICA NUEVA</v>
      </c>
      <c r="B396" s="50" t="str">
        <f>'RESUMEN TOTAL'!B401</f>
        <v>VMO 05</v>
      </c>
      <c r="C396" s="50" t="str">
        <f>'RESUMEN TOTAL'!D401</f>
        <v>OROÑO Y EVA PERON</v>
      </c>
      <c r="D396" s="50" t="str">
        <f>'RESUMEN TOTAL'!E401</f>
        <v>DOMO</v>
      </c>
      <c r="E396" s="50" t="str">
        <f>'RESUMEN TOTAL'!F401</f>
        <v>Fibra Optica</v>
      </c>
      <c r="F396" s="29">
        <f>'RESUMEN TOTAL'!K401</f>
        <v>0</v>
      </c>
      <c r="G396" s="29">
        <f>'RESUMEN TOTAL'!L401</f>
        <v>0</v>
      </c>
      <c r="H396" s="29">
        <f>'RESUMEN TOTAL'!M401</f>
        <v>0</v>
      </c>
      <c r="I396" s="29">
        <f>'RESUMEN TOTAL'!N401</f>
        <v>0</v>
      </c>
      <c r="J396" s="29">
        <f>'RESUMEN TOTAL'!O401</f>
        <v>0</v>
      </c>
      <c r="K396" s="29">
        <f>'RESUMEN TOTAL'!P401</f>
        <v>0</v>
      </c>
      <c r="L396" s="29">
        <f>'RESUMEN TOTAL'!Q401</f>
        <v>0</v>
      </c>
      <c r="M396" s="29">
        <f>'RESUMEN TOTAL'!R401</f>
        <v>0</v>
      </c>
      <c r="N396" s="29" t="str">
        <f>'RESUMEN TOTAL'!S401</f>
        <v>APAGADO</v>
      </c>
      <c r="O396" s="29">
        <f>'RESUMEN TOTAL'!T401</f>
        <v>0</v>
      </c>
      <c r="P396" s="29">
        <f>'RESUMEN TOTAL'!U401</f>
        <v>0</v>
      </c>
      <c r="Q396" s="29">
        <f>'RESUMEN TOTAL'!V401</f>
        <v>0</v>
      </c>
      <c r="R396" s="29">
        <f>'RESUMEN TOTAL'!W401</f>
        <v>0</v>
      </c>
      <c r="S396" s="29" t="str">
        <f>'RESUMEN TOTAL'!X401</f>
        <v>APAGADO</v>
      </c>
      <c r="T396" s="29" t="str">
        <f>'RESUMEN TOTAL'!Y401</f>
        <v>APAGADO</v>
      </c>
      <c r="U396" s="29" t="str">
        <f>'RESUMEN TOTAL'!Z401</f>
        <v>APAGADO</v>
      </c>
      <c r="V396" s="29" t="str">
        <f>'RESUMEN TOTAL'!AA401</f>
        <v>APAGADO</v>
      </c>
      <c r="W396" s="29" t="str">
        <f>'RESUMEN TOTAL'!AB401</f>
        <v>APAGADO</v>
      </c>
      <c r="X396" s="29" t="str">
        <f>'RESUMEN TOTAL'!AC401</f>
        <v>APAGADO</v>
      </c>
      <c r="Y396" s="29">
        <f>'RESUMEN TOTAL'!AD401</f>
        <v>0</v>
      </c>
      <c r="Z396" s="29">
        <f>'RESUMEN TOTAL'!AE401</f>
        <v>0</v>
      </c>
      <c r="AA396" s="29">
        <f>'RESUMEN TOTAL'!AF401</f>
        <v>0</v>
      </c>
      <c r="AB396" s="29">
        <f>'RESUMEN TOTAL'!AG401</f>
        <v>0</v>
      </c>
      <c r="AC396" s="29">
        <f>'RESUMEN TOTAL'!AH401</f>
        <v>0</v>
      </c>
      <c r="AD396" s="29">
        <f>'RESUMEN TOTAL'!AI401</f>
        <v>0</v>
      </c>
      <c r="AE396" s="29">
        <f>'RESUMEN TOTAL'!AJ401</f>
        <v>0</v>
      </c>
      <c r="AF396" s="29">
        <f>'RESUMEN TOTAL'!AK401</f>
        <v>0</v>
      </c>
      <c r="AG396" s="29">
        <f>'RESUMEN TOTAL'!AL401</f>
        <v>0</v>
      </c>
      <c r="AH396" s="29">
        <f>'RESUMEN TOTAL'!AM401</f>
        <v>0</v>
      </c>
      <c r="AI396" s="29">
        <f>'RESUMEN TOTAL'!AN401</f>
        <v>0</v>
      </c>
    </row>
    <row r="397" spans="1:35" x14ac:dyDescent="0.25">
      <c r="A397" s="50" t="str">
        <f>'RESUMEN TOTAL'!A402</f>
        <v>VILLA MONICA NUEVA</v>
      </c>
      <c r="B397" s="50" t="str">
        <f>'RESUMEN TOTAL'!B402</f>
        <v>VMO01</v>
      </c>
      <c r="C397" s="50" t="str">
        <f>'RESUMEN TOTAL'!D402</f>
        <v>Eva Peron y Monseñor de las Casas</v>
      </c>
      <c r="D397" s="50" t="str">
        <f>'RESUMEN TOTAL'!E402</f>
        <v>DOMO</v>
      </c>
      <c r="E397" s="50" t="str">
        <f>'RESUMEN TOTAL'!F402</f>
        <v>Fibra Optica</v>
      </c>
      <c r="F397" s="29">
        <f>'RESUMEN TOTAL'!K402</f>
        <v>0</v>
      </c>
      <c r="G397" s="29">
        <f>'RESUMEN TOTAL'!L402</f>
        <v>0</v>
      </c>
      <c r="H397" s="29">
        <f>'RESUMEN TOTAL'!M402</f>
        <v>0</v>
      </c>
      <c r="I397" s="29">
        <f>'RESUMEN TOTAL'!N402</f>
        <v>0</v>
      </c>
      <c r="J397" s="29">
        <f>'RESUMEN TOTAL'!O402</f>
        <v>0</v>
      </c>
      <c r="K397" s="29">
        <f>'RESUMEN TOTAL'!P402</f>
        <v>0</v>
      </c>
      <c r="L397" s="29">
        <f>'RESUMEN TOTAL'!Q402</f>
        <v>0</v>
      </c>
      <c r="M397" s="29">
        <f>'RESUMEN TOTAL'!R402</f>
        <v>0</v>
      </c>
      <c r="N397" s="29">
        <f>'RESUMEN TOTAL'!S402</f>
        <v>0</v>
      </c>
      <c r="O397" s="29">
        <f>'RESUMEN TOTAL'!T402</f>
        <v>0</v>
      </c>
      <c r="P397" s="29">
        <f>'RESUMEN TOTAL'!U402</f>
        <v>0</v>
      </c>
      <c r="Q397" s="29">
        <f>'RESUMEN TOTAL'!V402</f>
        <v>0</v>
      </c>
      <c r="R397" s="29">
        <f>'RESUMEN TOTAL'!W402</f>
        <v>0</v>
      </c>
      <c r="S397" s="29" t="str">
        <f>'RESUMEN TOTAL'!X402</f>
        <v>APAGADO</v>
      </c>
      <c r="T397" s="29" t="str">
        <f>'RESUMEN TOTAL'!Y402</f>
        <v>APAGADO</v>
      </c>
      <c r="U397" s="29" t="str">
        <f>'RESUMEN TOTAL'!Z402</f>
        <v>APAGADO</v>
      </c>
      <c r="V397" s="29" t="str">
        <f>'RESUMEN TOTAL'!AA402</f>
        <v>APAGADO</v>
      </c>
      <c r="W397" s="29" t="str">
        <f>'RESUMEN TOTAL'!AB402</f>
        <v>APAGADO</v>
      </c>
      <c r="X397" s="29" t="str">
        <f>'RESUMEN TOTAL'!AC402</f>
        <v>APAGADO</v>
      </c>
      <c r="Y397" s="29">
        <f>'RESUMEN TOTAL'!AD402</f>
        <v>0</v>
      </c>
      <c r="Z397" s="29">
        <f>'RESUMEN TOTAL'!AE402</f>
        <v>0</v>
      </c>
      <c r="AA397" s="29">
        <f>'RESUMEN TOTAL'!AF402</f>
        <v>0</v>
      </c>
      <c r="AB397" s="29">
        <f>'RESUMEN TOTAL'!AG402</f>
        <v>0</v>
      </c>
      <c r="AC397" s="29">
        <f>'RESUMEN TOTAL'!AH402</f>
        <v>0</v>
      </c>
      <c r="AD397" s="29">
        <f>'RESUMEN TOTAL'!AI402</f>
        <v>0</v>
      </c>
      <c r="AE397" s="29">
        <f>'RESUMEN TOTAL'!AJ402</f>
        <v>0</v>
      </c>
      <c r="AF397" s="29">
        <f>'RESUMEN TOTAL'!AK402</f>
        <v>0</v>
      </c>
      <c r="AG397" s="29">
        <f>'RESUMEN TOTAL'!AL402</f>
        <v>0</v>
      </c>
      <c r="AH397" s="29">
        <f>'RESUMEN TOTAL'!AM402</f>
        <v>0</v>
      </c>
      <c r="AI397" s="29">
        <f>'RESUMEN TOTAL'!AN402</f>
        <v>0</v>
      </c>
    </row>
    <row r="398" spans="1:35" x14ac:dyDescent="0.25">
      <c r="A398" s="50" t="str">
        <f>'RESUMEN TOTAL'!A403</f>
        <v>VILLA MONICA VIEJA</v>
      </c>
      <c r="B398" s="50" t="str">
        <f>'RESUMEN TOTAL'!B403</f>
        <v>VMOV01 (fija 1)</v>
      </c>
      <c r="C398" s="50" t="str">
        <f>'RESUMEN TOTAL'!D403</f>
        <v>ATENAS E/ CAFFERATA Y ALEMANIA</v>
      </c>
      <c r="D398" s="50" t="str">
        <f>'RESUMEN TOTAL'!E403</f>
        <v>Fija</v>
      </c>
      <c r="E398" s="50" t="str">
        <f>'RESUMEN TOTAL'!F403</f>
        <v>Fibra Optica</v>
      </c>
      <c r="F398" s="29">
        <f>'RESUMEN TOTAL'!K403</f>
        <v>0</v>
      </c>
      <c r="G398" s="29">
        <f>'RESUMEN TOTAL'!L403</f>
        <v>0</v>
      </c>
      <c r="H398" s="29">
        <f>'RESUMEN TOTAL'!M403</f>
        <v>0</v>
      </c>
      <c r="I398" s="29">
        <f>'RESUMEN TOTAL'!N403</f>
        <v>0</v>
      </c>
      <c r="J398" s="29">
        <f>'RESUMEN TOTAL'!O403</f>
        <v>0</v>
      </c>
      <c r="K398" s="29">
        <f>'RESUMEN TOTAL'!P403</f>
        <v>0</v>
      </c>
      <c r="L398" s="29">
        <f>'RESUMEN TOTAL'!Q403</f>
        <v>0</v>
      </c>
      <c r="M398" s="29">
        <f>'RESUMEN TOTAL'!R403</f>
        <v>0</v>
      </c>
      <c r="N398" s="29">
        <f>'RESUMEN TOTAL'!S403</f>
        <v>0</v>
      </c>
      <c r="O398" s="29">
        <f>'RESUMEN TOTAL'!T403</f>
        <v>0</v>
      </c>
      <c r="P398" s="29">
        <f>'RESUMEN TOTAL'!U403</f>
        <v>0</v>
      </c>
      <c r="Q398" s="29">
        <f>'RESUMEN TOTAL'!V403</f>
        <v>0</v>
      </c>
      <c r="R398" s="29">
        <f>'RESUMEN TOTAL'!W403</f>
        <v>0</v>
      </c>
      <c r="S398" s="29">
        <f>'RESUMEN TOTAL'!X403</f>
        <v>0</v>
      </c>
      <c r="T398" s="29">
        <f>'RESUMEN TOTAL'!Y403</f>
        <v>0</v>
      </c>
      <c r="U398" s="29">
        <f>'RESUMEN TOTAL'!Z403</f>
        <v>0</v>
      </c>
      <c r="V398" s="29">
        <f>'RESUMEN TOTAL'!AA403</f>
        <v>0</v>
      </c>
      <c r="W398" s="29">
        <f>'RESUMEN TOTAL'!AB403</f>
        <v>0</v>
      </c>
      <c r="X398" s="29">
        <f>'RESUMEN TOTAL'!AC403</f>
        <v>0</v>
      </c>
      <c r="Y398" s="29">
        <f>'RESUMEN TOTAL'!AD403</f>
        <v>0</v>
      </c>
      <c r="Z398" s="29">
        <f>'RESUMEN TOTAL'!AE403</f>
        <v>0</v>
      </c>
      <c r="AA398" s="29">
        <f>'RESUMEN TOTAL'!AF403</f>
        <v>0</v>
      </c>
      <c r="AB398" s="29">
        <f>'RESUMEN TOTAL'!AG403</f>
        <v>0</v>
      </c>
      <c r="AC398" s="29">
        <f>'RESUMEN TOTAL'!AH403</f>
        <v>0</v>
      </c>
      <c r="AD398" s="29">
        <f>'RESUMEN TOTAL'!AI403</f>
        <v>0</v>
      </c>
      <c r="AE398" s="29">
        <f>'RESUMEN TOTAL'!AJ403</f>
        <v>0</v>
      </c>
      <c r="AF398" s="29">
        <f>'RESUMEN TOTAL'!AK403</f>
        <v>0</v>
      </c>
      <c r="AG398" s="29">
        <f>'RESUMEN TOTAL'!AL403</f>
        <v>0</v>
      </c>
      <c r="AH398" s="29">
        <f>'RESUMEN TOTAL'!AM403</f>
        <v>0</v>
      </c>
      <c r="AI398" s="29">
        <f>'RESUMEN TOTAL'!AN403</f>
        <v>0</v>
      </c>
    </row>
    <row r="399" spans="1:35" x14ac:dyDescent="0.25">
      <c r="A399" s="50" t="str">
        <f>'RESUMEN TOTAL'!A404</f>
        <v>VILLA MONICA VIEJA</v>
      </c>
      <c r="B399" s="50" t="str">
        <f>'RESUMEN TOTAL'!B404</f>
        <v>VMOV 02 (fija 2)</v>
      </c>
      <c r="C399" s="50" t="str">
        <f>'RESUMEN TOTAL'!D404</f>
        <v>ATENAS E/ CAFFERATA Y ALEMANIA</v>
      </c>
      <c r="D399" s="50" t="str">
        <f>'RESUMEN TOTAL'!E404</f>
        <v>Fija</v>
      </c>
      <c r="E399" s="50" t="str">
        <f>'RESUMEN TOTAL'!F404</f>
        <v>Fibra Optica</v>
      </c>
      <c r="F399" s="29">
        <f>'RESUMEN TOTAL'!K404</f>
        <v>0</v>
      </c>
      <c r="G399" s="29">
        <f>'RESUMEN TOTAL'!L404</f>
        <v>0</v>
      </c>
      <c r="H399" s="29">
        <f>'RESUMEN TOTAL'!M404</f>
        <v>0</v>
      </c>
      <c r="I399" s="29">
        <f>'RESUMEN TOTAL'!N404</f>
        <v>0</v>
      </c>
      <c r="J399" s="29">
        <f>'RESUMEN TOTAL'!O404</f>
        <v>0</v>
      </c>
      <c r="K399" s="29">
        <f>'RESUMEN TOTAL'!P404</f>
        <v>0</v>
      </c>
      <c r="L399" s="29">
        <f>'RESUMEN TOTAL'!Q404</f>
        <v>0</v>
      </c>
      <c r="M399" s="29">
        <f>'RESUMEN TOTAL'!R404</f>
        <v>0</v>
      </c>
      <c r="N399" s="29">
        <f>'RESUMEN TOTAL'!S404</f>
        <v>0</v>
      </c>
      <c r="O399" s="29">
        <f>'RESUMEN TOTAL'!T404</f>
        <v>0</v>
      </c>
      <c r="P399" s="29">
        <f>'RESUMEN TOTAL'!U404</f>
        <v>0</v>
      </c>
      <c r="Q399" s="29">
        <f>'RESUMEN TOTAL'!V404</f>
        <v>0</v>
      </c>
      <c r="R399" s="29">
        <f>'RESUMEN TOTAL'!W404</f>
        <v>0</v>
      </c>
      <c r="S399" s="29">
        <f>'RESUMEN TOTAL'!X404</f>
        <v>0</v>
      </c>
      <c r="T399" s="29">
        <f>'RESUMEN TOTAL'!Y404</f>
        <v>0</v>
      </c>
      <c r="U399" s="29">
        <f>'RESUMEN TOTAL'!Z404</f>
        <v>0</v>
      </c>
      <c r="V399" s="29">
        <f>'RESUMEN TOTAL'!AA404</f>
        <v>0</v>
      </c>
      <c r="W399" s="29">
        <f>'RESUMEN TOTAL'!AB404</f>
        <v>0</v>
      </c>
      <c r="X399" s="29">
        <f>'RESUMEN TOTAL'!AC404</f>
        <v>0</v>
      </c>
      <c r="Y399" s="29">
        <f>'RESUMEN TOTAL'!AD404</f>
        <v>0</v>
      </c>
      <c r="Z399" s="29">
        <f>'RESUMEN TOTAL'!AE404</f>
        <v>0</v>
      </c>
      <c r="AA399" s="29">
        <f>'RESUMEN TOTAL'!AF404</f>
        <v>0</v>
      </c>
      <c r="AB399" s="29">
        <f>'RESUMEN TOTAL'!AG404</f>
        <v>0</v>
      </c>
      <c r="AC399" s="29">
        <f>'RESUMEN TOTAL'!AH404</f>
        <v>0</v>
      </c>
      <c r="AD399" s="29">
        <f>'RESUMEN TOTAL'!AI404</f>
        <v>0</v>
      </c>
      <c r="AE399" s="29">
        <f>'RESUMEN TOTAL'!AJ404</f>
        <v>0</v>
      </c>
      <c r="AF399" s="29">
        <f>'RESUMEN TOTAL'!AK404</f>
        <v>0</v>
      </c>
      <c r="AG399" s="29">
        <f>'RESUMEN TOTAL'!AL404</f>
        <v>0</v>
      </c>
      <c r="AH399" s="29">
        <f>'RESUMEN TOTAL'!AM404</f>
        <v>0</v>
      </c>
      <c r="AI399" s="29">
        <f>'RESUMEN TOTAL'!AN404</f>
        <v>0</v>
      </c>
    </row>
    <row r="400" spans="1:35" x14ac:dyDescent="0.25">
      <c r="A400" t="str">
        <f>'RESUMEN TOTAL'!A405</f>
        <v>VILLA MONICA VIEJA</v>
      </c>
      <c r="B400" t="str">
        <f>'RESUMEN TOTAL'!B405</f>
        <v>VMOV 03 (fija 1)</v>
      </c>
      <c r="C400" t="str">
        <f>'RESUMEN TOTAL'!D405</f>
        <v>ROMA E/ HOLANDA Y CAFFERATA</v>
      </c>
      <c r="D400" t="str">
        <f>'RESUMEN TOTAL'!E405</f>
        <v>Fija</v>
      </c>
      <c r="E400" t="str">
        <f>'RESUMEN TOTAL'!F405</f>
        <v>Fibra Optica</v>
      </c>
      <c r="F400" s="29">
        <f>'RESUMEN TOTAL'!K405</f>
        <v>0</v>
      </c>
      <c r="G400" s="29">
        <f>'RESUMEN TOTAL'!L405</f>
        <v>0</v>
      </c>
      <c r="H400" s="29">
        <f>'RESUMEN TOTAL'!M405</f>
        <v>0</v>
      </c>
      <c r="I400" s="29">
        <f>'RESUMEN TOTAL'!N405</f>
        <v>0</v>
      </c>
      <c r="J400" s="29">
        <f>'RESUMEN TOTAL'!O405</f>
        <v>0</v>
      </c>
      <c r="K400" s="29">
        <f>'RESUMEN TOTAL'!P405</f>
        <v>0</v>
      </c>
      <c r="L400" s="29">
        <f>'RESUMEN TOTAL'!Q405</f>
        <v>0</v>
      </c>
      <c r="M400" s="29">
        <f>'RESUMEN TOTAL'!R405</f>
        <v>0</v>
      </c>
      <c r="N400" s="29">
        <f>'RESUMEN TOTAL'!S405</f>
        <v>0</v>
      </c>
      <c r="O400" s="29">
        <f>'RESUMEN TOTAL'!T405</f>
        <v>0</v>
      </c>
      <c r="P400" s="29">
        <f>'RESUMEN TOTAL'!U405</f>
        <v>0</v>
      </c>
      <c r="Q400" s="29">
        <f>'RESUMEN TOTAL'!V405</f>
        <v>0</v>
      </c>
      <c r="R400" s="29">
        <f>'RESUMEN TOTAL'!W405</f>
        <v>0</v>
      </c>
      <c r="S400" s="29">
        <f>'RESUMEN TOTAL'!X405</f>
        <v>0</v>
      </c>
      <c r="T400" s="29">
        <f>'RESUMEN TOTAL'!Y405</f>
        <v>0</v>
      </c>
      <c r="U400" s="29">
        <f>'RESUMEN TOTAL'!Z405</f>
        <v>0</v>
      </c>
      <c r="V400" s="29">
        <f>'RESUMEN TOTAL'!AA405</f>
        <v>0</v>
      </c>
      <c r="W400" s="29">
        <f>'RESUMEN TOTAL'!AB405</f>
        <v>0</v>
      </c>
      <c r="X400" s="29">
        <f>'RESUMEN TOTAL'!AC405</f>
        <v>0</v>
      </c>
      <c r="Y400" s="29">
        <f>'RESUMEN TOTAL'!AD405</f>
        <v>0</v>
      </c>
      <c r="Z400" s="29">
        <f>'RESUMEN TOTAL'!AE405</f>
        <v>0</v>
      </c>
      <c r="AA400" s="29">
        <f>'RESUMEN TOTAL'!AF405</f>
        <v>0</v>
      </c>
      <c r="AB400" s="29">
        <f>'RESUMEN TOTAL'!AG405</f>
        <v>0</v>
      </c>
      <c r="AC400" s="29">
        <f>'RESUMEN TOTAL'!AH405</f>
        <v>0</v>
      </c>
      <c r="AD400" s="29">
        <f>'RESUMEN TOTAL'!AI405</f>
        <v>0</v>
      </c>
      <c r="AE400" s="29">
        <f>'RESUMEN TOTAL'!AJ405</f>
        <v>0</v>
      </c>
      <c r="AF400" s="29">
        <f>'RESUMEN TOTAL'!AK405</f>
        <v>0</v>
      </c>
      <c r="AG400" s="29">
        <f>'RESUMEN TOTAL'!AL405</f>
        <v>0</v>
      </c>
      <c r="AH400" s="29">
        <f>'RESUMEN TOTAL'!AM405</f>
        <v>0</v>
      </c>
      <c r="AI400" s="29">
        <f>'RESUMEN TOTAL'!AN405</f>
        <v>0</v>
      </c>
    </row>
    <row r="401" spans="1:35" x14ac:dyDescent="0.25">
      <c r="A401" t="str">
        <f>'RESUMEN TOTAL'!A406</f>
        <v>VILLA MONICA VIEJA</v>
      </c>
      <c r="B401" t="str">
        <f>'RESUMEN TOTAL'!B406</f>
        <v>VMOV04 (fija 2)</v>
      </c>
      <c r="C401" t="str">
        <f>'RESUMEN TOTAL'!D406</f>
        <v>ROMA E/ HOLANDA Y CAFFERATA</v>
      </c>
      <c r="D401" t="str">
        <f>'RESUMEN TOTAL'!E406</f>
        <v>Fija</v>
      </c>
      <c r="E401" t="str">
        <f>'RESUMEN TOTAL'!F406</f>
        <v>Fibra Optica</v>
      </c>
      <c r="F401" s="29">
        <f>'RESUMEN TOTAL'!K406</f>
        <v>0</v>
      </c>
      <c r="G401" s="29">
        <f>'RESUMEN TOTAL'!L406</f>
        <v>0</v>
      </c>
      <c r="H401" s="29">
        <f>'RESUMEN TOTAL'!M406</f>
        <v>0</v>
      </c>
      <c r="I401" s="29">
        <f>'RESUMEN TOTAL'!N406</f>
        <v>0</v>
      </c>
      <c r="J401" s="29">
        <f>'RESUMEN TOTAL'!O406</f>
        <v>0</v>
      </c>
      <c r="K401" s="29">
        <f>'RESUMEN TOTAL'!P406</f>
        <v>0</v>
      </c>
      <c r="L401" s="29">
        <f>'RESUMEN TOTAL'!Q406</f>
        <v>0</v>
      </c>
      <c r="M401" s="29">
        <f>'RESUMEN TOTAL'!R406</f>
        <v>0</v>
      </c>
      <c r="N401" s="29">
        <f>'RESUMEN TOTAL'!S406</f>
        <v>0</v>
      </c>
      <c r="O401" s="29">
        <f>'RESUMEN TOTAL'!T406</f>
        <v>0</v>
      </c>
      <c r="P401" s="29">
        <f>'RESUMEN TOTAL'!U406</f>
        <v>0</v>
      </c>
      <c r="Q401" s="29">
        <f>'RESUMEN TOTAL'!V406</f>
        <v>0</v>
      </c>
      <c r="R401" s="29">
        <f>'RESUMEN TOTAL'!W406</f>
        <v>0</v>
      </c>
      <c r="S401" s="29">
        <f>'RESUMEN TOTAL'!X406</f>
        <v>0</v>
      </c>
      <c r="T401" s="29">
        <f>'RESUMEN TOTAL'!Y406</f>
        <v>0</v>
      </c>
      <c r="U401" s="29">
        <f>'RESUMEN TOTAL'!Z406</f>
        <v>0</v>
      </c>
      <c r="V401" s="29">
        <f>'RESUMEN TOTAL'!AA406</f>
        <v>0</v>
      </c>
      <c r="W401" s="29">
        <f>'RESUMEN TOTAL'!AB406</f>
        <v>0</v>
      </c>
      <c r="X401" s="29">
        <f>'RESUMEN TOTAL'!AC406</f>
        <v>0</v>
      </c>
      <c r="Y401" s="29">
        <f>'RESUMEN TOTAL'!AD406</f>
        <v>0</v>
      </c>
      <c r="Z401" s="29">
        <f>'RESUMEN TOTAL'!AE406</f>
        <v>0</v>
      </c>
      <c r="AA401" s="29">
        <f>'RESUMEN TOTAL'!AF406</f>
        <v>0</v>
      </c>
      <c r="AB401" s="29">
        <f>'RESUMEN TOTAL'!AG406</f>
        <v>0</v>
      </c>
      <c r="AC401" s="29">
        <f>'RESUMEN TOTAL'!AH406</f>
        <v>0</v>
      </c>
      <c r="AD401" s="29">
        <f>'RESUMEN TOTAL'!AI406</f>
        <v>0</v>
      </c>
      <c r="AE401" s="29">
        <f>'RESUMEN TOTAL'!AJ406</f>
        <v>0</v>
      </c>
      <c r="AF401" s="29">
        <f>'RESUMEN TOTAL'!AK406</f>
        <v>0</v>
      </c>
      <c r="AG401" s="29">
        <f>'RESUMEN TOTAL'!AL406</f>
        <v>0</v>
      </c>
      <c r="AH401" s="29">
        <f>'RESUMEN TOTAL'!AM406</f>
        <v>0</v>
      </c>
      <c r="AI401" s="29">
        <f>'RESUMEN TOTAL'!AN406</f>
        <v>0</v>
      </c>
    </row>
    <row r="402" spans="1:35" x14ac:dyDescent="0.25">
      <c r="A402" t="str">
        <f>'RESUMEN TOTAL'!A407</f>
        <v>VILLA SAN LUIS</v>
      </c>
      <c r="B402" t="str">
        <f>'RESUMEN TOTAL'!B407</f>
        <v>VSL 01</v>
      </c>
      <c r="C402" t="str">
        <f>'RESUMEN TOTAL'!D407</f>
        <v>AV. HUDSON Y CACHEUTA</v>
      </c>
      <c r="D402" t="str">
        <f>'RESUMEN TOTAL'!E407</f>
        <v>DOMO</v>
      </c>
      <c r="E402" t="str">
        <f>'RESUMEN TOTAL'!F407</f>
        <v>Fibra Optica</v>
      </c>
      <c r="F402" s="29">
        <f>'RESUMEN TOTAL'!K407</f>
        <v>0</v>
      </c>
      <c r="G402" s="29">
        <f>'RESUMEN TOTAL'!L407</f>
        <v>0</v>
      </c>
      <c r="H402" s="29">
        <f>'RESUMEN TOTAL'!M407</f>
        <v>0</v>
      </c>
      <c r="I402" s="29">
        <f>'RESUMEN TOTAL'!N407</f>
        <v>0</v>
      </c>
      <c r="J402" s="29">
        <f>'RESUMEN TOTAL'!O407</f>
        <v>0</v>
      </c>
      <c r="K402" s="29">
        <f>'RESUMEN TOTAL'!P407</f>
        <v>0</v>
      </c>
      <c r="L402" s="29">
        <f>'RESUMEN TOTAL'!Q407</f>
        <v>0</v>
      </c>
      <c r="M402" s="29">
        <f>'RESUMEN TOTAL'!R407</f>
        <v>0</v>
      </c>
      <c r="N402" s="29">
        <f>'RESUMEN TOTAL'!S407</f>
        <v>0</v>
      </c>
      <c r="O402" s="29">
        <f>'RESUMEN TOTAL'!T407</f>
        <v>0</v>
      </c>
      <c r="P402" s="29">
        <f>'RESUMEN TOTAL'!U407</f>
        <v>0</v>
      </c>
      <c r="Q402" s="29">
        <f>'RESUMEN TOTAL'!V407</f>
        <v>0</v>
      </c>
      <c r="R402" s="29">
        <f>'RESUMEN TOTAL'!W407</f>
        <v>0</v>
      </c>
      <c r="S402" s="29">
        <f>'RESUMEN TOTAL'!X407</f>
        <v>0</v>
      </c>
      <c r="T402" s="29">
        <f>'RESUMEN TOTAL'!Y407</f>
        <v>0</v>
      </c>
      <c r="U402" s="29">
        <f>'RESUMEN TOTAL'!Z407</f>
        <v>0</v>
      </c>
      <c r="V402" s="29">
        <f>'RESUMEN TOTAL'!AA407</f>
        <v>0</v>
      </c>
      <c r="W402" s="29">
        <f>'RESUMEN TOTAL'!AB407</f>
        <v>0</v>
      </c>
      <c r="X402" s="29">
        <f>'RESUMEN TOTAL'!AC407</f>
        <v>0</v>
      </c>
      <c r="Y402" s="29">
        <f>'RESUMEN TOTAL'!AD407</f>
        <v>0</v>
      </c>
      <c r="Z402" s="29">
        <f>'RESUMEN TOTAL'!AE407</f>
        <v>0</v>
      </c>
      <c r="AA402" s="29">
        <f>'RESUMEN TOTAL'!AF407</f>
        <v>0</v>
      </c>
      <c r="AB402" s="29">
        <f>'RESUMEN TOTAL'!AG407</f>
        <v>0</v>
      </c>
      <c r="AC402" s="29">
        <f>'RESUMEN TOTAL'!AH407</f>
        <v>0</v>
      </c>
      <c r="AD402" s="29">
        <f>'RESUMEN TOTAL'!AI407</f>
        <v>0</v>
      </c>
      <c r="AE402" s="29">
        <f>'RESUMEN TOTAL'!AJ407</f>
        <v>0</v>
      </c>
      <c r="AF402" s="29">
        <f>'RESUMEN TOTAL'!AK407</f>
        <v>0</v>
      </c>
      <c r="AG402" s="29">
        <f>'RESUMEN TOTAL'!AL407</f>
        <v>0</v>
      </c>
      <c r="AH402" s="29">
        <f>'RESUMEN TOTAL'!AM407</f>
        <v>0</v>
      </c>
      <c r="AI402" s="29">
        <f>'RESUMEN TOTAL'!AN407</f>
        <v>0</v>
      </c>
    </row>
    <row r="403" spans="1:35" x14ac:dyDescent="0.25">
      <c r="A403" t="str">
        <f>'RESUMEN TOTAL'!A408</f>
        <v>VILLA SUSANA</v>
      </c>
      <c r="B403" t="str">
        <f>'RESUMEN TOTAL'!B408</f>
        <v>VSU01</v>
      </c>
      <c r="C403" t="str">
        <f>'RESUMEN TOTAL'!D408</f>
        <v>CJAL. JUAN BROWN Y SANTA FE</v>
      </c>
      <c r="D403" t="str">
        <f>'RESUMEN TOTAL'!E408</f>
        <v>DOMO</v>
      </c>
      <c r="E403" t="str">
        <f>'RESUMEN TOTAL'!F408</f>
        <v>Radio</v>
      </c>
      <c r="F403" s="29">
        <f>'RESUMEN TOTAL'!K408</f>
        <v>0</v>
      </c>
      <c r="G403" s="29">
        <f>'RESUMEN TOTAL'!L408</f>
        <v>0</v>
      </c>
      <c r="H403" s="29">
        <f>'RESUMEN TOTAL'!M408</f>
        <v>0</v>
      </c>
      <c r="I403" s="29">
        <f>'RESUMEN TOTAL'!N408</f>
        <v>0</v>
      </c>
      <c r="J403" s="29">
        <f>'RESUMEN TOTAL'!O408</f>
        <v>0</v>
      </c>
      <c r="K403" s="29">
        <f>'RESUMEN TOTAL'!P408</f>
        <v>0</v>
      </c>
      <c r="L403" s="29">
        <f>'RESUMEN TOTAL'!Q408</f>
        <v>0</v>
      </c>
      <c r="M403" s="29">
        <f>'RESUMEN TOTAL'!R408</f>
        <v>0</v>
      </c>
      <c r="N403" s="29">
        <f>'RESUMEN TOTAL'!S408</f>
        <v>0</v>
      </c>
      <c r="O403" s="29">
        <f>'RESUMEN TOTAL'!T408</f>
        <v>0</v>
      </c>
      <c r="P403" s="29">
        <f>'RESUMEN TOTAL'!U408</f>
        <v>0</v>
      </c>
      <c r="Q403" s="29">
        <f>'RESUMEN TOTAL'!V408</f>
        <v>0</v>
      </c>
      <c r="R403" s="29">
        <f>'RESUMEN TOTAL'!W408</f>
        <v>0</v>
      </c>
      <c r="S403" s="29">
        <f>'RESUMEN TOTAL'!X408</f>
        <v>0</v>
      </c>
      <c r="T403" s="29">
        <f>'RESUMEN TOTAL'!Y408</f>
        <v>0</v>
      </c>
      <c r="U403" s="29">
        <f>'RESUMEN TOTAL'!Z408</f>
        <v>0</v>
      </c>
      <c r="V403" s="29">
        <f>'RESUMEN TOTAL'!AA408</f>
        <v>0</v>
      </c>
      <c r="W403" s="29">
        <f>'RESUMEN TOTAL'!AB408</f>
        <v>0</v>
      </c>
      <c r="X403" s="29">
        <f>'RESUMEN TOTAL'!AC408</f>
        <v>0</v>
      </c>
      <c r="Y403" s="29">
        <f>'RESUMEN TOTAL'!AD408</f>
        <v>0</v>
      </c>
      <c r="Z403" s="29">
        <f>'RESUMEN TOTAL'!AE408</f>
        <v>0</v>
      </c>
      <c r="AA403" s="29">
        <f>'RESUMEN TOTAL'!AF408</f>
        <v>0</v>
      </c>
      <c r="AB403" s="29">
        <f>'RESUMEN TOTAL'!AG408</f>
        <v>0</v>
      </c>
      <c r="AC403" s="29">
        <f>'RESUMEN TOTAL'!AH408</f>
        <v>0</v>
      </c>
      <c r="AD403" s="29">
        <f>'RESUMEN TOTAL'!AI408</f>
        <v>0</v>
      </c>
      <c r="AE403" s="29">
        <f>'RESUMEN TOTAL'!AJ408</f>
        <v>0</v>
      </c>
      <c r="AF403" s="29">
        <f>'RESUMEN TOTAL'!AK408</f>
        <v>0</v>
      </c>
      <c r="AG403" s="29">
        <f>'RESUMEN TOTAL'!AL408</f>
        <v>0</v>
      </c>
      <c r="AH403" s="29">
        <f>'RESUMEN TOTAL'!AM408</f>
        <v>0</v>
      </c>
      <c r="AI403" s="29">
        <f>'RESUMEN TOTAL'!AN408</f>
        <v>0</v>
      </c>
    </row>
    <row r="404" spans="1:35" x14ac:dyDescent="0.25">
      <c r="A404" t="str">
        <f>'RESUMEN TOTAL'!A409</f>
        <v>VILLA SUSANA</v>
      </c>
      <c r="B404" t="str">
        <f>'RESUMEN TOTAL'!B409</f>
        <v>VSU 02</v>
      </c>
      <c r="C404" t="str">
        <f>'RESUMEN TOTAL'!D409</f>
        <v>CABELLO Y SANTA FE</v>
      </c>
      <c r="D404" t="str">
        <f>'RESUMEN TOTAL'!E409</f>
        <v>DOMO</v>
      </c>
      <c r="E404" t="str">
        <f>'RESUMEN TOTAL'!F409</f>
        <v>Radio</v>
      </c>
      <c r="F404" s="29">
        <f>'RESUMEN TOTAL'!K409</f>
        <v>0</v>
      </c>
      <c r="G404" s="29">
        <f>'RESUMEN TOTAL'!L409</f>
        <v>0</v>
      </c>
      <c r="H404" s="29">
        <f>'RESUMEN TOTAL'!M409</f>
        <v>0</v>
      </c>
      <c r="I404" s="29">
        <f>'RESUMEN TOTAL'!N409</f>
        <v>0</v>
      </c>
      <c r="J404" s="29">
        <f>'RESUMEN TOTAL'!O409</f>
        <v>0</v>
      </c>
      <c r="K404" s="29">
        <f>'RESUMEN TOTAL'!P409</f>
        <v>0</v>
      </c>
      <c r="L404" s="29">
        <f>'RESUMEN TOTAL'!Q409</f>
        <v>0</v>
      </c>
      <c r="M404" s="29">
        <f>'RESUMEN TOTAL'!R409</f>
        <v>0</v>
      </c>
      <c r="N404" s="29">
        <f>'RESUMEN TOTAL'!S409</f>
        <v>0</v>
      </c>
      <c r="O404" s="29">
        <f>'RESUMEN TOTAL'!T409</f>
        <v>0</v>
      </c>
      <c r="P404" s="29">
        <f>'RESUMEN TOTAL'!U409</f>
        <v>0</v>
      </c>
      <c r="Q404" s="29">
        <f>'RESUMEN TOTAL'!V409</f>
        <v>0</v>
      </c>
      <c r="R404" s="29">
        <f>'RESUMEN TOTAL'!W409</f>
        <v>0</v>
      </c>
      <c r="S404" s="29">
        <f>'RESUMEN TOTAL'!X409</f>
        <v>0</v>
      </c>
      <c r="T404" s="29">
        <f>'RESUMEN TOTAL'!Y409</f>
        <v>0</v>
      </c>
      <c r="U404" s="29">
        <f>'RESUMEN TOTAL'!Z409</f>
        <v>0</v>
      </c>
      <c r="V404" s="29">
        <f>'RESUMEN TOTAL'!AA409</f>
        <v>0</v>
      </c>
      <c r="W404" s="29">
        <f>'RESUMEN TOTAL'!AB409</f>
        <v>0</v>
      </c>
      <c r="X404" s="29">
        <f>'RESUMEN TOTAL'!AC409</f>
        <v>0</v>
      </c>
      <c r="Y404" s="29">
        <f>'RESUMEN TOTAL'!AD409</f>
        <v>0</v>
      </c>
      <c r="Z404" s="29">
        <f>'RESUMEN TOTAL'!AE409</f>
        <v>0</v>
      </c>
      <c r="AA404" s="29">
        <f>'RESUMEN TOTAL'!AF409</f>
        <v>0</v>
      </c>
      <c r="AB404" s="29">
        <f>'RESUMEN TOTAL'!AG409</f>
        <v>0</v>
      </c>
      <c r="AC404" s="29">
        <f>'RESUMEN TOTAL'!AH409</f>
        <v>0</v>
      </c>
      <c r="AD404" s="29">
        <f>'RESUMEN TOTAL'!AI409</f>
        <v>0</v>
      </c>
      <c r="AE404" s="29">
        <f>'RESUMEN TOTAL'!AJ409</f>
        <v>0</v>
      </c>
      <c r="AF404" s="29">
        <f>'RESUMEN TOTAL'!AK409</f>
        <v>0</v>
      </c>
      <c r="AG404" s="29">
        <f>'RESUMEN TOTAL'!AL409</f>
        <v>0</v>
      </c>
      <c r="AH404" s="29">
        <f>'RESUMEN TOTAL'!AM409</f>
        <v>0</v>
      </c>
      <c r="AI404" s="29">
        <f>'RESUMEN TOTAL'!AN409</f>
        <v>0</v>
      </c>
    </row>
    <row r="405" spans="1:35" x14ac:dyDescent="0.25">
      <c r="A405" t="str">
        <f>'RESUMEN TOTAL'!A410</f>
        <v>VILLA SUSANA</v>
      </c>
      <c r="B405" t="str">
        <f>'RESUMEN TOTAL'!B410</f>
        <v>VSU 03</v>
      </c>
      <c r="C405" t="str">
        <f>'RESUMEN TOTAL'!D410</f>
        <v>EE.UU Y SERRANO</v>
      </c>
      <c r="D405" t="str">
        <f>'RESUMEN TOTAL'!E410</f>
        <v>DOMO</v>
      </c>
      <c r="E405" t="str">
        <f>'RESUMEN TOTAL'!F410</f>
        <v>Radio</v>
      </c>
      <c r="F405" s="29">
        <f>'RESUMEN TOTAL'!K410</f>
        <v>0</v>
      </c>
      <c r="G405" s="29">
        <f>'RESUMEN TOTAL'!L410</f>
        <v>0</v>
      </c>
      <c r="H405" s="29">
        <f>'RESUMEN TOTAL'!M410</f>
        <v>0</v>
      </c>
      <c r="I405" s="29" t="str">
        <f>'RESUMEN TOTAL'!N410</f>
        <v>APAGADO</v>
      </c>
      <c r="J405" s="29">
        <f>'RESUMEN TOTAL'!O410</f>
        <v>0</v>
      </c>
      <c r="K405" s="29">
        <f>'RESUMEN TOTAL'!P410</f>
        <v>0</v>
      </c>
      <c r="L405" s="29">
        <f>'RESUMEN TOTAL'!Q410</f>
        <v>0</v>
      </c>
      <c r="M405" s="29">
        <f>'RESUMEN TOTAL'!R410</f>
        <v>0</v>
      </c>
      <c r="N405" s="29">
        <f>'RESUMEN TOTAL'!S410</f>
        <v>0</v>
      </c>
      <c r="O405" s="29">
        <f>'RESUMEN TOTAL'!T410</f>
        <v>0</v>
      </c>
      <c r="P405" s="29">
        <f>'RESUMEN TOTAL'!U410</f>
        <v>0</v>
      </c>
      <c r="Q405" s="29">
        <f>'RESUMEN TOTAL'!V410</f>
        <v>0</v>
      </c>
      <c r="R405" s="29">
        <f>'RESUMEN TOTAL'!W410</f>
        <v>0</v>
      </c>
      <c r="S405" s="29">
        <f>'RESUMEN TOTAL'!X410</f>
        <v>0</v>
      </c>
      <c r="T405" s="29">
        <f>'RESUMEN TOTAL'!Y410</f>
        <v>0</v>
      </c>
      <c r="U405" s="29">
        <f>'RESUMEN TOTAL'!Z410</f>
        <v>0</v>
      </c>
      <c r="V405" s="29">
        <f>'RESUMEN TOTAL'!AA410</f>
        <v>0</v>
      </c>
      <c r="W405" s="29">
        <f>'RESUMEN TOTAL'!AB410</f>
        <v>0</v>
      </c>
      <c r="X405" s="29">
        <f>'RESUMEN TOTAL'!AC410</f>
        <v>0</v>
      </c>
      <c r="Y405" s="29">
        <f>'RESUMEN TOTAL'!AD410</f>
        <v>0</v>
      </c>
      <c r="Z405" s="29">
        <f>'RESUMEN TOTAL'!AE410</f>
        <v>0</v>
      </c>
      <c r="AA405" s="29">
        <f>'RESUMEN TOTAL'!AF410</f>
        <v>0</v>
      </c>
      <c r="AB405" s="29">
        <f>'RESUMEN TOTAL'!AG410</f>
        <v>0</v>
      </c>
      <c r="AC405" s="29">
        <f>'RESUMEN TOTAL'!AH410</f>
        <v>0</v>
      </c>
      <c r="AD405" s="29">
        <f>'RESUMEN TOTAL'!AI410</f>
        <v>0</v>
      </c>
      <c r="AE405" s="29">
        <f>'RESUMEN TOTAL'!AJ410</f>
        <v>0</v>
      </c>
      <c r="AF405" s="29">
        <f>'RESUMEN TOTAL'!AK410</f>
        <v>0</v>
      </c>
      <c r="AG405" s="29">
        <f>'RESUMEN TOTAL'!AL410</f>
        <v>0</v>
      </c>
      <c r="AH405" s="29">
        <f>'RESUMEN TOTAL'!AM410</f>
        <v>0</v>
      </c>
      <c r="AI405" s="29">
        <f>'RESUMEN TOTAL'!AN410</f>
        <v>0</v>
      </c>
    </row>
    <row r="406" spans="1:35" x14ac:dyDescent="0.25">
      <c r="A406" t="str">
        <f>'RESUMEN TOTAL'!A411</f>
        <v>VILLA SUSANA</v>
      </c>
      <c r="B406" t="str">
        <f>'RESUMEN TOTAL'!B411</f>
        <v>VSU 04</v>
      </c>
      <c r="C406" t="str">
        <f>'RESUMEN TOTAL'!D411</f>
        <v>Aniceto Diaz y Cordoba</v>
      </c>
      <c r="D406" t="str">
        <f>'RESUMEN TOTAL'!E411</f>
        <v>fija</v>
      </c>
      <c r="E406" t="str">
        <f>'RESUMEN TOTAL'!F411</f>
        <v>Fibra Optica</v>
      </c>
      <c r="F406" s="29">
        <f>'RESUMEN TOTAL'!K411</f>
        <v>0</v>
      </c>
      <c r="G406" s="29">
        <f>'RESUMEN TOTAL'!L411</f>
        <v>0</v>
      </c>
      <c r="H406" s="29">
        <f>'RESUMEN TOTAL'!M411</f>
        <v>0</v>
      </c>
      <c r="I406" s="29" t="str">
        <f>'RESUMEN TOTAL'!N411</f>
        <v>APAGADO</v>
      </c>
      <c r="J406" s="29">
        <f>'RESUMEN TOTAL'!O411</f>
        <v>0</v>
      </c>
      <c r="K406" s="29">
        <f>'RESUMEN TOTAL'!P411</f>
        <v>0</v>
      </c>
      <c r="L406" s="29">
        <f>'RESUMEN TOTAL'!Q411</f>
        <v>0</v>
      </c>
      <c r="M406" s="29">
        <f>'RESUMEN TOTAL'!R411</f>
        <v>0</v>
      </c>
      <c r="N406" s="29">
        <f>'RESUMEN TOTAL'!S411</f>
        <v>0</v>
      </c>
      <c r="O406" s="29">
        <f>'RESUMEN TOTAL'!T411</f>
        <v>0</v>
      </c>
      <c r="P406" s="29">
        <f>'RESUMEN TOTAL'!U411</f>
        <v>0</v>
      </c>
      <c r="Q406" s="29">
        <f>'RESUMEN TOTAL'!V411</f>
        <v>0</v>
      </c>
      <c r="R406" s="29">
        <f>'RESUMEN TOTAL'!W411</f>
        <v>0</v>
      </c>
      <c r="S406" s="29">
        <f>'RESUMEN TOTAL'!X411</f>
        <v>0</v>
      </c>
      <c r="T406" s="29">
        <f>'RESUMEN TOTAL'!Y411</f>
        <v>0</v>
      </c>
      <c r="U406" s="29">
        <f>'RESUMEN TOTAL'!Z411</f>
        <v>0</v>
      </c>
      <c r="V406" s="29">
        <f>'RESUMEN TOTAL'!AA411</f>
        <v>0</v>
      </c>
      <c r="W406" s="29">
        <f>'RESUMEN TOTAL'!AB411</f>
        <v>0</v>
      </c>
      <c r="X406" s="29">
        <f>'RESUMEN TOTAL'!AC411</f>
        <v>0</v>
      </c>
      <c r="Y406" s="29">
        <f>'RESUMEN TOTAL'!AD411</f>
        <v>0</v>
      </c>
      <c r="Z406" s="29">
        <f>'RESUMEN TOTAL'!AE411</f>
        <v>0</v>
      </c>
      <c r="AA406" s="29">
        <f>'RESUMEN TOTAL'!AF411</f>
        <v>0</v>
      </c>
      <c r="AB406" s="29">
        <f>'RESUMEN TOTAL'!AG411</f>
        <v>0</v>
      </c>
      <c r="AC406" s="29">
        <f>'RESUMEN TOTAL'!AH411</f>
        <v>0</v>
      </c>
      <c r="AD406" s="29">
        <f>'RESUMEN TOTAL'!AI411</f>
        <v>0</v>
      </c>
      <c r="AE406" s="29">
        <f>'RESUMEN TOTAL'!AJ411</f>
        <v>0</v>
      </c>
      <c r="AF406" s="29">
        <f>'RESUMEN TOTAL'!AK411</f>
        <v>0</v>
      </c>
      <c r="AG406" s="29">
        <f>'RESUMEN TOTAL'!AL411</f>
        <v>0</v>
      </c>
      <c r="AH406" s="29">
        <f>'RESUMEN TOTAL'!AM411</f>
        <v>0</v>
      </c>
      <c r="AI406" s="29">
        <f>'RESUMEN TOTAL'!AN411</f>
        <v>0</v>
      </c>
    </row>
    <row r="407" spans="1:35" x14ac:dyDescent="0.25">
      <c r="A407" t="str">
        <f>'RESUMEN TOTAL'!A412</f>
        <v>VILLA SUSANA</v>
      </c>
      <c r="B407" t="str">
        <f>'RESUMEN TOTAL'!B412</f>
        <v>VSU 05</v>
      </c>
      <c r="C407" t="str">
        <f>'RESUMEN TOTAL'!D412</f>
        <v>Aniceto Diaz y Cordoba</v>
      </c>
      <c r="D407" t="str">
        <f>'RESUMEN TOTAL'!E412</f>
        <v>fija</v>
      </c>
      <c r="E407" t="str">
        <f>'RESUMEN TOTAL'!F412</f>
        <v>Fibra Optica</v>
      </c>
      <c r="F407" s="29">
        <f>'RESUMEN TOTAL'!K412</f>
        <v>0</v>
      </c>
      <c r="G407" s="29">
        <f>'RESUMEN TOTAL'!L412</f>
        <v>0</v>
      </c>
      <c r="H407" s="29">
        <f>'RESUMEN TOTAL'!M412</f>
        <v>0</v>
      </c>
      <c r="I407" s="29" t="str">
        <f>'RESUMEN TOTAL'!N412</f>
        <v>APAGADO</v>
      </c>
      <c r="J407" s="29">
        <f>'RESUMEN TOTAL'!O412</f>
        <v>0</v>
      </c>
      <c r="K407" s="29">
        <f>'RESUMEN TOTAL'!P412</f>
        <v>0</v>
      </c>
      <c r="L407" s="29">
        <f>'RESUMEN TOTAL'!Q412</f>
        <v>0</v>
      </c>
      <c r="M407" s="29">
        <f>'RESUMEN TOTAL'!R412</f>
        <v>0</v>
      </c>
      <c r="N407" s="29">
        <f>'RESUMEN TOTAL'!S412</f>
        <v>0</v>
      </c>
      <c r="O407" s="29">
        <f>'RESUMEN TOTAL'!T412</f>
        <v>0</v>
      </c>
      <c r="P407" s="29">
        <f>'RESUMEN TOTAL'!U412</f>
        <v>0</v>
      </c>
      <c r="Q407" s="29">
        <f>'RESUMEN TOTAL'!V412</f>
        <v>0</v>
      </c>
      <c r="R407" s="29">
        <f>'RESUMEN TOTAL'!W412</f>
        <v>0</v>
      </c>
      <c r="S407" s="29">
        <f>'RESUMEN TOTAL'!X412</f>
        <v>0</v>
      </c>
      <c r="T407" s="29">
        <f>'RESUMEN TOTAL'!Y412</f>
        <v>0</v>
      </c>
      <c r="U407" s="29">
        <f>'RESUMEN TOTAL'!Z412</f>
        <v>0</v>
      </c>
      <c r="V407" s="29">
        <f>'RESUMEN TOTAL'!AA412</f>
        <v>0</v>
      </c>
      <c r="W407" s="29">
        <f>'RESUMEN TOTAL'!AB412</f>
        <v>0</v>
      </c>
      <c r="X407" s="29">
        <f>'RESUMEN TOTAL'!AC412</f>
        <v>0</v>
      </c>
      <c r="Y407" s="29">
        <f>'RESUMEN TOTAL'!AD412</f>
        <v>0</v>
      </c>
      <c r="Z407" s="29">
        <f>'RESUMEN TOTAL'!AE412</f>
        <v>0</v>
      </c>
      <c r="AA407" s="29">
        <f>'RESUMEN TOTAL'!AF412</f>
        <v>0</v>
      </c>
      <c r="AB407" s="29">
        <f>'RESUMEN TOTAL'!AG412</f>
        <v>0</v>
      </c>
      <c r="AC407" s="29">
        <f>'RESUMEN TOTAL'!AH412</f>
        <v>0</v>
      </c>
      <c r="AD407" s="29">
        <f>'RESUMEN TOTAL'!AI412</f>
        <v>0</v>
      </c>
      <c r="AE407" s="29">
        <f>'RESUMEN TOTAL'!AJ412</f>
        <v>0</v>
      </c>
      <c r="AF407" s="29">
        <f>'RESUMEN TOTAL'!AK412</f>
        <v>0</v>
      </c>
      <c r="AG407" s="29">
        <f>'RESUMEN TOTAL'!AL412</f>
        <v>0</v>
      </c>
      <c r="AH407" s="29">
        <f>'RESUMEN TOTAL'!AM412</f>
        <v>0</v>
      </c>
      <c r="AI407" s="29">
        <f>'RESUMEN TOTAL'!AN412</f>
        <v>0</v>
      </c>
    </row>
    <row r="408" spans="1:35" x14ac:dyDescent="0.25">
      <c r="A408" t="str">
        <f>'RESUMEN TOTAL'!A413</f>
        <v>ZEBALLOS</v>
      </c>
      <c r="B408" t="str">
        <f>'RESUMEN TOTAL'!B413</f>
        <v>ZEB02</v>
      </c>
      <c r="C408" t="str">
        <f>'RESUMEN TOTAL'!D413</f>
        <v>Quinquela Martin y Sgo. del Estero</v>
      </c>
      <c r="D408" t="str">
        <f>'RESUMEN TOTAL'!E413</f>
        <v>Domo</v>
      </c>
      <c r="E408" t="str">
        <f>'RESUMEN TOTAL'!F413</f>
        <v>Radio</v>
      </c>
      <c r="F408" s="29">
        <f>'RESUMEN TOTAL'!K413</f>
        <v>0</v>
      </c>
      <c r="G408" s="29">
        <f>'RESUMEN TOTAL'!L413</f>
        <v>0</v>
      </c>
      <c r="H408" s="29" t="str">
        <f>'RESUMEN TOTAL'!M413</f>
        <v>APAGADO</v>
      </c>
      <c r="I408" s="29" t="str">
        <f>'RESUMEN TOTAL'!N413</f>
        <v>APAGADO</v>
      </c>
      <c r="J408" s="29">
        <f>'RESUMEN TOTAL'!O413</f>
        <v>0</v>
      </c>
      <c r="K408" s="29">
        <f>'RESUMEN TOTAL'!P413</f>
        <v>0</v>
      </c>
      <c r="L408" s="29">
        <f>'RESUMEN TOTAL'!Q413</f>
        <v>0</v>
      </c>
      <c r="M408" s="29">
        <f>'RESUMEN TOTAL'!R413</f>
        <v>0</v>
      </c>
      <c r="N408" s="29">
        <f>'RESUMEN TOTAL'!S413</f>
        <v>0</v>
      </c>
      <c r="O408" s="29">
        <f>'RESUMEN TOTAL'!T413</f>
        <v>0</v>
      </c>
      <c r="P408" s="29">
        <f>'RESUMEN TOTAL'!U413</f>
        <v>0</v>
      </c>
      <c r="Q408" s="29">
        <f>'RESUMEN TOTAL'!V413</f>
        <v>0</v>
      </c>
      <c r="R408" s="29">
        <f>'RESUMEN TOTAL'!W413</f>
        <v>0</v>
      </c>
      <c r="S408" s="29">
        <f>'RESUMEN TOTAL'!X413</f>
        <v>0</v>
      </c>
      <c r="T408" s="29">
        <f>'RESUMEN TOTAL'!Y413</f>
        <v>0</v>
      </c>
      <c r="U408" s="29">
        <f>'RESUMEN TOTAL'!Z413</f>
        <v>0</v>
      </c>
      <c r="V408" s="29">
        <f>'RESUMEN TOTAL'!AA413</f>
        <v>0</v>
      </c>
      <c r="W408" s="29">
        <f>'RESUMEN TOTAL'!AB413</f>
        <v>0</v>
      </c>
      <c r="X408" s="29">
        <f>'RESUMEN TOTAL'!AC413</f>
        <v>0</v>
      </c>
      <c r="Y408" s="29">
        <f>'RESUMEN TOTAL'!AD413</f>
        <v>0</v>
      </c>
      <c r="Z408" s="29">
        <f>'RESUMEN TOTAL'!AE413</f>
        <v>0</v>
      </c>
      <c r="AA408" s="29">
        <f>'RESUMEN TOTAL'!AF413</f>
        <v>0</v>
      </c>
      <c r="AB408" s="29">
        <f>'RESUMEN TOTAL'!AG413</f>
        <v>0</v>
      </c>
      <c r="AC408" s="29">
        <f>'RESUMEN TOTAL'!AH413</f>
        <v>0</v>
      </c>
      <c r="AD408" s="29">
        <f>'RESUMEN TOTAL'!AI413</f>
        <v>0</v>
      </c>
      <c r="AE408" s="29">
        <f>'RESUMEN TOTAL'!AJ413</f>
        <v>0</v>
      </c>
      <c r="AF408" s="29">
        <f>'RESUMEN TOTAL'!AK413</f>
        <v>0</v>
      </c>
      <c r="AG408" s="29">
        <f>'RESUMEN TOTAL'!AL413</f>
        <v>0</v>
      </c>
      <c r="AH408" s="29">
        <f>'RESUMEN TOTAL'!AM413</f>
        <v>0</v>
      </c>
      <c r="AI408" s="29">
        <f>'RESUMEN TOTAL'!AN413</f>
        <v>0</v>
      </c>
    </row>
    <row r="409" spans="1:35" x14ac:dyDescent="0.25">
      <c r="A409" t="str">
        <f>'RESUMEN TOTAL'!A414</f>
        <v>9 DE JULIO</v>
      </c>
      <c r="B409" t="str">
        <f>'RESUMEN TOTAL'!B414</f>
        <v>ZEB03</v>
      </c>
      <c r="C409" t="str">
        <f>'RESUMEN TOTAL'!D414</f>
        <v>Quinquela Martin y Pte. Peron</v>
      </c>
      <c r="D409" t="str">
        <f>'RESUMEN TOTAL'!E414</f>
        <v>Domo</v>
      </c>
      <c r="E409" t="str">
        <f>'RESUMEN TOTAL'!F414</f>
        <v>Radio</v>
      </c>
      <c r="F409" s="29">
        <f>'RESUMEN TOTAL'!K414</f>
        <v>0</v>
      </c>
      <c r="G409" s="29">
        <f>'RESUMEN TOTAL'!L414</f>
        <v>0</v>
      </c>
      <c r="H409" s="29">
        <f>'RESUMEN TOTAL'!M414</f>
        <v>0</v>
      </c>
      <c r="I409" s="29">
        <f>'RESUMEN TOTAL'!N414</f>
        <v>0</v>
      </c>
      <c r="J409" s="29">
        <f>'RESUMEN TOTAL'!O414</f>
        <v>0</v>
      </c>
      <c r="K409" s="29">
        <f>'RESUMEN TOTAL'!P414</f>
        <v>0</v>
      </c>
      <c r="L409" s="29">
        <f>'RESUMEN TOTAL'!Q414</f>
        <v>0</v>
      </c>
      <c r="M409" s="29">
        <f>'RESUMEN TOTAL'!R414</f>
        <v>0</v>
      </c>
      <c r="N409" s="29">
        <f>'RESUMEN TOTAL'!S414</f>
        <v>0</v>
      </c>
      <c r="O409" s="29">
        <f>'RESUMEN TOTAL'!T414</f>
        <v>0</v>
      </c>
      <c r="P409" s="29">
        <f>'RESUMEN TOTAL'!U414</f>
        <v>0</v>
      </c>
      <c r="Q409" s="29">
        <f>'RESUMEN TOTAL'!V414</f>
        <v>0</v>
      </c>
      <c r="R409" s="29">
        <f>'RESUMEN TOTAL'!W414</f>
        <v>0</v>
      </c>
      <c r="S409" s="29">
        <f>'RESUMEN TOTAL'!X414</f>
        <v>0</v>
      </c>
      <c r="T409" s="29">
        <f>'RESUMEN TOTAL'!Y414</f>
        <v>0</v>
      </c>
      <c r="U409" s="29">
        <f>'RESUMEN TOTAL'!Z414</f>
        <v>0</v>
      </c>
      <c r="V409" s="29">
        <f>'RESUMEN TOTAL'!AA414</f>
        <v>0</v>
      </c>
      <c r="W409" s="29">
        <f>'RESUMEN TOTAL'!AB414</f>
        <v>0</v>
      </c>
      <c r="X409" s="29">
        <f>'RESUMEN TOTAL'!AC414</f>
        <v>0</v>
      </c>
      <c r="Y409" s="29">
        <f>'RESUMEN TOTAL'!AD414</f>
        <v>0</v>
      </c>
      <c r="Z409" s="29">
        <f>'RESUMEN TOTAL'!AE414</f>
        <v>0</v>
      </c>
      <c r="AA409" s="29">
        <f>'RESUMEN TOTAL'!AF414</f>
        <v>0</v>
      </c>
      <c r="AB409" s="29">
        <f>'RESUMEN TOTAL'!AG414</f>
        <v>0</v>
      </c>
      <c r="AC409" s="29">
        <f>'RESUMEN TOTAL'!AH414</f>
        <v>0</v>
      </c>
      <c r="AD409" s="29">
        <f>'RESUMEN TOTAL'!AI414</f>
        <v>0</v>
      </c>
      <c r="AE409" s="29">
        <f>'RESUMEN TOTAL'!AJ414</f>
        <v>0</v>
      </c>
      <c r="AF409" s="29">
        <f>'RESUMEN TOTAL'!AK414</f>
        <v>0</v>
      </c>
      <c r="AG409" s="29">
        <f>'RESUMEN TOTAL'!AL414</f>
        <v>0</v>
      </c>
      <c r="AH409" s="29">
        <f>'RESUMEN TOTAL'!AM414</f>
        <v>0</v>
      </c>
      <c r="AI409" s="29">
        <f>'RESUMEN TOTAL'!AN414</f>
        <v>0</v>
      </c>
    </row>
    <row r="410" spans="1:35" x14ac:dyDescent="0.25">
      <c r="A410" t="str">
        <f>'RESUMEN TOTAL'!A415</f>
        <v>ZEBALLOS</v>
      </c>
      <c r="B410" t="str">
        <f>'RESUMEN TOTAL'!B415</f>
        <v>ZEB04</v>
      </c>
      <c r="C410" t="str">
        <f>'RESUMEN TOTAL'!D415</f>
        <v>THEVENET Y DIAGONAL GRANADEROS</v>
      </c>
      <c r="D410" t="str">
        <f>'RESUMEN TOTAL'!E415</f>
        <v>DOMO</v>
      </c>
      <c r="E410" t="str">
        <f>'RESUMEN TOTAL'!F415</f>
        <v>Radio</v>
      </c>
      <c r="F410" s="29">
        <f>'RESUMEN TOTAL'!K415</f>
        <v>0</v>
      </c>
      <c r="G410" s="29">
        <f>'RESUMEN TOTAL'!L415</f>
        <v>0</v>
      </c>
      <c r="H410" s="29">
        <f>'RESUMEN TOTAL'!M415</f>
        <v>0</v>
      </c>
      <c r="I410" s="29">
        <f>'RESUMEN TOTAL'!N415</f>
        <v>0</v>
      </c>
      <c r="J410" s="29">
        <f>'RESUMEN TOTAL'!O415</f>
        <v>0</v>
      </c>
      <c r="K410" s="29">
        <f>'RESUMEN TOTAL'!P415</f>
        <v>0</v>
      </c>
      <c r="L410" s="29">
        <f>'RESUMEN TOTAL'!Q415</f>
        <v>0</v>
      </c>
      <c r="M410" s="29">
        <f>'RESUMEN TOTAL'!R415</f>
        <v>0</v>
      </c>
      <c r="N410" s="29">
        <f>'RESUMEN TOTAL'!S415</f>
        <v>0</v>
      </c>
      <c r="O410" s="29">
        <f>'RESUMEN TOTAL'!T415</f>
        <v>0</v>
      </c>
      <c r="P410" s="29">
        <f>'RESUMEN TOTAL'!U415</f>
        <v>0</v>
      </c>
      <c r="Q410" s="29">
        <f>'RESUMEN TOTAL'!V415</f>
        <v>0</v>
      </c>
      <c r="R410" s="29">
        <f>'RESUMEN TOTAL'!W415</f>
        <v>0</v>
      </c>
      <c r="S410" s="29">
        <f>'RESUMEN TOTAL'!X415</f>
        <v>0</v>
      </c>
      <c r="T410" s="29">
        <f>'RESUMEN TOTAL'!Y415</f>
        <v>0</v>
      </c>
      <c r="U410" s="29">
        <f>'RESUMEN TOTAL'!Z415</f>
        <v>0</v>
      </c>
      <c r="V410" s="29">
        <f>'RESUMEN TOTAL'!AA415</f>
        <v>0</v>
      </c>
      <c r="W410" s="29">
        <f>'RESUMEN TOTAL'!AB415</f>
        <v>0</v>
      </c>
      <c r="X410" s="29">
        <f>'RESUMEN TOTAL'!AC415</f>
        <v>0</v>
      </c>
      <c r="Y410" s="29">
        <f>'RESUMEN TOTAL'!AD415</f>
        <v>0</v>
      </c>
      <c r="Z410" s="29">
        <f>'RESUMEN TOTAL'!AE415</f>
        <v>0</v>
      </c>
      <c r="AA410" s="29">
        <f>'RESUMEN TOTAL'!AF415</f>
        <v>0</v>
      </c>
      <c r="AB410" s="29">
        <f>'RESUMEN TOTAL'!AG415</f>
        <v>0</v>
      </c>
      <c r="AC410" s="29">
        <f>'RESUMEN TOTAL'!AH415</f>
        <v>0</v>
      </c>
      <c r="AD410" s="29">
        <f>'RESUMEN TOTAL'!AI415</f>
        <v>0</v>
      </c>
      <c r="AE410" s="29">
        <f>'RESUMEN TOTAL'!AJ415</f>
        <v>0</v>
      </c>
      <c r="AF410" s="29">
        <f>'RESUMEN TOTAL'!AK415</f>
        <v>0</v>
      </c>
      <c r="AG410" s="29">
        <f>'RESUMEN TOTAL'!AL415</f>
        <v>0</v>
      </c>
      <c r="AH410" s="29">
        <f>'RESUMEN TOTAL'!AM415</f>
        <v>0</v>
      </c>
      <c r="AI410" s="29">
        <f>'RESUMEN TOTAL'!AN415</f>
        <v>0</v>
      </c>
    </row>
    <row r="411" spans="1:35" x14ac:dyDescent="0.25">
      <c r="A411" t="str">
        <f>'RESUMEN TOTAL'!A416</f>
        <v>ZEBALLOS</v>
      </c>
      <c r="B411" t="str">
        <f>'RESUMEN TOTAL'!B416</f>
        <v>ZEB 05</v>
      </c>
      <c r="C411" t="str">
        <f>'RESUMEN TOTAL'!D416</f>
        <v>DIAG. GRANADEROS Y 214 BIS</v>
      </c>
      <c r="D411" t="str">
        <f>'RESUMEN TOTAL'!E416</f>
        <v>Domo</v>
      </c>
      <c r="E411" t="str">
        <f>'RESUMEN TOTAL'!F416</f>
        <v>Radio</v>
      </c>
      <c r="F411" s="29">
        <f>'RESUMEN TOTAL'!K416</f>
        <v>0</v>
      </c>
      <c r="G411" s="29">
        <f>'RESUMEN TOTAL'!L416</f>
        <v>0</v>
      </c>
      <c r="H411" s="29">
        <f>'RESUMEN TOTAL'!M416</f>
        <v>0</v>
      </c>
      <c r="I411" s="29">
        <f>'RESUMEN TOTAL'!N416</f>
        <v>0</v>
      </c>
      <c r="J411" s="29">
        <f>'RESUMEN TOTAL'!O416</f>
        <v>0</v>
      </c>
      <c r="K411" s="29">
        <f>'RESUMEN TOTAL'!P416</f>
        <v>0</v>
      </c>
      <c r="L411" s="29">
        <f>'RESUMEN TOTAL'!Q416</f>
        <v>0</v>
      </c>
      <c r="M411" s="29">
        <f>'RESUMEN TOTAL'!R416</f>
        <v>0</v>
      </c>
      <c r="N411" s="29">
        <f>'RESUMEN TOTAL'!S416</f>
        <v>0</v>
      </c>
      <c r="O411" s="29">
        <f>'RESUMEN TOTAL'!T416</f>
        <v>0</v>
      </c>
      <c r="P411" s="29">
        <f>'RESUMEN TOTAL'!U416</f>
        <v>0</v>
      </c>
      <c r="Q411" s="29">
        <f>'RESUMEN TOTAL'!V416</f>
        <v>0</v>
      </c>
      <c r="R411" s="29">
        <f>'RESUMEN TOTAL'!W416</f>
        <v>0</v>
      </c>
      <c r="S411" s="29">
        <f>'RESUMEN TOTAL'!X416</f>
        <v>0</v>
      </c>
      <c r="T411" s="29">
        <f>'RESUMEN TOTAL'!Y416</f>
        <v>0</v>
      </c>
      <c r="U411" s="29">
        <f>'RESUMEN TOTAL'!Z416</f>
        <v>0</v>
      </c>
      <c r="V411" s="29">
        <f>'RESUMEN TOTAL'!AA416</f>
        <v>0</v>
      </c>
      <c r="W411" s="29">
        <f>'RESUMEN TOTAL'!AB416</f>
        <v>0</v>
      </c>
      <c r="X411" s="29">
        <f>'RESUMEN TOTAL'!AC416</f>
        <v>0</v>
      </c>
      <c r="Y411" s="29">
        <f>'RESUMEN TOTAL'!AD416</f>
        <v>0</v>
      </c>
      <c r="Z411" s="29">
        <f>'RESUMEN TOTAL'!AE416</f>
        <v>0</v>
      </c>
      <c r="AA411" s="29">
        <f>'RESUMEN TOTAL'!AF416</f>
        <v>0</v>
      </c>
      <c r="AB411" s="29">
        <f>'RESUMEN TOTAL'!AG416</f>
        <v>0</v>
      </c>
      <c r="AC411" s="29">
        <f>'RESUMEN TOTAL'!AH416</f>
        <v>0</v>
      </c>
      <c r="AD411" s="29">
        <f>'RESUMEN TOTAL'!AI416</f>
        <v>0</v>
      </c>
      <c r="AE411" s="29">
        <f>'RESUMEN TOTAL'!AJ416</f>
        <v>0</v>
      </c>
      <c r="AF411" s="29">
        <f>'RESUMEN TOTAL'!AK416</f>
        <v>0</v>
      </c>
      <c r="AG411" s="29">
        <f>'RESUMEN TOTAL'!AL416</f>
        <v>0</v>
      </c>
      <c r="AH411" s="29">
        <f>'RESUMEN TOTAL'!AM416</f>
        <v>0</v>
      </c>
      <c r="AI411" s="29">
        <f>'RESUMEN TOTAL'!AN416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25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25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25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25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25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25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25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43</v>
      </c>
      <c r="AD1" s="25">
        <f t="shared" si="0"/>
        <v>41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 t="str">
        <f>ESTADISTICA!AC37</f>
        <v>APAGADO</v>
      </c>
      <c r="AD38" t="str">
        <f>ESTADISTICA!AD37</f>
        <v>APAGADO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 t="str">
        <f>ESTADISTICA!AC137</f>
        <v>APAGADO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 t="str">
        <f>ESTADISTICA!AC157</f>
        <v>APAGADO</v>
      </c>
      <c r="AD158" t="str">
        <f>ESTADISTICA!AD157</f>
        <v>APAGADO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 t="str">
        <f>ESTADISTICA!AC158</f>
        <v>APAGADO</v>
      </c>
      <c r="AD159" t="str">
        <f>ESTADISTICA!AD158</f>
        <v>APAGADO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 t="str">
        <f>ESTADISTICA!AC337</f>
        <v>APAGADO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 t="str">
        <f>ESTADISTICA!AC338</f>
        <v>APAGADO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 t="str">
        <f>ESTADISTICA!AC379</f>
        <v>APAGADO</v>
      </c>
      <c r="AD380" s="50" t="str">
        <f>ESTADISTICA!AD379</f>
        <v>APAGADO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 t="str">
        <f>ESTADISTICA!AD382</f>
        <v>APAGADO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34</v>
      </c>
      <c r="AD2" s="25">
        <f>COUNTIFS(AD4:AD400, "=APAGADO",E4:E400,"=Fibra Optica")</f>
        <v>35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3</v>
      </c>
      <c r="AD2" s="25">
        <f>COUNTIFS(AD4:AD400, "=APAGADO",E4:E400,"=PTO A FO")</f>
        <v>4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6</v>
      </c>
      <c r="AD2" s="25">
        <f>COUNTIFS(AD4:AD367, "=APAGADO",E4:E367,"=radio")</f>
        <v>2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25" workbookViewId="0">
      <selection activeCell="B58" sqref="B58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25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>
        <v>396</v>
      </c>
      <c r="C22" s="88"/>
      <c r="D22" s="89"/>
      <c r="E22" s="138">
        <v>44817</v>
      </c>
    </row>
    <row r="23" spans="1:14" ht="15.75" thickBot="1" x14ac:dyDescent="0.3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.75" thickTop="1" x14ac:dyDescent="0.25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6.5" thickTop="1" thickBot="1" x14ac:dyDescent="0.3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25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.75" thickBot="1" x14ac:dyDescent="0.3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.75" thickTop="1" x14ac:dyDescent="0.25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25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.75" thickTop="1" x14ac:dyDescent="0.25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.75" thickTop="1" x14ac:dyDescent="0.25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25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25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25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.75" thickBot="1" x14ac:dyDescent="0.3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.75" thickTop="1" x14ac:dyDescent="0.25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25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25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25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.75" thickBot="1" x14ac:dyDescent="0.3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.75" thickTop="1" x14ac:dyDescent="0.25">
      <c r="A57" s="86"/>
      <c r="B57" s="87"/>
      <c r="C57" s="88"/>
      <c r="D57" s="89"/>
      <c r="E57" s="138"/>
    </row>
    <row r="58" spans="1:11" x14ac:dyDescent="0.25">
      <c r="A58" s="90"/>
      <c r="B58" s="91"/>
      <c r="C58" s="92"/>
      <c r="D58" s="93"/>
      <c r="E58" s="139"/>
    </row>
    <row r="59" spans="1:11" x14ac:dyDescent="0.25">
      <c r="A59" s="90"/>
      <c r="B59" s="91"/>
      <c r="C59" s="92"/>
      <c r="D59" s="93"/>
      <c r="E59" s="139"/>
    </row>
    <row r="60" spans="1:11" x14ac:dyDescent="0.25">
      <c r="A60" s="90"/>
      <c r="B60" s="91"/>
      <c r="C60" s="92"/>
      <c r="D60" s="93"/>
      <c r="E60" s="139"/>
    </row>
    <row r="61" spans="1:11" ht="15.75" thickBot="1" x14ac:dyDescent="0.3">
      <c r="A61" s="102"/>
      <c r="B61" s="103"/>
      <c r="C61" s="92"/>
      <c r="D61" s="105"/>
      <c r="E61" s="140"/>
    </row>
    <row r="62" spans="1:11" ht="15.75" thickTop="1" x14ac:dyDescent="0.25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23" sqref="B23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412</v>
      </c>
      <c r="G2" s="54">
        <f t="shared" ref="G2" si="1">E2/F2</f>
        <v>6.7961165048543687E-2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412</v>
      </c>
      <c r="G3" s="54">
        <f t="shared" ref="G3:G6" si="3">E3/F3</f>
        <v>0.12864077669902912</v>
      </c>
    </row>
    <row r="4" spans="1:7" x14ac:dyDescent="0.25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412</v>
      </c>
      <c r="G4" s="54">
        <f t="shared" si="3"/>
        <v>0.20631067961165048</v>
      </c>
    </row>
    <row r="5" spans="1:7" x14ac:dyDescent="0.25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412</v>
      </c>
      <c r="G5" s="54">
        <f t="shared" si="3"/>
        <v>0.20631067961165048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412</v>
      </c>
      <c r="G6" s="54">
        <f t="shared" si="3"/>
        <v>9.2233009708737865E-2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412</v>
      </c>
      <c r="G7" s="54">
        <f t="shared" ref="G7:G8" si="5">E7/F7</f>
        <v>7.7669902912621352E-2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412</v>
      </c>
      <c r="G8" s="54">
        <f t="shared" si="5"/>
        <v>5.0970873786407765E-2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412</v>
      </c>
      <c r="G9" s="54">
        <f t="shared" ref="G9:G10" si="7">E9/F9</f>
        <v>5.0970873786407765E-2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412</v>
      </c>
      <c r="G10" s="54">
        <f t="shared" si="7"/>
        <v>8.9805825242718448E-2</v>
      </c>
    </row>
    <row r="11" spans="1:7" x14ac:dyDescent="0.25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412</v>
      </c>
      <c r="G11" s="54">
        <f t="shared" ref="G11" si="9">E11/F11</f>
        <v>6.3106796116504854E-2</v>
      </c>
    </row>
    <row r="12" spans="1:7" x14ac:dyDescent="0.25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412</v>
      </c>
      <c r="G12" s="54">
        <f t="shared" ref="G12:G14" si="11">E12/F12</f>
        <v>7.5242718446601936E-2</v>
      </c>
    </row>
    <row r="13" spans="1:7" x14ac:dyDescent="0.25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412</v>
      </c>
      <c r="G13" s="54">
        <f t="shared" si="11"/>
        <v>6.553398058252427E-2</v>
      </c>
    </row>
    <row r="14" spans="1:7" x14ac:dyDescent="0.25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412</v>
      </c>
      <c r="G14" s="54">
        <f t="shared" si="11"/>
        <v>7.0388349514563103E-2</v>
      </c>
    </row>
    <row r="15" spans="1:7" x14ac:dyDescent="0.25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412</v>
      </c>
      <c r="G15" s="54">
        <f t="shared" ref="G15" si="13">E15/F15</f>
        <v>8.2524271844660199E-2</v>
      </c>
    </row>
    <row r="16" spans="1:7" x14ac:dyDescent="0.25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412</v>
      </c>
      <c r="G16" s="54">
        <f t="shared" ref="G16:G17" si="15">E16/F16</f>
        <v>0.10436893203883495</v>
      </c>
    </row>
    <row r="17" spans="1:7" x14ac:dyDescent="0.25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412</v>
      </c>
      <c r="G17" s="54">
        <f t="shared" si="15"/>
        <v>8.7378640776699032E-2</v>
      </c>
    </row>
    <row r="18" spans="1:7" x14ac:dyDescent="0.25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412</v>
      </c>
      <c r="G18" s="54">
        <f t="shared" ref="G18:G20" si="17">E18/F18</f>
        <v>9.7087378640776698E-2</v>
      </c>
    </row>
    <row r="19" spans="1:7" x14ac:dyDescent="0.25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412</v>
      </c>
      <c r="G19" s="54">
        <f t="shared" si="17"/>
        <v>9.4660194174757281E-2</v>
      </c>
    </row>
    <row r="20" spans="1:7" x14ac:dyDescent="0.25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412</v>
      </c>
      <c r="G20" s="54">
        <f t="shared" si="17"/>
        <v>8.9805825242718448E-2</v>
      </c>
    </row>
    <row r="21" spans="1:7" x14ac:dyDescent="0.25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412</v>
      </c>
      <c r="G21" s="54">
        <f t="shared" ref="G21" si="19">E21/F21</f>
        <v>0.10194174757281553</v>
      </c>
    </row>
    <row r="22" spans="1:7" x14ac:dyDescent="0.25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412</v>
      </c>
      <c r="G22" s="54">
        <f t="shared" ref="G22" si="21">E22/F22</f>
        <v>9.2233009708737865E-2</v>
      </c>
    </row>
    <row r="23" spans="1:7" x14ac:dyDescent="0.25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412</v>
      </c>
      <c r="G23" s="54">
        <f t="shared" ref="G23" si="23">E23/F23</f>
        <v>9.9514563106796114E-2</v>
      </c>
    </row>
    <row r="24" spans="1:7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25">
      <c r="A31" s="24">
        <v>44803</v>
      </c>
      <c r="B31" s="50"/>
      <c r="C31" s="50"/>
      <c r="D31" s="50"/>
      <c r="E31" s="50"/>
      <c r="F31" s="50"/>
    </row>
    <row r="32" spans="1:7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B1" workbookViewId="0">
      <selection activeCell="F5" sqref="F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79" t="s">
        <v>1159</v>
      </c>
      <c r="B2" s="68">
        <f>COUNTIFS('RESUMEN TOTAL'!C7:C415,"=BONOMO")</f>
        <v>220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37</v>
      </c>
      <c r="AD3" s="75">
        <f>COUNTIFS('RESUMEN TOTAL'!C7:C501, "=BONOMO",'RESUMEN TOTAL'!AI7:AI501,"=APAGADO")</f>
        <v>38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  <c r="AJ3" s="75" t="e">
        <f>COUNTIFS('RESUMEN TOTAL'!C7:C501, "=BONOMO",'RESUMEN TOTAL'!#REF!,"=APAGADO")</f>
        <v>#REF!</v>
      </c>
    </row>
    <row r="4" spans="1:36" s="50" customFormat="1" ht="16.5" thickTop="1" thickBot="1" x14ac:dyDescent="0.3">
      <c r="A4" s="78" t="s">
        <v>1160</v>
      </c>
      <c r="B4" s="68">
        <f>COUNTIFS('RESUMEN TOTAL'!C7:C415,"=COSEIDI")</f>
        <v>189</v>
      </c>
      <c r="D4" s="66"/>
      <c r="E4" s="64" t="s">
        <v>1171</v>
      </c>
      <c r="F4" s="80">
        <f t="shared" ref="F4:AJ4" si="0">F3/BONOMOcam</f>
        <v>0.1</v>
      </c>
      <c r="G4" s="81">
        <f t="shared" si="0"/>
        <v>0.22727272727272727</v>
      </c>
      <c r="H4" s="81">
        <f t="shared" si="0"/>
        <v>0.27272727272727271</v>
      </c>
      <c r="I4" s="81">
        <f t="shared" si="0"/>
        <v>0.25</v>
      </c>
      <c r="J4" s="81">
        <f t="shared" si="0"/>
        <v>0.12272727272727273</v>
      </c>
      <c r="K4" s="81">
        <f t="shared" si="0"/>
        <v>0.13181818181818181</v>
      </c>
      <c r="L4" s="81">
        <f t="shared" si="0"/>
        <v>7.7272727272727271E-2</v>
      </c>
      <c r="M4" s="81">
        <f t="shared" si="0"/>
        <v>8.1818181818181818E-2</v>
      </c>
      <c r="N4" s="81">
        <f t="shared" si="0"/>
        <v>0.1</v>
      </c>
      <c r="O4" s="81">
        <f t="shared" si="0"/>
        <v>9.0909090909090912E-2</v>
      </c>
      <c r="P4" s="82">
        <f t="shared" si="0"/>
        <v>0.1</v>
      </c>
      <c r="Q4" s="82">
        <f t="shared" ref="Q4" si="1">Q3/BONOMOcam</f>
        <v>9.5454545454545459E-2</v>
      </c>
      <c r="R4" s="82">
        <f t="shared" si="0"/>
        <v>0.10909090909090909</v>
      </c>
      <c r="S4" s="82">
        <f t="shared" si="0"/>
        <v>0.12272727272727273</v>
      </c>
      <c r="T4" s="82">
        <f t="shared" si="0"/>
        <v>0.13636363636363635</v>
      </c>
      <c r="U4" s="82">
        <f t="shared" si="0"/>
        <v>0.13181818181818181</v>
      </c>
      <c r="V4" s="82">
        <f t="shared" si="0"/>
        <v>0.13636363636363635</v>
      </c>
      <c r="W4" s="82">
        <f t="shared" si="0"/>
        <v>0.13181818181818181</v>
      </c>
      <c r="X4" s="82">
        <f t="shared" si="0"/>
        <v>0.12727272727272726</v>
      </c>
      <c r="Y4" s="82">
        <f t="shared" si="0"/>
        <v>0.14545454545454545</v>
      </c>
      <c r="Z4" s="82">
        <f t="shared" si="0"/>
        <v>0.15454545454545454</v>
      </c>
      <c r="AA4" s="82">
        <f t="shared" si="0"/>
        <v>0.15</v>
      </c>
      <c r="AB4" s="82">
        <f t="shared" si="0"/>
        <v>0.19090909090909092</v>
      </c>
      <c r="AC4" s="82">
        <f t="shared" si="0"/>
        <v>0.16818181818181818</v>
      </c>
      <c r="AD4" s="82">
        <f t="shared" si="0"/>
        <v>0.17272727272727273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TOTAL'!C10:C415, "=COSEIDI",'RESUMEN TOTAL'!K10:K415,"=APAGADO")</f>
        <v>6</v>
      </c>
      <c r="G5" s="77">
        <f>COUNTIFS('RESUMEN TOTAL'!C10:C415, "=COSEIDI",'RESUMEN TOTAL'!L10:L415,"=APAGADO")</f>
        <v>3</v>
      </c>
      <c r="H5" s="77">
        <f>COUNTIFS('RESUMEN TOTAL'!C10:C415, "=COSEIDI",'RESUMEN TOTAL'!M10:M415,"=APAGADO")</f>
        <v>26</v>
      </c>
      <c r="I5" s="77">
        <f>COUNTIFS('RESUMEN TOTAL'!C10:C415, "=COSEIDI",'RESUMEN TOTAL'!N10:N415,"=APAGADO")</f>
        <v>35</v>
      </c>
      <c r="J5" s="77">
        <f>COUNTIFS('RESUMEN TOTAL'!C10:C415, "=COSEIDI",'RESUMEN TOTAL'!O10:O415,"=APAGADO")</f>
        <v>11</v>
      </c>
      <c r="K5" s="77">
        <f>COUNTIFS('RESUMEN TOTAL'!C10:C415, "=COSEIDI",'RESUMEN TOTAL'!P10:P415,"=APAGADO")</f>
        <v>3</v>
      </c>
      <c r="L5" s="77">
        <f>COUNTIFS('RESUMEN TOTAL'!C10:C415, "=COSEIDI",'RESUMEN TOTAL'!Q10:Q415,"=APAGADO")</f>
        <v>4</v>
      </c>
      <c r="M5" s="77">
        <f>COUNTIFS('RESUMEN TOTAL'!C10:C415, "=COSEIDI",'RESUMEN TOTAL'!R10:R415,"=APAGADO")</f>
        <v>3</v>
      </c>
      <c r="N5" s="77">
        <f>COUNTIFS('RESUMEN TOTAL'!C10:C415, "=COSEIDI",'RESUMEN TOTAL'!S10:S415,"=APAGADO")</f>
        <v>15</v>
      </c>
      <c r="O5" s="77">
        <f>COUNTIFS('RESUMEN TOTAL'!C10:C415, "=COSEIDI",'RESUMEN TOTAL'!T10:T415,"=APAGADO")</f>
        <v>7</v>
      </c>
      <c r="P5" s="77">
        <f>COUNTIFS('RESUMEN TOTAL'!C10:C415, "=COSEIDI",'RESUMEN TOTAL'!U10:U415,"=APAGADO")</f>
        <v>10</v>
      </c>
      <c r="Q5" s="77">
        <f>COUNTIFS('RESUMEN TOTAL'!C10:C415, "=COSEIDI",'RESUMEN TOTAL'!V10:V415,"=APAGADO")</f>
        <v>5</v>
      </c>
      <c r="R5" s="77">
        <f>COUNTIFS('RESUMEN TOTAL'!C10:C415, "=COSEIDI",'RESUMEN TOTAL'!W10:W415,"=APAGADO")</f>
        <v>5</v>
      </c>
      <c r="S5" s="77">
        <f>COUNTIFS('RESUMEN TOTAL'!C10:C415, "=COSEIDI",'RESUMEN TOTAL'!X10:X415,"=APAGADO")</f>
        <v>7</v>
      </c>
      <c r="T5" s="77">
        <f>COUNTIFS('RESUMEN TOTAL'!C10:C415, "=COSEIDI",'RESUMEN TOTAL'!Y10:Y415,"=APAGADO")</f>
        <v>14</v>
      </c>
      <c r="U5" s="77">
        <f>COUNTIFS('RESUMEN TOTAL'!C10:C415, "=COSEIDI",'RESUMEN TOTAL'!Z10:Z415,"=APAGADO")</f>
        <v>7</v>
      </c>
      <c r="V5" s="77">
        <f>COUNTIFS('RESUMEN TOTAL'!C10:C415, "=COSEIDI",'RESUMEN TOTAL'!AA10:AA415,"=APAGADO")</f>
        <v>10</v>
      </c>
      <c r="W5" s="77">
        <f>COUNTIFS('RESUMEN TOTAL'!C10:C415, "=COSEIDI",'RESUMEN TOTAL'!AB10:AB415,"=APAGADO")</f>
        <v>10</v>
      </c>
      <c r="X5" s="77">
        <f>COUNTIFS('RESUMEN TOTAL'!C10:C415, "=COSEIDI",'RESUMEN TOTAL'!AC10:AC415,"=APAGADO")</f>
        <v>9</v>
      </c>
      <c r="Y5" s="77">
        <f>COUNTIFS('RESUMEN TOTAL'!C10:C415, "=COSEIDI",'RESUMEN TOTAL'!AD10:AD415,"=APAGADO")</f>
        <v>10</v>
      </c>
      <c r="Z5" s="77">
        <f>COUNTIFS('RESUMEN TOTAL'!C10:C415, "=COSEIDI",'RESUMEN TOTAL'!AE10:AE415,"=APAGADO")</f>
        <v>4</v>
      </c>
      <c r="AA5" s="77">
        <f>COUNTIFS('RESUMEN TOTAL'!C10:C415, "=COSEIDI",'RESUMEN TOTAL'!AF10:AF415,"=APAGADO")</f>
        <v>8</v>
      </c>
      <c r="AB5" s="77">
        <f>COUNTIFS('RESUMEN TOTAL'!C10:C415, "=COSEIDI",'RESUMEN TOTAL'!AG10:AG415,"=APAGADO")</f>
        <v>5</v>
      </c>
      <c r="AC5" s="77">
        <f>COUNTIFS('RESUMEN TOTAL'!C10:C415, "=COSEIDI",'RESUMEN TOTAL'!AH10:AH415,"=APAGADO")</f>
        <v>6</v>
      </c>
      <c r="AD5" s="77">
        <f>COUNTIFS('RESUMEN TOTAL'!C10:C415, "=COSEIDI",'RESUMEN TOTAL'!AI10:AI415,"=APAGADO")</f>
        <v>3</v>
      </c>
      <c r="AE5" s="77">
        <f>COUNTIFS('RESUMEN TOTAL'!C10:C415, "=COSEIDI",'RESUMEN TOTAL'!AJ10:AJ415,"=APAGADO")</f>
        <v>0</v>
      </c>
      <c r="AF5" s="77">
        <f>COUNTIFS('RESUMEN TOTAL'!C10:C415, "=COSEIDI",'RESUMEN TOTAL'!AK10:AK415,"=APAGADO")</f>
        <v>0</v>
      </c>
      <c r="AG5" s="77">
        <f>COUNTIFS('RESUMEN TOTAL'!C10:C415, "=COSEIDI",'RESUMEN TOTAL'!AL10:AL415,"=APAGADO")</f>
        <v>0</v>
      </c>
      <c r="AH5" s="77">
        <f>COUNTIFS('RESUMEN TOTAL'!C10:C415, "=COSEIDI",'RESUMEN TOTAL'!AM10:AM415,"=APAGADO")</f>
        <v>0</v>
      </c>
      <c r="AI5" s="77">
        <f>COUNTIFS('RESUMEN TOTAL'!C10:C415, "=COSEIDI",'RESUMEN TOTAL'!AN10:AN415,"=APAGADO")</f>
        <v>0</v>
      </c>
      <c r="AJ5" s="77" t="e">
        <f>COUNTIFS('RESUMEN TOTAL'!C10:C415, "=COSEIDI",'RESUMEN TOTAL'!#REF!,"=APAGADO")</f>
        <v>#REF!</v>
      </c>
    </row>
    <row r="6" spans="1:36" ht="16.5" thickTop="1" thickBot="1" x14ac:dyDescent="0.3">
      <c r="D6" s="66"/>
      <c r="E6" s="64" t="s">
        <v>1172</v>
      </c>
      <c r="F6" s="81">
        <f t="shared" ref="F6:AJ6" si="2">F5/COSEIDIcam</f>
        <v>3.1746031746031744E-2</v>
      </c>
      <c r="G6" s="81">
        <f t="shared" si="2"/>
        <v>1.5873015873015872E-2</v>
      </c>
      <c r="H6" s="81">
        <f t="shared" si="2"/>
        <v>0.13756613756613756</v>
      </c>
      <c r="I6" s="81">
        <f t="shared" si="2"/>
        <v>0.18518518518518517</v>
      </c>
      <c r="J6" s="81">
        <f t="shared" si="2"/>
        <v>5.8201058201058198E-2</v>
      </c>
      <c r="K6" s="81">
        <f t="shared" si="2"/>
        <v>1.5873015873015872E-2</v>
      </c>
      <c r="L6" s="81">
        <f t="shared" si="2"/>
        <v>2.1164021164021163E-2</v>
      </c>
      <c r="M6" s="81">
        <f t="shared" si="2"/>
        <v>1.5873015873015872E-2</v>
      </c>
      <c r="N6" s="81">
        <f t="shared" si="2"/>
        <v>7.9365079365079361E-2</v>
      </c>
      <c r="O6" s="81">
        <f t="shared" si="2"/>
        <v>3.7037037037037035E-2</v>
      </c>
      <c r="P6" s="81">
        <f t="shared" si="2"/>
        <v>5.2910052910052907E-2</v>
      </c>
      <c r="Q6" s="81">
        <f t="shared" ref="Q6" si="3">Q5/COSEIDIcam</f>
        <v>2.6455026455026454E-2</v>
      </c>
      <c r="R6" s="81">
        <f t="shared" si="2"/>
        <v>2.6455026455026454E-2</v>
      </c>
      <c r="S6" s="81">
        <f t="shared" si="2"/>
        <v>3.7037037037037035E-2</v>
      </c>
      <c r="T6" s="81">
        <f t="shared" si="2"/>
        <v>7.407407407407407E-2</v>
      </c>
      <c r="U6" s="81">
        <f t="shared" si="2"/>
        <v>3.7037037037037035E-2</v>
      </c>
      <c r="V6" s="81">
        <f t="shared" si="2"/>
        <v>5.2910052910052907E-2</v>
      </c>
      <c r="W6" s="81">
        <f t="shared" si="2"/>
        <v>5.2910052910052907E-2</v>
      </c>
      <c r="X6" s="81">
        <f t="shared" si="2"/>
        <v>4.7619047619047616E-2</v>
      </c>
      <c r="Y6" s="81">
        <f t="shared" si="2"/>
        <v>5.2910052910052907E-2</v>
      </c>
      <c r="Z6" s="81">
        <f t="shared" si="2"/>
        <v>2.1164021164021163E-2</v>
      </c>
      <c r="AA6" s="81">
        <f t="shared" si="2"/>
        <v>4.2328042328042326E-2</v>
      </c>
      <c r="AB6" s="81">
        <f t="shared" si="2"/>
        <v>2.6455026455026454E-2</v>
      </c>
      <c r="AC6" s="81">
        <f t="shared" si="2"/>
        <v>3.1746031746031744E-2</v>
      </c>
      <c r="AD6" s="81">
        <f t="shared" si="2"/>
        <v>1.5873015873015872E-2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2022-09-26T10:19:20Z</dcterms:modified>
</cp:coreProperties>
</file>