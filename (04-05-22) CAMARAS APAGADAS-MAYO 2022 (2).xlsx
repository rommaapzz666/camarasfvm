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BAB8BC7E-1A5A-4B5F-A6AD-1242EE2F6BF3}" xr6:coauthVersionLast="47" xr6:coauthVersionMax="47" xr10:uidLastSave="{00000000-0000-0000-0000-000000000000}"/>
  <bookViews>
    <workbookView xWindow="28680" yWindow="-120" windowWidth="29040" windowHeight="16440" firstSheet="3" activeTab="8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4" l="1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N275" i="2" s="1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L321" i="2"/>
  <c r="N321" i="2" s="1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N368" i="2" s="1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K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23" i="2" l="1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B5" i="14" s="1"/>
  <c r="E5" i="14" s="1"/>
  <c r="G5" i="14" s="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<sst xmlns="http://schemas.openxmlformats.org/spreadsheetml/2006/main" count="2900" uniqueCount="1350">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</sst>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90" zoomScaleNormal="90" workbookViewId="0">
      <pane xSplit="14" ySplit="4" topLeftCell="R188" activePane="bottomRight" state="frozen"/>
      <selection pane="topRight" activeCell="M1" sqref="M1"/>
      <selection pane="bottomLeft" activeCell="A5" sqref="A5"/>
      <selection pane="bottomRight" activeCell="K195" sqref="K195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9.2391304347826081E-2</v>
      </c>
      <c r="Q1" s="4">
        <f t="shared" si="0"/>
        <v>8.6956521739130432E-2</v>
      </c>
      <c r="R1" s="4">
        <f t="shared" si="0"/>
        <v>0.43206521739130432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334</v>
      </c>
      <c r="Q2" s="10">
        <f t="shared" si="2"/>
        <v>336</v>
      </c>
      <c r="R2" s="10">
        <f t="shared" si="2"/>
        <v>209</v>
      </c>
      <c r="S2" s="10">
        <f t="shared" si="2"/>
        <v>368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0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28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24</v>
      </c>
      <c r="M7" s="17">
        <f t="shared" si="6"/>
        <v>4</v>
      </c>
      <c r="N7" s="18">
        <f t="shared" si="7"/>
        <v>0.8571428571428571</v>
      </c>
      <c r="O7" s="27" t="s">
        <v>1348</v>
      </c>
      <c r="P7" s="8" t="s">
        <v>1348</v>
      </c>
      <c r="Q7" s="8" t="s">
        <v>1348</v>
      </c>
      <c r="R7" s="8" t="s">
        <v>1348</v>
      </c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27</v>
      </c>
      <c r="M10" s="17">
        <f t="shared" si="6"/>
        <v>1</v>
      </c>
      <c r="N10" s="18">
        <f t="shared" si="7"/>
        <v>0.9642857142857143</v>
      </c>
      <c r="O10" s="27"/>
      <c r="P10" s="8"/>
      <c r="Q10" s="8"/>
      <c r="R10" s="8" t="s">
        <v>1348</v>
      </c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24</v>
      </c>
      <c r="M11" s="17">
        <f t="shared" si="6"/>
        <v>4</v>
      </c>
      <c r="N11" s="18">
        <f t="shared" si="7"/>
        <v>0.8571428571428571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27</v>
      </c>
      <c r="M12" s="17">
        <f t="shared" si="6"/>
        <v>1</v>
      </c>
      <c r="N12" s="18">
        <f t="shared" si="7"/>
        <v>0.9642857142857143</v>
      </c>
      <c r="O12" s="27"/>
      <c r="P12" s="8"/>
      <c r="Q12" s="8"/>
      <c r="R12" s="8" t="s">
        <v>1348</v>
      </c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24</v>
      </c>
      <c r="M28" s="17">
        <f t="shared" si="6"/>
        <v>4</v>
      </c>
      <c r="N28" s="18">
        <f t="shared" si="7"/>
        <v>0.8571428571428571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27</v>
      </c>
      <c r="M48" s="17">
        <f t="shared" si="6"/>
        <v>1</v>
      </c>
      <c r="N48" s="18">
        <f t="shared" si="7"/>
        <v>0.9642857142857143</v>
      </c>
      <c r="O48" s="27"/>
      <c r="P48" s="8"/>
      <c r="Q48" s="8"/>
      <c r="R48" s="8" t="s">
        <v>1348</v>
      </c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 t="s">
        <v>1348</v>
      </c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24</v>
      </c>
      <c r="M66" s="17">
        <f t="shared" si="6"/>
        <v>4</v>
      </c>
      <c r="N66" s="18">
        <f t="shared" si="7"/>
        <v>0.8571428571428571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24</v>
      </c>
      <c r="M80" s="17">
        <f t="shared" si="9"/>
        <v>4</v>
      </c>
      <c r="N80" s="18">
        <f t="shared" si="10"/>
        <v>0.8571428571428571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24</v>
      </c>
      <c r="M81" s="17">
        <f t="shared" si="9"/>
        <v>4</v>
      </c>
      <c r="N81" s="18">
        <f t="shared" si="10"/>
        <v>0.8571428571428571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24</v>
      </c>
      <c r="M82" s="17">
        <f t="shared" si="9"/>
        <v>4</v>
      </c>
      <c r="N82" s="18">
        <f t="shared" si="10"/>
        <v>0.8571428571428571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27</v>
      </c>
      <c r="M83" s="17">
        <f t="shared" si="9"/>
        <v>1</v>
      </c>
      <c r="N83" s="18">
        <f t="shared" si="10"/>
        <v>0.9642857142857143</v>
      </c>
      <c r="O83" s="27"/>
      <c r="P83" s="8"/>
      <c r="Q83" s="8"/>
      <c r="R83" s="8" t="s">
        <v>1348</v>
      </c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27</v>
      </c>
      <c r="M103" s="17">
        <f t="shared" si="9"/>
        <v>1</v>
      </c>
      <c r="N103" s="18">
        <f t="shared" si="10"/>
        <v>0.9642857142857143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27</v>
      </c>
      <c r="M104" s="17">
        <f t="shared" si="9"/>
        <v>1</v>
      </c>
      <c r="N104" s="18">
        <f t="shared" si="10"/>
        <v>0.9642857142857143</v>
      </c>
      <c r="O104" s="27"/>
      <c r="P104" s="8"/>
      <c r="Q104" s="8"/>
      <c r="R104" s="8" t="s">
        <v>1348</v>
      </c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27</v>
      </c>
      <c r="M105" s="17">
        <f t="shared" si="9"/>
        <v>1</v>
      </c>
      <c r="N105" s="18">
        <f t="shared" si="10"/>
        <v>0.9642857142857143</v>
      </c>
      <c r="O105" s="27"/>
      <c r="P105" s="8"/>
      <c r="Q105" s="8"/>
      <c r="R105" s="8" t="s">
        <v>1348</v>
      </c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27</v>
      </c>
      <c r="M115" s="17">
        <f t="shared" si="9"/>
        <v>1</v>
      </c>
      <c r="N115" s="18">
        <f t="shared" si="10"/>
        <v>0.9642857142857143</v>
      </c>
      <c r="O115" s="27"/>
      <c r="P115" s="8"/>
      <c r="Q115" s="8"/>
      <c r="R115" s="8" t="s">
        <v>1348</v>
      </c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 t="s">
        <v>1348</v>
      </c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24</v>
      </c>
      <c r="M118" s="17">
        <f t="shared" si="9"/>
        <v>4</v>
      </c>
      <c r="N118" s="18">
        <f t="shared" si="10"/>
        <v>0.8571428571428571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24</v>
      </c>
      <c r="M119" s="17">
        <f t="shared" si="9"/>
        <v>4</v>
      </c>
      <c r="N119" s="18">
        <f t="shared" si="10"/>
        <v>0.8571428571428571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27</v>
      </c>
      <c r="M129" s="17">
        <f t="shared" si="9"/>
        <v>1</v>
      </c>
      <c r="N129" s="18">
        <f t="shared" si="10"/>
        <v>0.9642857142857143</v>
      </c>
      <c r="O129" s="27"/>
      <c r="P129" s="8"/>
      <c r="Q129" s="8"/>
      <c r="R129" s="8" t="s">
        <v>1348</v>
      </c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27</v>
      </c>
      <c r="M130" s="17">
        <f t="shared" si="9"/>
        <v>1</v>
      </c>
      <c r="N130" s="18">
        <f t="shared" si="10"/>
        <v>0.9642857142857143</v>
      </c>
      <c r="O130" s="27"/>
      <c r="P130" s="8"/>
      <c r="Q130" s="8"/>
      <c r="R130" s="8" t="s">
        <v>1348</v>
      </c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24</v>
      </c>
      <c r="M133" s="17">
        <f t="shared" ref="M133:M196" si="12">COUNTIF(O133:AP133,"APAGADO")</f>
        <v>4</v>
      </c>
      <c r="N133" s="18">
        <f t="shared" ref="N133:N196" si="13">(L133)/(M133+L133)</f>
        <v>0.8571428571428571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25</v>
      </c>
      <c r="M135" s="17">
        <f t="shared" si="12"/>
        <v>3</v>
      </c>
      <c r="N135" s="18">
        <f t="shared" si="13"/>
        <v>0.8928571428571429</v>
      </c>
      <c r="O135" s="27"/>
      <c r="P135" s="8" t="s">
        <v>1348</v>
      </c>
      <c r="Q135" s="8" t="s">
        <v>1348</v>
      </c>
      <c r="R135" s="8" t="s">
        <v>1348</v>
      </c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27</v>
      </c>
      <c r="M138" s="17">
        <f t="shared" si="12"/>
        <v>1</v>
      </c>
      <c r="N138" s="18">
        <f t="shared" si="13"/>
        <v>0.9642857142857143</v>
      </c>
      <c r="O138" s="27"/>
      <c r="P138" s="8"/>
      <c r="Q138" s="8"/>
      <c r="R138" s="8" t="s">
        <v>1348</v>
      </c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27</v>
      </c>
      <c r="M139" s="17">
        <f t="shared" si="12"/>
        <v>1</v>
      </c>
      <c r="N139" s="18">
        <f t="shared" si="13"/>
        <v>0.9642857142857143</v>
      </c>
      <c r="O139" s="27"/>
      <c r="P139" s="8"/>
      <c r="Q139" s="8"/>
      <c r="R139" s="8" t="s">
        <v>1348</v>
      </c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27</v>
      </c>
      <c r="M140" s="17">
        <f t="shared" si="12"/>
        <v>1</v>
      </c>
      <c r="N140" s="18">
        <f t="shared" si="13"/>
        <v>0.9642857142857143</v>
      </c>
      <c r="O140" s="27"/>
      <c r="P140" s="8"/>
      <c r="Q140" s="8"/>
      <c r="R140" s="8" t="s">
        <v>1348</v>
      </c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27</v>
      </c>
      <c r="M141" s="17">
        <f t="shared" si="12"/>
        <v>1</v>
      </c>
      <c r="N141" s="18">
        <f t="shared" si="13"/>
        <v>0.9642857142857143</v>
      </c>
      <c r="O141" s="27"/>
      <c r="P141" s="8"/>
      <c r="Q141" s="8"/>
      <c r="R141" s="8" t="s">
        <v>1348</v>
      </c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27</v>
      </c>
      <c r="M152" s="17">
        <f t="shared" si="12"/>
        <v>1</v>
      </c>
      <c r="N152" s="18">
        <f t="shared" si="13"/>
        <v>0.9642857142857143</v>
      </c>
      <c r="O152" s="27"/>
      <c r="P152" s="8"/>
      <c r="Q152" s="8"/>
      <c r="R152" s="8" t="s">
        <v>1348</v>
      </c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27</v>
      </c>
      <c r="M153" s="17">
        <f t="shared" si="12"/>
        <v>1</v>
      </c>
      <c r="N153" s="18">
        <f t="shared" si="13"/>
        <v>0.9642857142857143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24</v>
      </c>
      <c r="M166" s="17">
        <f t="shared" si="12"/>
        <v>4</v>
      </c>
      <c r="N166" s="18">
        <f t="shared" si="13"/>
        <v>0.8571428571428571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27</v>
      </c>
      <c r="M170" s="17">
        <f t="shared" si="12"/>
        <v>1</v>
      </c>
      <c r="N170" s="18">
        <f t="shared" si="13"/>
        <v>0.9642857142857143</v>
      </c>
      <c r="O170" s="27"/>
      <c r="P170" s="8"/>
      <c r="Q170" s="8"/>
      <c r="R170" s="8" t="s">
        <v>1348</v>
      </c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24</v>
      </c>
      <c r="M177" s="17">
        <f t="shared" si="12"/>
        <v>4</v>
      </c>
      <c r="N177" s="18">
        <f t="shared" si="13"/>
        <v>0.8571428571428571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27</v>
      </c>
      <c r="M186" s="17">
        <f t="shared" si="12"/>
        <v>1</v>
      </c>
      <c r="N186" s="18">
        <f t="shared" si="13"/>
        <v>0.9642857142857143</v>
      </c>
      <c r="O186" s="27"/>
      <c r="P186" s="8"/>
      <c r="Q186" s="8"/>
      <c r="R186" s="8" t="s">
        <v>1348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24</v>
      </c>
      <c r="M191" s="17">
        <f t="shared" si="12"/>
        <v>4</v>
      </c>
      <c r="N191" s="18">
        <f t="shared" si="13"/>
        <v>0.8571428571428571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24</v>
      </c>
      <c r="M192" s="17">
        <f t="shared" si="12"/>
        <v>4</v>
      </c>
      <c r="N192" s="18">
        <f t="shared" si="13"/>
        <v>0.8571428571428571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24</v>
      </c>
      <c r="M194" s="17">
        <f t="shared" si="12"/>
        <v>4</v>
      </c>
      <c r="N194" s="18">
        <f t="shared" si="13"/>
        <v>0.8571428571428571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27</v>
      </c>
      <c r="M196" s="17">
        <f t="shared" si="12"/>
        <v>1</v>
      </c>
      <c r="N196" s="18">
        <f t="shared" si="13"/>
        <v>0.9642857142857143</v>
      </c>
      <c r="O196" s="27"/>
      <c r="P196" s="8"/>
      <c r="Q196" s="8"/>
      <c r="R196" s="8" t="s">
        <v>1348</v>
      </c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 t="s">
        <v>1348</v>
      </c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27</v>
      </c>
      <c r="M199" s="17">
        <f t="shared" si="15"/>
        <v>1</v>
      </c>
      <c r="N199" s="18">
        <f t="shared" si="16"/>
        <v>0.9642857142857143</v>
      </c>
      <c r="O199" s="27"/>
      <c r="P199" s="8"/>
      <c r="Q199" s="8"/>
      <c r="R199" s="8" t="s">
        <v>1348</v>
      </c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24</v>
      </c>
      <c r="M204" s="17">
        <f t="shared" si="15"/>
        <v>4</v>
      </c>
      <c r="N204" s="18">
        <f t="shared" si="16"/>
        <v>0.8571428571428571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24</v>
      </c>
      <c r="M206" s="17">
        <f t="shared" si="15"/>
        <v>4</v>
      </c>
      <c r="N206" s="18">
        <f t="shared" si="16"/>
        <v>0.8571428571428571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27</v>
      </c>
      <c r="M207" s="17">
        <f t="shared" si="15"/>
        <v>1</v>
      </c>
      <c r="N207" s="18">
        <f t="shared" si="16"/>
        <v>0.9642857142857143</v>
      </c>
      <c r="O207" s="27"/>
      <c r="P207" s="8"/>
      <c r="Q207" s="8"/>
      <c r="R207" s="8" t="s">
        <v>1348</v>
      </c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27</v>
      </c>
      <c r="M208" s="17">
        <f t="shared" si="15"/>
        <v>1</v>
      </c>
      <c r="N208" s="18">
        <f t="shared" si="16"/>
        <v>0.9642857142857143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24</v>
      </c>
      <c r="M211" s="17">
        <f t="shared" si="15"/>
        <v>4</v>
      </c>
      <c r="N211" s="18">
        <f t="shared" si="16"/>
        <v>0.8571428571428571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24</v>
      </c>
      <c r="M212" s="17">
        <f t="shared" si="15"/>
        <v>4</v>
      </c>
      <c r="N212" s="18">
        <f t="shared" si="16"/>
        <v>0.8571428571428571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 t="s">
        <v>1348</v>
      </c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 t="s">
        <v>1348</v>
      </c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 t="s">
        <v>1348</v>
      </c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 t="s">
        <v>1348</v>
      </c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27</v>
      </c>
      <c r="M218" s="17">
        <f t="shared" si="15"/>
        <v>1</v>
      </c>
      <c r="N218" s="18">
        <f t="shared" si="16"/>
        <v>0.9642857142857143</v>
      </c>
      <c r="O218" s="27"/>
      <c r="P218" s="8"/>
      <c r="Q218" s="8"/>
      <c r="R218" s="8" t="s">
        <v>1348</v>
      </c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27</v>
      </c>
      <c r="M219" s="17">
        <f t="shared" si="15"/>
        <v>1</v>
      </c>
      <c r="N219" s="18">
        <f t="shared" si="16"/>
        <v>0.9642857142857143</v>
      </c>
      <c r="O219" s="27"/>
      <c r="P219" s="8"/>
      <c r="Q219" s="8"/>
      <c r="R219" s="8" t="s">
        <v>1348</v>
      </c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 t="s">
        <v>1348</v>
      </c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 t="s">
        <v>1348</v>
      </c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27</v>
      </c>
      <c r="M225" s="17">
        <f t="shared" si="15"/>
        <v>1</v>
      </c>
      <c r="N225" s="18">
        <f t="shared" si="16"/>
        <v>0.9642857142857143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27</v>
      </c>
      <c r="M238" s="17">
        <f t="shared" si="15"/>
        <v>1</v>
      </c>
      <c r="N238" s="18">
        <f t="shared" si="16"/>
        <v>0.9642857142857143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27</v>
      </c>
      <c r="M251" s="17">
        <f t="shared" si="15"/>
        <v>1</v>
      </c>
      <c r="N251" s="18">
        <f t="shared" si="16"/>
        <v>0.9642857142857143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27</v>
      </c>
      <c r="M274" s="17">
        <f t="shared" si="18"/>
        <v>1</v>
      </c>
      <c r="N274" s="18">
        <f t="shared" si="19"/>
        <v>0.9642857142857143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27</v>
      </c>
      <c r="M284" s="17">
        <f t="shared" si="18"/>
        <v>1</v>
      </c>
      <c r="N284" s="18">
        <f t="shared" si="19"/>
        <v>0.9642857142857143</v>
      </c>
      <c r="O284" s="27"/>
      <c r="P284" s="8"/>
      <c r="Q284" s="8"/>
      <c r="R284" s="8" t="s">
        <v>1348</v>
      </c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27</v>
      </c>
      <c r="M285" s="17">
        <f t="shared" si="18"/>
        <v>1</v>
      </c>
      <c r="N285" s="18">
        <f t="shared" si="19"/>
        <v>0.9642857142857143</v>
      </c>
      <c r="O285" s="27"/>
      <c r="P285" s="8"/>
      <c r="Q285" s="8"/>
      <c r="R285" s="8" t="s">
        <v>1348</v>
      </c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24</v>
      </c>
      <c r="M289" s="17">
        <f t="shared" si="18"/>
        <v>4</v>
      </c>
      <c r="N289" s="18">
        <f t="shared" si="19"/>
        <v>0.8571428571428571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24</v>
      </c>
      <c r="M303" s="17">
        <f t="shared" si="18"/>
        <v>4</v>
      </c>
      <c r="N303" s="18">
        <f t="shared" si="19"/>
        <v>0.8571428571428571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27</v>
      </c>
      <c r="M304" s="17">
        <f t="shared" si="18"/>
        <v>1</v>
      </c>
      <c r="N304" s="18">
        <f t="shared" si="19"/>
        <v>0.9642857142857143</v>
      </c>
      <c r="O304" s="27"/>
      <c r="P304" s="8"/>
      <c r="Q304" s="8"/>
      <c r="R304" s="8" t="s">
        <v>1348</v>
      </c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27</v>
      </c>
      <c r="M305" s="17">
        <f t="shared" si="18"/>
        <v>1</v>
      </c>
      <c r="N305" s="18">
        <f t="shared" si="19"/>
        <v>0.9642857142857143</v>
      </c>
      <c r="O305" s="27"/>
      <c r="P305" s="8"/>
      <c r="Q305" s="8"/>
      <c r="R305" s="8" t="s">
        <v>1348</v>
      </c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27</v>
      </c>
      <c r="M306" s="17">
        <f t="shared" si="18"/>
        <v>1</v>
      </c>
      <c r="N306" s="18">
        <f t="shared" si="19"/>
        <v>0.9642857142857143</v>
      </c>
      <c r="O306" s="27"/>
      <c r="P306" s="8"/>
      <c r="Q306" s="8"/>
      <c r="R306" s="8" t="s">
        <v>1348</v>
      </c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27</v>
      </c>
      <c r="M307" s="17">
        <f t="shared" si="18"/>
        <v>1</v>
      </c>
      <c r="N307" s="18">
        <f t="shared" si="19"/>
        <v>0.9642857142857143</v>
      </c>
      <c r="O307" s="27"/>
      <c r="P307" s="8"/>
      <c r="Q307" s="8"/>
      <c r="R307" s="8" t="s">
        <v>1348</v>
      </c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24</v>
      </c>
      <c r="M310" s="17">
        <f t="shared" si="18"/>
        <v>4</v>
      </c>
      <c r="N310" s="18">
        <f t="shared" si="19"/>
        <v>0.8571428571428571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24</v>
      </c>
      <c r="M313" s="17">
        <f t="shared" si="18"/>
        <v>4</v>
      </c>
      <c r="N313" s="18">
        <f t="shared" si="19"/>
        <v>0.8571428571428571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27</v>
      </c>
      <c r="M317" s="17">
        <f t="shared" si="18"/>
        <v>1</v>
      </c>
      <c r="N317" s="18">
        <f t="shared" si="19"/>
        <v>0.9642857142857143</v>
      </c>
      <c r="O317" s="27"/>
      <c r="P317" s="8"/>
      <c r="Q317" s="8"/>
      <c r="R317" s="8" t="s">
        <v>1348</v>
      </c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24</v>
      </c>
      <c r="M318" s="17">
        <f t="shared" si="18"/>
        <v>4</v>
      </c>
      <c r="N318" s="18">
        <f t="shared" si="19"/>
        <v>0.8571428571428571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24</v>
      </c>
      <c r="M319" s="17">
        <f t="shared" si="18"/>
        <v>4</v>
      </c>
      <c r="N319" s="18">
        <f t="shared" si="19"/>
        <v>0.8571428571428571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24</v>
      </c>
      <c r="M325" s="17">
        <f t="shared" si="18"/>
        <v>4</v>
      </c>
      <c r="N325" s="18">
        <f t="shared" si="19"/>
        <v>0.8571428571428571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24</v>
      </c>
      <c r="M328" s="17">
        <f t="shared" si="21"/>
        <v>4</v>
      </c>
      <c r="N328" s="18">
        <f t="shared" si="22"/>
        <v>0.8571428571428571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24</v>
      </c>
      <c r="M329" s="17">
        <f t="shared" si="21"/>
        <v>4</v>
      </c>
      <c r="N329" s="18">
        <f t="shared" si="22"/>
        <v>0.8571428571428571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24</v>
      </c>
      <c r="M343" s="17">
        <f t="shared" si="21"/>
        <v>4</v>
      </c>
      <c r="N343" s="18">
        <f t="shared" si="22"/>
        <v>0.8571428571428571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24</v>
      </c>
      <c r="M352" s="17">
        <f t="shared" si="21"/>
        <v>4</v>
      </c>
      <c r="N352" s="18">
        <f t="shared" si="22"/>
        <v>0.8571428571428571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28</v>
      </c>
      <c r="M373" s="62">
        <f t="shared" ref="M373:M377" si="24">COUNTIF(O373:AP373,"APAGADO")</f>
        <v>0</v>
      </c>
      <c r="N373" s="63">
        <f t="shared" ref="N373:N377" si="25">(L373)/(M373+L373)</f>
        <v>1</v>
      </c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28</v>
      </c>
      <c r="M374" s="62">
        <f t="shared" si="24"/>
        <v>0</v>
      </c>
      <c r="N374" s="63">
        <f t="shared" si="25"/>
        <v>1</v>
      </c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28</v>
      </c>
      <c r="M375" s="62">
        <f t="shared" si="24"/>
        <v>0</v>
      </c>
      <c r="N375" s="63">
        <f t="shared" si="25"/>
        <v>1</v>
      </c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28</v>
      </c>
      <c r="M376" s="62">
        <f t="shared" si="24"/>
        <v>0</v>
      </c>
      <c r="N376" s="63">
        <f t="shared" si="25"/>
        <v>1</v>
      </c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499" priority="1913" operator="lessThan">
      <formula>0.8</formula>
    </cfRule>
    <cfRule type="cellIs" dxfId="498" priority="1914" operator="greaterThan">
      <formula>0.8</formula>
    </cfRule>
  </conditionalFormatting>
  <conditionalFormatting sqref="E1:K3 E284:K334 E236:K236 E5:K32 E36:K91 E94:K230 E337:K364 E369:K372 E243:K281 E391:K1048576">
    <cfRule type="containsText" dxfId="497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6" priority="1908" operator="notContains" text="Caida">
      <formula>ISERROR(SEARCH("Caida",O95))</formula>
    </cfRule>
    <cfRule type="containsText" dxfId="495" priority="1909" operator="containsText" text="Caida">
      <formula>NOT(ISERROR(SEARCH("Caida",O95)))</formula>
    </cfRule>
  </conditionalFormatting>
  <conditionalFormatting sqref="E282:K282">
    <cfRule type="containsText" dxfId="494" priority="1881" operator="containsText" text="Radio">
      <formula>NOT(ISERROR(SEARCH("Radio",E282)))</formula>
    </cfRule>
  </conditionalFormatting>
  <conditionalFormatting sqref="E283:K283">
    <cfRule type="containsText" dxfId="493" priority="1856" operator="containsText" text="Radio">
      <formula>NOT(ISERROR(SEARCH("Radio",E283)))</formula>
    </cfRule>
  </conditionalFormatting>
  <conditionalFormatting sqref="E4:K4">
    <cfRule type="containsText" dxfId="492" priority="1831" operator="containsText" text="Radio">
      <formula>NOT(ISERROR(SEARCH("Radio",E4)))</formula>
    </cfRule>
  </conditionalFormatting>
  <conditionalFormatting sqref="E231:K231">
    <cfRule type="containsText" dxfId="491" priority="1830" operator="containsText" text="Radio">
      <formula>NOT(ISERROR(SEARCH("Radio",E231)))</formula>
    </cfRule>
  </conditionalFormatting>
  <conditionalFormatting sqref="E232:K232">
    <cfRule type="containsText" dxfId="490" priority="1805" operator="containsText" text="Radio">
      <formula>NOT(ISERROR(SEARCH("Radio",E232)))</formula>
    </cfRule>
  </conditionalFormatting>
  <conditionalFormatting sqref="E233:K233">
    <cfRule type="containsText" dxfId="489" priority="1780" operator="containsText" text="Radio">
      <formula>NOT(ISERROR(SEARCH("Radio",E233)))</formula>
    </cfRule>
  </conditionalFormatting>
  <conditionalFormatting sqref="E234:K234">
    <cfRule type="containsText" dxfId="488" priority="1755" operator="containsText" text="Radio">
      <formula>NOT(ISERROR(SEARCH("Radio",E234)))</formula>
    </cfRule>
  </conditionalFormatting>
  <conditionalFormatting sqref="E235:K235">
    <cfRule type="containsText" dxfId="487" priority="1730" operator="containsText" text="Radio">
      <formula>NOT(ISERROR(SEARCH("Radio",E235)))</formula>
    </cfRule>
  </conditionalFormatting>
  <conditionalFormatting sqref="E335:K335">
    <cfRule type="containsText" dxfId="486" priority="1681" operator="containsText" text="Radio">
      <formula>NOT(ISERROR(SEARCH("Radio",E335)))</formula>
    </cfRule>
  </conditionalFormatting>
  <conditionalFormatting sqref="E336:K336">
    <cfRule type="containsText" dxfId="485" priority="1656" operator="containsText" text="Radio">
      <formula>NOT(ISERROR(SEARCH("Radio",E336)))</formula>
    </cfRule>
  </conditionalFormatting>
  <conditionalFormatting sqref="E237:K237">
    <cfRule type="containsText" dxfId="484" priority="1631" operator="containsText" text="Radio">
      <formula>NOT(ISERROR(SEARCH("Radio",E237)))</formula>
    </cfRule>
  </conditionalFormatting>
  <conditionalFormatting sqref="E238:K238">
    <cfRule type="containsText" dxfId="483" priority="1606" operator="containsText" text="Radio">
      <formula>NOT(ISERROR(SEARCH("Radio",E238)))</formula>
    </cfRule>
  </conditionalFormatting>
  <conditionalFormatting sqref="E33:K35">
    <cfRule type="containsText" dxfId="482" priority="1581" operator="containsText" text="Radio">
      <formula>NOT(ISERROR(SEARCH("Radio",E33)))</formula>
    </cfRule>
  </conditionalFormatting>
  <conditionalFormatting sqref="E239:K239">
    <cfRule type="containsText" dxfId="481" priority="1556" operator="containsText" text="Radio">
      <formula>NOT(ISERROR(SEARCH("Radio",E239)))</formula>
    </cfRule>
  </conditionalFormatting>
  <conditionalFormatting sqref="E240:K240">
    <cfRule type="containsText" dxfId="480" priority="1531" operator="containsText" text="Radio">
      <formula>NOT(ISERROR(SEARCH("Radio",E240)))</formula>
    </cfRule>
  </conditionalFormatting>
  <conditionalFormatting sqref="E241:K241">
    <cfRule type="containsText" dxfId="479" priority="1506" operator="containsText" text="Radio">
      <formula>NOT(ISERROR(SEARCH("Radio",E241)))</formula>
    </cfRule>
  </conditionalFormatting>
  <conditionalFormatting sqref="E242:K242">
    <cfRule type="containsText" dxfId="478" priority="1481" operator="containsText" text="Radio">
      <formula>NOT(ISERROR(SEARCH("Radio",E242)))</formula>
    </cfRule>
  </conditionalFormatting>
  <conditionalFormatting sqref="P6:P92 P96:P230">
    <cfRule type="cellIs" dxfId="477" priority="1406" operator="lessThan">
      <formula>0.8</formula>
    </cfRule>
    <cfRule type="cellIs" dxfId="476" priority="1407" operator="greaterThan">
      <formula>0.8</formula>
    </cfRule>
  </conditionalFormatting>
  <conditionalFormatting sqref="P6:P92 P96:P230">
    <cfRule type="notContainsText" dxfId="475" priority="1404" operator="notContains" text="Caida">
      <formula>ISERROR(SEARCH("Caida",P6))</formula>
    </cfRule>
    <cfRule type="containsText" dxfId="474" priority="1405" operator="containsText" text="Caida">
      <formula>NOT(ISERROR(SEARCH("Caida",P6)))</formula>
    </cfRule>
  </conditionalFormatting>
  <conditionalFormatting sqref="P337:P366 P284:P334">
    <cfRule type="cellIs" dxfId="473" priority="1402" operator="lessThan">
      <formula>0.8</formula>
    </cfRule>
    <cfRule type="cellIs" dxfId="472" priority="1403" operator="greaterThan">
      <formula>0.8</formula>
    </cfRule>
  </conditionalFormatting>
  <conditionalFormatting sqref="P337:P366 P284:P334 P391:P1048576">
    <cfRule type="notContainsText" dxfId="471" priority="1400" operator="notContains" text="Caida">
      <formula>ISERROR(SEARCH("Caida",P284))</formula>
    </cfRule>
    <cfRule type="containsText" dxfId="470" priority="1401" operator="containsText" text="Caida">
      <formula>NOT(ISERROR(SEARCH("Caida",P284)))</formula>
    </cfRule>
  </conditionalFormatting>
  <conditionalFormatting sqref="O391:O1048576">
    <cfRule type="notContainsText" dxfId="469" priority="1449" operator="notContains" text="Caida">
      <formula>ISERROR(SEARCH("Caida",O391))</formula>
    </cfRule>
    <cfRule type="containsText" dxfId="468" priority="1450" operator="containsText" text="Caida">
      <formula>NOT(ISERROR(SEARCH("Caida",O391)))</formula>
    </cfRule>
  </conditionalFormatting>
  <conditionalFormatting sqref="P336">
    <cfRule type="cellIs" dxfId="467" priority="1361" operator="lessThan">
      <formula>0.8</formula>
    </cfRule>
    <cfRule type="cellIs" dxfId="466" priority="1362" operator="greaterThan">
      <formula>0.8</formula>
    </cfRule>
  </conditionalFormatting>
  <conditionalFormatting sqref="P336">
    <cfRule type="notContainsText" dxfId="465" priority="1359" operator="notContains" text="Caida">
      <formula>ISERROR(SEARCH("Caida",P336))</formula>
    </cfRule>
    <cfRule type="containsText" dxfId="464" priority="1360" operator="containsText" text="Caida">
      <formula>NOT(ISERROR(SEARCH("Caida",P336)))</formula>
    </cfRule>
  </conditionalFormatting>
  <conditionalFormatting sqref="P22">
    <cfRule type="containsText" dxfId="463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2" priority="1397" operator="lessThan">
      <formula>0.8</formula>
    </cfRule>
    <cfRule type="cellIs" dxfId="461" priority="1398" operator="greaterThan">
      <formula>0.8</formula>
    </cfRule>
  </conditionalFormatting>
  <conditionalFormatting sqref="P282">
    <cfRule type="notContainsText" dxfId="460" priority="1395" operator="notContains" text="Caida">
      <formula>ISERROR(SEARCH("Caida",P282))</formula>
    </cfRule>
    <cfRule type="containsText" dxfId="459" priority="1396" operator="containsText" text="Caida">
      <formula>NOT(ISERROR(SEARCH("Caida",P282)))</formula>
    </cfRule>
  </conditionalFormatting>
  <conditionalFormatting sqref="P283">
    <cfRule type="cellIs" dxfId="458" priority="1393" operator="lessThan">
      <formula>0.8</formula>
    </cfRule>
    <cfRule type="cellIs" dxfId="457" priority="1394" operator="greaterThan">
      <formula>0.8</formula>
    </cfRule>
  </conditionalFormatting>
  <conditionalFormatting sqref="P283">
    <cfRule type="notContainsText" dxfId="456" priority="1391" operator="notContains" text="Caida">
      <formula>ISERROR(SEARCH("Caida",P283))</formula>
    </cfRule>
    <cfRule type="containsText" dxfId="455" priority="1392" operator="containsText" text="Caida">
      <formula>NOT(ISERROR(SEARCH("Caida",P283)))</formula>
    </cfRule>
  </conditionalFormatting>
  <conditionalFormatting sqref="P5">
    <cfRule type="cellIs" dxfId="454" priority="1389" operator="lessThan">
      <formula>0.8</formula>
    </cfRule>
    <cfRule type="cellIs" dxfId="453" priority="1390" operator="greaterThan">
      <formula>0.8</formula>
    </cfRule>
  </conditionalFormatting>
  <conditionalFormatting sqref="P5">
    <cfRule type="notContainsText" dxfId="452" priority="1387" operator="notContains" text="Caida">
      <formula>ISERROR(SEARCH("Caida",P5))</formula>
    </cfRule>
    <cfRule type="containsText" dxfId="451" priority="1388" operator="containsText" text="Caida">
      <formula>NOT(ISERROR(SEARCH("Caida",P5)))</formula>
    </cfRule>
  </conditionalFormatting>
  <conditionalFormatting sqref="P231">
    <cfRule type="cellIs" dxfId="450" priority="1385" operator="lessThan">
      <formula>0.8</formula>
    </cfRule>
    <cfRule type="cellIs" dxfId="449" priority="1386" operator="greaterThan">
      <formula>0.8</formula>
    </cfRule>
  </conditionalFormatting>
  <conditionalFormatting sqref="P231">
    <cfRule type="notContainsText" dxfId="448" priority="1383" operator="notContains" text="Caida">
      <formula>ISERROR(SEARCH("Caida",P231))</formula>
    </cfRule>
    <cfRule type="containsText" dxfId="447" priority="1384" operator="containsText" text="Caida">
      <formula>NOT(ISERROR(SEARCH("Caida",P231)))</formula>
    </cfRule>
  </conditionalFormatting>
  <conditionalFormatting sqref="P232">
    <cfRule type="cellIs" dxfId="446" priority="1381" operator="lessThan">
      <formula>0.8</formula>
    </cfRule>
    <cfRule type="cellIs" dxfId="445" priority="1382" operator="greaterThan">
      <formula>0.8</formula>
    </cfRule>
  </conditionalFormatting>
  <conditionalFormatting sqref="P232">
    <cfRule type="notContainsText" dxfId="444" priority="1379" operator="notContains" text="Caida">
      <formula>ISERROR(SEARCH("Caida",P232))</formula>
    </cfRule>
    <cfRule type="containsText" dxfId="443" priority="1380" operator="containsText" text="Caida">
      <formula>NOT(ISERROR(SEARCH("Caida",P232)))</formula>
    </cfRule>
  </conditionalFormatting>
  <conditionalFormatting sqref="P233">
    <cfRule type="cellIs" dxfId="442" priority="1377" operator="lessThan">
      <formula>0.8</formula>
    </cfRule>
    <cfRule type="cellIs" dxfId="441" priority="1378" operator="greaterThan">
      <formula>0.8</formula>
    </cfRule>
  </conditionalFormatting>
  <conditionalFormatting sqref="P233">
    <cfRule type="notContainsText" dxfId="440" priority="1375" operator="notContains" text="Caida">
      <formula>ISERROR(SEARCH("Caida",P233))</formula>
    </cfRule>
    <cfRule type="containsText" dxfId="439" priority="1376" operator="containsText" text="Caida">
      <formula>NOT(ISERROR(SEARCH("Caida",P233)))</formula>
    </cfRule>
  </conditionalFormatting>
  <conditionalFormatting sqref="P234">
    <cfRule type="cellIs" dxfId="438" priority="1373" operator="lessThan">
      <formula>0.8</formula>
    </cfRule>
    <cfRule type="cellIs" dxfId="437" priority="1374" operator="greaterThan">
      <formula>0.8</formula>
    </cfRule>
  </conditionalFormatting>
  <conditionalFormatting sqref="P234">
    <cfRule type="notContainsText" dxfId="436" priority="1371" operator="notContains" text="Caida">
      <formula>ISERROR(SEARCH("Caida",P234))</formula>
    </cfRule>
    <cfRule type="containsText" dxfId="435" priority="1372" operator="containsText" text="Caida">
      <formula>NOT(ISERROR(SEARCH("Caida",P234)))</formula>
    </cfRule>
  </conditionalFormatting>
  <conditionalFormatting sqref="P235">
    <cfRule type="cellIs" dxfId="434" priority="1369" operator="lessThan">
      <formula>0.8</formula>
    </cfRule>
    <cfRule type="cellIs" dxfId="433" priority="1370" operator="greaterThan">
      <formula>0.8</formula>
    </cfRule>
  </conditionalFormatting>
  <conditionalFormatting sqref="P235">
    <cfRule type="notContainsText" dxfId="432" priority="1367" operator="notContains" text="Caida">
      <formula>ISERROR(SEARCH("Caida",P235))</formula>
    </cfRule>
    <cfRule type="containsText" dxfId="431" priority="1368" operator="containsText" text="Caida">
      <formula>NOT(ISERROR(SEARCH("Caida",P235)))</formula>
    </cfRule>
  </conditionalFormatting>
  <conditionalFormatting sqref="P335">
    <cfRule type="cellIs" dxfId="430" priority="1365" operator="lessThan">
      <formula>0.8</formula>
    </cfRule>
    <cfRule type="cellIs" dxfId="429" priority="1366" operator="greaterThan">
      <formula>0.8</formula>
    </cfRule>
  </conditionalFormatting>
  <conditionalFormatting sqref="P335">
    <cfRule type="notContainsText" dxfId="428" priority="1363" operator="notContains" text="Caida">
      <formula>ISERROR(SEARCH("Caida",P335))</formula>
    </cfRule>
    <cfRule type="containsText" dxfId="427" priority="1364" operator="containsText" text="Caida">
      <formula>NOT(ISERROR(SEARCH("Caida",P335)))</formula>
    </cfRule>
  </conditionalFormatting>
  <conditionalFormatting sqref="Q6:Q92 Q96:Q230">
    <cfRule type="cellIs" dxfId="426" priority="1357" operator="lessThan">
      <formula>0.8</formula>
    </cfRule>
    <cfRule type="cellIs" dxfId="425" priority="1358" operator="greaterThan">
      <formula>0.8</formula>
    </cfRule>
  </conditionalFormatting>
  <conditionalFormatting sqref="Q6:Q92 Q96:Q230">
    <cfRule type="notContainsText" dxfId="424" priority="1355" operator="notContains" text="Caida">
      <formula>ISERROR(SEARCH("Caida",Q6))</formula>
    </cfRule>
    <cfRule type="containsText" dxfId="423" priority="1356" operator="containsText" text="Caida">
      <formula>NOT(ISERROR(SEARCH("Caida",Q6)))</formula>
    </cfRule>
  </conditionalFormatting>
  <conditionalFormatting sqref="Q336">
    <cfRule type="cellIs" dxfId="422" priority="1312" operator="lessThan">
      <formula>0.8</formula>
    </cfRule>
    <cfRule type="cellIs" dxfId="421" priority="1313" operator="greaterThan">
      <formula>0.8</formula>
    </cfRule>
  </conditionalFormatting>
  <conditionalFormatting sqref="Q336">
    <cfRule type="notContainsText" dxfId="420" priority="1310" operator="notContains" text="Caida">
      <formula>ISERROR(SEARCH("Caida",Q336))</formula>
    </cfRule>
    <cfRule type="containsText" dxfId="419" priority="1311" operator="containsText" text="Caida">
      <formula>NOT(ISERROR(SEARCH("Caida",Q336)))</formula>
    </cfRule>
  </conditionalFormatting>
  <conditionalFormatting sqref="Q337:Q366 Q284:Q334">
    <cfRule type="cellIs" dxfId="418" priority="1353" operator="lessThan">
      <formula>0.8</formula>
    </cfRule>
    <cfRule type="cellIs" dxfId="417" priority="1354" operator="greaterThan">
      <formula>0.8</formula>
    </cfRule>
  </conditionalFormatting>
  <conditionalFormatting sqref="Q337:Q366 Q284:Q334 Q391:Q1048576">
    <cfRule type="notContainsText" dxfId="416" priority="1351" operator="notContains" text="Caida">
      <formula>ISERROR(SEARCH("Caida",Q284))</formula>
    </cfRule>
    <cfRule type="containsText" dxfId="415" priority="1352" operator="containsText" text="Caida">
      <formula>NOT(ISERROR(SEARCH("Caida",Q284)))</formula>
    </cfRule>
  </conditionalFormatting>
  <conditionalFormatting sqref="Q22">
    <cfRule type="containsText" dxfId="414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13" priority="1348" operator="lessThan">
      <formula>0.8</formula>
    </cfRule>
    <cfRule type="cellIs" dxfId="412" priority="1349" operator="greaterThan">
      <formula>0.8</formula>
    </cfRule>
  </conditionalFormatting>
  <conditionalFormatting sqref="Q282">
    <cfRule type="notContainsText" dxfId="411" priority="1346" operator="notContains" text="Caida">
      <formula>ISERROR(SEARCH("Caida",Q282))</formula>
    </cfRule>
    <cfRule type="containsText" dxfId="410" priority="1347" operator="containsText" text="Caida">
      <formula>NOT(ISERROR(SEARCH("Caida",Q282)))</formula>
    </cfRule>
  </conditionalFormatting>
  <conditionalFormatting sqref="Q283">
    <cfRule type="cellIs" dxfId="409" priority="1344" operator="lessThan">
      <formula>0.8</formula>
    </cfRule>
    <cfRule type="cellIs" dxfId="408" priority="1345" operator="greaterThan">
      <formula>0.8</formula>
    </cfRule>
  </conditionalFormatting>
  <conditionalFormatting sqref="Q283">
    <cfRule type="notContainsText" dxfId="407" priority="1342" operator="notContains" text="Caida">
      <formula>ISERROR(SEARCH("Caida",Q283))</formula>
    </cfRule>
    <cfRule type="containsText" dxfId="406" priority="1343" operator="containsText" text="Caida">
      <formula>NOT(ISERROR(SEARCH("Caida",Q283)))</formula>
    </cfRule>
  </conditionalFormatting>
  <conditionalFormatting sqref="Q5">
    <cfRule type="cellIs" dxfId="405" priority="1340" operator="lessThan">
      <formula>0.8</formula>
    </cfRule>
    <cfRule type="cellIs" dxfId="404" priority="1341" operator="greaterThan">
      <formula>0.8</formula>
    </cfRule>
  </conditionalFormatting>
  <conditionalFormatting sqref="Q5">
    <cfRule type="notContainsText" dxfId="403" priority="1338" operator="notContains" text="Caida">
      <formula>ISERROR(SEARCH("Caida",Q5))</formula>
    </cfRule>
    <cfRule type="containsText" dxfId="402" priority="1339" operator="containsText" text="Caida">
      <formula>NOT(ISERROR(SEARCH("Caida",Q5)))</formula>
    </cfRule>
  </conditionalFormatting>
  <conditionalFormatting sqref="Q231">
    <cfRule type="cellIs" dxfId="401" priority="1336" operator="lessThan">
      <formula>0.8</formula>
    </cfRule>
    <cfRule type="cellIs" dxfId="400" priority="1337" operator="greaterThan">
      <formula>0.8</formula>
    </cfRule>
  </conditionalFormatting>
  <conditionalFormatting sqref="Q231">
    <cfRule type="notContainsText" dxfId="399" priority="1334" operator="notContains" text="Caida">
      <formula>ISERROR(SEARCH("Caida",Q231))</formula>
    </cfRule>
    <cfRule type="containsText" dxfId="398" priority="1335" operator="containsText" text="Caida">
      <formula>NOT(ISERROR(SEARCH("Caida",Q231)))</formula>
    </cfRule>
  </conditionalFormatting>
  <conditionalFormatting sqref="Q232">
    <cfRule type="cellIs" dxfId="397" priority="1332" operator="lessThan">
      <formula>0.8</formula>
    </cfRule>
    <cfRule type="cellIs" dxfId="396" priority="1333" operator="greaterThan">
      <formula>0.8</formula>
    </cfRule>
  </conditionalFormatting>
  <conditionalFormatting sqref="Q232">
    <cfRule type="notContainsText" dxfId="395" priority="1330" operator="notContains" text="Caida">
      <formula>ISERROR(SEARCH("Caida",Q232))</formula>
    </cfRule>
    <cfRule type="containsText" dxfId="394" priority="1331" operator="containsText" text="Caida">
      <formula>NOT(ISERROR(SEARCH("Caida",Q232)))</formula>
    </cfRule>
  </conditionalFormatting>
  <conditionalFormatting sqref="Q233">
    <cfRule type="cellIs" dxfId="393" priority="1328" operator="lessThan">
      <formula>0.8</formula>
    </cfRule>
    <cfRule type="cellIs" dxfId="392" priority="1329" operator="greaterThan">
      <formula>0.8</formula>
    </cfRule>
  </conditionalFormatting>
  <conditionalFormatting sqref="Q233">
    <cfRule type="notContainsText" dxfId="391" priority="1326" operator="notContains" text="Caida">
      <formula>ISERROR(SEARCH("Caida",Q233))</formula>
    </cfRule>
    <cfRule type="containsText" dxfId="390" priority="1327" operator="containsText" text="Caida">
      <formula>NOT(ISERROR(SEARCH("Caida",Q233)))</formula>
    </cfRule>
  </conditionalFormatting>
  <conditionalFormatting sqref="Q234">
    <cfRule type="cellIs" dxfId="389" priority="1324" operator="lessThan">
      <formula>0.8</formula>
    </cfRule>
    <cfRule type="cellIs" dxfId="388" priority="1325" operator="greaterThan">
      <formula>0.8</formula>
    </cfRule>
  </conditionalFormatting>
  <conditionalFormatting sqref="Q234">
    <cfRule type="notContainsText" dxfId="387" priority="1322" operator="notContains" text="Caida">
      <formula>ISERROR(SEARCH("Caida",Q234))</formula>
    </cfRule>
    <cfRule type="containsText" dxfId="386" priority="1323" operator="containsText" text="Caida">
      <formula>NOT(ISERROR(SEARCH("Caida",Q234)))</formula>
    </cfRule>
  </conditionalFormatting>
  <conditionalFormatting sqref="Q235">
    <cfRule type="cellIs" dxfId="385" priority="1320" operator="lessThan">
      <formula>0.8</formula>
    </cfRule>
    <cfRule type="cellIs" dxfId="384" priority="1321" operator="greaterThan">
      <formula>0.8</formula>
    </cfRule>
  </conditionalFormatting>
  <conditionalFormatting sqref="Q235">
    <cfRule type="notContainsText" dxfId="383" priority="1318" operator="notContains" text="Caida">
      <formula>ISERROR(SEARCH("Caida",Q235))</formula>
    </cfRule>
    <cfRule type="containsText" dxfId="382" priority="1319" operator="containsText" text="Caida">
      <formula>NOT(ISERROR(SEARCH("Caida",Q235)))</formula>
    </cfRule>
  </conditionalFormatting>
  <conditionalFormatting sqref="Q335">
    <cfRule type="cellIs" dxfId="381" priority="1316" operator="lessThan">
      <formula>0.8</formula>
    </cfRule>
    <cfRule type="cellIs" dxfId="380" priority="1317" operator="greaterThan">
      <formula>0.8</formula>
    </cfRule>
  </conditionalFormatting>
  <conditionalFormatting sqref="Q335">
    <cfRule type="notContainsText" dxfId="379" priority="1314" operator="notContains" text="Caida">
      <formula>ISERROR(SEARCH("Caida",Q335))</formula>
    </cfRule>
    <cfRule type="containsText" dxfId="378" priority="1315" operator="containsText" text="Caida">
      <formula>NOT(ISERROR(SEARCH("Caida",Q335)))</formula>
    </cfRule>
  </conditionalFormatting>
  <conditionalFormatting sqref="R6:R92 R96:R230">
    <cfRule type="cellIs" dxfId="377" priority="1308" operator="lessThan">
      <formula>0.8</formula>
    </cfRule>
    <cfRule type="cellIs" dxfId="376" priority="1309" operator="greaterThan">
      <formula>0.8</formula>
    </cfRule>
  </conditionalFormatting>
  <conditionalFormatting sqref="R6:R92 R96:R230">
    <cfRule type="notContainsText" dxfId="375" priority="1306" operator="notContains" text="Caida">
      <formula>ISERROR(SEARCH("Caida",R6))</formula>
    </cfRule>
    <cfRule type="containsText" dxfId="374" priority="1307" operator="containsText" text="Caida">
      <formula>NOT(ISERROR(SEARCH("Caida",R6)))</formula>
    </cfRule>
  </conditionalFormatting>
  <conditionalFormatting sqref="R336:T336">
    <cfRule type="cellIs" dxfId="373" priority="1263" operator="lessThan">
      <formula>0.8</formula>
    </cfRule>
    <cfRule type="cellIs" dxfId="372" priority="1264" operator="greaterThan">
      <formula>0.8</formula>
    </cfRule>
  </conditionalFormatting>
  <conditionalFormatting sqref="R336:T336">
    <cfRule type="notContainsText" dxfId="371" priority="1261" operator="notContains" text="Caida">
      <formula>ISERROR(SEARCH("Caida",R336))</formula>
    </cfRule>
    <cfRule type="containsText" dxfId="370" priority="1262" operator="containsText" text="Caida">
      <formula>NOT(ISERROR(SEARCH("Caida",R336)))</formula>
    </cfRule>
  </conditionalFormatting>
  <conditionalFormatting sqref="R337:R366 R284:R334">
    <cfRule type="cellIs" dxfId="369" priority="1304" operator="lessThan">
      <formula>0.8</formula>
    </cfRule>
    <cfRule type="cellIs" dxfId="368" priority="1305" operator="greaterThan">
      <formula>0.8</formula>
    </cfRule>
  </conditionalFormatting>
  <conditionalFormatting sqref="R337:R366 R284:R334 R391:R1048576">
    <cfRule type="notContainsText" dxfId="367" priority="1302" operator="notContains" text="Caida">
      <formula>ISERROR(SEARCH("Caida",R284))</formula>
    </cfRule>
    <cfRule type="containsText" dxfId="366" priority="1303" operator="containsText" text="Caida">
      <formula>NOT(ISERROR(SEARCH("Caida",R284)))</formula>
    </cfRule>
  </conditionalFormatting>
  <conditionalFormatting sqref="R22:T22">
    <cfRule type="containsText" dxfId="365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64" priority="1299" operator="lessThan">
      <formula>0.8</formula>
    </cfRule>
    <cfRule type="cellIs" dxfId="363" priority="1300" operator="greaterThan">
      <formula>0.8</formula>
    </cfRule>
  </conditionalFormatting>
  <conditionalFormatting sqref="R282:T282">
    <cfRule type="notContainsText" dxfId="362" priority="1297" operator="notContains" text="Caida">
      <formula>ISERROR(SEARCH("Caida",R282))</formula>
    </cfRule>
    <cfRule type="containsText" dxfId="361" priority="1298" operator="containsText" text="Caida">
      <formula>NOT(ISERROR(SEARCH("Caida",R282)))</formula>
    </cfRule>
  </conditionalFormatting>
  <conditionalFormatting sqref="R283:T283">
    <cfRule type="cellIs" dxfId="360" priority="1295" operator="lessThan">
      <formula>0.8</formula>
    </cfRule>
    <cfRule type="cellIs" dxfId="359" priority="1296" operator="greaterThan">
      <formula>0.8</formula>
    </cfRule>
  </conditionalFormatting>
  <conditionalFormatting sqref="R283:T283">
    <cfRule type="notContainsText" dxfId="358" priority="1293" operator="notContains" text="Caida">
      <formula>ISERROR(SEARCH("Caida",R283))</formula>
    </cfRule>
    <cfRule type="containsText" dxfId="357" priority="1294" operator="containsText" text="Caida">
      <formula>NOT(ISERROR(SEARCH("Caida",R283)))</formula>
    </cfRule>
  </conditionalFormatting>
  <conditionalFormatting sqref="R5:T5">
    <cfRule type="cellIs" dxfId="356" priority="1291" operator="lessThan">
      <formula>0.8</formula>
    </cfRule>
    <cfRule type="cellIs" dxfId="355" priority="1292" operator="greaterThan">
      <formula>0.8</formula>
    </cfRule>
  </conditionalFormatting>
  <conditionalFormatting sqref="R5:T5">
    <cfRule type="notContainsText" dxfId="354" priority="1289" operator="notContains" text="Caida">
      <formula>ISERROR(SEARCH("Caida",R5))</formula>
    </cfRule>
    <cfRule type="containsText" dxfId="353" priority="1290" operator="containsText" text="Caida">
      <formula>NOT(ISERROR(SEARCH("Caida",R5)))</formula>
    </cfRule>
  </conditionalFormatting>
  <conditionalFormatting sqref="R231:T231">
    <cfRule type="cellIs" dxfId="352" priority="1287" operator="lessThan">
      <formula>0.8</formula>
    </cfRule>
    <cfRule type="cellIs" dxfId="351" priority="1288" operator="greaterThan">
      <formula>0.8</formula>
    </cfRule>
  </conditionalFormatting>
  <conditionalFormatting sqref="R231:T231">
    <cfRule type="notContainsText" dxfId="350" priority="1285" operator="notContains" text="Caida">
      <formula>ISERROR(SEARCH("Caida",R231))</formula>
    </cfRule>
    <cfRule type="containsText" dxfId="349" priority="1286" operator="containsText" text="Caida">
      <formula>NOT(ISERROR(SEARCH("Caida",R231)))</formula>
    </cfRule>
  </conditionalFormatting>
  <conditionalFormatting sqref="R232:T232">
    <cfRule type="cellIs" dxfId="348" priority="1283" operator="lessThan">
      <formula>0.8</formula>
    </cfRule>
    <cfRule type="cellIs" dxfId="347" priority="1284" operator="greaterThan">
      <formula>0.8</formula>
    </cfRule>
  </conditionalFormatting>
  <conditionalFormatting sqref="R232:T232">
    <cfRule type="notContainsText" dxfId="346" priority="1281" operator="notContains" text="Caida">
      <formula>ISERROR(SEARCH("Caida",R232))</formula>
    </cfRule>
    <cfRule type="containsText" dxfId="345" priority="1282" operator="containsText" text="Caida">
      <formula>NOT(ISERROR(SEARCH("Caida",R232)))</formula>
    </cfRule>
  </conditionalFormatting>
  <conditionalFormatting sqref="R233:T233">
    <cfRule type="cellIs" dxfId="344" priority="1279" operator="lessThan">
      <formula>0.8</formula>
    </cfRule>
    <cfRule type="cellIs" dxfId="343" priority="1280" operator="greaterThan">
      <formula>0.8</formula>
    </cfRule>
  </conditionalFormatting>
  <conditionalFormatting sqref="R233:T233">
    <cfRule type="notContainsText" dxfId="342" priority="1277" operator="notContains" text="Caida">
      <formula>ISERROR(SEARCH("Caida",R233))</formula>
    </cfRule>
    <cfRule type="containsText" dxfId="341" priority="1278" operator="containsText" text="Caida">
      <formula>NOT(ISERROR(SEARCH("Caida",R233)))</formula>
    </cfRule>
  </conditionalFormatting>
  <conditionalFormatting sqref="R234:T234">
    <cfRule type="cellIs" dxfId="340" priority="1275" operator="lessThan">
      <formula>0.8</formula>
    </cfRule>
    <cfRule type="cellIs" dxfId="339" priority="1276" operator="greaterThan">
      <formula>0.8</formula>
    </cfRule>
  </conditionalFormatting>
  <conditionalFormatting sqref="R234:T234">
    <cfRule type="notContainsText" dxfId="338" priority="1273" operator="notContains" text="Caida">
      <formula>ISERROR(SEARCH("Caida",R234))</formula>
    </cfRule>
    <cfRule type="containsText" dxfId="337" priority="1274" operator="containsText" text="Caida">
      <formula>NOT(ISERROR(SEARCH("Caida",R234)))</formula>
    </cfRule>
  </conditionalFormatting>
  <conditionalFormatting sqref="R235:T235">
    <cfRule type="cellIs" dxfId="336" priority="1271" operator="lessThan">
      <formula>0.8</formula>
    </cfRule>
    <cfRule type="cellIs" dxfId="335" priority="1272" operator="greaterThan">
      <formula>0.8</formula>
    </cfRule>
  </conditionalFormatting>
  <conditionalFormatting sqref="R235:T235">
    <cfRule type="notContainsText" dxfId="334" priority="1269" operator="notContains" text="Caida">
      <formula>ISERROR(SEARCH("Caida",R235))</formula>
    </cfRule>
    <cfRule type="containsText" dxfId="333" priority="1270" operator="containsText" text="Caida">
      <formula>NOT(ISERROR(SEARCH("Caida",R235)))</formula>
    </cfRule>
  </conditionalFormatting>
  <conditionalFormatting sqref="R335:T335">
    <cfRule type="cellIs" dxfId="332" priority="1267" operator="lessThan">
      <formula>0.8</formula>
    </cfRule>
    <cfRule type="cellIs" dxfId="331" priority="1268" operator="greaterThan">
      <formula>0.8</formula>
    </cfRule>
  </conditionalFormatting>
  <conditionalFormatting sqref="R335:T335">
    <cfRule type="notContainsText" dxfId="330" priority="1265" operator="notContains" text="Caida">
      <formula>ISERROR(SEARCH("Caida",R335))</formula>
    </cfRule>
    <cfRule type="containsText" dxfId="329" priority="1266" operator="containsText" text="Caida">
      <formula>NOT(ISERROR(SEARCH("Caida",R335)))</formula>
    </cfRule>
  </conditionalFormatting>
  <conditionalFormatting sqref="S391:S1048576">
    <cfRule type="notContainsText" dxfId="328" priority="1253" operator="notContains" text="Caida">
      <formula>ISERROR(SEARCH("Caida",S391))</formula>
    </cfRule>
    <cfRule type="containsText" dxfId="327" priority="1254" operator="containsText" text="Caida">
      <formula>NOT(ISERROR(SEARCH("Caida",S391)))</formula>
    </cfRule>
  </conditionalFormatting>
  <conditionalFormatting sqref="T391:T1048576">
    <cfRule type="notContainsText" dxfId="326" priority="1204" operator="notContains" text="Caida">
      <formula>ISERROR(SEARCH("Caida",T391))</formula>
    </cfRule>
    <cfRule type="containsText" dxfId="325" priority="1205" operator="containsText" text="Caida">
      <formula>NOT(ISERROR(SEARCH("Caida",T391)))</formula>
    </cfRule>
  </conditionalFormatting>
  <conditionalFormatting sqref="E92:K93">
    <cfRule type="containsText" dxfId="324" priority="1160" operator="containsText" text="Radio">
      <formula>NOT(ISERROR(SEARCH("Radio",E92)))</formula>
    </cfRule>
  </conditionalFormatting>
  <conditionalFormatting sqref="P93:P95">
    <cfRule type="cellIs" dxfId="323" priority="1130" operator="lessThan">
      <formula>0.8</formula>
    </cfRule>
    <cfRule type="cellIs" dxfId="322" priority="1131" operator="greaterThan">
      <formula>0.8</formula>
    </cfRule>
  </conditionalFormatting>
  <conditionalFormatting sqref="P93:P95">
    <cfRule type="notContainsText" dxfId="321" priority="1128" operator="notContains" text="Caida">
      <formula>ISERROR(SEARCH("Caida",P93))</formula>
    </cfRule>
    <cfRule type="containsText" dxfId="320" priority="1129" operator="containsText" text="Caida">
      <formula>NOT(ISERROR(SEARCH("Caida",P93)))</formula>
    </cfRule>
  </conditionalFormatting>
  <conditionalFormatting sqref="Q93:Q95">
    <cfRule type="cellIs" dxfId="319" priority="1126" operator="lessThan">
      <formula>0.8</formula>
    </cfRule>
    <cfRule type="cellIs" dxfId="318" priority="1127" operator="greaterThan">
      <formula>0.8</formula>
    </cfRule>
  </conditionalFormatting>
  <conditionalFormatting sqref="Q93:Q95">
    <cfRule type="notContainsText" dxfId="317" priority="1124" operator="notContains" text="Caida">
      <formula>ISERROR(SEARCH("Caida",Q93))</formula>
    </cfRule>
    <cfRule type="containsText" dxfId="316" priority="1125" operator="containsText" text="Caida">
      <formula>NOT(ISERROR(SEARCH("Caida",Q93)))</formula>
    </cfRule>
  </conditionalFormatting>
  <conditionalFormatting sqref="R93:R95">
    <cfRule type="cellIs" dxfId="315" priority="1122" operator="lessThan">
      <formula>0.8</formula>
    </cfRule>
    <cfRule type="cellIs" dxfId="314" priority="1123" operator="greaterThan">
      <formula>0.8</formula>
    </cfRule>
  </conditionalFormatting>
  <conditionalFormatting sqref="R93:R95">
    <cfRule type="notContainsText" dxfId="313" priority="1120" operator="notContains" text="Caida">
      <formula>ISERROR(SEARCH("Caida",R93))</formula>
    </cfRule>
    <cfRule type="containsText" dxfId="312" priority="1121" operator="containsText" text="Caida">
      <formula>NOT(ISERROR(SEARCH("Caida",R93)))</formula>
    </cfRule>
  </conditionalFormatting>
  <conditionalFormatting sqref="E365:K365">
    <cfRule type="containsText" dxfId="311" priority="1109" operator="containsText" text="Radio">
      <formula>NOT(ISERROR(SEARCH("Radio",E365)))</formula>
    </cfRule>
  </conditionalFormatting>
  <conditionalFormatting sqref="P367">
    <cfRule type="cellIs" dxfId="310" priority="1091" operator="lessThan">
      <formula>0.8</formula>
    </cfRule>
    <cfRule type="cellIs" dxfId="309" priority="1092" operator="greaterThan">
      <formula>0.8</formula>
    </cfRule>
  </conditionalFormatting>
  <conditionalFormatting sqref="P367">
    <cfRule type="notContainsText" dxfId="308" priority="1089" operator="notContains" text="Caida">
      <formula>ISERROR(SEARCH("Caida",P367))</formula>
    </cfRule>
    <cfRule type="containsText" dxfId="307" priority="1090" operator="containsText" text="Caida">
      <formula>NOT(ISERROR(SEARCH("Caida",P367)))</formula>
    </cfRule>
  </conditionalFormatting>
  <conditionalFormatting sqref="Q367">
    <cfRule type="cellIs" dxfId="306" priority="1087" operator="lessThan">
      <formula>0.8</formula>
    </cfRule>
    <cfRule type="cellIs" dxfId="305" priority="1088" operator="greaterThan">
      <formula>0.8</formula>
    </cfRule>
  </conditionalFormatting>
  <conditionalFormatting sqref="Q367">
    <cfRule type="notContainsText" dxfId="304" priority="1085" operator="notContains" text="Caida">
      <formula>ISERROR(SEARCH("Caida",Q367))</formula>
    </cfRule>
    <cfRule type="containsText" dxfId="303" priority="1086" operator="containsText" text="Caida">
      <formula>NOT(ISERROR(SEARCH("Caida",Q367)))</formula>
    </cfRule>
  </conditionalFormatting>
  <conditionalFormatting sqref="R367:T367">
    <cfRule type="cellIs" dxfId="302" priority="1083" operator="lessThan">
      <formula>0.8</formula>
    </cfRule>
    <cfRule type="cellIs" dxfId="301" priority="1084" operator="greaterThan">
      <formula>0.8</formula>
    </cfRule>
  </conditionalFormatting>
  <conditionalFormatting sqref="R367:T367">
    <cfRule type="notContainsText" dxfId="300" priority="1081" operator="notContains" text="Caida">
      <formula>ISERROR(SEARCH("Caida",R367))</formula>
    </cfRule>
    <cfRule type="containsText" dxfId="299" priority="1082" operator="containsText" text="Caida">
      <formula>NOT(ISERROR(SEARCH("Caida",R367)))</formula>
    </cfRule>
  </conditionalFormatting>
  <conditionalFormatting sqref="E366:K366">
    <cfRule type="containsText" dxfId="298" priority="1070" operator="containsText" text="Radio">
      <formula>NOT(ISERROR(SEARCH("Radio",E366)))</formula>
    </cfRule>
  </conditionalFormatting>
  <conditionalFormatting sqref="P368">
    <cfRule type="cellIs" dxfId="297" priority="1052" operator="lessThan">
      <formula>0.8</formula>
    </cfRule>
    <cfRule type="cellIs" dxfId="296" priority="1053" operator="greaterThan">
      <formula>0.8</formula>
    </cfRule>
  </conditionalFormatting>
  <conditionalFormatting sqref="P368">
    <cfRule type="notContainsText" dxfId="295" priority="1050" operator="notContains" text="Caida">
      <formula>ISERROR(SEARCH("Caida",P368))</formula>
    </cfRule>
    <cfRule type="containsText" dxfId="294" priority="1051" operator="containsText" text="Caida">
      <formula>NOT(ISERROR(SEARCH("Caida",P368)))</formula>
    </cfRule>
  </conditionalFormatting>
  <conditionalFormatting sqref="Q368">
    <cfRule type="cellIs" dxfId="293" priority="1048" operator="lessThan">
      <formula>0.8</formula>
    </cfRule>
    <cfRule type="cellIs" dxfId="292" priority="1049" operator="greaterThan">
      <formula>0.8</formula>
    </cfRule>
  </conditionalFormatting>
  <conditionalFormatting sqref="Q368">
    <cfRule type="notContainsText" dxfId="291" priority="1046" operator="notContains" text="Caida">
      <formula>ISERROR(SEARCH("Caida",Q368))</formula>
    </cfRule>
    <cfRule type="containsText" dxfId="290" priority="1047" operator="containsText" text="Caida">
      <formula>NOT(ISERROR(SEARCH("Caida",Q368)))</formula>
    </cfRule>
  </conditionalFormatting>
  <conditionalFormatting sqref="R368:T368">
    <cfRule type="cellIs" dxfId="289" priority="1044" operator="lessThan">
      <formula>0.8</formula>
    </cfRule>
    <cfRule type="cellIs" dxfId="288" priority="1045" operator="greaterThan">
      <formula>0.8</formula>
    </cfRule>
  </conditionalFormatting>
  <conditionalFormatting sqref="R368:T368">
    <cfRule type="notContainsText" dxfId="287" priority="1042" operator="notContains" text="Caida">
      <formula>ISERROR(SEARCH("Caida",R368))</formula>
    </cfRule>
    <cfRule type="containsText" dxfId="286" priority="1043" operator="containsText" text="Caida">
      <formula>NOT(ISERROR(SEARCH("Caida",R368)))</formula>
    </cfRule>
  </conditionalFormatting>
  <conditionalFormatting sqref="E367:K367">
    <cfRule type="containsText" dxfId="285" priority="1031" operator="containsText" text="Radio">
      <formula>NOT(ISERROR(SEARCH("Radio",E367)))</formula>
    </cfRule>
  </conditionalFormatting>
  <conditionalFormatting sqref="P369">
    <cfRule type="cellIs" dxfId="284" priority="1013" operator="lessThan">
      <formula>0.8</formula>
    </cfRule>
    <cfRule type="cellIs" dxfId="283" priority="1014" operator="greaterThan">
      <formula>0.8</formula>
    </cfRule>
  </conditionalFormatting>
  <conditionalFormatting sqref="P369">
    <cfRule type="notContainsText" dxfId="282" priority="1011" operator="notContains" text="Caida">
      <formula>ISERROR(SEARCH("Caida",P369))</formula>
    </cfRule>
    <cfRule type="containsText" dxfId="281" priority="1012" operator="containsText" text="Caida">
      <formula>NOT(ISERROR(SEARCH("Caida",P369)))</formula>
    </cfRule>
  </conditionalFormatting>
  <conditionalFormatting sqref="Q369">
    <cfRule type="cellIs" dxfId="280" priority="1009" operator="lessThan">
      <formula>0.8</formula>
    </cfRule>
    <cfRule type="cellIs" dxfId="279" priority="1010" operator="greaterThan">
      <formula>0.8</formula>
    </cfRule>
  </conditionalFormatting>
  <conditionalFormatting sqref="Q369">
    <cfRule type="notContainsText" dxfId="278" priority="1007" operator="notContains" text="Caida">
      <formula>ISERROR(SEARCH("Caida",Q369))</formula>
    </cfRule>
    <cfRule type="containsText" dxfId="277" priority="1008" operator="containsText" text="Caida">
      <formula>NOT(ISERROR(SEARCH("Caida",Q369)))</formula>
    </cfRule>
  </conditionalFormatting>
  <conditionalFormatting sqref="R369:T369">
    <cfRule type="cellIs" dxfId="276" priority="1005" operator="lessThan">
      <formula>0.8</formula>
    </cfRule>
    <cfRule type="cellIs" dxfId="275" priority="1006" operator="greaterThan">
      <formula>0.8</formula>
    </cfRule>
  </conditionalFormatting>
  <conditionalFormatting sqref="R369:T369">
    <cfRule type="notContainsText" dxfId="274" priority="1003" operator="notContains" text="Caida">
      <formula>ISERROR(SEARCH("Caida",R369))</formula>
    </cfRule>
    <cfRule type="containsText" dxfId="273" priority="1004" operator="containsText" text="Caida">
      <formula>NOT(ISERROR(SEARCH("Caida",R369)))</formula>
    </cfRule>
  </conditionalFormatting>
  <conditionalFormatting sqref="E368:K368">
    <cfRule type="containsText" dxfId="272" priority="992" operator="containsText" text="Radio">
      <formula>NOT(ISERROR(SEARCH("Radio",E368)))</formula>
    </cfRule>
  </conditionalFormatting>
  <conditionalFormatting sqref="U231">
    <cfRule type="cellIs" dxfId="271" priority="933" operator="lessThan">
      <formula>0.8</formula>
    </cfRule>
    <cfRule type="cellIs" dxfId="270" priority="934" operator="greaterThan">
      <formula>0.8</formula>
    </cfRule>
  </conditionalFormatting>
  <conditionalFormatting sqref="U231">
    <cfRule type="notContainsText" dxfId="269" priority="931" operator="notContains" text="Caida">
      <formula>ISERROR(SEARCH("Caida",U231))</formula>
    </cfRule>
    <cfRule type="containsText" dxfId="268" priority="932" operator="containsText" text="Caida">
      <formula>NOT(ISERROR(SEARCH("Caida",U231)))</formula>
    </cfRule>
  </conditionalFormatting>
  <conditionalFormatting sqref="U232">
    <cfRule type="cellIs" dxfId="267" priority="929" operator="lessThan">
      <formula>0.8</formula>
    </cfRule>
    <cfRule type="cellIs" dxfId="266" priority="930" operator="greaterThan">
      <formula>0.8</formula>
    </cfRule>
  </conditionalFormatting>
  <conditionalFormatting sqref="U232">
    <cfRule type="notContainsText" dxfId="265" priority="927" operator="notContains" text="Caida">
      <formula>ISERROR(SEARCH("Caida",U232))</formula>
    </cfRule>
    <cfRule type="containsText" dxfId="264" priority="928" operator="containsText" text="Caida">
      <formula>NOT(ISERROR(SEARCH("Caida",U232)))</formula>
    </cfRule>
  </conditionalFormatting>
  <conditionalFormatting sqref="P370:P372">
    <cfRule type="cellIs" dxfId="263" priority="974" operator="lessThan">
      <formula>0.8</formula>
    </cfRule>
    <cfRule type="cellIs" dxfId="262" priority="975" operator="greaterThan">
      <formula>0.8</formula>
    </cfRule>
  </conditionalFormatting>
  <conditionalFormatting sqref="P370:P372">
    <cfRule type="notContainsText" dxfId="261" priority="972" operator="notContains" text="Caida">
      <formula>ISERROR(SEARCH("Caida",P370))</formula>
    </cfRule>
    <cfRule type="containsText" dxfId="260" priority="973" operator="containsText" text="Caida">
      <formula>NOT(ISERROR(SEARCH("Caida",P370)))</formula>
    </cfRule>
  </conditionalFormatting>
  <conditionalFormatting sqref="Q370:Q372">
    <cfRule type="cellIs" dxfId="259" priority="970" operator="lessThan">
      <formula>0.8</formula>
    </cfRule>
    <cfRule type="cellIs" dxfId="258" priority="971" operator="greaterThan">
      <formula>0.8</formula>
    </cfRule>
  </conditionalFormatting>
  <conditionalFormatting sqref="Q370:Q372">
    <cfRule type="notContainsText" dxfId="257" priority="968" operator="notContains" text="Caida">
      <formula>ISERROR(SEARCH("Caida",Q370))</formula>
    </cfRule>
    <cfRule type="containsText" dxfId="256" priority="969" operator="containsText" text="Caida">
      <formula>NOT(ISERROR(SEARCH("Caida",Q370)))</formula>
    </cfRule>
  </conditionalFormatting>
  <conditionalFormatting sqref="R370:T370">
    <cfRule type="cellIs" dxfId="255" priority="966" operator="lessThan">
      <formula>0.8</formula>
    </cfRule>
    <cfRule type="cellIs" dxfId="254" priority="967" operator="greaterThan">
      <formula>0.8</formula>
    </cfRule>
  </conditionalFormatting>
  <conditionalFormatting sqref="R370:T370">
    <cfRule type="notContainsText" dxfId="253" priority="964" operator="notContains" text="Caida">
      <formula>ISERROR(SEARCH("Caida",R370))</formula>
    </cfRule>
    <cfRule type="containsText" dxfId="252" priority="965" operator="containsText" text="Caida">
      <formula>NOT(ISERROR(SEARCH("Caida",R370)))</formula>
    </cfRule>
  </conditionalFormatting>
  <conditionalFormatting sqref="U368">
    <cfRule type="cellIs" dxfId="251" priority="897" operator="lessThan">
      <formula>0.8</formula>
    </cfRule>
    <cfRule type="cellIs" dxfId="250" priority="898" operator="greaterThan">
      <formula>0.8</formula>
    </cfRule>
  </conditionalFormatting>
  <conditionalFormatting sqref="U368">
    <cfRule type="notContainsText" dxfId="249" priority="895" operator="notContains" text="Caida">
      <formula>ISERROR(SEARCH("Caida",U368))</formula>
    </cfRule>
    <cfRule type="containsText" dxfId="248" priority="896" operator="containsText" text="Caida">
      <formula>NOT(ISERROR(SEARCH("Caida",U368)))</formula>
    </cfRule>
  </conditionalFormatting>
  <conditionalFormatting sqref="U369">
    <cfRule type="cellIs" dxfId="247" priority="893" operator="lessThan">
      <formula>0.8</formula>
    </cfRule>
    <cfRule type="cellIs" dxfId="246" priority="894" operator="greaterThan">
      <formula>0.8</formula>
    </cfRule>
  </conditionalFormatting>
  <conditionalFormatting sqref="U369">
    <cfRule type="notContainsText" dxfId="245" priority="891" operator="notContains" text="Caida">
      <formula>ISERROR(SEARCH("Caida",U369))</formula>
    </cfRule>
    <cfRule type="containsText" dxfId="244" priority="892" operator="containsText" text="Caida">
      <formula>NOT(ISERROR(SEARCH("Caida",U369)))</formula>
    </cfRule>
  </conditionalFormatting>
  <conditionalFormatting sqref="U370:U372">
    <cfRule type="cellIs" dxfId="243" priority="889" operator="lessThan">
      <formula>0.8</formula>
    </cfRule>
    <cfRule type="cellIs" dxfId="242" priority="890" operator="greaterThan">
      <formula>0.8</formula>
    </cfRule>
  </conditionalFormatting>
  <conditionalFormatting sqref="U370:U372">
    <cfRule type="notContainsText" dxfId="241" priority="887" operator="notContains" text="Caida">
      <formula>ISERROR(SEARCH("Caida",U370))</formula>
    </cfRule>
    <cfRule type="containsText" dxfId="240" priority="888" operator="containsText" text="Caida">
      <formula>NOT(ISERROR(SEARCH("Caida",U370)))</formula>
    </cfRule>
  </conditionalFormatting>
  <conditionalFormatting sqref="U6:U92 U96:U230">
    <cfRule type="cellIs" dxfId="239" priority="954" operator="lessThan">
      <formula>0.8</formula>
    </cfRule>
    <cfRule type="cellIs" dxfId="238" priority="955" operator="greaterThan">
      <formula>0.8</formula>
    </cfRule>
  </conditionalFormatting>
  <conditionalFormatting sqref="U6:U92 U96:U230">
    <cfRule type="notContainsText" dxfId="237" priority="952" operator="notContains" text="Caida">
      <formula>ISERROR(SEARCH("Caida",U6))</formula>
    </cfRule>
    <cfRule type="containsText" dxfId="236" priority="953" operator="containsText" text="Caida">
      <formula>NOT(ISERROR(SEARCH("Caida",U6)))</formula>
    </cfRule>
  </conditionalFormatting>
  <conditionalFormatting sqref="U336">
    <cfRule type="cellIs" dxfId="235" priority="909" operator="lessThan">
      <formula>0.8</formula>
    </cfRule>
    <cfRule type="cellIs" dxfId="234" priority="910" operator="greaterThan">
      <formula>0.8</formula>
    </cfRule>
  </conditionalFormatting>
  <conditionalFormatting sqref="U336">
    <cfRule type="notContainsText" dxfId="233" priority="907" operator="notContains" text="Caida">
      <formula>ISERROR(SEARCH("Caida",U336))</formula>
    </cfRule>
    <cfRule type="containsText" dxfId="232" priority="908" operator="containsText" text="Caida">
      <formula>NOT(ISERROR(SEARCH("Caida",U336)))</formula>
    </cfRule>
  </conditionalFormatting>
  <conditionalFormatting sqref="U337:U366 U284:U334">
    <cfRule type="cellIs" dxfId="231" priority="950" operator="lessThan">
      <formula>0.8</formula>
    </cfRule>
    <cfRule type="cellIs" dxfId="230" priority="951" operator="greaterThan">
      <formula>0.8</formula>
    </cfRule>
  </conditionalFormatting>
  <conditionalFormatting sqref="U337:U366 U284:U334 U391:U1048576">
    <cfRule type="notContainsText" dxfId="229" priority="948" operator="notContains" text="Caida">
      <formula>ISERROR(SEARCH("Caida",U284))</formula>
    </cfRule>
    <cfRule type="containsText" dxfId="228" priority="949" operator="containsText" text="Caida">
      <formula>NOT(ISERROR(SEARCH("Caida",U284)))</formula>
    </cfRule>
  </conditionalFormatting>
  <conditionalFormatting sqref="U22">
    <cfRule type="containsText" dxfId="227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26" priority="945" operator="lessThan">
      <formula>0.8</formula>
    </cfRule>
    <cfRule type="cellIs" dxfId="225" priority="946" operator="greaterThan">
      <formula>0.8</formula>
    </cfRule>
  </conditionalFormatting>
  <conditionalFormatting sqref="U282">
    <cfRule type="notContainsText" dxfId="224" priority="943" operator="notContains" text="Caida">
      <formula>ISERROR(SEARCH("Caida",U282))</formula>
    </cfRule>
    <cfRule type="containsText" dxfId="223" priority="944" operator="containsText" text="Caida">
      <formula>NOT(ISERROR(SEARCH("Caida",U282)))</formula>
    </cfRule>
  </conditionalFormatting>
  <conditionalFormatting sqref="U283">
    <cfRule type="cellIs" dxfId="222" priority="941" operator="lessThan">
      <formula>0.8</formula>
    </cfRule>
    <cfRule type="cellIs" dxfId="221" priority="942" operator="greaterThan">
      <formula>0.8</formula>
    </cfRule>
  </conditionalFormatting>
  <conditionalFormatting sqref="U283">
    <cfRule type="notContainsText" dxfId="220" priority="939" operator="notContains" text="Caida">
      <formula>ISERROR(SEARCH("Caida",U283))</formula>
    </cfRule>
    <cfRule type="containsText" dxfId="219" priority="940" operator="containsText" text="Caida">
      <formula>NOT(ISERROR(SEARCH("Caida",U283)))</formula>
    </cfRule>
  </conditionalFormatting>
  <conditionalFormatting sqref="U5">
    <cfRule type="cellIs" dxfId="218" priority="937" operator="lessThan">
      <formula>0.8</formula>
    </cfRule>
    <cfRule type="cellIs" dxfId="217" priority="938" operator="greaterThan">
      <formula>0.8</formula>
    </cfRule>
  </conditionalFormatting>
  <conditionalFormatting sqref="U5">
    <cfRule type="notContainsText" dxfId="216" priority="935" operator="notContains" text="Caida">
      <formula>ISERROR(SEARCH("Caida",U5))</formula>
    </cfRule>
    <cfRule type="containsText" dxfId="215" priority="936" operator="containsText" text="Caida">
      <formula>NOT(ISERROR(SEARCH("Caida",U5)))</formula>
    </cfRule>
  </conditionalFormatting>
  <conditionalFormatting sqref="U233">
    <cfRule type="cellIs" dxfId="214" priority="925" operator="lessThan">
      <formula>0.8</formula>
    </cfRule>
    <cfRule type="cellIs" dxfId="213" priority="926" operator="greaterThan">
      <formula>0.8</formula>
    </cfRule>
  </conditionalFormatting>
  <conditionalFormatting sqref="U233">
    <cfRule type="notContainsText" dxfId="212" priority="923" operator="notContains" text="Caida">
      <formula>ISERROR(SEARCH("Caida",U233))</formula>
    </cfRule>
    <cfRule type="containsText" dxfId="211" priority="924" operator="containsText" text="Caida">
      <formula>NOT(ISERROR(SEARCH("Caida",U233)))</formula>
    </cfRule>
  </conditionalFormatting>
  <conditionalFormatting sqref="U234">
    <cfRule type="cellIs" dxfId="210" priority="921" operator="lessThan">
      <formula>0.8</formula>
    </cfRule>
    <cfRule type="cellIs" dxfId="209" priority="922" operator="greaterThan">
      <formula>0.8</formula>
    </cfRule>
  </conditionalFormatting>
  <conditionalFormatting sqref="U234">
    <cfRule type="notContainsText" dxfId="208" priority="919" operator="notContains" text="Caida">
      <formula>ISERROR(SEARCH("Caida",U234))</formula>
    </cfRule>
    <cfRule type="containsText" dxfId="207" priority="920" operator="containsText" text="Caida">
      <formula>NOT(ISERROR(SEARCH("Caida",U234)))</formula>
    </cfRule>
  </conditionalFormatting>
  <conditionalFormatting sqref="U235">
    <cfRule type="cellIs" dxfId="206" priority="917" operator="lessThan">
      <formula>0.8</formula>
    </cfRule>
    <cfRule type="cellIs" dxfId="205" priority="918" operator="greaterThan">
      <formula>0.8</formula>
    </cfRule>
  </conditionalFormatting>
  <conditionalFormatting sqref="U235">
    <cfRule type="notContainsText" dxfId="204" priority="915" operator="notContains" text="Caida">
      <formula>ISERROR(SEARCH("Caida",U235))</formula>
    </cfRule>
    <cfRule type="containsText" dxfId="203" priority="916" operator="containsText" text="Caida">
      <formula>NOT(ISERROR(SEARCH("Caida",U235)))</formula>
    </cfRule>
  </conditionalFormatting>
  <conditionalFormatting sqref="U335">
    <cfRule type="cellIs" dxfId="202" priority="913" operator="lessThan">
      <formula>0.8</formula>
    </cfRule>
    <cfRule type="cellIs" dxfId="201" priority="914" operator="greaterThan">
      <formula>0.8</formula>
    </cfRule>
  </conditionalFormatting>
  <conditionalFormatting sqref="U335">
    <cfRule type="notContainsText" dxfId="200" priority="911" operator="notContains" text="Caida">
      <formula>ISERROR(SEARCH("Caida",U335))</formula>
    </cfRule>
    <cfRule type="containsText" dxfId="199" priority="912" operator="containsText" text="Caida">
      <formula>NOT(ISERROR(SEARCH("Caida",U335)))</formula>
    </cfRule>
  </conditionalFormatting>
  <conditionalFormatting sqref="U93:U95">
    <cfRule type="cellIs" dxfId="198" priority="905" operator="lessThan">
      <formula>0.8</formula>
    </cfRule>
    <cfRule type="cellIs" dxfId="197" priority="906" operator="greaterThan">
      <formula>0.8</formula>
    </cfRule>
  </conditionalFormatting>
  <conditionalFormatting sqref="U93:U95">
    <cfRule type="notContainsText" dxfId="196" priority="903" operator="notContains" text="Caida">
      <formula>ISERROR(SEARCH("Caida",U93))</formula>
    </cfRule>
    <cfRule type="containsText" dxfId="195" priority="904" operator="containsText" text="Caida">
      <formula>NOT(ISERROR(SEARCH("Caida",U93)))</formula>
    </cfRule>
  </conditionalFormatting>
  <conditionalFormatting sqref="U367">
    <cfRule type="cellIs" dxfId="194" priority="901" operator="lessThan">
      <formula>0.8</formula>
    </cfRule>
    <cfRule type="cellIs" dxfId="193" priority="902" operator="greaterThan">
      <formula>0.8</formula>
    </cfRule>
  </conditionalFormatting>
  <conditionalFormatting sqref="U367">
    <cfRule type="notContainsText" dxfId="192" priority="899" operator="notContains" text="Caida">
      <formula>ISERROR(SEARCH("Caida",U367))</formula>
    </cfRule>
    <cfRule type="containsText" dxfId="191" priority="900" operator="containsText" text="Caida">
      <formula>NOT(ISERROR(SEARCH("Caida",U367)))</formula>
    </cfRule>
  </conditionalFormatting>
  <conditionalFormatting sqref="V6:X92">
    <cfRule type="cellIs" dxfId="190" priority="885" operator="lessThan">
      <formula>0.8</formula>
    </cfRule>
    <cfRule type="cellIs" dxfId="189" priority="886" operator="greaterThan">
      <formula>0.8</formula>
    </cfRule>
  </conditionalFormatting>
  <conditionalFormatting sqref="V6:X92">
    <cfRule type="notContainsText" dxfId="188" priority="883" operator="notContains" text="Caida">
      <formula>ISERROR(SEARCH("Caida",V6))</formula>
    </cfRule>
    <cfRule type="containsText" dxfId="187" priority="884" operator="containsText" text="Caida">
      <formula>NOT(ISERROR(SEARCH("Caida",V6)))</formula>
    </cfRule>
  </conditionalFormatting>
  <conditionalFormatting sqref="V22:AJ22">
    <cfRule type="containsText" dxfId="186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85" priority="880" operator="lessThan">
      <formula>0.8</formula>
    </cfRule>
    <cfRule type="cellIs" dxfId="184" priority="881" operator="greaterThan">
      <formula>0.8</formula>
    </cfRule>
  </conditionalFormatting>
  <conditionalFormatting sqref="V5:AJ5">
    <cfRule type="notContainsText" dxfId="183" priority="878" operator="notContains" text="Caida">
      <formula>ISERROR(SEARCH("Caida",V5))</formula>
    </cfRule>
    <cfRule type="containsText" dxfId="182" priority="879" operator="containsText" text="Caida">
      <formula>NOT(ISERROR(SEARCH("Caida",V5)))</formula>
    </cfRule>
  </conditionalFormatting>
  <conditionalFormatting sqref="V93:X95">
    <cfRule type="cellIs" dxfId="181" priority="876" operator="lessThan">
      <formula>0.8</formula>
    </cfRule>
    <cfRule type="cellIs" dxfId="180" priority="877" operator="greaterThan">
      <formula>0.8</formula>
    </cfRule>
  </conditionalFormatting>
  <conditionalFormatting sqref="V93:X95">
    <cfRule type="notContainsText" dxfId="179" priority="874" operator="notContains" text="Caida">
      <formula>ISERROR(SEARCH("Caida",V93))</formula>
    </cfRule>
    <cfRule type="containsText" dxfId="178" priority="875" operator="containsText" text="Caida">
      <formula>NOT(ISERROR(SEARCH("Caida",V93)))</formula>
    </cfRule>
  </conditionalFormatting>
  <conditionalFormatting sqref="E1:E372 E391:E1048576">
    <cfRule type="containsText" dxfId="177" priority="734" operator="containsText" text="fija">
      <formula>NOT(ISERROR(SEARCH("fija",E1)))</formula>
    </cfRule>
    <cfRule type="containsText" dxfId="176" priority="735" operator="containsText" text="domo">
      <formula>NOT(ISERROR(SEARCH("domo",E1)))</formula>
    </cfRule>
  </conditionalFormatting>
  <conditionalFormatting sqref="AK6:AP92">
    <cfRule type="cellIs" dxfId="175" priority="710" operator="lessThan">
      <formula>0.8</formula>
    </cfRule>
    <cfRule type="cellIs" dxfId="174" priority="711" operator="greaterThan">
      <formula>0.8</formula>
    </cfRule>
  </conditionalFormatting>
  <conditionalFormatting sqref="AK6:AP92">
    <cfRule type="notContainsText" dxfId="173" priority="708" operator="notContains" text="Caida">
      <formula>ISERROR(SEARCH("Caida",AK6))</formula>
    </cfRule>
    <cfRule type="containsText" dxfId="172" priority="709" operator="containsText" text="Caida">
      <formula>NOT(ISERROR(SEARCH("Caida",AK6)))</formula>
    </cfRule>
  </conditionalFormatting>
  <conditionalFormatting sqref="AK22:AR22">
    <cfRule type="containsText" dxfId="171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0" priority="705" operator="lessThan">
      <formula>0.8</formula>
    </cfRule>
    <cfRule type="cellIs" dxfId="169" priority="706" operator="greaterThan">
      <formula>0.8</formula>
    </cfRule>
  </conditionalFormatting>
  <conditionalFormatting sqref="AK5:AR5">
    <cfRule type="notContainsText" dxfId="168" priority="703" operator="notContains" text="Caida">
      <formula>ISERROR(SEARCH("Caida",AK5))</formula>
    </cfRule>
    <cfRule type="containsText" dxfId="167" priority="704" operator="containsText" text="Caida">
      <formula>NOT(ISERROR(SEARCH("Caida",AK5)))</formula>
    </cfRule>
  </conditionalFormatting>
  <conditionalFormatting sqref="AK93:AP94">
    <cfRule type="cellIs" dxfId="166" priority="701" operator="lessThan">
      <formula>0.8</formula>
    </cfRule>
    <cfRule type="cellIs" dxfId="165" priority="702" operator="greaterThan">
      <formula>0.8</formula>
    </cfRule>
  </conditionalFormatting>
  <conditionalFormatting sqref="AK93:AP94">
    <cfRule type="notContainsText" dxfId="164" priority="699" operator="notContains" text="Caida">
      <formula>ISERROR(SEARCH("Caida",AK93))</formula>
    </cfRule>
    <cfRule type="containsText" dxfId="163" priority="700" operator="containsText" text="Caida">
      <formula>NOT(ISERROR(SEARCH("Caida",AK93)))</formula>
    </cfRule>
  </conditionalFormatting>
  <conditionalFormatting sqref="O247:O372 O5:AJ369 AK1:AR1 AK391:AR1048576 AK5:AR372">
    <cfRule type="cellIs" dxfId="162" priority="698" operator="equal">
      <formula>"APAGADO"</formula>
    </cfRule>
  </conditionalFormatting>
  <conditionalFormatting sqref="S6:S92 S96:S230">
    <cfRule type="cellIs" dxfId="161" priority="682" operator="lessThan">
      <formula>0.8</formula>
    </cfRule>
    <cfRule type="cellIs" dxfId="160" priority="683" operator="greaterThan">
      <formula>0.8</formula>
    </cfRule>
  </conditionalFormatting>
  <conditionalFormatting sqref="S6:S92 S96:S230">
    <cfRule type="notContainsText" dxfId="159" priority="680" operator="notContains" text="Caida">
      <formula>ISERROR(SEARCH("Caida",S6))</formula>
    </cfRule>
    <cfRule type="containsText" dxfId="158" priority="681" operator="containsText" text="Caida">
      <formula>NOT(ISERROR(SEARCH("Caida",S6)))</formula>
    </cfRule>
  </conditionalFormatting>
  <conditionalFormatting sqref="S337:S366 S284:S334">
    <cfRule type="cellIs" dxfId="157" priority="678" operator="lessThan">
      <formula>0.8</formula>
    </cfRule>
    <cfRule type="cellIs" dxfId="156" priority="679" operator="greaterThan">
      <formula>0.8</formula>
    </cfRule>
  </conditionalFormatting>
  <conditionalFormatting sqref="S337:S366 S284:S334">
    <cfRule type="notContainsText" dxfId="155" priority="676" operator="notContains" text="Caida">
      <formula>ISERROR(SEARCH("Caida",S284))</formula>
    </cfRule>
    <cfRule type="containsText" dxfId="154" priority="677" operator="containsText" text="Caida">
      <formula>NOT(ISERROR(SEARCH("Caida",S284)))</formula>
    </cfRule>
  </conditionalFormatting>
  <conditionalFormatting sqref="S93:S95">
    <cfRule type="cellIs" dxfId="153" priority="674" operator="lessThan">
      <formula>0.8</formula>
    </cfRule>
    <cfRule type="cellIs" dxfId="152" priority="675" operator="greaterThan">
      <formula>0.8</formula>
    </cfRule>
  </conditionalFormatting>
  <conditionalFormatting sqref="S93:S95">
    <cfRule type="notContainsText" dxfId="151" priority="672" operator="notContains" text="Caida">
      <formula>ISERROR(SEARCH("Caida",S93))</formula>
    </cfRule>
    <cfRule type="containsText" dxfId="150" priority="673" operator="containsText" text="Caida">
      <formula>NOT(ISERROR(SEARCH("Caida",S93)))</formula>
    </cfRule>
  </conditionalFormatting>
  <conditionalFormatting sqref="T6:T92 T96:T230">
    <cfRule type="cellIs" dxfId="149" priority="670" operator="lessThan">
      <formula>0.8</formula>
    </cfRule>
    <cfRule type="cellIs" dxfId="148" priority="671" operator="greaterThan">
      <formula>0.8</formula>
    </cfRule>
  </conditionalFormatting>
  <conditionalFormatting sqref="T6:T92 T96:T230">
    <cfRule type="notContainsText" dxfId="147" priority="668" operator="notContains" text="Caida">
      <formula>ISERROR(SEARCH("Caida",T6))</formula>
    </cfRule>
    <cfRule type="containsText" dxfId="146" priority="669" operator="containsText" text="Caida">
      <formula>NOT(ISERROR(SEARCH("Caida",T6)))</formula>
    </cfRule>
  </conditionalFormatting>
  <conditionalFormatting sqref="T337:T366 T284:T334">
    <cfRule type="cellIs" dxfId="145" priority="666" operator="lessThan">
      <formula>0.8</formula>
    </cfRule>
    <cfRule type="cellIs" dxfId="144" priority="667" operator="greaterThan">
      <formula>0.8</formula>
    </cfRule>
  </conditionalFormatting>
  <conditionalFormatting sqref="T337:T366 T284:T334">
    <cfRule type="notContainsText" dxfId="143" priority="664" operator="notContains" text="Caida">
      <formula>ISERROR(SEARCH("Caida",T284))</formula>
    </cfRule>
    <cfRule type="containsText" dxfId="142" priority="665" operator="containsText" text="Caida">
      <formula>NOT(ISERROR(SEARCH("Caida",T284)))</formula>
    </cfRule>
  </conditionalFormatting>
  <conditionalFormatting sqref="T93:T95">
    <cfRule type="cellIs" dxfId="141" priority="662" operator="lessThan">
      <formula>0.8</formula>
    </cfRule>
    <cfRule type="cellIs" dxfId="140" priority="663" operator="greaterThan">
      <formula>0.8</formula>
    </cfRule>
  </conditionalFormatting>
  <conditionalFormatting sqref="T93:T95">
    <cfRule type="notContainsText" dxfId="139" priority="660" operator="notContains" text="Caida">
      <formula>ISERROR(SEARCH("Caida",T93))</formula>
    </cfRule>
    <cfRule type="containsText" dxfId="138" priority="661" operator="containsText" text="Caida">
      <formula>NOT(ISERROR(SEARCH("Caida",T93)))</formula>
    </cfRule>
  </conditionalFormatting>
  <conditionalFormatting sqref="F1:F372 F391:F1048576">
    <cfRule type="cellIs" dxfId="137" priority="589" operator="equal">
      <formula>"PTP A FO"</formula>
    </cfRule>
  </conditionalFormatting>
  <conditionalFormatting sqref="R371:T372">
    <cfRule type="cellIs" dxfId="136" priority="218" operator="lessThan">
      <formula>0.8</formula>
    </cfRule>
    <cfRule type="cellIs" dxfId="135" priority="219" operator="greaterThan">
      <formula>0.8</formula>
    </cfRule>
  </conditionalFormatting>
  <conditionalFormatting sqref="R371:T372">
    <cfRule type="notContainsText" dxfId="134" priority="216" operator="notContains" text="Caida">
      <formula>ISERROR(SEARCH("Caida",R371))</formula>
    </cfRule>
    <cfRule type="containsText" dxfId="133" priority="217" operator="containsText" text="Caida">
      <formula>NOT(ISERROR(SEARCH("Caida",R371)))</formula>
    </cfRule>
  </conditionalFormatting>
  <conditionalFormatting sqref="O6:O92">
    <cfRule type="cellIs" dxfId="132" priority="206" operator="lessThan">
      <formula>0.8</formula>
    </cfRule>
    <cfRule type="cellIs" dxfId="131" priority="207" operator="greaterThan">
      <formula>0.8</formula>
    </cfRule>
  </conditionalFormatting>
  <conditionalFormatting sqref="O6:O92">
    <cfRule type="notContainsText" dxfId="130" priority="204" operator="notContains" text="Caida">
      <formula>ISERROR(SEARCH("Caida",O6))</formula>
    </cfRule>
    <cfRule type="containsText" dxfId="129" priority="205" operator="containsText" text="Caida">
      <formula>NOT(ISERROR(SEARCH("Caida",O6)))</formula>
    </cfRule>
  </conditionalFormatting>
  <conditionalFormatting sqref="O22">
    <cfRule type="containsText" dxfId="128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27" priority="201" operator="lessThan">
      <formula>0.8</formula>
    </cfRule>
    <cfRule type="cellIs" dxfId="126" priority="202" operator="greaterThan">
      <formula>0.8</formula>
    </cfRule>
  </conditionalFormatting>
  <conditionalFormatting sqref="O5">
    <cfRule type="notContainsText" dxfId="125" priority="199" operator="notContains" text="Caida">
      <formula>ISERROR(SEARCH("Caida",O5))</formula>
    </cfRule>
    <cfRule type="containsText" dxfId="124" priority="200" operator="containsText" text="Caida">
      <formula>NOT(ISERROR(SEARCH("Caida",O5)))</formula>
    </cfRule>
  </conditionalFormatting>
  <conditionalFormatting sqref="O93:O94">
    <cfRule type="cellIs" dxfId="123" priority="197" operator="lessThan">
      <formula>0.8</formula>
    </cfRule>
    <cfRule type="cellIs" dxfId="122" priority="198" operator="greaterThan">
      <formula>0.8</formula>
    </cfRule>
  </conditionalFormatting>
  <conditionalFormatting sqref="O93:O94">
    <cfRule type="notContainsText" dxfId="121" priority="195" operator="notContains" text="Caida">
      <formula>ISERROR(SEARCH("Caida",O93))</formula>
    </cfRule>
    <cfRule type="containsText" dxfId="120" priority="196" operator="containsText" text="Caida">
      <formula>NOT(ISERROR(SEARCH("Caida",O93)))</formula>
    </cfRule>
  </conditionalFormatting>
  <conditionalFormatting sqref="AR6:AR92">
    <cfRule type="cellIs" dxfId="119" priority="188" operator="lessThan">
      <formula>0.8</formula>
    </cfRule>
    <cfRule type="cellIs" dxfId="118" priority="189" operator="greaterThan">
      <formula>0.8</formula>
    </cfRule>
  </conditionalFormatting>
  <conditionalFormatting sqref="AR6:AR92">
    <cfRule type="notContainsText" dxfId="117" priority="186" operator="notContains" text="Caida">
      <formula>ISERROR(SEARCH("Caida",AR6))</formula>
    </cfRule>
    <cfRule type="containsText" dxfId="116" priority="187" operator="containsText" text="Caida">
      <formula>NOT(ISERROR(SEARCH("Caida",AR6)))</formula>
    </cfRule>
  </conditionalFormatting>
  <conditionalFormatting sqref="AR93:AR94">
    <cfRule type="cellIs" dxfId="115" priority="184" operator="lessThan">
      <formula>0.8</formula>
    </cfRule>
    <cfRule type="cellIs" dxfId="114" priority="185" operator="greaterThan">
      <formula>0.8</formula>
    </cfRule>
  </conditionalFormatting>
  <conditionalFormatting sqref="AR93:AR94">
    <cfRule type="notContainsText" dxfId="113" priority="182" operator="notContains" text="Caida">
      <formula>ISERROR(SEARCH("Caida",AR93))</formula>
    </cfRule>
    <cfRule type="containsText" dxfId="112" priority="183" operator="containsText" text="Caida">
      <formula>NOT(ISERROR(SEARCH("Caida",AR93)))</formula>
    </cfRule>
  </conditionalFormatting>
  <conditionalFormatting sqref="Y6:AF92">
    <cfRule type="cellIs" dxfId="111" priority="123" operator="lessThan">
      <formula>0.8</formula>
    </cfRule>
    <cfRule type="cellIs" dxfId="110" priority="124" operator="greaterThan">
      <formula>0.8</formula>
    </cfRule>
  </conditionalFormatting>
  <conditionalFormatting sqref="Y6:AF92">
    <cfRule type="notContainsText" dxfId="109" priority="121" operator="notContains" text="Caida">
      <formula>ISERROR(SEARCH("Caida",Y6))</formula>
    </cfRule>
    <cfRule type="containsText" dxfId="108" priority="122" operator="containsText" text="Caida">
      <formula>NOT(ISERROR(SEARCH("Caida",Y6)))</formula>
    </cfRule>
  </conditionalFormatting>
  <conditionalFormatting sqref="Y93:AF95">
    <cfRule type="cellIs" dxfId="107" priority="119" operator="lessThan">
      <formula>0.8</formula>
    </cfRule>
    <cfRule type="cellIs" dxfId="106" priority="120" operator="greaterThan">
      <formula>0.8</formula>
    </cfRule>
  </conditionalFormatting>
  <conditionalFormatting sqref="Y93:AF95">
    <cfRule type="notContainsText" dxfId="105" priority="117" operator="notContains" text="Caida">
      <formula>ISERROR(SEARCH("Caida",Y93))</formula>
    </cfRule>
    <cfRule type="containsText" dxfId="104" priority="118" operator="containsText" text="Caida">
      <formula>NOT(ISERROR(SEARCH("Caida",Y93)))</formula>
    </cfRule>
  </conditionalFormatting>
  <conditionalFormatting sqref="AF1:AF3 AF5:AF376 AF378:AF1048576">
    <cfRule type="cellIs" dxfId="103" priority="116" operator="equal">
      <formula>"apagado"</formula>
    </cfRule>
  </conditionalFormatting>
  <conditionalFormatting sqref="AE1:AE3 AE5:AE376 AE378:AE1048576">
    <cfRule type="cellIs" dxfId="102" priority="115" operator="equal">
      <formula>"apagado"</formula>
    </cfRule>
  </conditionalFormatting>
  <conditionalFormatting sqref="AD1:AD3 AD5:AD376 AD378:AD1048576">
    <cfRule type="cellIs" dxfId="101" priority="114" operator="equal">
      <formula>"apagado"</formula>
    </cfRule>
  </conditionalFormatting>
  <conditionalFormatting sqref="AC1:AC3 AC5:AC376 AC378:AC1048576">
    <cfRule type="cellIs" dxfId="100" priority="113" operator="equal">
      <formula>"apagado"</formula>
    </cfRule>
  </conditionalFormatting>
  <conditionalFormatting sqref="AB1:AB3 AB5:AB376 AB378:AB1048576">
    <cfRule type="cellIs" dxfId="99" priority="112" operator="equal">
      <formula>"apagado"</formula>
    </cfRule>
  </conditionalFormatting>
  <conditionalFormatting sqref="AA1:AA3 AA5:AA376 AA378:AA1048576">
    <cfRule type="cellIs" dxfId="98" priority="111" operator="equal">
      <formula>"apagado"</formula>
    </cfRule>
  </conditionalFormatting>
  <conditionalFormatting sqref="Z1:Z3 Z5:Z376 Z378:Z1048576">
    <cfRule type="cellIs" dxfId="97" priority="110" operator="equal">
      <formula>"apagado"</formula>
    </cfRule>
  </conditionalFormatting>
  <conditionalFormatting sqref="Y1:Y3 Y5:Y376 Y378:Y1048576">
    <cfRule type="cellIs" dxfId="96" priority="109" operator="equal">
      <formula>"apagado"</formula>
    </cfRule>
  </conditionalFormatting>
  <conditionalFormatting sqref="AG6:AG92">
    <cfRule type="cellIs" dxfId="95" priority="107" operator="lessThan">
      <formula>0.8</formula>
    </cfRule>
    <cfRule type="cellIs" dxfId="94" priority="108" operator="greaterThan">
      <formula>0.8</formula>
    </cfRule>
  </conditionalFormatting>
  <conditionalFormatting sqref="AG6:AG92">
    <cfRule type="notContainsText" dxfId="93" priority="105" operator="notContains" text="Caida">
      <formula>ISERROR(SEARCH("Caida",AG6))</formula>
    </cfRule>
    <cfRule type="containsText" dxfId="92" priority="106" operator="containsText" text="Caida">
      <formula>NOT(ISERROR(SEARCH("Caida",AG6)))</formula>
    </cfRule>
  </conditionalFormatting>
  <conditionalFormatting sqref="AG93:AG95">
    <cfRule type="cellIs" dxfId="91" priority="103" operator="lessThan">
      <formula>0.8</formula>
    </cfRule>
    <cfRule type="cellIs" dxfId="90" priority="104" operator="greaterThan">
      <formula>0.8</formula>
    </cfRule>
  </conditionalFormatting>
  <conditionalFormatting sqref="AG93:AG95">
    <cfRule type="notContainsText" dxfId="89" priority="101" operator="notContains" text="Caida">
      <formula>ISERROR(SEARCH("Caida",AG93))</formula>
    </cfRule>
    <cfRule type="containsText" dxfId="88" priority="102" operator="containsText" text="Caida">
      <formula>NOT(ISERROR(SEARCH("Caida",AG93)))</formula>
    </cfRule>
  </conditionalFormatting>
  <conditionalFormatting sqref="AG1:AG3 AG5:AG376 AG378:AG1048576">
    <cfRule type="cellIs" dxfId="87" priority="100" operator="equal">
      <formula>"apagado"</formula>
    </cfRule>
  </conditionalFormatting>
  <conditionalFormatting sqref="AH6:AH92">
    <cfRule type="cellIs" dxfId="86" priority="98" operator="lessThan">
      <formula>0.8</formula>
    </cfRule>
    <cfRule type="cellIs" dxfId="85" priority="99" operator="greaterThan">
      <formula>0.8</formula>
    </cfRule>
  </conditionalFormatting>
  <conditionalFormatting sqref="AH6:AH92">
    <cfRule type="notContainsText" dxfId="84" priority="96" operator="notContains" text="Caida">
      <formula>ISERROR(SEARCH("Caida",AH6))</formula>
    </cfRule>
    <cfRule type="containsText" dxfId="83" priority="97" operator="containsText" text="Caida">
      <formula>NOT(ISERROR(SEARCH("Caida",AH6)))</formula>
    </cfRule>
  </conditionalFormatting>
  <conditionalFormatting sqref="AH93:AH95">
    <cfRule type="cellIs" dxfId="82" priority="94" operator="lessThan">
      <formula>0.8</formula>
    </cfRule>
    <cfRule type="cellIs" dxfId="81" priority="95" operator="greaterThan">
      <formula>0.8</formula>
    </cfRule>
  </conditionalFormatting>
  <conditionalFormatting sqref="AH93:AH95">
    <cfRule type="notContainsText" dxfId="80" priority="92" operator="notContains" text="Caida">
      <formula>ISERROR(SEARCH("Caida",AH93))</formula>
    </cfRule>
    <cfRule type="containsText" dxfId="79" priority="93" operator="containsText" text="Caida">
      <formula>NOT(ISERROR(SEARCH("Caida",AH93)))</formula>
    </cfRule>
  </conditionalFormatting>
  <conditionalFormatting sqref="AH1:AH3 AH5:AH376 AH378:AH1048576">
    <cfRule type="cellIs" dxfId="78" priority="91" operator="equal">
      <formula>"apagado"</formula>
    </cfRule>
  </conditionalFormatting>
  <conditionalFormatting sqref="AI6:AI92">
    <cfRule type="cellIs" dxfId="77" priority="89" operator="lessThan">
      <formula>0.8</formula>
    </cfRule>
    <cfRule type="cellIs" dxfId="76" priority="90" operator="greaterThan">
      <formula>0.8</formula>
    </cfRule>
  </conditionalFormatting>
  <conditionalFormatting sqref="AI6:AI92">
    <cfRule type="notContainsText" dxfId="75" priority="87" operator="notContains" text="Caida">
      <formula>ISERROR(SEARCH("Caida",AI6))</formula>
    </cfRule>
    <cfRule type="containsText" dxfId="74" priority="88" operator="containsText" text="Caida">
      <formula>NOT(ISERROR(SEARCH("Caida",AI6)))</formula>
    </cfRule>
  </conditionalFormatting>
  <conditionalFormatting sqref="AI93:AI95">
    <cfRule type="cellIs" dxfId="73" priority="85" operator="lessThan">
      <formula>0.8</formula>
    </cfRule>
    <cfRule type="cellIs" dxfId="72" priority="86" operator="greaterThan">
      <formula>0.8</formula>
    </cfRule>
  </conditionalFormatting>
  <conditionalFormatting sqref="AI93:AI95">
    <cfRule type="notContainsText" dxfId="71" priority="83" operator="notContains" text="Caida">
      <formula>ISERROR(SEARCH("Caida",AI93))</formula>
    </cfRule>
    <cfRule type="containsText" dxfId="70" priority="84" operator="containsText" text="Caida">
      <formula>NOT(ISERROR(SEARCH("Caida",AI93)))</formula>
    </cfRule>
  </conditionalFormatting>
  <conditionalFormatting sqref="AI1:AI3 AI5:AI376 AI378:AI1048576">
    <cfRule type="cellIs" dxfId="69" priority="82" operator="equal">
      <formula>"apagado"</formula>
    </cfRule>
  </conditionalFormatting>
  <conditionalFormatting sqref="AJ6:AJ92">
    <cfRule type="cellIs" dxfId="68" priority="80" operator="lessThan">
      <formula>0.8</formula>
    </cfRule>
    <cfRule type="cellIs" dxfId="67" priority="81" operator="greaterThan">
      <formula>0.8</formula>
    </cfRule>
  </conditionalFormatting>
  <conditionalFormatting sqref="AJ6:AJ92">
    <cfRule type="notContainsText" dxfId="66" priority="78" operator="notContains" text="Caida">
      <formula>ISERROR(SEARCH("Caida",AJ6))</formula>
    </cfRule>
    <cfRule type="containsText" dxfId="65" priority="79" operator="containsText" text="Caida">
      <formula>NOT(ISERROR(SEARCH("Caida",AJ6)))</formula>
    </cfRule>
  </conditionalFormatting>
  <conditionalFormatting sqref="AJ93:AJ95">
    <cfRule type="cellIs" dxfId="64" priority="76" operator="lessThan">
      <formula>0.8</formula>
    </cfRule>
    <cfRule type="cellIs" dxfId="63" priority="77" operator="greaterThan">
      <formula>0.8</formula>
    </cfRule>
  </conditionalFormatting>
  <conditionalFormatting sqref="AJ93:AJ95">
    <cfRule type="notContainsText" dxfId="62" priority="74" operator="notContains" text="Caida">
      <formula>ISERROR(SEARCH("Caida",AJ93))</formula>
    </cfRule>
    <cfRule type="containsText" dxfId="61" priority="75" operator="containsText" text="Caida">
      <formula>NOT(ISERROR(SEARCH("Caida",AJ93)))</formula>
    </cfRule>
  </conditionalFormatting>
  <conditionalFormatting sqref="AJ1:AJ3 AJ5:AJ376 AJ378:AJ1048576">
    <cfRule type="cellIs" dxfId="60" priority="73" operator="equal">
      <formula>"apagado"</formula>
    </cfRule>
  </conditionalFormatting>
  <conditionalFormatting sqref="AQ95:AQ369">
    <cfRule type="cellIs" dxfId="59" priority="54" operator="lessThan">
      <formula>0.8</formula>
    </cfRule>
    <cfRule type="cellIs" dxfId="58" priority="55" operator="greaterThan">
      <formula>0.8</formula>
    </cfRule>
  </conditionalFormatting>
  <conditionalFormatting sqref="AQ95:AQ372 AQ391:AQ1048576">
    <cfRule type="notContainsText" dxfId="57" priority="52" operator="notContains" text="Caida">
      <formula>ISERROR(SEARCH("Caida",AQ95))</formula>
    </cfRule>
    <cfRule type="containsText" dxfId="56" priority="53" operator="containsText" text="Caida">
      <formula>NOT(ISERROR(SEARCH("Caida",AQ95)))</formula>
    </cfRule>
  </conditionalFormatting>
  <conditionalFormatting sqref="AQ6:AQ92">
    <cfRule type="cellIs" dxfId="55" priority="50" operator="lessThan">
      <formula>0.8</formula>
    </cfRule>
    <cfRule type="cellIs" dxfId="54" priority="51" operator="greaterThan">
      <formula>0.8</formula>
    </cfRule>
  </conditionalFormatting>
  <conditionalFormatting sqref="AQ6:AQ92">
    <cfRule type="notContainsText" dxfId="53" priority="48" operator="notContains" text="Caida">
      <formula>ISERROR(SEARCH("Caida",AQ6))</formula>
    </cfRule>
    <cfRule type="containsText" dxfId="52" priority="49" operator="containsText" text="Caida">
      <formula>NOT(ISERROR(SEARCH("Caida",AQ6)))</formula>
    </cfRule>
  </conditionalFormatting>
  <conditionalFormatting sqref="AQ93:AQ94">
    <cfRule type="cellIs" dxfId="51" priority="46" operator="lessThan">
      <formula>0.8</formula>
    </cfRule>
    <cfRule type="cellIs" dxfId="50" priority="47" operator="greaterThan">
      <formula>0.8</formula>
    </cfRule>
  </conditionalFormatting>
  <conditionalFormatting sqref="AQ93:AQ94">
    <cfRule type="notContainsText" dxfId="49" priority="44" operator="notContains" text="Caida">
      <formula>ISERROR(SEARCH("Caida",AQ93))</formula>
    </cfRule>
    <cfRule type="containsText" dxfId="48" priority="45" operator="containsText" text="Caida">
      <formula>NOT(ISERROR(SEARCH("Caida",AQ93)))</formula>
    </cfRule>
  </conditionalFormatting>
  <conditionalFormatting sqref="AQ10">
    <cfRule type="cellIs" dxfId="47" priority="39" operator="equal">
      <formula>"apagado"</formula>
    </cfRule>
    <cfRule type="cellIs" dxfId="46" priority="42" operator="lessThan">
      <formula>0.8</formula>
    </cfRule>
    <cfRule type="cellIs" dxfId="45" priority="43" operator="greaterThan">
      <formula>0.8</formula>
    </cfRule>
  </conditionalFormatting>
  <conditionalFormatting sqref="AQ10">
    <cfRule type="notContainsText" dxfId="44" priority="40" operator="notContains" text="Caida">
      <formula>ISERROR(SEARCH("Caida",AQ10))</formula>
    </cfRule>
    <cfRule type="containsText" dxfId="43" priority="41" operator="containsText" text="Caida">
      <formula>NOT(ISERROR(SEARCH("Caida",AQ10)))</formula>
    </cfRule>
  </conditionalFormatting>
  <conditionalFormatting sqref="AQ1:AQ3 AQ5:AQ376 AQ378:AQ1048576">
    <cfRule type="cellIs" dxfId="42" priority="38" operator="equal">
      <formula>"apagado"</formula>
    </cfRule>
  </conditionalFormatting>
  <conditionalFormatting sqref="O5:AR376">
    <cfRule type="cellIs" dxfId="41" priority="37" operator="equal">
      <formula>"APAGADO"</formula>
    </cfRule>
  </conditionalFormatting>
  <conditionalFormatting sqref="AF377">
    <cfRule type="cellIs" dxfId="40" priority="34" operator="equal">
      <formula>"apagado"</formula>
    </cfRule>
  </conditionalFormatting>
  <conditionalFormatting sqref="AE377">
    <cfRule type="cellIs" dxfId="39" priority="33" operator="equal">
      <formula>"apagado"</formula>
    </cfRule>
  </conditionalFormatting>
  <conditionalFormatting sqref="AD377">
    <cfRule type="cellIs" dxfId="38" priority="32" operator="equal">
      <formula>"apagado"</formula>
    </cfRule>
  </conditionalFormatting>
  <conditionalFormatting sqref="AC377">
    <cfRule type="cellIs" dxfId="37" priority="31" operator="equal">
      <formula>"apagado"</formula>
    </cfRule>
  </conditionalFormatting>
  <conditionalFormatting sqref="AB377">
    <cfRule type="cellIs" dxfId="36" priority="30" operator="equal">
      <formula>"apagado"</formula>
    </cfRule>
  </conditionalFormatting>
  <conditionalFormatting sqref="AA377">
    <cfRule type="cellIs" dxfId="35" priority="29" operator="equal">
      <formula>"apagado"</formula>
    </cfRule>
  </conditionalFormatting>
  <conditionalFormatting sqref="Z377">
    <cfRule type="cellIs" dxfId="34" priority="28" operator="equal">
      <formula>"apagado"</formula>
    </cfRule>
  </conditionalFormatting>
  <conditionalFormatting sqref="Y377">
    <cfRule type="cellIs" dxfId="33" priority="27" operator="equal">
      <formula>"apagado"</formula>
    </cfRule>
  </conditionalFormatting>
  <conditionalFormatting sqref="AG377">
    <cfRule type="cellIs" dxfId="32" priority="26" operator="equal">
      <formula>"apagado"</formula>
    </cfRule>
  </conditionalFormatting>
  <conditionalFormatting sqref="AH377">
    <cfRule type="cellIs" dxfId="31" priority="25" operator="equal">
      <formula>"apagado"</formula>
    </cfRule>
  </conditionalFormatting>
  <conditionalFormatting sqref="AI377">
    <cfRule type="cellIs" dxfId="30" priority="24" operator="equal">
      <formula>"apagado"</formula>
    </cfRule>
  </conditionalFormatting>
  <conditionalFormatting sqref="AJ377">
    <cfRule type="cellIs" dxfId="29" priority="23" operator="equal">
      <formula>"apagado"</formula>
    </cfRule>
  </conditionalFormatting>
  <conditionalFormatting sqref="AQ377">
    <cfRule type="cellIs" dxfId="28" priority="22" operator="equal">
      <formula>"apagado"</formula>
    </cfRule>
  </conditionalFormatting>
  <conditionalFormatting sqref="O377:AR377">
    <cfRule type="cellIs" dxfId="27" priority="21" operator="equal">
      <formula>"APAGADO"</formula>
    </cfRule>
  </conditionalFormatting>
  <conditionalFormatting sqref="AS95:AS369">
    <cfRule type="cellIs" dxfId="26" priority="19" operator="lessThan">
      <formula>0.8</formula>
    </cfRule>
    <cfRule type="cellIs" dxfId="25" priority="20" operator="greaterThan">
      <formula>0.8</formula>
    </cfRule>
  </conditionalFormatting>
  <conditionalFormatting sqref="AS391:AS1048576 AS95:AS372">
    <cfRule type="notContainsText" dxfId="24" priority="17" operator="notContains" text="Caida">
      <formula>ISERROR(SEARCH("Caida",AS95))</formula>
    </cfRule>
    <cfRule type="containsText" dxfId="23" priority="18" operator="containsText" text="Caida">
      <formula>NOT(ISERROR(SEARCH("Caida",AS95)))</formula>
    </cfRule>
  </conditionalFormatting>
  <conditionalFormatting sqref="AS22">
    <cfRule type="containsText" dxfId="22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1" priority="14" operator="lessThan">
      <formula>0.8</formula>
    </cfRule>
    <cfRule type="cellIs" dxfId="20" priority="15" operator="greaterThan">
      <formula>0.8</formula>
    </cfRule>
  </conditionalFormatting>
  <conditionalFormatting sqref="AS5">
    <cfRule type="notContainsText" dxfId="19" priority="12" operator="notContains" text="Caida">
      <formula>ISERROR(SEARCH("Caida",AS5))</formula>
    </cfRule>
    <cfRule type="containsText" dxfId="18" priority="13" operator="containsText" text="Caida">
      <formula>NOT(ISERROR(SEARCH("Caida",AS5)))</formula>
    </cfRule>
  </conditionalFormatting>
  <conditionalFormatting sqref="AS1 AS391:AS1048576 AS5:AS372">
    <cfRule type="cellIs" dxfId="17" priority="11" operator="equal">
      <formula>"APAGADO"</formula>
    </cfRule>
  </conditionalFormatting>
  <conditionalFormatting sqref="AS6:AS92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S6:AS92">
    <cfRule type="notContainsText" dxfId="14" priority="7" operator="notContains" text="Caida">
      <formula>ISERROR(SEARCH("Caida",AS6))</formula>
    </cfRule>
    <cfRule type="containsText" dxfId="13" priority="8" operator="containsText" text="Caida">
      <formula>NOT(ISERROR(SEARCH("Caida",AS6)))</formula>
    </cfRule>
  </conditionalFormatting>
  <conditionalFormatting sqref="AS93:AS94">
    <cfRule type="cellIs" dxfId="12" priority="5" operator="lessThan">
      <formula>0.8</formula>
    </cfRule>
    <cfRule type="cellIs" dxfId="11" priority="6" operator="greaterThan">
      <formula>0.8</formula>
    </cfRule>
  </conditionalFormatting>
  <conditionalFormatting sqref="AS93:AS94">
    <cfRule type="notContainsText" dxfId="10" priority="3" operator="notContains" text="Caida">
      <formula>ISERROR(SEARCH("Caida",AS93))</formula>
    </cfRule>
    <cfRule type="containsText" dxfId="9" priority="4" operator="containsText" text="Caida">
      <formula>NOT(ISERROR(SEARCH("Caida",AS93)))</formula>
    </cfRule>
  </conditionalFormatting>
  <conditionalFormatting sqref="AS5:AS376">
    <cfRule type="cellIs" dxfId="8" priority="2" operator="equal">
      <formula>"APAGADO"</formula>
    </cfRule>
  </conditionalFormatting>
  <conditionalFormatting sqref="AS37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"/>
  <sheetViews>
    <sheetView workbookViewId="0">
      <selection sqref="A1:I14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A3" sqref="A3:A32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16384" width="11.5546875" style="46"/>
  </cols>
  <sheetData>
    <row r="1" spans="1:1" x14ac:dyDescent="0.3">
      <c r="A1" s="46" t="s">
        <v>1309</v>
      </c>
    </row>
    <row r="2" spans="1:1" ht="15" thickBot="1" x14ac:dyDescent="0.35"/>
    <row r="3" spans="1:1" ht="19.2" thickTop="1" thickBot="1" x14ac:dyDescent="0.35">
      <c r="A3" s="47">
        <v>44682</v>
      </c>
    </row>
    <row r="4" spans="1:1" ht="19.2" thickTop="1" thickBot="1" x14ac:dyDescent="0.35">
      <c r="A4" s="47">
        <v>44683</v>
      </c>
    </row>
    <row r="5" spans="1:1" ht="19.2" thickTop="1" thickBot="1" x14ac:dyDescent="0.35">
      <c r="A5" s="47">
        <v>44684</v>
      </c>
    </row>
    <row r="6" spans="1:1" ht="19.2" thickTop="1" thickBot="1" x14ac:dyDescent="0.35">
      <c r="A6" s="47">
        <v>44685</v>
      </c>
    </row>
    <row r="7" spans="1:1" ht="19.2" thickTop="1" thickBot="1" x14ac:dyDescent="0.35">
      <c r="A7" s="47">
        <v>44686</v>
      </c>
    </row>
    <row r="8" spans="1:1" ht="19.2" thickTop="1" thickBot="1" x14ac:dyDescent="0.35">
      <c r="A8" s="47">
        <v>44687</v>
      </c>
    </row>
    <row r="9" spans="1:1" ht="19.2" thickTop="1" thickBot="1" x14ac:dyDescent="0.35">
      <c r="A9" s="47">
        <v>44688</v>
      </c>
    </row>
    <row r="10" spans="1:1" ht="19.2" thickTop="1" thickBot="1" x14ac:dyDescent="0.35">
      <c r="A10" s="47">
        <v>44689</v>
      </c>
    </row>
    <row r="11" spans="1:1" ht="19.2" thickTop="1" thickBot="1" x14ac:dyDescent="0.35">
      <c r="A11" s="47">
        <v>44690</v>
      </c>
    </row>
    <row r="12" spans="1:1" ht="19.2" thickTop="1" thickBot="1" x14ac:dyDescent="0.35">
      <c r="A12" s="47">
        <v>44691</v>
      </c>
    </row>
    <row r="13" spans="1:1" ht="19.2" thickTop="1" thickBot="1" x14ac:dyDescent="0.35">
      <c r="A13" s="47">
        <v>44692</v>
      </c>
    </row>
    <row r="14" spans="1:1" ht="19.2" thickTop="1" thickBot="1" x14ac:dyDescent="0.35">
      <c r="A14" s="47">
        <v>44693</v>
      </c>
    </row>
    <row r="15" spans="1:1" ht="19.2" thickTop="1" thickBot="1" x14ac:dyDescent="0.35">
      <c r="A15" s="47">
        <v>44694</v>
      </c>
    </row>
    <row r="16" spans="1:1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K12" sqref="K12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8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8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8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11" sqref="G11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>B2+C2</f>
        <v>45</v>
      </c>
      <c r="F2">
        <f>'RESUMEN TOTAL'!C1</f>
        <v>373</v>
      </c>
      <c r="G2" s="65">
        <f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>B3+C3</f>
        <v>34</v>
      </c>
      <c r="F3">
        <f>'RESUMEN TOTAL'!C1</f>
        <v>373</v>
      </c>
      <c r="G3" s="65">
        <f>E3/F3</f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>B4+C4</f>
        <v>32</v>
      </c>
      <c r="F4">
        <f>'RESUMEN TOTAL'!C1</f>
        <v>373</v>
      </c>
      <c r="G4" s="65">
        <f>E4/F4</f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>B5+C5</f>
        <v>159</v>
      </c>
      <c r="F5">
        <f>'RESUMEN TOTAL'!C1</f>
        <v>373</v>
      </c>
      <c r="G5" s="65">
        <f>E5/F5</f>
        <v>0.42627345844504022</v>
      </c>
    </row>
    <row r="6" spans="1:7" x14ac:dyDescent="0.3">
      <c r="A6" s="25">
        <f>'APAGADOS RADIO'!J3</f>
        <v>44686</v>
      </c>
      <c r="B6" s="59"/>
      <c r="C6" s="59"/>
      <c r="D6" s="59"/>
      <c r="E6" s="59"/>
      <c r="F6">
        <f>'RESUMEN TOTAL'!C1</f>
        <v>373</v>
      </c>
    </row>
    <row r="7" spans="1:7" x14ac:dyDescent="0.3">
      <c r="A7" s="25">
        <f>'APAGADOS RADIO'!K3</f>
        <v>44687</v>
      </c>
      <c r="B7" s="59"/>
      <c r="C7" s="59"/>
      <c r="D7" s="59"/>
      <c r="E7" s="59"/>
      <c r="F7">
        <f>'RESUMEN TOTAL'!C1</f>
        <v>373</v>
      </c>
    </row>
    <row r="8" spans="1:7" x14ac:dyDescent="0.3">
      <c r="A8" s="25">
        <f>'APAGADOS RADIO'!L3</f>
        <v>44688</v>
      </c>
      <c r="B8" s="59"/>
      <c r="C8" s="59"/>
      <c r="D8" s="59"/>
      <c r="E8" s="59"/>
      <c r="F8">
        <f>'RESUMEN TOTAL'!C1</f>
        <v>373</v>
      </c>
    </row>
    <row r="9" spans="1:7" x14ac:dyDescent="0.3">
      <c r="A9" s="25">
        <f>'APAGADOS RADIO'!M3</f>
        <v>44689</v>
      </c>
      <c r="B9" s="59"/>
      <c r="C9" s="59"/>
      <c r="D9" s="59"/>
      <c r="E9" s="59"/>
      <c r="F9">
        <f>'RESUMEN TOTAL'!C1</f>
        <v>373</v>
      </c>
    </row>
    <row r="10" spans="1:7" x14ac:dyDescent="0.3">
      <c r="A10" s="25">
        <f>'APAGADOS RADIO'!N3</f>
        <v>44690</v>
      </c>
      <c r="B10" s="59"/>
      <c r="C10" s="59"/>
      <c r="D10" s="59"/>
      <c r="E10" s="59"/>
      <c r="F10">
        <f>'RESUMEN TOTAL'!C1</f>
        <v>373</v>
      </c>
    </row>
    <row r="11" spans="1:7" x14ac:dyDescent="0.3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3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3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3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3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3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3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3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3">
      <c r="A31" s="25">
        <f>'APAGADOS RADIO'!AI3</f>
        <v>44711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2022-05-04T13:57:08Z</dcterms:modified>
</cp:coreProperties>
</file>