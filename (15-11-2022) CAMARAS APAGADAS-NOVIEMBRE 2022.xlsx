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FC6F0FF9-CCE6-4313-956A-86C8C37D82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GRAFICO2" sheetId="16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24" l="1"/>
  <c r="C29" i="24"/>
  <c r="D29" i="24" s="1"/>
  <c r="M5" i="25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12" i="14" l="1"/>
  <c r="F13" i="14"/>
  <c r="F14" i="14"/>
  <c r="F15" i="14"/>
  <c r="C30" i="24"/>
  <c r="F11" i="14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30" i="24" l="1"/>
  <c r="C31" i="24"/>
  <c r="D31" i="24" s="1"/>
  <c r="D25" i="24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Q2" i="21" l="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AA2" i="21"/>
  <c r="O2" i="21"/>
  <c r="D11" i="14" s="1"/>
  <c r="AI2" i="21"/>
  <c r="AH2" i="21"/>
  <c r="AC2" i="21"/>
  <c r="U2" i="21"/>
  <c r="T2" i="21"/>
  <c r="Z2" i="21"/>
  <c r="Y2" i="21"/>
  <c r="W2" i="21"/>
  <c r="AD2" i="21"/>
  <c r="V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2" i="10" s="1"/>
  <c r="C10" i="14" s="1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M2" i="10" s="1"/>
  <c r="C9" i="14" s="1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S2" i="11" l="1"/>
  <c r="B15" i="14" s="1"/>
  <c r="E15" i="14" s="1"/>
  <c r="G15" i="14" s="1"/>
  <c r="H1" i="9"/>
  <c r="AG2" i="21"/>
  <c r="AF2" i="21"/>
  <c r="AE2" i="21"/>
  <c r="AE2" i="10"/>
  <c r="AE2" i="11"/>
  <c r="AF2" i="11"/>
  <c r="AG2" i="11"/>
  <c r="AA2" i="10"/>
  <c r="AA2" i="11"/>
  <c r="AH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U2" i="10"/>
  <c r="W2" i="10"/>
  <c r="AG1" i="9"/>
  <c r="U1" i="9"/>
  <c r="V1" i="9"/>
  <c r="G1" i="9"/>
  <c r="R1" i="9"/>
  <c r="K1" i="9"/>
  <c r="D1" i="10"/>
  <c r="V2" i="10"/>
  <c r="Q1" i="9"/>
  <c r="AC2" i="10"/>
  <c r="F1" i="9"/>
  <c r="L1" i="9"/>
  <c r="D1" i="11"/>
  <c r="AC1" i="9"/>
  <c r="C2" i="14"/>
  <c r="AD1" i="9"/>
  <c r="O1" i="9"/>
  <c r="Y2" i="10"/>
  <c r="S1" i="9"/>
  <c r="AD2" i="10"/>
  <c r="Y1" i="9"/>
  <c r="Z2" i="10"/>
  <c r="T2" i="10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V2" i="11"/>
  <c r="Q2" i="11"/>
  <c r="B13" i="14" s="1"/>
  <c r="E13" i="14" s="1"/>
  <c r="G13" i="14" s="1"/>
  <c r="AC2" i="11"/>
  <c r="U2" i="11"/>
  <c r="X2" i="11"/>
  <c r="AD2" i="11"/>
  <c r="Y2" i="11"/>
  <c r="Z2" i="11"/>
  <c r="T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2" i="21"/>
  <c r="X385" i="21"/>
  <c r="AC1" i="2"/>
  <c r="AC3" i="2"/>
  <c r="AC2" i="2"/>
  <c r="X2" i="10"/>
  <c r="X385" i="10"/>
  <c r="X6" i="25"/>
  <c r="X5" i="25"/>
  <c r="J386" i="2"/>
  <c r="H386" i="2"/>
  <c r="X385" i="11"/>
  <c r="X383" i="8"/>
  <c r="X384" i="9"/>
  <c r="X1" i="9"/>
  <c r="AC386" i="2"/>
  <c r="I38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<sst xmlns="http://schemas.openxmlformats.org/spreadsheetml/2006/main" count="3854" uniqueCount="1294">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</sst>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22</c:v>
                </c:pt>
                <c:pt idx="14">
                  <c:v>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19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9.7777777777777783E-2</c:v>
                      </c:pt>
                      <c:pt idx="14">
                        <c:v>0.1111111111111111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9.2682926829268292E-2</c:v>
                      </c:pt>
                      <c:pt idx="14">
                        <c:v>7.8048780487804878E-2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9.7777777777777783E-2</c:v>
                </c:pt>
                <c:pt idx="14">
                  <c:v>0.1111111111111111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9.2682926829268292E-2</c:v>
                </c:pt>
                <c:pt idx="14">
                  <c:v>7.8048780487804878E-2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22</c:v>
                      </c:pt>
                      <c:pt idx="14">
                        <c:v>25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19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K364" activePane="bottomRight" state="frozen"/>
      <selection pane="topRight" activeCell="M1" sqref="M1"/>
      <selection pane="bottomLeft" activeCell="A5" sqref="A5"/>
      <selection pane="bottomRight" activeCell="B383" sqref="B383:G383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9.5348837209302331E-2</v>
      </c>
      <c r="Y1" s="4">
        <f t="shared" si="0"/>
        <v>9.5348837209302331E-2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389</v>
      </c>
      <c r="Y2" s="127">
        <f t="shared" si="1"/>
        <v>389</v>
      </c>
      <c r="Z2" s="127">
        <f t="shared" si="1"/>
        <v>430</v>
      </c>
      <c r="AA2" s="127">
        <f t="shared" si="1"/>
        <v>430</v>
      </c>
      <c r="AB2" s="127">
        <f t="shared" si="1"/>
        <v>430</v>
      </c>
      <c r="AC2" s="127">
        <f t="shared" ca="1" si="1"/>
        <v>430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41</v>
      </c>
      <c r="Y3" s="12">
        <f t="shared" si="2"/>
        <v>41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16</v>
      </c>
      <c r="I16" s="42">
        <f t="shared" si="3"/>
        <v>14</v>
      </c>
      <c r="J16" s="43">
        <f t="shared" si="4"/>
        <v>0.53333333333333333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 t="s">
        <v>1274</v>
      </c>
      <c r="Y16" s="20" t="s">
        <v>1274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27</v>
      </c>
      <c r="I17" s="42">
        <f>COUNTIF(K17:AL17,"APAGADO")</f>
        <v>3</v>
      </c>
      <c r="J17" s="43">
        <f>(H17)/(I17+H17)</f>
        <v>0.9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27</v>
      </c>
      <c r="I18" s="42">
        <f>COUNTIF(K18:AL18,"APAGADO")</f>
        <v>3</v>
      </c>
      <c r="J18" s="43">
        <f>(H18)/(I18+H18)</f>
        <v>0.9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28</v>
      </c>
      <c r="I19" s="42">
        <f t="shared" ref="I19:I22" si="7">COUNTIF(K19:AL19,"APAGADO")</f>
        <v>2</v>
      </c>
      <c r="J19" s="43">
        <f t="shared" ref="J19:J22" si="8">(H19)/(I19+H19)</f>
        <v>0.93333333333333335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30</v>
      </c>
      <c r="I20" s="42">
        <f t="shared" si="7"/>
        <v>0</v>
      </c>
      <c r="J20" s="43">
        <f t="shared" si="8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30</v>
      </c>
      <c r="I21" s="42">
        <f t="shared" si="7"/>
        <v>0</v>
      </c>
      <c r="J21" s="43">
        <f t="shared" si="8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30</v>
      </c>
      <c r="I22" s="42">
        <f t="shared" si="7"/>
        <v>0</v>
      </c>
      <c r="J22" s="43">
        <f t="shared" si="8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15</v>
      </c>
      <c r="I34" s="42">
        <f>COUNTIF(K34:AL34,"APAGADO")</f>
        <v>15</v>
      </c>
      <c r="J34" s="43">
        <f>(H34)/(I34+H34)</f>
        <v>0.5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 t="s">
        <v>1274</v>
      </c>
      <c r="Y34" s="20" t="s">
        <v>1274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29</v>
      </c>
      <c r="I37" s="42">
        <f t="shared" si="3"/>
        <v>1</v>
      </c>
      <c r="J37" s="43">
        <f t="shared" si="4"/>
        <v>0.96666666666666667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22</v>
      </c>
      <c r="I38" s="42">
        <f t="shared" si="3"/>
        <v>8</v>
      </c>
      <c r="J38" s="43">
        <f t="shared" si="4"/>
        <v>0.73333333333333328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15</v>
      </c>
      <c r="I40" s="42">
        <f t="shared" si="3"/>
        <v>15</v>
      </c>
      <c r="J40" s="43">
        <f t="shared" si="4"/>
        <v>0.5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 t="s">
        <v>1274</v>
      </c>
      <c r="Y40" s="20" t="s">
        <v>1274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15</v>
      </c>
      <c r="I48" s="42">
        <f t="shared" si="3"/>
        <v>15</v>
      </c>
      <c r="J48" s="43">
        <f t="shared" si="4"/>
        <v>0.5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 t="s">
        <v>1274</v>
      </c>
      <c r="Y48" s="20" t="s">
        <v>1274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15</v>
      </c>
      <c r="I49" s="42">
        <f t="shared" si="3"/>
        <v>15</v>
      </c>
      <c r="J49" s="43">
        <f t="shared" si="4"/>
        <v>0.5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 t="s">
        <v>1274</v>
      </c>
      <c r="Y49" s="20" t="s">
        <v>1274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15</v>
      </c>
      <c r="I51" s="42">
        <f t="shared" si="3"/>
        <v>15</v>
      </c>
      <c r="J51" s="43">
        <f t="shared" si="4"/>
        <v>0.5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 t="s">
        <v>1274</v>
      </c>
      <c r="Y51" s="20" t="s">
        <v>1274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27</v>
      </c>
      <c r="I52" s="42">
        <f t="shared" si="3"/>
        <v>3</v>
      </c>
      <c r="J52" s="43">
        <f t="shared" si="4"/>
        <v>0.9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15</v>
      </c>
      <c r="I54" s="42">
        <f t="shared" si="3"/>
        <v>15</v>
      </c>
      <c r="J54" s="43">
        <f t="shared" si="4"/>
        <v>0.5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 t="s">
        <v>1274</v>
      </c>
      <c r="Y54" s="20" t="s">
        <v>1274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15</v>
      </c>
      <c r="I56" s="42">
        <f t="shared" si="3"/>
        <v>15</v>
      </c>
      <c r="J56" s="43">
        <f t="shared" si="4"/>
        <v>0.5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 t="s">
        <v>1274</v>
      </c>
      <c r="Y56" s="20" t="s">
        <v>1274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29</v>
      </c>
      <c r="I60" s="42">
        <f t="shared" si="3"/>
        <v>1</v>
      </c>
      <c r="J60" s="43">
        <f t="shared" si="4"/>
        <v>0.96666666666666667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1274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17</v>
      </c>
      <c r="I69" s="42">
        <f t="shared" si="3"/>
        <v>13</v>
      </c>
      <c r="J69" s="43">
        <f t="shared" si="4"/>
        <v>0.56666666666666665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 t="s">
        <v>1274</v>
      </c>
      <c r="Y69" s="20" t="s">
        <v>1274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26</v>
      </c>
      <c r="I72" s="42">
        <f>COUNTIF(K72:AL72,"APAGADO")</f>
        <v>4</v>
      </c>
      <c r="J72" s="43">
        <f>(H72)/(I72+H72)</f>
        <v>0.8666666666666667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16</v>
      </c>
      <c r="I75" s="42">
        <f t="shared" si="3"/>
        <v>14</v>
      </c>
      <c r="J75" s="43">
        <f t="shared" si="4"/>
        <v>0.53333333333333333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 t="s">
        <v>1274</v>
      </c>
      <c r="Y75" s="20" t="s">
        <v>1274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28</v>
      </c>
      <c r="I77" s="42">
        <f t="shared" ref="I77:I140" si="10">COUNTIF(K77:AL77,"APAGADO")</f>
        <v>2</v>
      </c>
      <c r="J77" s="43">
        <f t="shared" ref="J77:J140" si="11">(H77)/(I77+H77)</f>
        <v>0.93333333333333335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29</v>
      </c>
      <c r="I85" s="42">
        <f t="shared" si="10"/>
        <v>1</v>
      </c>
      <c r="J85" s="43">
        <f t="shared" si="11"/>
        <v>0.96666666666666667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24</v>
      </c>
      <c r="I87" s="42">
        <f>COUNTIF(K87:AL87,"APAGADO")</f>
        <v>6</v>
      </c>
      <c r="J87" s="43">
        <f>(H87)/(I87+H87)</f>
        <v>0.8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24</v>
      </c>
      <c r="I88" s="42">
        <f t="shared" si="10"/>
        <v>6</v>
      </c>
      <c r="J88" s="43">
        <f t="shared" si="11"/>
        <v>0.8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16</v>
      </c>
      <c r="I94" s="42">
        <f>COUNTIF(K94:AL94,"APAGADO")</f>
        <v>14</v>
      </c>
      <c r="J94" s="43">
        <f>(H94)/(I94+H94)</f>
        <v>0.53333333333333333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 t="s">
        <v>1274</v>
      </c>
      <c r="Y94" s="20" t="s">
        <v>1274</v>
      </c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15</v>
      </c>
      <c r="I98" s="42">
        <f>COUNTIF(K98:AL98,"APAGADO")</f>
        <v>15</v>
      </c>
      <c r="J98" s="43">
        <f>(H98)/(I98+H98)</f>
        <v>0.5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 t="s">
        <v>1274</v>
      </c>
      <c r="Y98" s="20" t="s">
        <v>1274</v>
      </c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16</v>
      </c>
      <c r="I101" s="42">
        <f t="shared" si="10"/>
        <v>14</v>
      </c>
      <c r="J101" s="43">
        <f t="shared" si="11"/>
        <v>0.53333333333333333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 t="s">
        <v>1274</v>
      </c>
      <c r="Y101" s="20" t="s">
        <v>1274</v>
      </c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16</v>
      </c>
      <c r="I102" s="42">
        <f t="shared" si="10"/>
        <v>14</v>
      </c>
      <c r="J102" s="43">
        <f t="shared" si="11"/>
        <v>0.53333333333333333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 t="s">
        <v>1274</v>
      </c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26</v>
      </c>
      <c r="I122" s="42">
        <f t="shared" si="10"/>
        <v>4</v>
      </c>
      <c r="J122" s="43">
        <f t="shared" si="11"/>
        <v>0.8666666666666667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26</v>
      </c>
      <c r="I124" s="42">
        <f t="shared" si="10"/>
        <v>4</v>
      </c>
      <c r="J124" s="43">
        <f t="shared" si="11"/>
        <v>0.8666666666666667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 t="s">
        <v>1274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24</v>
      </c>
      <c r="I125" s="42">
        <f t="shared" si="10"/>
        <v>6</v>
      </c>
      <c r="J125" s="43">
        <f t="shared" si="11"/>
        <v>0.8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 t="s">
        <v>1274</v>
      </c>
      <c r="Y125" s="20" t="s">
        <v>1274</v>
      </c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29</v>
      </c>
      <c r="I139" s="42">
        <f t="shared" si="10"/>
        <v>1</v>
      </c>
      <c r="J139" s="43">
        <f t="shared" si="11"/>
        <v>0.96666666666666667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30</v>
      </c>
      <c r="I152" s="42">
        <f t="shared" si="16"/>
        <v>0</v>
      </c>
      <c r="J152" s="43">
        <f t="shared" si="17"/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27</v>
      </c>
      <c r="I160" s="42">
        <f t="shared" si="12"/>
        <v>3</v>
      </c>
      <c r="J160" s="43">
        <f t="shared" si="13"/>
        <v>0.9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15</v>
      </c>
      <c r="I165" s="42">
        <f t="shared" si="12"/>
        <v>15</v>
      </c>
      <c r="J165" s="43">
        <f t="shared" si="13"/>
        <v>0.5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 t="s">
        <v>1274</v>
      </c>
      <c r="Y165" s="20" t="s">
        <v>1274</v>
      </c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16</v>
      </c>
      <c r="I166" s="42">
        <f t="shared" si="12"/>
        <v>14</v>
      </c>
      <c r="J166" s="43">
        <f t="shared" si="13"/>
        <v>0.53333333333333333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 t="s">
        <v>1274</v>
      </c>
      <c r="Y166" s="20" t="s">
        <v>1274</v>
      </c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15</v>
      </c>
      <c r="I175" s="42">
        <f t="shared" si="12"/>
        <v>15</v>
      </c>
      <c r="J175" s="43">
        <f t="shared" si="13"/>
        <v>0.5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 t="s">
        <v>1274</v>
      </c>
      <c r="Y175" s="20" t="s">
        <v>1274</v>
      </c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15</v>
      </c>
      <c r="I177" s="42">
        <f t="shared" si="12"/>
        <v>15</v>
      </c>
      <c r="J177" s="43">
        <f t="shared" si="13"/>
        <v>0.5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 t="s">
        <v>1274</v>
      </c>
      <c r="Y177" s="20" t="s">
        <v>1274</v>
      </c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15</v>
      </c>
      <c r="I182" s="42">
        <f t="shared" si="12"/>
        <v>15</v>
      </c>
      <c r="J182" s="43">
        <f t="shared" si="13"/>
        <v>0.5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 t="s">
        <v>1274</v>
      </c>
      <c r="Y182" s="20" t="s">
        <v>1274</v>
      </c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25</v>
      </c>
      <c r="I184" s="42">
        <f t="shared" si="12"/>
        <v>5</v>
      </c>
      <c r="J184" s="43">
        <f t="shared" si="13"/>
        <v>0.83333333333333337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15</v>
      </c>
      <c r="I185" s="42">
        <f t="shared" si="12"/>
        <v>15</v>
      </c>
      <c r="J185" s="43">
        <f t="shared" si="13"/>
        <v>0.5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 t="s">
        <v>1274</v>
      </c>
      <c r="Y185" s="20" t="s">
        <v>1274</v>
      </c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15</v>
      </c>
      <c r="I187" s="42">
        <f t="shared" si="12"/>
        <v>15</v>
      </c>
      <c r="J187" s="43">
        <f t="shared" si="13"/>
        <v>0.5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 t="s">
        <v>1274</v>
      </c>
      <c r="Y187" s="20" t="s">
        <v>1274</v>
      </c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30</v>
      </c>
      <c r="I188" s="42">
        <f t="shared" si="12"/>
        <v>0</v>
      </c>
      <c r="J188" s="43">
        <f t="shared" si="13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30</v>
      </c>
      <c r="I189" s="42">
        <f t="shared" si="12"/>
        <v>0</v>
      </c>
      <c r="J189" s="43">
        <f t="shared" si="13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15</v>
      </c>
      <c r="I198" s="42">
        <f>COUNTIF(K198:AL198,"APAGADO")</f>
        <v>15</v>
      </c>
      <c r="J198" s="43">
        <f>(H198)/(I198+H198)</f>
        <v>0.5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 t="s">
        <v>1274</v>
      </c>
      <c r="Y198" s="20" t="s">
        <v>1274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26</v>
      </c>
      <c r="I204" s="42">
        <f t="shared" si="12"/>
        <v>4</v>
      </c>
      <c r="J204" s="43">
        <f t="shared" si="13"/>
        <v>0.8666666666666667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 t="s">
        <v>1274</v>
      </c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27</v>
      </c>
      <c r="I211" s="42">
        <f>COUNTIF(K211:AL211,"APAGADO")</f>
        <v>3</v>
      </c>
      <c r="J211" s="43">
        <f>(H211)/(I211+H211)</f>
        <v>0.9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30</v>
      </c>
      <c r="I220" s="42">
        <f t="shared" si="12"/>
        <v>0</v>
      </c>
      <c r="J220" s="43">
        <f t="shared" si="13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16</v>
      </c>
      <c r="I229" s="42">
        <f t="shared" si="12"/>
        <v>14</v>
      </c>
      <c r="J229" s="43">
        <f t="shared" si="13"/>
        <v>0.53333333333333333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 t="s">
        <v>1274</v>
      </c>
      <c r="Y229" s="20" t="s">
        <v>1274</v>
      </c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27</v>
      </c>
      <c r="I232" s="42">
        <f t="shared" si="12"/>
        <v>3</v>
      </c>
      <c r="J232" s="43">
        <f t="shared" si="13"/>
        <v>0.9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 t="s">
        <v>1274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29</v>
      </c>
      <c r="I233" s="42">
        <f t="shared" si="12"/>
        <v>1</v>
      </c>
      <c r="J233" s="43">
        <f t="shared" si="13"/>
        <v>0.96666666666666667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1274</v>
      </c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15</v>
      </c>
      <c r="I236" s="42">
        <f t="shared" si="19"/>
        <v>15</v>
      </c>
      <c r="J236" s="43">
        <f t="shared" si="20"/>
        <v>0.5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 t="s">
        <v>1274</v>
      </c>
      <c r="Y236" s="20" t="s">
        <v>1274</v>
      </c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28</v>
      </c>
      <c r="I243" s="42">
        <f t="shared" si="19"/>
        <v>2</v>
      </c>
      <c r="J243" s="43">
        <f t="shared" si="20"/>
        <v>0.93333333333333335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 t="s">
        <v>1274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30</v>
      </c>
      <c r="I254" s="42">
        <f>COUNTIF(K254:AL254,"APAGADO")</f>
        <v>0</v>
      </c>
      <c r="J254" s="43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27</v>
      </c>
      <c r="I255" s="42">
        <f>COUNTIF(K255:AL255,"APAGADO")</f>
        <v>3</v>
      </c>
      <c r="J255" s="43">
        <f>(H255)/(I255+H255)</f>
        <v>0.9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15</v>
      </c>
      <c r="I256" s="42">
        <f t="shared" si="19"/>
        <v>15</v>
      </c>
      <c r="J256" s="43">
        <f t="shared" si="20"/>
        <v>0.5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 t="s">
        <v>1274</v>
      </c>
      <c r="Y256" s="20" t="s">
        <v>1274</v>
      </c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27</v>
      </c>
      <c r="I275" s="42">
        <f t="shared" si="19"/>
        <v>3</v>
      </c>
      <c r="J275" s="43">
        <f t="shared" si="20"/>
        <v>0.9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29</v>
      </c>
      <c r="I283" s="42">
        <f>COUNTIF(K283:AL283,"APAGADO")</f>
        <v>1</v>
      </c>
      <c r="J283" s="43">
        <f>(H283)/(I283+H283)</f>
        <v>0.96666666666666667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30</v>
      </c>
      <c r="I288" s="42">
        <f t="shared" si="19"/>
        <v>0</v>
      </c>
      <c r="J288" s="43">
        <f t="shared" si="20"/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30</v>
      </c>
      <c r="I289" s="42">
        <f t="shared" si="19"/>
        <v>0</v>
      </c>
      <c r="J289" s="43">
        <f t="shared" si="20"/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30</v>
      </c>
      <c r="I294" s="42">
        <f>COUNTIF(K294:AL294,"APAGADO")</f>
        <v>0</v>
      </c>
      <c r="J294" s="43">
        <f>(H294)/(I294+H294)</f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27</v>
      </c>
      <c r="I296" s="42">
        <f>COUNTIF(K296:AL296,"APAGADO")</f>
        <v>3</v>
      </c>
      <c r="J296" s="43">
        <f>(H296)/(I296+H296)</f>
        <v>0.9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27</v>
      </c>
      <c r="I302" s="42">
        <f t="shared" si="22"/>
        <v>3</v>
      </c>
      <c r="J302" s="43">
        <f t="shared" si="23"/>
        <v>0.9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29</v>
      </c>
      <c r="I312" s="42">
        <f t="shared" si="22"/>
        <v>1</v>
      </c>
      <c r="J312" s="43">
        <f t="shared" si="23"/>
        <v>0.96666666666666667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 t="s">
        <v>1274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21</v>
      </c>
      <c r="I315" s="42">
        <f t="shared" si="22"/>
        <v>9</v>
      </c>
      <c r="J315" s="43">
        <f t="shared" si="23"/>
        <v>0.7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 t="s">
        <v>1274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24</v>
      </c>
      <c r="I316" s="42">
        <f t="shared" si="22"/>
        <v>6</v>
      </c>
      <c r="J316" s="43">
        <f t="shared" si="23"/>
        <v>0.8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 t="s">
        <v>1274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27</v>
      </c>
      <c r="I325" s="42">
        <f t="shared" si="22"/>
        <v>3</v>
      </c>
      <c r="J325" s="43">
        <f t="shared" si="23"/>
        <v>0.9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30</v>
      </c>
      <c r="I336" s="42">
        <f t="shared" si="22"/>
        <v>0</v>
      </c>
      <c r="J336" s="43">
        <f t="shared" si="23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30</v>
      </c>
      <c r="I337" s="42">
        <f t="shared" si="22"/>
        <v>0</v>
      </c>
      <c r="J337" s="43">
        <f t="shared" si="23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27</v>
      </c>
      <c r="I345" s="42">
        <f t="shared" si="22"/>
        <v>3</v>
      </c>
      <c r="J345" s="43">
        <f t="shared" si="23"/>
        <v>0.9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29</v>
      </c>
      <c r="I352" s="42">
        <f t="shared" si="22"/>
        <v>1</v>
      </c>
      <c r="J352" s="43">
        <f t="shared" si="23"/>
        <v>0.96666666666666667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 t="s">
        <v>1274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29</v>
      </c>
      <c r="I353" s="42">
        <f t="shared" si="22"/>
        <v>1</v>
      </c>
      <c r="J353" s="43">
        <f t="shared" si="23"/>
        <v>0.96666666666666667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 t="s">
        <v>1274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16</v>
      </c>
      <c r="I360" s="42">
        <f t="shared" si="22"/>
        <v>14</v>
      </c>
      <c r="J360" s="43">
        <f t="shared" si="23"/>
        <v>0.53333333333333333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 t="s">
        <v>1274</v>
      </c>
      <c r="Y360" s="20" t="s">
        <v>1274</v>
      </c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25</v>
      </c>
      <c r="I371" s="42">
        <f t="shared" si="22"/>
        <v>5</v>
      </c>
      <c r="J371" s="43">
        <f t="shared" si="23"/>
        <v>0.83333333333333337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 t="s">
        <v>1274</v>
      </c>
      <c r="Y371" s="20" t="s">
        <v>1274</v>
      </c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21</v>
      </c>
      <c r="I374" s="42">
        <f t="shared" si="22"/>
        <v>9</v>
      </c>
      <c r="J374" s="43">
        <f t="shared" si="23"/>
        <v>0.7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 t="s">
        <v>1274</v>
      </c>
      <c r="Y374" s="20" t="s">
        <v>1274</v>
      </c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29</v>
      </c>
      <c r="I376" s="42">
        <f t="shared" si="28"/>
        <v>1</v>
      </c>
      <c r="J376" s="43">
        <f t="shared" si="29"/>
        <v>0.96666666666666667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 t="s">
        <v>1274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15</v>
      </c>
      <c r="I379" s="42">
        <f t="shared" si="28"/>
        <v>15</v>
      </c>
      <c r="J379" s="43">
        <f t="shared" si="29"/>
        <v>0.5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 t="s">
        <v>1274</v>
      </c>
      <c r="Y379" s="20" t="s">
        <v>1274</v>
      </c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27</v>
      </c>
      <c r="I380" s="42">
        <f t="shared" si="28"/>
        <v>3</v>
      </c>
      <c r="J380" s="43">
        <f t="shared" si="29"/>
        <v>0.9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 t="s">
        <v>1274</v>
      </c>
      <c r="Y380" s="20" t="s">
        <v>1274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29</v>
      </c>
      <c r="I381" s="42">
        <f>COUNTIF(K381:AL381,"APAGADO")</f>
        <v>1</v>
      </c>
      <c r="J381" s="43">
        <f>(H381)/(I381+H381)</f>
        <v>0.96666666666666667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1274</v>
      </c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27</v>
      </c>
      <c r="I383" s="42">
        <f>COUNTIF(K383:AL383,"APAGADO")</f>
        <v>3</v>
      </c>
      <c r="J383" s="43">
        <f>(H383)/(I383+H383)</f>
        <v>0.9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 t="s">
        <v>1274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ca="1" si="24"/>
        <v>30</v>
      </c>
      <c r="I386" s="42">
        <f t="shared" ca="1" si="28"/>
        <v>0</v>
      </c>
      <c r="J386" s="43">
        <f t="shared" ca="1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>
        <f ca="1">AC386</f>
        <v>0</v>
      </c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26</v>
      </c>
      <c r="I390" s="42">
        <f t="shared" si="28"/>
        <v>4</v>
      </c>
      <c r="J390" s="43">
        <f t="shared" si="29"/>
        <v>0.8666666666666667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26</v>
      </c>
      <c r="I391" s="42">
        <f t="shared" si="28"/>
        <v>4</v>
      </c>
      <c r="J391" s="43">
        <f t="shared" si="29"/>
        <v>0.8666666666666667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27</v>
      </c>
      <c r="I398" s="42">
        <f t="shared" si="28"/>
        <v>3</v>
      </c>
      <c r="J398" s="43">
        <f t="shared" si="29"/>
        <v>0.9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27</v>
      </c>
      <c r="I399" s="42">
        <f t="shared" si="28"/>
        <v>3</v>
      </c>
      <c r="J399" s="43">
        <f t="shared" si="29"/>
        <v>0.9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30</v>
      </c>
      <c r="I400" s="42">
        <f>COUNTIF(K400:AL400,"APAGADO")</f>
        <v>0</v>
      </c>
      <c r="J400" s="43">
        <f>(H400)/(I400+H400)</f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20</v>
      </c>
      <c r="I409" s="42">
        <f t="shared" si="28"/>
        <v>10</v>
      </c>
      <c r="J409" s="43">
        <f t="shared" si="29"/>
        <v>0.66666666666666663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 t="s">
        <v>1274</v>
      </c>
      <c r="Y409" s="20" t="s">
        <v>1274</v>
      </c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20</v>
      </c>
      <c r="I410" s="42">
        <f t="shared" si="28"/>
        <v>10</v>
      </c>
      <c r="J410" s="43">
        <f t="shared" si="29"/>
        <v>0.66666666666666663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 t="s">
        <v>1274</v>
      </c>
      <c r="Y410" s="20" t="s">
        <v>1274</v>
      </c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23</v>
      </c>
      <c r="I412" s="42">
        <f t="shared" si="28"/>
        <v>7</v>
      </c>
      <c r="J412" s="43">
        <f t="shared" si="29"/>
        <v>0.76666666666666672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 t="s">
        <v>1274</v>
      </c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15</v>
      </c>
      <c r="I420" s="42">
        <f t="shared" si="28"/>
        <v>15</v>
      </c>
      <c r="J420" s="43">
        <f t="shared" si="29"/>
        <v>0.5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 t="s">
        <v>1274</v>
      </c>
      <c r="Y420" s="20" t="s">
        <v>1274</v>
      </c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29</v>
      </c>
      <c r="I428" s="42">
        <f t="shared" si="28"/>
        <v>1</v>
      </c>
      <c r="J428" s="43">
        <f t="shared" si="29"/>
        <v>0.96666666666666667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27</v>
      </c>
      <c r="I429" s="42">
        <f t="shared" si="28"/>
        <v>3</v>
      </c>
      <c r="J429" s="43">
        <f t="shared" si="29"/>
        <v>0.9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28</v>
      </c>
      <c r="I432" s="42">
        <f t="shared" si="28"/>
        <v>2</v>
      </c>
      <c r="J432" s="43">
        <f t="shared" si="29"/>
        <v>0.93333333333333335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 t="str">
        <f>'RESUMEN TOTAL'!X16</f>
        <v>APAGADO</v>
      </c>
      <c r="T13" s="23" t="str">
        <f>'RESUMEN TOTAL'!Y16</f>
        <v>APAGADO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 t="str">
        <f>'RESUMEN TOTAL'!X34</f>
        <v>APAGADO</v>
      </c>
      <c r="T32" s="23" t="str">
        <f>'RESUMEN TOTAL'!Y34</f>
        <v>APAGADO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 t="str">
        <f>'RESUMEN TOTAL'!X40</f>
        <v>APAGADO</v>
      </c>
      <c r="T38" s="23" t="str">
        <f>'RESUMEN TOTAL'!Y40</f>
        <v>APAGADO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 t="str">
        <f>'RESUMEN TOTAL'!X48</f>
        <v>APAGADO</v>
      </c>
      <c r="T46" s="23" t="str">
        <f>'RESUMEN TOTAL'!Y48</f>
        <v>APAGADO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 t="str">
        <f>'RESUMEN TOTAL'!X49</f>
        <v>APAGADO</v>
      </c>
      <c r="T47" s="23" t="str">
        <f>'RESUMEN TOTAL'!Y49</f>
        <v>APAGADO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 t="str">
        <f>'RESUMEN TOTAL'!X51</f>
        <v>APAGADO</v>
      </c>
      <c r="T49" s="23" t="str">
        <f>'RESUMEN TOTAL'!Y51</f>
        <v>APAGADO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 t="str">
        <f>'RESUMEN TOTAL'!X54</f>
        <v>APAGADO</v>
      </c>
      <c r="T52" s="23" t="str">
        <f>'RESUMEN TOTAL'!Y54</f>
        <v>APAGADO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 t="str">
        <f>'RESUMEN TOTAL'!X56</f>
        <v>APAGADO</v>
      </c>
      <c r="T54" s="23" t="str">
        <f>'RESUMEN TOTAL'!Y56</f>
        <v>APAGADO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 t="str">
        <f>'RESUMEN TOTAL'!Y60</f>
        <v>APAGADO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 t="str">
        <f>'RESUMEN TOTAL'!X69</f>
        <v>APAGADO</v>
      </c>
      <c r="T67" s="23" t="str">
        <f>'RESUMEN TOTAL'!Y69</f>
        <v>APAGADO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 t="str">
        <f>'RESUMEN TOTAL'!X75</f>
        <v>APAGADO</v>
      </c>
      <c r="T73" s="23" t="str">
        <f>'RESUMEN TOTAL'!Y75</f>
        <v>APAGADO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 t="str">
        <f>'RESUMEN TOTAL'!X94</f>
        <v>APAGADO</v>
      </c>
      <c r="T92" s="23" t="str">
        <f>'RESUMEN TOTAL'!Y94</f>
        <v>APAGADO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 t="str">
        <f>'RESUMEN TOTAL'!X98</f>
        <v>APAGADO</v>
      </c>
      <c r="T96" s="23" t="str">
        <f>'RESUMEN TOTAL'!Y98</f>
        <v>APAGADO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 t="str">
        <f>'RESUMEN TOTAL'!X101</f>
        <v>APAGADO</v>
      </c>
      <c r="T99" s="23" t="str">
        <f>'RESUMEN TOTAL'!Y101</f>
        <v>APAGADO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 t="str">
        <f>'RESUMEN TOTAL'!Y102</f>
        <v>APAGADO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>
        <f>'RESUMEN TOTAL'!AA122</f>
        <v>0</v>
      </c>
      <c r="W121" s="23">
        <f>'RESUMEN TOTAL'!AB122</f>
        <v>0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 t="str">
        <f>'RESUMEN TOTAL'!X124</f>
        <v>APAGADO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 t="str">
        <f>'RESUMEN TOTAL'!X125</f>
        <v>APAGADO</v>
      </c>
      <c r="T124" s="23" t="str">
        <f>'RESUMEN TOTAL'!Y125</f>
        <v>APAGADO</v>
      </c>
      <c r="U124" s="23">
        <f>'RESUMEN TOTAL'!Z125</f>
        <v>0</v>
      </c>
      <c r="V124" s="23">
        <f>'RESUMEN TOTAL'!AA125</f>
        <v>0</v>
      </c>
      <c r="W124" s="23">
        <f>'RESUMEN TOTAL'!AB125</f>
        <v>0</v>
      </c>
      <c r="X124" s="23">
        <f>'RESUMEN TOTAL'!AC125</f>
        <v>0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>
        <f>'RESUMEN TOTAL'!AC152</f>
        <v>0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>
        <f>'RESUMEN TOTAL'!AC160</f>
        <v>0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 t="str">
        <f>'RESUMEN TOTAL'!X165</f>
        <v>APAGADO</v>
      </c>
      <c r="T163" s="23" t="str">
        <f>'RESUMEN TOTAL'!Y165</f>
        <v>APAGADO</v>
      </c>
      <c r="U163" s="23">
        <f>'RESUMEN TOTAL'!Z165</f>
        <v>0</v>
      </c>
      <c r="V163" s="23">
        <f>'RESUMEN TOTAL'!AA165</f>
        <v>0</v>
      </c>
      <c r="W163" s="23">
        <f>'RESUMEN TOTAL'!AB165</f>
        <v>0</v>
      </c>
      <c r="X163" s="23">
        <f>'RESUMEN TOTAL'!AC165</f>
        <v>0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 t="str">
        <f>'RESUMEN TOTAL'!X166</f>
        <v>APAGADO</v>
      </c>
      <c r="T164" s="23" t="str">
        <f>'RESUMEN TOTAL'!Y166</f>
        <v>APAGADO</v>
      </c>
      <c r="U164" s="23">
        <f>'RESUMEN TOTAL'!Z166</f>
        <v>0</v>
      </c>
      <c r="V164" s="23">
        <f>'RESUMEN TOTAL'!AA166</f>
        <v>0</v>
      </c>
      <c r="W164" s="23">
        <f>'RESUMEN TOTAL'!AB166</f>
        <v>0</v>
      </c>
      <c r="X164" s="23">
        <f>'RESUMEN TOTAL'!AC166</f>
        <v>0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 t="str">
        <f>'RESUMEN TOTAL'!X175</f>
        <v>APAGADO</v>
      </c>
      <c r="T173" s="23" t="str">
        <f>'RESUMEN TOTAL'!Y175</f>
        <v>APAGADO</v>
      </c>
      <c r="U173" s="23">
        <f>'RESUMEN TOTAL'!Z175</f>
        <v>0</v>
      </c>
      <c r="V173" s="23">
        <f>'RESUMEN TOTAL'!AA175</f>
        <v>0</v>
      </c>
      <c r="W173" s="23">
        <f>'RESUMEN TOTAL'!AB175</f>
        <v>0</v>
      </c>
      <c r="X173" s="23">
        <f>'RESUMEN TOTAL'!AC175</f>
        <v>0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 t="str">
        <f>'RESUMEN TOTAL'!X177</f>
        <v>APAGADO</v>
      </c>
      <c r="T175" s="23" t="str">
        <f>'RESUMEN TOTAL'!Y177</f>
        <v>APAGADO</v>
      </c>
      <c r="U175" s="23">
        <f>'RESUMEN TOTAL'!Z177</f>
        <v>0</v>
      </c>
      <c r="V175" s="23">
        <f>'RESUMEN TOTAL'!AA177</f>
        <v>0</v>
      </c>
      <c r="W175" s="23">
        <f>'RESUMEN TOTAL'!AB177</f>
        <v>0</v>
      </c>
      <c r="X175" s="23">
        <f>'RESUMEN TOTAL'!AC177</f>
        <v>0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 t="str">
        <f>'RESUMEN TOTAL'!X182</f>
        <v>APAGADO</v>
      </c>
      <c r="T180" s="23" t="str">
        <f>'RESUMEN TOTAL'!Y182</f>
        <v>APAGADO</v>
      </c>
      <c r="U180" s="23">
        <f>'RESUMEN TOTAL'!Z182</f>
        <v>0</v>
      </c>
      <c r="V180" s="23">
        <f>'RESUMEN TOTAL'!AA182</f>
        <v>0</v>
      </c>
      <c r="W180" s="23">
        <f>'RESUMEN TOTAL'!AB182</f>
        <v>0</v>
      </c>
      <c r="X180" s="23">
        <f>'RESUMEN TOTAL'!AC182</f>
        <v>0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 t="str">
        <f>'RESUMEN TOTAL'!X185</f>
        <v>APAGADO</v>
      </c>
      <c r="T183" s="23" t="str">
        <f>'RESUMEN TOTAL'!Y185</f>
        <v>APAGADO</v>
      </c>
      <c r="U183" s="23">
        <f>'RESUMEN TOTAL'!Z185</f>
        <v>0</v>
      </c>
      <c r="V183" s="23">
        <f>'RESUMEN TOTAL'!AA185</f>
        <v>0</v>
      </c>
      <c r="W183" s="23">
        <f>'RESUMEN TOTAL'!AB185</f>
        <v>0</v>
      </c>
      <c r="X183" s="23">
        <f>'RESUMEN TOTAL'!AC185</f>
        <v>0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 t="str">
        <f>'RESUMEN TOTAL'!X187</f>
        <v>APAGADO</v>
      </c>
      <c r="T185" s="23" t="str">
        <f>'RESUMEN TOTAL'!Y187</f>
        <v>APAGADO</v>
      </c>
      <c r="U185" s="23">
        <f>'RESUMEN TOTAL'!Z187</f>
        <v>0</v>
      </c>
      <c r="V185" s="23">
        <f>'RESUMEN TOTAL'!AA187</f>
        <v>0</v>
      </c>
      <c r="W185" s="23">
        <f>'RESUMEN TOTAL'!AB187</f>
        <v>0</v>
      </c>
      <c r="X185" s="23">
        <f>'RESUMEN TOTAL'!AC187</f>
        <v>0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>
        <f>'RESUMEN TOTAL'!AC188</f>
        <v>0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>
        <f>'RESUMEN TOTAL'!AC189</f>
        <v>0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 t="str">
        <f>'RESUMEN TOTAL'!X198</f>
        <v>APAGADO</v>
      </c>
      <c r="T196" s="23" t="str">
        <f>'RESUMEN TOTAL'!Y198</f>
        <v>APAGADO</v>
      </c>
      <c r="U196" s="23">
        <f>'RESUMEN TOTAL'!Z198</f>
        <v>0</v>
      </c>
      <c r="V196" s="23">
        <f>'RESUMEN TOTAL'!AA198</f>
        <v>0</v>
      </c>
      <c r="W196" s="23">
        <f>'RESUMEN TOTAL'!AB198</f>
        <v>0</v>
      </c>
      <c r="X196" s="23">
        <f>'RESUMEN TOTAL'!AC198</f>
        <v>0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 t="str">
        <f>'RESUMEN TOTAL'!X204</f>
        <v>APAGADO</v>
      </c>
      <c r="T202" s="23">
        <f>'RESUMEN TOTAL'!Y204</f>
        <v>0</v>
      </c>
      <c r="U202" s="23">
        <f>'RESUMEN TOTAL'!Z204</f>
        <v>0</v>
      </c>
      <c r="V202" s="23">
        <f>'RESUMEN TOTAL'!AA204</f>
        <v>0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>
        <f>'RESUMEN TOTAL'!Z211</f>
        <v>0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>
        <f>'RESUMEN TOTAL'!AC220</f>
        <v>0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 t="str">
        <f>'RESUMEN TOTAL'!X229</f>
        <v>APAGADO</v>
      </c>
      <c r="T227" s="23" t="str">
        <f>'RESUMEN TOTAL'!Y229</f>
        <v>APAGADO</v>
      </c>
      <c r="U227" s="23">
        <f>'RESUMEN TOTAL'!Z229</f>
        <v>0</v>
      </c>
      <c r="V227" s="23">
        <f>'RESUMEN TOTAL'!AA229</f>
        <v>0</v>
      </c>
      <c r="W227" s="23">
        <f>'RESUMEN TOTAL'!AB229</f>
        <v>0</v>
      </c>
      <c r="X227" s="23">
        <f>'RESUMEN TOTAL'!AC229</f>
        <v>0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 t="str">
        <f>'RESUMEN TOTAL'!X232</f>
        <v>APAGADO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 t="str">
        <f>'RESUMEN TOTAL'!X233</f>
        <v>APAGADO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 t="str">
        <f>'RESUMEN TOTAL'!X236</f>
        <v>APAGADO</v>
      </c>
      <c r="T234" s="23" t="str">
        <f>'RESUMEN TOTAL'!Y236</f>
        <v>APAGADO</v>
      </c>
      <c r="U234" s="23">
        <f>'RESUMEN TOTAL'!Z236</f>
        <v>0</v>
      </c>
      <c r="V234" s="23">
        <f>'RESUMEN TOTAL'!AA236</f>
        <v>0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 t="str">
        <f>'RESUMEN TOTAL'!X243</f>
        <v>APAGADO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>
        <f>'RESUMEN TOTAL'!AB254</f>
        <v>0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>
        <f>'RESUMEN TOTAL'!AB255</f>
        <v>0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 t="str">
        <f>'RESUMEN TOTAL'!X256</f>
        <v>APAGADO</v>
      </c>
      <c r="T254" s="23" t="str">
        <f>'RESUMEN TOTAL'!Y256</f>
        <v>APAGADO</v>
      </c>
      <c r="U254" s="23">
        <f>'RESUMEN TOTAL'!Z256</f>
        <v>0</v>
      </c>
      <c r="V254" s="23">
        <f>'RESUMEN TOTAL'!AA256</f>
        <v>0</v>
      </c>
      <c r="W254" s="23">
        <f>'RESUMEN TOTAL'!AB256</f>
        <v>0</v>
      </c>
      <c r="X254" s="23">
        <f>'RESUMEN TOTAL'!AC256</f>
        <v>0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>
        <f>'RESUMEN TOTAL'!AB288</f>
        <v>0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>
        <f>'RESUMEN TOTAL'!AB289</f>
        <v>0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>
        <f>'RESUMEN TOTAL'!AB294</f>
        <v>0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>
        <f>'RESUMEN TOTAL'!AB296</f>
        <v>0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>
        <f>'RESUMEN TOTAL'!Z302</f>
        <v>0</v>
      </c>
      <c r="V299" s="23">
        <f>'RESUMEN TOTAL'!AA302</f>
        <v>0</v>
      </c>
      <c r="W299" s="23">
        <f>'RESUMEN TOTAL'!AB302</f>
        <v>0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 t="str">
        <f>'RESUMEN TOTAL'!Y312</f>
        <v>APAGADO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 t="str">
        <f>'RESUMEN TOTAL'!X315</f>
        <v>APAGADO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 t="str">
        <f>'RESUMEN TOTAL'!X316</f>
        <v>APAGADO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>
        <f>'RESUMEN TOTAL'!Z325</f>
        <v>0</v>
      </c>
      <c r="V322" s="23">
        <f>'RESUMEN TOTAL'!AA325</f>
        <v>0</v>
      </c>
      <c r="W322" s="23">
        <f>'RESUMEN TOTAL'!AB325</f>
        <v>0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>
        <f>'RESUMEN TOTAL'!AC336</f>
        <v>0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>
        <f>'RESUMEN TOTAL'!AC337</f>
        <v>0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 t="str">
        <f>'RESUMEN TOTAL'!Y352</f>
        <v>APAGADO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 t="str">
        <f>'RESUMEN TOTAL'!Y353</f>
        <v>APAGADO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 t="str">
        <f>'RESUMEN TOTAL'!X360</f>
        <v>APAGADO</v>
      </c>
      <c r="T357" s="23" t="str">
        <f>'RESUMEN TOTAL'!Y360</f>
        <v>APAGADO</v>
      </c>
      <c r="U357" s="23">
        <f>'RESUMEN TOTAL'!Z360</f>
        <v>0</v>
      </c>
      <c r="V357" s="23">
        <f>'RESUMEN TOTAL'!AA360</f>
        <v>0</v>
      </c>
      <c r="W357" s="23">
        <f>'RESUMEN TOTAL'!AB360</f>
        <v>0</v>
      </c>
      <c r="X357" s="23">
        <f>'RESUMEN TOTAL'!AC360</f>
        <v>0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 t="str">
        <f>'RESUMEN TOTAL'!X371</f>
        <v>APAGADO</v>
      </c>
      <c r="T368" s="23" t="str">
        <f>'RESUMEN TOTAL'!Y371</f>
        <v>APAGADO</v>
      </c>
      <c r="U368" s="23">
        <f>'RESUMEN TOTAL'!Z371</f>
        <v>0</v>
      </c>
      <c r="V368" s="23">
        <f>'RESUMEN TOTAL'!AA371</f>
        <v>0</v>
      </c>
      <c r="W368" s="23">
        <f>'RESUMEN TOTAL'!AB371</f>
        <v>0</v>
      </c>
      <c r="X368" s="23">
        <f>'RESUMEN TOTAL'!AC371</f>
        <v>0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 t="str">
        <f>'RESUMEN TOTAL'!X374</f>
        <v>APAGADO</v>
      </c>
      <c r="T371" s="23" t="str">
        <f>'RESUMEN TOTAL'!Y374</f>
        <v>APAGADO</v>
      </c>
      <c r="U371" s="23">
        <f>'RESUMEN TOTAL'!Z374</f>
        <v>0</v>
      </c>
      <c r="V371" s="23">
        <f>'RESUMEN TOTAL'!AA374</f>
        <v>0</v>
      </c>
      <c r="W371" s="23">
        <f>'RESUMEN TOTAL'!AB374</f>
        <v>0</v>
      </c>
      <c r="X371" s="23">
        <f>'RESUMEN TOTAL'!AC374</f>
        <v>0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 t="str">
        <f>'RESUMEN TOTAL'!Y376</f>
        <v>APAGADO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 t="str">
        <f>'RESUMEN TOTAL'!X379</f>
        <v>APAGADO</v>
      </c>
      <c r="T376" s="23" t="str">
        <f>'RESUMEN TOTAL'!Y379</f>
        <v>APAGADO</v>
      </c>
      <c r="U376" s="23">
        <f>'RESUMEN TOTAL'!Z379</f>
        <v>0</v>
      </c>
      <c r="V376" s="23">
        <f>'RESUMEN TOTAL'!AA379</f>
        <v>0</v>
      </c>
      <c r="W376" s="23">
        <f>'RESUMEN TOTAL'!AB379</f>
        <v>0</v>
      </c>
      <c r="X376" s="23">
        <f>'RESUMEN TOTAL'!AC379</f>
        <v>0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 t="str">
        <f>'RESUMEN TOTAL'!X380</f>
        <v>APAGADO</v>
      </c>
      <c r="T377" s="23" t="str">
        <f>'RESUMEN TOTAL'!Y380</f>
        <v>APAGADO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 t="str">
        <f>'RESUMEN TOTAL'!Y381</f>
        <v>APAGADO</v>
      </c>
      <c r="U378" s="23">
        <f>'RESUMEN TOTAL'!Z381</f>
        <v>0</v>
      </c>
      <c r="V378" s="23">
        <f>'RESUMEN TOTAL'!AA381</f>
        <v>0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 t="str">
        <f>'RESUMEN TOTAL'!Y383</f>
        <v>APAGADO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 ca="1"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>
        <f>'RESUMEN TOTAL'!Z390</f>
        <v>0</v>
      </c>
      <c r="V387" s="23">
        <f>'RESUMEN TOTAL'!AA390</f>
        <v>0</v>
      </c>
      <c r="W387" s="23">
        <f>'RESUMEN TOTAL'!AB390</f>
        <v>0</v>
      </c>
      <c r="X387" s="23">
        <f>'RESUMEN TOTAL'!AC390</f>
        <v>0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>
        <f>'RESUMEN TOTAL'!Z391</f>
        <v>0</v>
      </c>
      <c r="V388" s="23">
        <f>'RESUMEN TOTAL'!AA391</f>
        <v>0</v>
      </c>
      <c r="W388" s="23">
        <f>'RESUMEN TOTAL'!AB391</f>
        <v>0</v>
      </c>
      <c r="X388" s="23">
        <f>'RESUMEN TOTAL'!AC391</f>
        <v>0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>
        <f>'RESUMEN TOTAL'!AB398</f>
        <v>0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>
        <f>'RESUMEN TOTAL'!AB399</f>
        <v>0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>
        <f>'RESUMEN TOTAL'!AB400</f>
        <v>0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 t="str">
        <f>'RESUMEN TOTAL'!X409</f>
        <v>APAGADO</v>
      </c>
      <c r="T406" s="23" t="str">
        <f>'RESUMEN TOTAL'!Y409</f>
        <v>APAGADO</v>
      </c>
      <c r="U406" s="23">
        <f>'RESUMEN TOTAL'!Z409</f>
        <v>0</v>
      </c>
      <c r="V406" s="23">
        <f>'RESUMEN TOTAL'!AA409</f>
        <v>0</v>
      </c>
      <c r="W406" s="23">
        <f>'RESUMEN TOTAL'!AB409</f>
        <v>0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 t="str">
        <f>'RESUMEN TOTAL'!X410</f>
        <v>APAGADO</v>
      </c>
      <c r="T407" s="23" t="str">
        <f>'RESUMEN TOTAL'!Y410</f>
        <v>APAGADO</v>
      </c>
      <c r="U407" s="23">
        <f>'RESUMEN TOTAL'!Z410</f>
        <v>0</v>
      </c>
      <c r="V407" s="23">
        <f>'RESUMEN TOTAL'!AA410</f>
        <v>0</v>
      </c>
      <c r="W407" s="23">
        <f>'RESUMEN TOTAL'!AB410</f>
        <v>0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 t="str">
        <f>'RESUMEN TOTAL'!X412</f>
        <v>APAGADO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 t="str">
        <f>'RESUMEN TOTAL'!X420</f>
        <v>APAGADO</v>
      </c>
      <c r="T417" s="23" t="str">
        <f>'RESUMEN TOTAL'!Y420</f>
        <v>APAGADO</v>
      </c>
      <c r="U417" s="23">
        <f>'RESUMEN TOTAL'!Z420</f>
        <v>0</v>
      </c>
      <c r="V417" s="23">
        <f>'RESUMEN TOTAL'!AA420</f>
        <v>0</v>
      </c>
      <c r="W417" s="23">
        <f>'RESUMEN TOTAL'!AB420</f>
        <v>0</v>
      </c>
      <c r="X417" s="23">
        <f>'RESUMEN TOTAL'!AC420</f>
        <v>0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>
        <f>'RESUMEN TOTAL'!Z428</f>
        <v>0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>
        <f>'RESUMEN TOTAL'!Z429</f>
        <v>0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>
        <f>'RESUMEN TOTAL'!AA432</f>
        <v>0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37</v>
      </c>
      <c r="T1" s="19">
        <f t="shared" si="0"/>
        <v>38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ca="1" si="0"/>
        <v>1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 t="str">
        <f>ESTADISTICA!S52</f>
        <v>APAGADO</v>
      </c>
      <c r="T53" t="str">
        <f>ESTADISTICA!T52</f>
        <v>APAGADO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 t="str">
        <f>ESTADISTICA!T58</f>
        <v>APAGADO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 t="str">
        <f>ESTADISTICA!T100</f>
        <v>APAGADO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 t="str">
        <f>ESTADISTICA!T309</f>
        <v>APAGADO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 t="str">
        <f>ESTADISTICA!T350</f>
        <v>APAGADO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 t="str">
        <f>ESTADISTICA!S377</f>
        <v>APAGADO</v>
      </c>
      <c r="T378" t="str">
        <f>ESTADISTICA!T377</f>
        <v>APAGADO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 t="str">
        <f>ESTADISTICA!T380</f>
        <v>APAGADO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 ca="1"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 t="str">
        <f>ESTADISTICA!S406</f>
        <v>APAGADO</v>
      </c>
      <c r="T407" s="40" t="str">
        <f>ESTADISTICA!T406</f>
        <v>APAGADO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 t="str">
        <f>ESTADISTICA!S407</f>
        <v>APAGADO</v>
      </c>
      <c r="T408" s="40" t="str">
        <f>ESTADISTICA!T407</f>
        <v>APAGADO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 t="str">
        <f>ESTADISTICA!S409</f>
        <v>APAGADO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 t="str">
        <f>ESTADISTICA!S417</f>
        <v>APAGADO</v>
      </c>
      <c r="T418" s="40" t="str">
        <f>ESTADISTICA!T417</f>
        <v>APAGADO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F198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COUNTIFS(Q4:Q500, "=APAGADO",E4:E500,"=Fibra Optica")</f>
        <v>36</v>
      </c>
      <c r="R2" s="19">
        <f>COUNTIFS(R4:R500, "=APAGADO",E4:E500,"=Fibra Optica")</f>
        <v>61</v>
      </c>
      <c r="S2" s="19">
        <f>COUNTIFS(S4:S500, "=APAGADO",E4:E500,"=Fibra Optica")</f>
        <v>36</v>
      </c>
      <c r="T2" s="19">
        <f>COUNTIFS(T4:T400, "=APAGADO",E4:E400,"=Fibra Optica")</f>
        <v>32</v>
      </c>
      <c r="U2" s="19">
        <f>COUNTIFS(U4:U400, "=APAGADO",E4:E400,"=Fibra Optica")</f>
        <v>0</v>
      </c>
      <c r="V2" s="19">
        <f>COUNTIFS(V4:V400, "=APAGADO",E4:E400,"=Fibra Optica")</f>
        <v>0</v>
      </c>
      <c r="W2" s="19">
        <f>COUNTIFS(W4:W400, "=APAGADO",E4:E400,"=Fibra Optica")</f>
        <v>0</v>
      </c>
      <c r="X2" s="19">
        <f ca="1">COUNTIFS(X4:X400, "=APAGADO",E4:E400,"=Fibra Optica")</f>
        <v>0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 t="str">
        <f>ESTADISTICA!S13</f>
        <v>APAGADO</v>
      </c>
      <c r="T15" s="40" t="str">
        <f>ESTADISTICA!T13</f>
        <v>APAGADO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 t="str">
        <f>ESTADISTICA!S32</f>
        <v>APAGADO</v>
      </c>
      <c r="T34" s="40" t="str">
        <f>ESTADISTICA!T32</f>
        <v>APAGADO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 t="str">
        <f>ESTADISTICA!S38</f>
        <v>APAGADO</v>
      </c>
      <c r="T40" s="40" t="str">
        <f>ESTADISTICA!T38</f>
        <v>APAGADO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 t="str">
        <f>ESTADISTICA!S46</f>
        <v>APAGADO</v>
      </c>
      <c r="T48" s="40" t="str">
        <f>ESTADISTICA!T46</f>
        <v>APAGADO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 t="str">
        <f>ESTADISTICA!S47</f>
        <v>APAGADO</v>
      </c>
      <c r="T49" s="40" t="str">
        <f>ESTADISTICA!T47</f>
        <v>APAGADO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 t="str">
        <f>ESTADISTICA!S49</f>
        <v>APAGADO</v>
      </c>
      <c r="T51" s="40" t="str">
        <f>ESTADISTICA!T49</f>
        <v>APAGADO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 t="str">
        <f>ESTADISTICA!S52</f>
        <v>APAGADO</v>
      </c>
      <c r="T54" s="40" t="str">
        <f>ESTADISTICA!T52</f>
        <v>APAGADO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 t="str">
        <f>ESTADISTICA!S54</f>
        <v>APAGADO</v>
      </c>
      <c r="T56" s="40" t="str">
        <f>ESTADISTICA!T54</f>
        <v>APAGADO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 t="str">
        <f>ESTADISTICA!T58</f>
        <v>APAGADO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 t="str">
        <f>ESTADISTICA!S67</f>
        <v>APAGADO</v>
      </c>
      <c r="T69" s="40" t="str">
        <f>ESTADISTICA!T67</f>
        <v>APAGADO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 t="str">
        <f>ESTADISTICA!S73</f>
        <v>APAGADO</v>
      </c>
      <c r="T75" s="40" t="str">
        <f>ESTADISTICA!T73</f>
        <v>APAGADO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 t="str">
        <f>ESTADISTICA!S92</f>
        <v>APAGADO</v>
      </c>
      <c r="T94" s="40" t="str">
        <f>ESTADISTICA!T92</f>
        <v>APAGADO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 t="str">
        <f>ESTADISTICA!S96</f>
        <v>APAGADO</v>
      </c>
      <c r="T98" s="40" t="str">
        <f>ESTADISTICA!T96</f>
        <v>APAGADO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 t="str">
        <f>ESTADISTICA!S99</f>
        <v>APAGADO</v>
      </c>
      <c r="T101" s="40" t="str">
        <f>ESTADISTICA!T99</f>
        <v>APAGADO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 t="str">
        <f>ESTADISTICA!T100</f>
        <v>APAGADO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 t="str">
        <f>ESTADISTICA!S123</f>
        <v>APAGADO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 t="str">
        <f>ESTADISTICA!S124</f>
        <v>APAGADO</v>
      </c>
      <c r="T126" s="40" t="str">
        <f>ESTADISTICA!T124</f>
        <v>APAGADO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 t="str">
        <f>ESTADISTICA!S163</f>
        <v>APAGADO</v>
      </c>
      <c r="T165" s="40" t="str">
        <f>ESTADISTICA!T163</f>
        <v>APAGADO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 t="str">
        <f>ESTADISTICA!S164</f>
        <v>APAGADO</v>
      </c>
      <c r="T166" s="40" t="str">
        <f>ESTADISTICA!T164</f>
        <v>APAGADO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 t="str">
        <f>ESTADISTICA!S173</f>
        <v>APAGADO</v>
      </c>
      <c r="T175" s="40" t="str">
        <f>ESTADISTICA!T173</f>
        <v>APAGADO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 t="str">
        <f>ESTADISTICA!S175</f>
        <v>APAGADO</v>
      </c>
      <c r="T177" s="40" t="str">
        <f>ESTADISTICA!T175</f>
        <v>APAGADO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 t="str">
        <f>ESTADISTICA!S180</f>
        <v>APAGADO</v>
      </c>
      <c r="T182" s="40" t="str">
        <f>ESTADISTICA!T180</f>
        <v>APAGADO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 t="str">
        <f>ESTADISTICA!S183</f>
        <v>APAGADO</v>
      </c>
      <c r="T185" s="40" t="str">
        <f>ESTADISTICA!T183</f>
        <v>APAGADO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 t="str">
        <f>ESTADISTICA!S185</f>
        <v>APAGADO</v>
      </c>
      <c r="T187" s="40" t="str">
        <f>ESTADISTICA!T185</f>
        <v>APAGADO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 t="str">
        <f>ESTADISTICA!S196</f>
        <v>APAGADO</v>
      </c>
      <c r="T198" s="40" t="str">
        <f>ESTADISTICA!T196</f>
        <v>APAGADO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 t="str">
        <f>ESTADISTICA!S202</f>
        <v>APAGADO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 t="str">
        <f>ESTADISTICA!S227</f>
        <v>APAGADO</v>
      </c>
      <c r="T229" s="40" t="str">
        <f>ESTADISTICA!T227</f>
        <v>APAGADO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 t="str">
        <f>ESTADISTICA!S230</f>
        <v>APAGADO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 t="str">
        <f>ESTADISTICA!S231</f>
        <v>APAGADO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 t="str">
        <f>ESTADISTICA!S234</f>
        <v>APAGADO</v>
      </c>
      <c r="T236" s="40" t="str">
        <f>ESTADISTICA!T234</f>
        <v>APAGADO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 t="str">
        <f>ESTADISTICA!S241</f>
        <v>APAGADO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 t="str">
        <f>ESTADISTICA!S254</f>
        <v>APAGADO</v>
      </c>
      <c r="T256" s="40" t="str">
        <f>ESTADISTICA!T254</f>
        <v>APAGADO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 t="str">
        <f>ESTADISTICA!T309</f>
        <v>APAGADO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 t="str">
        <f>ESTADISTICA!S312</f>
        <v>APAGADO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 t="str">
        <f>ESTADISTICA!S313</f>
        <v>APAGADO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 t="str">
        <f>ESTADISTICA!T349</f>
        <v>APAGADO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 t="str">
        <f>ESTADISTICA!T350</f>
        <v>APAGADO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 t="str">
        <f>ESTADISTICA!S357</f>
        <v>APAGADO</v>
      </c>
      <c r="T359" s="40" t="str">
        <f>ESTADISTICA!T357</f>
        <v>APAGADO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F343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COUNTIFS(Q4:Q500, "=APAGADO",E4:E500,"=PTO A FO")</f>
        <v>2</v>
      </c>
      <c r="R2" s="19">
        <f>COUNTIFS(R4:R500, "=APAGADO",E4:E500,"=PTO A FO")</f>
        <v>10</v>
      </c>
      <c r="S2" s="19">
        <f>COUNTIFS(S4:S500, "=APAGADO",E4:E500,"=PTO A FO")</f>
        <v>4</v>
      </c>
      <c r="T2" s="19">
        <f>COUNTIFS(T4:T400, "=APAGADO",E4:E400,"=PTO A FO")</f>
        <v>5</v>
      </c>
      <c r="U2" s="19">
        <f>COUNTIFS(U4:U400, "=APAGADO",E4:E400,"=PTO A FO")</f>
        <v>0</v>
      </c>
      <c r="V2" s="19">
        <f>COUNTIFS(V4:V400, "=APAGADO",E4:E400,"=PTO A FO")</f>
        <v>0</v>
      </c>
      <c r="W2" s="19">
        <f>COUNTIFS(W4:W400, "=APAGADO",E4:E400,"=PTO A FO")</f>
        <v>0</v>
      </c>
      <c r="X2" s="19">
        <f ca="1">COUNTIFS(X4:X400, "=APAGADO",E4:E400,"=PTO A FO")</f>
        <v>0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S3" sqref="S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COUNTIFS(S4:S500, "=APAGADO",E4:E500,"=radio")</f>
        <v>1</v>
      </c>
      <c r="T2" s="19">
        <f>COUNTIFS(T4:T367, "=APAGADO",E4:E367,"=radio")</f>
        <v>1</v>
      </c>
      <c r="U2" s="19">
        <f>COUNTIFS(U4:U367, "=APAGADO",E4:E367,"=radio")</f>
        <v>0</v>
      </c>
      <c r="V2" s="19">
        <f>COUNTIFS(V4:V367, "=APAGADO",E4:E367,"=radio")</f>
        <v>0</v>
      </c>
      <c r="W2" s="19">
        <f>COUNTIFS(W4:W367, "=APAGADO",E4:E367,"=radio")</f>
        <v>0</v>
      </c>
      <c r="X2" s="19">
        <f>COUNTIFS(X4:X367, "=APAGADO",E4:E367,"=radio")</f>
        <v>0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27" sqref="A27:E31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36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37"/>
      <c r="G3" s="83"/>
      <c r="H3" s="84"/>
      <c r="I3" s="84"/>
      <c r="J3" s="84"/>
      <c r="K3" s="85"/>
      <c r="L3" s="86"/>
      <c r="M3" s="141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37"/>
      <c r="G4" s="87"/>
      <c r="H4" s="88"/>
      <c r="I4" s="88"/>
      <c r="J4" s="88"/>
      <c r="K4" s="89"/>
      <c r="L4" s="90"/>
      <c r="M4" s="142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37"/>
      <c r="G5" s="87"/>
      <c r="H5" s="88"/>
      <c r="I5" s="88"/>
      <c r="J5" s="88"/>
      <c r="K5" s="89"/>
      <c r="L5" s="90"/>
      <c r="M5" s="142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38"/>
      <c r="G6" s="87"/>
      <c r="H6" s="88"/>
      <c r="I6" s="88"/>
      <c r="J6" s="88"/>
      <c r="K6" s="89"/>
      <c r="L6" s="90"/>
      <c r="M6" s="142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36">
        <v>44868</v>
      </c>
      <c r="G7" s="87"/>
      <c r="H7" s="88"/>
      <c r="I7" s="88"/>
      <c r="J7" s="88"/>
      <c r="K7" s="89"/>
      <c r="L7" s="90"/>
      <c r="M7" s="142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37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37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37"/>
      <c r="G10" s="103"/>
      <c r="H10" s="104"/>
      <c r="I10" s="104"/>
      <c r="J10" s="104"/>
      <c r="K10" s="105"/>
      <c r="L10" s="106"/>
      <c r="M10" s="141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38"/>
      <c r="G11" s="107"/>
      <c r="H11" s="100"/>
      <c r="I11" s="100"/>
      <c r="J11" s="100"/>
      <c r="K11" s="101"/>
      <c r="L11" s="108"/>
      <c r="M11" s="142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36">
        <v>44869</v>
      </c>
      <c r="G12" s="107"/>
      <c r="H12" s="100"/>
      <c r="I12" s="100"/>
      <c r="J12" s="100"/>
      <c r="K12" s="101"/>
      <c r="L12" s="108"/>
      <c r="M12" s="142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37"/>
      <c r="G13" s="107"/>
      <c r="H13" s="100"/>
      <c r="I13" s="100"/>
      <c r="J13" s="100"/>
      <c r="K13" s="101"/>
      <c r="L13" s="108"/>
      <c r="M13" s="142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37"/>
      <c r="G14" s="107"/>
      <c r="H14" s="100"/>
      <c r="I14" s="100"/>
      <c r="J14" s="100"/>
      <c r="K14" s="101"/>
      <c r="L14" s="108"/>
      <c r="M14" s="142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37"/>
      <c r="G15" s="109"/>
      <c r="H15" s="110"/>
      <c r="I15" s="110"/>
      <c r="J15" s="110"/>
      <c r="K15" s="110"/>
      <c r="L15" s="111"/>
      <c r="M15" s="143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38"/>
      <c r="G16" s="112"/>
      <c r="H16" s="113"/>
      <c r="I16" s="113"/>
      <c r="J16" s="113"/>
      <c r="K16" s="114"/>
      <c r="L16" s="115"/>
      <c r="M16" s="141"/>
    </row>
    <row r="17" spans="1:14" ht="15.75" thickTop="1" x14ac:dyDescent="0.25">
      <c r="A17" s="75" t="s">
        <v>999</v>
      </c>
      <c r="B17" s="76">
        <v>430</v>
      </c>
      <c r="C17" s="77"/>
      <c r="D17" s="78"/>
      <c r="E17" s="136">
        <v>44874</v>
      </c>
      <c r="G17" s="116"/>
      <c r="H17" s="100"/>
      <c r="I17" s="100"/>
      <c r="J17" s="100"/>
      <c r="K17" s="101"/>
      <c r="L17" s="117"/>
      <c r="M17" s="142"/>
    </row>
    <row r="18" spans="1:14" x14ac:dyDescent="0.25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37"/>
      <c r="G18" s="116"/>
      <c r="H18" s="100"/>
      <c r="I18" s="100"/>
      <c r="J18" s="100"/>
      <c r="K18" s="101"/>
      <c r="L18" s="117"/>
      <c r="M18" s="142"/>
    </row>
    <row r="19" spans="1:14" x14ac:dyDescent="0.25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37"/>
      <c r="G19" s="116"/>
      <c r="H19" s="100"/>
      <c r="I19" s="100"/>
      <c r="J19" s="100"/>
      <c r="K19" s="101"/>
      <c r="L19" s="117"/>
      <c r="M19" s="142"/>
    </row>
    <row r="20" spans="1:14" x14ac:dyDescent="0.25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37"/>
      <c r="G20" s="116"/>
      <c r="H20" s="100"/>
      <c r="I20" s="100"/>
      <c r="J20" s="100"/>
      <c r="K20" s="101"/>
      <c r="L20" s="117"/>
      <c r="M20" s="142"/>
    </row>
    <row r="21" spans="1:14" ht="15.75" thickBot="1" x14ac:dyDescent="0.3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38"/>
      <c r="G21" s="109"/>
      <c r="H21" s="110"/>
      <c r="I21" s="110"/>
      <c r="J21" s="110"/>
      <c r="K21" s="110"/>
      <c r="L21" s="111"/>
      <c r="M21" s="143"/>
    </row>
    <row r="22" spans="1:14" ht="15.75" thickTop="1" x14ac:dyDescent="0.25">
      <c r="A22" s="75" t="s">
        <v>999</v>
      </c>
      <c r="B22" s="76">
        <v>430</v>
      </c>
      <c r="C22" s="77"/>
      <c r="D22" s="78"/>
      <c r="E22" s="136">
        <v>44875</v>
      </c>
    </row>
    <row r="23" spans="1:14" ht="15.75" thickBot="1" x14ac:dyDescent="0.3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37"/>
    </row>
    <row r="24" spans="1:14" ht="15.75" thickTop="1" x14ac:dyDescent="0.25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37"/>
      <c r="G24" s="103"/>
      <c r="H24" s="104"/>
      <c r="I24" s="104"/>
      <c r="J24" s="104"/>
      <c r="K24" s="105"/>
      <c r="L24" s="106"/>
      <c r="M24" s="141"/>
    </row>
    <row r="25" spans="1:14" x14ac:dyDescent="0.25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37"/>
      <c r="G25" s="107"/>
      <c r="H25" s="100"/>
      <c r="I25" s="100"/>
      <c r="J25" s="100"/>
      <c r="K25" s="101"/>
      <c r="L25" s="108"/>
      <c r="M25" s="142"/>
    </row>
    <row r="26" spans="1:14" ht="15.75" thickBot="1" x14ac:dyDescent="0.3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38"/>
      <c r="G26" s="107"/>
      <c r="H26" s="100"/>
      <c r="I26" s="100"/>
      <c r="J26" s="100"/>
      <c r="K26" s="101"/>
      <c r="L26" s="108"/>
      <c r="M26" s="142"/>
    </row>
    <row r="27" spans="1:14" ht="15.75" thickTop="1" x14ac:dyDescent="0.25">
      <c r="A27" s="75" t="s">
        <v>999</v>
      </c>
      <c r="B27" s="76">
        <v>430</v>
      </c>
      <c r="C27" s="77"/>
      <c r="D27" s="78"/>
      <c r="E27" s="136">
        <v>44879</v>
      </c>
      <c r="G27" s="107"/>
      <c r="H27" s="100"/>
      <c r="I27" s="100"/>
      <c r="J27" s="100"/>
      <c r="K27" s="101"/>
      <c r="L27" s="108"/>
      <c r="M27" s="142"/>
    </row>
    <row r="28" spans="1:14" x14ac:dyDescent="0.25">
      <c r="A28" s="79" t="s">
        <v>6</v>
      </c>
      <c r="B28" s="80">
        <v>41</v>
      </c>
      <c r="C28" s="81">
        <v>41</v>
      </c>
      <c r="D28" s="82">
        <f>C28/B27</f>
        <v>9.5348837209302331E-2</v>
      </c>
      <c r="E28" s="137"/>
      <c r="G28" s="107"/>
      <c r="H28" s="100"/>
      <c r="I28" s="100"/>
      <c r="J28" s="100"/>
      <c r="K28" s="101"/>
      <c r="L28" s="108"/>
      <c r="M28" s="142"/>
    </row>
    <row r="29" spans="1:14" ht="15.75" thickBot="1" x14ac:dyDescent="0.3">
      <c r="A29" s="79" t="s">
        <v>1001</v>
      </c>
      <c r="B29" s="80">
        <v>5</v>
      </c>
      <c r="C29" s="81">
        <f>C28-B29</f>
        <v>36</v>
      </c>
      <c r="D29" s="82">
        <f>C29/B27</f>
        <v>8.3720930232558138E-2</v>
      </c>
      <c r="E29" s="137"/>
      <c r="G29" s="109"/>
      <c r="H29" s="110"/>
      <c r="I29" s="110"/>
      <c r="J29" s="110"/>
      <c r="K29" s="110"/>
      <c r="L29" s="111"/>
      <c r="M29" s="143"/>
    </row>
    <row r="30" spans="1:14" ht="16.5" thickTop="1" thickBot="1" x14ac:dyDescent="0.3">
      <c r="A30" s="79" t="s">
        <v>1000</v>
      </c>
      <c r="B30" s="80">
        <v>1</v>
      </c>
      <c r="C30" s="81">
        <f>C29-B30</f>
        <v>35</v>
      </c>
      <c r="D30" s="82">
        <f>C30/B27</f>
        <v>8.1395348837209308E-2</v>
      </c>
      <c r="E30" s="137"/>
    </row>
    <row r="31" spans="1:14" ht="16.5" thickTop="1" thickBot="1" x14ac:dyDescent="0.3">
      <c r="A31" s="91" t="s">
        <v>16</v>
      </c>
      <c r="B31" s="92">
        <v>1</v>
      </c>
      <c r="C31" s="93">
        <f>C30-B31</f>
        <v>34</v>
      </c>
      <c r="D31" s="82">
        <f>C31/B27</f>
        <v>7.9069767441860464E-2</v>
      </c>
      <c r="E31" s="138"/>
      <c r="G31" s="112"/>
      <c r="H31" s="118"/>
      <c r="I31" s="113"/>
      <c r="J31" s="113"/>
      <c r="K31" s="113"/>
      <c r="L31" s="114"/>
      <c r="M31" s="115"/>
      <c r="N31" s="139"/>
    </row>
    <row r="32" spans="1:14" ht="15.75" thickTop="1" x14ac:dyDescent="0.25">
      <c r="A32" s="75" t="s">
        <v>999</v>
      </c>
      <c r="B32" s="76"/>
      <c r="C32" s="77"/>
      <c r="D32" s="78"/>
      <c r="E32" s="136"/>
      <c r="G32" s="116"/>
      <c r="H32" s="99"/>
      <c r="I32" s="100"/>
      <c r="J32" s="100"/>
      <c r="K32" s="100"/>
      <c r="L32" s="101"/>
      <c r="M32" s="117"/>
      <c r="N32" s="140"/>
    </row>
    <row r="33" spans="1:14" ht="15.75" thickBot="1" x14ac:dyDescent="0.3">
      <c r="A33" s="79" t="s">
        <v>6</v>
      </c>
      <c r="B33" s="80"/>
      <c r="C33" s="81"/>
      <c r="D33" s="82"/>
      <c r="E33" s="137"/>
      <c r="G33" s="119"/>
      <c r="H33" s="120"/>
      <c r="I33" s="110"/>
      <c r="J33" s="110"/>
      <c r="K33" s="110"/>
      <c r="L33" s="121"/>
      <c r="M33" s="111"/>
      <c r="N33" s="140"/>
    </row>
    <row r="34" spans="1:14" ht="15.75" thickTop="1" x14ac:dyDescent="0.25">
      <c r="A34" s="79" t="s">
        <v>1001</v>
      </c>
      <c r="B34" s="80"/>
      <c r="C34" s="81"/>
      <c r="D34" s="82"/>
      <c r="E34" s="137"/>
      <c r="G34" s="122"/>
      <c r="K34" s="123"/>
    </row>
    <row r="35" spans="1:14" x14ac:dyDescent="0.25">
      <c r="A35" s="79" t="s">
        <v>1000</v>
      </c>
      <c r="B35" s="80"/>
      <c r="C35" s="81"/>
      <c r="D35" s="82"/>
      <c r="E35" s="137"/>
      <c r="G35" s="122"/>
      <c r="K35" s="123"/>
    </row>
    <row r="36" spans="1:14" ht="15.75" thickBot="1" x14ac:dyDescent="0.3">
      <c r="A36" s="91" t="s">
        <v>16</v>
      </c>
      <c r="B36" s="92"/>
      <c r="C36" s="93"/>
      <c r="D36" s="94"/>
      <c r="E36" s="138"/>
      <c r="G36" s="122"/>
      <c r="K36" s="123"/>
    </row>
    <row r="37" spans="1:14" ht="15.75" thickTop="1" x14ac:dyDescent="0.25">
      <c r="A37" s="75" t="s">
        <v>999</v>
      </c>
      <c r="B37" s="76"/>
      <c r="C37" s="77"/>
      <c r="D37" s="78"/>
      <c r="E37" s="136"/>
      <c r="G37" s="122"/>
      <c r="K37" s="123"/>
    </row>
    <row r="38" spans="1:14" x14ac:dyDescent="0.25">
      <c r="A38" s="79" t="s">
        <v>6</v>
      </c>
      <c r="B38" s="80"/>
      <c r="C38" s="81"/>
      <c r="D38" s="82"/>
      <c r="E38" s="137"/>
      <c r="G38" s="122"/>
      <c r="K38" s="123"/>
      <c r="L38" s="124"/>
    </row>
    <row r="39" spans="1:14" ht="15.75" thickBot="1" x14ac:dyDescent="0.3">
      <c r="A39" s="79" t="s">
        <v>1001</v>
      </c>
      <c r="B39" s="80"/>
      <c r="C39" s="81"/>
      <c r="D39" s="82"/>
      <c r="E39" s="137"/>
    </row>
    <row r="40" spans="1:14" ht="15.75" thickTop="1" x14ac:dyDescent="0.25">
      <c r="A40" s="79" t="s">
        <v>1000</v>
      </c>
      <c r="B40" s="80"/>
      <c r="C40" s="81"/>
      <c r="D40" s="82"/>
      <c r="E40" s="137"/>
      <c r="G40" s="103"/>
      <c r="H40" s="104"/>
      <c r="I40" s="104"/>
      <c r="J40" s="104"/>
      <c r="K40" s="105"/>
      <c r="L40" s="106"/>
      <c r="M40" s="141"/>
    </row>
    <row r="41" spans="1:14" ht="15.75" thickBot="1" x14ac:dyDescent="0.3">
      <c r="A41" s="91" t="s">
        <v>16</v>
      </c>
      <c r="B41" s="92"/>
      <c r="C41" s="93"/>
      <c r="D41" s="94"/>
      <c r="E41" s="138"/>
      <c r="G41" s="107"/>
      <c r="H41" s="100"/>
      <c r="I41" s="100"/>
      <c r="J41" s="100"/>
      <c r="K41" s="101"/>
      <c r="L41" s="108"/>
      <c r="M41" s="142"/>
    </row>
    <row r="42" spans="1:14" ht="15" customHeight="1" thickTop="1" x14ac:dyDescent="0.25">
      <c r="A42" s="75" t="s">
        <v>999</v>
      </c>
      <c r="B42" s="76"/>
      <c r="C42" s="77"/>
      <c r="D42" s="78"/>
      <c r="E42" s="136"/>
      <c r="G42" s="107"/>
      <c r="H42" s="100"/>
      <c r="I42" s="100"/>
      <c r="J42" s="100"/>
      <c r="K42" s="101"/>
      <c r="L42" s="108"/>
      <c r="M42" s="142"/>
    </row>
    <row r="43" spans="1:14" x14ac:dyDescent="0.25">
      <c r="A43" s="79" t="s">
        <v>6</v>
      </c>
      <c r="B43" s="80"/>
      <c r="C43" s="81"/>
      <c r="D43" s="82"/>
      <c r="E43" s="137"/>
      <c r="G43" s="107"/>
      <c r="H43" s="100"/>
      <c r="I43" s="100"/>
      <c r="J43" s="100"/>
      <c r="K43" s="101"/>
      <c r="L43" s="108"/>
      <c r="M43" s="142"/>
    </row>
    <row r="44" spans="1:14" x14ac:dyDescent="0.25">
      <c r="A44" s="79" t="s">
        <v>1001</v>
      </c>
      <c r="B44" s="80"/>
      <c r="C44" s="81"/>
      <c r="D44" s="82"/>
      <c r="E44" s="137"/>
      <c r="G44" s="107"/>
      <c r="H44" s="100"/>
      <c r="I44" s="100"/>
      <c r="J44" s="100"/>
      <c r="K44" s="101"/>
      <c r="L44" s="108"/>
      <c r="M44" s="142"/>
    </row>
    <row r="45" spans="1:14" ht="15.75" thickBot="1" x14ac:dyDescent="0.3">
      <c r="A45" s="79" t="s">
        <v>1000</v>
      </c>
      <c r="B45" s="80"/>
      <c r="C45" s="81"/>
      <c r="D45" s="82"/>
      <c r="E45" s="137"/>
      <c r="G45" s="109"/>
      <c r="H45" s="110"/>
      <c r="I45" s="110"/>
      <c r="J45" s="110"/>
      <c r="K45" s="110"/>
      <c r="L45" s="111"/>
      <c r="M45" s="143"/>
    </row>
    <row r="46" spans="1:14" ht="16.5" thickTop="1" thickBot="1" x14ac:dyDescent="0.3">
      <c r="A46" s="91" t="s">
        <v>16</v>
      </c>
      <c r="B46" s="92"/>
      <c r="C46" s="93"/>
      <c r="D46" s="94"/>
      <c r="E46" s="138"/>
    </row>
    <row r="47" spans="1:14" ht="15.75" thickTop="1" x14ac:dyDescent="0.25">
      <c r="A47" s="75" t="s">
        <v>999</v>
      </c>
      <c r="B47" s="76"/>
      <c r="C47" s="77"/>
      <c r="D47" s="78"/>
      <c r="E47" s="136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37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37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37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38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36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37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37"/>
    </row>
    <row r="55" spans="1:11" x14ac:dyDescent="0.25">
      <c r="A55" s="79" t="s">
        <v>1000</v>
      </c>
      <c r="B55" s="80"/>
      <c r="C55" s="81"/>
      <c r="D55" s="82"/>
      <c r="E55" s="137"/>
    </row>
    <row r="56" spans="1:11" ht="15.75" thickBot="1" x14ac:dyDescent="0.3">
      <c r="A56" s="91" t="s">
        <v>16</v>
      </c>
      <c r="B56" s="92"/>
      <c r="C56" s="93"/>
      <c r="D56" s="94"/>
      <c r="E56" s="138"/>
    </row>
    <row r="57" spans="1:11" ht="15.75" thickTop="1" x14ac:dyDescent="0.25">
      <c r="A57" s="75" t="s">
        <v>999</v>
      </c>
      <c r="B57" s="76"/>
      <c r="C57" s="77"/>
      <c r="D57" s="78"/>
      <c r="E57" s="136"/>
    </row>
    <row r="58" spans="1:11" x14ac:dyDescent="0.25">
      <c r="A58" s="79" t="s">
        <v>6</v>
      </c>
      <c r="B58" s="80"/>
      <c r="C58" s="81"/>
      <c r="D58" s="82"/>
      <c r="E58" s="137"/>
    </row>
    <row r="59" spans="1:11" x14ac:dyDescent="0.25">
      <c r="A59" s="79" t="s">
        <v>1001</v>
      </c>
      <c r="B59" s="80"/>
      <c r="C59" s="81"/>
      <c r="D59" s="82"/>
      <c r="E59" s="137"/>
    </row>
    <row r="60" spans="1:11" x14ac:dyDescent="0.25">
      <c r="A60" s="79" t="s">
        <v>1000</v>
      </c>
      <c r="B60" s="80"/>
      <c r="C60" s="81"/>
      <c r="D60" s="82"/>
      <c r="E60" s="137"/>
    </row>
    <row r="61" spans="1:11" ht="15.75" thickBot="1" x14ac:dyDescent="0.3">
      <c r="A61" s="91" t="s">
        <v>16</v>
      </c>
      <c r="B61" s="92"/>
      <c r="C61" s="93"/>
      <c r="D61" s="94"/>
      <c r="E61" s="138"/>
    </row>
    <row r="62" spans="1:11" ht="15.75" thickTop="1" x14ac:dyDescent="0.25">
      <c r="A62" s="75" t="s">
        <v>999</v>
      </c>
      <c r="B62" s="76"/>
      <c r="C62" s="77"/>
      <c r="D62" s="78"/>
      <c r="E62" s="136"/>
    </row>
    <row r="63" spans="1:11" x14ac:dyDescent="0.25">
      <c r="A63" s="79" t="s">
        <v>6</v>
      </c>
      <c r="B63" s="80"/>
      <c r="C63" s="81"/>
      <c r="D63" s="82"/>
      <c r="E63" s="137"/>
    </row>
    <row r="64" spans="1:11" x14ac:dyDescent="0.25">
      <c r="A64" s="79" t="s">
        <v>1001</v>
      </c>
      <c r="B64" s="80"/>
      <c r="C64" s="81"/>
      <c r="D64" s="82"/>
      <c r="E64" s="137"/>
    </row>
    <row r="65" spans="1:5" x14ac:dyDescent="0.25">
      <c r="A65" s="79" t="s">
        <v>1000</v>
      </c>
      <c r="B65" s="80"/>
      <c r="C65" s="81"/>
      <c r="D65" s="82"/>
      <c r="E65" s="137"/>
    </row>
    <row r="66" spans="1:5" ht="15.75" thickBot="1" x14ac:dyDescent="0.3">
      <c r="A66" s="91" t="s">
        <v>16</v>
      </c>
      <c r="B66" s="92"/>
      <c r="C66" s="93"/>
      <c r="D66" s="94"/>
      <c r="E66" s="138"/>
    </row>
    <row r="67" spans="1:5" ht="15.75" thickTop="1" x14ac:dyDescent="0.25">
      <c r="A67" s="75" t="s">
        <v>999</v>
      </c>
      <c r="B67" s="76"/>
      <c r="C67" s="77"/>
      <c r="D67" s="78"/>
      <c r="E67" s="136"/>
    </row>
    <row r="68" spans="1:5" x14ac:dyDescent="0.25">
      <c r="A68" s="79" t="s">
        <v>6</v>
      </c>
      <c r="B68" s="80"/>
      <c r="C68" s="81"/>
      <c r="D68" s="82"/>
      <c r="E68" s="137"/>
    </row>
    <row r="69" spans="1:5" x14ac:dyDescent="0.25">
      <c r="A69" s="79" t="s">
        <v>1001</v>
      </c>
      <c r="B69" s="80"/>
      <c r="C69" s="81"/>
      <c r="D69" s="82"/>
      <c r="E69" s="137"/>
    </row>
    <row r="70" spans="1:5" x14ac:dyDescent="0.25">
      <c r="A70" s="79" t="s">
        <v>1000</v>
      </c>
      <c r="B70" s="80"/>
      <c r="C70" s="81"/>
      <c r="D70" s="82"/>
      <c r="E70" s="137"/>
    </row>
    <row r="71" spans="1:5" ht="15.75" thickBot="1" x14ac:dyDescent="0.3">
      <c r="A71" s="91" t="s">
        <v>16</v>
      </c>
      <c r="B71" s="92"/>
      <c r="C71" s="93"/>
      <c r="D71" s="94"/>
      <c r="E71" s="138"/>
    </row>
    <row r="72" spans="1:5" ht="15.75" thickTop="1" x14ac:dyDescent="0.25">
      <c r="A72" s="75" t="s">
        <v>999</v>
      </c>
      <c r="B72" s="76"/>
      <c r="C72" s="77"/>
      <c r="D72" s="78"/>
      <c r="E72" s="136"/>
    </row>
    <row r="73" spans="1:5" x14ac:dyDescent="0.25">
      <c r="A73" s="79" t="s">
        <v>6</v>
      </c>
      <c r="B73" s="80"/>
      <c r="C73" s="81"/>
      <c r="D73" s="82"/>
      <c r="E73" s="137"/>
    </row>
    <row r="74" spans="1:5" x14ac:dyDescent="0.25">
      <c r="A74" s="79" t="s">
        <v>1001</v>
      </c>
      <c r="B74" s="80"/>
      <c r="C74" s="81"/>
      <c r="D74" s="82"/>
      <c r="E74" s="137"/>
    </row>
    <row r="75" spans="1:5" x14ac:dyDescent="0.25">
      <c r="A75" s="79" t="s">
        <v>1000</v>
      </c>
      <c r="B75" s="80"/>
      <c r="C75" s="81"/>
      <c r="D75" s="82"/>
      <c r="E75" s="137"/>
    </row>
    <row r="76" spans="1:5" ht="15.75" thickBot="1" x14ac:dyDescent="0.3">
      <c r="A76" s="91" t="s">
        <v>16</v>
      </c>
      <c r="B76" s="92"/>
      <c r="C76" s="93"/>
      <c r="D76" s="94"/>
      <c r="E76" s="138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25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25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25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25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25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25">
      <c r="A12" s="18">
        <f>'APAGADOS RADIO'!P3</f>
        <v>44876</v>
      </c>
      <c r="B12" s="40">
        <f>'APAGADOS RADIO'!P2+D12</f>
        <v>34</v>
      </c>
      <c r="C12" s="40">
        <f>'APAGADOS FIBRA'!P2</f>
        <v>63</v>
      </c>
      <c r="D12" s="40">
        <f>'APAGADOS ANTENA'!P2</f>
        <v>9</v>
      </c>
      <c r="E12" s="40">
        <f t="shared" ref="E12:E15" si="10">B12+C12</f>
        <v>97</v>
      </c>
      <c r="F12" s="40">
        <f>'RESUMEN TOTAL'!B1</f>
        <v>430</v>
      </c>
      <c r="G12" s="44">
        <f t="shared" ref="G12:G15" si="11">E12/F12</f>
        <v>0.2255813953488372</v>
      </c>
    </row>
    <row r="13" spans="1:7" x14ac:dyDescent="0.25">
      <c r="A13" s="18">
        <f>'APAGADOS RADIO'!Q3</f>
        <v>44877</v>
      </c>
      <c r="B13" s="40">
        <f>'APAGADOS RADIO'!Q2+D13</f>
        <v>7</v>
      </c>
      <c r="C13" s="40">
        <f>'APAGADOS FIBRA'!Q2</f>
        <v>36</v>
      </c>
      <c r="D13" s="40">
        <f>'APAGADOS ANTENA'!Q2</f>
        <v>2</v>
      </c>
      <c r="E13" s="40">
        <f t="shared" si="10"/>
        <v>43</v>
      </c>
      <c r="F13" s="40">
        <f>'RESUMEN TOTAL'!B1</f>
        <v>430</v>
      </c>
      <c r="G13" s="44">
        <f t="shared" si="11"/>
        <v>0.1</v>
      </c>
    </row>
    <row r="14" spans="1:7" x14ac:dyDescent="0.25">
      <c r="A14" s="18">
        <f>'APAGADOS RADIO'!R3</f>
        <v>44878</v>
      </c>
      <c r="B14" s="40">
        <f>'APAGADOS RADIO'!R2+D14</f>
        <v>35</v>
      </c>
      <c r="C14" s="40">
        <f>'APAGADOS FIBRA'!R2</f>
        <v>61</v>
      </c>
      <c r="D14" s="40">
        <f>'APAGADOS ANTENA'!R2</f>
        <v>10</v>
      </c>
      <c r="E14" s="40">
        <f t="shared" si="10"/>
        <v>96</v>
      </c>
      <c r="F14" s="40">
        <f>'RESUMEN TOTAL'!B1</f>
        <v>430</v>
      </c>
      <c r="G14" s="44">
        <f t="shared" si="11"/>
        <v>0.22325581395348837</v>
      </c>
    </row>
    <row r="15" spans="1:7" x14ac:dyDescent="0.25">
      <c r="A15" s="18">
        <f>'APAGADOS RADIO'!S3</f>
        <v>44879</v>
      </c>
      <c r="B15" s="40">
        <f>'APAGADOS RADIO'!S2+D15</f>
        <v>5</v>
      </c>
      <c r="C15" s="40">
        <f>'APAGADOS FIBRA'!S2</f>
        <v>36</v>
      </c>
      <c r="D15" s="40">
        <f>'APAGADOS ANTENA'!S2</f>
        <v>4</v>
      </c>
      <c r="E15" s="40">
        <f t="shared" si="10"/>
        <v>41</v>
      </c>
      <c r="F15" s="40">
        <f>'RESUMEN TOTAL'!B1</f>
        <v>430</v>
      </c>
      <c r="G15" s="44">
        <f t="shared" si="11"/>
        <v>9.5348837209302331E-2</v>
      </c>
    </row>
    <row r="16" spans="1:7" x14ac:dyDescent="0.25">
      <c r="A16" s="18">
        <f>'APAGADOS RADIO'!T3</f>
        <v>44880</v>
      </c>
      <c r="B16" s="40"/>
      <c r="C16" s="40"/>
      <c r="D16" s="40"/>
      <c r="E16" s="40"/>
      <c r="F16" s="40"/>
    </row>
    <row r="17" spans="1:6" x14ac:dyDescent="0.25">
      <c r="A17" s="18">
        <f>'APAGADOS RADIO'!U3</f>
        <v>44881</v>
      </c>
      <c r="B17" s="40"/>
      <c r="C17" s="40"/>
      <c r="D17" s="40"/>
      <c r="E17" s="40"/>
      <c r="F17" s="40"/>
    </row>
    <row r="18" spans="1:6" x14ac:dyDescent="0.25">
      <c r="A18" s="18">
        <f>'APAGADOS RADIO'!V3</f>
        <v>44882</v>
      </c>
      <c r="B18" s="40"/>
      <c r="C18" s="40"/>
      <c r="D18" s="40"/>
      <c r="E18" s="40"/>
      <c r="F18" s="40"/>
    </row>
    <row r="19" spans="1:6" x14ac:dyDescent="0.25">
      <c r="A19" s="18">
        <f>'APAGADOS RADIO'!W3</f>
        <v>44883</v>
      </c>
      <c r="B19" s="40"/>
      <c r="C19" s="40"/>
      <c r="D19" s="40"/>
      <c r="E19" s="40"/>
      <c r="F19" s="40"/>
    </row>
    <row r="20" spans="1:6" x14ac:dyDescent="0.25">
      <c r="A20" s="18">
        <f>'APAGADOS RADIO'!X3</f>
        <v>44884</v>
      </c>
      <c r="B20" s="40"/>
      <c r="C20" s="40"/>
      <c r="D20" s="40"/>
      <c r="E20" s="40"/>
      <c r="F20" s="40"/>
    </row>
    <row r="21" spans="1:6" x14ac:dyDescent="0.25">
      <c r="A21" s="18">
        <f>'APAGADOS RADIO'!Y3</f>
        <v>44885</v>
      </c>
      <c r="B21" s="40"/>
      <c r="C21" s="40"/>
      <c r="D21" s="40"/>
      <c r="E21" s="40"/>
      <c r="F21" s="40"/>
    </row>
    <row r="22" spans="1:6" x14ac:dyDescent="0.25">
      <c r="A22" s="18">
        <f>'APAGADOS RADIO'!Z3</f>
        <v>44886</v>
      </c>
      <c r="B22" s="40"/>
      <c r="C22" s="40"/>
      <c r="D22" s="40"/>
      <c r="E22" s="40"/>
      <c r="F22" s="40"/>
    </row>
    <row r="23" spans="1:6" x14ac:dyDescent="0.25">
      <c r="A23" s="18">
        <f>'APAGADOS RADIO'!AA3</f>
        <v>44887</v>
      </c>
      <c r="B23" s="40"/>
      <c r="C23" s="40"/>
      <c r="D23" s="40"/>
      <c r="E23" s="40"/>
      <c r="F23" s="40"/>
    </row>
    <row r="24" spans="1:6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6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6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6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6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6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6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6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6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44879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22</v>
      </c>
    </row>
    <row r="5" spans="2:4" ht="15.75" thickBot="1" x14ac:dyDescent="0.3">
      <c r="B5" s="58"/>
      <c r="C5" s="59"/>
      <c r="D5" s="71">
        <v>9.7777777777777783E-2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19</v>
      </c>
    </row>
    <row r="7" spans="2:4" ht="15.75" thickBot="1" x14ac:dyDescent="0.3">
      <c r="B7" s="58"/>
      <c r="C7" s="59"/>
      <c r="D7" s="52">
        <v>9.2682926829268292E-2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workbookViewId="0">
      <selection activeCell="S2" sqref="S2:S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22</v>
      </c>
      <c r="T3" s="64">
        <f>COUNTIFS('RESUMEN TOTAL'!C7:C501, "=BONOMO",'RESUMEN TOTAL'!Y7:Y501,"=APAGADO")</f>
        <v>25</v>
      </c>
      <c r="U3" s="64">
        <f>COUNTIFS('RESUMEN TOTAL'!C7:C501, "=BONOMO",'RESUMEN TOTAL'!Z7:Z501,"=APAGADO")</f>
        <v>0</v>
      </c>
      <c r="V3" s="64">
        <f>COUNTIFS('RESUMEN TOTAL'!D7:D501, "=BONOMO",'RESUMEN TOTAL'!AA7:AA501,"=APAGADO")</f>
        <v>0</v>
      </c>
      <c r="W3" s="64">
        <f>COUNTIFS('RESUMEN TOTAL'!C7:C501, "=BONOMO",'RESUMEN TOTAL'!AB7:AB501,"=APAGADO")</f>
        <v>0</v>
      </c>
      <c r="X3" s="64">
        <f>COUNTIFS('RESUMEN TOTAL'!C7:C501, "=BONOMO",'RESUMEN TOTAL'!AC7:AC501,"=APAGADO")</f>
        <v>0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9.7777777777777783E-2</v>
      </c>
      <c r="T4" s="71">
        <f t="shared" si="0"/>
        <v>0.1111111111111111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19</v>
      </c>
      <c r="T5" s="66">
        <f>COUNTIFS('RESUMEN TOTAL'!C10:C421, "=COSEIDI",'RESUMEN TOTAL'!Y10:Y421,"=APAGADO")</f>
        <v>16</v>
      </c>
      <c r="U5" s="66">
        <f>COUNTIFS('RESUMEN TOTAL'!C10:C421, "=COSEIDI",'RESUMEN TOTAL'!Z10:Z421,"=APAGADO")</f>
        <v>0</v>
      </c>
      <c r="V5" s="66">
        <f>COUNTIFS('RESUMEN TOTAL'!D10:D421, "=COSEIDI",'RESUMEN TOTAL'!AA10:AA421,"=APAGADO")</f>
        <v>0</v>
      </c>
      <c r="W5" s="66">
        <f>COUNTIFS('RESUMEN TOTAL'!C10:C421, "=COSEIDI",'RESUMEN TOTAL'!AB10:AB421,"=APAGADO")</f>
        <v>0</v>
      </c>
      <c r="X5" s="66">
        <f ca="1">COUNTIFS('RESUMEN TOTAL'!C10:C421, "=COSEIDI",'RESUMEN TOTAL'!AC10:AC421,"=APAGADO")</f>
        <v>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9.2682926829268292E-2</v>
      </c>
      <c r="T6" s="70">
        <f t="shared" si="5"/>
        <v>7.8048780487804878E-2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ca="1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GRAFICO2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2022-11-15T11:06:24Z</dcterms:modified>
</cp:coreProperties>
</file>