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52387F98-3DAD-4247-BF61-51882C260A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25" l="1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9" i="14" l="1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40" i="24" l="1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W2" i="21" l="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Z2" i="21"/>
  <c r="Y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W2" i="11" l="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A2" i="10"/>
  <c r="AA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X2" i="11"/>
  <c r="AD2" i="11"/>
  <c r="Y2" i="11"/>
  <c r="Z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J386" i="2"/>
  <c r="H386" i="2"/>
  <c r="X384" i="9"/>
  <c r="X1" i="9" s="1"/>
  <c r="X383" i="8"/>
  <c r="X385" i="10" s="1"/>
  <c r="X2" i="10" s="1"/>
  <c r="X385" i="11"/>
  <c r="AC3" i="2"/>
  <c r="AC2" i="2" s="1"/>
  <c r="AC1" i="2" s="1"/>
  <c r="I386" i="2"/>
  <c r="X385" i="21" l="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<sst xmlns="http://schemas.openxmlformats.org/spreadsheetml/2006/main" count="4108" uniqueCount="1294">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</sst>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0.10666666666666667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5.8536585365853662E-2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0.10666666666666667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5.8536585365853662E-2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E219" activePane="bottomRight" state="frozen"/>
      <selection pane="topRight" activeCell="M1" sqref="M1"/>
      <selection pane="bottomLeft" activeCell="A5" sqref="A5"/>
      <selection pane="bottomRight" activeCell="AE230" sqref="AE230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8.3720930232558138E-2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394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36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11</v>
      </c>
      <c r="I16" s="42">
        <f t="shared" si="3"/>
        <v>19</v>
      </c>
      <c r="J16" s="43">
        <f t="shared" si="4"/>
        <v>0.36666666666666664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 t="s">
        <v>1274</v>
      </c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10</v>
      </c>
      <c r="I34" s="42">
        <f>COUNTIF(K34:AL34,"APAGADO")</f>
        <v>20</v>
      </c>
      <c r="J34" s="43">
        <f>(H34)/(I34+H34)</f>
        <v>0.33333333333333331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 t="s">
        <v>1274</v>
      </c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27</v>
      </c>
      <c r="I37" s="42">
        <f t="shared" si="3"/>
        <v>3</v>
      </c>
      <c r="J37" s="43">
        <f t="shared" si="4"/>
        <v>0.9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21</v>
      </c>
      <c r="I38" s="42">
        <f t="shared" si="3"/>
        <v>9</v>
      </c>
      <c r="J38" s="43">
        <f t="shared" si="4"/>
        <v>0.7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1274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9</v>
      </c>
      <c r="I40" s="42">
        <f t="shared" si="3"/>
        <v>21</v>
      </c>
      <c r="J40" s="43">
        <f t="shared" si="4"/>
        <v>0.3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 t="s">
        <v>1274</v>
      </c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9</v>
      </c>
      <c r="I48" s="42">
        <f t="shared" si="3"/>
        <v>21</v>
      </c>
      <c r="J48" s="43">
        <f t="shared" si="4"/>
        <v>0.3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 t="s">
        <v>1274</v>
      </c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10</v>
      </c>
      <c r="I49" s="42">
        <f t="shared" si="3"/>
        <v>20</v>
      </c>
      <c r="J49" s="43">
        <f t="shared" si="4"/>
        <v>0.33333333333333331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 t="s">
        <v>1274</v>
      </c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9</v>
      </c>
      <c r="I51" s="42">
        <f t="shared" si="3"/>
        <v>21</v>
      </c>
      <c r="J51" s="43">
        <f t="shared" si="4"/>
        <v>0.3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 t="s">
        <v>1274</v>
      </c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9</v>
      </c>
      <c r="I54" s="42">
        <f t="shared" si="3"/>
        <v>21</v>
      </c>
      <c r="J54" s="43">
        <f t="shared" si="4"/>
        <v>0.3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 t="s">
        <v>1274</v>
      </c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9</v>
      </c>
      <c r="I56" s="42">
        <f t="shared" si="3"/>
        <v>21</v>
      </c>
      <c r="J56" s="43">
        <f t="shared" si="4"/>
        <v>0.3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 t="s">
        <v>1274</v>
      </c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11</v>
      </c>
      <c r="I75" s="42">
        <f t="shared" si="3"/>
        <v>19</v>
      </c>
      <c r="J75" s="43">
        <f t="shared" si="4"/>
        <v>0.36666666666666664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 t="s">
        <v>1274</v>
      </c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26</v>
      </c>
      <c r="I77" s="42">
        <f t="shared" ref="I77:I140" si="10">COUNTIF(K77:AL77,"APAGADO")</f>
        <v>4</v>
      </c>
      <c r="J77" s="43">
        <f t="shared" ref="J77:J140" si="11">(H77)/(I77+H77)</f>
        <v>0.8666666666666667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 t="s">
        <v>1274</v>
      </c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19</v>
      </c>
      <c r="I87" s="42">
        <f>COUNTIF(K87:AL87,"APAGADO")</f>
        <v>11</v>
      </c>
      <c r="J87" s="43">
        <f>(H87)/(I87+H87)</f>
        <v>0.6333333333333333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19</v>
      </c>
      <c r="I88" s="42">
        <f t="shared" si="10"/>
        <v>11</v>
      </c>
      <c r="J88" s="43">
        <f t="shared" si="11"/>
        <v>0.6333333333333333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10</v>
      </c>
      <c r="I94" s="42">
        <f>COUNTIF(K94:AL94,"APAGADO")</f>
        <v>20</v>
      </c>
      <c r="J94" s="43">
        <f>(H94)/(I94+H94)</f>
        <v>0.33333333333333331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 t="s">
        <v>1274</v>
      </c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9</v>
      </c>
      <c r="I98" s="42">
        <f>COUNTIF(K98:AL98,"APAGADO")</f>
        <v>21</v>
      </c>
      <c r="J98" s="43">
        <f>(H98)/(I98+H98)</f>
        <v>0.3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 t="s">
        <v>1274</v>
      </c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10</v>
      </c>
      <c r="I101" s="42">
        <f t="shared" si="10"/>
        <v>20</v>
      </c>
      <c r="J101" s="43">
        <f t="shared" si="11"/>
        <v>0.33333333333333331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 t="s">
        <v>1274</v>
      </c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10</v>
      </c>
      <c r="I102" s="42">
        <f t="shared" si="10"/>
        <v>20</v>
      </c>
      <c r="J102" s="43">
        <f t="shared" si="11"/>
        <v>0.33333333333333331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 t="s">
        <v>1274</v>
      </c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22</v>
      </c>
      <c r="I122" s="42">
        <f t="shared" si="10"/>
        <v>8</v>
      </c>
      <c r="J122" s="43">
        <f t="shared" si="11"/>
        <v>0.73333333333333328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 t="s">
        <v>1274</v>
      </c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18</v>
      </c>
      <c r="I125" s="42">
        <f t="shared" si="10"/>
        <v>12</v>
      </c>
      <c r="J125" s="43">
        <f t="shared" si="11"/>
        <v>0.6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 t="s">
        <v>1274</v>
      </c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9</v>
      </c>
      <c r="I165" s="42">
        <f t="shared" si="12"/>
        <v>21</v>
      </c>
      <c r="J165" s="43">
        <f t="shared" si="13"/>
        <v>0.3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 t="s">
        <v>1274</v>
      </c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10</v>
      </c>
      <c r="I166" s="42">
        <f t="shared" si="12"/>
        <v>20</v>
      </c>
      <c r="J166" s="43">
        <f t="shared" si="13"/>
        <v>0.33333333333333331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 t="s">
        <v>1274</v>
      </c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9</v>
      </c>
      <c r="I175" s="42">
        <f t="shared" si="12"/>
        <v>21</v>
      </c>
      <c r="J175" s="43">
        <f t="shared" si="13"/>
        <v>0.3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 t="s">
        <v>1274</v>
      </c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9</v>
      </c>
      <c r="I177" s="42">
        <f t="shared" si="12"/>
        <v>21</v>
      </c>
      <c r="J177" s="43">
        <f t="shared" si="13"/>
        <v>0.3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 t="s">
        <v>1274</v>
      </c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9</v>
      </c>
      <c r="I182" s="42">
        <f t="shared" si="12"/>
        <v>21</v>
      </c>
      <c r="J182" s="43">
        <f t="shared" si="13"/>
        <v>0.3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 t="s">
        <v>1274</v>
      </c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24</v>
      </c>
      <c r="I184" s="42">
        <f t="shared" si="12"/>
        <v>6</v>
      </c>
      <c r="J184" s="43">
        <f t="shared" si="13"/>
        <v>0.8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 t="s">
        <v>1274</v>
      </c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9</v>
      </c>
      <c r="I185" s="42">
        <f t="shared" si="12"/>
        <v>21</v>
      </c>
      <c r="J185" s="43">
        <f t="shared" si="13"/>
        <v>0.3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 t="s">
        <v>1274</v>
      </c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9</v>
      </c>
      <c r="I187" s="42">
        <f t="shared" si="12"/>
        <v>21</v>
      </c>
      <c r="J187" s="43">
        <f t="shared" si="13"/>
        <v>0.3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 t="s">
        <v>1274</v>
      </c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9</v>
      </c>
      <c r="I198" s="42">
        <f>COUNTIF(K198:AL198,"APAGADO")</f>
        <v>21</v>
      </c>
      <c r="J198" s="43">
        <f>(H198)/(I198+H198)</f>
        <v>0.3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 t="s">
        <v>1274</v>
      </c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26</v>
      </c>
      <c r="I211" s="42">
        <f>COUNTIF(K211:AL211,"APAGADO")</f>
        <v>4</v>
      </c>
      <c r="J211" s="43">
        <f>(H211)/(I211+H211)</f>
        <v>0.8666666666666667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29</v>
      </c>
      <c r="I220" s="42">
        <f t="shared" si="12"/>
        <v>1</v>
      </c>
      <c r="J220" s="43">
        <f t="shared" si="13"/>
        <v>0.96666666666666667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10</v>
      </c>
      <c r="I229" s="42">
        <f t="shared" si="12"/>
        <v>20</v>
      </c>
      <c r="J229" s="43">
        <f t="shared" si="13"/>
        <v>0.33333333333333331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 t="s">
        <v>1274</v>
      </c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11</v>
      </c>
      <c r="I236" s="42">
        <f t="shared" si="19"/>
        <v>19</v>
      </c>
      <c r="J236" s="43">
        <f t="shared" si="20"/>
        <v>0.36666666666666664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 t="s">
        <v>1274</v>
      </c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9</v>
      </c>
      <c r="I256" s="42">
        <f t="shared" si="19"/>
        <v>21</v>
      </c>
      <c r="J256" s="43">
        <f t="shared" si="20"/>
        <v>0.3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 t="s">
        <v>1274</v>
      </c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23</v>
      </c>
      <c r="I302" s="42">
        <f t="shared" si="22"/>
        <v>7</v>
      </c>
      <c r="J302" s="43">
        <f t="shared" si="23"/>
        <v>0.76666666666666672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 t="s">
        <v>1274</v>
      </c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23</v>
      </c>
      <c r="I325" s="42">
        <f t="shared" si="22"/>
        <v>7</v>
      </c>
      <c r="J325" s="43">
        <f t="shared" si="23"/>
        <v>0.76666666666666672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 t="s">
        <v>1274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27</v>
      </c>
      <c r="I345" s="42">
        <f t="shared" si="22"/>
        <v>3</v>
      </c>
      <c r="J345" s="43">
        <f t="shared" si="23"/>
        <v>0.9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10</v>
      </c>
      <c r="I360" s="42">
        <f t="shared" si="22"/>
        <v>20</v>
      </c>
      <c r="J360" s="43">
        <f t="shared" si="23"/>
        <v>0.33333333333333331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 t="s">
        <v>1274</v>
      </c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19</v>
      </c>
      <c r="I371" s="42">
        <f t="shared" si="22"/>
        <v>11</v>
      </c>
      <c r="J371" s="43">
        <f t="shared" si="23"/>
        <v>0.6333333333333333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 t="s">
        <v>1274</v>
      </c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15</v>
      </c>
      <c r="I374" s="42">
        <f t="shared" si="22"/>
        <v>15</v>
      </c>
      <c r="J374" s="43">
        <f t="shared" si="23"/>
        <v>0.5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 t="s">
        <v>1274</v>
      </c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9</v>
      </c>
      <c r="I379" s="42">
        <f t="shared" si="28"/>
        <v>21</v>
      </c>
      <c r="J379" s="43">
        <f t="shared" si="29"/>
        <v>0.3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 t="s">
        <v>1274</v>
      </c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21</v>
      </c>
      <c r="I390" s="42">
        <f t="shared" si="28"/>
        <v>9</v>
      </c>
      <c r="J390" s="43">
        <f t="shared" si="29"/>
        <v>0.7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21</v>
      </c>
      <c r="I391" s="42">
        <f t="shared" si="28"/>
        <v>9</v>
      </c>
      <c r="J391" s="43">
        <f t="shared" si="29"/>
        <v>0.7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16</v>
      </c>
      <c r="I409" s="42">
        <f t="shared" si="28"/>
        <v>14</v>
      </c>
      <c r="J409" s="43">
        <f t="shared" si="29"/>
        <v>0.53333333333333333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16</v>
      </c>
      <c r="I410" s="42">
        <f t="shared" si="28"/>
        <v>14</v>
      </c>
      <c r="J410" s="43">
        <f t="shared" si="29"/>
        <v>0.53333333333333333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9</v>
      </c>
      <c r="I420" s="42">
        <f t="shared" si="28"/>
        <v>21</v>
      </c>
      <c r="J420" s="43">
        <f t="shared" si="29"/>
        <v>0.3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 t="s">
        <v>1274</v>
      </c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27</v>
      </c>
      <c r="I432" s="42">
        <f t="shared" si="28"/>
        <v>3</v>
      </c>
      <c r="J432" s="43">
        <f t="shared" si="29"/>
        <v>0.9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 t="str">
        <f>'RESUMEN TOTAL'!AE16</f>
        <v>APAGADO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 t="str">
        <f>'RESUMEN TOTAL'!AE34</f>
        <v>APAGADO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 t="str">
        <f>'RESUMEN TOTAL'!AE38</f>
        <v>APAGADO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 t="str">
        <f>'RESUMEN TOTAL'!AE40</f>
        <v>APAGADO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 t="str">
        <f>'RESUMEN TOTAL'!AE48</f>
        <v>APAGADO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 t="str">
        <f>'RESUMEN TOTAL'!AE49</f>
        <v>APAGADO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 t="str">
        <f>'RESUMEN TOTAL'!AE51</f>
        <v>APAGADO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 t="str">
        <f>'RESUMEN TOTAL'!AE54</f>
        <v>APAGADO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 t="str">
        <f>'RESUMEN TOTAL'!AE56</f>
        <v>APAGADO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 t="str">
        <f>'RESUMEN TOTAL'!AE75</f>
        <v>APAGADO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 t="str">
        <f>'RESUMEN TOTAL'!AE77</f>
        <v>APAGADO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 t="str">
        <f>'RESUMEN TOTAL'!AE94</f>
        <v>APAGADO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 t="str">
        <f>'RESUMEN TOTAL'!AE98</f>
        <v>APAGADO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 t="str">
        <f>'RESUMEN TOTAL'!AE101</f>
        <v>APAGADO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 t="str">
        <f>'RESUMEN TOTAL'!AE102</f>
        <v>APAGADO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 t="str">
        <f>'RESUMEN TOTAL'!AE122</f>
        <v>APAGADO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 t="str">
        <f>'RESUMEN TOTAL'!AE125</f>
        <v>APAGADO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 t="str">
        <f>'RESUMEN TOTAL'!AE165</f>
        <v>APAGADO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 t="str">
        <f>'RESUMEN TOTAL'!AE166</f>
        <v>APAGADO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 t="str">
        <f>'RESUMEN TOTAL'!AE175</f>
        <v>APAGADO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 t="str">
        <f>'RESUMEN TOTAL'!AE177</f>
        <v>APAGADO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 t="str">
        <f>'RESUMEN TOTAL'!AE182</f>
        <v>APAGADO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 t="str">
        <f>'RESUMEN TOTAL'!AE184</f>
        <v>APAGADO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 t="str">
        <f>'RESUMEN TOTAL'!AE185</f>
        <v>APAGADO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 t="str">
        <f>'RESUMEN TOTAL'!AE187</f>
        <v>APAGADO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 t="str">
        <f>'RESUMEN TOTAL'!AE198</f>
        <v>APAGADO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 t="str">
        <f>'RESUMEN TOTAL'!AE229</f>
        <v>APAGADO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 t="str">
        <f>'RESUMEN TOTAL'!AE236</f>
        <v>APAGADO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 t="str">
        <f>'RESUMEN TOTAL'!AE256</f>
        <v>APAGADO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 t="str">
        <f>'RESUMEN TOTAL'!AE302</f>
        <v>APAGADO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 t="str">
        <f>'RESUMEN TOTAL'!AE325</f>
        <v>APAGADO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 t="str">
        <f>'RESUMEN TOTAL'!AE360</f>
        <v>APAGADO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 t="str">
        <f>'RESUMEN TOTAL'!AE371</f>
        <v>APAGADO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 t="str">
        <f>'RESUMEN TOTAL'!AE374</f>
        <v>APAGADO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 t="str">
        <f>'RESUMEN TOTAL'!AE379</f>
        <v>APAGADO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 t="str">
        <f>'RESUMEN TOTAL'!AE420</f>
        <v>APAGADO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35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 t="str">
        <f>ESTADISTICA!Z32</f>
        <v>APAGADO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 t="str">
        <f>ESTADISTICA!Z47</f>
        <v>APAGADO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 t="str">
        <f>ESTADISTICA!Z75</f>
        <v>APAGADO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 t="str">
        <f>ESTADISTICA!Z299</f>
        <v>APAGADO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 t="str">
        <f>ESTADISTICA!Z417</f>
        <v>APAGADO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S198" activePane="bottomRight" state="frozen"/>
      <selection pane="topRight" activeCell="F1" sqref="F1"/>
      <selection pane="bottomLeft" activeCell="A8" sqref="A8"/>
      <selection pane="bottomRight" activeCell="V2" sqref="V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COUNTIFS(X4:X400, "=APAGADO",E4:E400,"=Fibra Optica")</f>
        <v>33</v>
      </c>
      <c r="Y2" s="19">
        <f>COUNTIFS(Y4:Y400, "=APAGADO",E4:E400,"=Fibra Optica")</f>
        <v>30</v>
      </c>
      <c r="Z2" s="19">
        <f>COUNTIFS(Z4:Z400, "=APAGADO",E4:E400,"=Fibra Optica")</f>
        <v>27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 t="str">
        <f>ESTADISTICA!Z13</f>
        <v>APAGADO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 t="str">
        <f>ESTADISTICA!Z32</f>
        <v>APAGADO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 t="str">
        <f>ESTADISTICA!Z36</f>
        <v>APAGADO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 t="str">
        <f>ESTADISTICA!Z38</f>
        <v>APAGADO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 t="str">
        <f>ESTADISTICA!Z46</f>
        <v>APAGADO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 t="str">
        <f>ESTADISTICA!Z47</f>
        <v>APAGADO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 t="str">
        <f>ESTADISTICA!Z49</f>
        <v>APAGADO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 t="str">
        <f>ESTADISTICA!Z52</f>
        <v>APAGADO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 t="str">
        <f>ESTADISTICA!Z54</f>
        <v>APAGADO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 t="str">
        <f>ESTADISTICA!Z73</f>
        <v>APAGADO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 t="str">
        <f>ESTADISTICA!Z75</f>
        <v>APAGADO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 t="str">
        <f>ESTADISTICA!Z92</f>
        <v>APAGADO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 t="str">
        <f>ESTADISTICA!Z96</f>
        <v>APAGADO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 t="str">
        <f>ESTADISTICA!Z99</f>
        <v>APAGADO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 t="str">
        <f>ESTADISTICA!Z100</f>
        <v>APAGADO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 t="str">
        <f>ESTADISTICA!Z121</f>
        <v>APAGADO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 t="str">
        <f>ESTADISTICA!Z124</f>
        <v>APAGADO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 t="str">
        <f>ESTADISTICA!Z163</f>
        <v>APAGADO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 t="str">
        <f>ESTADISTICA!Z164</f>
        <v>APAGADO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 t="str">
        <f>ESTADISTICA!Z173</f>
        <v>APAGADO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 t="str">
        <f>ESTADISTICA!Z175</f>
        <v>APAGADO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 t="str">
        <f>ESTADISTICA!Z180</f>
        <v>APAGADO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 t="str">
        <f>ESTADISTICA!Z182</f>
        <v>APAGADO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 t="str">
        <f>ESTADISTICA!Z183</f>
        <v>APAGADO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 t="str">
        <f>ESTADISTICA!Z185</f>
        <v>APAGADO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 t="str">
        <f>ESTADISTICA!Z196</f>
        <v>APAGADO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 t="str">
        <f>ESTADISTICA!Z227</f>
        <v>APAGADO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 t="str">
        <f>ESTADISTICA!Z234</f>
        <v>APAGADO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 t="str">
        <f>ESTADISTICA!Z254</f>
        <v>APAGADO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 t="str">
        <f>ESTADISTICA!Z299</f>
        <v>APAGADO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 t="str">
        <f>ESTADISTICA!Z322</f>
        <v>APAGADO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 t="str">
        <f>ESTADISTICA!Z357</f>
        <v>APAGADO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Q343" activePane="bottomRight" state="frozenSplit"/>
      <selection pane="topRight" activeCell="F1" sqref="F1"/>
      <selection pane="bottomLeft" activeCell="A3" sqref="A3"/>
      <selection pane="bottomRight" activeCell="W3" sqref="W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COUNTIFS(X4:X400, "=APAGADO",E4:E400,"=PTO A FO")</f>
        <v>4</v>
      </c>
      <c r="Y2" s="19">
        <f>COUNTIFS(Y4:Y400, "=APAGADO",E4:E400,"=PTO A FO")</f>
        <v>2</v>
      </c>
      <c r="Z2" s="19">
        <f>COUNTIFS(Z4:Z400, "=APAGADO",E4:E400,"=PTO A FO")</f>
        <v>2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W3" sqref="W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COUNTIFS(X4:X367, "=APAGADO",E4:E367,"=radio")</f>
        <v>7</v>
      </c>
      <c r="Y2" s="19">
        <f>COUNTIFS(Y4:Y367, "=APAGADO",E4:E367,"=radio")</f>
        <v>2</v>
      </c>
      <c r="Z2" s="19">
        <f>COUNTIFS(Z4:Z367, "=APAGADO",E4:E367,"=radio")</f>
        <v>6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C45" sqref="C45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36">
        <v>44874</v>
      </c>
      <c r="G17" s="116"/>
      <c r="H17" s="100"/>
      <c r="I17" s="100"/>
      <c r="J17" s="100"/>
      <c r="K17" s="101"/>
      <c r="L17" s="117"/>
      <c r="M17" s="142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37"/>
      <c r="G18" s="116"/>
      <c r="H18" s="100"/>
      <c r="I18" s="100"/>
      <c r="J18" s="100"/>
      <c r="K18" s="101"/>
      <c r="L18" s="117"/>
      <c r="M18" s="142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37"/>
      <c r="G19" s="116"/>
      <c r="H19" s="100"/>
      <c r="I19" s="100"/>
      <c r="J19" s="100"/>
      <c r="K19" s="101"/>
      <c r="L19" s="117"/>
      <c r="M19" s="142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37"/>
      <c r="G20" s="116"/>
      <c r="H20" s="100"/>
      <c r="I20" s="100"/>
      <c r="J20" s="100"/>
      <c r="K20" s="101"/>
      <c r="L20" s="117"/>
      <c r="M20" s="142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38"/>
      <c r="G21" s="109"/>
      <c r="H21" s="110"/>
      <c r="I21" s="110"/>
      <c r="J21" s="110"/>
      <c r="K21" s="110"/>
      <c r="L21" s="111"/>
      <c r="M21" s="143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36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37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37"/>
      <c r="G24" s="103"/>
      <c r="H24" s="104"/>
      <c r="I24" s="104"/>
      <c r="J24" s="104"/>
      <c r="K24" s="105"/>
      <c r="L24" s="106"/>
      <c r="M24" s="141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37"/>
      <c r="G25" s="107"/>
      <c r="H25" s="100"/>
      <c r="I25" s="100"/>
      <c r="J25" s="100"/>
      <c r="K25" s="101"/>
      <c r="L25" s="108"/>
      <c r="M25" s="142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38"/>
      <c r="G26" s="107"/>
      <c r="H26" s="100"/>
      <c r="I26" s="100"/>
      <c r="J26" s="100"/>
      <c r="K26" s="101"/>
      <c r="L26" s="108"/>
      <c r="M26" s="142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36">
        <v>44879</v>
      </c>
      <c r="G27" s="107"/>
      <c r="H27" s="100"/>
      <c r="I27" s="100"/>
      <c r="J27" s="100"/>
      <c r="K27" s="101"/>
      <c r="L27" s="108"/>
      <c r="M27" s="142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37"/>
      <c r="G28" s="107"/>
      <c r="H28" s="100"/>
      <c r="I28" s="100"/>
      <c r="J28" s="100"/>
      <c r="K28" s="101"/>
      <c r="L28" s="108"/>
      <c r="M28" s="142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37"/>
      <c r="G29" s="109"/>
      <c r="H29" s="110"/>
      <c r="I29" s="110"/>
      <c r="J29" s="110"/>
      <c r="K29" s="110"/>
      <c r="L29" s="111"/>
      <c r="M29" s="143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37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.75" thickTop="1" x14ac:dyDescent="0.25">
      <c r="A32" s="75" t="s">
        <v>999</v>
      </c>
      <c r="B32" s="76">
        <v>431</v>
      </c>
      <c r="C32" s="77"/>
      <c r="D32" s="78"/>
      <c r="E32" s="136">
        <v>44882</v>
      </c>
      <c r="G32" s="116"/>
      <c r="H32" s="99"/>
      <c r="I32" s="100"/>
      <c r="J32" s="100"/>
      <c r="K32" s="100"/>
      <c r="L32" s="101"/>
      <c r="M32" s="117"/>
      <c r="N32" s="140"/>
    </row>
    <row r="33" spans="1:14" ht="15.75" thickBot="1" x14ac:dyDescent="0.3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.75" thickTop="1" x14ac:dyDescent="0.25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37"/>
      <c r="G34" s="122"/>
      <c r="K34" s="123"/>
    </row>
    <row r="35" spans="1:14" x14ac:dyDescent="0.25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37"/>
      <c r="G35" s="122"/>
      <c r="K35" s="123"/>
    </row>
    <row r="36" spans="1:14" ht="15.75" thickBot="1" x14ac:dyDescent="0.3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38"/>
      <c r="G36" s="122"/>
      <c r="K36" s="123"/>
    </row>
    <row r="37" spans="1:14" ht="15.75" thickTop="1" x14ac:dyDescent="0.25">
      <c r="A37" s="75" t="s">
        <v>999</v>
      </c>
      <c r="B37" s="76">
        <v>433</v>
      </c>
      <c r="C37" s="77"/>
      <c r="D37" s="78"/>
      <c r="E37" s="136">
        <v>44610</v>
      </c>
      <c r="G37" s="122"/>
      <c r="K37" s="123"/>
    </row>
    <row r="38" spans="1:14" x14ac:dyDescent="0.25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37"/>
      <c r="G38" s="122"/>
      <c r="K38" s="123"/>
      <c r="L38" s="124"/>
    </row>
    <row r="39" spans="1:14" ht="15.75" thickBot="1" x14ac:dyDescent="0.3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37"/>
    </row>
    <row r="40" spans="1:14" ht="15.75" thickTop="1" x14ac:dyDescent="0.25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37"/>
      <c r="G40" s="103"/>
      <c r="H40" s="104"/>
      <c r="I40" s="104"/>
      <c r="J40" s="104"/>
      <c r="K40" s="105"/>
      <c r="L40" s="106"/>
      <c r="M40" s="141"/>
    </row>
    <row r="41" spans="1:14" ht="15.75" thickBot="1" x14ac:dyDescent="0.3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25">
      <c r="A42" s="75" t="s">
        <v>999</v>
      </c>
      <c r="B42" s="76"/>
      <c r="C42" s="77"/>
      <c r="D42" s="78"/>
      <c r="E42" s="136"/>
      <c r="G42" s="107"/>
      <c r="H42" s="100"/>
      <c r="I42" s="100"/>
      <c r="J42" s="100"/>
      <c r="K42" s="101"/>
      <c r="L42" s="108"/>
      <c r="M42" s="142"/>
    </row>
    <row r="43" spans="1:14" x14ac:dyDescent="0.25">
      <c r="A43" s="79" t="s">
        <v>6</v>
      </c>
      <c r="B43" s="80"/>
      <c r="C43" s="81"/>
      <c r="D43" s="82"/>
      <c r="E43" s="137"/>
      <c r="G43" s="107"/>
      <c r="H43" s="100"/>
      <c r="I43" s="100"/>
      <c r="J43" s="100"/>
      <c r="K43" s="101"/>
      <c r="L43" s="108"/>
      <c r="M43" s="142"/>
    </row>
    <row r="44" spans="1:14" x14ac:dyDescent="0.25">
      <c r="A44" s="79" t="s">
        <v>1001</v>
      </c>
      <c r="B44" s="80"/>
      <c r="C44" s="81"/>
      <c r="D44" s="82"/>
      <c r="E44" s="137"/>
      <c r="G44" s="107"/>
      <c r="H44" s="100"/>
      <c r="I44" s="100"/>
      <c r="J44" s="100"/>
      <c r="K44" s="101"/>
      <c r="L44" s="108"/>
      <c r="M44" s="142"/>
    </row>
    <row r="45" spans="1:14" ht="15.75" thickBot="1" x14ac:dyDescent="0.3">
      <c r="A45" s="79" t="s">
        <v>1000</v>
      </c>
      <c r="B45" s="80"/>
      <c r="C45" s="81"/>
      <c r="D45" s="82"/>
      <c r="E45" s="137"/>
      <c r="G45" s="109"/>
      <c r="H45" s="110"/>
      <c r="I45" s="110"/>
      <c r="J45" s="110"/>
      <c r="K45" s="110"/>
      <c r="L45" s="111"/>
      <c r="M45" s="143"/>
    </row>
    <row r="46" spans="1:14" ht="16.5" thickTop="1" thickBot="1" x14ac:dyDescent="0.3">
      <c r="A46" s="91" t="s">
        <v>16</v>
      </c>
      <c r="B46" s="92"/>
      <c r="C46" s="93"/>
      <c r="D46" s="94"/>
      <c r="E46" s="138"/>
    </row>
    <row r="47" spans="1:14" ht="15.75" thickTop="1" x14ac:dyDescent="0.25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37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38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37"/>
    </row>
    <row r="55" spans="1:11" x14ac:dyDescent="0.25">
      <c r="A55" s="79" t="s">
        <v>1000</v>
      </c>
      <c r="B55" s="80"/>
      <c r="C55" s="81"/>
      <c r="D55" s="82"/>
      <c r="E55" s="137"/>
    </row>
    <row r="56" spans="1:11" ht="15.75" thickBot="1" x14ac:dyDescent="0.3">
      <c r="A56" s="91" t="s">
        <v>16</v>
      </c>
      <c r="B56" s="92"/>
      <c r="C56" s="93"/>
      <c r="D56" s="94"/>
      <c r="E56" s="138"/>
    </row>
    <row r="57" spans="1:11" ht="15.75" thickTop="1" x14ac:dyDescent="0.25">
      <c r="A57" s="75" t="s">
        <v>999</v>
      </c>
      <c r="B57" s="76"/>
      <c r="C57" s="77"/>
      <c r="D57" s="78"/>
      <c r="E57" s="136"/>
    </row>
    <row r="58" spans="1:11" x14ac:dyDescent="0.25">
      <c r="A58" s="79" t="s">
        <v>6</v>
      </c>
      <c r="B58" s="80"/>
      <c r="C58" s="81"/>
      <c r="D58" s="82"/>
      <c r="E58" s="137"/>
    </row>
    <row r="59" spans="1:11" x14ac:dyDescent="0.25">
      <c r="A59" s="79" t="s">
        <v>1001</v>
      </c>
      <c r="B59" s="80"/>
      <c r="C59" s="81"/>
      <c r="D59" s="82"/>
      <c r="E59" s="137"/>
    </row>
    <row r="60" spans="1:11" x14ac:dyDescent="0.25">
      <c r="A60" s="79" t="s">
        <v>1000</v>
      </c>
      <c r="B60" s="80"/>
      <c r="C60" s="81"/>
      <c r="D60" s="82"/>
      <c r="E60" s="137"/>
    </row>
    <row r="61" spans="1:11" ht="15.75" thickBot="1" x14ac:dyDescent="0.3">
      <c r="A61" s="91" t="s">
        <v>16</v>
      </c>
      <c r="B61" s="92"/>
      <c r="C61" s="93"/>
      <c r="D61" s="94"/>
      <c r="E61" s="138"/>
    </row>
    <row r="62" spans="1:11" ht="15.75" thickTop="1" x14ac:dyDescent="0.25">
      <c r="A62" s="75" t="s">
        <v>999</v>
      </c>
      <c r="B62" s="76"/>
      <c r="C62" s="77"/>
      <c r="D62" s="78"/>
      <c r="E62" s="136"/>
    </row>
    <row r="63" spans="1:11" x14ac:dyDescent="0.25">
      <c r="A63" s="79" t="s">
        <v>6</v>
      </c>
      <c r="B63" s="80"/>
      <c r="C63" s="81"/>
      <c r="D63" s="82"/>
      <c r="E63" s="137"/>
    </row>
    <row r="64" spans="1:11" x14ac:dyDescent="0.25">
      <c r="A64" s="79" t="s">
        <v>1001</v>
      </c>
      <c r="B64" s="80"/>
      <c r="C64" s="81"/>
      <c r="D64" s="82"/>
      <c r="E64" s="137"/>
    </row>
    <row r="65" spans="1:5" x14ac:dyDescent="0.25">
      <c r="A65" s="79" t="s">
        <v>1000</v>
      </c>
      <c r="B65" s="80"/>
      <c r="C65" s="81"/>
      <c r="D65" s="82"/>
      <c r="E65" s="137"/>
    </row>
    <row r="66" spans="1:5" ht="15.75" thickBot="1" x14ac:dyDescent="0.3">
      <c r="A66" s="91" t="s">
        <v>16</v>
      </c>
      <c r="B66" s="92"/>
      <c r="C66" s="93"/>
      <c r="D66" s="94"/>
      <c r="E66" s="138"/>
    </row>
    <row r="67" spans="1:5" ht="15.75" thickTop="1" x14ac:dyDescent="0.25">
      <c r="A67" s="75" t="s">
        <v>999</v>
      </c>
      <c r="B67" s="76"/>
      <c r="C67" s="77"/>
      <c r="D67" s="78"/>
      <c r="E67" s="136"/>
    </row>
    <row r="68" spans="1:5" x14ac:dyDescent="0.25">
      <c r="A68" s="79" t="s">
        <v>6</v>
      </c>
      <c r="B68" s="80"/>
      <c r="C68" s="81"/>
      <c r="D68" s="82"/>
      <c r="E68" s="137"/>
    </row>
    <row r="69" spans="1:5" x14ac:dyDescent="0.25">
      <c r="A69" s="79" t="s">
        <v>1001</v>
      </c>
      <c r="B69" s="80"/>
      <c r="C69" s="81"/>
      <c r="D69" s="82"/>
      <c r="E69" s="137"/>
    </row>
    <row r="70" spans="1:5" x14ac:dyDescent="0.25">
      <c r="A70" s="79" t="s">
        <v>1000</v>
      </c>
      <c r="B70" s="80"/>
      <c r="C70" s="81"/>
      <c r="D70" s="82"/>
      <c r="E70" s="137"/>
    </row>
    <row r="71" spans="1:5" ht="15.75" thickBot="1" x14ac:dyDescent="0.3">
      <c r="A71" s="91" t="s">
        <v>16</v>
      </c>
      <c r="B71" s="92"/>
      <c r="C71" s="93"/>
      <c r="D71" s="94"/>
      <c r="E71" s="138"/>
    </row>
    <row r="72" spans="1:5" ht="15.75" thickTop="1" x14ac:dyDescent="0.25">
      <c r="A72" s="75" t="s">
        <v>999</v>
      </c>
      <c r="B72" s="76"/>
      <c r="C72" s="77"/>
      <c r="D72" s="78"/>
      <c r="E72" s="136"/>
    </row>
    <row r="73" spans="1:5" x14ac:dyDescent="0.25">
      <c r="A73" s="79" t="s">
        <v>6</v>
      </c>
      <c r="B73" s="80"/>
      <c r="C73" s="81"/>
      <c r="D73" s="82"/>
      <c r="E73" s="137"/>
    </row>
    <row r="74" spans="1:5" x14ac:dyDescent="0.25">
      <c r="A74" s="79" t="s">
        <v>1001</v>
      </c>
      <c r="B74" s="80"/>
      <c r="C74" s="81"/>
      <c r="D74" s="82"/>
      <c r="E74" s="137"/>
    </row>
    <row r="75" spans="1:5" x14ac:dyDescent="0.25">
      <c r="A75" s="79" t="s">
        <v>1000</v>
      </c>
      <c r="B75" s="80"/>
      <c r="C75" s="81"/>
      <c r="D75" s="82"/>
      <c r="E75" s="137"/>
    </row>
    <row r="76" spans="1:5" ht="15.75" thickBot="1" x14ac:dyDescent="0.3">
      <c r="A76" s="91" t="s">
        <v>16</v>
      </c>
      <c r="B76" s="92"/>
      <c r="C76" s="93"/>
      <c r="D76" s="94"/>
      <c r="E76" s="138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0" sqref="F20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25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25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25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7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7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7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7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24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0.10666666666666667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12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5.8536585365853662E-2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2022-11-22T13:36:17Z</dcterms:modified>
</cp:coreProperties>
</file>