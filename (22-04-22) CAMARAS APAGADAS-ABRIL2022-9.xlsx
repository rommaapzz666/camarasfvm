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6F95E8FB-9B3D-4482-B89A-7AFC1BB06126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12" i="2"/>
  <c r="N313" i="2"/>
  <c r="N314" i="2"/>
  <c r="N315" i="2"/>
  <c r="N317" i="2"/>
  <c r="N320" i="2"/>
  <c r="N322" i="2"/>
  <c r="N323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63" i="2" l="1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B12" i="14" l="1"/>
  <c r="D22" i="14"/>
  <c r="D18" i="14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C21" i="14" s="1"/>
  <c r="W2" i="10"/>
  <c r="C19" i="14" s="1"/>
  <c r="V2" i="10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AB2" i="11"/>
  <c r="V2" i="11"/>
  <c r="G2" i="11"/>
  <c r="Q2" i="11"/>
  <c r="B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S2" i="11"/>
  <c r="B15" i="14" s="1"/>
  <c r="M2" i="11"/>
  <c r="B9" i="14" s="1"/>
  <c r="H2" i="1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5" i="14" l="1"/>
  <c r="G5" i="14" s="1"/>
  <c r="E15" i="14"/>
  <c r="G15" i="14" s="1"/>
  <c r="E21" i="14"/>
  <c r="G21" i="14" s="1"/>
  <c r="E13" i="14"/>
  <c r="G13" i="14" s="1"/>
  <c r="E20" i="14"/>
  <c r="G20" i="14" s="1"/>
  <c r="E8" i="14"/>
  <c r="G8" i="14" s="1"/>
  <c r="E14" i="14"/>
  <c r="G14" i="14" s="1"/>
  <c r="E9" i="14"/>
  <c r="G9" i="14" s="1"/>
  <c r="E10" i="14"/>
  <c r="G10" i="14" s="1"/>
  <c r="E16" i="14"/>
  <c r="G16" i="14" s="1"/>
  <c r="E7" i="14"/>
  <c r="G7" i="14" s="1"/>
  <c r="E11" i="14"/>
  <c r="G11" i="14" s="1"/>
  <c r="E17" i="14"/>
  <c r="G17" i="14" s="1"/>
  <c r="E6" i="14"/>
  <c r="G6" i="14" s="1"/>
  <c r="B18" i="14"/>
  <c r="E12" i="14"/>
  <c r="G12" i="14" s="1"/>
  <c r="E19" i="14"/>
  <c r="G19" i="14" s="1"/>
  <c r="B22" i="14"/>
  <c r="C22" i="14"/>
  <c r="C18" i="14"/>
  <c r="E18" i="14" s="1"/>
  <c r="G18" i="14" s="1"/>
  <c r="E2" i="14"/>
  <c r="G2" i="14" s="1"/>
  <c r="E22" i="14" l="1"/>
  <c r="G2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<sst xmlns="http://schemas.openxmlformats.org/spreadsheetml/2006/main" count="3333" uniqueCount="1351">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</sst>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6.7024128686327081E-2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6.7024128686327081E-2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J158" activePane="bottomRight" state="frozen"/>
      <selection pane="topRight" activeCell="M1" sqref="M1"/>
      <selection pane="bottomLeft" activeCell="A5" sqref="A5"/>
      <selection pane="bottomRight" activeCell="AJ169" sqref="AJ169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0.10054347826086957</v>
      </c>
      <c r="AI1" s="4">
        <f t="shared" si="0"/>
        <v>9.2391304347826081E-2</v>
      </c>
      <c r="AJ1" s="4">
        <f t="shared" si="0"/>
        <v>8.9673913043478257E-2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331</v>
      </c>
      <c r="AI2" s="10">
        <f t="shared" si="2"/>
        <v>334</v>
      </c>
      <c r="AJ2" s="10">
        <f t="shared" si="2"/>
        <v>335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37</v>
      </c>
      <c r="AI3" s="14">
        <f t="shared" si="3"/>
        <v>34</v>
      </c>
      <c r="AJ3" s="14">
        <f t="shared" si="3"/>
        <v>33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10</v>
      </c>
      <c r="M7" s="17">
        <f t="shared" si="6"/>
        <v>18</v>
      </c>
      <c r="N7" s="18">
        <f t="shared" si="7"/>
        <v>0.35714285714285715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 t="s">
        <v>1343</v>
      </c>
      <c r="AI7" s="27" t="s">
        <v>1343</v>
      </c>
      <c r="AJ7" s="27" t="s">
        <v>1343</v>
      </c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20</v>
      </c>
      <c r="M10" s="17">
        <f t="shared" si="6"/>
        <v>8</v>
      </c>
      <c r="N10" s="18">
        <f t="shared" si="7"/>
        <v>0.7142857142857143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 t="s">
        <v>1343</v>
      </c>
      <c r="AI10" s="27" t="s">
        <v>1343</v>
      </c>
      <c r="AJ10" s="27" t="s">
        <v>1343</v>
      </c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23</v>
      </c>
      <c r="M12" s="17">
        <f t="shared" si="6"/>
        <v>5</v>
      </c>
      <c r="N12" s="18">
        <f t="shared" si="7"/>
        <v>0.8214285714285714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 t="s">
        <v>1343</v>
      </c>
      <c r="AI12" s="27" t="s">
        <v>1343</v>
      </c>
      <c r="AJ12" s="27" t="s">
        <v>1343</v>
      </c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26</v>
      </c>
      <c r="M13" s="17">
        <f t="shared" si="6"/>
        <v>2</v>
      </c>
      <c r="N13" s="18">
        <f t="shared" si="7"/>
        <v>0.9285714285714286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 t="s">
        <v>1343</v>
      </c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21</v>
      </c>
      <c r="M21" s="17">
        <f t="shared" si="6"/>
        <v>7</v>
      </c>
      <c r="N21" s="18">
        <f t="shared" si="7"/>
        <v>0.75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 t="s">
        <v>1343</v>
      </c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24</v>
      </c>
      <c r="M22" s="17">
        <f t="shared" si="6"/>
        <v>4</v>
      </c>
      <c r="N22" s="18">
        <f t="shared" si="7"/>
        <v>0.8571428571428571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24</v>
      </c>
      <c r="M53" s="17">
        <f t="shared" si="6"/>
        <v>4</v>
      </c>
      <c r="N53" s="18">
        <f t="shared" si="7"/>
        <v>0.8571428571428571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 t="s">
        <v>1343</v>
      </c>
      <c r="AI53" s="27" t="s">
        <v>1343</v>
      </c>
      <c r="AJ53" s="27" t="s">
        <v>1343</v>
      </c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21</v>
      </c>
      <c r="M66" s="17">
        <f t="shared" si="6"/>
        <v>7</v>
      </c>
      <c r="N66" s="18">
        <f t="shared" si="7"/>
        <v>0.75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 t="s">
        <v>1343</v>
      </c>
      <c r="AI66" s="27" t="s">
        <v>1343</v>
      </c>
      <c r="AJ66" s="27" t="s">
        <v>1343</v>
      </c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26</v>
      </c>
      <c r="M73" s="17">
        <f t="shared" si="9"/>
        <v>2</v>
      </c>
      <c r="N73" s="18">
        <f t="shared" si="10"/>
        <v>0.9285714285714286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 t="s">
        <v>1343</v>
      </c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8</v>
      </c>
      <c r="M80" s="17">
        <f t="shared" si="9"/>
        <v>20</v>
      </c>
      <c r="N80" s="18">
        <f t="shared" si="10"/>
        <v>0.2857142857142857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 t="s">
        <v>1343</v>
      </c>
      <c r="AI80" s="27" t="s">
        <v>1343</v>
      </c>
      <c r="AJ80" s="27" t="s">
        <v>1343</v>
      </c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20</v>
      </c>
      <c r="M115" s="17">
        <f t="shared" si="9"/>
        <v>8</v>
      </c>
      <c r="N115" s="18">
        <f t="shared" si="10"/>
        <v>0.7142857142857143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 t="s">
        <v>1343</v>
      </c>
      <c r="AI115" s="27" t="s">
        <v>1343</v>
      </c>
      <c r="AJ115" s="27" t="s">
        <v>1343</v>
      </c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23</v>
      </c>
      <c r="M116" s="17">
        <f t="shared" si="9"/>
        <v>5</v>
      </c>
      <c r="N116" s="18">
        <f t="shared" si="10"/>
        <v>0.8214285714285714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 t="s">
        <v>1343</v>
      </c>
      <c r="AI116" s="27" t="s">
        <v>1343</v>
      </c>
      <c r="AJ116" s="27" t="s">
        <v>1343</v>
      </c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25</v>
      </c>
      <c r="M124" s="17">
        <f t="shared" si="9"/>
        <v>3</v>
      </c>
      <c r="N124" s="18">
        <f t="shared" si="10"/>
        <v>0.8928571428571429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 t="s">
        <v>1343</v>
      </c>
      <c r="AI124" s="27" t="s">
        <v>1343</v>
      </c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8</v>
      </c>
      <c r="M133" s="17">
        <f t="shared" ref="M133:M196" si="12">COUNTIF(O133:AP133,"APAGADO")</f>
        <v>20</v>
      </c>
      <c r="N133" s="18">
        <f t="shared" ref="N133:N196" si="13">(L133)/(M133+L133)</f>
        <v>0.2857142857142857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 t="s">
        <v>1343</v>
      </c>
      <c r="AI133" s="27" t="s">
        <v>1343</v>
      </c>
      <c r="AJ133" s="27" t="s">
        <v>1343</v>
      </c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22</v>
      </c>
      <c r="M153" s="17">
        <f t="shared" si="12"/>
        <v>5</v>
      </c>
      <c r="N153" s="18">
        <f t="shared" si="13"/>
        <v>0.81481481481481477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 t="s">
        <v>1343</v>
      </c>
      <c r="AJ153" s="27" t="s">
        <v>1343</v>
      </c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24</v>
      </c>
      <c r="M168" s="17">
        <f t="shared" si="12"/>
        <v>4</v>
      </c>
      <c r="N168" s="18">
        <f t="shared" si="13"/>
        <v>0.8571428571428571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 t="s">
        <v>1343</v>
      </c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16</v>
      </c>
      <c r="M177" s="17">
        <f t="shared" si="12"/>
        <v>12</v>
      </c>
      <c r="N177" s="18">
        <f t="shared" si="13"/>
        <v>0.5714285714285714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 t="s">
        <v>1343</v>
      </c>
      <c r="AI177" s="27" t="s">
        <v>1343</v>
      </c>
      <c r="AJ177" s="27" t="s">
        <v>1343</v>
      </c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25</v>
      </c>
      <c r="M186" s="17">
        <f t="shared" si="12"/>
        <v>3</v>
      </c>
      <c r="N186" s="18">
        <f t="shared" si="13"/>
        <v>0.8928571428571429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 t="s">
        <v>1343</v>
      </c>
      <c r="AI186" s="27"/>
      <c r="AJ186" s="27" t="s">
        <v>1343</v>
      </c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25</v>
      </c>
      <c r="M190" s="17">
        <f t="shared" si="12"/>
        <v>3</v>
      </c>
      <c r="N190" s="18">
        <f t="shared" si="13"/>
        <v>0.8928571428571429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 t="s">
        <v>1343</v>
      </c>
      <c r="AI190" s="27" t="s">
        <v>1343</v>
      </c>
      <c r="AJ190" s="27" t="s">
        <v>1343</v>
      </c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8</v>
      </c>
      <c r="M191" s="17">
        <f t="shared" si="12"/>
        <v>20</v>
      </c>
      <c r="N191" s="18">
        <f t="shared" si="13"/>
        <v>0.2857142857142857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 t="s">
        <v>1343</v>
      </c>
      <c r="AI191" s="27" t="s">
        <v>1343</v>
      </c>
      <c r="AJ191" s="27" t="s">
        <v>1343</v>
      </c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8</v>
      </c>
      <c r="M192" s="17">
        <f t="shared" si="12"/>
        <v>20</v>
      </c>
      <c r="N192" s="18">
        <f t="shared" si="13"/>
        <v>0.2857142857142857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 t="s">
        <v>1343</v>
      </c>
      <c r="AI192" s="27" t="s">
        <v>1343</v>
      </c>
      <c r="AJ192" s="27" t="s">
        <v>1343</v>
      </c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14</v>
      </c>
      <c r="M194" s="17">
        <f t="shared" si="12"/>
        <v>14</v>
      </c>
      <c r="N194" s="18">
        <f t="shared" si="13"/>
        <v>0.5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 t="s">
        <v>1343</v>
      </c>
      <c r="AI194" s="27" t="s">
        <v>1343</v>
      </c>
      <c r="AJ194" s="27" t="s">
        <v>1343</v>
      </c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18</v>
      </c>
      <c r="M199" s="17">
        <f t="shared" si="15"/>
        <v>10</v>
      </c>
      <c r="N199" s="18">
        <f t="shared" si="16"/>
        <v>0.6428571428571429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 t="s">
        <v>1343</v>
      </c>
      <c r="AI199" s="27" t="s">
        <v>1343</v>
      </c>
      <c r="AJ199" s="27" t="s">
        <v>1343</v>
      </c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19</v>
      </c>
      <c r="M200" s="17">
        <f t="shared" si="15"/>
        <v>9</v>
      </c>
      <c r="N200" s="18">
        <f t="shared" si="16"/>
        <v>0.6785714285714286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 t="s">
        <v>1343</v>
      </c>
      <c r="AI200" s="27" t="s">
        <v>1343</v>
      </c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24</v>
      </c>
      <c r="M203" s="17">
        <f t="shared" si="15"/>
        <v>4</v>
      </c>
      <c r="N203" s="18">
        <f t="shared" si="16"/>
        <v>0.8571428571428571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 t="s">
        <v>1343</v>
      </c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8</v>
      </c>
      <c r="M206" s="17">
        <f t="shared" si="15"/>
        <v>20</v>
      </c>
      <c r="N206" s="18">
        <f t="shared" si="16"/>
        <v>0.2857142857142857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 t="s">
        <v>1343</v>
      </c>
      <c r="AI206" s="27" t="s">
        <v>1343</v>
      </c>
      <c r="AJ206" s="27" t="s">
        <v>1343</v>
      </c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24</v>
      </c>
      <c r="M213" s="17">
        <f t="shared" si="15"/>
        <v>4</v>
      </c>
      <c r="N213" s="18">
        <f t="shared" si="16"/>
        <v>0.8571428571428571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 t="s">
        <v>1343</v>
      </c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24</v>
      </c>
      <c r="M227" s="17">
        <f t="shared" si="15"/>
        <v>4</v>
      </c>
      <c r="N227" s="18">
        <f t="shared" si="16"/>
        <v>0.8571428571428571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 t="s">
        <v>1343</v>
      </c>
      <c r="AI227" s="27" t="s">
        <v>1343</v>
      </c>
      <c r="AJ227" s="27" t="s">
        <v>1343</v>
      </c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 t="s">
        <v>1343</v>
      </c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19</v>
      </c>
      <c r="M241" s="17">
        <f t="shared" si="15"/>
        <v>9</v>
      </c>
      <c r="N241" s="18">
        <f t="shared" si="16"/>
        <v>0.6785714285714286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 t="s">
        <v>1343</v>
      </c>
      <c r="AI241" s="27" t="s">
        <v>1343</v>
      </c>
      <c r="AJ241" s="27" t="s">
        <v>1343</v>
      </c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20</v>
      </c>
      <c r="M242" s="17">
        <f t="shared" si="15"/>
        <v>8</v>
      </c>
      <c r="N242" s="18">
        <f t="shared" si="16"/>
        <v>0.7142857142857143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 t="s">
        <v>1343</v>
      </c>
      <c r="AI242" s="27" t="s">
        <v>1343</v>
      </c>
      <c r="AJ242" s="27" t="s">
        <v>1343</v>
      </c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20</v>
      </c>
      <c r="M243" s="17">
        <f t="shared" si="15"/>
        <v>8</v>
      </c>
      <c r="N243" s="18">
        <f t="shared" si="16"/>
        <v>0.7142857142857143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 t="s">
        <v>1343</v>
      </c>
      <c r="AI243" s="27" t="s">
        <v>1343</v>
      </c>
      <c r="AJ243" s="27" t="s">
        <v>1343</v>
      </c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19</v>
      </c>
      <c r="M244" s="17">
        <f t="shared" si="15"/>
        <v>9</v>
      </c>
      <c r="N244" s="18">
        <f t="shared" si="16"/>
        <v>0.6785714285714286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 t="s">
        <v>1343</v>
      </c>
      <c r="AI244" s="27" t="s">
        <v>1343</v>
      </c>
      <c r="AJ244" s="27" t="s">
        <v>1343</v>
      </c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19</v>
      </c>
      <c r="M246" s="17">
        <f t="shared" si="15"/>
        <v>9</v>
      </c>
      <c r="N246" s="18">
        <f t="shared" si="16"/>
        <v>0.6785714285714286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 t="s">
        <v>1343</v>
      </c>
      <c r="AI246" s="27" t="s">
        <v>1343</v>
      </c>
      <c r="AJ246" s="27" t="s">
        <v>1343</v>
      </c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18</v>
      </c>
      <c r="M289" s="17">
        <f t="shared" si="18"/>
        <v>10</v>
      </c>
      <c r="N289" s="18">
        <f t="shared" si="19"/>
        <v>0.6428571428571429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 t="s">
        <v>1343</v>
      </c>
      <c r="AI289" s="27" t="s">
        <v>1343</v>
      </c>
      <c r="AJ289" s="27" t="s">
        <v>1343</v>
      </c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21</v>
      </c>
      <c r="M296" s="17">
        <f t="shared" si="18"/>
        <v>7</v>
      </c>
      <c r="N296" s="18">
        <f t="shared" si="19"/>
        <v>0.75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 t="s">
        <v>1343</v>
      </c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8</v>
      </c>
      <c r="M303" s="17">
        <f t="shared" si="18"/>
        <v>20</v>
      </c>
      <c r="N303" s="18">
        <f t="shared" si="19"/>
        <v>0.2857142857142857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 t="s">
        <v>1343</v>
      </c>
      <c r="AI303" s="27" t="s">
        <v>1343</v>
      </c>
      <c r="AJ303" s="27" t="s">
        <v>1343</v>
      </c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23</v>
      </c>
      <c r="M309" s="17">
        <f t="shared" si="18"/>
        <v>5</v>
      </c>
      <c r="N309" s="18">
        <f t="shared" si="19"/>
        <v>0.8214285714285714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 t="s">
        <v>1343</v>
      </c>
      <c r="AI309" s="27" t="s">
        <v>1343</v>
      </c>
      <c r="AJ309" s="27" t="s">
        <v>1343</v>
      </c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27</v>
      </c>
      <c r="M310" s="17">
        <f t="shared" si="18"/>
        <v>1</v>
      </c>
      <c r="N310" s="18">
        <f t="shared" si="19"/>
        <v>0.9642857142857143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25</v>
      </c>
      <c r="M325" s="17">
        <f t="shared" si="18"/>
        <v>3</v>
      </c>
      <c r="N325" s="18">
        <f t="shared" si="19"/>
        <v>0.8928571428571429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 t="s">
        <v>1343</v>
      </c>
      <c r="AI325" s="27" t="s">
        <v>1343</v>
      </c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25</v>
      </c>
      <c r="M327" s="17">
        <f t="shared" ref="M327:M372" si="21">COUNTIF(O327:AP327,"APAGADO")</f>
        <v>3</v>
      </c>
      <c r="N327" s="18">
        <f t="shared" ref="N327:N372" si="22">(L327)/(M327+L327)</f>
        <v>0.8928571428571429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 t="s">
        <v>1343</v>
      </c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26</v>
      </c>
      <c r="M334" s="17">
        <f t="shared" si="21"/>
        <v>2</v>
      </c>
      <c r="N334" s="18">
        <f t="shared" si="22"/>
        <v>0.9285714285714286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 t="s">
        <v>1343</v>
      </c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18</v>
      </c>
      <c r="M343" s="17">
        <f t="shared" si="21"/>
        <v>10</v>
      </c>
      <c r="N343" s="18">
        <f t="shared" si="22"/>
        <v>0.6428571428571429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 t="s">
        <v>1343</v>
      </c>
      <c r="AI343" s="27" t="s">
        <v>1343</v>
      </c>
      <c r="AJ343" s="27" t="s">
        <v>1343</v>
      </c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8</v>
      </c>
      <c r="M352" s="17">
        <f t="shared" si="21"/>
        <v>20</v>
      </c>
      <c r="N352" s="18">
        <f t="shared" si="22"/>
        <v>0.2857142857142857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 t="s">
        <v>1343</v>
      </c>
      <c r="AI352" s="27" t="s">
        <v>1343</v>
      </c>
      <c r="AJ352" s="27" t="s">
        <v>1343</v>
      </c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22</v>
      </c>
      <c r="M355" s="17">
        <f t="shared" si="21"/>
        <v>6</v>
      </c>
      <c r="N355" s="18">
        <f t="shared" si="22"/>
        <v>0.7857142857142857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24</v>
      </c>
      <c r="M363" s="17">
        <f t="shared" si="21"/>
        <v>4</v>
      </c>
      <c r="N363" s="18">
        <f t="shared" si="22"/>
        <v>0.8571428571428571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 t="s">
        <v>1343</v>
      </c>
      <c r="AI363" s="27" t="s">
        <v>1343</v>
      </c>
      <c r="AJ363" s="27" t="s">
        <v>1343</v>
      </c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 t="str">
        <f>'RESUMEN TOTAL'!AH10</f>
        <v>APAGADO</v>
      </c>
      <c r="Z7" t="str">
        <f>'RESUMEN TOTAL'!AI10</f>
        <v>APAGADO</v>
      </c>
      <c r="AA7" t="str">
        <f>'RESUMEN TOTAL'!AJ10</f>
        <v>APAGADO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 t="str">
        <f>'RESUMEN TOTAL'!AH12</f>
        <v>APAGADO</v>
      </c>
      <c r="Z9" t="str">
        <f>'RESUMEN TOTAL'!AI12</f>
        <v>APAGADO</v>
      </c>
      <c r="AA9" t="str">
        <f>'RESUMEN TOTAL'!AJ12</f>
        <v>APAGADO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 t="str">
        <f>'RESUMEN TOTAL'!AH14</f>
        <v>APAGADO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 t="str">
        <f>'RESUMEN TOTAL'!AI21</f>
        <v>APAGADO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 t="str">
        <f>'RESUMEN TOTAL'!AH53</f>
        <v>APAGADO</v>
      </c>
      <c r="Z50" t="str">
        <f>'RESUMEN TOTAL'!AI53</f>
        <v>APAGADO</v>
      </c>
      <c r="AA50" t="str">
        <f>'RESUMEN TOTAL'!AJ53</f>
        <v>APAGADO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 t="str">
        <f>'RESUMEN TOTAL'!AH66</f>
        <v>APAGADO</v>
      </c>
      <c r="Z63" t="str">
        <f>'RESUMEN TOTAL'!AI66</f>
        <v>APAGADO</v>
      </c>
      <c r="AA63" t="str">
        <f>'RESUMEN TOTAL'!AJ66</f>
        <v>APAGADO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 t="str">
        <f>'RESUMEN TOTAL'!AH73</f>
        <v>APAGADO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 t="str">
        <f>'RESUMEN TOTAL'!AH124</f>
        <v>APAGADO</v>
      </c>
      <c r="Z121" t="str">
        <f>'RESUMEN TOTAL'!AI124</f>
        <v>APAGADO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 t="str">
        <f>'RESUMEN TOTAL'!AI153</f>
        <v>APAGADO</v>
      </c>
      <c r="AA150" t="str">
        <f>'RESUMEN TOTAL'!AJ153</f>
        <v>APAGADO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 t="str">
        <f>'RESUMEN TOTAL'!AJ168</f>
        <v>APAGADO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 t="str">
        <f>'RESUMEN TOTAL'!AH186</f>
        <v>APAGADO</v>
      </c>
      <c r="Z183">
        <f>'RESUMEN TOTAL'!AI186</f>
        <v>0</v>
      </c>
      <c r="AA183" t="str">
        <f>'RESUMEN TOTAL'!AJ186</f>
        <v>APAGADO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 t="str">
        <f>'RESUMEN TOTAL'!AH190</f>
        <v>APAGADO</v>
      </c>
      <c r="Z187" t="str">
        <f>'RESUMEN TOTAL'!AI190</f>
        <v>APAGADO</v>
      </c>
      <c r="AA187" t="str">
        <f>'RESUMEN TOTAL'!AJ190</f>
        <v>APAGADO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 t="str">
        <f>'RESUMEN TOTAL'!AH194</f>
        <v>APAGADO</v>
      </c>
      <c r="Z191" t="str">
        <f>'RESUMEN TOTAL'!AI194</f>
        <v>APAGADO</v>
      </c>
      <c r="AA191" t="str">
        <f>'RESUMEN TOTAL'!AJ194</f>
        <v>APAGADO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 t="str">
        <f>'RESUMEN TOTAL'!AH199</f>
        <v>APAGADO</v>
      </c>
      <c r="Z196" t="str">
        <f>'RESUMEN TOTAL'!AI199</f>
        <v>APAGADO</v>
      </c>
      <c r="AA196" t="str">
        <f>'RESUMEN TOTAL'!AJ199</f>
        <v>APAGADO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 t="str">
        <f>'RESUMEN TOTAL'!AH200</f>
        <v>APAGADO</v>
      </c>
      <c r="Z197" t="str">
        <f>'RESUMEN TOTAL'!AI200</f>
        <v>APAGADO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 t="str">
        <f>'RESUMEN TOTAL'!AJ203</f>
        <v>APAGADO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 t="str">
        <f>'RESUMEN TOTAL'!AJ213</f>
        <v>APAGADO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 t="str">
        <f>'RESUMEN TOTAL'!AH227</f>
        <v>APAGADO</v>
      </c>
      <c r="Z224" t="str">
        <f>'RESUMEN TOTAL'!AI227</f>
        <v>APAGADO</v>
      </c>
      <c r="AA224" t="str">
        <f>'RESUMEN TOTAL'!AJ227</f>
        <v>APAGADO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 t="str">
        <f>'RESUMEN TOTAL'!AI233</f>
        <v>APAGADO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 t="str">
        <f>'RESUMEN TOTAL'!AH241</f>
        <v>APAGADO</v>
      </c>
      <c r="Z238" t="str">
        <f>'RESUMEN TOTAL'!AI241</f>
        <v>APAGADO</v>
      </c>
      <c r="AA238" t="str">
        <f>'RESUMEN TOTAL'!AJ241</f>
        <v>APAGADO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 t="str">
        <f>'RESUMEN TOTAL'!AH242</f>
        <v>APAGADO</v>
      </c>
      <c r="Z239" t="str">
        <f>'RESUMEN TOTAL'!AI242</f>
        <v>APAGADO</v>
      </c>
      <c r="AA239" t="str">
        <f>'RESUMEN TOTAL'!AJ242</f>
        <v>APAGADO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 t="str">
        <f>'RESUMEN TOTAL'!AH243</f>
        <v>APAGADO</v>
      </c>
      <c r="Z240" t="str">
        <f>'RESUMEN TOTAL'!AI243</f>
        <v>APAGADO</v>
      </c>
      <c r="AA240" t="str">
        <f>'RESUMEN TOTAL'!AJ243</f>
        <v>APAGADO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 t="str">
        <f>'RESUMEN TOTAL'!AH244</f>
        <v>APAGADO</v>
      </c>
      <c r="Z241" t="str">
        <f>'RESUMEN TOTAL'!AI244</f>
        <v>APAGADO</v>
      </c>
      <c r="AA241" t="str">
        <f>'RESUMEN TOTAL'!AJ244</f>
        <v>APAGADO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 t="str">
        <f>'RESUMEN TOTAL'!AH289</f>
        <v>APAGADO</v>
      </c>
      <c r="Z286" t="str">
        <f>'RESUMEN TOTAL'!AI289</f>
        <v>APAGADO</v>
      </c>
      <c r="AA286" t="str">
        <f>'RESUMEN TOTAL'!AJ289</f>
        <v>APAGADO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 t="str">
        <f>'RESUMEN TOTAL'!AH296</f>
        <v>APAGADO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 t="str">
        <f>'RESUMEN TOTAL'!AH309</f>
        <v>APAGADO</v>
      </c>
      <c r="Z306" t="str">
        <f>'RESUMEN TOTAL'!AI309</f>
        <v>APAGADO</v>
      </c>
      <c r="AA306" t="str">
        <f>'RESUMEN TOTAL'!AJ309</f>
        <v>APAGADO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 t="str">
        <f>'RESUMEN TOTAL'!AH334</f>
        <v>APAGADO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 t="str">
        <f>'RESUMEN TOTAL'!AH343</f>
        <v>APAGADO</v>
      </c>
      <c r="Z340" t="str">
        <f>'RESUMEN TOTAL'!AI343</f>
        <v>APAGADO</v>
      </c>
      <c r="AA340" t="str">
        <f>'RESUMEN TOTAL'!AJ343</f>
        <v>APAGADO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37</v>
      </c>
      <c r="Z1" s="26">
        <f t="shared" si="0"/>
        <v>34</v>
      </c>
      <c r="AA1" s="26">
        <f t="shared" si="0"/>
        <v>33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 t="str">
        <f>ESTADISTICA!Z9</f>
        <v>APAGADO</v>
      </c>
      <c r="AA10" t="str">
        <f>ESTADISTICA!AA9</f>
        <v>APAGADO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 t="str">
        <f>ESTADISTICA!Z150</f>
        <v>APAGADO</v>
      </c>
      <c r="AA151" t="str">
        <f>ESTADISTICA!AA150</f>
        <v>APAGADO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 t="str">
        <f>ESTADISTICA!AA165</f>
        <v>APAGADO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 t="str">
        <f>ESTADISTICA!AA183</f>
        <v>APAGADO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 t="str">
        <f>ESTADISTICA!Y197</f>
        <v>APAGADO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 t="str">
        <f>ESTADISTICA!AA200</f>
        <v>APAGADO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 t="str">
        <f>ESTADISTICA!Z230</f>
        <v>APAGADO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 t="str">
        <f>ESTADISTICA!Y238</f>
        <v>APAGADO</v>
      </c>
      <c r="Z239" t="str">
        <f>ESTADISTICA!Z238</f>
        <v>APAGADO</v>
      </c>
      <c r="AA239" t="str">
        <f>ESTADISTICA!AA238</f>
        <v>APAGADO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 t="str">
        <f>ESTADISTICA!Y239</f>
        <v>APAGADO</v>
      </c>
      <c r="Z240" t="str">
        <f>ESTADISTICA!Z239</f>
        <v>APAGADO</v>
      </c>
      <c r="AA240" t="str">
        <f>ESTADISTICA!AA239</f>
        <v>APAGADO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28</v>
      </c>
      <c r="Z2" s="26">
        <f>COUNTIFS(Z4:Z367, "=APAGADO",E4:E367,"=Fibra Optica")</f>
        <v>25</v>
      </c>
      <c r="AA2" s="26">
        <f>COUNTIFS(AA4:AA367, "=APAGADO",E4:E367,"=Fibra Optica")</f>
        <v>25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5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6</v>
      </c>
      <c r="Z2" s="26">
        <f>COUNTIFS(Z4:Z367, "=APAGADO",E4:E367,"=PTP A FO")</f>
        <v>5</v>
      </c>
      <c r="AA2" s="26">
        <f>COUNTIFS(AA4:AA367, "=APAGADO",E4:E367,"=PTP A FO")</f>
        <v>5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25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3</v>
      </c>
      <c r="Z2" s="26">
        <f>COUNTIFS(Z4:Z367, "=APAGADO",E4:E367,"=radio")</f>
        <v>4</v>
      </c>
      <c r="AA2" s="26">
        <f>COUNTIFS(AA4:AA367, "=APAGADO",E4:E367,"=radio")</f>
        <v>3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25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2" sqref="G22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22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  <c r="G14" s="77">
        <f t="shared" si="0"/>
        <v>6.1662198391420911E-2</v>
      </c>
    </row>
    <row r="15" spans="1:7" x14ac:dyDescent="0.25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  <c r="G15" s="77">
        <f t="shared" si="0"/>
        <v>9.3833780160857902E-2</v>
      </c>
    </row>
    <row r="16" spans="1:7" x14ac:dyDescent="0.25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  <c r="G16" s="77">
        <f t="shared" si="0"/>
        <v>6.1662198391420911E-2</v>
      </c>
    </row>
    <row r="17" spans="1:7" x14ac:dyDescent="0.25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  <c r="G17" s="77">
        <f t="shared" si="0"/>
        <v>6.1662198391420911E-2</v>
      </c>
    </row>
    <row r="18" spans="1:7" x14ac:dyDescent="0.25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  <c r="G18" s="77">
        <f t="shared" si="0"/>
        <v>6.7024128686327081E-2</v>
      </c>
    </row>
    <row r="19" spans="1:7" x14ac:dyDescent="0.25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  <c r="G19" s="77">
        <f t="shared" si="0"/>
        <v>6.7024128686327081E-2</v>
      </c>
    </row>
    <row r="20" spans="1:7" x14ac:dyDescent="0.25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  <c r="G20" s="77">
        <f t="shared" si="0"/>
        <v>0.10991957104557641</v>
      </c>
    </row>
    <row r="21" spans="1:7" x14ac:dyDescent="0.25">
      <c r="A21" s="25">
        <f>'APAGADOS RADIO'!Y3</f>
        <v>44671</v>
      </c>
      <c r="B21" s="70">
        <f>'APAGADOS RADIO'!Y2+D21</f>
        <v>9</v>
      </c>
      <c r="C21" s="70">
        <f>'APAGADOS FIBRA'!Y2</f>
        <v>28</v>
      </c>
      <c r="D21" s="70">
        <f>'APAGADOS ANTENA'!Y2</f>
        <v>6</v>
      </c>
      <c r="E21" s="70">
        <f t="shared" ref="E21" si="7">B21+C21</f>
        <v>37</v>
      </c>
      <c r="F21">
        <f>'RESUMEN TOTAL'!C1</f>
        <v>373</v>
      </c>
      <c r="G21" s="77">
        <f t="shared" si="0"/>
        <v>9.9195710455764072E-2</v>
      </c>
    </row>
    <row r="22" spans="1:7" x14ac:dyDescent="0.25">
      <c r="A22" s="25">
        <f>'APAGADOS RADIO'!Z3</f>
        <v>44672</v>
      </c>
      <c r="B22" s="70">
        <f>'APAGADOS RADIO'!V2+D22</f>
        <v>8</v>
      </c>
      <c r="C22" s="70">
        <f>'APAGADOS FIBRA'!V2</f>
        <v>17</v>
      </c>
      <c r="D22" s="70">
        <f>'APAGADOS ANTENA'!V2</f>
        <v>3</v>
      </c>
      <c r="E22" s="70">
        <f t="shared" ref="E22" si="8">B22+C22</f>
        <v>25</v>
      </c>
      <c r="F22">
        <f>'RESUMEN TOTAL'!C1</f>
        <v>373</v>
      </c>
      <c r="G22" s="77">
        <f t="shared" si="0"/>
        <v>6.7024128686327081E-2</v>
      </c>
    </row>
    <row r="23" spans="1:7" x14ac:dyDescent="0.25">
      <c r="A23" s="25">
        <f>'APAGADOS RADIO'!AA3</f>
        <v>44673</v>
      </c>
      <c r="C23" s="30"/>
      <c r="F23">
        <f>'RESUMEN TOTAL'!C1</f>
        <v>373</v>
      </c>
    </row>
    <row r="24" spans="1:7" x14ac:dyDescent="0.25">
      <c r="A24" s="25">
        <f>'APAGADOS RADIO'!AB3</f>
        <v>44674</v>
      </c>
      <c r="C24" s="30"/>
      <c r="F24">
        <f>'RESUMEN TOTAL'!C1</f>
        <v>373</v>
      </c>
    </row>
    <row r="25" spans="1:7" x14ac:dyDescent="0.25">
      <c r="A25" s="25">
        <f>'APAGADOS RADIO'!AC3</f>
        <v>44675</v>
      </c>
      <c r="C25" s="30"/>
      <c r="F25">
        <f>'RESUMEN TOTAL'!C1</f>
        <v>373</v>
      </c>
    </row>
    <row r="26" spans="1:7" x14ac:dyDescent="0.25">
      <c r="A26" s="25">
        <f>'APAGADOS RADIO'!AD3</f>
        <v>44676</v>
      </c>
      <c r="C26" s="30"/>
      <c r="F26">
        <f>'RESUMEN TOTAL'!C1</f>
        <v>373</v>
      </c>
    </row>
    <row r="27" spans="1:7" x14ac:dyDescent="0.25">
      <c r="A27" s="25">
        <f>'APAGADOS RADIO'!AE3</f>
        <v>44677</v>
      </c>
      <c r="C27" s="30"/>
      <c r="F27">
        <f>'RESUMEN TOTAL'!C1</f>
        <v>373</v>
      </c>
    </row>
    <row r="28" spans="1:7" x14ac:dyDescent="0.25">
      <c r="A28" s="25">
        <f>'APAGADOS RADIO'!AF3</f>
        <v>44678</v>
      </c>
      <c r="C28" s="30"/>
      <c r="F28">
        <f>'RESUMEN TOTAL'!C1</f>
        <v>373</v>
      </c>
    </row>
    <row r="29" spans="1:7" x14ac:dyDescent="0.25">
      <c r="A29" s="25">
        <f>'APAGADOS RADIO'!AG3</f>
        <v>44679</v>
      </c>
      <c r="C29" s="30"/>
      <c r="F29">
        <f>'RESUMEN TOTAL'!C1</f>
        <v>373</v>
      </c>
    </row>
    <row r="30" spans="1:7" x14ac:dyDescent="0.25">
      <c r="A30" s="25">
        <f>'APAGADOS RADIO'!AH3</f>
        <v>44680</v>
      </c>
      <c r="C30" s="30"/>
      <c r="F30">
        <f>'RESUMEN TOTAL'!C1</f>
        <v>373</v>
      </c>
    </row>
    <row r="31" spans="1:7" x14ac:dyDescent="0.25">
      <c r="A31" s="25">
        <f>'APAGADOS RADIO'!AI3</f>
        <v>44681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9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9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9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9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9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9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9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9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9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9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9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9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9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9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9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9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9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9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9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9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2022-04-22T11:27:49Z</dcterms:modified>
</cp:coreProperties>
</file>