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F914BE25-983F-44F3-A6B3-99F20F26AE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TOTAL'!$A$4:$AN$431</definedName>
    <definedName name="BONOMOcam">Hoja1!$B$2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3" i="2" l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AO1" i="2" l="1"/>
  <c r="J425" i="2"/>
  <c r="J430" i="2"/>
  <c r="J431" i="2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14" i="14" l="1"/>
  <c r="F13" i="14"/>
  <c r="F15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F12" i="14"/>
  <c r="F11" i="14"/>
  <c r="F10" i="14"/>
  <c r="F8" i="14"/>
  <c r="F6" i="14"/>
  <c r="F5" i="14"/>
  <c r="F4" i="14"/>
  <c r="F3" i="14"/>
  <c r="O2" i="21"/>
  <c r="D11" i="14" s="1"/>
  <c r="AI2" i="21"/>
  <c r="AH2" i="21"/>
  <c r="AC2" i="21"/>
  <c r="U2" i="21"/>
  <c r="M2" i="21"/>
  <c r="S2" i="21"/>
  <c r="D15" i="14" s="1"/>
  <c r="AB2" i="21"/>
  <c r="T2" i="21"/>
  <c r="L2" i="21"/>
  <c r="D8" i="14" s="1"/>
  <c r="Z2" i="21"/>
  <c r="R2" i="21"/>
  <c r="D14" i="14" s="1"/>
  <c r="J2" i="21"/>
  <c r="D6" i="14" s="1"/>
  <c r="Y2" i="21"/>
  <c r="Q2" i="21"/>
  <c r="D13" i="14" s="1"/>
  <c r="I2" i="21"/>
  <c r="D5" i="14" s="1"/>
  <c r="K2" i="21"/>
  <c r="X2" i="21"/>
  <c r="P2" i="21"/>
  <c r="D12" i="14" s="1"/>
  <c r="H2" i="21"/>
  <c r="D4" i="14" s="1"/>
  <c r="W2" i="21"/>
  <c r="G2" i="21"/>
  <c r="D3" i="14" s="1"/>
  <c r="AD2" i="21"/>
  <c r="V2" i="2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AA2" i="11"/>
  <c r="AH2" i="11"/>
  <c r="P2" i="11"/>
  <c r="B12" i="14" s="1"/>
  <c r="O2" i="11"/>
  <c r="K2" i="11"/>
  <c r="G2" i="11"/>
  <c r="B3" i="14" s="1"/>
  <c r="L2" i="11"/>
  <c r="B8" i="14" s="1"/>
  <c r="F2" i="11"/>
  <c r="M2" i="11"/>
  <c r="H2" i="1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W2" i="10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G2" i="10"/>
  <c r="C3" i="14" s="1"/>
  <c r="Q1" i="9"/>
  <c r="R2" i="10"/>
  <c r="C14" i="14" s="1"/>
  <c r="K2" i="10"/>
  <c r="L2" i="10"/>
  <c r="C8" i="14" s="1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C11" i="14" s="1"/>
  <c r="AB1" i="9"/>
  <c r="H2" i="10"/>
  <c r="C4" i="14" s="1"/>
  <c r="Y1" i="9"/>
  <c r="Z2" i="10"/>
  <c r="S2" i="10"/>
  <c r="C15" i="14" s="1"/>
  <c r="T2" i="10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Q2" i="11"/>
  <c r="B13" i="14" s="1"/>
  <c r="E13" i="14" s="1"/>
  <c r="G13" i="14" s="1"/>
  <c r="AC2" i="11"/>
  <c r="U2" i="11"/>
  <c r="AE2" i="11"/>
  <c r="AF2" i="11"/>
  <c r="X2" i="11"/>
  <c r="AD2" i="11"/>
  <c r="Y2" i="11"/>
  <c r="Z2" i="11"/>
  <c r="S2" i="11"/>
  <c r="B15" i="14" s="1"/>
  <c r="T2" i="11"/>
  <c r="W2" i="11"/>
  <c r="E14" i="14" l="1"/>
  <c r="G14" i="14" s="1"/>
  <c r="E15" i="14"/>
  <c r="G15" i="14" s="1"/>
  <c r="B11" i="14"/>
  <c r="E11" i="14" s="1"/>
  <c r="G11" i="14" s="1"/>
  <c r="E12" i="14"/>
  <c r="G12" i="14" s="1"/>
  <c r="E10" i="14"/>
  <c r="G10" i="14" s="1"/>
  <c r="E8" i="14"/>
  <c r="G8" i="14" s="1"/>
  <c r="E3" i="14"/>
  <c r="G3" i="14" s="1"/>
  <c r="E6" i="14"/>
  <c r="G6" i="14" s="1"/>
  <c r="B4" i="14"/>
  <c r="E4" i="14" s="1"/>
  <c r="G4" i="14" s="1"/>
  <c r="E5" i="14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<sst xmlns="http://schemas.openxmlformats.org/spreadsheetml/2006/main" count="3739" uniqueCount="1278">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</sst>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7</c:v>
                </c:pt>
                <c:pt idx="12">
                  <c:v>12</c:v>
                </c:pt>
                <c:pt idx="1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38</c:v>
                </c:pt>
                <c:pt idx="9">
                  <c:v>35</c:v>
                </c:pt>
                <c:pt idx="10">
                  <c:v>35</c:v>
                </c:pt>
                <c:pt idx="11">
                  <c:v>30</c:v>
                </c:pt>
                <c:pt idx="12">
                  <c:v>41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43</c:v>
                </c:pt>
                <c:pt idx="4">
                  <c:v>37</c:v>
                </c:pt>
                <c:pt idx="5">
                  <c:v>37</c:v>
                </c:pt>
                <c:pt idx="6">
                  <c:v>35</c:v>
                </c:pt>
                <c:pt idx="7">
                  <c:v>35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37</c:v>
                </c:pt>
                <c:pt idx="12">
                  <c:v>53</c:v>
                </c:pt>
                <c:pt idx="1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0.10093896713615023</c:v>
                </c:pt>
                <c:pt idx="4">
                  <c:v>8.6854460093896718E-2</c:v>
                </c:pt>
                <c:pt idx="5">
                  <c:v>8.6854460093896718E-2</c:v>
                </c:pt>
                <c:pt idx="6">
                  <c:v>8.2159624413145546E-2</c:v>
                </c:pt>
                <c:pt idx="7">
                  <c:v>8.2159624413145546E-2</c:v>
                </c:pt>
                <c:pt idx="8">
                  <c:v>0.11032863849765258</c:v>
                </c:pt>
                <c:pt idx="9">
                  <c:v>0.10093896713615023</c:v>
                </c:pt>
                <c:pt idx="10">
                  <c:v>0.10093896713615023</c:v>
                </c:pt>
                <c:pt idx="11">
                  <c:v>8.6854460093896718E-2</c:v>
                </c:pt>
                <c:pt idx="12">
                  <c:v>0.12441314553990611</c:v>
                </c:pt>
                <c:pt idx="13">
                  <c:v>7.746478873239436E-2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32</c:v>
                </c:pt>
                <c:pt idx="7">
                  <c:v>0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47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  <c:pt idx="13">
                  <c:v>6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0.14285714285714285</c:v>
                      </c:pt>
                      <c:pt idx="7">
                        <c:v>0</c:v>
                      </c:pt>
                      <c:pt idx="8">
                        <c:v>0.17857142857142858</c:v>
                      </c:pt>
                      <c:pt idx="9">
                        <c:v>0.16517857142857142</c:v>
                      </c:pt>
                      <c:pt idx="10">
                        <c:v>0.16071428571428573</c:v>
                      </c:pt>
                      <c:pt idx="11">
                        <c:v>0.15178571428571427</c:v>
                      </c:pt>
                      <c:pt idx="12">
                        <c:v>0.20982142857142858</c:v>
                      </c:pt>
                      <c:pt idx="13">
                        <c:v>0.125</c:v>
                      </c:pt>
                      <c:pt idx="14">
                        <c:v>0.12053571428571429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1.4778325123152709E-2</c:v>
                      </c:pt>
                      <c:pt idx="7">
                        <c:v>0</c:v>
                      </c:pt>
                      <c:pt idx="8">
                        <c:v>3.4482758620689655E-2</c:v>
                      </c:pt>
                      <c:pt idx="9">
                        <c:v>3.9408866995073892E-2</c:v>
                      </c:pt>
                      <c:pt idx="10">
                        <c:v>4.4334975369458129E-2</c:v>
                      </c:pt>
                      <c:pt idx="11">
                        <c:v>1.4778325123152709E-2</c:v>
                      </c:pt>
                      <c:pt idx="12">
                        <c:v>5.9113300492610835E-2</c:v>
                      </c:pt>
                      <c:pt idx="13">
                        <c:v>2.9556650246305417E-2</c:v>
                      </c:pt>
                      <c:pt idx="14">
                        <c:v>2.4630541871921183E-2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0.14285714285714285</c:v>
                </c:pt>
                <c:pt idx="7">
                  <c:v>0</c:v>
                </c:pt>
                <c:pt idx="8">
                  <c:v>0.17857142857142858</c:v>
                </c:pt>
                <c:pt idx="9">
                  <c:v>0.16517857142857142</c:v>
                </c:pt>
                <c:pt idx="10">
                  <c:v>0.16071428571428573</c:v>
                </c:pt>
                <c:pt idx="11">
                  <c:v>0.15178571428571427</c:v>
                </c:pt>
                <c:pt idx="12">
                  <c:v>0.20982142857142858</c:v>
                </c:pt>
                <c:pt idx="13">
                  <c:v>0.125</c:v>
                </c:pt>
                <c:pt idx="14">
                  <c:v>0.12053571428571429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1.4778325123152709E-2</c:v>
                </c:pt>
                <c:pt idx="7">
                  <c:v>0</c:v>
                </c:pt>
                <c:pt idx="8">
                  <c:v>3.4482758620689655E-2</c:v>
                </c:pt>
                <c:pt idx="9">
                  <c:v>3.9408866995073892E-2</c:v>
                </c:pt>
                <c:pt idx="10">
                  <c:v>4.4334975369458129E-2</c:v>
                </c:pt>
                <c:pt idx="11">
                  <c:v>1.4778325123152709E-2</c:v>
                </c:pt>
                <c:pt idx="12">
                  <c:v>5.9113300492610835E-2</c:v>
                </c:pt>
                <c:pt idx="13">
                  <c:v>2.9556650246305417E-2</c:v>
                </c:pt>
                <c:pt idx="14">
                  <c:v>2.4630541871921183E-2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0</c:v>
                      </c:pt>
                      <c:pt idx="8">
                        <c:v>40</c:v>
                      </c:pt>
                      <c:pt idx="9">
                        <c:v>37</c:v>
                      </c:pt>
                      <c:pt idx="10">
                        <c:v>36</c:v>
                      </c:pt>
                      <c:pt idx="11">
                        <c:v>34</c:v>
                      </c:pt>
                      <c:pt idx="12">
                        <c:v>47</c:v>
                      </c:pt>
                      <c:pt idx="13">
                        <c:v>28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3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9</c:v>
                      </c:pt>
                      <c:pt idx="11">
                        <c:v>3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7"/>
  <sheetViews>
    <sheetView tabSelected="1" zoomScale="80" zoomScaleNormal="80" workbookViewId="0">
      <pane xSplit="10" ySplit="4" topLeftCell="Y210" activePane="bottomRight" state="frozen"/>
      <selection pane="topRight" activeCell="M1" sqref="M1"/>
      <selection pane="bottomLeft" activeCell="A5" sqref="A5"/>
      <selection pane="bottomRight" activeCell="Y221" sqref="Y22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8.4337349397590355E-2</v>
      </c>
      <c r="R1" s="4">
        <f t="shared" si="0"/>
        <v>0</v>
      </c>
      <c r="S1" s="4">
        <f t="shared" si="0"/>
        <v>0.11325301204819277</v>
      </c>
      <c r="T1" s="4">
        <f t="shared" si="0"/>
        <v>0.10843373493975904</v>
      </c>
      <c r="U1" s="4">
        <f t="shared" si="0"/>
        <v>0.10843373493975904</v>
      </c>
      <c r="V1" s="4">
        <f t="shared" si="0"/>
        <v>8.91566265060241E-2</v>
      </c>
      <c r="W1" s="4">
        <f t="shared" si="0"/>
        <v>0.14423076923076922</v>
      </c>
      <c r="X1" s="4">
        <f t="shared" si="0"/>
        <v>8.1927710843373497E-2</v>
      </c>
      <c r="Y1" s="4">
        <f t="shared" si="0"/>
        <v>7.7108433734939766E-2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380</v>
      </c>
      <c r="R2" s="10">
        <f t="shared" si="2"/>
        <v>415</v>
      </c>
      <c r="S2" s="10">
        <f t="shared" si="2"/>
        <v>368</v>
      </c>
      <c r="T2" s="10">
        <f t="shared" si="2"/>
        <v>370</v>
      </c>
      <c r="U2" s="10">
        <f t="shared" si="2"/>
        <v>370</v>
      </c>
      <c r="V2" s="10">
        <f t="shared" si="2"/>
        <v>378</v>
      </c>
      <c r="W2" s="10">
        <f t="shared" si="2"/>
        <v>356</v>
      </c>
      <c r="X2" s="10">
        <f t="shared" si="2"/>
        <v>381</v>
      </c>
      <c r="Y2" s="10">
        <f t="shared" si="2"/>
        <v>383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35</v>
      </c>
      <c r="R3" s="14">
        <f t="shared" si="5"/>
        <v>0</v>
      </c>
      <c r="S3" s="14">
        <f t="shared" si="5"/>
        <v>47</v>
      </c>
      <c r="T3" s="14">
        <f t="shared" si="5"/>
        <v>45</v>
      </c>
      <c r="U3" s="14">
        <f t="shared" si="5"/>
        <v>45</v>
      </c>
      <c r="V3" s="14">
        <f t="shared" si="5"/>
        <v>37</v>
      </c>
      <c r="W3" s="14">
        <f t="shared" si="5"/>
        <v>60</v>
      </c>
      <c r="X3" s="14">
        <f t="shared" si="5"/>
        <v>34</v>
      </c>
      <c r="Y3" s="14">
        <f t="shared" si="5"/>
        <v>32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17</v>
      </c>
      <c r="I9" s="16">
        <f>COUNTIF(K9:AL9,"APAGADO")</f>
        <v>13</v>
      </c>
      <c r="J9" s="17">
        <f>(H9)/(I9+H9)</f>
        <v>0.56666666666666665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 t="s">
        <v>1277</v>
      </c>
      <c r="R9" s="8"/>
      <c r="S9" s="8" t="s">
        <v>1277</v>
      </c>
      <c r="T9" s="26" t="s">
        <v>1277</v>
      </c>
      <c r="U9" s="26" t="s">
        <v>1277</v>
      </c>
      <c r="V9" s="26" t="s">
        <v>1277</v>
      </c>
      <c r="W9" s="26" t="s">
        <v>1277</v>
      </c>
      <c r="X9" s="26" t="s">
        <v>1277</v>
      </c>
      <c r="Y9" s="26" t="s">
        <v>1277</v>
      </c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17</v>
      </c>
      <c r="I14" s="16">
        <f t="shared" si="6"/>
        <v>13</v>
      </c>
      <c r="J14" s="17">
        <f t="shared" si="7"/>
        <v>0.56666666666666665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 t="s">
        <v>1277</v>
      </c>
      <c r="R14" s="8"/>
      <c r="S14" s="8" t="s">
        <v>1277</v>
      </c>
      <c r="T14" s="26" t="s">
        <v>1277</v>
      </c>
      <c r="U14" s="26" t="s">
        <v>1277</v>
      </c>
      <c r="V14" s="26" t="s">
        <v>1277</v>
      </c>
      <c r="W14" s="26" t="s">
        <v>1277</v>
      </c>
      <c r="X14" s="26" t="s">
        <v>1277</v>
      </c>
      <c r="Y14" s="26" t="s">
        <v>1277</v>
      </c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18</v>
      </c>
      <c r="I16" s="16">
        <f t="shared" si="6"/>
        <v>12</v>
      </c>
      <c r="J16" s="17">
        <f t="shared" si="7"/>
        <v>0.6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 t="s">
        <v>1277</v>
      </c>
      <c r="R16" s="8"/>
      <c r="S16" s="8"/>
      <c r="T16" s="26" t="s">
        <v>1277</v>
      </c>
      <c r="U16" s="26" t="s">
        <v>1277</v>
      </c>
      <c r="V16" s="26" t="s">
        <v>1277</v>
      </c>
      <c r="W16" s="26" t="s">
        <v>1277</v>
      </c>
      <c r="X16" s="26" t="s">
        <v>1277</v>
      </c>
      <c r="Y16" s="26" t="s">
        <v>1277</v>
      </c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25</v>
      </c>
      <c r="I28" s="16">
        <f>COUNTIF(K28:AL28,"APAGADO")</f>
        <v>5</v>
      </c>
      <c r="J28" s="17">
        <f>(H28)/(I28+H28)</f>
        <v>0.83333333333333337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 t="s">
        <v>1277</v>
      </c>
      <c r="X28" s="26" t="s">
        <v>1277</v>
      </c>
      <c r="Y28" s="26" t="s">
        <v>1277</v>
      </c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28</v>
      </c>
      <c r="I29" s="16">
        <f>COUNTIF(K29:AL29,"APAGADO")</f>
        <v>2</v>
      </c>
      <c r="J29" s="17">
        <f>(H29)/(I29+H29)</f>
        <v>0.93333333333333335</v>
      </c>
      <c r="K29" s="26"/>
      <c r="L29" s="8"/>
      <c r="M29" s="8" t="s">
        <v>1277</v>
      </c>
      <c r="N29" s="8"/>
      <c r="O29" s="26"/>
      <c r="P29" s="26"/>
      <c r="Q29" s="8" t="s">
        <v>1277</v>
      </c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18</v>
      </c>
      <c r="I31" s="16">
        <f t="shared" si="6"/>
        <v>12</v>
      </c>
      <c r="J31" s="17">
        <f t="shared" si="7"/>
        <v>0.6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 t="s">
        <v>1277</v>
      </c>
      <c r="T31" s="26" t="s">
        <v>1277</v>
      </c>
      <c r="U31" s="26" t="s">
        <v>1277</v>
      </c>
      <c r="V31" s="26" t="s">
        <v>1277</v>
      </c>
      <c r="W31" s="26" t="s">
        <v>1277</v>
      </c>
      <c r="X31" s="26" t="s">
        <v>1277</v>
      </c>
      <c r="Y31" s="26" t="s">
        <v>1277</v>
      </c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17</v>
      </c>
      <c r="I34" s="16">
        <f t="shared" si="6"/>
        <v>13</v>
      </c>
      <c r="J34" s="17">
        <f t="shared" si="7"/>
        <v>0.56666666666666665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 t="s">
        <v>1277</v>
      </c>
      <c r="R34" s="8"/>
      <c r="S34" s="8" t="s">
        <v>1277</v>
      </c>
      <c r="T34" s="26" t="s">
        <v>1277</v>
      </c>
      <c r="U34" s="26" t="s">
        <v>1277</v>
      </c>
      <c r="V34" s="26" t="s">
        <v>1277</v>
      </c>
      <c r="W34" s="26" t="s">
        <v>1277</v>
      </c>
      <c r="X34" s="26" t="s">
        <v>1277</v>
      </c>
      <c r="Y34" s="26" t="s">
        <v>1277</v>
      </c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17</v>
      </c>
      <c r="I42" s="16">
        <f t="shared" si="6"/>
        <v>13</v>
      </c>
      <c r="J42" s="17">
        <f t="shared" si="7"/>
        <v>0.56666666666666665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 t="s">
        <v>1277</v>
      </c>
      <c r="R42" s="8"/>
      <c r="S42" s="8" t="s">
        <v>1277</v>
      </c>
      <c r="T42" s="26" t="s">
        <v>1277</v>
      </c>
      <c r="U42" s="26" t="s">
        <v>1277</v>
      </c>
      <c r="V42" s="26" t="s">
        <v>1277</v>
      </c>
      <c r="W42" s="26" t="s">
        <v>1277</v>
      </c>
      <c r="X42" s="26" t="s">
        <v>1277</v>
      </c>
      <c r="Y42" s="26" t="s">
        <v>1277</v>
      </c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19</v>
      </c>
      <c r="I50" s="16">
        <f t="shared" si="6"/>
        <v>11</v>
      </c>
      <c r="J50" s="17">
        <f t="shared" si="7"/>
        <v>0.6333333333333333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 t="s">
        <v>1277</v>
      </c>
      <c r="R50" s="8"/>
      <c r="S50" s="8" t="s">
        <v>1277</v>
      </c>
      <c r="T50" s="26" t="s">
        <v>1277</v>
      </c>
      <c r="U50" s="26" t="s">
        <v>1277</v>
      </c>
      <c r="V50" s="26" t="s">
        <v>1277</v>
      </c>
      <c r="W50" s="26" t="s">
        <v>1277</v>
      </c>
      <c r="X50" s="26" t="s">
        <v>1277</v>
      </c>
      <c r="Y50" s="26" t="s">
        <v>1277</v>
      </c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29</v>
      </c>
      <c r="I60" s="16">
        <f t="shared" si="9"/>
        <v>1</v>
      </c>
      <c r="J60" s="17">
        <f t="shared" si="10"/>
        <v>0.96666666666666667</v>
      </c>
      <c r="K60" s="26"/>
      <c r="L60" s="8"/>
      <c r="M60" s="8"/>
      <c r="N60" s="8"/>
      <c r="O60" s="26"/>
      <c r="P60" s="26"/>
      <c r="Q60" s="8"/>
      <c r="R60" s="8"/>
      <c r="S60" s="8" t="s">
        <v>1277</v>
      </c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17</v>
      </c>
      <c r="I63" s="16">
        <f t="shared" si="9"/>
        <v>13</v>
      </c>
      <c r="J63" s="17">
        <f t="shared" si="10"/>
        <v>0.56666666666666665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 t="s">
        <v>1277</v>
      </c>
      <c r="R63" s="8"/>
      <c r="S63" s="8" t="s">
        <v>1277</v>
      </c>
      <c r="T63" s="26" t="s">
        <v>1277</v>
      </c>
      <c r="U63" s="26" t="s">
        <v>1277</v>
      </c>
      <c r="V63" s="26" t="s">
        <v>1277</v>
      </c>
      <c r="W63" s="26" t="s">
        <v>1277</v>
      </c>
      <c r="X63" s="26" t="s">
        <v>1277</v>
      </c>
      <c r="Y63" s="26" t="s">
        <v>1277</v>
      </c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28</v>
      </c>
      <c r="I69" s="16">
        <f t="shared" ref="I69:I74" si="13">COUNTIF(K69:AL69,"APAGADO")</f>
        <v>2</v>
      </c>
      <c r="J69" s="17">
        <f t="shared" ref="J69:J74" si="14">(H69)/(I69+H69)</f>
        <v>0.93333333333333335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 t="s">
        <v>1277</v>
      </c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29</v>
      </c>
      <c r="I70" s="16">
        <f t="shared" si="13"/>
        <v>1</v>
      </c>
      <c r="J70" s="17">
        <f t="shared" si="14"/>
        <v>0.96666666666666667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 t="s">
        <v>1277</v>
      </c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27</v>
      </c>
      <c r="I71" s="16">
        <f t="shared" si="13"/>
        <v>3</v>
      </c>
      <c r="J71" s="17">
        <f t="shared" si="14"/>
        <v>0.9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 t="s">
        <v>1277</v>
      </c>
      <c r="W71" s="26" t="s">
        <v>1277</v>
      </c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26</v>
      </c>
      <c r="I81" s="16">
        <f>COUNTIF(K81:AL81,"APAGADO")</f>
        <v>4</v>
      </c>
      <c r="J81" s="17">
        <f>(H81)/(I81+H81)</f>
        <v>0.8666666666666667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 t="s">
        <v>1277</v>
      </c>
      <c r="T81" s="26" t="s">
        <v>1277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26</v>
      </c>
      <c r="I82" s="16">
        <f t="shared" si="9"/>
        <v>4</v>
      </c>
      <c r="J82" s="17">
        <f t="shared" si="10"/>
        <v>0.8666666666666667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 t="s">
        <v>1277</v>
      </c>
      <c r="T82" s="26" t="s">
        <v>1277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17</v>
      </c>
      <c r="I88" s="16">
        <f>COUNTIF(K88:AL88,"APAGADO")</f>
        <v>13</v>
      </c>
      <c r="J88" s="17">
        <f>(H88)/(I88+H88)</f>
        <v>0.56666666666666665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 t="s">
        <v>1277</v>
      </c>
      <c r="R88" s="8"/>
      <c r="S88" s="8" t="s">
        <v>1277</v>
      </c>
      <c r="T88" s="26" t="s">
        <v>1277</v>
      </c>
      <c r="U88" s="26" t="s">
        <v>1277</v>
      </c>
      <c r="V88" s="26" t="s">
        <v>1277</v>
      </c>
      <c r="W88" s="26" t="s">
        <v>1277</v>
      </c>
      <c r="X88" s="26" t="s">
        <v>1277</v>
      </c>
      <c r="Y88" s="26" t="s">
        <v>1277</v>
      </c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17</v>
      </c>
      <c r="I95" s="52">
        <f t="shared" si="16"/>
        <v>13</v>
      </c>
      <c r="J95" s="53">
        <f t="shared" si="17"/>
        <v>0.56666666666666665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 t="s">
        <v>1277</v>
      </c>
      <c r="R95" s="26"/>
      <c r="S95" s="26" t="s">
        <v>1277</v>
      </c>
      <c r="T95" s="26" t="s">
        <v>1277</v>
      </c>
      <c r="U95" s="26" t="s">
        <v>1277</v>
      </c>
      <c r="V95" s="26" t="s">
        <v>1277</v>
      </c>
      <c r="W95" s="26" t="s">
        <v>1277</v>
      </c>
      <c r="X95" s="26" t="s">
        <v>1277</v>
      </c>
      <c r="Y95" s="26" t="s">
        <v>1277</v>
      </c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17</v>
      </c>
      <c r="I96" s="52">
        <f t="shared" si="16"/>
        <v>13</v>
      </c>
      <c r="J96" s="53">
        <f t="shared" si="17"/>
        <v>0.56666666666666665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 t="s">
        <v>1277</v>
      </c>
      <c r="R96" s="26"/>
      <c r="S96" s="26" t="s">
        <v>1277</v>
      </c>
      <c r="T96" s="26" t="s">
        <v>1277</v>
      </c>
      <c r="U96" s="26" t="s">
        <v>1277</v>
      </c>
      <c r="V96" s="26" t="s">
        <v>1277</v>
      </c>
      <c r="W96" s="26" t="s">
        <v>1277</v>
      </c>
      <c r="X96" s="26" t="s">
        <v>1277</v>
      </c>
      <c r="Y96" s="26" t="s">
        <v>1277</v>
      </c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18</v>
      </c>
      <c r="I100" s="16">
        <f t="shared" si="9"/>
        <v>12</v>
      </c>
      <c r="J100" s="17">
        <f t="shared" si="10"/>
        <v>0.6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 t="s">
        <v>1277</v>
      </c>
      <c r="R100" s="8"/>
      <c r="S100" s="8" t="s">
        <v>1277</v>
      </c>
      <c r="T100" s="26" t="s">
        <v>1277</v>
      </c>
      <c r="U100" s="26" t="s">
        <v>1277</v>
      </c>
      <c r="V100" s="26" t="s">
        <v>1277</v>
      </c>
      <c r="W100" s="26" t="s">
        <v>1277</v>
      </c>
      <c r="X100" s="26" t="s">
        <v>1277</v>
      </c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29</v>
      </c>
      <c r="I116" s="16">
        <f t="shared" si="9"/>
        <v>1</v>
      </c>
      <c r="J116" s="17">
        <f t="shared" si="10"/>
        <v>0.96666666666666667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 t="s">
        <v>1277</v>
      </c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28</v>
      </c>
      <c r="I145" s="16">
        <f t="shared" si="21"/>
        <v>2</v>
      </c>
      <c r="J145" s="17">
        <f t="shared" si="22"/>
        <v>0.93333333333333335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 t="s">
        <v>1277</v>
      </c>
      <c r="V145" s="26" t="s">
        <v>1277</v>
      </c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27</v>
      </c>
      <c r="I147" s="16">
        <f t="shared" si="21"/>
        <v>3</v>
      </c>
      <c r="J147" s="17">
        <f t="shared" si="22"/>
        <v>0.9</v>
      </c>
      <c r="K147" s="26"/>
      <c r="L147" s="8"/>
      <c r="M147" s="8"/>
      <c r="N147" s="8"/>
      <c r="O147" s="26"/>
      <c r="P147" s="26"/>
      <c r="Q147" s="8"/>
      <c r="R147" s="8"/>
      <c r="S147" s="8" t="s">
        <v>1277</v>
      </c>
      <c r="T147" s="26" t="s">
        <v>1277</v>
      </c>
      <c r="U147" s="26" t="s">
        <v>1277</v>
      </c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23</v>
      </c>
      <c r="I156" s="16">
        <f t="shared" si="21"/>
        <v>7</v>
      </c>
      <c r="J156" s="17">
        <f t="shared" si="22"/>
        <v>0.76666666666666672</v>
      </c>
      <c r="K156" s="26"/>
      <c r="L156" s="8"/>
      <c r="M156" s="8"/>
      <c r="N156" s="8"/>
      <c r="O156" s="26"/>
      <c r="P156" s="26"/>
      <c r="Q156" s="8"/>
      <c r="R156" s="8"/>
      <c r="S156" s="8" t="s">
        <v>1277</v>
      </c>
      <c r="T156" s="26" t="s">
        <v>1277</v>
      </c>
      <c r="U156" s="26" t="s">
        <v>1277</v>
      </c>
      <c r="V156" s="26" t="s">
        <v>1277</v>
      </c>
      <c r="W156" s="26" t="s">
        <v>1277</v>
      </c>
      <c r="X156" s="26" t="s">
        <v>1277</v>
      </c>
      <c r="Y156" s="26" t="s">
        <v>1277</v>
      </c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23</v>
      </c>
      <c r="I157" s="16">
        <f t="shared" si="21"/>
        <v>7</v>
      </c>
      <c r="J157" s="17">
        <f t="shared" si="22"/>
        <v>0.76666666666666672</v>
      </c>
      <c r="K157" s="26"/>
      <c r="L157" s="8"/>
      <c r="M157" s="8"/>
      <c r="N157" s="8"/>
      <c r="O157" s="26"/>
      <c r="P157" s="26"/>
      <c r="Q157" s="8"/>
      <c r="R157" s="8"/>
      <c r="S157" s="8" t="s">
        <v>1277</v>
      </c>
      <c r="T157" s="26" t="s">
        <v>1277</v>
      </c>
      <c r="U157" s="26" t="s">
        <v>1277</v>
      </c>
      <c r="V157" s="26" t="s">
        <v>1277</v>
      </c>
      <c r="W157" s="26" t="s">
        <v>1277</v>
      </c>
      <c r="X157" s="26" t="s">
        <v>1277</v>
      </c>
      <c r="Y157" s="26" t="s">
        <v>1277</v>
      </c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17</v>
      </c>
      <c r="I166" s="16">
        <f t="shared" si="21"/>
        <v>13</v>
      </c>
      <c r="J166" s="17">
        <f t="shared" si="22"/>
        <v>0.56666666666666665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 t="s">
        <v>1277</v>
      </c>
      <c r="R166" s="8"/>
      <c r="S166" s="8" t="s">
        <v>1277</v>
      </c>
      <c r="T166" s="26" t="s">
        <v>1277</v>
      </c>
      <c r="U166" s="26" t="s">
        <v>1277</v>
      </c>
      <c r="V166" s="26" t="s">
        <v>1277</v>
      </c>
      <c r="W166" s="26" t="s">
        <v>1277</v>
      </c>
      <c r="X166" s="26" t="s">
        <v>1277</v>
      </c>
      <c r="Y166" s="26" t="s">
        <v>1277</v>
      </c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18</v>
      </c>
      <c r="I168" s="16">
        <f t="shared" si="21"/>
        <v>12</v>
      </c>
      <c r="J168" s="17">
        <f t="shared" si="22"/>
        <v>0.6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 t="s">
        <v>1277</v>
      </c>
      <c r="R168" s="8"/>
      <c r="S168" s="8" t="s">
        <v>1277</v>
      </c>
      <c r="T168" s="26" t="s">
        <v>1277</v>
      </c>
      <c r="U168" s="26" t="s">
        <v>1277</v>
      </c>
      <c r="V168" s="26" t="s">
        <v>1277</v>
      </c>
      <c r="W168" s="26" t="s">
        <v>1277</v>
      </c>
      <c r="X168" s="26" t="s">
        <v>1277</v>
      </c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20</v>
      </c>
      <c r="I173" s="16">
        <f t="shared" si="21"/>
        <v>10</v>
      </c>
      <c r="J173" s="17">
        <f t="shared" si="22"/>
        <v>0.66666666666666663</v>
      </c>
      <c r="K173" s="26" t="s">
        <v>1277</v>
      </c>
      <c r="L173" s="8" t="s">
        <v>1277</v>
      </c>
      <c r="M173" s="8"/>
      <c r="N173" s="8"/>
      <c r="O173" s="26"/>
      <c r="P173" s="26"/>
      <c r="Q173" s="8" t="s">
        <v>1277</v>
      </c>
      <c r="R173" s="8"/>
      <c r="S173" s="8" t="s">
        <v>1277</v>
      </c>
      <c r="T173" s="26" t="s">
        <v>1277</v>
      </c>
      <c r="U173" s="26" t="s">
        <v>1277</v>
      </c>
      <c r="V173" s="26" t="s">
        <v>1277</v>
      </c>
      <c r="W173" s="26" t="s">
        <v>1277</v>
      </c>
      <c r="X173" s="26" t="s">
        <v>1277</v>
      </c>
      <c r="Y173" s="26" t="s">
        <v>1277</v>
      </c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17</v>
      </c>
      <c r="I176" s="16">
        <f t="shared" si="21"/>
        <v>13</v>
      </c>
      <c r="J176" s="17">
        <f t="shared" si="22"/>
        <v>0.56666666666666665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 t="s">
        <v>1277</v>
      </c>
      <c r="R176" s="8"/>
      <c r="S176" s="8" t="s">
        <v>1277</v>
      </c>
      <c r="T176" s="26" t="s">
        <v>1277</v>
      </c>
      <c r="U176" s="26" t="s">
        <v>1277</v>
      </c>
      <c r="V176" s="26" t="s">
        <v>1277</v>
      </c>
      <c r="W176" s="26" t="s">
        <v>1277</v>
      </c>
      <c r="X176" s="26" t="s">
        <v>1277</v>
      </c>
      <c r="Y176" s="26" t="s">
        <v>1277</v>
      </c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18</v>
      </c>
      <c r="I189" s="16">
        <f>COUNTIF(K189:AL189,"APAGADO")</f>
        <v>12</v>
      </c>
      <c r="J189" s="17">
        <f>(H189)/(I189+H189)</f>
        <v>0.6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 t="s">
        <v>1277</v>
      </c>
      <c r="R189" s="8"/>
      <c r="S189" s="8" t="s">
        <v>1277</v>
      </c>
      <c r="T189" s="26" t="s">
        <v>1277</v>
      </c>
      <c r="U189" s="26" t="s">
        <v>1277</v>
      </c>
      <c r="V189" s="26" t="s">
        <v>1277</v>
      </c>
      <c r="W189" s="26" t="s">
        <v>1277</v>
      </c>
      <c r="X189" s="26" t="s">
        <v>1277</v>
      </c>
      <c r="Y189" s="26" t="s">
        <v>1277</v>
      </c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27</v>
      </c>
      <c r="I200" s="16">
        <f t="shared" si="21"/>
        <v>3</v>
      </c>
      <c r="J200" s="17">
        <f t="shared" si="22"/>
        <v>0.9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 t="s">
        <v>1277</v>
      </c>
      <c r="T200" s="26"/>
      <c r="U200" s="26" t="s">
        <v>1277</v>
      </c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28</v>
      </c>
      <c r="I202" s="16">
        <f>COUNTIF(K202:AL202,"APAGADO")</f>
        <v>2</v>
      </c>
      <c r="J202" s="17">
        <f>(H202)/(I202+H202)</f>
        <v>0.93333333333333335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 t="s">
        <v>1277</v>
      </c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17</v>
      </c>
      <c r="I220" s="16">
        <f t="shared" si="24"/>
        <v>13</v>
      </c>
      <c r="J220" s="17">
        <f t="shared" si="25"/>
        <v>0.56666666666666665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 t="s">
        <v>1277</v>
      </c>
      <c r="R220" s="8"/>
      <c r="S220" s="8" t="s">
        <v>1277</v>
      </c>
      <c r="T220" s="26" t="s">
        <v>1277</v>
      </c>
      <c r="U220" s="26" t="s">
        <v>1277</v>
      </c>
      <c r="V220" s="26" t="s">
        <v>1277</v>
      </c>
      <c r="W220" s="26" t="s">
        <v>1277</v>
      </c>
      <c r="X220" s="26" t="s">
        <v>1277</v>
      </c>
      <c r="Y220" s="26" t="s">
        <v>1277</v>
      </c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20</v>
      </c>
      <c r="I227" s="16">
        <f t="shared" si="24"/>
        <v>10</v>
      </c>
      <c r="J227" s="17">
        <f t="shared" si="25"/>
        <v>0.66666666666666663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 t="s">
        <v>1277</v>
      </c>
      <c r="R227" s="8"/>
      <c r="S227" s="8" t="s">
        <v>1277</v>
      </c>
      <c r="T227" s="26" t="s">
        <v>1277</v>
      </c>
      <c r="U227" s="26" t="s">
        <v>1277</v>
      </c>
      <c r="V227" s="26"/>
      <c r="W227" s="26"/>
      <c r="X227" s="26"/>
      <c r="Y227" s="26" t="s">
        <v>1277</v>
      </c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29</v>
      </c>
      <c r="I230" s="16">
        <f t="shared" si="24"/>
        <v>1</v>
      </c>
      <c r="J230" s="17">
        <f t="shared" si="25"/>
        <v>0.96666666666666667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 t="s">
        <v>1277</v>
      </c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29</v>
      </c>
      <c r="I232" s="16">
        <f t="shared" si="24"/>
        <v>1</v>
      </c>
      <c r="J232" s="17">
        <f t="shared" si="25"/>
        <v>0.96666666666666667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1277</v>
      </c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20</v>
      </c>
      <c r="I269" s="16">
        <f>COUNTIF(K269:AL269,"APAGADO")</f>
        <v>10</v>
      </c>
      <c r="J269" s="17">
        <f>(H269)/(I269+H269)</f>
        <v>0.66666666666666663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 t="s">
        <v>1277</v>
      </c>
      <c r="R269" s="8"/>
      <c r="S269" s="8" t="s">
        <v>1277</v>
      </c>
      <c r="T269" s="26" t="s">
        <v>1277</v>
      </c>
      <c r="U269" s="26" t="s">
        <v>1277</v>
      </c>
      <c r="V269" s="26" t="s">
        <v>1277</v>
      </c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29</v>
      </c>
      <c r="I270" s="16">
        <f t="shared" si="24"/>
        <v>1</v>
      </c>
      <c r="J270" s="17">
        <f t="shared" si="25"/>
        <v>0.96666666666666667</v>
      </c>
      <c r="K270" s="26"/>
      <c r="L270" s="8"/>
      <c r="M270" s="8"/>
      <c r="N270" s="8"/>
      <c r="O270" s="26"/>
      <c r="P270" s="26"/>
      <c r="Q270" s="8" t="s">
        <v>1277</v>
      </c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29</v>
      </c>
      <c r="I278" s="16">
        <f t="shared" si="28"/>
        <v>1</v>
      </c>
      <c r="J278" s="17">
        <f t="shared" si="29"/>
        <v>0.96666666666666667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 t="s">
        <v>1277</v>
      </c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29</v>
      </c>
      <c r="I279" s="16">
        <f t="shared" si="28"/>
        <v>1</v>
      </c>
      <c r="J279" s="17">
        <f t="shared" si="29"/>
        <v>0.96666666666666667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 t="s">
        <v>1277</v>
      </c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29</v>
      </c>
      <c r="I284" s="16">
        <f>COUNTIF(K284:AL284,"APAGADO")</f>
        <v>1</v>
      </c>
      <c r="J284" s="17">
        <f>(H284)/(I284+H284)</f>
        <v>0.96666666666666667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 t="s">
        <v>1277</v>
      </c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28</v>
      </c>
      <c r="I286" s="16">
        <f>COUNTIF(K286:AL286,"APAGADO")</f>
        <v>2</v>
      </c>
      <c r="J286" s="17">
        <f>(H286)/(I286+H286)</f>
        <v>0.93333333333333335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 t="s">
        <v>1277</v>
      </c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26</v>
      </c>
      <c r="I287" s="16">
        <f t="shared" si="28"/>
        <v>4</v>
      </c>
      <c r="J287" s="17">
        <f t="shared" si="29"/>
        <v>0.8666666666666667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 t="s">
        <v>1277</v>
      </c>
      <c r="T287" s="26" t="s">
        <v>1277</v>
      </c>
      <c r="U287" s="26" t="s">
        <v>1277</v>
      </c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27</v>
      </c>
      <c r="I291" s="16">
        <f t="shared" si="28"/>
        <v>3</v>
      </c>
      <c r="J291" s="17">
        <f t="shared" si="29"/>
        <v>0.9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 t="s">
        <v>1277</v>
      </c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28</v>
      </c>
      <c r="I297" s="16">
        <f t="shared" si="28"/>
        <v>2</v>
      </c>
      <c r="J297" s="17">
        <f t="shared" si="29"/>
        <v>0.93333333333333335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 t="s">
        <v>1277</v>
      </c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28</v>
      </c>
      <c r="I298" s="16">
        <f t="shared" si="28"/>
        <v>2</v>
      </c>
      <c r="J298" s="17">
        <f t="shared" si="29"/>
        <v>0.93333333333333335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 t="s">
        <v>1277</v>
      </c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28</v>
      </c>
      <c r="I301" s="16">
        <f t="shared" si="31"/>
        <v>2</v>
      </c>
      <c r="J301" s="17">
        <f t="shared" si="32"/>
        <v>0.93333333333333335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 t="s">
        <v>1277</v>
      </c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19</v>
      </c>
      <c r="I307" s="16">
        <f t="shared" si="28"/>
        <v>11</v>
      </c>
      <c r="J307" s="17">
        <f t="shared" si="29"/>
        <v>0.6333333333333333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 t="s">
        <v>1277</v>
      </c>
      <c r="R307" s="8"/>
      <c r="S307" s="8" t="s">
        <v>1277</v>
      </c>
      <c r="T307" s="26" t="s">
        <v>1277</v>
      </c>
      <c r="U307" s="26" t="s">
        <v>1277</v>
      </c>
      <c r="V307" s="26" t="s">
        <v>1277</v>
      </c>
      <c r="W307" s="26" t="s">
        <v>1277</v>
      </c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19</v>
      </c>
      <c r="I308" s="16">
        <f t="shared" si="28"/>
        <v>11</v>
      </c>
      <c r="J308" s="17">
        <f t="shared" si="29"/>
        <v>0.6333333333333333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 t="s">
        <v>1277</v>
      </c>
      <c r="R308" s="8"/>
      <c r="S308" s="8" t="s">
        <v>1277</v>
      </c>
      <c r="T308" s="26" t="s">
        <v>1277</v>
      </c>
      <c r="U308" s="26" t="s">
        <v>1277</v>
      </c>
      <c r="V308" s="26" t="s">
        <v>1277</v>
      </c>
      <c r="W308" s="26" t="s">
        <v>1277</v>
      </c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19</v>
      </c>
      <c r="I309" s="16">
        <f>COUNTIF(K309:AL309,"APAGADO")</f>
        <v>11</v>
      </c>
      <c r="J309" s="17">
        <f>(H309)/(I309+H309)</f>
        <v>0.6333333333333333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 t="s">
        <v>1277</v>
      </c>
      <c r="R309" s="8"/>
      <c r="S309" s="8" t="s">
        <v>1277</v>
      </c>
      <c r="T309" s="26" t="s">
        <v>1277</v>
      </c>
      <c r="U309" s="26" t="s">
        <v>1277</v>
      </c>
      <c r="V309" s="26" t="s">
        <v>1277</v>
      </c>
      <c r="W309" s="26" t="s">
        <v>1277</v>
      </c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19</v>
      </c>
      <c r="I310" s="16">
        <f>COUNTIF(K310:AL310,"APAGADO")</f>
        <v>11</v>
      </c>
      <c r="J310" s="17">
        <f>(H310)/(I310+H310)</f>
        <v>0.6333333333333333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 t="s">
        <v>1277</v>
      </c>
      <c r="R310" s="8"/>
      <c r="S310" s="8" t="s">
        <v>1277</v>
      </c>
      <c r="T310" s="26" t="s">
        <v>1277</v>
      </c>
      <c r="U310" s="26" t="s">
        <v>1277</v>
      </c>
      <c r="V310" s="26" t="s">
        <v>1277</v>
      </c>
      <c r="W310" s="26" t="s">
        <v>1277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28</v>
      </c>
      <c r="I334" s="16">
        <f t="shared" si="28"/>
        <v>2</v>
      </c>
      <c r="J334" s="17">
        <f t="shared" si="29"/>
        <v>0.93333333333333335</v>
      </c>
      <c r="K334" s="26"/>
      <c r="L334" s="8"/>
      <c r="M334" s="8"/>
      <c r="N334" s="8"/>
      <c r="O334" s="26"/>
      <c r="P334" s="26"/>
      <c r="Q334" s="8" t="s">
        <v>1277</v>
      </c>
      <c r="R334" s="8"/>
      <c r="S334" s="8"/>
      <c r="T334" s="26" t="s">
        <v>1277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17</v>
      </c>
      <c r="I335" s="16">
        <f t="shared" si="28"/>
        <v>13</v>
      </c>
      <c r="J335" s="17">
        <f t="shared" si="29"/>
        <v>0.56666666666666665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 t="s">
        <v>1277</v>
      </c>
      <c r="R335" s="8"/>
      <c r="S335" s="8" t="s">
        <v>1277</v>
      </c>
      <c r="T335" s="26" t="s">
        <v>1277</v>
      </c>
      <c r="U335" s="26" t="s">
        <v>1277</v>
      </c>
      <c r="V335" s="26" t="s">
        <v>1277</v>
      </c>
      <c r="W335" s="26" t="s">
        <v>1277</v>
      </c>
      <c r="X335" s="26" t="s">
        <v>1277</v>
      </c>
      <c r="Y335" s="26" t="s">
        <v>1277</v>
      </c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17</v>
      </c>
      <c r="I336" s="16">
        <f t="shared" si="28"/>
        <v>13</v>
      </c>
      <c r="J336" s="17">
        <f t="shared" si="29"/>
        <v>0.56666666666666665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 t="s">
        <v>1277</v>
      </c>
      <c r="R336" s="8"/>
      <c r="S336" s="8" t="s">
        <v>1277</v>
      </c>
      <c r="T336" s="26" t="s">
        <v>1277</v>
      </c>
      <c r="U336" s="26" t="s">
        <v>1277</v>
      </c>
      <c r="V336" s="26" t="s">
        <v>1277</v>
      </c>
      <c r="W336" s="26" t="s">
        <v>1277</v>
      </c>
      <c r="X336" s="26" t="s">
        <v>1277</v>
      </c>
      <c r="Y336" s="26" t="s">
        <v>1277</v>
      </c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17</v>
      </c>
      <c r="I337" s="16">
        <f t="shared" si="28"/>
        <v>13</v>
      </c>
      <c r="J337" s="17">
        <f t="shared" si="29"/>
        <v>0.56666666666666665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 t="s">
        <v>1277</v>
      </c>
      <c r="R337" s="8"/>
      <c r="S337" s="8" t="s">
        <v>1277</v>
      </c>
      <c r="T337" s="26" t="s">
        <v>1277</v>
      </c>
      <c r="U337" s="26" t="s">
        <v>1277</v>
      </c>
      <c r="V337" s="26" t="s">
        <v>1277</v>
      </c>
      <c r="W337" s="26" t="s">
        <v>1277</v>
      </c>
      <c r="X337" s="26" t="s">
        <v>1277</v>
      </c>
      <c r="Y337" s="26" t="s">
        <v>1277</v>
      </c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17</v>
      </c>
      <c r="I338" s="16">
        <f t="shared" si="28"/>
        <v>13</v>
      </c>
      <c r="J338" s="17">
        <f t="shared" si="29"/>
        <v>0.56666666666666665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 t="s">
        <v>1277</v>
      </c>
      <c r="R338" s="8"/>
      <c r="S338" s="8" t="s">
        <v>1277</v>
      </c>
      <c r="T338" s="26" t="s">
        <v>1277</v>
      </c>
      <c r="U338" s="26" t="s">
        <v>1277</v>
      </c>
      <c r="V338" s="26" t="s">
        <v>1277</v>
      </c>
      <c r="W338" s="26" t="s">
        <v>1277</v>
      </c>
      <c r="X338" s="26" t="s">
        <v>1277</v>
      </c>
      <c r="Y338" s="26" t="s">
        <v>1277</v>
      </c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17</v>
      </c>
      <c r="I339" s="16">
        <f t="shared" si="28"/>
        <v>13</v>
      </c>
      <c r="J339" s="17">
        <f t="shared" si="29"/>
        <v>0.56666666666666665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 t="s">
        <v>1277</v>
      </c>
      <c r="R339" s="8"/>
      <c r="S339" s="8" t="s">
        <v>1277</v>
      </c>
      <c r="T339" s="26" t="s">
        <v>1277</v>
      </c>
      <c r="U339" s="26" t="s">
        <v>1277</v>
      </c>
      <c r="V339" s="26" t="s">
        <v>1277</v>
      </c>
      <c r="W339" s="26" t="s">
        <v>1277</v>
      </c>
      <c r="X339" s="26" t="s">
        <v>1277</v>
      </c>
      <c r="Y339" s="26" t="s">
        <v>1277</v>
      </c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17</v>
      </c>
      <c r="I340" s="16">
        <f t="shared" si="28"/>
        <v>13</v>
      </c>
      <c r="J340" s="17">
        <f t="shared" si="29"/>
        <v>0.56666666666666665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 t="s">
        <v>1277</v>
      </c>
      <c r="R340" s="8"/>
      <c r="S340" s="8" t="s">
        <v>1277</v>
      </c>
      <c r="T340" s="26" t="s">
        <v>1277</v>
      </c>
      <c r="U340" s="26" t="s">
        <v>1277</v>
      </c>
      <c r="V340" s="26" t="s">
        <v>1277</v>
      </c>
      <c r="W340" s="26" t="s">
        <v>1277</v>
      </c>
      <c r="X340" s="26" t="s">
        <v>1277</v>
      </c>
      <c r="Y340" s="26" t="s">
        <v>1277</v>
      </c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17</v>
      </c>
      <c r="I341" s="16">
        <f t="shared" si="28"/>
        <v>13</v>
      </c>
      <c r="J341" s="17">
        <f t="shared" si="29"/>
        <v>0.56666666666666665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 t="s">
        <v>1277</v>
      </c>
      <c r="R341" s="8"/>
      <c r="S341" s="8" t="s">
        <v>1277</v>
      </c>
      <c r="T341" s="26" t="s">
        <v>1277</v>
      </c>
      <c r="U341" s="26" t="s">
        <v>1277</v>
      </c>
      <c r="V341" s="26" t="s">
        <v>1277</v>
      </c>
      <c r="W341" s="26" t="s">
        <v>1277</v>
      </c>
      <c r="X341" s="26" t="s">
        <v>1277</v>
      </c>
      <c r="Y341" s="26" t="s">
        <v>1277</v>
      </c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28</v>
      </c>
      <c r="I357" s="16">
        <f t="shared" si="37"/>
        <v>2</v>
      </c>
      <c r="J357" s="17">
        <f t="shared" si="38"/>
        <v>0.93333333333333335</v>
      </c>
      <c r="K357" s="26"/>
      <c r="L357" s="8"/>
      <c r="M357" s="8" t="s">
        <v>1277</v>
      </c>
      <c r="N357" s="8"/>
      <c r="O357" s="26"/>
      <c r="P357" s="26"/>
      <c r="Q357" s="8" t="s">
        <v>1277</v>
      </c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28</v>
      </c>
      <c r="I362" s="16">
        <f t="shared" si="37"/>
        <v>2</v>
      </c>
      <c r="J362" s="17">
        <f t="shared" si="38"/>
        <v>0.93333333333333335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 t="s">
        <v>1277</v>
      </c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26</v>
      </c>
      <c r="I366" s="16">
        <f t="shared" si="37"/>
        <v>4</v>
      </c>
      <c r="J366" s="17">
        <f t="shared" si="38"/>
        <v>0.8666666666666667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 t="s">
        <v>1277</v>
      </c>
      <c r="T366" s="26" t="s">
        <v>1277</v>
      </c>
      <c r="U366" s="26" t="s">
        <v>1277</v>
      </c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19</v>
      </c>
      <c r="I367" s="16">
        <f t="shared" si="37"/>
        <v>11</v>
      </c>
      <c r="J367" s="17">
        <f t="shared" si="38"/>
        <v>0.6333333333333333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 t="s">
        <v>1277</v>
      </c>
      <c r="T367" s="26" t="s">
        <v>1277</v>
      </c>
      <c r="U367" s="26" t="s">
        <v>1277</v>
      </c>
      <c r="V367" s="26" t="s">
        <v>1277</v>
      </c>
      <c r="W367" s="26" t="s">
        <v>1277</v>
      </c>
      <c r="X367" s="26" t="s">
        <v>1277</v>
      </c>
      <c r="Y367" s="26" t="s">
        <v>1277</v>
      </c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29</v>
      </c>
      <c r="I368" s="16">
        <f t="shared" si="37"/>
        <v>1</v>
      </c>
      <c r="J368" s="17">
        <f t="shared" si="38"/>
        <v>0.96666666666666667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 t="s">
        <v>1277</v>
      </c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27</v>
      </c>
      <c r="I369" s="16">
        <f>COUNTIF(K369:AL369,"APAGADO")</f>
        <v>3</v>
      </c>
      <c r="J369" s="17">
        <f>(H369)/(I369+H369)</f>
        <v>0.9</v>
      </c>
      <c r="K369" s="26"/>
      <c r="L369" s="8"/>
      <c r="M369" s="8"/>
      <c r="N369" s="8"/>
      <c r="O369" s="26"/>
      <c r="P369" s="26"/>
      <c r="Q369" s="8"/>
      <c r="R369" s="8"/>
      <c r="S369" s="8" t="s">
        <v>1277</v>
      </c>
      <c r="T369" s="26" t="s">
        <v>1277</v>
      </c>
      <c r="U369" s="26" t="s">
        <v>1277</v>
      </c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28</v>
      </c>
      <c r="I378" s="16">
        <f t="shared" si="37"/>
        <v>2</v>
      </c>
      <c r="J378" s="17">
        <f t="shared" si="38"/>
        <v>0.93333333333333335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 t="s">
        <v>1277</v>
      </c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28</v>
      </c>
      <c r="I379" s="16">
        <f t="shared" si="37"/>
        <v>2</v>
      </c>
      <c r="J379" s="17">
        <f t="shared" si="38"/>
        <v>0.93333333333333335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 t="s">
        <v>1277</v>
      </c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27</v>
      </c>
      <c r="I380" s="52">
        <f t="shared" si="37"/>
        <v>3</v>
      </c>
      <c r="J380" s="53">
        <f t="shared" si="38"/>
        <v>0.9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 t="s">
        <v>1277</v>
      </c>
      <c r="U380" s="26" t="s">
        <v>1277</v>
      </c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27</v>
      </c>
      <c r="I381" s="52">
        <f t="shared" si="37"/>
        <v>3</v>
      </c>
      <c r="J381" s="53">
        <f t="shared" si="38"/>
        <v>0.9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 t="s">
        <v>1277</v>
      </c>
      <c r="U381" s="26" t="s">
        <v>1277</v>
      </c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29</v>
      </c>
      <c r="I386" s="16">
        <f t="shared" si="37"/>
        <v>1</v>
      </c>
      <c r="J386" s="17">
        <f t="shared" si="38"/>
        <v>0.96666666666666667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 t="s">
        <v>1277</v>
      </c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29</v>
      </c>
      <c r="I387" s="16">
        <f t="shared" si="37"/>
        <v>1</v>
      </c>
      <c r="J387" s="17">
        <f t="shared" si="38"/>
        <v>0.96666666666666667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 t="s">
        <v>1277</v>
      </c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29</v>
      </c>
      <c r="I388" s="16">
        <f>COUNTIF(K388:AL388,"APAGADO")</f>
        <v>1</v>
      </c>
      <c r="J388" s="17">
        <f>(H388)/(I388+H388)</f>
        <v>0.96666666666666667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 t="s">
        <v>1277</v>
      </c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29</v>
      </c>
      <c r="I389" s="16">
        <f t="shared" si="37"/>
        <v>1</v>
      </c>
      <c r="J389" s="17">
        <f t="shared" si="38"/>
        <v>0.96666666666666667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 t="s">
        <v>1277</v>
      </c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18</v>
      </c>
      <c r="I390" s="16">
        <f t="shared" si="37"/>
        <v>12</v>
      </c>
      <c r="J390" s="17">
        <f t="shared" si="38"/>
        <v>0.6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 t="s">
        <v>1277</v>
      </c>
      <c r="T390" s="26" t="s">
        <v>1277</v>
      </c>
      <c r="U390" s="26" t="s">
        <v>1277</v>
      </c>
      <c r="V390" s="26" t="s">
        <v>1277</v>
      </c>
      <c r="W390" s="26" t="s">
        <v>1277</v>
      </c>
      <c r="X390" s="26" t="s">
        <v>1277</v>
      </c>
      <c r="Y390" s="26" t="s">
        <v>1277</v>
      </c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29</v>
      </c>
      <c r="I391" s="16">
        <f t="shared" si="37"/>
        <v>1</v>
      </c>
      <c r="J391" s="17">
        <f t="shared" si="38"/>
        <v>0.96666666666666667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 t="s">
        <v>1277</v>
      </c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29</v>
      </c>
      <c r="I392" s="16">
        <f t="shared" si="37"/>
        <v>1</v>
      </c>
      <c r="J392" s="17">
        <f t="shared" si="38"/>
        <v>0.96666666666666667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 t="s">
        <v>1277</v>
      </c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17</v>
      </c>
      <c r="I393" s="16">
        <f t="shared" si="37"/>
        <v>13</v>
      </c>
      <c r="J393" s="17">
        <f t="shared" si="38"/>
        <v>0.56666666666666665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 t="s">
        <v>1277</v>
      </c>
      <c r="R393" s="8"/>
      <c r="S393" s="8" t="s">
        <v>1277</v>
      </c>
      <c r="T393" s="26" t="s">
        <v>1277</v>
      </c>
      <c r="U393" s="26" t="s">
        <v>1277</v>
      </c>
      <c r="V393" s="26" t="s">
        <v>1277</v>
      </c>
      <c r="W393" s="26" t="s">
        <v>1277</v>
      </c>
      <c r="X393" s="26" t="s">
        <v>1277</v>
      </c>
      <c r="Y393" s="26" t="s">
        <v>1277</v>
      </c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29</v>
      </c>
      <c r="I394" s="16">
        <f t="shared" si="37"/>
        <v>1</v>
      </c>
      <c r="J394" s="17">
        <f t="shared" si="38"/>
        <v>0.96666666666666667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 t="s">
        <v>1277</v>
      </c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28</v>
      </c>
      <c r="I397" s="52">
        <f t="shared" ref="I397:I403" si="42">COUNTIF(K397:AL397,"APAGADO")</f>
        <v>2</v>
      </c>
      <c r="J397" s="53">
        <f t="shared" ref="J397:J403" si="43">(H397)/(I397+H397)</f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 t="s">
        <v>1277</v>
      </c>
      <c r="X397" s="26" t="s">
        <v>1277</v>
      </c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28</v>
      </c>
      <c r="I398" s="52">
        <f t="shared" si="42"/>
        <v>2</v>
      </c>
      <c r="J398" s="53">
        <f t="shared" si="43"/>
        <v>0.93333333333333335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 t="s">
        <v>1277</v>
      </c>
      <c r="X398" s="26" t="s">
        <v>1277</v>
      </c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28</v>
      </c>
      <c r="I415" s="52">
        <f t="shared" si="45"/>
        <v>2</v>
      </c>
      <c r="J415" s="53">
        <f t="shared" si="46"/>
        <v>0.93333333333333335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 t="s">
        <v>1277</v>
      </c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28</v>
      </c>
      <c r="I419" s="52">
        <f t="shared" si="45"/>
        <v>2</v>
      </c>
      <c r="J419" s="53">
        <f t="shared" si="46"/>
        <v>0.93333333333333335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 t="s">
        <v>1277</v>
      </c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28</v>
      </c>
      <c r="I420" s="52">
        <f t="shared" si="45"/>
        <v>2</v>
      </c>
      <c r="J420" s="53">
        <f t="shared" si="46"/>
        <v>0.93333333333333335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 t="s">
        <v>1277</v>
      </c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29</v>
      </c>
      <c r="I421" s="52">
        <f t="shared" si="45"/>
        <v>1</v>
      </c>
      <c r="J421" s="53">
        <f t="shared" si="46"/>
        <v>0.96666666666666667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 t="s">
        <v>1277</v>
      </c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29</v>
      </c>
      <c r="I422" s="52">
        <f>COUNTIF(K422:AL422,"APAGADO")</f>
        <v>1</v>
      </c>
      <c r="J422" s="53">
        <f>(H422)/(I422+H422)</f>
        <v>0.96666666666666667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 t="s">
        <v>1277</v>
      </c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31" xr:uid="{00000000-0009-0000-0000-00000000000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 t="str">
        <f>'RESUMEN TOTAL'!Q9</f>
        <v>APAGADO</v>
      </c>
      <c r="M6" s="29">
        <f>'RESUMEN TOTAL'!R9</f>
        <v>0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 t="str">
        <f>'RESUMEN TOTAL'!Q14</f>
        <v>APAGADO</v>
      </c>
      <c r="M11" s="29">
        <f>'RESUMEN TOTAL'!R14</f>
        <v>0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 t="str">
        <f>'RESUMEN TOTAL'!Q16</f>
        <v>APAGADO</v>
      </c>
      <c r="M13" s="29">
        <f>'RESUMEN TOTAL'!R16</f>
        <v>0</v>
      </c>
      <c r="N13" s="29">
        <f>'RESUMEN TOTAL'!S16</f>
        <v>0</v>
      </c>
      <c r="O13" s="29" t="str">
        <f>'RESUMEN TOTAL'!T16</f>
        <v>APAGADO</v>
      </c>
      <c r="P13" s="29" t="str">
        <f>'RESUMEN TOTAL'!U16</f>
        <v>APAGADO</v>
      </c>
      <c r="Q13" s="29" t="str">
        <f>'RESUMEN TOTAL'!V16</f>
        <v>APAGADO</v>
      </c>
      <c r="R13" s="29" t="str">
        <f>'RESUMEN TOTAL'!W16</f>
        <v>APAGADO</v>
      </c>
      <c r="S13" s="29" t="str">
        <f>'RESUMEN TOTAL'!X16</f>
        <v>APAGADO</v>
      </c>
      <c r="T13" s="29" t="str">
        <f>'RESUMEN TOTAL'!Y16</f>
        <v>APAGADO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 t="str">
        <f>'RESUMEN TOTAL'!W28</f>
        <v>APAGADO</v>
      </c>
      <c r="S25" s="29" t="str">
        <f>'RESUMEN TOTAL'!X28</f>
        <v>APAGADO</v>
      </c>
      <c r="T25" s="29" t="str">
        <f>'RESUMEN TOTAL'!Y28</f>
        <v>APAGADO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 t="str">
        <f>'RESUMEN TOTAL'!Q29</f>
        <v>APAGADO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 t="str">
        <f>'RESUMEN TOTAL'!S31</f>
        <v>APAGADO</v>
      </c>
      <c r="O28" s="29" t="str">
        <f>'RESUMEN TOTAL'!T31</f>
        <v>APAGADO</v>
      </c>
      <c r="P28" s="29" t="str">
        <f>'RESUMEN TOTAL'!U31</f>
        <v>APAGADO</v>
      </c>
      <c r="Q28" s="29" t="str">
        <f>'RESUMEN TOTAL'!V31</f>
        <v>APAGADO</v>
      </c>
      <c r="R28" s="29" t="str">
        <f>'RESUMEN TOTAL'!W31</f>
        <v>APAGADO</v>
      </c>
      <c r="S28" s="29" t="str">
        <f>'RESUMEN TOTAL'!X31</f>
        <v>APAGADO</v>
      </c>
      <c r="T28" s="29" t="str">
        <f>'RESUMEN TOTAL'!Y31</f>
        <v>APAGADO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 t="str">
        <f>'RESUMEN TOTAL'!Q34</f>
        <v>APAGADO</v>
      </c>
      <c r="M31" s="29">
        <f>'RESUMEN TOTAL'!R34</f>
        <v>0</v>
      </c>
      <c r="N31" s="29" t="str">
        <f>'RESUMEN TOTAL'!S34</f>
        <v>APAGADO</v>
      </c>
      <c r="O31" s="29" t="str">
        <f>'RESUMEN TOTAL'!T34</f>
        <v>APAGADO</v>
      </c>
      <c r="P31" s="29" t="str">
        <f>'RESUMEN TOTAL'!U34</f>
        <v>APAGADO</v>
      </c>
      <c r="Q31" s="29" t="str">
        <f>'RESUMEN TOTAL'!V34</f>
        <v>APAGADO</v>
      </c>
      <c r="R31" s="29" t="str">
        <f>'RESUMEN TOTAL'!W34</f>
        <v>APAGADO</v>
      </c>
      <c r="S31" s="29" t="str">
        <f>'RESUMEN TOTAL'!X34</f>
        <v>APAGADO</v>
      </c>
      <c r="T31" s="29" t="str">
        <f>'RESUMEN TOTAL'!Y34</f>
        <v>APAGADO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 t="str">
        <f>'RESUMEN TOTAL'!Q42</f>
        <v>APAGADO</v>
      </c>
      <c r="M39" s="29">
        <f>'RESUMEN TOTAL'!R42</f>
        <v>0</v>
      </c>
      <c r="N39" s="29" t="str">
        <f>'RESUMEN TOTAL'!S42</f>
        <v>APAGADO</v>
      </c>
      <c r="O39" s="29" t="str">
        <f>'RESUMEN TOTAL'!T42</f>
        <v>APAGADO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 t="str">
        <f>'RESUMEN TOTAL'!Q50</f>
        <v>APAGADO</v>
      </c>
      <c r="M47" s="29">
        <f>'RESUMEN TOTAL'!R50</f>
        <v>0</v>
      </c>
      <c r="N47" s="29" t="str">
        <f>'RESUMEN TOTAL'!S50</f>
        <v>APAGADO</v>
      </c>
      <c r="O47" s="29" t="str">
        <f>'RESUMEN TOTAL'!T50</f>
        <v>APAGADO</v>
      </c>
      <c r="P47" s="29" t="str">
        <f>'RESUMEN TOTAL'!U50</f>
        <v>APAGADO</v>
      </c>
      <c r="Q47" s="29" t="str">
        <f>'RESUMEN TOTAL'!V50</f>
        <v>APAGADO</v>
      </c>
      <c r="R47" s="29" t="str">
        <f>'RESUMEN TOTAL'!W50</f>
        <v>APAGADO</v>
      </c>
      <c r="S47" s="29" t="str">
        <f>'RESUMEN TOTAL'!X50</f>
        <v>APAGADO</v>
      </c>
      <c r="T47" s="29" t="str">
        <f>'RESUMEN TOTAL'!Y50</f>
        <v>APAGADO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 t="str">
        <f>'RESUMEN TOTAL'!S60</f>
        <v>APAGADO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 t="str">
        <f>'RESUMEN TOTAL'!Q63</f>
        <v>APAGADO</v>
      </c>
      <c r="M60" s="29">
        <f>'RESUMEN TOTAL'!R63</f>
        <v>0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 t="str">
        <f>'RESUMEN TOTAL'!W69</f>
        <v>APAGADO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 t="str">
        <f>'RESUMEN TOTAL'!W70</f>
        <v>APAGADO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 t="str">
        <f>'RESUMEN TOTAL'!V71</f>
        <v>APAGADO</v>
      </c>
      <c r="R68" s="29" t="str">
        <f>'RESUMEN TOTAL'!W71</f>
        <v>APAGADO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 t="str">
        <f>'RESUMEN TOTAL'!Q88</f>
        <v>APAGADO</v>
      </c>
      <c r="M85" s="29">
        <f>'RESUMEN TOTAL'!R88</f>
        <v>0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 t="str">
        <f>'RESUMEN TOTAL'!Q95</f>
        <v>APAGADO</v>
      </c>
      <c r="M92" s="29">
        <f>'RESUMEN TOTAL'!R95</f>
        <v>0</v>
      </c>
      <c r="N92" s="29" t="str">
        <f>'RESUMEN TOTAL'!S95</f>
        <v>APAGADO</v>
      </c>
      <c r="O92" s="29" t="str">
        <f>'RESUMEN TOTAL'!T95</f>
        <v>APAGADO</v>
      </c>
      <c r="P92" s="29" t="str">
        <f>'RESUMEN TOTAL'!U95</f>
        <v>APAGADO</v>
      </c>
      <c r="Q92" s="29" t="str">
        <f>'RESUMEN TOTAL'!V95</f>
        <v>APAGADO</v>
      </c>
      <c r="R92" s="29" t="str">
        <f>'RESUMEN TOTAL'!W95</f>
        <v>APAGADO</v>
      </c>
      <c r="S92" s="29" t="str">
        <f>'RESUMEN TOTAL'!X95</f>
        <v>APAGADO</v>
      </c>
      <c r="T92" s="29" t="str">
        <f>'RESUMEN TOTAL'!Y95</f>
        <v>APAGADO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 t="str">
        <f>'RESUMEN TOTAL'!Q96</f>
        <v>APAGADO</v>
      </c>
      <c r="M93" s="29">
        <f>'RESUMEN TOTAL'!R96</f>
        <v>0</v>
      </c>
      <c r="N93" s="29" t="str">
        <f>'RESUMEN TOTAL'!S96</f>
        <v>APAGADO</v>
      </c>
      <c r="O93" s="29" t="str">
        <f>'RESUMEN TOTAL'!T96</f>
        <v>APAGADO</v>
      </c>
      <c r="P93" s="29" t="str">
        <f>'RESUMEN TOTAL'!U96</f>
        <v>APAGADO</v>
      </c>
      <c r="Q93" s="29" t="str">
        <f>'RESUMEN TOTAL'!V96</f>
        <v>APAGADO</v>
      </c>
      <c r="R93" s="29" t="str">
        <f>'RESUMEN TOTAL'!W96</f>
        <v>APAGADO</v>
      </c>
      <c r="S93" s="29" t="str">
        <f>'RESUMEN TOTAL'!X96</f>
        <v>APAGADO</v>
      </c>
      <c r="T93" s="29" t="str">
        <f>'RESUMEN TOTAL'!Y96</f>
        <v>APAGADO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 t="str">
        <f>'RESUMEN TOTAL'!Q100</f>
        <v>APAGADO</v>
      </c>
      <c r="M97" s="29">
        <f>'RESUMEN TOTAL'!R100</f>
        <v>0</v>
      </c>
      <c r="N97" s="29" t="str">
        <f>'RESUMEN TOTAL'!S100</f>
        <v>APAGADO</v>
      </c>
      <c r="O97" s="29" t="str">
        <f>'RESUMEN TOTAL'!T100</f>
        <v>APAGADO</v>
      </c>
      <c r="P97" s="29" t="str">
        <f>'RESUMEN TOTAL'!U100</f>
        <v>APAGADO</v>
      </c>
      <c r="Q97" s="29" t="str">
        <f>'RESUMEN TOTAL'!V100</f>
        <v>APAGADO</v>
      </c>
      <c r="R97" s="29" t="str">
        <f>'RESUMEN TOTAL'!W100</f>
        <v>APAGADO</v>
      </c>
      <c r="S97" s="29" t="str">
        <f>'RESUMEN TOTAL'!X100</f>
        <v>APAGADO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 t="str">
        <f>'RESUMEN TOTAL'!Y116</f>
        <v>APAGADO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 t="str">
        <f>'RESUMEN TOTAL'!U145</f>
        <v>APAGADO</v>
      </c>
      <c r="Q138" s="29" t="str">
        <f>'RESUMEN TOTAL'!V145</f>
        <v>APAGADO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 t="str">
        <f>'RESUMEN TOTAL'!S147</f>
        <v>APAGADO</v>
      </c>
      <c r="O140" s="29" t="str">
        <f>'RESUMEN TOTAL'!T147</f>
        <v>APAGADO</v>
      </c>
      <c r="P140" s="29" t="str">
        <f>'RESUMEN TOTAL'!U147</f>
        <v>APAGADO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 t="str">
        <f>'RESUMEN TOTAL'!S156</f>
        <v>APAGADO</v>
      </c>
      <c r="O149" s="29" t="str">
        <f>'RESUMEN TOTAL'!T156</f>
        <v>APAGADO</v>
      </c>
      <c r="P149" s="29" t="str">
        <f>'RESUMEN TOTAL'!U156</f>
        <v>APAGADO</v>
      </c>
      <c r="Q149" s="29" t="str">
        <f>'RESUMEN TOTAL'!V156</f>
        <v>APAGADO</v>
      </c>
      <c r="R149" s="29" t="str">
        <f>'RESUMEN TOTAL'!W156</f>
        <v>APAGADO</v>
      </c>
      <c r="S149" s="29" t="str">
        <f>'RESUMEN TOTAL'!X156</f>
        <v>APAGADO</v>
      </c>
      <c r="T149" s="29" t="str">
        <f>'RESUMEN TOTAL'!Y156</f>
        <v>APAGADO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 t="str">
        <f>'RESUMEN TOTAL'!S157</f>
        <v>APAGADO</v>
      </c>
      <c r="O150" s="29" t="str">
        <f>'RESUMEN TOTAL'!T157</f>
        <v>APAGADO</v>
      </c>
      <c r="P150" s="29" t="str">
        <f>'RESUMEN TOTAL'!U157</f>
        <v>APAGADO</v>
      </c>
      <c r="Q150" s="29" t="str">
        <f>'RESUMEN TOTAL'!V157</f>
        <v>APAGADO</v>
      </c>
      <c r="R150" s="29" t="str">
        <f>'RESUMEN TOTAL'!W157</f>
        <v>APAGADO</v>
      </c>
      <c r="S150" s="29" t="str">
        <f>'RESUMEN TOTAL'!X157</f>
        <v>APAGADO</v>
      </c>
      <c r="T150" s="29" t="str">
        <f>'RESUMEN TOTAL'!Y157</f>
        <v>APAGADO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 t="str">
        <f>'RESUMEN TOTAL'!Q166</f>
        <v>APAGADO</v>
      </c>
      <c r="M159" s="29">
        <f>'RESUMEN TOTAL'!R166</f>
        <v>0</v>
      </c>
      <c r="N159" s="29" t="str">
        <f>'RESUMEN TOTAL'!S166</f>
        <v>APAGADO</v>
      </c>
      <c r="O159" s="29" t="str">
        <f>'RESUMEN TOTAL'!T166</f>
        <v>APAGADO</v>
      </c>
      <c r="P159" s="29" t="str">
        <f>'RESUMEN TOTAL'!U166</f>
        <v>APAGADO</v>
      </c>
      <c r="Q159" s="29" t="str">
        <f>'RESUMEN TOTAL'!V166</f>
        <v>APAGADO</v>
      </c>
      <c r="R159" s="29" t="str">
        <f>'RESUMEN TOTAL'!W166</f>
        <v>APAGADO</v>
      </c>
      <c r="S159" s="29" t="str">
        <f>'RESUMEN TOTAL'!X166</f>
        <v>APAGADO</v>
      </c>
      <c r="T159" s="29" t="str">
        <f>'RESUMEN TOTAL'!Y166</f>
        <v>APAGADO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 t="str">
        <f>'RESUMEN TOTAL'!Q168</f>
        <v>APAGADO</v>
      </c>
      <c r="M161" s="29">
        <f>'RESUMEN TOTAL'!R168</f>
        <v>0</v>
      </c>
      <c r="N161" s="29" t="str">
        <f>'RESUMEN TOTAL'!S168</f>
        <v>APAGADO</v>
      </c>
      <c r="O161" s="29" t="str">
        <f>'RESUMEN TOTAL'!T168</f>
        <v>APAGADO</v>
      </c>
      <c r="P161" s="29" t="str">
        <f>'RESUMEN TOTAL'!U168</f>
        <v>APAGADO</v>
      </c>
      <c r="Q161" s="29" t="str">
        <f>'RESUMEN TOTAL'!V168</f>
        <v>APAGADO</v>
      </c>
      <c r="R161" s="29" t="str">
        <f>'RESUMEN TOTAL'!W168</f>
        <v>APAGADO</v>
      </c>
      <c r="S161" s="29" t="str">
        <f>'RESUMEN TOTAL'!X168</f>
        <v>APAGADO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 t="str">
        <f>'RESUMEN TOTAL'!Q173</f>
        <v>APAGADO</v>
      </c>
      <c r="M166" s="29">
        <f>'RESUMEN TOTAL'!R173</f>
        <v>0</v>
      </c>
      <c r="N166" s="29" t="str">
        <f>'RESUMEN TOTAL'!S173</f>
        <v>APAGADO</v>
      </c>
      <c r="O166" s="29" t="str">
        <f>'RESUMEN TOTAL'!T173</f>
        <v>APAGADO</v>
      </c>
      <c r="P166" s="29" t="str">
        <f>'RESUMEN TOTAL'!U173</f>
        <v>APAGADO</v>
      </c>
      <c r="Q166" s="29" t="str">
        <f>'RESUMEN TOTAL'!V173</f>
        <v>APAGADO</v>
      </c>
      <c r="R166" s="29" t="str">
        <f>'RESUMEN TOTAL'!W173</f>
        <v>APAGADO</v>
      </c>
      <c r="S166" s="29" t="str">
        <f>'RESUMEN TOTAL'!X173</f>
        <v>APAGADO</v>
      </c>
      <c r="T166" s="29" t="str">
        <f>'RESUMEN TOTAL'!Y173</f>
        <v>APAGADO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 t="str">
        <f>'RESUMEN TOTAL'!Q176</f>
        <v>APAGADO</v>
      </c>
      <c r="M169" s="29">
        <f>'RESUMEN TOTAL'!R176</f>
        <v>0</v>
      </c>
      <c r="N169" s="29" t="str">
        <f>'RESUMEN TOTAL'!S176</f>
        <v>APAGADO</v>
      </c>
      <c r="O169" s="29" t="str">
        <f>'RESUMEN TOTAL'!T176</f>
        <v>APAGADO</v>
      </c>
      <c r="P169" s="29" t="str">
        <f>'RESUMEN TOTAL'!U176</f>
        <v>APAGADO</v>
      </c>
      <c r="Q169" s="29" t="str">
        <f>'RESUMEN TOTAL'!V176</f>
        <v>APAGADO</v>
      </c>
      <c r="R169" s="29" t="str">
        <f>'RESUMEN TOTAL'!W176</f>
        <v>APAGADO</v>
      </c>
      <c r="S169" s="29" t="str">
        <f>'RESUMEN TOTAL'!X176</f>
        <v>APAGADO</v>
      </c>
      <c r="T169" s="29" t="str">
        <f>'RESUMEN TOTAL'!Y176</f>
        <v>APAGADO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 t="str">
        <f>'RESUMEN TOTAL'!Q189</f>
        <v>APAGADO</v>
      </c>
      <c r="M182" s="29">
        <f>'RESUMEN TOTAL'!R189</f>
        <v>0</v>
      </c>
      <c r="N182" s="29" t="str">
        <f>'RESUMEN TOTAL'!S189</f>
        <v>APAGADO</v>
      </c>
      <c r="O182" s="29" t="str">
        <f>'RESUMEN TOTAL'!T189</f>
        <v>APAGADO</v>
      </c>
      <c r="P182" s="29" t="str">
        <f>'RESUMEN TOTAL'!U189</f>
        <v>APAGADO</v>
      </c>
      <c r="Q182" s="29" t="str">
        <f>'RESUMEN TOTAL'!V189</f>
        <v>APAGADO</v>
      </c>
      <c r="R182" s="29" t="str">
        <f>'RESUMEN TOTAL'!W189</f>
        <v>APAGADO</v>
      </c>
      <c r="S182" s="29" t="str">
        <f>'RESUMEN TOTAL'!X189</f>
        <v>APAGADO</v>
      </c>
      <c r="T182" s="29" t="str">
        <f>'RESUMEN TOTAL'!Y189</f>
        <v>APAGADO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 t="str">
        <f>'RESUMEN TOTAL'!S200</f>
        <v>APAGADO</v>
      </c>
      <c r="O193" s="29">
        <f>'RESUMEN TOTAL'!T200</f>
        <v>0</v>
      </c>
      <c r="P193" s="29" t="str">
        <f>'RESUMEN TOTAL'!U200</f>
        <v>APAGADO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 t="str">
        <f>'RESUMEN TOTAL'!W202</f>
        <v>APAGADO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 t="str">
        <f>'RESUMEN TOTAL'!Q220</f>
        <v>APAGADO</v>
      </c>
      <c r="M213" s="29">
        <f>'RESUMEN TOTAL'!R220</f>
        <v>0</v>
      </c>
      <c r="N213" s="29" t="str">
        <f>'RESUMEN TOTAL'!S220</f>
        <v>APAGADO</v>
      </c>
      <c r="O213" s="29" t="str">
        <f>'RESUMEN TOTAL'!T220</f>
        <v>APAGADO</v>
      </c>
      <c r="P213" s="29" t="str">
        <f>'RESUMEN TOTAL'!U220</f>
        <v>APAGADO</v>
      </c>
      <c r="Q213" s="29" t="str">
        <f>'RESUMEN TOTAL'!V220</f>
        <v>APAGADO</v>
      </c>
      <c r="R213" s="29" t="str">
        <f>'RESUMEN TOTAL'!W220</f>
        <v>APAGADO</v>
      </c>
      <c r="S213" s="29" t="str">
        <f>'RESUMEN TOTAL'!X220</f>
        <v>APAGADO</v>
      </c>
      <c r="T213" s="29" t="str">
        <f>'RESUMEN TOTAL'!Y220</f>
        <v>APAGADO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 t="str">
        <f>'RESUMEN TOTAL'!Q227</f>
        <v>APAGADO</v>
      </c>
      <c r="M220" s="29">
        <f>'RESUMEN TOTAL'!R227</f>
        <v>0</v>
      </c>
      <c r="N220" s="29" t="str">
        <f>'RESUMEN TOTAL'!S227</f>
        <v>APAGADO</v>
      </c>
      <c r="O220" s="29" t="str">
        <f>'RESUMEN TOTAL'!T227</f>
        <v>APAGADO</v>
      </c>
      <c r="P220" s="29" t="str">
        <f>'RESUMEN TOTAL'!U227</f>
        <v>APAGADO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 t="str">
        <f>'RESUMEN TOTAL'!Y227</f>
        <v>APAGADO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 t="str">
        <f>'RESUMEN TOTAL'!W230</f>
        <v>APAGADO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 t="str">
        <f>'RESUMEN TOTAL'!U232</f>
        <v>APAGADO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 t="str">
        <f>'RESUMEN TOTAL'!Q269</f>
        <v>APAGADO</v>
      </c>
      <c r="M260" s="29">
        <f>'RESUMEN TOTAL'!R269</f>
        <v>0</v>
      </c>
      <c r="N260" s="29" t="str">
        <f>'RESUMEN TOTAL'!S269</f>
        <v>APAGADO</v>
      </c>
      <c r="O260" s="29" t="str">
        <f>'RESUMEN TOTAL'!T269</f>
        <v>APAGADO</v>
      </c>
      <c r="P260" s="29" t="str">
        <f>'RESUMEN TOTAL'!U269</f>
        <v>APAGADO</v>
      </c>
      <c r="Q260" s="29" t="str">
        <f>'RESUMEN TOTAL'!V269</f>
        <v>APAGADO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 t="str">
        <f>'RESUMEN TOTAL'!Q270</f>
        <v>APAGADO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 t="str">
        <f>'RESUMEN TOTAL'!W278</f>
        <v>APAGADO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 t="str">
        <f>'RESUMEN TOTAL'!W279</f>
        <v>APAGADO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 t="str">
        <f>'RESUMEN TOTAL'!W284</f>
        <v>APAGADO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 t="str">
        <f>'RESUMEN TOTAL'!W286</f>
        <v>APAGADO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 t="str">
        <f>'RESUMEN TOTAL'!S287</f>
        <v>APAGADO</v>
      </c>
      <c r="O278" s="29" t="str">
        <f>'RESUMEN TOTAL'!T287</f>
        <v>APAGADO</v>
      </c>
      <c r="P278" s="29" t="str">
        <f>'RESUMEN TOTAL'!U287</f>
        <v>APAGADO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 t="str">
        <f>'RESUMEN TOTAL'!S291</f>
        <v>APAGADO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 t="str">
        <f>'RESUMEN TOTAL'!W297</f>
        <v>APAGADO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 t="str">
        <f>'RESUMEN TOTAL'!W298</f>
        <v>APAGADO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 t="str">
        <f>'RESUMEN TOTAL'!W301</f>
        <v>APAGADO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 t="str">
        <f>'RESUMEN TOTAL'!Q307</f>
        <v>APAGADO</v>
      </c>
      <c r="M298" s="29">
        <f>'RESUMEN TOTAL'!R307</f>
        <v>0</v>
      </c>
      <c r="N298" s="29" t="str">
        <f>'RESUMEN TOTAL'!S307</f>
        <v>APAGADO</v>
      </c>
      <c r="O298" s="29" t="str">
        <f>'RESUMEN TOTAL'!T307</f>
        <v>APAGADO</v>
      </c>
      <c r="P298" s="29" t="str">
        <f>'RESUMEN TOTAL'!U307</f>
        <v>APAGADO</v>
      </c>
      <c r="Q298" s="29" t="str">
        <f>'RESUMEN TOTAL'!V307</f>
        <v>APAGADO</v>
      </c>
      <c r="R298" s="29" t="str">
        <f>'RESUMEN TOTAL'!W307</f>
        <v>APAGADO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 t="str">
        <f>'RESUMEN TOTAL'!Q308</f>
        <v>APAGADO</v>
      </c>
      <c r="M299" s="29">
        <f>'RESUMEN TOTAL'!R308</f>
        <v>0</v>
      </c>
      <c r="N299" s="29" t="str">
        <f>'RESUMEN TOTAL'!S308</f>
        <v>APAGADO</v>
      </c>
      <c r="O299" s="29" t="str">
        <f>'RESUMEN TOTAL'!T308</f>
        <v>APAGADO</v>
      </c>
      <c r="P299" s="29" t="str">
        <f>'RESUMEN TOTAL'!U308</f>
        <v>APAGADO</v>
      </c>
      <c r="Q299" s="29" t="str">
        <f>'RESUMEN TOTAL'!V308</f>
        <v>APAGADO</v>
      </c>
      <c r="R299" s="29" t="str">
        <f>'RESUMEN TOTAL'!W308</f>
        <v>APAGADO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 t="str">
        <f>'RESUMEN TOTAL'!Q309</f>
        <v>APAGADO</v>
      </c>
      <c r="M300" s="29">
        <f>'RESUMEN TOTAL'!R309</f>
        <v>0</v>
      </c>
      <c r="N300" s="29" t="str">
        <f>'RESUMEN TOTAL'!S309</f>
        <v>APAGADO</v>
      </c>
      <c r="O300" s="29" t="str">
        <f>'RESUMEN TOTAL'!T309</f>
        <v>APAGADO</v>
      </c>
      <c r="P300" s="29" t="str">
        <f>'RESUMEN TOTAL'!U309</f>
        <v>APAGADO</v>
      </c>
      <c r="Q300" s="29" t="str">
        <f>'RESUMEN TOTAL'!V309</f>
        <v>APAGADO</v>
      </c>
      <c r="R300" s="29" t="str">
        <f>'RESUMEN TOTAL'!W309</f>
        <v>APAGADO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 t="str">
        <f>'RESUMEN TOTAL'!Q310</f>
        <v>APAGADO</v>
      </c>
      <c r="M301" s="29">
        <f>'RESUMEN TOTAL'!R310</f>
        <v>0</v>
      </c>
      <c r="N301" s="29" t="str">
        <f>'RESUMEN TOTAL'!S310</f>
        <v>APAGADO</v>
      </c>
      <c r="O301" s="29" t="str">
        <f>'RESUMEN TOTAL'!T310</f>
        <v>APAGADO</v>
      </c>
      <c r="P301" s="29" t="str">
        <f>'RESUMEN TOTAL'!U310</f>
        <v>APAGADO</v>
      </c>
      <c r="Q301" s="29" t="str">
        <f>'RESUMEN TOTAL'!V310</f>
        <v>APAGADO</v>
      </c>
      <c r="R301" s="29" t="str">
        <f>'RESUMEN TOTAL'!W310</f>
        <v>APAGADO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 t="str">
        <f>'RESUMEN TOTAL'!Q334</f>
        <v>APAGADO</v>
      </c>
      <c r="M325" s="29">
        <f>'RESUMEN TOTAL'!R334</f>
        <v>0</v>
      </c>
      <c r="N325" s="29">
        <f>'RESUMEN TOTAL'!S334</f>
        <v>0</v>
      </c>
      <c r="O325" s="29" t="str">
        <f>'RESUMEN TOTAL'!T334</f>
        <v>APAGADO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 t="str">
        <f>'RESUMEN TOTAL'!Q335</f>
        <v>APAGADO</v>
      </c>
      <c r="M326" s="29">
        <f>'RESUMEN TOTAL'!R335</f>
        <v>0</v>
      </c>
      <c r="N326" s="29" t="str">
        <f>'RESUMEN TOTAL'!S335</f>
        <v>APAGADO</v>
      </c>
      <c r="O326" s="29" t="str">
        <f>'RESUMEN TOTAL'!T335</f>
        <v>APAGADO</v>
      </c>
      <c r="P326" s="29" t="str">
        <f>'RESUMEN TOTAL'!U335</f>
        <v>APAGADO</v>
      </c>
      <c r="Q326" s="29" t="str">
        <f>'RESUMEN TOTAL'!V335</f>
        <v>APAGADO</v>
      </c>
      <c r="R326" s="29" t="str">
        <f>'RESUMEN TOTAL'!W335</f>
        <v>APAGADO</v>
      </c>
      <c r="S326" s="29" t="str">
        <f>'RESUMEN TOTAL'!X335</f>
        <v>APAGADO</v>
      </c>
      <c r="T326" s="29" t="str">
        <f>'RESUMEN TOTAL'!Y335</f>
        <v>APAGADO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 t="str">
        <f>'RESUMEN TOTAL'!Q336</f>
        <v>APAGADO</v>
      </c>
      <c r="M327" s="29">
        <f>'RESUMEN TOTAL'!R336</f>
        <v>0</v>
      </c>
      <c r="N327" s="29" t="str">
        <f>'RESUMEN TOTAL'!S336</f>
        <v>APAGADO</v>
      </c>
      <c r="O327" s="29" t="str">
        <f>'RESUMEN TOTAL'!T336</f>
        <v>APAGADO</v>
      </c>
      <c r="P327" s="29" t="str">
        <f>'RESUMEN TOTAL'!U336</f>
        <v>APAGADO</v>
      </c>
      <c r="Q327" s="29" t="str">
        <f>'RESUMEN TOTAL'!V336</f>
        <v>APAGADO</v>
      </c>
      <c r="R327" s="29" t="str">
        <f>'RESUMEN TOTAL'!W336</f>
        <v>APAGADO</v>
      </c>
      <c r="S327" s="29" t="str">
        <f>'RESUMEN TOTAL'!X336</f>
        <v>APAGADO</v>
      </c>
      <c r="T327" s="29" t="str">
        <f>'RESUMEN TOTAL'!Y336</f>
        <v>APAGADO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 t="str">
        <f>'RESUMEN TOTAL'!Q337</f>
        <v>APAGADO</v>
      </c>
      <c r="M328" s="29">
        <f>'RESUMEN TOTAL'!R337</f>
        <v>0</v>
      </c>
      <c r="N328" s="29" t="str">
        <f>'RESUMEN TOTAL'!S337</f>
        <v>APAGADO</v>
      </c>
      <c r="O328" s="29" t="str">
        <f>'RESUMEN TOTAL'!T337</f>
        <v>APAGADO</v>
      </c>
      <c r="P328" s="29" t="str">
        <f>'RESUMEN TOTAL'!U337</f>
        <v>APAGADO</v>
      </c>
      <c r="Q328" s="29" t="str">
        <f>'RESUMEN TOTAL'!V337</f>
        <v>APAGADO</v>
      </c>
      <c r="R328" s="29" t="str">
        <f>'RESUMEN TOTAL'!W337</f>
        <v>APAGADO</v>
      </c>
      <c r="S328" s="29" t="str">
        <f>'RESUMEN TOTAL'!X337</f>
        <v>APAGADO</v>
      </c>
      <c r="T328" s="29" t="str">
        <f>'RESUMEN TOTAL'!Y337</f>
        <v>APAGADO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 t="str">
        <f>'RESUMEN TOTAL'!Q338</f>
        <v>APAGADO</v>
      </c>
      <c r="M329" s="29">
        <f>'RESUMEN TOTAL'!R338</f>
        <v>0</v>
      </c>
      <c r="N329" s="29" t="str">
        <f>'RESUMEN TOTAL'!S338</f>
        <v>APAGADO</v>
      </c>
      <c r="O329" s="29" t="str">
        <f>'RESUMEN TOTAL'!T338</f>
        <v>APAGADO</v>
      </c>
      <c r="P329" s="29" t="str">
        <f>'RESUMEN TOTAL'!U338</f>
        <v>APAGADO</v>
      </c>
      <c r="Q329" s="29" t="str">
        <f>'RESUMEN TOTAL'!V338</f>
        <v>APAGADO</v>
      </c>
      <c r="R329" s="29" t="str">
        <f>'RESUMEN TOTAL'!W338</f>
        <v>APAGADO</v>
      </c>
      <c r="S329" s="29" t="str">
        <f>'RESUMEN TOTAL'!X338</f>
        <v>APAGADO</v>
      </c>
      <c r="T329" s="29" t="str">
        <f>'RESUMEN TOTAL'!Y338</f>
        <v>APAGADO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 t="str">
        <f>'RESUMEN TOTAL'!Q339</f>
        <v>APAGADO</v>
      </c>
      <c r="M330" s="29">
        <f>'RESUMEN TOTAL'!R339</f>
        <v>0</v>
      </c>
      <c r="N330" s="29" t="str">
        <f>'RESUMEN TOTAL'!S339</f>
        <v>APAGADO</v>
      </c>
      <c r="O330" s="29" t="str">
        <f>'RESUMEN TOTAL'!T339</f>
        <v>APAGADO</v>
      </c>
      <c r="P330" s="29" t="str">
        <f>'RESUMEN TOTAL'!U339</f>
        <v>APAGADO</v>
      </c>
      <c r="Q330" s="29" t="str">
        <f>'RESUMEN TOTAL'!V339</f>
        <v>APAGADO</v>
      </c>
      <c r="R330" s="29" t="str">
        <f>'RESUMEN TOTAL'!W339</f>
        <v>APAGADO</v>
      </c>
      <c r="S330" s="29" t="str">
        <f>'RESUMEN TOTAL'!X339</f>
        <v>APAGADO</v>
      </c>
      <c r="T330" s="29" t="str">
        <f>'RESUMEN TOTAL'!Y339</f>
        <v>APAGADO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 t="str">
        <f>'RESUMEN TOTAL'!Q340</f>
        <v>APAGADO</v>
      </c>
      <c r="M331" s="29">
        <f>'RESUMEN TOTAL'!R340</f>
        <v>0</v>
      </c>
      <c r="N331" s="29" t="str">
        <f>'RESUMEN TOTAL'!S340</f>
        <v>APAGADO</v>
      </c>
      <c r="O331" s="29" t="str">
        <f>'RESUMEN TOTAL'!T340</f>
        <v>APAGADO</v>
      </c>
      <c r="P331" s="29" t="str">
        <f>'RESUMEN TOTAL'!U340</f>
        <v>APAGADO</v>
      </c>
      <c r="Q331" s="29" t="str">
        <f>'RESUMEN TOTAL'!V340</f>
        <v>APAGADO</v>
      </c>
      <c r="R331" s="29" t="str">
        <f>'RESUMEN TOTAL'!W340</f>
        <v>APAGADO</v>
      </c>
      <c r="S331" s="29" t="str">
        <f>'RESUMEN TOTAL'!X340</f>
        <v>APAGADO</v>
      </c>
      <c r="T331" s="29" t="str">
        <f>'RESUMEN TOTAL'!Y340</f>
        <v>APAGADO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 t="str">
        <f>'RESUMEN TOTAL'!Q341</f>
        <v>APAGADO</v>
      </c>
      <c r="M332" s="29">
        <f>'RESUMEN TOTAL'!R341</f>
        <v>0</v>
      </c>
      <c r="N332" s="29" t="str">
        <f>'RESUMEN TOTAL'!S341</f>
        <v>APAGADO</v>
      </c>
      <c r="O332" s="29" t="str">
        <f>'RESUMEN TOTAL'!T341</f>
        <v>APAGADO</v>
      </c>
      <c r="P332" s="29" t="str">
        <f>'RESUMEN TOTAL'!U341</f>
        <v>APAGADO</v>
      </c>
      <c r="Q332" s="29" t="str">
        <f>'RESUMEN TOTAL'!V341</f>
        <v>APAGADO</v>
      </c>
      <c r="R332" s="29" t="str">
        <f>'RESUMEN TOTAL'!W341</f>
        <v>APAGADO</v>
      </c>
      <c r="S332" s="29" t="str">
        <f>'RESUMEN TOTAL'!X341</f>
        <v>APAGADO</v>
      </c>
      <c r="T332" s="29" t="str">
        <f>'RESUMEN TOTAL'!Y341</f>
        <v>APAGADO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 t="str">
        <f>'RESUMEN TOTAL'!Q357</f>
        <v>APAGADO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 t="str">
        <f>'RESUMEN TOTAL'!S362</f>
        <v>APAGADO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 t="str">
        <f>'RESUMEN TOTAL'!S366</f>
        <v>APAGADO</v>
      </c>
      <c r="O357" s="29" t="str">
        <f>'RESUMEN TOTAL'!T366</f>
        <v>APAGADO</v>
      </c>
      <c r="P357" s="29" t="str">
        <f>'RESUMEN TOTAL'!U366</f>
        <v>APAGADO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 t="str">
        <f>'RESUMEN TOTAL'!S367</f>
        <v>APAGADO</v>
      </c>
      <c r="O358" s="29" t="str">
        <f>'RESUMEN TOTAL'!T367</f>
        <v>APAGADO</v>
      </c>
      <c r="P358" s="29" t="str">
        <f>'RESUMEN TOTAL'!U367</f>
        <v>APAGADO</v>
      </c>
      <c r="Q358" s="29" t="str">
        <f>'RESUMEN TOTAL'!V367</f>
        <v>APAGADO</v>
      </c>
      <c r="R358" s="29" t="str">
        <f>'RESUMEN TOTAL'!W367</f>
        <v>APAGADO</v>
      </c>
      <c r="S358" s="29" t="str">
        <f>'RESUMEN TOTAL'!X367</f>
        <v>APAGADO</v>
      </c>
      <c r="T358" s="29" t="str">
        <f>'RESUMEN TOTAL'!Y367</f>
        <v>APAGADO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 t="str">
        <f>'RESUMEN TOTAL'!Y368</f>
        <v>APAGADO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 t="str">
        <f>'RESUMEN TOTAL'!S369</f>
        <v>APAGADO</v>
      </c>
      <c r="O360" s="29" t="str">
        <f>'RESUMEN TOTAL'!T369</f>
        <v>APAGADO</v>
      </c>
      <c r="P360" s="29" t="str">
        <f>'RESUMEN TOTAL'!U369</f>
        <v>APAGADO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 t="str">
        <f>'RESUMEN TOTAL'!S378</f>
        <v>APAGADO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 t="str">
        <f>'RESUMEN TOTAL'!S379</f>
        <v>APAGADO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 t="str">
        <f>'RESUMEN TOTAL'!W386</f>
        <v>APAGADO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 t="str">
        <f>'RESUMEN TOTAL'!W387</f>
        <v>APAGADO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 t="str">
        <f>'RESUMEN TOTAL'!W388</f>
        <v>APAGADO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 t="str">
        <f>'RESUMEN TOTAL'!W389</f>
        <v>APAGADO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 t="str">
        <f>'RESUMEN TOTAL'!S390</f>
        <v>APAGADO</v>
      </c>
      <c r="O379" s="29" t="str">
        <f>'RESUMEN TOTAL'!T390</f>
        <v>APAGADO</v>
      </c>
      <c r="P379" s="29" t="str">
        <f>'RESUMEN TOTAL'!U390</f>
        <v>APAGADO</v>
      </c>
      <c r="Q379" s="29" t="str">
        <f>'RESUMEN TOTAL'!V390</f>
        <v>APAGADO</v>
      </c>
      <c r="R379" s="29" t="str">
        <f>'RESUMEN TOTAL'!W390</f>
        <v>APAGADO</v>
      </c>
      <c r="S379" s="29" t="str">
        <f>'RESUMEN TOTAL'!X390</f>
        <v>APAGADO</v>
      </c>
      <c r="T379" s="29" t="str">
        <f>'RESUMEN TOTAL'!Y390</f>
        <v>APAGADO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 t="str">
        <f>'RESUMEN TOTAL'!W391</f>
        <v>APAGADO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 t="str">
        <f>'RESUMEN TOTAL'!W392</f>
        <v>APAGADO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 t="str">
        <f>'RESUMEN TOTAL'!Q393</f>
        <v>APAGADO</v>
      </c>
      <c r="M382" s="29">
        <f>'RESUMEN TOTAL'!R393</f>
        <v>0</v>
      </c>
      <c r="N382" s="29" t="str">
        <f>'RESUMEN TOTAL'!S393</f>
        <v>APAGADO</v>
      </c>
      <c r="O382" s="29" t="str">
        <f>'RESUMEN TOTAL'!T393</f>
        <v>APAGADO</v>
      </c>
      <c r="P382" s="29" t="str">
        <f>'RESUMEN TOTAL'!U393</f>
        <v>APAGADO</v>
      </c>
      <c r="Q382" s="29" t="str">
        <f>'RESUMEN TOTAL'!V393</f>
        <v>APAGADO</v>
      </c>
      <c r="R382" s="29" t="str">
        <f>'RESUMEN TOTAL'!W393</f>
        <v>APAGADO</v>
      </c>
      <c r="S382" s="29" t="str">
        <f>'RESUMEN TOTAL'!X393</f>
        <v>APAGADO</v>
      </c>
      <c r="T382" s="29" t="str">
        <f>'RESUMEN TOTAL'!Y393</f>
        <v>APAGADO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 t="str">
        <f>'RESUMEN TOTAL'!W394</f>
        <v>APAGADO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 t="str">
        <f>'RESUMEN TOTAL'!W397</f>
        <v>APAGADO</v>
      </c>
      <c r="S386" s="29" t="str">
        <f>'RESUMEN TOTAL'!X397</f>
        <v>APAGADO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 t="str">
        <f>'RESUMEN TOTAL'!W398</f>
        <v>APAGADO</v>
      </c>
      <c r="S387" s="29" t="str">
        <f>'RESUMEN TOTAL'!X398</f>
        <v>APAGADO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 t="str">
        <f>'RESUMEN TOTAL'!X415</f>
        <v>APAGADO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 t="str">
        <f>'RESUMEN TOTAL'!W419</f>
        <v>APAGADO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 t="str">
        <f>'RESUMEN TOTAL'!W420</f>
        <v>APAGADO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 t="str">
        <f>'RESUMEN TOTAL'!W421</f>
        <v>APAGADO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 t="str">
        <f>'RESUMEN TOTAL'!W422</f>
        <v>APAGADO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35</v>
      </c>
      <c r="M1" s="25">
        <f t="shared" si="0"/>
        <v>0</v>
      </c>
      <c r="N1" s="25">
        <f t="shared" si="0"/>
        <v>47</v>
      </c>
      <c r="O1" s="25">
        <f t="shared" si="0"/>
        <v>43</v>
      </c>
      <c r="P1" s="25">
        <f t="shared" si="0"/>
        <v>43</v>
      </c>
      <c r="Q1" s="25">
        <f t="shared" si="0"/>
        <v>37</v>
      </c>
      <c r="R1" s="25">
        <f t="shared" si="0"/>
        <v>56</v>
      </c>
      <c r="S1" s="25">
        <f t="shared" si="0"/>
        <v>33</v>
      </c>
      <c r="T1" s="25">
        <f t="shared" si="0"/>
        <v>32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 t="str">
        <f>ESTADISTICA!L6</f>
        <v>APAGADO</v>
      </c>
      <c r="M7">
        <f>ESTADISTICA!M6</f>
        <v>0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 t="str">
        <f>ESTADISTICA!S25</f>
        <v>APAGADO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 t="str">
        <f>ESTADISTICA!Q28</f>
        <v>APAGADO</v>
      </c>
      <c r="R29" t="str">
        <f>ESTADISTICA!R28</f>
        <v>APAGADO</v>
      </c>
      <c r="S29" t="str">
        <f>ESTADISTICA!S28</f>
        <v>APAGADO</v>
      </c>
      <c r="T29" t="str">
        <f>ESTADISTICA!T28</f>
        <v>APAGADO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 t="str">
        <f>ESTADISTICA!L31</f>
        <v>APAGADO</v>
      </c>
      <c r="M32">
        <f>ESTADISTICA!M31</f>
        <v>0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 t="str">
        <f>ESTADISTICA!L39</f>
        <v>APAGADO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>
        <f>ESTADISTICA!M47</f>
        <v>0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 t="str">
        <f>ESTADISTICA!L60</f>
        <v>APAGADO</v>
      </c>
      <c r="M61">
        <f>ESTADISTICA!M60</f>
        <v>0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 t="str">
        <f>ESTADISTICA!Q68</f>
        <v>APAGADO</v>
      </c>
      <c r="R69" t="str">
        <f>ESTADISTICA!R68</f>
        <v>APAGADO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 t="str">
        <f>ESTADISTICA!L92</f>
        <v>APAGADO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 t="str">
        <f>ESTADISTICA!L93</f>
        <v>APAGADO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 t="str">
        <f>ESTADISTICA!L97</f>
        <v>APAGADO</v>
      </c>
      <c r="M98">
        <f>ESTADISTICA!M97</f>
        <v>0</v>
      </c>
      <c r="N98" t="str">
        <f>ESTADISTICA!N97</f>
        <v>APAGADO</v>
      </c>
      <c r="O98" t="str">
        <f>ESTADISTICA!O97</f>
        <v>APAGADO</v>
      </c>
      <c r="P98" t="str">
        <f>ESTADISTICA!P97</f>
        <v>APAGADO</v>
      </c>
      <c r="Q98" t="str">
        <f>ESTADISTICA!Q97</f>
        <v>APAGADO</v>
      </c>
      <c r="R98" t="str">
        <f>ESTADISTICA!R97</f>
        <v>APAGADO</v>
      </c>
      <c r="S98" t="str">
        <f>ESTADISTICA!S97</f>
        <v>APAGADO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 t="str">
        <f>ESTADISTICA!O140</f>
        <v>APAGADO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 t="str">
        <f>ESTADISTICA!N159</f>
        <v>APAGADO</v>
      </c>
      <c r="O160" t="str">
        <f>ESTADISTICA!O159</f>
        <v>APAGADO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 t="str">
        <f>ESTADISTICA!L161</f>
        <v>APAGADO</v>
      </c>
      <c r="M162">
        <f>ESTADISTICA!M161</f>
        <v>0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 t="str">
        <f>ESTADISTICA!L182</f>
        <v>APAGADO</v>
      </c>
      <c r="M183">
        <f>ESTADISTICA!M182</f>
        <v>0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 t="str">
        <f>ESTADISTICA!N193</f>
        <v>APAGADO</v>
      </c>
      <c r="O194">
        <f>ESTADISTICA!O193</f>
        <v>0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 t="str">
        <f>ESTADISTICA!L213</f>
        <v>APAGADO</v>
      </c>
      <c r="M214">
        <f>ESTADISTICA!M213</f>
        <v>0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 t="str">
        <f>ESTADISTICA!R223</f>
        <v>APAGADO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 t="str">
        <f>ESTADISTICA!L260</f>
        <v>APAGADO</v>
      </c>
      <c r="M261">
        <f>ESTADISTICA!M260</f>
        <v>0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 t="str">
        <f>ESTADISTICA!R270</f>
        <v>APAGADO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 t="str">
        <f>ESTADISTICA!R289</f>
        <v>APAGADO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 t="str">
        <f>ESTADISTICA!R292</f>
        <v>APAGADO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 t="str">
        <f>ESTADISTICA!L298</f>
        <v>APAGADO</v>
      </c>
      <c r="M299">
        <f>ESTADISTICA!M298</f>
        <v>0</v>
      </c>
      <c r="N299" t="str">
        <f>ESTADISTICA!N298</f>
        <v>APAGADO</v>
      </c>
      <c r="O299" t="str">
        <f>ESTADISTICA!O298</f>
        <v>APAGADO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 t="str">
        <f>ESTADISTICA!L325</f>
        <v>APAGADO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 t="str">
        <f>ESTADISTICA!L326</f>
        <v>APAGADO</v>
      </c>
      <c r="M327">
        <f>ESTADISTICA!M326</f>
        <v>0</v>
      </c>
      <c r="N327" t="str">
        <f>ESTADISTICA!N326</f>
        <v>APAGADO</v>
      </c>
      <c r="O327" t="str">
        <f>ESTADISTICA!O326</f>
        <v>APAGADO</v>
      </c>
      <c r="P327" t="str">
        <f>ESTADISTICA!P326</f>
        <v>APAGADO</v>
      </c>
      <c r="Q327" t="str">
        <f>ESTADISTICA!Q326</f>
        <v>APAGADO</v>
      </c>
      <c r="R327" t="str">
        <f>ESTADISTICA!R326</f>
        <v>APAGADO</v>
      </c>
      <c r="S327" t="str">
        <f>ESTADISTICA!S326</f>
        <v>APAGADO</v>
      </c>
      <c r="T327" t="str">
        <f>ESTADISTICA!T326</f>
        <v>APAGADO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 t="str">
        <f>ESTADISTICA!L327</f>
        <v>APAGADO</v>
      </c>
      <c r="M328">
        <f>ESTADISTICA!M327</f>
        <v>0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 t="str">
        <f>ESTADISTICA!Q327</f>
        <v>APAGADO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 t="str">
        <f>ESTADISTICA!Q328</f>
        <v>APAGADO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 t="str">
        <f>ESTADISTICA!L329</f>
        <v>APAGADO</v>
      </c>
      <c r="M330">
        <f>ESTADISTICA!M329</f>
        <v>0</v>
      </c>
      <c r="N330" t="str">
        <f>ESTADISTICA!N329</f>
        <v>APAGADO</v>
      </c>
      <c r="O330" t="str">
        <f>ESTADISTICA!O329</f>
        <v>APAGADO</v>
      </c>
      <c r="P330" t="str">
        <f>ESTADISTICA!P329</f>
        <v>APAGADO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 t="str">
        <f>ESTADISTICA!L331</f>
        <v>APAGADO</v>
      </c>
      <c r="M332">
        <f>ESTADISTICA!M331</f>
        <v>0</v>
      </c>
      <c r="N332" t="str">
        <f>ESTADISTICA!N331</f>
        <v>APAGADO</v>
      </c>
      <c r="O332" t="str">
        <f>ESTADISTICA!O331</f>
        <v>APAGADO</v>
      </c>
      <c r="P332" t="str">
        <f>ESTADISTICA!P331</f>
        <v>APAGADO</v>
      </c>
      <c r="Q332" t="str">
        <f>ESTADISTICA!Q331</f>
        <v>APAGADO</v>
      </c>
      <c r="R332" t="str">
        <f>ESTADISTICA!R331</f>
        <v>APAGADO</v>
      </c>
      <c r="S332" t="str">
        <f>ESTADISTICA!S331</f>
        <v>APAGADO</v>
      </c>
      <c r="T332" t="str">
        <f>ESTADISTICA!T331</f>
        <v>APAGADO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>
        <f>ESTADISTICA!M332</f>
        <v>0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 t="str">
        <f>ESTADISTICA!T359</f>
        <v>APAGADO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 t="str">
        <f>ESTADISTICA!R376</f>
        <v>APAGADO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 t="str">
        <f>ESTADISTICA!R378</f>
        <v>APAGADO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 t="str">
        <f>ESTADISTICA!N379</f>
        <v>APAGADO</v>
      </c>
      <c r="O380" s="50" t="str">
        <f>ESTADISTICA!O379</f>
        <v>APAGADO</v>
      </c>
      <c r="P380" s="50" t="str">
        <f>ESTADISTICA!P379</f>
        <v>APAGADO</v>
      </c>
      <c r="Q380" s="50" t="str">
        <f>ESTADISTICA!Q379</f>
        <v>APAGADO</v>
      </c>
      <c r="R380" s="50" t="str">
        <f>ESTADISTICA!R379</f>
        <v>APAGADO</v>
      </c>
      <c r="S380" s="50" t="str">
        <f>ESTADISTICA!S379</f>
        <v>APAGADO</v>
      </c>
      <c r="T380" s="50" t="str">
        <f>ESTADISTICA!T379</f>
        <v>APAGADO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 t="str">
        <f>ESTADISTICA!R380</f>
        <v>APAGADO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 t="str">
        <f>ESTADISTICA!R381</f>
        <v>APAGADO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 t="str">
        <f>ESTADISTICA!L382</f>
        <v>APAGADO</v>
      </c>
      <c r="M383" s="50">
        <f>ESTADISTICA!M382</f>
        <v>0</v>
      </c>
      <c r="N383" s="50" t="str">
        <f>ESTADISTICA!N382</f>
        <v>APAGADO</v>
      </c>
      <c r="O383" s="50" t="str">
        <f>ESTADISTICA!O382</f>
        <v>APAGADO</v>
      </c>
      <c r="P383" s="50" t="str">
        <f>ESTADISTICA!P382</f>
        <v>APAGADO</v>
      </c>
      <c r="Q383" s="50" t="str">
        <f>ESTADISTICA!Q382</f>
        <v>APAGADO</v>
      </c>
      <c r="R383" s="50" t="str">
        <f>ESTADISTICA!R382</f>
        <v>APAGADO</v>
      </c>
      <c r="S383" s="50" t="str">
        <f>ESTADISTICA!S382</f>
        <v>APAGADO</v>
      </c>
      <c r="T383" s="50" t="str">
        <f>ESTADISTICA!T382</f>
        <v>APAGADO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 t="str">
        <f>ESTADISTICA!R383</f>
        <v>APAGADO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 t="str">
        <f>ESTADISTICA!R386</f>
        <v>APAGADO</v>
      </c>
      <c r="S387" s="50" t="str">
        <f>ESTADISTICA!S386</f>
        <v>APAGADO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 t="str">
        <f>ESTADISTICA!R387</f>
        <v>APAGADO</v>
      </c>
      <c r="S388" s="50" t="str">
        <f>ESTADISTICA!S387</f>
        <v>APAGADO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00000000-0009-0000-0000-000002000000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30</v>
      </c>
      <c r="M2" s="25">
        <f>COUNTIFS(M4:M400, "=APAGADO",E4:E400,"=Fibra Optica")</f>
        <v>0</v>
      </c>
      <c r="N2" s="25">
        <f>COUNTIFS(N4:N400, "=APAGADO",E4:E400,"=Fibra Optica")</f>
        <v>38</v>
      </c>
      <c r="O2" s="25">
        <f>COUNTIFS(O4:O400, "=APAGADO",E4:E400,"=Fibra Optica")</f>
        <v>35</v>
      </c>
      <c r="P2" s="25">
        <f>COUNTIFS(P4:P400, "=APAGADO",E4:E400,"=Fibra Optica")</f>
        <v>35</v>
      </c>
      <c r="Q2" s="25">
        <f>COUNTIFS(Q4:Q400, "=APAGADO",E4:E400,"=Fibra Optica")</f>
        <v>30</v>
      </c>
      <c r="R2" s="25">
        <f>COUNTIFS(R4:R400, "=APAGADO",E4:E400,"=Fibra Optica")</f>
        <v>41</v>
      </c>
      <c r="S2" s="25">
        <f>COUNTIFS(S4:S400, "=APAGADO",E4:E400,"=Fibra Optica")</f>
        <v>28</v>
      </c>
      <c r="T2" s="25">
        <f>COUNTIFS(T4:T400, "=APAGADO",E4:E400,"=Fibra Optica")</f>
        <v>25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3000000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4</v>
      </c>
      <c r="M2" s="25">
        <f>COUNTIFS(M4:M400, "=APAGADO",E4:E400,"=PTO A FO")</f>
        <v>0</v>
      </c>
      <c r="N2" s="25">
        <f>COUNTIFS(N4:N400, "=APAGADO",E4:E400,"=PTO A FO")</f>
        <v>5</v>
      </c>
      <c r="O2" s="25">
        <f>COUNTIFS(O4:O500, "=APAGADO",E4:E500,"=PTO A FO")</f>
        <v>5</v>
      </c>
      <c r="P2" s="25">
        <f>COUNTIFS(P4:P400, "=APAGADO",E4:E400,"=PTO A FO")</f>
        <v>4</v>
      </c>
      <c r="Q2" s="25">
        <f>COUNTIFS(Q4:Q400, "=APAGADO",E4:E400,"=PTO A FO")</f>
        <v>4</v>
      </c>
      <c r="R2" s="25">
        <f>COUNTIFS(R4:R400, "=APAGADO",E4:E400,"=PTO A FO")</f>
        <v>4</v>
      </c>
      <c r="S2" s="25">
        <f>COUNTIFS(S4:S400, "=APAGADO",E4:E400,"=PTO A FO")</f>
        <v>4</v>
      </c>
      <c r="T2" s="25">
        <f>COUNTIFS(T4:T400, "=APAGADO",E4:E400,"=PTO A FO")</f>
        <v>5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 t="str">
        <f>ESTADISTICA!S404</f>
        <v>APAGADO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 t="str">
        <f>ESTADISTICA!R408</f>
        <v>APAGADO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 t="str">
        <f>ESTADISTICA!R409</f>
        <v>APAGADO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 t="str">
        <f>ESTADISTICA!R410</f>
        <v>APAGADO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 t="str">
        <f>ESTADISTICA!R411</f>
        <v>APAGADO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1</v>
      </c>
      <c r="M2" s="25">
        <f>COUNTIFS(M4:M500, "=APAGADO",E4:E500,"=radio")</f>
        <v>0</v>
      </c>
      <c r="N2" s="25">
        <f>COUNTIFS(N4:N500, "=APAGADO",E4:E500,"=radio")</f>
        <v>4</v>
      </c>
      <c r="O2" s="25">
        <f>COUNTIFS(O4:O500, "=APAGADO",E4:E500,"=radio")</f>
        <v>3</v>
      </c>
      <c r="P2" s="25">
        <f>COUNTIFS(P4:P500, "=APAGADO",E4:E500,"=radio")</f>
        <v>4</v>
      </c>
      <c r="Q2" s="25">
        <f>COUNTIFS(Q4:Q367, "=APAGADO",E4:E367,"=radio")</f>
        <v>3</v>
      </c>
      <c r="R2" s="25">
        <f>COUNTIFS(R4:R367, "=APAGADO",E4:E367,"=radio")</f>
        <v>8</v>
      </c>
      <c r="S2" s="25">
        <f>COUNTIFS(S4:S367, "=APAGADO",E4:E367,"=radio")</f>
        <v>1</v>
      </c>
      <c r="T2" s="25">
        <f>COUNTIFS(T4:T367, "=APAGADO",E4:E367,"=radio")</f>
        <v>2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 t="str">
        <f>ESTADISTICA!L6</f>
        <v>APAGADO</v>
      </c>
      <c r="M8">
        <f>ESTADISTICA!M6</f>
        <v>0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 t="str">
        <f>ESTADISTICA!L13</f>
        <v>APAGADO</v>
      </c>
      <c r="M15">
        <f>ESTADISTICA!M13</f>
        <v>0</v>
      </c>
      <c r="N15">
        <f>ESTADISTICA!N13</f>
        <v>0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 t="str">
        <f>ESTADISTICA!R25</f>
        <v>APAGADO</v>
      </c>
      <c r="S27" t="str">
        <f>ESTADISTICA!S25</f>
        <v>APAGADO</v>
      </c>
      <c r="T27" t="str">
        <f>ESTADISTICA!T25</f>
        <v>APAGADO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 t="str">
        <f>ESTADISTICA!L26</f>
        <v>APAGADO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 t="str">
        <f>ESTADISTICA!Q28</f>
        <v>APAGADO</v>
      </c>
      <c r="R30" t="str">
        <f>ESTADISTICA!R28</f>
        <v>APAGADO</v>
      </c>
      <c r="S30" t="str">
        <f>ESTADISTICA!S28</f>
        <v>APAGADO</v>
      </c>
      <c r="T30" t="str">
        <f>ESTADISTICA!T28</f>
        <v>APAGADO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 t="str">
        <f>ESTADISTICA!L31</f>
        <v>APAGADO</v>
      </c>
      <c r="M33">
        <f>ESTADISTICA!M31</f>
        <v>0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 t="str">
        <f>ESTADISTICA!L39</f>
        <v>APAGADO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 t="str">
        <f>ESTADISTICA!L47</f>
        <v>APAGADO</v>
      </c>
      <c r="M49">
        <f>ESTADISTICA!M47</f>
        <v>0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 t="str">
        <f>ESTADISTICA!L60</f>
        <v>APAGADO</v>
      </c>
      <c r="M62">
        <f>ESTADISTICA!M60</f>
        <v>0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 t="str">
        <f>ESTADISTICA!R66</f>
        <v>APAGADO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 t="str">
        <f>ESTADISTICA!Q68</f>
        <v>APAGADO</v>
      </c>
      <c r="R70" t="str">
        <f>ESTADISTICA!R68</f>
        <v>APAGADO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 t="str">
        <f>ESTADISTICA!L92</f>
        <v>APAGADO</v>
      </c>
      <c r="M94">
        <f>ESTADISTICA!M92</f>
        <v>0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 t="str">
        <f>ESTADISTICA!L93</f>
        <v>APAGADO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 t="str">
        <f>ESTADISTICA!L97</f>
        <v>APAGADO</v>
      </c>
      <c r="M99">
        <f>ESTADISTICA!M97</f>
        <v>0</v>
      </c>
      <c r="N99" t="str">
        <f>ESTADISTICA!N97</f>
        <v>APAGADO</v>
      </c>
      <c r="O99" t="str">
        <f>ESTADISTICA!O97</f>
        <v>APAGADO</v>
      </c>
      <c r="P99" t="str">
        <f>ESTADISTICA!P97</f>
        <v>APAGADO</v>
      </c>
      <c r="Q99" t="str">
        <f>ESTADISTICA!Q97</f>
        <v>APAGADO</v>
      </c>
      <c r="R99" t="str">
        <f>ESTADISTICA!R97</f>
        <v>APAGADO</v>
      </c>
      <c r="S99" t="str">
        <f>ESTADISTICA!S97</f>
        <v>APAGADO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 t="str">
        <f>ESTADISTICA!T113</f>
        <v>APAGADO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 t="str">
        <f>ESTADISTICA!O140</f>
        <v>APAGADO</v>
      </c>
      <c r="P142" t="str">
        <f>ESTADISTICA!P140</f>
        <v>APAGADO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 t="str">
        <f>ESTADISTICA!N159</f>
        <v>APAGADO</v>
      </c>
      <c r="O161" t="str">
        <f>ESTADISTICA!O159</f>
        <v>APAGADO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 t="str">
        <f>ESTADISTICA!L182</f>
        <v>APAGADO</v>
      </c>
      <c r="M184">
        <f>ESTADISTICA!M182</f>
        <v>0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 t="str">
        <f>ESTADISTICA!N193</f>
        <v>APAGADO</v>
      </c>
      <c r="O195">
        <f>ESTADISTICA!O193</f>
        <v>0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 t="str">
        <f>ESTADISTICA!L213</f>
        <v>APAGADO</v>
      </c>
      <c r="M215">
        <f>ESTADISTICA!M213</f>
        <v>0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 t="str">
        <f>ESTADISTICA!R223</f>
        <v>APAGADO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 t="str">
        <f>ESTADISTICA!P225</f>
        <v>APAGADO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 t="str">
        <f>ESTADISTICA!L260</f>
        <v>APAGADO</v>
      </c>
      <c r="M262">
        <f>ESTADISTICA!M260</f>
        <v>0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 t="str">
        <f>ESTADISTICA!R270</f>
        <v>APAGADO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 t="str">
        <f>ESTADISTICA!N282</f>
        <v>APAGADO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 t="str">
        <f>ESTADISTICA!R288</f>
        <v>APAGADO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 t="str">
        <f>ESTADISTICA!R289</f>
        <v>APAGADO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 t="str">
        <f>ESTADISTICA!R292</f>
        <v>APAGADO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 t="str">
        <f>ESTADISTICA!L298</f>
        <v>APAGADO</v>
      </c>
      <c r="M300">
        <f>ESTADISTICA!M298</f>
        <v>0</v>
      </c>
      <c r="N300" t="str">
        <f>ESTADISTICA!N298</f>
        <v>APAGADO</v>
      </c>
      <c r="O300" t="str">
        <f>ESTADISTICA!O298</f>
        <v>APAGADO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 t="str">
        <f>ESTADISTICA!L299</f>
        <v>APAGADO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 t="str">
        <f>ESTADISTICA!L325</f>
        <v>APAGADO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 t="str">
        <f>ESTADISTICA!L326</f>
        <v>APAGADO</v>
      </c>
      <c r="M328">
        <f>ESTADISTICA!M326</f>
        <v>0</v>
      </c>
      <c r="N328" t="str">
        <f>ESTADISTICA!N326</f>
        <v>APAGADO</v>
      </c>
      <c r="O328" t="str">
        <f>ESTADISTICA!O326</f>
        <v>APAGADO</v>
      </c>
      <c r="P328" t="str">
        <f>ESTADISTICA!P326</f>
        <v>APAGADO</v>
      </c>
      <c r="Q328" t="str">
        <f>ESTADISTICA!Q326</f>
        <v>APAGADO</v>
      </c>
      <c r="R328" t="str">
        <f>ESTADISTICA!R326</f>
        <v>APAGADO</v>
      </c>
      <c r="S328" t="str">
        <f>ESTADISTICA!S326</f>
        <v>APAGADO</v>
      </c>
      <c r="T328" t="str">
        <f>ESTADISTICA!T326</f>
        <v>APAGADO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 t="str">
        <f>ESTADISTICA!L327</f>
        <v>APAGADO</v>
      </c>
      <c r="M329">
        <f>ESTADISTICA!M327</f>
        <v>0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 t="str">
        <f>ESTADISTICA!Q327</f>
        <v>APAGADO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 t="str">
        <f>ESTADISTICA!L328</f>
        <v>APAGADO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 t="str">
        <f>ESTADISTICA!Q328</f>
        <v>APAGADO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 t="str">
        <f>ESTADISTICA!L329</f>
        <v>APAGADO</v>
      </c>
      <c r="M331">
        <f>ESTADISTICA!M329</f>
        <v>0</v>
      </c>
      <c r="N331" t="str">
        <f>ESTADISTICA!N329</f>
        <v>APAGADO</v>
      </c>
      <c r="O331" t="str">
        <f>ESTADISTICA!O329</f>
        <v>APAGADO</v>
      </c>
      <c r="P331" t="str">
        <f>ESTADISTICA!P329</f>
        <v>APAGADO</v>
      </c>
      <c r="Q331" t="str">
        <f>ESTADISTICA!Q329</f>
        <v>APAGADO</v>
      </c>
      <c r="R331" t="str">
        <f>ESTADISTICA!R329</f>
        <v>APAGADO</v>
      </c>
      <c r="S331" t="str">
        <f>ESTADISTICA!S329</f>
        <v>APAGADO</v>
      </c>
      <c r="T331" t="str">
        <f>ESTADISTICA!T329</f>
        <v>APAGADO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 t="str">
        <f>ESTADISTICA!L331</f>
        <v>APAGADO</v>
      </c>
      <c r="M333">
        <f>ESTADISTICA!M331</f>
        <v>0</v>
      </c>
      <c r="N333" t="str">
        <f>ESTADISTICA!N331</f>
        <v>APAGADO</v>
      </c>
      <c r="O333" t="str">
        <f>ESTADISTICA!O331</f>
        <v>APAGADO</v>
      </c>
      <c r="P333" t="str">
        <f>ESTADISTICA!P331</f>
        <v>APAGADO</v>
      </c>
      <c r="Q333" t="str">
        <f>ESTADISTICA!Q331</f>
        <v>APAGADO</v>
      </c>
      <c r="R333" t="str">
        <f>ESTADISTICA!R331</f>
        <v>APAGADO</v>
      </c>
      <c r="S333" t="str">
        <f>ESTADISTICA!S331</f>
        <v>APAGADO</v>
      </c>
      <c r="T333" t="str">
        <f>ESTADISTICA!T331</f>
        <v>APAGADO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>
        <f>ESTADISTICA!M332</f>
        <v>0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 t="str">
        <f>ESTADISTICA!L348</f>
        <v>APAGADO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 t="str">
        <f>ESTADISTICA!T359</f>
        <v>APAGADO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 t="str">
        <f>ESTADISTICA!R375</f>
        <v>APAGADO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 t="str">
        <f>ESTADISTICA!R376</f>
        <v>APAGADO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 t="str">
        <f>ESTADISTICA!R377</f>
        <v>APAGADO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 t="str">
        <f>ESTADISTICA!R378</f>
        <v>APAGADO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 t="str">
        <f>ESTADISTICA!N379</f>
        <v>APAGADO</v>
      </c>
      <c r="O381" s="50" t="str">
        <f>ESTADISTICA!O379</f>
        <v>APAGADO</v>
      </c>
      <c r="P381" s="50" t="str">
        <f>ESTADISTICA!P379</f>
        <v>APAGADO</v>
      </c>
      <c r="Q381" s="50" t="str">
        <f>ESTADISTICA!Q379</f>
        <v>APAGADO</v>
      </c>
      <c r="R381" s="50" t="str">
        <f>ESTADISTICA!R379</f>
        <v>APAGADO</v>
      </c>
      <c r="S381" s="50" t="str">
        <f>ESTADISTICA!S379</f>
        <v>APAGADO</v>
      </c>
      <c r="T381" s="50" t="str">
        <f>ESTADISTICA!T379</f>
        <v>APAGADO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 t="str">
        <f>ESTADISTICA!R380</f>
        <v>APAGADO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 t="str">
        <f>ESTADISTICA!R381</f>
        <v>APAGADO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 t="str">
        <f>ESTADISTICA!L382</f>
        <v>APAGADO</v>
      </c>
      <c r="M384" s="50">
        <f>ESTADISTICA!M382</f>
        <v>0</v>
      </c>
      <c r="N384" s="50" t="str">
        <f>ESTADISTICA!N382</f>
        <v>APAGADO</v>
      </c>
      <c r="O384" s="50" t="str">
        <f>ESTADISTICA!O382</f>
        <v>APAGADO</v>
      </c>
      <c r="P384" s="50" t="str">
        <f>ESTADISTICA!P382</f>
        <v>APAGADO</v>
      </c>
      <c r="Q384" s="50" t="str">
        <f>ESTADISTICA!Q382</f>
        <v>APAGADO</v>
      </c>
      <c r="R384" s="50" t="str">
        <f>ESTADISTICA!R382</f>
        <v>APAGADO</v>
      </c>
      <c r="S384" s="50" t="str">
        <f>ESTADISTICA!S382</f>
        <v>APAGADO</v>
      </c>
      <c r="T384" s="50" t="str">
        <f>ESTADISTICA!T382</f>
        <v>APAGADO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 t="str">
        <f>ESTADISTICA!R383</f>
        <v>APAGADO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 t="str">
        <f>ESTADISTICA!R386</f>
        <v>APAGADO</v>
      </c>
      <c r="S388" s="50" t="str">
        <f>ESTADISTICA!S386</f>
        <v>APAGADO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 t="str">
        <f>ESTADISTICA!R387</f>
        <v>APAGADO</v>
      </c>
      <c r="S389" s="50" t="str">
        <f>ESTADISTICA!S387</f>
        <v>APAGADO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0000000-0009-0000-0000-000005000000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RADIO'!I2+D5</f>
        <v>9</v>
      </c>
      <c r="C5" s="50">
        <f>'APAGADOS FIBRA'!I2</f>
        <v>34</v>
      </c>
      <c r="D5" s="50">
        <f>'APAGADOS ANTENA'!I2</f>
        <v>5</v>
      </c>
      <c r="E5" s="50">
        <f t="shared" si="2"/>
        <v>43</v>
      </c>
      <c r="F5" s="50">
        <f>'RESUMEN TOTAL'!B1</f>
        <v>426</v>
      </c>
      <c r="G5" s="54">
        <f t="shared" si="3"/>
        <v>0.10093896713615023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v>6</v>
      </c>
      <c r="C7" s="50">
        <v>31</v>
      </c>
      <c r="D7" s="50">
        <v>4</v>
      </c>
      <c r="E7" s="50">
        <v>37</v>
      </c>
      <c r="F7" s="50">
        <v>426</v>
      </c>
      <c r="G7" s="54">
        <v>8.6854460093896718E-2</v>
      </c>
    </row>
    <row r="8" spans="1:7" x14ac:dyDescent="0.25">
      <c r="A8" s="24">
        <f>'APAGADOS RADIO'!L3</f>
        <v>44841</v>
      </c>
      <c r="B8" s="50">
        <f>'APAGADOS RADIO'!L2+D8</f>
        <v>5</v>
      </c>
      <c r="C8" s="50">
        <f>'APAGADOS FIBRA'!L2</f>
        <v>30</v>
      </c>
      <c r="D8" s="50">
        <f>'APAGADOS ANTENA'!L2</f>
        <v>4</v>
      </c>
      <c r="E8" s="50">
        <f t="shared" ref="E8" si="4">B8+C8</f>
        <v>35</v>
      </c>
      <c r="F8" s="50">
        <f>'RESUMEN TOTAL'!B1</f>
        <v>426</v>
      </c>
      <c r="G8" s="54">
        <f t="shared" ref="G8" si="5">E8/F8</f>
        <v>8.2159624413145546E-2</v>
      </c>
    </row>
    <row r="9" spans="1:7" x14ac:dyDescent="0.25">
      <c r="A9" s="24">
        <f>'APAGADOS RADIO'!M3</f>
        <v>44842</v>
      </c>
      <c r="B9" s="50">
        <v>5</v>
      </c>
      <c r="C9" s="50">
        <v>30</v>
      </c>
      <c r="D9" s="50">
        <v>4</v>
      </c>
      <c r="E9" s="50">
        <v>35</v>
      </c>
      <c r="F9" s="50">
        <v>426</v>
      </c>
      <c r="G9" s="54">
        <v>8.2159624413145546E-2</v>
      </c>
    </row>
    <row r="10" spans="1:7" x14ac:dyDescent="0.25">
      <c r="A10" s="24">
        <f>'APAGADOS RADIO'!N3</f>
        <v>44843</v>
      </c>
      <c r="B10" s="50">
        <f>'APAGADOS RADIO'!N2+D10</f>
        <v>9</v>
      </c>
      <c r="C10" s="50">
        <f>'APAGADOS FIBRA'!N2</f>
        <v>38</v>
      </c>
      <c r="D10" s="50">
        <f>'APAGADOS ANTENA'!N2</f>
        <v>5</v>
      </c>
      <c r="E10" s="50">
        <f t="shared" ref="E10" si="6">B10+C10</f>
        <v>47</v>
      </c>
      <c r="F10" s="50">
        <f>'RESUMEN TOTAL'!B1</f>
        <v>426</v>
      </c>
      <c r="G10" s="54">
        <f t="shared" ref="G10" si="7">E10/F10</f>
        <v>0.11032863849765258</v>
      </c>
    </row>
    <row r="11" spans="1:7" x14ac:dyDescent="0.25">
      <c r="A11" s="24">
        <f>'APAGADOS RADIO'!O3</f>
        <v>44844</v>
      </c>
      <c r="B11" s="50">
        <f>'APAGADOS RADIO'!O2+D11</f>
        <v>8</v>
      </c>
      <c r="C11" s="50">
        <f>'APAGADOS FIBRA'!O2</f>
        <v>35</v>
      </c>
      <c r="D11" s="50">
        <f>'APAGADOS ANTENA'!O2</f>
        <v>5</v>
      </c>
      <c r="E11" s="50">
        <f t="shared" ref="E11" si="8">B11+C11</f>
        <v>43</v>
      </c>
      <c r="F11" s="50">
        <f>'RESUMEN TOTAL'!B1</f>
        <v>426</v>
      </c>
      <c r="G11" s="54">
        <f t="shared" ref="G11" si="9">E11/F11</f>
        <v>0.10093896713615023</v>
      </c>
    </row>
    <row r="12" spans="1:7" x14ac:dyDescent="0.25">
      <c r="A12" s="24">
        <f>'APAGADOS RADIO'!P3</f>
        <v>44845</v>
      </c>
      <c r="B12" s="50">
        <f>'APAGADOS RADIO'!P2+D12</f>
        <v>8</v>
      </c>
      <c r="C12" s="50">
        <f>'APAGADOS FIBRA'!P2</f>
        <v>35</v>
      </c>
      <c r="D12" s="50">
        <f>'APAGADOS ANTENA'!P2</f>
        <v>4</v>
      </c>
      <c r="E12" s="50">
        <f t="shared" ref="E12" si="10">B12+C12</f>
        <v>43</v>
      </c>
      <c r="F12" s="50">
        <f>'RESUMEN TOTAL'!B1</f>
        <v>426</v>
      </c>
      <c r="G12" s="54">
        <f t="shared" ref="G12" si="11">E12/F12</f>
        <v>0.10093896713615023</v>
      </c>
    </row>
    <row r="13" spans="1:7" x14ac:dyDescent="0.25">
      <c r="A13" s="24">
        <f>'APAGADOS RADIO'!Q3</f>
        <v>44846</v>
      </c>
      <c r="B13" s="50">
        <f>'APAGADOS RADIO'!Q2+D13</f>
        <v>7</v>
      </c>
      <c r="C13" s="50">
        <f>'APAGADOS FIBRA'!Q2</f>
        <v>30</v>
      </c>
      <c r="D13" s="50">
        <f>'APAGADOS ANTENA'!Q2</f>
        <v>4</v>
      </c>
      <c r="E13" s="50">
        <f t="shared" ref="E13:E15" si="12">B13+C13</f>
        <v>37</v>
      </c>
      <c r="F13" s="50">
        <f>'RESUMEN TOTAL'!B1</f>
        <v>426</v>
      </c>
      <c r="G13" s="54">
        <f t="shared" ref="G13:G15" si="13">E13/F13</f>
        <v>8.6854460093896718E-2</v>
      </c>
    </row>
    <row r="14" spans="1:7" x14ac:dyDescent="0.25">
      <c r="A14" s="24">
        <f>'APAGADOS RADIO'!R3</f>
        <v>44847</v>
      </c>
      <c r="B14" s="50">
        <f>'APAGADOS RADIO'!R2+D14</f>
        <v>12</v>
      </c>
      <c r="C14" s="50">
        <f>'APAGADOS FIBRA'!R2</f>
        <v>41</v>
      </c>
      <c r="D14" s="50">
        <f>'APAGADOS ANTENA'!R2</f>
        <v>4</v>
      </c>
      <c r="E14" s="50">
        <f t="shared" si="12"/>
        <v>53</v>
      </c>
      <c r="F14" s="50">
        <f>'RESUMEN TOTAL'!B1</f>
        <v>426</v>
      </c>
      <c r="G14" s="54">
        <f t="shared" si="13"/>
        <v>0.12441314553990611</v>
      </c>
    </row>
    <row r="15" spans="1:7" x14ac:dyDescent="0.25">
      <c r="A15" s="24">
        <f>'APAGADOS RADIO'!S3</f>
        <v>44848</v>
      </c>
      <c r="B15" s="50">
        <f>'APAGADOS RADIO'!S2+D15</f>
        <v>5</v>
      </c>
      <c r="C15" s="50">
        <f>'APAGADOS FIBRA'!S2</f>
        <v>28</v>
      </c>
      <c r="D15" s="50">
        <f>'APAGADOS ANTENA'!S2</f>
        <v>4</v>
      </c>
      <c r="E15" s="50">
        <f t="shared" si="12"/>
        <v>33</v>
      </c>
      <c r="F15" s="50">
        <f>'RESUMEN TOTAL'!B1</f>
        <v>426</v>
      </c>
      <c r="G15" s="54">
        <f t="shared" si="13"/>
        <v>7.746478873239436E-2</v>
      </c>
    </row>
    <row r="16" spans="1:7" x14ac:dyDescent="0.25">
      <c r="A16" s="24">
        <f>'APAGADOS RADIO'!T3</f>
        <v>44849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44850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44851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44852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44853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44854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44855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44856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44857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44858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44859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44860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44861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44862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44863</v>
      </c>
      <c r="B30" s="50"/>
      <c r="C30" s="50"/>
      <c r="D30" s="50"/>
      <c r="E30" s="50"/>
      <c r="F30" s="50"/>
    </row>
    <row r="31" spans="1:6" x14ac:dyDescent="0.25">
      <c r="A31" s="24"/>
      <c r="B31" s="50"/>
      <c r="C31" s="50"/>
      <c r="D31" s="50"/>
      <c r="E31" s="50"/>
      <c r="F31" s="50"/>
    </row>
    <row r="32" spans="1:6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32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40</v>
      </c>
      <c r="O3" s="74">
        <f>COUNTIFS('RESUMEN TOTAL'!C7:C501, "=BONOMO",'RESUMEN TOTAL'!T7:T501,"=APAGADO")</f>
        <v>37</v>
      </c>
      <c r="P3" s="75">
        <f>COUNTIFS('RESUMEN TOTAL'!C7:C501, "=BONOMO",'RESUMEN TOTAL'!U7:U501,"=APAGADO")</f>
        <v>36</v>
      </c>
      <c r="Q3" s="75">
        <f>COUNTIFS('RESUMEN TOTAL'!C7:C501, "=BONOMO",'RESUMEN TOTAL'!V7:V501,"=APAGADO")</f>
        <v>34</v>
      </c>
      <c r="R3" s="75">
        <f>COUNTIFS('RESUMEN TOTAL'!C7:C501, "=BONOMO",'RESUMEN TOTAL'!W7:W501,"=APAGADO")</f>
        <v>47</v>
      </c>
      <c r="S3" s="75">
        <f>COUNTIFS('RESUMEN TOTAL'!C7:C501, "=BONOMO",'RESUMEN TOTAL'!X7:X501,"=APAGADO")</f>
        <v>28</v>
      </c>
      <c r="T3" s="75">
        <f>COUNTIFS('RESUMEN TOTAL'!C7:C501, "=BONOMO",'RESUMEN TOTAL'!Y7:Y501,"=APAGADO")</f>
        <v>27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0.14285714285714285</v>
      </c>
      <c r="M4" s="81">
        <f t="shared" si="0"/>
        <v>0</v>
      </c>
      <c r="N4" s="81">
        <f t="shared" si="0"/>
        <v>0.17857142857142858</v>
      </c>
      <c r="O4" s="81">
        <f t="shared" si="0"/>
        <v>0.16517857142857142</v>
      </c>
      <c r="P4" s="82">
        <f t="shared" si="0"/>
        <v>0.16071428571428573</v>
      </c>
      <c r="Q4" s="82">
        <f t="shared" ref="Q4" si="1">Q3/BONOMOcam</f>
        <v>0.15178571428571427</v>
      </c>
      <c r="R4" s="82">
        <f t="shared" si="0"/>
        <v>0.20982142857142858</v>
      </c>
      <c r="S4" s="82">
        <f t="shared" si="0"/>
        <v>0.125</v>
      </c>
      <c r="T4" s="82">
        <f t="shared" si="0"/>
        <v>0.12053571428571429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3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7</v>
      </c>
      <c r="O5" s="77">
        <f>COUNTIFS('RESUMEN TOTAL'!C10:C421, "=COSEIDI",'RESUMEN TOTAL'!T10:T421,"=APAGADO")</f>
        <v>8</v>
      </c>
      <c r="P5" s="77">
        <f>COUNTIFS('RESUMEN TOTAL'!C10:C421, "=COSEIDI",'RESUMEN TOTAL'!U10:U421,"=APAGADO")</f>
        <v>9</v>
      </c>
      <c r="Q5" s="77">
        <f>COUNTIFS('RESUMEN TOTAL'!C10:C421, "=COSEIDI",'RESUMEN TOTAL'!V10:V421,"=APAGADO")</f>
        <v>3</v>
      </c>
      <c r="R5" s="77">
        <f>COUNTIFS('RESUMEN TOTAL'!C10:C421, "=COSEIDI",'RESUMEN TOTAL'!W10:W421,"=APAGADO")</f>
        <v>12</v>
      </c>
      <c r="S5" s="77">
        <f>COUNTIFS('RESUMEN TOTAL'!C10:C421, "=COSEIDI",'RESUMEN TOTAL'!X10:X421,"=APAGADO")</f>
        <v>6</v>
      </c>
      <c r="T5" s="77">
        <f>COUNTIFS('RESUMEN TOTAL'!C10:C421, "=COSEIDI",'RESUMEN TOTAL'!Y10:Y421,"=APAGADO")</f>
        <v>5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1.4778325123152709E-2</v>
      </c>
      <c r="M6" s="81">
        <f t="shared" si="2"/>
        <v>0</v>
      </c>
      <c r="N6" s="81">
        <f t="shared" si="2"/>
        <v>3.4482758620689655E-2</v>
      </c>
      <c r="O6" s="81">
        <f t="shared" si="2"/>
        <v>3.9408866995073892E-2</v>
      </c>
      <c r="P6" s="81">
        <f t="shared" si="2"/>
        <v>4.4334975369458129E-2</v>
      </c>
      <c r="Q6" s="81">
        <f t="shared" ref="Q6" si="3">Q5/COSEIDIcam</f>
        <v>1.4778325123152709E-2</v>
      </c>
      <c r="R6" s="81">
        <f t="shared" si="2"/>
        <v>5.9113300492610835E-2</v>
      </c>
      <c r="S6" s="81">
        <f t="shared" si="2"/>
        <v>2.9556650246305417E-2</v>
      </c>
      <c r="T6" s="81">
        <f t="shared" si="2"/>
        <v>2.4630541871921183E-2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2022-10-17T10:15:17Z</dcterms:modified>
</cp:coreProperties>
</file>