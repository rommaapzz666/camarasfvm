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ABRIL\"/>
    </mc:Choice>
  </mc:AlternateContent>
  <xr:revisionPtr revIDLastSave="0" documentId="8_{86E03DA3-1125-4297-808F-1577118702C2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GRAFICO" sheetId="15" r:id="rId9"/>
    <sheet name="GRAFICO2" sheetId="16" r:id="rId10"/>
    <sheet name="BARRAS" sheetId="18" r:id="rId11"/>
    <sheet name="AUXILIAR" sheetId="14" r:id="rId12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ANTENA'!$A$3:$AG$369</definedName>
    <definedName name="_xlnm._FilterDatabase" localSheetId="5" hidden="1">'APAGADOS FIBRA'!$A$3:$AG$369</definedName>
    <definedName name="_xlnm._FilterDatabase" localSheetId="7" hidden="1">'APAGADOS RADIO'!$A$3:$AG$369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4" l="1"/>
  <c r="G4" i="14"/>
  <c r="G5" i="14"/>
  <c r="G6" i="14"/>
  <c r="G7" i="14"/>
  <c r="G8" i="14"/>
  <c r="G9" i="14"/>
  <c r="G10" i="14"/>
  <c r="G11" i="14"/>
  <c r="G12" i="14"/>
  <c r="G13" i="14"/>
  <c r="G2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41" i="14"/>
  <c r="N377" i="2" l="1"/>
  <c r="M377" i="2"/>
  <c r="L377" i="2"/>
  <c r="D13" i="14"/>
  <c r="B13" i="14" s="1"/>
  <c r="E13" i="14" s="1"/>
  <c r="C13" i="14"/>
  <c r="D11" i="14"/>
  <c r="B11" i="14" s="1"/>
  <c r="D10" i="14"/>
  <c r="B10" i="14" s="1"/>
  <c r="C11" i="14"/>
  <c r="C12" i="14"/>
  <c r="C10" i="14"/>
  <c r="D9" i="14"/>
  <c r="D12" i="14"/>
  <c r="C9" i="14"/>
  <c r="D8" i="14"/>
  <c r="B8" i="14" s="1"/>
  <c r="C8" i="14"/>
  <c r="B12" i="14"/>
  <c r="B9" i="14"/>
  <c r="D7" i="14"/>
  <c r="B7" i="14" s="1"/>
  <c r="C7" i="14"/>
  <c r="B6" i="14"/>
  <c r="B5" i="14"/>
  <c r="C6" i="14"/>
  <c r="C5" i="14"/>
  <c r="D6" i="14"/>
  <c r="D5" i="14"/>
  <c r="M376" i="2"/>
  <c r="L376" i="2"/>
  <c r="N376" i="2" s="1"/>
  <c r="M375" i="2"/>
  <c r="L375" i="2"/>
  <c r="N375" i="2" s="1"/>
  <c r="M374" i="2"/>
  <c r="L374" i="2"/>
  <c r="N374" i="2" s="1"/>
  <c r="M373" i="2"/>
  <c r="L373" i="2"/>
  <c r="N373" i="2" s="1"/>
  <c r="M247" i="2"/>
  <c r="N247" i="2" s="1"/>
  <c r="M248" i="2"/>
  <c r="M249" i="2"/>
  <c r="M250" i="2"/>
  <c r="M251" i="2"/>
  <c r="M252" i="2"/>
  <c r="M253" i="2"/>
  <c r="M254" i="2"/>
  <c r="N254" i="2" s="1"/>
  <c r="M255" i="2"/>
  <c r="N255" i="2" s="1"/>
  <c r="M256" i="2"/>
  <c r="M257" i="2"/>
  <c r="M258" i="2"/>
  <c r="M259" i="2"/>
  <c r="M260" i="2"/>
  <c r="M261" i="2"/>
  <c r="M262" i="2"/>
  <c r="M263" i="2"/>
  <c r="N263" i="2" s="1"/>
  <c r="M264" i="2"/>
  <c r="M265" i="2"/>
  <c r="M266" i="2"/>
  <c r="M267" i="2"/>
  <c r="M268" i="2"/>
  <c r="N268" i="2" s="1"/>
  <c r="M269" i="2"/>
  <c r="M270" i="2"/>
  <c r="N270" i="2" s="1"/>
  <c r="M271" i="2"/>
  <c r="N271" i="2" s="1"/>
  <c r="M272" i="2"/>
  <c r="M273" i="2"/>
  <c r="M274" i="2"/>
  <c r="M275" i="2"/>
  <c r="M276" i="2"/>
  <c r="N276" i="2" s="1"/>
  <c r="M277" i="2"/>
  <c r="M278" i="2"/>
  <c r="N278" i="2" s="1"/>
  <c r="M279" i="2"/>
  <c r="M280" i="2"/>
  <c r="M281" i="2"/>
  <c r="M282" i="2"/>
  <c r="M283" i="2"/>
  <c r="M284" i="2"/>
  <c r="M285" i="2"/>
  <c r="M286" i="2"/>
  <c r="N286" i="2" s="1"/>
  <c r="M287" i="2"/>
  <c r="N287" i="2" s="1"/>
  <c r="M288" i="2"/>
  <c r="M289" i="2"/>
  <c r="M290" i="2"/>
  <c r="M291" i="2"/>
  <c r="M292" i="2"/>
  <c r="M293" i="2"/>
  <c r="M294" i="2"/>
  <c r="M295" i="2"/>
  <c r="N295" i="2" s="1"/>
  <c r="M296" i="2"/>
  <c r="M297" i="2"/>
  <c r="M298" i="2"/>
  <c r="M299" i="2"/>
  <c r="M300" i="2"/>
  <c r="N300" i="2" s="1"/>
  <c r="M301" i="2"/>
  <c r="M302" i="2"/>
  <c r="N302" i="2" s="1"/>
  <c r="M303" i="2"/>
  <c r="M304" i="2"/>
  <c r="M305" i="2"/>
  <c r="M306" i="2"/>
  <c r="M307" i="2"/>
  <c r="M308" i="2"/>
  <c r="N308" i="2" s="1"/>
  <c r="M309" i="2"/>
  <c r="M310" i="2"/>
  <c r="N310" i="2" s="1"/>
  <c r="M311" i="2"/>
  <c r="N311" i="2" s="1"/>
  <c r="M312" i="2"/>
  <c r="M313" i="2"/>
  <c r="M314" i="2"/>
  <c r="M315" i="2"/>
  <c r="M316" i="2"/>
  <c r="N316" i="2" s="1"/>
  <c r="M317" i="2"/>
  <c r="M318" i="2"/>
  <c r="N318" i="2" s="1"/>
  <c r="M319" i="2"/>
  <c r="N319" i="2" s="1"/>
  <c r="M320" i="2"/>
  <c r="M321" i="2"/>
  <c r="M322" i="2"/>
  <c r="M323" i="2"/>
  <c r="M324" i="2"/>
  <c r="M325" i="2"/>
  <c r="M326" i="2"/>
  <c r="N326" i="2" s="1"/>
  <c r="M327" i="2"/>
  <c r="N327" i="2" s="1"/>
  <c r="M328" i="2"/>
  <c r="M329" i="2"/>
  <c r="M330" i="2"/>
  <c r="M331" i="2"/>
  <c r="M332" i="2"/>
  <c r="N332" i="2" s="1"/>
  <c r="M333" i="2"/>
  <c r="M334" i="2"/>
  <c r="N334" i="2" s="1"/>
  <c r="M335" i="2"/>
  <c r="N335" i="2" s="1"/>
  <c r="M336" i="2"/>
  <c r="M337" i="2"/>
  <c r="M338" i="2"/>
  <c r="M339" i="2"/>
  <c r="M340" i="2"/>
  <c r="N340" i="2" s="1"/>
  <c r="M341" i="2"/>
  <c r="M342" i="2"/>
  <c r="N342" i="2" s="1"/>
  <c r="M343" i="2"/>
  <c r="N343" i="2" s="1"/>
  <c r="M344" i="2"/>
  <c r="M345" i="2"/>
  <c r="M346" i="2"/>
  <c r="M347" i="2"/>
  <c r="M348" i="2"/>
  <c r="N348" i="2" s="1"/>
  <c r="M349" i="2"/>
  <c r="M350" i="2"/>
  <c r="N350" i="2" s="1"/>
  <c r="M351" i="2"/>
  <c r="N351" i="2" s="1"/>
  <c r="M352" i="2"/>
  <c r="M353" i="2"/>
  <c r="M354" i="2"/>
  <c r="M355" i="2"/>
  <c r="M356" i="2"/>
  <c r="N356" i="2" s="1"/>
  <c r="M357" i="2"/>
  <c r="M358" i="2"/>
  <c r="N358" i="2" s="1"/>
  <c r="M359" i="2"/>
  <c r="N359" i="2" s="1"/>
  <c r="M360" i="2"/>
  <c r="M361" i="2"/>
  <c r="M362" i="2"/>
  <c r="M363" i="2"/>
  <c r="M364" i="2"/>
  <c r="N364" i="2" s="1"/>
  <c r="M365" i="2"/>
  <c r="M366" i="2"/>
  <c r="N366" i="2" s="1"/>
  <c r="M367" i="2"/>
  <c r="N367" i="2" s="1"/>
  <c r="M368" i="2"/>
  <c r="M369" i="2"/>
  <c r="M370" i="2"/>
  <c r="M371" i="2"/>
  <c r="M372" i="2"/>
  <c r="N372" i="2" s="1"/>
  <c r="N248" i="2"/>
  <c r="N249" i="2"/>
  <c r="N250" i="2"/>
  <c r="N251" i="2"/>
  <c r="N252" i="2"/>
  <c r="N253" i="2"/>
  <c r="N256" i="2"/>
  <c r="N257" i="2"/>
  <c r="N259" i="2"/>
  <c r="N260" i="2"/>
  <c r="N261" i="2"/>
  <c r="N264" i="2"/>
  <c r="N265" i="2"/>
  <c r="N266" i="2"/>
  <c r="N267" i="2"/>
  <c r="N269" i="2"/>
  <c r="N273" i="2"/>
  <c r="N274" i="2"/>
  <c r="N275" i="2"/>
  <c r="N277" i="2"/>
  <c r="N280" i="2"/>
  <c r="N288" i="2"/>
  <c r="N290" i="2"/>
  <c r="N298" i="2"/>
  <c r="N299" i="2"/>
  <c r="N301" i="2"/>
  <c r="N304" i="2"/>
  <c r="N305" i="2"/>
  <c r="N306" i="2"/>
  <c r="N307" i="2"/>
  <c r="N309" i="2"/>
  <c r="N312" i="2"/>
  <c r="N313" i="2"/>
  <c r="N314" i="2"/>
  <c r="N315" i="2"/>
  <c r="N317" i="2"/>
  <c r="N320" i="2"/>
  <c r="N322" i="2"/>
  <c r="N323" i="2"/>
  <c r="N325" i="2"/>
  <c r="N328" i="2"/>
  <c r="N329" i="2"/>
  <c r="N330" i="2"/>
  <c r="N331" i="2"/>
  <c r="N336" i="2"/>
  <c r="N337" i="2"/>
  <c r="N338" i="2"/>
  <c r="N341" i="2"/>
  <c r="N344" i="2"/>
  <c r="N345" i="2"/>
  <c r="N346" i="2"/>
  <c r="N347" i="2"/>
  <c r="N349" i="2"/>
  <c r="N353" i="2"/>
  <c r="N354" i="2"/>
  <c r="N357" i="2"/>
  <c r="N360" i="2"/>
  <c r="N361" i="2"/>
  <c r="N362" i="2"/>
  <c r="N363" i="2"/>
  <c r="N365" i="2"/>
  <c r="N368" i="2"/>
  <c r="N369" i="2"/>
  <c r="N370" i="2"/>
  <c r="N371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N258" i="2" s="1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N272" i="2" s="1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N285" i="2" s="1"/>
  <c r="L286" i="2"/>
  <c r="L287" i="2"/>
  <c r="L288" i="2"/>
  <c r="L289" i="2"/>
  <c r="L290" i="2"/>
  <c r="L291" i="2"/>
  <c r="L292" i="2"/>
  <c r="L293" i="2"/>
  <c r="L294" i="2"/>
  <c r="L295" i="2"/>
  <c r="L296" i="2"/>
  <c r="L297" i="2"/>
  <c r="N297" i="2" s="1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N321" i="2" s="1"/>
  <c r="L322" i="2"/>
  <c r="L323" i="2"/>
  <c r="L324" i="2"/>
  <c r="L325" i="2"/>
  <c r="L326" i="2"/>
  <c r="L327" i="2"/>
  <c r="L328" i="2"/>
  <c r="L329" i="2"/>
  <c r="L330" i="2"/>
  <c r="L331" i="2"/>
  <c r="L332" i="2"/>
  <c r="L333" i="2"/>
  <c r="N333" i="2" s="1"/>
  <c r="L334" i="2"/>
  <c r="L335" i="2"/>
  <c r="L336" i="2"/>
  <c r="L337" i="2"/>
  <c r="L338" i="2"/>
  <c r="L339" i="2"/>
  <c r="N339" i="2" s="1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I94" i="10"/>
  <c r="AJ90" i="10"/>
  <c r="AJ82" i="10"/>
  <c r="AJ78" i="10"/>
  <c r="AJ74" i="10"/>
  <c r="AJ70" i="10"/>
  <c r="AJ66" i="10"/>
  <c r="AJ62" i="10"/>
  <c r="AI59" i="10"/>
  <c r="AJ35" i="10"/>
  <c r="AJ32" i="10"/>
  <c r="AJ27" i="10"/>
  <c r="AJ18" i="10"/>
  <c r="AJ17" i="10"/>
  <c r="AH2" i="8"/>
  <c r="AI2" i="8"/>
  <c r="AJ2" i="8"/>
  <c r="AH3" i="8"/>
  <c r="AI3" i="8"/>
  <c r="AJ3" i="8"/>
  <c r="AH4" i="8"/>
  <c r="AI4" i="8"/>
  <c r="AJ4" i="8"/>
  <c r="AH5" i="8"/>
  <c r="AI5" i="8"/>
  <c r="AJ5" i="8"/>
  <c r="AH6" i="8"/>
  <c r="AI6" i="8"/>
  <c r="AJ6" i="8"/>
  <c r="AH7" i="8"/>
  <c r="AI7" i="8"/>
  <c r="AJ7" i="8"/>
  <c r="AH8" i="8"/>
  <c r="AH10" i="10" s="1"/>
  <c r="AI8" i="8"/>
  <c r="AI10" i="10" s="1"/>
  <c r="AJ8" i="8"/>
  <c r="AH9" i="8"/>
  <c r="AI9" i="8"/>
  <c r="AJ9" i="8"/>
  <c r="AH10" i="8"/>
  <c r="AH12" i="10" s="1"/>
  <c r="AI10" i="8"/>
  <c r="AJ10" i="8"/>
  <c r="AJ12" i="10" s="1"/>
  <c r="AH11" i="8"/>
  <c r="AI11" i="8"/>
  <c r="AI13" i="10" s="1"/>
  <c r="AJ11" i="8"/>
  <c r="AJ13" i="10" s="1"/>
  <c r="AH12" i="8"/>
  <c r="AI12" i="8"/>
  <c r="AJ12" i="8"/>
  <c r="AH13" i="8"/>
  <c r="AI13" i="8"/>
  <c r="AJ13" i="8"/>
  <c r="AH14" i="8"/>
  <c r="AI14" i="8"/>
  <c r="AI16" i="10" s="1"/>
  <c r="AJ14" i="8"/>
  <c r="AH15" i="8"/>
  <c r="AH17" i="10" s="1"/>
  <c r="AI15" i="8"/>
  <c r="AJ15" i="8"/>
  <c r="AH16" i="8"/>
  <c r="AI16" i="8"/>
  <c r="AJ16" i="8"/>
  <c r="AH17" i="8"/>
  <c r="AI17" i="8"/>
  <c r="AJ17" i="8"/>
  <c r="AH18" i="8"/>
  <c r="AH20" i="10" s="1"/>
  <c r="AI18" i="8"/>
  <c r="AJ18" i="8"/>
  <c r="AJ20" i="10" s="1"/>
  <c r="AH19" i="8"/>
  <c r="AI19" i="8"/>
  <c r="AI21" i="10" s="1"/>
  <c r="AJ19" i="8"/>
  <c r="AJ21" i="10" s="1"/>
  <c r="AH20" i="8"/>
  <c r="AI20" i="8"/>
  <c r="AJ20" i="8"/>
  <c r="AH21" i="8"/>
  <c r="AI21" i="8"/>
  <c r="AJ21" i="8"/>
  <c r="AH22" i="8"/>
  <c r="AI22" i="8"/>
  <c r="AJ22" i="8"/>
  <c r="AH23" i="8"/>
  <c r="AI23" i="8"/>
  <c r="AJ23" i="8"/>
  <c r="AH24" i="8"/>
  <c r="AI24" i="8"/>
  <c r="AJ24" i="8"/>
  <c r="AH25" i="8"/>
  <c r="AI25" i="8"/>
  <c r="AJ25" i="8"/>
  <c r="AH26" i="8"/>
  <c r="AI26" i="8"/>
  <c r="AJ26" i="8"/>
  <c r="AH27" i="8"/>
  <c r="AH29" i="21" s="1"/>
  <c r="AI27" i="8"/>
  <c r="AJ27" i="8"/>
  <c r="AH28" i="8"/>
  <c r="AI28" i="8"/>
  <c r="AJ28" i="8"/>
  <c r="AH29" i="8"/>
  <c r="AI29" i="8"/>
  <c r="AI31" i="11" s="1"/>
  <c r="AJ29" i="8"/>
  <c r="AH30" i="8"/>
  <c r="AH32" i="21" s="1"/>
  <c r="AI30" i="8"/>
  <c r="AJ30" i="8"/>
  <c r="AH31" i="8"/>
  <c r="AH33" i="10" s="1"/>
  <c r="AI31" i="8"/>
  <c r="AI33" i="10" s="1"/>
  <c r="AJ31" i="8"/>
  <c r="AH32" i="8"/>
  <c r="AI32" i="8"/>
  <c r="AI34" i="10" s="1"/>
  <c r="AJ32" i="8"/>
  <c r="AJ34" i="10" s="1"/>
  <c r="AH33" i="8"/>
  <c r="AH35" i="10" s="1"/>
  <c r="AI33" i="8"/>
  <c r="AJ33" i="8"/>
  <c r="AH34" i="8"/>
  <c r="AI34" i="8"/>
  <c r="AJ34" i="8"/>
  <c r="AH35" i="8"/>
  <c r="AH37" i="10" s="1"/>
  <c r="AI35" i="8"/>
  <c r="AI37" i="10" s="1"/>
  <c r="AJ35" i="8"/>
  <c r="AJ37" i="10" s="1"/>
  <c r="AH36" i="8"/>
  <c r="AH38" i="10" s="1"/>
  <c r="AI36" i="8"/>
  <c r="AJ36" i="8"/>
  <c r="AH37" i="8"/>
  <c r="AI37" i="8"/>
  <c r="AJ37" i="8"/>
  <c r="AH38" i="8"/>
  <c r="AH40" i="10" s="1"/>
  <c r="AI38" i="8"/>
  <c r="AI40" i="10" s="1"/>
  <c r="AJ38" i="8"/>
  <c r="AJ40" i="10" s="1"/>
  <c r="AH39" i="8"/>
  <c r="AH41" i="10" s="1"/>
  <c r="AI39" i="8"/>
  <c r="AJ39" i="8"/>
  <c r="AH40" i="8"/>
  <c r="AI40" i="8"/>
  <c r="AI42" i="10" s="1"/>
  <c r="AJ40" i="8"/>
  <c r="AJ42" i="10" s="1"/>
  <c r="AH41" i="8"/>
  <c r="AH43" i="10" s="1"/>
  <c r="AI41" i="8"/>
  <c r="AI43" i="10" s="1"/>
  <c r="AJ41" i="8"/>
  <c r="AH42" i="8"/>
  <c r="AI42" i="8"/>
  <c r="AI44" i="10" s="1"/>
  <c r="AJ42" i="8"/>
  <c r="AJ44" i="10" s="1"/>
  <c r="AH43" i="8"/>
  <c r="AI43" i="8"/>
  <c r="AI45" i="10" s="1"/>
  <c r="AJ43" i="8"/>
  <c r="AJ45" i="10" s="1"/>
  <c r="AH44" i="8"/>
  <c r="AH46" i="10" s="1"/>
  <c r="AI44" i="8"/>
  <c r="AJ44" i="8"/>
  <c r="AH45" i="8"/>
  <c r="AI45" i="8"/>
  <c r="AJ45" i="8"/>
  <c r="AH46" i="8"/>
  <c r="AI46" i="8"/>
  <c r="AI48" i="10" s="1"/>
  <c r="AJ46" i="8"/>
  <c r="AJ48" i="10" s="1"/>
  <c r="AH47" i="8"/>
  <c r="AH49" i="10" s="1"/>
  <c r="AI47" i="8"/>
  <c r="AJ47" i="8"/>
  <c r="AH48" i="8"/>
  <c r="AI48" i="8"/>
  <c r="AI50" i="10" s="1"/>
  <c r="AJ48" i="8"/>
  <c r="AJ50" i="10" s="1"/>
  <c r="AH49" i="8"/>
  <c r="AH51" i="10" s="1"/>
  <c r="AI49" i="8"/>
  <c r="AJ49" i="8"/>
  <c r="AH50" i="8"/>
  <c r="AI50" i="8"/>
  <c r="AJ50" i="8"/>
  <c r="AH51" i="8"/>
  <c r="AI51" i="8"/>
  <c r="AI53" i="10" s="1"/>
  <c r="AJ51" i="8"/>
  <c r="AJ53" i="10" s="1"/>
  <c r="AH52" i="8"/>
  <c r="AI52" i="8"/>
  <c r="AI54" i="10" s="1"/>
  <c r="AJ52" i="8"/>
  <c r="AH53" i="8"/>
  <c r="AI53" i="8"/>
  <c r="AI55" i="10" s="1"/>
  <c r="AJ53" i="8"/>
  <c r="AJ55" i="10" s="1"/>
  <c r="AH54" i="8"/>
  <c r="AI54" i="8"/>
  <c r="AJ54" i="8"/>
  <c r="AH55" i="8"/>
  <c r="AI55" i="8"/>
  <c r="AJ55" i="8"/>
  <c r="AH56" i="8"/>
  <c r="AI56" i="8"/>
  <c r="AI58" i="10" s="1"/>
  <c r="AJ56" i="8"/>
  <c r="AH57" i="8"/>
  <c r="AH59" i="10" s="1"/>
  <c r="AI57" i="8"/>
  <c r="AJ57" i="8"/>
  <c r="AJ59" i="10" s="1"/>
  <c r="AH58" i="8"/>
  <c r="AI58" i="8"/>
  <c r="AJ58" i="8"/>
  <c r="AJ60" i="10" s="1"/>
  <c r="AH59" i="8"/>
  <c r="AH61" i="21" s="1"/>
  <c r="AI59" i="8"/>
  <c r="AI61" i="10" s="1"/>
  <c r="AJ59" i="8"/>
  <c r="AH60" i="8"/>
  <c r="AH62" i="10" s="1"/>
  <c r="AI60" i="8"/>
  <c r="AJ60" i="8"/>
  <c r="AH61" i="8"/>
  <c r="AI61" i="8"/>
  <c r="AI63" i="11" s="1"/>
  <c r="AJ61" i="8"/>
  <c r="AJ63" i="10" s="1"/>
  <c r="AH62" i="8"/>
  <c r="AI62" i="8"/>
  <c r="AI64" i="10" s="1"/>
  <c r="AJ62" i="8"/>
  <c r="AH63" i="8"/>
  <c r="AH65" i="10" s="1"/>
  <c r="AI63" i="8"/>
  <c r="AJ63" i="8"/>
  <c r="AH64" i="8"/>
  <c r="AI64" i="8"/>
  <c r="AJ64" i="8"/>
  <c r="AH65" i="8"/>
  <c r="AH67" i="10" s="1"/>
  <c r="AI65" i="8"/>
  <c r="AI67" i="10" s="1"/>
  <c r="AJ65" i="8"/>
  <c r="AJ67" i="10" s="1"/>
  <c r="AH66" i="8"/>
  <c r="AH68" i="10" s="1"/>
  <c r="AI66" i="8"/>
  <c r="AJ66" i="8"/>
  <c r="AJ68" i="10" s="1"/>
  <c r="AH67" i="8"/>
  <c r="AI67" i="8"/>
  <c r="AI69" i="10" s="1"/>
  <c r="AJ67" i="8"/>
  <c r="AH68" i="8"/>
  <c r="AH70" i="10" s="1"/>
  <c r="AI68" i="8"/>
  <c r="AJ68" i="8"/>
  <c r="AH69" i="8"/>
  <c r="AI69" i="8"/>
  <c r="AI71" i="10" s="1"/>
  <c r="AJ69" i="8"/>
  <c r="AJ71" i="10" s="1"/>
  <c r="AH70" i="8"/>
  <c r="AI70" i="8"/>
  <c r="AI72" i="10" s="1"/>
  <c r="AJ70" i="8"/>
  <c r="AH71" i="8"/>
  <c r="AI71" i="8"/>
  <c r="AJ71" i="8"/>
  <c r="AH72" i="8"/>
  <c r="AI72" i="8"/>
  <c r="AJ72" i="8"/>
  <c r="AH73" i="8"/>
  <c r="AH75" i="10" s="1"/>
  <c r="AI73" i="8"/>
  <c r="AI75" i="10" s="1"/>
  <c r="AJ73" i="8"/>
  <c r="AJ75" i="10" s="1"/>
  <c r="AH74" i="8"/>
  <c r="AI74" i="8"/>
  <c r="AJ74" i="8"/>
  <c r="AJ76" i="10" s="1"/>
  <c r="AH75" i="8"/>
  <c r="AI75" i="8"/>
  <c r="AI77" i="10" s="1"/>
  <c r="AJ75" i="8"/>
  <c r="AH76" i="8"/>
  <c r="AH78" i="10" s="1"/>
  <c r="AI76" i="8"/>
  <c r="AJ76" i="8"/>
  <c r="AH77" i="8"/>
  <c r="AI77" i="8"/>
  <c r="AJ77" i="8"/>
  <c r="AJ79" i="10" s="1"/>
  <c r="AH78" i="8"/>
  <c r="AI78" i="8"/>
  <c r="AI80" i="10" s="1"/>
  <c r="AJ78" i="8"/>
  <c r="AH79" i="8"/>
  <c r="AH81" i="10" s="1"/>
  <c r="AI79" i="8"/>
  <c r="AJ79" i="8"/>
  <c r="AH80" i="8"/>
  <c r="AI80" i="8"/>
  <c r="AJ80" i="8"/>
  <c r="AH81" i="8"/>
  <c r="AI81" i="8"/>
  <c r="AJ81" i="8"/>
  <c r="AH82" i="8"/>
  <c r="AI82" i="8"/>
  <c r="AJ82" i="8"/>
  <c r="AH83" i="8"/>
  <c r="AI83" i="8"/>
  <c r="AJ83" i="8"/>
  <c r="AH84" i="8"/>
  <c r="AI84" i="8"/>
  <c r="AJ84" i="8"/>
  <c r="AH85" i="8"/>
  <c r="AH87" i="10" s="1"/>
  <c r="AI85" i="8"/>
  <c r="AI87" i="10" s="1"/>
  <c r="AJ85" i="8"/>
  <c r="AJ87" i="10" s="1"/>
  <c r="AH86" i="8"/>
  <c r="AI86" i="8"/>
  <c r="AI88" i="10" s="1"/>
  <c r="AJ86" i="8"/>
  <c r="AH87" i="8"/>
  <c r="AI87" i="8"/>
  <c r="AJ87" i="8"/>
  <c r="AH88" i="8"/>
  <c r="AH90" i="10" s="1"/>
  <c r="AI88" i="8"/>
  <c r="AJ88" i="8"/>
  <c r="AH89" i="8"/>
  <c r="AI89" i="8"/>
  <c r="AI91" i="10" s="1"/>
  <c r="AJ89" i="8"/>
  <c r="AJ91" i="10" s="1"/>
  <c r="AH90" i="8"/>
  <c r="AI90" i="8"/>
  <c r="AJ90" i="8"/>
  <c r="AJ92" i="10" s="1"/>
  <c r="AH91" i="8"/>
  <c r="AH93" i="21" s="1"/>
  <c r="AI91" i="8"/>
  <c r="AJ91" i="8"/>
  <c r="AH92" i="8"/>
  <c r="AI92" i="8"/>
  <c r="AJ92" i="8"/>
  <c r="AJ94" i="10" s="1"/>
  <c r="AH93" i="8"/>
  <c r="AI93" i="8"/>
  <c r="AI95" i="11" s="1"/>
  <c r="AJ93" i="8"/>
  <c r="AH94" i="8"/>
  <c r="AH96" i="21" s="1"/>
  <c r="AI94" i="8"/>
  <c r="AJ94" i="8"/>
  <c r="AH95" i="8"/>
  <c r="AH97" i="10" s="1"/>
  <c r="AI95" i="8"/>
  <c r="AJ95" i="8"/>
  <c r="AH96" i="8"/>
  <c r="AI96" i="8"/>
  <c r="AI98" i="10" s="1"/>
  <c r="AJ96" i="8"/>
  <c r="AJ98" i="10" s="1"/>
  <c r="AH97" i="8"/>
  <c r="AI97" i="8"/>
  <c r="AJ97" i="8"/>
  <c r="AH98" i="8"/>
  <c r="AI98" i="8"/>
  <c r="AJ98" i="8"/>
  <c r="AH99" i="8"/>
  <c r="AI99" i="8"/>
  <c r="AJ99" i="8"/>
  <c r="AH100" i="8"/>
  <c r="AI100" i="8"/>
  <c r="AJ100" i="8"/>
  <c r="AH101" i="8"/>
  <c r="AI101" i="8"/>
  <c r="AJ101" i="8"/>
  <c r="AH102" i="8"/>
  <c r="AI102" i="8"/>
  <c r="AJ102" i="8"/>
  <c r="AH103" i="8"/>
  <c r="AH105" i="10" s="1"/>
  <c r="AI103" i="8"/>
  <c r="AJ103" i="8"/>
  <c r="AH104" i="8"/>
  <c r="AI104" i="8"/>
  <c r="AI106" i="10" s="1"/>
  <c r="AJ104" i="8"/>
  <c r="AJ106" i="10" s="1"/>
  <c r="AH105" i="8"/>
  <c r="AI105" i="8"/>
  <c r="AI107" i="10" s="1"/>
  <c r="AJ105" i="8"/>
  <c r="AH106" i="8"/>
  <c r="AI106" i="8"/>
  <c r="AJ106" i="8"/>
  <c r="AJ108" i="10" s="1"/>
  <c r="AH107" i="8"/>
  <c r="AI107" i="8"/>
  <c r="AJ107" i="8"/>
  <c r="AH108" i="8"/>
  <c r="AI108" i="8"/>
  <c r="AJ108" i="8"/>
  <c r="AH109" i="8"/>
  <c r="AI109" i="8"/>
  <c r="AJ109" i="8"/>
  <c r="AH110" i="8"/>
  <c r="AI110" i="8"/>
  <c r="AJ110" i="8"/>
  <c r="AH111" i="8"/>
  <c r="AI111" i="8"/>
  <c r="AJ111" i="8"/>
  <c r="AH112" i="8"/>
  <c r="AH114" i="10" s="1"/>
  <c r="AI112" i="8"/>
  <c r="AI114" i="10" s="1"/>
  <c r="AJ112" i="8"/>
  <c r="AH113" i="8"/>
  <c r="AI113" i="8"/>
  <c r="AI115" i="10" s="1"/>
  <c r="AJ113" i="8"/>
  <c r="AJ115" i="10" s="1"/>
  <c r="AH114" i="8"/>
  <c r="AI114" i="8"/>
  <c r="AJ114" i="8"/>
  <c r="AH115" i="8"/>
  <c r="AH117" i="10" s="1"/>
  <c r="AI115" i="8"/>
  <c r="AI117" i="10" s="1"/>
  <c r="AJ115" i="8"/>
  <c r="AJ117" i="10" s="1"/>
  <c r="AH116" i="8"/>
  <c r="AI116" i="8"/>
  <c r="AJ116" i="8"/>
  <c r="AH117" i="8"/>
  <c r="AI117" i="8"/>
  <c r="AJ117" i="8"/>
  <c r="AH118" i="8"/>
  <c r="AI118" i="8"/>
  <c r="AI120" i="10" s="1"/>
  <c r="AJ118" i="8"/>
  <c r="AJ120" i="10" s="1"/>
  <c r="AH119" i="8"/>
  <c r="AI119" i="8"/>
  <c r="AJ119" i="8"/>
  <c r="AH120" i="8"/>
  <c r="AI120" i="8"/>
  <c r="AI122" i="10" s="1"/>
  <c r="AJ120" i="8"/>
  <c r="AH121" i="8"/>
  <c r="AI121" i="8"/>
  <c r="AJ121" i="8"/>
  <c r="AH122" i="8"/>
  <c r="AI122" i="8"/>
  <c r="AJ122" i="8"/>
  <c r="AH123" i="8"/>
  <c r="AH125" i="21" s="1"/>
  <c r="AI123" i="8"/>
  <c r="AJ123" i="8"/>
  <c r="AH124" i="8"/>
  <c r="AI124" i="8"/>
  <c r="AJ124" i="8"/>
  <c r="AH125" i="8"/>
  <c r="AI125" i="8"/>
  <c r="AI127" i="11" s="1"/>
  <c r="AJ125" i="8"/>
  <c r="AH126" i="8"/>
  <c r="AH128" i="21" s="1"/>
  <c r="AI126" i="8"/>
  <c r="AJ126" i="8"/>
  <c r="AH127" i="8"/>
  <c r="AI127" i="8"/>
  <c r="AJ127" i="8"/>
  <c r="AH128" i="8"/>
  <c r="AI128" i="8"/>
  <c r="AJ128" i="8"/>
  <c r="AH129" i="8"/>
  <c r="AI129" i="8"/>
  <c r="AJ129" i="8"/>
  <c r="AH130" i="8"/>
  <c r="AI130" i="8"/>
  <c r="AJ130" i="8"/>
  <c r="AH131" i="8"/>
  <c r="AI131" i="8"/>
  <c r="AJ131" i="8"/>
  <c r="AH132" i="8"/>
  <c r="AI132" i="8"/>
  <c r="AJ132" i="8"/>
  <c r="AH133" i="8"/>
  <c r="AI133" i="8"/>
  <c r="AJ133" i="8"/>
  <c r="AH134" i="8"/>
  <c r="AI134" i="8"/>
  <c r="AI136" i="10" s="1"/>
  <c r="AJ134" i="8"/>
  <c r="AJ136" i="10" s="1"/>
  <c r="AH135" i="8"/>
  <c r="AI135" i="8"/>
  <c r="AJ135" i="8"/>
  <c r="AH136" i="8"/>
  <c r="AI136" i="8"/>
  <c r="AJ136" i="8"/>
  <c r="AH137" i="8"/>
  <c r="AI137" i="8"/>
  <c r="AJ137" i="8"/>
  <c r="AH138" i="8"/>
  <c r="AI138" i="8"/>
  <c r="AJ138" i="8"/>
  <c r="AH139" i="8"/>
  <c r="AI139" i="8"/>
  <c r="AJ139" i="8"/>
  <c r="AH140" i="8"/>
  <c r="AI140" i="8"/>
  <c r="AJ140" i="8"/>
  <c r="AH141" i="8"/>
  <c r="AI141" i="8"/>
  <c r="AJ141" i="8"/>
  <c r="AH142" i="8"/>
  <c r="AI142" i="8"/>
  <c r="AJ142" i="8"/>
  <c r="AH143" i="8"/>
  <c r="AI143" i="8"/>
  <c r="AJ143" i="8"/>
  <c r="AH144" i="8"/>
  <c r="AI144" i="8"/>
  <c r="AI146" i="10" s="1"/>
  <c r="AJ144" i="8"/>
  <c r="AJ146" i="10" s="1"/>
  <c r="AH145" i="8"/>
  <c r="AI145" i="8"/>
  <c r="AJ145" i="8"/>
  <c r="AH146" i="8"/>
  <c r="AH148" i="10" s="1"/>
  <c r="AI146" i="8"/>
  <c r="AJ146" i="8"/>
  <c r="AJ148" i="10" s="1"/>
  <c r="AH147" i="8"/>
  <c r="AI147" i="8"/>
  <c r="AI149" i="10" s="1"/>
  <c r="AJ147" i="8"/>
  <c r="AJ149" i="10" s="1"/>
  <c r="AH148" i="8"/>
  <c r="AI148" i="8"/>
  <c r="AJ148" i="8"/>
  <c r="AH149" i="8"/>
  <c r="AI149" i="8"/>
  <c r="AI151" i="10" s="1"/>
  <c r="AJ149" i="8"/>
  <c r="AJ151" i="10" s="1"/>
  <c r="AH150" i="8"/>
  <c r="AI150" i="8"/>
  <c r="AJ150" i="8"/>
  <c r="AH151" i="8"/>
  <c r="AI151" i="8"/>
  <c r="AI153" i="10" s="1"/>
  <c r="AJ151" i="8"/>
  <c r="AH152" i="8"/>
  <c r="AH154" i="10" s="1"/>
  <c r="AI152" i="8"/>
  <c r="AI154" i="10" s="1"/>
  <c r="AJ152" i="8"/>
  <c r="AJ154" i="10" s="1"/>
  <c r="AH153" i="8"/>
  <c r="AI153" i="8"/>
  <c r="AJ153" i="8"/>
  <c r="AH154" i="8"/>
  <c r="AI154" i="8"/>
  <c r="AJ154" i="8"/>
  <c r="AH155" i="8"/>
  <c r="AH157" i="21" s="1"/>
  <c r="AI155" i="8"/>
  <c r="AI157" i="10" s="1"/>
  <c r="AJ155" i="8"/>
  <c r="AJ157" i="10" s="1"/>
  <c r="AH156" i="8"/>
  <c r="AI156" i="8"/>
  <c r="AJ156" i="8"/>
  <c r="AH157" i="8"/>
  <c r="AI157" i="8"/>
  <c r="AI159" i="11" s="1"/>
  <c r="AJ157" i="8"/>
  <c r="AJ159" i="10" s="1"/>
  <c r="AH158" i="8"/>
  <c r="AH160" i="21" s="1"/>
  <c r="AI158" i="8"/>
  <c r="AJ158" i="8"/>
  <c r="AH159" i="8"/>
  <c r="AI159" i="8"/>
  <c r="AI161" i="10" s="1"/>
  <c r="AJ159" i="8"/>
  <c r="AH160" i="8"/>
  <c r="AI160" i="8"/>
  <c r="AJ160" i="8"/>
  <c r="AJ162" i="10" s="1"/>
  <c r="AH161" i="8"/>
  <c r="AI161" i="8"/>
  <c r="AJ161" i="8"/>
  <c r="AH162" i="8"/>
  <c r="AI162" i="8"/>
  <c r="AJ162" i="8"/>
  <c r="AH163" i="8"/>
  <c r="AI163" i="8"/>
  <c r="AJ163" i="8"/>
  <c r="AH164" i="8"/>
  <c r="AI164" i="8"/>
  <c r="AJ164" i="8"/>
  <c r="AH165" i="8"/>
  <c r="AH167" i="10" s="1"/>
  <c r="AI165" i="8"/>
  <c r="AJ165" i="8"/>
  <c r="AH166" i="8"/>
  <c r="AI166" i="8"/>
  <c r="AJ166" i="8"/>
  <c r="AH167" i="8"/>
  <c r="AI167" i="8"/>
  <c r="AJ167" i="8"/>
  <c r="AH168" i="8"/>
  <c r="AH170" i="10" s="1"/>
  <c r="AI168" i="8"/>
  <c r="AJ168" i="8"/>
  <c r="AH169" i="8"/>
  <c r="AI169" i="8"/>
  <c r="AJ169" i="8"/>
  <c r="AH170" i="8"/>
  <c r="AI170" i="8"/>
  <c r="AJ170" i="8"/>
  <c r="AJ172" i="10" s="1"/>
  <c r="AH171" i="8"/>
  <c r="AI171" i="8"/>
  <c r="AJ171" i="8"/>
  <c r="AH172" i="8"/>
  <c r="AI172" i="8"/>
  <c r="AJ172" i="8"/>
  <c r="AH173" i="8"/>
  <c r="AI173" i="8"/>
  <c r="AJ173" i="8"/>
  <c r="AH174" i="8"/>
  <c r="AI174" i="8"/>
  <c r="AJ174" i="8"/>
  <c r="AH175" i="8"/>
  <c r="AI175" i="8"/>
  <c r="AJ175" i="8"/>
  <c r="AH176" i="8"/>
  <c r="AI176" i="8"/>
  <c r="AJ176" i="8"/>
  <c r="AH177" i="8"/>
  <c r="AH179" i="10" s="1"/>
  <c r="AI177" i="8"/>
  <c r="AJ177" i="8"/>
  <c r="AH178" i="8"/>
  <c r="AI178" i="8"/>
  <c r="AJ178" i="8"/>
  <c r="AH179" i="8"/>
  <c r="AI179" i="8"/>
  <c r="AJ179" i="8"/>
  <c r="AH180" i="8"/>
  <c r="AI180" i="8"/>
  <c r="AJ180" i="8"/>
  <c r="AH181" i="8"/>
  <c r="AI181" i="8"/>
  <c r="AJ181" i="8"/>
  <c r="AH182" i="8"/>
  <c r="AI182" i="8"/>
  <c r="AJ182" i="8"/>
  <c r="AH183" i="8"/>
  <c r="AI183" i="8"/>
  <c r="AJ183" i="8"/>
  <c r="AH184" i="8"/>
  <c r="AI184" i="8"/>
  <c r="AJ184" i="8"/>
  <c r="AH185" i="8"/>
  <c r="AI185" i="8"/>
  <c r="AJ185" i="8"/>
  <c r="AH186" i="8"/>
  <c r="AH188" i="10" s="1"/>
  <c r="AI186" i="8"/>
  <c r="AJ186" i="8"/>
  <c r="AH187" i="8"/>
  <c r="AI187" i="8"/>
  <c r="AJ187" i="8"/>
  <c r="AH188" i="8"/>
  <c r="AI188" i="8"/>
  <c r="AJ188" i="8"/>
  <c r="AH189" i="8"/>
  <c r="AH191" i="10" s="1"/>
  <c r="AI189" i="8"/>
  <c r="AI191" i="21" s="1"/>
  <c r="AJ189" i="8"/>
  <c r="AH190" i="8"/>
  <c r="AI190" i="8"/>
  <c r="AJ190" i="8"/>
  <c r="AH191" i="8"/>
  <c r="AI191" i="8"/>
  <c r="AJ191" i="8"/>
  <c r="AH192" i="8"/>
  <c r="AI192" i="8"/>
  <c r="AJ192" i="8"/>
  <c r="AH193" i="8"/>
  <c r="AI193" i="8"/>
  <c r="AJ193" i="8"/>
  <c r="AH194" i="8"/>
  <c r="AI194" i="8"/>
  <c r="AJ194" i="8"/>
  <c r="AH195" i="8"/>
  <c r="AI195" i="8"/>
  <c r="AJ195" i="8"/>
  <c r="AH196" i="8"/>
  <c r="AI196" i="8"/>
  <c r="AJ196" i="8"/>
  <c r="AH197" i="8"/>
  <c r="AI197" i="8"/>
  <c r="AJ197" i="8"/>
  <c r="AH198" i="8"/>
  <c r="AI198" i="8"/>
  <c r="AJ198" i="8"/>
  <c r="AJ200" i="10" s="1"/>
  <c r="AH199" i="8"/>
  <c r="AI199" i="8"/>
  <c r="AJ199" i="8"/>
  <c r="AH200" i="8"/>
  <c r="AI200" i="8"/>
  <c r="AJ200" i="8"/>
  <c r="AH201" i="8"/>
  <c r="AI201" i="8"/>
  <c r="AJ201" i="8"/>
  <c r="AH202" i="8"/>
  <c r="AI202" i="8"/>
  <c r="AJ202" i="8"/>
  <c r="AJ204" i="10" s="1"/>
  <c r="AH203" i="8"/>
  <c r="AI203" i="8"/>
  <c r="AJ203" i="8"/>
  <c r="AH204" i="8"/>
  <c r="AI204" i="8"/>
  <c r="AJ204" i="8"/>
  <c r="AH205" i="8"/>
  <c r="AI205" i="8"/>
  <c r="AJ205" i="8"/>
  <c r="AH206" i="8"/>
  <c r="AI206" i="8"/>
  <c r="AJ206" i="8"/>
  <c r="AH207" i="8"/>
  <c r="AI207" i="8"/>
  <c r="AJ207" i="8"/>
  <c r="AH208" i="8"/>
  <c r="AI208" i="8"/>
  <c r="AJ208" i="8"/>
  <c r="AJ210" i="10" s="1"/>
  <c r="AH209" i="8"/>
  <c r="AI209" i="8"/>
  <c r="AJ209" i="8"/>
  <c r="AH210" i="8"/>
  <c r="AI210" i="8"/>
  <c r="AJ210" i="8"/>
  <c r="AJ212" i="21" s="1"/>
  <c r="AH211" i="8"/>
  <c r="AI211" i="8"/>
  <c r="AJ211" i="8"/>
  <c r="AH212" i="8"/>
  <c r="AH214" i="10" s="1"/>
  <c r="AI212" i="8"/>
  <c r="AJ212" i="8"/>
  <c r="AH213" i="8"/>
  <c r="AI213" i="8"/>
  <c r="AJ213" i="8"/>
  <c r="AH214" i="8"/>
  <c r="AI214" i="8"/>
  <c r="AJ214" i="8"/>
  <c r="AH215" i="8"/>
  <c r="AH217" i="10" s="1"/>
  <c r="AI215" i="8"/>
  <c r="AJ215" i="8"/>
  <c r="AH216" i="8"/>
  <c r="AI216" i="8"/>
  <c r="AJ216" i="8"/>
  <c r="AH217" i="8"/>
  <c r="AI217" i="8"/>
  <c r="AJ217" i="8"/>
  <c r="AH218" i="8"/>
  <c r="AH220" i="10" s="1"/>
  <c r="AI218" i="8"/>
  <c r="AJ218" i="8"/>
  <c r="AH219" i="8"/>
  <c r="AI219" i="8"/>
  <c r="AJ219" i="8"/>
  <c r="AH220" i="8"/>
  <c r="AH222" i="10" s="1"/>
  <c r="AI220" i="8"/>
  <c r="AJ220" i="8"/>
  <c r="AH221" i="8"/>
  <c r="AI221" i="8"/>
  <c r="AJ221" i="8"/>
  <c r="AH222" i="8"/>
  <c r="AH224" i="11" s="1"/>
  <c r="AI222" i="8"/>
  <c r="AJ222" i="8"/>
  <c r="AJ224" i="21" s="1"/>
  <c r="AH223" i="8"/>
  <c r="AH225" i="10" s="1"/>
  <c r="AI223" i="8"/>
  <c r="AJ223" i="8"/>
  <c r="AH224" i="8"/>
  <c r="AI224" i="8"/>
  <c r="AJ224" i="8"/>
  <c r="AH225" i="8"/>
  <c r="AI225" i="8"/>
  <c r="AJ225" i="8"/>
  <c r="AH226" i="8"/>
  <c r="AI226" i="8"/>
  <c r="AJ226" i="8"/>
  <c r="AJ228" i="21" s="1"/>
  <c r="AH227" i="8"/>
  <c r="AI227" i="8"/>
  <c r="AJ227" i="8"/>
  <c r="AH228" i="8"/>
  <c r="AI228" i="8"/>
  <c r="AJ228" i="8"/>
  <c r="AH229" i="8"/>
  <c r="AH231" i="10" s="1"/>
  <c r="AI229" i="8"/>
  <c r="AJ229" i="8"/>
  <c r="AJ231" i="10" s="1"/>
  <c r="AH230" i="8"/>
  <c r="AI230" i="8"/>
  <c r="AJ230" i="8"/>
  <c r="AJ232" i="11" s="1"/>
  <c r="AH231" i="8"/>
  <c r="AI231" i="8"/>
  <c r="AJ231" i="8"/>
  <c r="AH232" i="8"/>
  <c r="AI232" i="8"/>
  <c r="AJ232" i="8"/>
  <c r="AH233" i="8"/>
  <c r="AI233" i="8"/>
  <c r="AJ233" i="8"/>
  <c r="AH234" i="8"/>
  <c r="AI234" i="8"/>
  <c r="AJ234" i="8"/>
  <c r="AH235" i="8"/>
  <c r="AI235" i="8"/>
  <c r="AJ235" i="8"/>
  <c r="AH236" i="8"/>
  <c r="AI236" i="8"/>
  <c r="AJ236" i="8"/>
  <c r="AH237" i="8"/>
  <c r="AH239" i="21" s="1"/>
  <c r="AI237" i="8"/>
  <c r="AJ237" i="8"/>
  <c r="AH238" i="8"/>
  <c r="AI238" i="8"/>
  <c r="AJ238" i="8"/>
  <c r="AH239" i="8"/>
  <c r="AI239" i="8"/>
  <c r="AJ239" i="8"/>
  <c r="AH240" i="8"/>
  <c r="AH242" i="11" s="1"/>
  <c r="AI240" i="8"/>
  <c r="AJ240" i="8"/>
  <c r="AJ242" i="10" s="1"/>
  <c r="AH241" i="8"/>
  <c r="AI241" i="8"/>
  <c r="AJ241" i="8"/>
  <c r="AH242" i="8"/>
  <c r="AI242" i="8"/>
  <c r="AJ242" i="8"/>
  <c r="AH243" i="8"/>
  <c r="AI243" i="8"/>
  <c r="AJ243" i="8"/>
  <c r="AH244" i="8"/>
  <c r="AI244" i="8"/>
  <c r="AJ244" i="8"/>
  <c r="AH245" i="8"/>
  <c r="AI245" i="8"/>
  <c r="AJ245" i="8"/>
  <c r="AH246" i="8"/>
  <c r="AH248" i="11" s="1"/>
  <c r="AI246" i="8"/>
  <c r="AJ246" i="8"/>
  <c r="AJ248" i="11" s="1"/>
  <c r="AH247" i="8"/>
  <c r="AI247" i="8"/>
  <c r="AJ247" i="8"/>
  <c r="AH248" i="8"/>
  <c r="AI248" i="8"/>
  <c r="AI250" i="10" s="1"/>
  <c r="AJ248" i="8"/>
  <c r="AH249" i="8"/>
  <c r="AH251" i="21" s="1"/>
  <c r="AI249" i="8"/>
  <c r="AJ249" i="8"/>
  <c r="AH250" i="8"/>
  <c r="AH252" i="10" s="1"/>
  <c r="AI250" i="8"/>
  <c r="AJ250" i="8"/>
  <c r="AJ252" i="21" s="1"/>
  <c r="AH251" i="8"/>
  <c r="AI251" i="8"/>
  <c r="AJ251" i="8"/>
  <c r="AH252" i="8"/>
  <c r="AI252" i="8"/>
  <c r="AJ252" i="8"/>
  <c r="AH253" i="8"/>
  <c r="AI253" i="8"/>
  <c r="AJ253" i="8"/>
  <c r="AH254" i="8"/>
  <c r="AH256" i="21" s="1"/>
  <c r="AI254" i="8"/>
  <c r="AJ254" i="8"/>
  <c r="AJ256" i="11" s="1"/>
  <c r="AH255" i="8"/>
  <c r="AI255" i="8"/>
  <c r="AJ255" i="8"/>
  <c r="AH256" i="8"/>
  <c r="AI256" i="8"/>
  <c r="AJ256" i="8"/>
  <c r="AH257" i="8"/>
  <c r="AI257" i="8"/>
  <c r="AJ257" i="8"/>
  <c r="AH258" i="8"/>
  <c r="AI258" i="8"/>
  <c r="AJ258" i="8"/>
  <c r="AJ260" i="11" s="1"/>
  <c r="AH259" i="8"/>
  <c r="AI259" i="8"/>
  <c r="AJ259" i="8"/>
  <c r="AH260" i="8"/>
  <c r="AI260" i="8"/>
  <c r="AJ260" i="8"/>
  <c r="AH261" i="8"/>
  <c r="AH263" i="11" s="1"/>
  <c r="AI261" i="8"/>
  <c r="AJ261" i="8"/>
  <c r="AH262" i="8"/>
  <c r="AI262" i="8"/>
  <c r="AJ262" i="8"/>
  <c r="AH263" i="8"/>
  <c r="AI263" i="8"/>
  <c r="AJ263" i="8"/>
  <c r="AH264" i="8"/>
  <c r="AH266" i="11" s="1"/>
  <c r="AI264" i="8"/>
  <c r="AJ264" i="8"/>
  <c r="AH265" i="8"/>
  <c r="AH267" i="10" s="1"/>
  <c r="AI265" i="8"/>
  <c r="AJ265" i="8"/>
  <c r="AH266" i="8"/>
  <c r="AI266" i="8"/>
  <c r="AJ266" i="8"/>
  <c r="AH267" i="8"/>
  <c r="AH269" i="11" s="1"/>
  <c r="AI267" i="8"/>
  <c r="AJ267" i="8"/>
  <c r="AH268" i="8"/>
  <c r="AI268" i="8"/>
  <c r="AJ268" i="8"/>
  <c r="AH269" i="8"/>
  <c r="AI269" i="8"/>
  <c r="AJ269" i="8"/>
  <c r="AH270" i="8"/>
  <c r="AI270" i="8"/>
  <c r="AJ270" i="8"/>
  <c r="AH271" i="8"/>
  <c r="AI271" i="8"/>
  <c r="AJ271" i="8"/>
  <c r="AH272" i="8"/>
  <c r="AI272" i="8"/>
  <c r="AJ272" i="8"/>
  <c r="AH273" i="8"/>
  <c r="AH275" i="11" s="1"/>
  <c r="AI273" i="8"/>
  <c r="AJ273" i="8"/>
  <c r="AH274" i="8"/>
  <c r="AI274" i="8"/>
  <c r="AJ274" i="8"/>
  <c r="AJ276" i="11" s="1"/>
  <c r="AH275" i="8"/>
  <c r="AI275" i="8"/>
  <c r="AJ275" i="8"/>
  <c r="AH276" i="8"/>
  <c r="AI276" i="8"/>
  <c r="AJ276" i="8"/>
  <c r="AH277" i="8"/>
  <c r="AI277" i="8"/>
  <c r="AJ277" i="8"/>
  <c r="AH278" i="8"/>
  <c r="AI278" i="8"/>
  <c r="AJ278" i="8"/>
  <c r="AJ280" i="11" s="1"/>
  <c r="AH279" i="8"/>
  <c r="AI279" i="8"/>
  <c r="AJ279" i="8"/>
  <c r="AH280" i="8"/>
  <c r="AH282" i="10" s="1"/>
  <c r="AI280" i="8"/>
  <c r="AJ280" i="8"/>
  <c r="AH281" i="8"/>
  <c r="AI281" i="8"/>
  <c r="AI283" i="10" s="1"/>
  <c r="AJ281" i="8"/>
  <c r="AH282" i="8"/>
  <c r="AI282" i="8"/>
  <c r="AJ282" i="8"/>
  <c r="AH283" i="8"/>
  <c r="AH285" i="21" s="1"/>
  <c r="AI283" i="8"/>
  <c r="AJ283" i="8"/>
  <c r="AH284" i="8"/>
  <c r="AI284" i="8"/>
  <c r="AJ284" i="8"/>
  <c r="AH285" i="8"/>
  <c r="AI285" i="8"/>
  <c r="AJ285" i="8"/>
  <c r="AH286" i="8"/>
  <c r="AH288" i="21" s="1"/>
  <c r="AI286" i="8"/>
  <c r="AI288" i="10" s="1"/>
  <c r="AJ286" i="8"/>
  <c r="AJ288" i="21" s="1"/>
  <c r="AH287" i="8"/>
  <c r="AI287" i="8"/>
  <c r="AJ287" i="8"/>
  <c r="AH288" i="8"/>
  <c r="AI288" i="8"/>
  <c r="AJ288" i="8"/>
  <c r="AH289" i="8"/>
  <c r="AH291" i="10" s="1"/>
  <c r="AI289" i="8"/>
  <c r="AJ289" i="8"/>
  <c r="AH290" i="8"/>
  <c r="AI290" i="8"/>
  <c r="AJ290" i="8"/>
  <c r="AJ292" i="21" s="1"/>
  <c r="AH291" i="8"/>
  <c r="AI291" i="8"/>
  <c r="AJ291" i="8"/>
  <c r="AH292" i="8"/>
  <c r="AI292" i="8"/>
  <c r="AJ292" i="8"/>
  <c r="AH293" i="8"/>
  <c r="AI293" i="8"/>
  <c r="AJ293" i="8"/>
  <c r="AH294" i="8"/>
  <c r="AI294" i="8"/>
  <c r="AJ294" i="8"/>
  <c r="AJ296" i="11" s="1"/>
  <c r="AH295" i="8"/>
  <c r="AI295" i="8"/>
  <c r="AJ295" i="8"/>
  <c r="AH296" i="8"/>
  <c r="AI296" i="8"/>
  <c r="AJ296" i="8"/>
  <c r="AH297" i="8"/>
  <c r="AH299" i="11" s="1"/>
  <c r="AI297" i="8"/>
  <c r="AJ297" i="8"/>
  <c r="AH298" i="8"/>
  <c r="AI298" i="8"/>
  <c r="AJ298" i="8"/>
  <c r="AJ300" i="11" s="1"/>
  <c r="AH299" i="8"/>
  <c r="AI299" i="8"/>
  <c r="AJ299" i="8"/>
  <c r="AH300" i="8"/>
  <c r="AH302" i="10" s="1"/>
  <c r="AI300" i="8"/>
  <c r="AJ300" i="8"/>
  <c r="AH301" i="8"/>
  <c r="AI301" i="8"/>
  <c r="AJ301" i="8"/>
  <c r="AH302" i="8"/>
  <c r="AI302" i="8"/>
  <c r="AI304" i="10" s="1"/>
  <c r="AJ302" i="8"/>
  <c r="AH303" i="8"/>
  <c r="AH305" i="21" s="1"/>
  <c r="AI303" i="8"/>
  <c r="AJ303" i="8"/>
  <c r="AH304" i="8"/>
  <c r="AI304" i="8"/>
  <c r="AJ304" i="8"/>
  <c r="AH305" i="8"/>
  <c r="AI305" i="8"/>
  <c r="AJ305" i="8"/>
  <c r="AH306" i="8"/>
  <c r="AI306" i="8"/>
  <c r="AJ306" i="8"/>
  <c r="AJ308" i="11" s="1"/>
  <c r="AH307" i="8"/>
  <c r="AI307" i="8"/>
  <c r="AJ307" i="8"/>
  <c r="AH308" i="8"/>
  <c r="AI308" i="8"/>
  <c r="AJ308" i="8"/>
  <c r="AH309" i="8"/>
  <c r="AH311" i="11" s="1"/>
  <c r="AI309" i="8"/>
  <c r="AJ309" i="8"/>
  <c r="AH310" i="8"/>
  <c r="AI310" i="8"/>
  <c r="AJ310" i="8"/>
  <c r="AJ312" i="11" s="1"/>
  <c r="AH311" i="8"/>
  <c r="AI311" i="8"/>
  <c r="AJ311" i="8"/>
  <c r="AH312" i="8"/>
  <c r="AH314" i="11" s="1"/>
  <c r="AI312" i="8"/>
  <c r="AJ312" i="8"/>
  <c r="AH313" i="8"/>
  <c r="AH315" i="10" s="1"/>
  <c r="AI313" i="8"/>
  <c r="AJ313" i="8"/>
  <c r="AH314" i="8"/>
  <c r="AI314" i="8"/>
  <c r="AJ314" i="8"/>
  <c r="AH315" i="8"/>
  <c r="AI315" i="8"/>
  <c r="AJ315" i="8"/>
  <c r="AH316" i="8"/>
  <c r="AH318" i="10" s="1"/>
  <c r="AI316" i="8"/>
  <c r="AJ316" i="8"/>
  <c r="AH317" i="8"/>
  <c r="AH319" i="11" s="1"/>
  <c r="AI317" i="8"/>
  <c r="AJ317" i="8"/>
  <c r="AH318" i="8"/>
  <c r="AI318" i="8"/>
  <c r="AJ318" i="8"/>
  <c r="AJ320" i="21" s="1"/>
  <c r="AH319" i="8"/>
  <c r="AI319" i="8"/>
  <c r="AJ319" i="8"/>
  <c r="AH320" i="8"/>
  <c r="AH322" i="11" s="1"/>
  <c r="AI320" i="8"/>
  <c r="AI322" i="10" s="1"/>
  <c r="AJ320" i="8"/>
  <c r="AJ322" i="11" s="1"/>
  <c r="AH321" i="8"/>
  <c r="AI321" i="8"/>
  <c r="AJ321" i="8"/>
  <c r="AH322" i="8"/>
  <c r="AI322" i="8"/>
  <c r="AJ322" i="8"/>
  <c r="AJ324" i="21" s="1"/>
  <c r="AH323" i="8"/>
  <c r="AI323" i="8"/>
  <c r="AJ323" i="8"/>
  <c r="AH324" i="8"/>
  <c r="AI324" i="8"/>
  <c r="AJ324" i="8"/>
  <c r="AH325" i="8"/>
  <c r="AH327" i="21" s="1"/>
  <c r="AI325" i="8"/>
  <c r="AJ325" i="8"/>
  <c r="AH326" i="8"/>
  <c r="AI326" i="8"/>
  <c r="AJ326" i="8"/>
  <c r="AH327" i="8"/>
  <c r="AI327" i="8"/>
  <c r="AJ327" i="8"/>
  <c r="AH328" i="8"/>
  <c r="AH330" i="11" s="1"/>
  <c r="AI328" i="8"/>
  <c r="AJ328" i="8"/>
  <c r="AH329" i="8"/>
  <c r="AI329" i="8"/>
  <c r="AJ329" i="8"/>
  <c r="AH330" i="8"/>
  <c r="AI330" i="8"/>
  <c r="AJ330" i="8"/>
  <c r="AH331" i="8"/>
  <c r="AI331" i="8"/>
  <c r="AJ331" i="8"/>
  <c r="AH332" i="8"/>
  <c r="AI332" i="8"/>
  <c r="AI334" i="10" s="1"/>
  <c r="AJ332" i="8"/>
  <c r="AH333" i="8"/>
  <c r="AI333" i="8"/>
  <c r="AJ333" i="8"/>
  <c r="AH334" i="8"/>
  <c r="AI334" i="8"/>
  <c r="AJ334" i="8"/>
  <c r="AH335" i="8"/>
  <c r="AI335" i="8"/>
  <c r="AJ335" i="8"/>
  <c r="AH336" i="8"/>
  <c r="AH338" i="11" s="1"/>
  <c r="AI336" i="8"/>
  <c r="AI338" i="10" s="1"/>
  <c r="AJ336" i="8"/>
  <c r="AH337" i="8"/>
  <c r="AI337" i="8"/>
  <c r="AJ337" i="8"/>
  <c r="AH338" i="8"/>
  <c r="AI338" i="8"/>
  <c r="AJ338" i="8"/>
  <c r="AJ340" i="11" s="1"/>
  <c r="AH339" i="8"/>
  <c r="AI339" i="8"/>
  <c r="AJ339" i="8"/>
  <c r="AH340" i="8"/>
  <c r="AI340" i="8"/>
  <c r="AJ340" i="8"/>
  <c r="AH341" i="8"/>
  <c r="AH343" i="11" s="1"/>
  <c r="AI341" i="8"/>
  <c r="AJ341" i="8"/>
  <c r="AH342" i="8"/>
  <c r="AI342" i="8"/>
  <c r="AJ342" i="8"/>
  <c r="AH343" i="8"/>
  <c r="AI343" i="8"/>
  <c r="AJ343" i="8"/>
  <c r="AH344" i="8"/>
  <c r="AI344" i="8"/>
  <c r="AI346" i="10" s="1"/>
  <c r="AJ344" i="8"/>
  <c r="AH345" i="8"/>
  <c r="AI345" i="8"/>
  <c r="AJ345" i="8"/>
  <c r="AH346" i="8"/>
  <c r="AI346" i="8"/>
  <c r="AJ346" i="8"/>
  <c r="AH347" i="8"/>
  <c r="AI347" i="8"/>
  <c r="AJ347" i="8"/>
  <c r="AH348" i="8"/>
  <c r="AH350" i="10" s="1"/>
  <c r="AI348" i="8"/>
  <c r="AJ348" i="8"/>
  <c r="AH349" i="8"/>
  <c r="AI349" i="8"/>
  <c r="AJ349" i="8"/>
  <c r="AH350" i="8"/>
  <c r="AI350" i="8"/>
  <c r="AJ350" i="8"/>
  <c r="AJ352" i="21" s="1"/>
  <c r="AH351" i="8"/>
  <c r="AI351" i="8"/>
  <c r="AJ351" i="8"/>
  <c r="AH352" i="8"/>
  <c r="AH354" i="11" s="1"/>
  <c r="AI352" i="8"/>
  <c r="AJ352" i="8"/>
  <c r="AH353" i="8"/>
  <c r="AI353" i="8"/>
  <c r="AJ353" i="8"/>
  <c r="AH354" i="8"/>
  <c r="AI354" i="8"/>
  <c r="AJ354" i="8"/>
  <c r="AH355" i="8"/>
  <c r="AI355" i="8"/>
  <c r="AJ355" i="8"/>
  <c r="AH356" i="8"/>
  <c r="AI356" i="8"/>
  <c r="AJ356" i="8"/>
  <c r="AH357" i="8"/>
  <c r="AH359" i="21" s="1"/>
  <c r="AI357" i="8"/>
  <c r="AJ357" i="8"/>
  <c r="AH358" i="8"/>
  <c r="AH360" i="10" s="1"/>
  <c r="AI358" i="8"/>
  <c r="AJ358" i="8"/>
  <c r="AH359" i="8"/>
  <c r="AI359" i="8"/>
  <c r="AJ359" i="8"/>
  <c r="AH360" i="8"/>
  <c r="AI360" i="8"/>
  <c r="AJ360" i="8"/>
  <c r="AH361" i="8"/>
  <c r="AI361" i="8"/>
  <c r="AJ361" i="8"/>
  <c r="AH362" i="8"/>
  <c r="AI362" i="8"/>
  <c r="AJ362" i="8"/>
  <c r="AH363" i="8"/>
  <c r="AI363" i="8"/>
  <c r="AI365" i="21" s="1"/>
  <c r="AJ363" i="8"/>
  <c r="AH364" i="8"/>
  <c r="AI364" i="8"/>
  <c r="AJ364" i="8"/>
  <c r="AH365" i="8"/>
  <c r="AH367" i="11" s="1"/>
  <c r="AI365" i="8"/>
  <c r="AJ365" i="8"/>
  <c r="AH366" i="8"/>
  <c r="AI366" i="8"/>
  <c r="AJ366" i="8"/>
  <c r="AJ368" i="11" s="1"/>
  <c r="AH367" i="8"/>
  <c r="AI367" i="8"/>
  <c r="AJ367" i="8"/>
  <c r="AH368" i="8"/>
  <c r="AI368" i="8"/>
  <c r="AJ368" i="8"/>
  <c r="AH369" i="8"/>
  <c r="AI369" i="8"/>
  <c r="AJ369" i="8"/>
  <c r="AH370" i="8"/>
  <c r="AI370" i="8"/>
  <c r="AJ370" i="8"/>
  <c r="AH371" i="8"/>
  <c r="AI371" i="8"/>
  <c r="AJ371" i="8"/>
  <c r="AH372" i="8"/>
  <c r="AI372" i="8"/>
  <c r="AJ372" i="8"/>
  <c r="AH373" i="8"/>
  <c r="AI373" i="8"/>
  <c r="AJ373" i="8"/>
  <c r="AH374" i="8"/>
  <c r="AI374" i="8"/>
  <c r="AJ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N366" i="8"/>
  <c r="O366" i="8"/>
  <c r="P366" i="8"/>
  <c r="Q366" i="8"/>
  <c r="Q367" i="9" s="1"/>
  <c r="R366" i="8"/>
  <c r="R367" i="9" s="1"/>
  <c r="S366" i="8"/>
  <c r="S368" i="21" s="1"/>
  <c r="T366" i="8"/>
  <c r="U366" i="8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N370" i="8"/>
  <c r="N371" i="9" s="1"/>
  <c r="O370" i="8"/>
  <c r="O371" i="9" s="1"/>
  <c r="P370" i="8"/>
  <c r="P371" i="9" s="1"/>
  <c r="Q370" i="8"/>
  <c r="R370" i="8"/>
  <c r="S370" i="8"/>
  <c r="T370" i="8"/>
  <c r="U370" i="8"/>
  <c r="U371" i="9" s="1"/>
  <c r="V370" i="8"/>
  <c r="V371" i="9" s="1"/>
  <c r="W370" i="8"/>
  <c r="X370" i="8"/>
  <c r="X371" i="9" s="1"/>
  <c r="Y370" i="8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371" i="8"/>
  <c r="B371" i="8"/>
  <c r="C371" i="8"/>
  <c r="D371" i="8"/>
  <c r="E371" i="8"/>
  <c r="E372" i="9" s="1"/>
  <c r="F371" i="8"/>
  <c r="F372" i="9" s="1"/>
  <c r="G371" i="8"/>
  <c r="H371" i="8"/>
  <c r="I371" i="8"/>
  <c r="J371" i="8"/>
  <c r="K371" i="8"/>
  <c r="L371" i="8"/>
  <c r="M371" i="8"/>
  <c r="M372" i="9" s="1"/>
  <c r="N371" i="8"/>
  <c r="N372" i="9" s="1"/>
  <c r="O371" i="8"/>
  <c r="O372" i="9" s="1"/>
  <c r="P371" i="8"/>
  <c r="Q371" i="8"/>
  <c r="R371" i="8"/>
  <c r="S371" i="8"/>
  <c r="T371" i="8"/>
  <c r="T372" i="9" s="1"/>
  <c r="U371" i="8"/>
  <c r="V371" i="8"/>
  <c r="V372" i="9" s="1"/>
  <c r="W371" i="8"/>
  <c r="W372" i="9" s="1"/>
  <c r="X371" i="8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H372" i="8"/>
  <c r="I372" i="8"/>
  <c r="J372" i="8"/>
  <c r="K372" i="8"/>
  <c r="L372" i="8"/>
  <c r="L373" i="9" s="1"/>
  <c r="M372" i="8"/>
  <c r="M373" i="9" s="1"/>
  <c r="N372" i="8"/>
  <c r="N373" i="9" s="1"/>
  <c r="O372" i="8"/>
  <c r="P372" i="8"/>
  <c r="Q372" i="8"/>
  <c r="R372" i="8"/>
  <c r="S372" i="8"/>
  <c r="T372" i="8"/>
  <c r="T373" i="9" s="1"/>
  <c r="U372" i="8"/>
  <c r="U373" i="9" s="1"/>
  <c r="V372" i="8"/>
  <c r="V373" i="9" s="1"/>
  <c r="W372" i="8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F372" i="8"/>
  <c r="AG372" i="8"/>
  <c r="A373" i="8"/>
  <c r="B373" i="8"/>
  <c r="B374" i="9" s="1"/>
  <c r="C373" i="8"/>
  <c r="D373" i="8"/>
  <c r="D374" i="9" s="1"/>
  <c r="E373" i="8"/>
  <c r="E374" i="9" s="1"/>
  <c r="F373" i="8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O373" i="8"/>
  <c r="P373" i="8"/>
  <c r="Q373" i="8"/>
  <c r="R373" i="8"/>
  <c r="R374" i="9" s="1"/>
  <c r="S373" i="8"/>
  <c r="S374" i="9" s="1"/>
  <c r="T373" i="8"/>
  <c r="T374" i="9" s="1"/>
  <c r="U373" i="8"/>
  <c r="U374" i="9" s="1"/>
  <c r="V373" i="8"/>
  <c r="W373" i="8"/>
  <c r="X373" i="8"/>
  <c r="X374" i="9" s="1"/>
  <c r="Y373" i="8"/>
  <c r="Z373" i="8"/>
  <c r="AA373" i="8"/>
  <c r="AA374" i="9" s="1"/>
  <c r="AB373" i="8"/>
  <c r="AC373" i="8"/>
  <c r="AC374" i="9" s="1"/>
  <c r="AD373" i="8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G374" i="8"/>
  <c r="AG375" i="9" s="1"/>
  <c r="G369" i="9"/>
  <c r="S369" i="9"/>
  <c r="AA369" i="9"/>
  <c r="I371" i="9"/>
  <c r="Q371" i="9"/>
  <c r="W371" i="9"/>
  <c r="Y371" i="9"/>
  <c r="AG371" i="9"/>
  <c r="G373" i="9"/>
  <c r="K373" i="9"/>
  <c r="O373" i="9"/>
  <c r="S373" i="9"/>
  <c r="W373" i="9"/>
  <c r="AE373" i="9"/>
  <c r="F374" i="9"/>
  <c r="N374" i="9"/>
  <c r="V374" i="9"/>
  <c r="AB374" i="9"/>
  <c r="AD374" i="9"/>
  <c r="G367" i="9"/>
  <c r="H367" i="9"/>
  <c r="M367" i="9"/>
  <c r="N367" i="9"/>
  <c r="O367" i="9"/>
  <c r="P367" i="9"/>
  <c r="S367" i="9"/>
  <c r="U367" i="9"/>
  <c r="V367" i="9"/>
  <c r="W367" i="9"/>
  <c r="AC367" i="9"/>
  <c r="AF367" i="9"/>
  <c r="F368" i="9"/>
  <c r="G368" i="9"/>
  <c r="M368" i="9"/>
  <c r="N368" i="9"/>
  <c r="O368" i="9"/>
  <c r="T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M371" i="9"/>
  <c r="R371" i="9"/>
  <c r="S371" i="9"/>
  <c r="T371" i="9"/>
  <c r="Z371" i="9"/>
  <c r="AA371" i="9"/>
  <c r="AB371" i="9"/>
  <c r="G372" i="9"/>
  <c r="H372" i="9"/>
  <c r="I372" i="9"/>
  <c r="J372" i="9"/>
  <c r="K372" i="9"/>
  <c r="L372" i="9"/>
  <c r="P372" i="9"/>
  <c r="Q372" i="9"/>
  <c r="R372" i="9"/>
  <c r="S372" i="9"/>
  <c r="U372" i="9"/>
  <c r="X372" i="9"/>
  <c r="Z372" i="9"/>
  <c r="AA372" i="9"/>
  <c r="AF372" i="9"/>
  <c r="AG372" i="9"/>
  <c r="H373" i="9"/>
  <c r="I373" i="9"/>
  <c r="J373" i="9"/>
  <c r="P373" i="9"/>
  <c r="Q373" i="9"/>
  <c r="R373" i="9"/>
  <c r="Y373" i="9"/>
  <c r="Z373" i="9"/>
  <c r="AD373" i="9"/>
  <c r="AF373" i="9"/>
  <c r="AG373" i="9"/>
  <c r="G374" i="9"/>
  <c r="H374" i="9"/>
  <c r="I374" i="9"/>
  <c r="O374" i="9"/>
  <c r="P374" i="9"/>
  <c r="Q374" i="9"/>
  <c r="W374" i="9"/>
  <c r="Y374" i="9"/>
  <c r="Z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AF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P2" i="2"/>
  <c r="Q2" i="2"/>
  <c r="O2" i="2"/>
  <c r="AD368" i="10"/>
  <c r="AF368" i="10"/>
  <c r="AG368" i="11"/>
  <c r="AB369" i="11"/>
  <c r="AC369" i="11"/>
  <c r="AD369" i="21"/>
  <c r="AE369" i="21"/>
  <c r="AF369" i="11"/>
  <c r="O368" i="10"/>
  <c r="P368" i="21"/>
  <c r="Q368" i="10"/>
  <c r="U368" i="11"/>
  <c r="V368" i="10"/>
  <c r="W368" i="10"/>
  <c r="Y368" i="10"/>
  <c r="O369" i="21"/>
  <c r="P369" i="11"/>
  <c r="U369" i="11"/>
  <c r="V369" i="11"/>
  <c r="W369" i="21"/>
  <c r="X369" i="11"/>
  <c r="E368" i="11"/>
  <c r="F368" i="10"/>
  <c r="G368" i="10"/>
  <c r="H368" i="11"/>
  <c r="I368" i="11"/>
  <c r="J368" i="10"/>
  <c r="M368" i="11"/>
  <c r="N368" i="10"/>
  <c r="E369" i="11"/>
  <c r="F369" i="11"/>
  <c r="G369" i="21"/>
  <c r="H369" i="11"/>
  <c r="L369" i="11"/>
  <c r="M369" i="11"/>
  <c r="N369" i="11"/>
  <c r="A368" i="10"/>
  <c r="B368" i="10"/>
  <c r="D369" i="11"/>
  <c r="AJ1" i="8"/>
  <c r="AJ3" i="21" s="1"/>
  <c r="AH1" i="8"/>
  <c r="AH3" i="11" s="1"/>
  <c r="A30" i="14" s="1"/>
  <c r="AI1" i="8"/>
  <c r="AI3" i="11" s="1"/>
  <c r="A31" i="14" s="1"/>
  <c r="AQ3" i="2"/>
  <c r="AR3" i="2"/>
  <c r="N355" i="2" l="1"/>
  <c r="N289" i="2"/>
  <c r="N352" i="2"/>
  <c r="E11" i="14"/>
  <c r="E9" i="14"/>
  <c r="E10" i="14"/>
  <c r="E12" i="14"/>
  <c r="E8" i="14"/>
  <c r="N324" i="2"/>
  <c r="N262" i="2"/>
  <c r="N279" i="2"/>
  <c r="N296" i="2"/>
  <c r="N282" i="2"/>
  <c r="N281" i="2"/>
  <c r="N284" i="2"/>
  <c r="E7" i="14"/>
  <c r="E6" i="14"/>
  <c r="E5" i="14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G2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O2" i="10"/>
  <c r="N2" i="10"/>
  <c r="M2" i="10"/>
  <c r="L2" i="10"/>
  <c r="P2" i="11"/>
  <c r="AB2" i="11"/>
  <c r="V2" i="11"/>
  <c r="G2" i="1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T2" i="11"/>
  <c r="N2" i="11"/>
  <c r="I2" i="11"/>
  <c r="J2" i="11"/>
  <c r="W2" i="11"/>
  <c r="I2" i="10"/>
  <c r="H2" i="10"/>
  <c r="G2" i="10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" i="1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<sst xmlns="http://schemas.openxmlformats.org/spreadsheetml/2006/main" count="3089" uniqueCount="1351">
  <si>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</si>
  <si>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</si>
  <si>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</si>
  <si>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</si>
  <si>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</si>
  <si>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</si>
  <si>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</si>
  <si>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</si>
  <si>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</si>
  <si>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</si>
  <si>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</si>
  <si>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</si>
  <si>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</si>
  <si>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</si>
  <si>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</si>
  <si>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</si>
  <si>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</si>
  <si>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</si>
  <si>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</si>
  <si>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</si>
  <si>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</si>
  <si>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</si>
  <si>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</si>
  <si>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</si>
  <si>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</si>
  <si>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</si>
  <si>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</si>
  <si>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</si>
  <si>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</si>
  <si>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</si>
  <si>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</si>
  <si>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</si>
  <si>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</si>
  <si>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</si>
  <si>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</si>
  <si>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</si>
  <si>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</si>
  <si>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</si>
  <si>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</si>
  <si>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</si>
  <si>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</si>
  <si>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</si>
  <si>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</si>
  <si>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</si>
  <si>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</si>
  <si>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</si>
  <si>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</si>
  <si>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</si>
  <si>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</si>
  <si>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</si>
  <si>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</si>
  <si>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</si>
  <si>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</si>
  <si>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</si>
  <si>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</si>
  <si>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</si>
  <si>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</si>
  <si>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</si>
  <si>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</si>
  <si>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</si>
  <si>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</si>
  <si>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</si>
  <si>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</si>
  <si>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</si>
  <si>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</si>
  <si>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</si>
  <si>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</si>
  <si>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</si>
  <si>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</si>
  <si>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</si>
  <si>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</si>
  <si>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</si>
  <si>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</si>
  <si>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</si>
  <si>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</si>
  <si>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</si>
  <si>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</si>
  <si>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</si>
  <si>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</si>
  <si>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</si>
  <si>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</si>
  <si>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</si>
  <si>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</si>
  <si>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</si>
  <si>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</si>
  <si>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</si>
  <si>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</si>
  <si>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</si>
  <si>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</si>
  <si>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</si>
  <si>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</si>
  <si>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</si>
  <si>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</si>
  <si>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</si>
  <si>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</si>
  <si>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</si>
  <si>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</si>
  <si>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</si>
  <si>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</si>
  <si>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</si>
  <si>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</si>
  <si>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</si>
  <si>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</si>
  <si>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</si>
  <si>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</si>
  <si>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</si>
  <si>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</si>
  <si>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</si>
  <si>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</si>
  <si>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</si>
  <si>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</si>
  <si>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</si>
  <si>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</si>
  <si>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</si>
  <si>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</si>
  <si>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</si>
  <si>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</si>
  <si>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</si>
  <si>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</si>
  <si>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</si>
  <si>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</si>
  <si>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</si>
  <si>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</si>
  <si>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</si>
  <si>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</si>
  <si>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</si>
  <si>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</si>
  <si>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</si>
  <si>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</si>
  <si>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</si>
  <si>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</si>
  <si>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</si>
  <si>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</si>
  <si>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</si>
  <si>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</si>
  <si>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</si>
  <si>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</si>
  <si>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</si>
  <si>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</si>
  <si>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</si>
  <si>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</si>
  <si>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</si>
  <si>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</si>
  <si>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</si>
  <si>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</si>
  <si>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</si>
  <si>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</si>
  <si>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</si>
  <si>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</si>
  <si>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</si>
  <si>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</si>
  <si>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</si>
  <si>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</si>
  <si>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</si>
  <si>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</si>
  <si>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</si>
  <si>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</si>
  <si>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</si>
  <si>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</si>
  <si>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</si>
  <si>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</si>
  <si>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</si>
  <si>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</si>
  <si>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</si>
  <si>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</si>
  <si>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</si>
  <si>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</si>
  <si>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</si>
  <si>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</si>
  <si>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</si>
  <si>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</si>
  <si>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</si>
  <si>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</si>
  <si>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</si>
  <si>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</si>
  <si>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</si>
  <si>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</si>
  <si>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</si>
  <si>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</si>
  <si>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</si>
  <si>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</si>
  <si>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</si>
  <si>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</si>
  <si>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</si>
  <si>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</si>
  <si>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</si>
  <si>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</si>
  <si>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</si>
  <si>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</si>
  <si>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</si>
  <si>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</si>
  <si>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</si>
  <si>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</si>
  <si>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</si>
  <si>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</si>
  <si>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</si>
  <si>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</si>
  <si>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</si>
  <si>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</si>
  <si>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</si>
  <si>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</si>
  <si>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</si>
  <si>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</si>
  <si>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</si>
  <si>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</si>
  <si>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</si>
  <si>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</si>
  <si>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</si>
  <si>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</si>
  <si>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</si>
  <si>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</si>
  <si>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</si>
  <si>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</si>
  <si>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</si>
  <si>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</si>
  <si>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</si>
  <si>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</si>
  <si>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</si>
  <si>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</si>
  <si>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</si>
  <si>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</si>
  <si>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</si>
  <si>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</si>
  <si>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</si>
  <si>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</si>
  <si>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</si>
  <si>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</si>
  <si>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</si>
  <si>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</si>
  <si>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</si>
  <si>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</si>
  <si>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</si>
  <si>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</si>
  <si>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</si>
  <si>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</si>
  <si>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</si>
  <si>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</si>
  <si>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</si>
  <si>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</si>
  <si>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</si>
  <si>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</si>
  <si>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</si>
  <si>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</si>
  <si>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</si>
  <si>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</si>
  <si>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</si>
  <si>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</si>
  <si>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</si>
  <si>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</si>
  <si>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</si>
  <si>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</si>
  <si>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</si>
  <si>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</si>
  <si>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</si>
  <si>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</si>
  <si>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</si>
  <si>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</si>
  <si>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</si>
  <si>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</si>
  <si>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</si>
  <si>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</si>
  <si>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</si>
  <si>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</si>
  <si>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</si>
  <si>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</si>
  <si>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</si>
  <si>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</si>
  <si>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</si>
  <si>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</si>
  <si>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</si>
  <si>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</si>
  <si>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</si>
  <si>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</si>
  <si>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</si>
  <si>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</si>
  <si>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</si>
  <si>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</si>
  <si>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</si>
  <si>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</si>
  <si>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</si>
  <si>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</si>
  <si>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</si>
  <si>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</si>
  <si>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</si>
  <si>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</si>
  <si>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</si>
  <si>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</si>
  <si>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</si>
  <si>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</si>
  <si>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</si>
  <si>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</si>
  <si>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</si>
  <si>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</si>
  <si>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</si>
  <si>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</si>
  <si>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</si>
  <si>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</si>
  <si>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</si>
  <si>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</si>
  <si>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</si>
  <si>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</si>
  <si>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</si>
  <si>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</si>
  <si>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</si>
  <si>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</si>
  <si>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</si>
  <si>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</si>
  <si>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</si>
  <si>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</si>
  <si>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</si>
  <si>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</si>
  <si>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</si>
  <si>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</si>
  <si>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</si>
  <si>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</si>
  <si>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</si>
  <si>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</si>
  <si>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</si>
  <si>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</si>
  <si>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</si>
  <si>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</si>
  <si>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</si>
  <si>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</si>
  <si>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</si>
  <si>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</si>
  <si>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</si>
  <si>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</si>
  <si>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</si>
  <si>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</si>
  <si>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</si>
  <si>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</si>
  <si>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</si>
  <si>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</si>
  <si>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</si>
  <si>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</si>
  <si>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</si>
  <si>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</si>
  <si>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</si>
  <si>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</si>
  <si>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</si>
  <si>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</si>
  <si>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</si>
  <si>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</si>
  <si>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</si>
  <si>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</si>
  <si>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</si>
  <si>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</si>
  <si>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</si>
  <si>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</si>
  <si>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</si>
  <si>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</si>
  <si>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</si>
  <si>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</si>
  <si>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</si>
  <si>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</si>
  <si>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</si>
  <si>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</si>
  <si>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</si>
  <si>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</si>
  <si>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</si>
  <si>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</si>
  <si>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</si>
  <si>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</si>
  <si>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</si>
  <si>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</si>
  <si>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</si>
  <si>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</si>
  <si>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</si>
  <si>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</si>
  <si>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</si>
  <si>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</si>
  <si>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</si>
  <si>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</si>
  <si>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</si>
  <si>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</si>
  <si>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</si>
  <si>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</si>
  <si>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</si>
  <si>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</si>
  <si>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</si>
  <si>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</si>
  <si>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</si>
  <si>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</si>
  <si>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</si>
  <si>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</si>
  <si>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</si>
  <si>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</si>
  <si>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</si>
  <si>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</si>
  <si>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</si>
  <si>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</si>
  <si>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</si>
  <si>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</si>
  <si>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</si>
  <si>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</si>
  <si>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</si>
  <si>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</si>
  <si>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</si>
  <si>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</si>
  <si>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</si>
  <si>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</si>
  <si>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</si>
  <si>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</si>
  <si>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</si>
  <si>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</si>
  <si>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</si>
  <si>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</si>
  <si>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</si>
  <si>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</si>
  <si>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</si>
  <si>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</si>
  <si>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</si>
  <si>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</si>
  <si>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</si>
  <si>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</si>
  <si>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</si>
  <si>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</si>
  <si>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</si>
  <si>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</si>
  <si>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</si>
  <si>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</si>
  <si>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</si>
  <si>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</si>
  <si>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</si>
  <si>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</si>
  <si>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</si>
  <si>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</si>
  <si>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</si>
  <si>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</si>
  <si>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</si>
  <si>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</si>
  <si>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</si>
  <si>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</si>
  <si>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</si>
  <si>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</si>
  <si>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</si>
  <si>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</si>
  <si>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</si>
  <si>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</si>
  <si>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</si>
  <si>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</si>
  <si>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</si>
  <si>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</si>
  <si>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</si>
  <si>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</si>
  <si>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</si>
  <si>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</si>
  <si>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</si>
  <si>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</si>
  <si>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</si>
  <si>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</si>
  <si>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</si>
  <si>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</si>
  <si>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</si>
  <si>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</si>
  <si>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</si>
  <si>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</si>
  <si>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</si>
  <si>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</si>
  <si>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</si>
  <si>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</si>
  <si>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</si>
  <si>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</si>
  <si>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</si>
  <si>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</si>
  <si>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</si>
  <si>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</si>
  <si>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</si>
  <si>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</si>
  <si>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</si>
  <si>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</si>
  <si>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</si>
  <si>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</si>
  <si>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</si>
  <si>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</si>
  <si>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</si>
  <si>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</si>
  <si>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</si>
  <si>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</si>
  <si>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</si>
  <si>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</si>
  <si>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</si>
  <si>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</si>
  <si>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</si>
  <si>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</si>
  <si>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</si>
  <si>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</si>
  <si>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</si>
  <si>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</si>
  <si>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</si>
  <si>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</si>
  <si>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</si>
  <si>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</si>
  <si>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</si>
  <si>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</si>
  <si>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</si>
  <si>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</si>
  <si>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</si>
  <si>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</si>
  <si>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</si>
  <si>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</si>
  <si>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</si>
  <si>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</si>
  <si>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</si>
  <si>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</si>
  <si>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</si>
  <si>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</si>
  <si>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</si>
  <si>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</si>
  <si>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</si>
  <si>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</si>
  <si>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</si>
  <si>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</si>
  <si>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</si>
  <si>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</si>
  <si>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</si>
  <si>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</si>
  <si>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</si>
  <si>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</si>
  <si>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</si>
  <si>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</si>
  <si>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</si>
  <si>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</si>
  <si>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</si>
  <si>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</si>
  <si>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</si>
  <si>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</si>
  <si>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</si>
  <si>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</si>
  <si>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</si>
  <si>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</si>
  <si>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</si>
  <si>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</si>
  <si>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</si>
  <si>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</si>
  <si>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</si>
  <si>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</si>
  <si>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</si>
  <si>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</si>
  <si>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</si>
  <si>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</si>
  <si>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</si>
  <si>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</si>
  <si>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</si>
  <si>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</si>
  <si>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</si>
  <si>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</si>
  <si>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</si>
  <si>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</si>
  <si>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</si>
  <si>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</si>
  <si>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</si>
  <si>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</si>
  <si>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</si>
  <si>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</si>
  <si>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</si>
  <si>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</si>
  <si>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</si>
  <si>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</si>
  <si>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</si>
  <si>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</si>
  <si>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</si>
  <si>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</si>
  <si>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</si>
  <si>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</si>
  <si>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</si>
  <si>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</si>
  <si>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</si>
  <si>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</si>
  <si>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</si>
  <si>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</si>
  <si>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</si>
  <si>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</si>
  <si>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</si>
  <si>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</si>
  <si>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</si>
  <si>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</si>
  <si>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</si>
  <si>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</si>
  <si>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</si>
  <si>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</si>
  <si>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</si>
  <si>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</si>
  <si>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</si>
  <si>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</si>
  <si>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</si>
  <si>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</si>
  <si>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</si>
  <si>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</si>
  <si>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</si>
  <si>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</si>
  <si>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</si>
  <si>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</si>
  <si>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</si>
  <si>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</si>
  <si>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</si>
  <si>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</si>
  <si>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</si>
  <si>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</si>
  <si>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</si>
  <si>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</si>
  <si>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</si>
  <si>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</si>
  <si>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</si>
  <si>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</si>
  <si>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</si>
  <si>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</si>
  <si>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</si>
  <si>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</si>
  <si>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</si>
  <si>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</si>
  <si>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</si>
  <si>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</si>
  <si>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</si>
  <si>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</si>
  <si>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</si>
  <si>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</si>
  <si>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</si>
  <si>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</si>
  <si>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</si>
  <si>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</si>
  <si>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</si>
  <si>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</si>
  <si>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</si>
  <si>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</si>
  <si>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</si>
  <si>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</si>
  <si>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</si>
  <si>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</si>
  <si>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</si>
  <si>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</si>
  <si>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</si>
  <si>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</si>
  <si>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</si>
  <si>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</si>
  <si>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</si>
  <si>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</si>
  <si>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</si>
  <si>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</si>
  <si>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</si>
  <si>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</si>
  <si>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</si>
  <si>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</si>
  <si>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</si>
  <si>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</si>
  <si>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</si>
  <si>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</si>
  <si>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</si>
  <si>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</si>
  <si>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</si>
  <si>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</si>
  <si>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</si>
  <si>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</si>
  <si>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</si>
  <si>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</si>
  <si>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</si>
  <si>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</si>
  <si>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</si>
  <si>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</si>
  <si>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</si>
  <si>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</si>
  <si>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</si>
  <si>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</si>
  <si>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</si>
  <si>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</si>
  <si>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</si>
  <si>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</si>
  <si>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</si>
  <si>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</si>
  <si>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</si>
  <si>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</si>
  <si>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</si>
  <si>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</si>
  <si>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</si>
  <si>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</si>
  <si>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</si>
  <si>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</si>
  <si>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</si>
  <si>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</si>
  <si>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</si>
  <si>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</si>
  <si>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</si>
  <si>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</si>
  <si>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</si>
  <si>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</si>
  <si>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</si>
  <si>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</si>
  <si>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</si>
  <si>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</si>
  <si>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</si>
  <si>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</si>
  <si>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</si>
  <si>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</si>
  <si>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</si>
  <si>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</si>
  <si>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</si>
  <si>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</si>
  <si>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</si>
  <si>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</si>
  <si>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</si>
  <si>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</si>
  <si>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</si>
  <si>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</si>
  <si>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</si>
  <si>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</si>
  <si>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</si>
  <si>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</si>
  <si>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</si>
  <si>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</si>
  <si>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</si>
  <si>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</si>
  <si>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</si>
  <si>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</si>
  <si>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</si>
  <si>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</si>
  <si>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</si>
  <si>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</si>
  <si>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</si>
  <si>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</si>
  <si>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</si>
  <si>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</si>
  <si>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</si>
  <si>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</si>
  <si>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</si>
  <si>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</si>
  <si>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</si>
  <si>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</si>
  <si>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</si>
  <si>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</si>
  <si>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</si>
  <si>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</si>
  <si>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</si>
  <si>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</si>
  <si>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</si>
  <si>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</si>
  <si>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</si>
  <si>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</si>
  <si>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</si>
  <si>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</si>
  <si>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</si>
  <si>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</si>
  <si>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</si>
  <si>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</si>
  <si>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</si>
  <si>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</si>
  <si>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</si>
  <si>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</si>
  <si>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</si>
  <si>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</si>
  <si>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</si>
  <si>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</si>
  <si>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</si>
  <si>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</si>
  <si>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</si>
  <si>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</si>
  <si>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</si>
  <si>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</si>
  <si>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</si>
  <si>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</si>
  <si>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</si>
  <si>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</si>
  <si>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</si>
  <si>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</si>
  <si>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</si>
  <si>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</si>
  <si>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</si>
  <si>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</si>
  <si>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</si>
  <si>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</si>
  <si>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</si>
  <si>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</si>
  <si>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</si>
  <si>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</si>
  <si>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</si>
  <si>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</si>
  <si>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</si>
  <si>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</si>
  <si>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</si>
  <si>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</si>
  <si>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</si>
  <si>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</si>
  <si>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</si>
  <si>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</si>
  <si>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</si>
  <si>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</si>
  <si>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</si>
  <si>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</si>
  <si>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</si>
  <si>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</si>
  <si>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</si>
  <si>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</si>
  <si>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</si>
  <si>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</si>
  <si>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</si>
  <si>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</si>
  <si>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</si>
  <si>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</si>
  <si>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</si>
  <si>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</si>
  <si>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</si>
  <si>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</si>
  <si>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</si>
  <si>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</si>
  <si>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</si>
  <si>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</si>
  <si>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</si>
  <si>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</si>
  <si>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</si>
  <si>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</si>
  <si>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</si>
  <si>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</si>
  <si>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</si>
  <si>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</si>
  <si>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</si>
  <si>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</si>
  <si>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</si>
  <si>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</si>
  <si>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</si>
  <si>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</si>
  <si>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</si>
  <si>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</si>
  <si>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</si>
  <si>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</si>
  <si>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</si>
  <si>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</si>
  <si>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</si>
  <si>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</si>
  <si>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</si>
  <si>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</si>
  <si>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</si>
  <si>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</si>
  <si>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</si>
  <si>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</si>
  <si>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</si>
  <si>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</si>
  <si>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</si>
  <si>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</si>
  <si>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</si>
  <si>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</si>
  <si>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</si>
  <si>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</si>
  <si>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</si>
  <si>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</si>
  <si>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</si>
  <si>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</si>
  <si>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</si>
  <si>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</si>
  <si>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</si>
  <si>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</si>
  <si>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</si>
  <si>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</si>
  <si>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</si>
  <si>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</si>
  <si>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</si>
  <si>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</si>
  <si>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</si>
  <si>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</si>
  <si>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</si>
  <si>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</si>
  <si>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</si>
  <si>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</si>
  <si>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</si>
  <si>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</si>
  <si>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</si>
  <si>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</si>
  <si>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</si>
  <si>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</si>
  <si>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</si>
  <si>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</si>
  <si>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</si>
  <si>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</si>
  <si>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</si>
  <si>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</si>
  <si>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</si>
  <si>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</si>
  <si>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</si>
  <si>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</si>
  <si>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</si>
  <si>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</si>
  <si>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</si>
  <si>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</si>
  <si>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</si>
  <si>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</si>
  <si>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</si>
  <si>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</si>
  <si>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</si>
  <si>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</si>
  <si>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</si>
  <si>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</si>
  <si>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</si>
  <si>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</si>
  <si>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</si>
  <si>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</si>
  <si>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</si>
  <si>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</si>
  <si>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</si>
  <si>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</si>
  <si>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</si>
  <si>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</si>
  <si>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</si>
  <si>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</si>
  <si>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</si>
  <si>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</si>
  <si>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</si>
  <si>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</si>
  <si>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</si>
  <si>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</si>
  <si>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</si>
  <si>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</si>
  <si>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</si>
  <si>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</si>
  <si>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</si>
  <si>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</si>
  <si>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</si>
  <si>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</si>
  <si>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</si>
  <si>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</si>
  <si>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</si>
  <si>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</si>
  <si>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</si>
  <si>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</si>
  <si>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</si>
  <si>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</si>
  <si>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</si>
  <si>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</si>
  <si>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</si>
  <si>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</si>
  <si>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</si>
  <si>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</si>
  <si>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</si>
  <si>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</si>
  <si>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</si>
  <si>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</si>
  <si>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</si>
  <si>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</si>
  <si>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</si>
  <si>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</si>
  <si>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</si>
  <si>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</si>
  <si>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</si>
  <si>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</si>
  <si>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</si>
  <si>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</si>
  <si>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</si>
  <si>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</si>
  <si>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</si>
  <si>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</si>
  <si>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</si>
  <si>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</si>
  <si>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</si>
  <si>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</si>
  <si>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</si>
  <si>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</si>
  <si>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</si>
  <si>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</si>
  <si>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</si>
  <si>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</si>
  <si>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</si>
  <si>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</si>
  <si>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</si>
  <si>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</si>
  <si>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</si>
  <si>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</si>
  <si>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</si>
  <si>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</si>
  <si>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</si>
  <si>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</si>
  <si>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</si>
  <si>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</si>
  <si>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</si>
  <si>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</si>
  <si>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</si>
  <si>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</si>
  <si>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</si>
  <si>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</si>
  <si>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</si>
  <si>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</si>
  <si>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</si>
  <si>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</si>
  <si>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</si>
  <si>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</si>
  <si>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</si>
  <si>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</si>
  <si>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</si>
  <si>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</si>
  <si>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</si>
  <si>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</si>
  <si>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</si>
  <si>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</si>
  <si>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</si>
  <si>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</si>
  <si>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</si>
  <si>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</si>
  <si>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</si>
  <si>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</si>
  <si>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</si>
  <si>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</si>
  <si>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</si>
  <si>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</si>
  <si>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</si>
  <si>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</si>
  <si>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</si>
  <si>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</si>
  <si>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</si>
  <si>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</si>
  <si>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</si>
  <si>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</si>
  <si>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</si>
  <si>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</si>
  <si>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</si>
  <si>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</si>
  <si>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</si>
  <si>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</si>
  <si>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</si>
  <si>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</si>
  <si>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</si>
  <si>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</si>
  <si>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</si>
  <si>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</si>
  <si>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</si>
  <si>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</si>
  <si>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</si>
  <si>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</si>
  <si>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</si>
  <si>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</si>
  <si>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</si>
  <si>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</si>
  <si>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</si>
  <si>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</si>
  <si>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</si>
  <si>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</si>
  <si>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</si>
  <si>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</si>
  <si>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</si>
  <si>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</si>
  <si>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</si>
  <si>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</si>
  <si>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</si>
  <si>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</si>
  <si>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</si>
  <si>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</si>
  <si>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</si>
  <si>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</si>
  <si>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</si>
  <si>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</si>
  <si>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</si>
  <si>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</si>
  <si>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</si>
  <si>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</si>
  <si>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</si>
  <si>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</si>
  <si>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</si>
  <si>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</si>
  <si>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</si>
  <si>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</si>
  <si>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</si>
  <si>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</si>
  <si>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</si>
  <si>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</si>
  <si>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</si>
  <si>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</si>
  <si>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</si>
  <si>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</si>
  <si>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</si>
  <si>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</si>
  <si>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</si>
  <si>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</si>
  <si>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</si>
  <si>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</si>
  <si>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</si>
  <si>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</si>
  <si>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</si>
  <si>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</si>
  <si>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</si>
  <si>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</si>
  <si>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</si>
  <si>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</si>
  <si>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</si>
  <si>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</si>
  <si>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</si>
  <si>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</si>
  <si>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</si>
  <si>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</si>
  <si>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</si>
  <si>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</si>
  <si>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</si>
  <si>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</si>
  <si>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</si>
  <si>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</si>
  <si>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</si>
  <si>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</si>
  <si>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</si>
  <si>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</si>
  <si>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</si>
  <si>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</si>
  <si>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</si>
  <si>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</si>
  <si>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</si>
  <si>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</si>
  <si>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</si>
  <si>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</si>
  <si>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</si>
  <si>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</si>
  <si>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</si>
  <si>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</si>
  <si>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</si>
  <si>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</si>
  <si>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</si>
  <si>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</si>
  <si>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</si>
  <si>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</si>
  <si>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</si>
  <si>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</si>
  <si>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</si>
  <si>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</si>
  <si>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</si>
  <si>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</si>
  <si>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</si>
  <si>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</si>
  <si>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</si>
  <si>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</si>
  <si>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</si>
  <si>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</si>
  <si>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</si>
  <si>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</si>
  <si>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</si>
  <si>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</si>
  <si>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</si>
  <si>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</si>
  <si>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</si>
  <si>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</si>
  <si>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</si>
  <si>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</si>
  <si>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</si>
  <si>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</si>
  <si>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</si>
  <si>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</si>
  <si>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</si>
  <si>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</si>
  <si>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</si>
  <si>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</si>
  <si>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</si>
  <si>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</si>
  <si>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</si>
  <si>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</si>
  <si>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</si>
  <si>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</si>
  <si>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</si>
  <si>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</si>
  <si>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</si>
  <si>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</si>
  <si>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</si>
  <si>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</si>
  <si>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</si>
  <si>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</si>
  <si>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</si>
  <si>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</si>
  <si>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</si>
  <si>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</si>
  <si>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</si>
  <si>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</si>
  <si>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</si>
  <si>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</si>
  <si>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</si>
  <si>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</si>
  <si>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</si>
  <si>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</si>
  <si>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</si>
  <si>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</si>
  <si>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</si>
  <si>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</si>
  <si>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</si>
  <si>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</si>
  <si>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</si>
  <si>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</si>
  <si>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</si>
  <si>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</si>
  <si>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</si>
  <si>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</si>
  <si>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</si>
  <si>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</si>
  <si>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</si>
  <si>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</si>
  <si>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</si>
  <si>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</si>
  <si>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</si>
  <si>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</si>
  <si>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</si>
  <si>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</si>
  <si>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</si>
  <si>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</si>
  <si>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</si>
  <si>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</si>
  <si>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</si>
  <si>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</si>
  <si>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</si>
  <si>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</si>
  <si>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</si>
  <si>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</si>
  <si>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</si>
  <si>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</si>
  <si>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</si>
  <si>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</si>
  <si>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</si>
  <si>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</si>
  <si>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</si>
  <si>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</si>
  <si>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</si>
  <si>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</si>
  <si>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</si>
  <si>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</si>
  <si>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</si>
  <si>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</si>
  <si>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</si>
  <si>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</si>
  <si>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</si>
  <si>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</si>
  <si>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</si>
  <si>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</si>
  <si>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</si>
  <si>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</si>
  <si>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</si>
  <si>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</si>
  <si>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</si>
  <si>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</si>
  <si>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</si>
  <si>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</si>
  <si>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</si>
  <si>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</si>
  <si>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</si>
  <si>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</si>
  <si>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</si>
  <si>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</si>
  <si>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</si>
  <si>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</si>
  <si>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</si>
  <si>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</si>
  <si>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</si>
  <si>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</si>
  <si>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</si>
  <si>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</si>
  <si>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</si>
  <si>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</si>
  <si>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</si>
  <si>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</si>
  <si>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</si>
  <si>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</si>
  <si>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</si>
  <si>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</si>
  <si>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</si>
  <si>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</si>
  <si>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</si>
  <si>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</si>
  <si>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</si>
  <si>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</si>
  <si>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</si>
  <si>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</si>
  <si>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</si>
  <si>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</si>
  <si>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</si>
  <si>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</si>
  <si>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</si>
  <si>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</si>
  <si>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</si>
  <si>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</si>
  <si>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</si>
  <si>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</si>
  <si>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</si>
  <si>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</si>
  <si>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</si>
  <si>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</si>
  <si>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</si>
  <si>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</si>
  <si>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</si>
  <si>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</si>
  <si>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</si>
  <si>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</si>
  <si>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</si>
  <si>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</si>
  <si>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</si>
  <si>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</si>
  <si>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</si>
  <si>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</si>
  <si>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</si>
  <si>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</si>
  <si>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</si>
  <si>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</si>
  <si>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</si>
  <si>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</si>
  <si>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</si>
  <si>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</si>
  <si>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</si>
  <si>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</si>
  <si>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</si>
  <si>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</si>
  <si>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</si>
  <si>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</si>
  <si>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</si>
  <si>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</si>
  <si>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</si>
  <si>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</si>
  <si>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</si>
  <si>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</si>
  <si>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</si>
  <si>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</si>
  <si>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</si>
  <si>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</si>
  <si>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</si>
  <si>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</si>
  <si>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</si>
  <si>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</si>
  <si>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</si>
  <si>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</si>
  <si>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</si>
  <si>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</si>
  <si>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</si>
  <si>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</si>
  <si>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</si>
  <si>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</si>
  <si>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</si>
  <si>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</si>
  <si>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</si>
  <si>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</si>
  <si>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</si>
  <si>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</si>
  <si>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</si>
  <si>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</si>
  <si>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</si>
  <si>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</si>
  <si>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</si>
  <si>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</si>
  <si>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</si>
  <si>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</si>
  <si>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</si>
  <si>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</si>
  <si>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</si>
  <si>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</si>
  <si>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</si>
  <si>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</si>
  <si>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</si>
  <si>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</si>
  <si>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</si>
  <si>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</si>
  <si>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APAGADO</t>
  </si>
  <si>
    <t>172.20.11.87</t>
  </si>
  <si>
    <t>172.20.11.100</t>
  </si>
  <si>
    <t>APAGAD</t>
  </si>
  <si>
    <t>CASTELLI Y 25 DE MAYO</t>
  </si>
  <si>
    <t>172.20.11.114</t>
  </si>
  <si>
    <t>CEN75</t>
  </si>
  <si>
    <t>% APAGADOS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</si>
</sst>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6" fontId="0" fillId="9" borderId="0" xfId="0" applyNumberFormat="1" applyFill="1"/>
    <xf numFmtId="0" fontId="0" fillId="9" borderId="0" xfId="0" applyFill="1" applyAlignment="1">
      <alignment horizontal="left"/>
    </xf>
    <xf numFmtId="16" fontId="0" fillId="10" borderId="0" xfId="0" applyNumberFormat="1" applyFill="1"/>
    <xf numFmtId="0" fontId="0" fillId="10" borderId="0" xfId="0" applyFill="1" applyAlignment="1">
      <alignment horizontal="left"/>
    </xf>
    <xf numFmtId="0" fontId="0" fillId="10" borderId="0" xfId="0" applyFill="1"/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11" borderId="0" xfId="0" applyFill="1" applyAlignment="1">
      <alignment horizontal="right"/>
    </xf>
    <xf numFmtId="0" fontId="0" fillId="0" borderId="0" xfId="0" applyAlignment="1">
      <alignment horizontal="center" vertical="center"/>
    </xf>
    <xf numFmtId="9" fontId="0" fillId="0" borderId="0" xfId="1" applyFont="1"/>
  </cellXfs>
  <cellStyles count="2">
    <cellStyle name="Normal" xfId="0" builtinId="0"/>
    <cellStyle name="Porcentaje" xfId="1" builtinId="5"/>
  </cellStyles>
  <dxfs count="51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A6-4C27-9D1E-57C2AA4278B6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A6-4C27-9D1E-57C2AA427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d\-mmm</c:formatCode>
                <c:ptCount val="30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0.10187667560321716</c:v>
                </c:pt>
                <c:pt idx="1">
                  <c:v>9.1152815013404831E-2</c:v>
                </c:pt>
                <c:pt idx="2">
                  <c:v>9.1152815013404831E-2</c:v>
                </c:pt>
                <c:pt idx="3">
                  <c:v>9.6514745308310987E-2</c:v>
                </c:pt>
                <c:pt idx="4">
                  <c:v>8.5790884718498661E-2</c:v>
                </c:pt>
                <c:pt idx="5">
                  <c:v>6.7024128686327081E-2</c:v>
                </c:pt>
                <c:pt idx="6">
                  <c:v>9.1152815013404831E-2</c:v>
                </c:pt>
                <c:pt idx="7">
                  <c:v>6.7024128686327081E-2</c:v>
                </c:pt>
                <c:pt idx="8">
                  <c:v>6.9705093833780166E-2</c:v>
                </c:pt>
                <c:pt idx="9">
                  <c:v>6.9705093833780166E-2</c:v>
                </c:pt>
                <c:pt idx="10">
                  <c:v>0.11528150134048257</c:v>
                </c:pt>
                <c:pt idx="11">
                  <c:v>5.8981233243967826E-2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15</xdr:col>
      <xdr:colOff>87630</xdr:colOff>
      <xdr:row>24</xdr:row>
      <xdr:rowOff>123825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980DDE0-D25F-4E07-B3C8-19FEB5BAF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tabSelected="1" zoomScale="90" zoomScaleNormal="90" workbookViewId="0">
      <pane xSplit="14" ySplit="4" topLeftCell="AB197" activePane="bottomRight" state="frozen"/>
      <selection pane="topRight" activeCell="M1" sqref="M1"/>
      <selection pane="bottomLeft" activeCell="A5" sqref="A5"/>
      <selection pane="bottomRight" activeCell="AB207" sqref="AB207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44" width="8.7109375" style="22" customWidth="1"/>
  </cols>
  <sheetData>
    <row r="1" spans="1:44" s="5" customFormat="1" ht="27.75" customHeight="1" thickTop="1" x14ac:dyDescent="0.25">
      <c r="A1" s="1" t="s">
        <v>0</v>
      </c>
      <c r="B1" s="56"/>
      <c r="C1" s="42">
        <f>COUNTA(C5:C527)</f>
        <v>373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0.10326086956521739</v>
      </c>
      <c r="P1" s="4">
        <f t="shared" si="0"/>
        <v>0</v>
      </c>
      <c r="Q1" s="4">
        <f t="shared" si="0"/>
        <v>0</v>
      </c>
      <c r="R1" s="4">
        <f t="shared" si="0"/>
        <v>9.7826086956521743E-2</v>
      </c>
      <c r="S1" s="4">
        <f t="shared" si="0"/>
        <v>8.7193460490463212E-2</v>
      </c>
      <c r="T1" s="4">
        <f t="shared" si="0"/>
        <v>6.7934782608695649E-2</v>
      </c>
      <c r="U1" s="4">
        <f t="shared" si="0"/>
        <v>9.2391304347826081E-2</v>
      </c>
      <c r="V1" s="4">
        <f t="shared" si="0"/>
        <v>6.7934782608695649E-2</v>
      </c>
      <c r="W1" s="4">
        <f t="shared" si="0"/>
        <v>7.3369565217391311E-2</v>
      </c>
      <c r="X1" s="4">
        <f t="shared" si="0"/>
        <v>7.3369565217391311E-2</v>
      </c>
      <c r="Y1" s="4">
        <f t="shared" si="0"/>
        <v>0.11684782608695653</v>
      </c>
      <c r="Z1" s="4">
        <f t="shared" si="0"/>
        <v>5.9782608695652176E-2</v>
      </c>
      <c r="AA1" s="4">
        <f t="shared" si="0"/>
        <v>6.25E-2</v>
      </c>
      <c r="AB1" s="4">
        <f t="shared" si="0"/>
        <v>9.7826086956521743E-2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25">
      <c r="A2" s="6"/>
      <c r="B2" s="57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1"/>
      <c r="O2" s="10">
        <f>COUNTIF(O5:O372, "")</f>
        <v>330</v>
      </c>
      <c r="P2" s="10">
        <f t="shared" ref="P2:AR2" si="2">COUNTIF(P5:P372, "")</f>
        <v>368</v>
      </c>
      <c r="Q2" s="10">
        <f t="shared" si="2"/>
        <v>368</v>
      </c>
      <c r="R2" s="10">
        <f t="shared" si="2"/>
        <v>332</v>
      </c>
      <c r="S2" s="10">
        <f t="shared" si="2"/>
        <v>335</v>
      </c>
      <c r="T2" s="10">
        <f t="shared" si="2"/>
        <v>343</v>
      </c>
      <c r="U2" s="10">
        <f t="shared" si="2"/>
        <v>334</v>
      </c>
      <c r="V2" s="10">
        <f t="shared" si="2"/>
        <v>343</v>
      </c>
      <c r="W2" s="10">
        <f t="shared" si="2"/>
        <v>341</v>
      </c>
      <c r="X2" s="10">
        <f t="shared" si="2"/>
        <v>341</v>
      </c>
      <c r="Y2" s="10">
        <f t="shared" si="2"/>
        <v>325</v>
      </c>
      <c r="Z2" s="10">
        <f t="shared" si="2"/>
        <v>346</v>
      </c>
      <c r="AA2" s="10">
        <f t="shared" si="2"/>
        <v>345</v>
      </c>
      <c r="AB2" s="10">
        <f t="shared" si="2"/>
        <v>332</v>
      </c>
      <c r="AC2" s="10">
        <f t="shared" si="2"/>
        <v>368</v>
      </c>
      <c r="AD2" s="10">
        <f t="shared" si="2"/>
        <v>368</v>
      </c>
      <c r="AE2" s="10">
        <f t="shared" si="2"/>
        <v>368</v>
      </c>
      <c r="AF2" s="10">
        <f t="shared" si="2"/>
        <v>368</v>
      </c>
      <c r="AG2" s="10">
        <f t="shared" si="2"/>
        <v>368</v>
      </c>
      <c r="AH2" s="10">
        <f t="shared" si="2"/>
        <v>368</v>
      </c>
      <c r="AI2" s="10">
        <f t="shared" si="2"/>
        <v>368</v>
      </c>
      <c r="AJ2" s="10">
        <f t="shared" si="2"/>
        <v>368</v>
      </c>
      <c r="AK2" s="10">
        <f t="shared" si="2"/>
        <v>368</v>
      </c>
      <c r="AL2" s="10">
        <f t="shared" si="2"/>
        <v>368</v>
      </c>
      <c r="AM2" s="10">
        <f t="shared" si="2"/>
        <v>368</v>
      </c>
      <c r="AN2" s="10">
        <f t="shared" si="2"/>
        <v>368</v>
      </c>
      <c r="AO2" s="10">
        <f t="shared" si="2"/>
        <v>368</v>
      </c>
      <c r="AP2" s="10">
        <f t="shared" si="2"/>
        <v>368</v>
      </c>
      <c r="AQ2" s="10">
        <f t="shared" si="2"/>
        <v>368</v>
      </c>
      <c r="AR2" s="10">
        <f t="shared" si="2"/>
        <v>368</v>
      </c>
    </row>
    <row r="3" spans="1:44" s="11" customFormat="1" ht="15.75" thickBot="1" x14ac:dyDescent="0.3">
      <c r="A3" s="12"/>
      <c r="B3" s="58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2"/>
      <c r="O3" s="14">
        <f>COUNTIF(O4:O447, "apagado")</f>
        <v>38</v>
      </c>
      <c r="P3" s="14">
        <f t="shared" ref="P3:AP3" si="3">COUNTIF(P4:P447, "apagado")</f>
        <v>0</v>
      </c>
      <c r="Q3" s="14">
        <f t="shared" si="3"/>
        <v>0</v>
      </c>
      <c r="R3" s="14">
        <f t="shared" si="3"/>
        <v>36</v>
      </c>
      <c r="S3" s="14">
        <f t="shared" si="3"/>
        <v>32</v>
      </c>
      <c r="T3" s="14">
        <f t="shared" si="3"/>
        <v>25</v>
      </c>
      <c r="U3" s="14">
        <f t="shared" si="3"/>
        <v>34</v>
      </c>
      <c r="V3" s="14">
        <f t="shared" si="3"/>
        <v>25</v>
      </c>
      <c r="W3" s="14">
        <f t="shared" si="3"/>
        <v>27</v>
      </c>
      <c r="X3" s="14">
        <f t="shared" si="3"/>
        <v>27</v>
      </c>
      <c r="Y3" s="14">
        <f t="shared" si="3"/>
        <v>43</v>
      </c>
      <c r="Z3" s="14">
        <f t="shared" si="3"/>
        <v>22</v>
      </c>
      <c r="AA3" s="14">
        <f t="shared" si="3"/>
        <v>23</v>
      </c>
      <c r="AB3" s="14">
        <f t="shared" si="3"/>
        <v>36</v>
      </c>
      <c r="AC3" s="14">
        <f t="shared" si="3"/>
        <v>0</v>
      </c>
      <c r="AD3" s="14">
        <f t="shared" si="3"/>
        <v>0</v>
      </c>
      <c r="AE3" s="14">
        <f t="shared" si="3"/>
        <v>0</v>
      </c>
      <c r="AF3" s="14">
        <f t="shared" si="3"/>
        <v>0</v>
      </c>
      <c r="AG3" s="14">
        <f t="shared" si="3"/>
        <v>0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</row>
    <row r="4" spans="1:44" s="11" customFormat="1" ht="31.5" thickTop="1" thickBot="1" x14ac:dyDescent="0.35">
      <c r="A4" t="s">
        <v>7</v>
      </c>
      <c r="B4" t="s">
        <v>1324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44652</v>
      </c>
      <c r="P4" s="15">
        <v>44653</v>
      </c>
      <c r="Q4" s="15">
        <v>44654</v>
      </c>
      <c r="R4" s="15">
        <v>44655</v>
      </c>
      <c r="S4" s="15">
        <v>44656</v>
      </c>
      <c r="T4" s="15">
        <v>44657</v>
      </c>
      <c r="U4" s="15">
        <v>44658</v>
      </c>
      <c r="V4" s="15">
        <v>44659</v>
      </c>
      <c r="W4" s="15">
        <v>44660</v>
      </c>
      <c r="X4" s="15">
        <v>44661</v>
      </c>
      <c r="Y4" s="15">
        <v>44662</v>
      </c>
      <c r="Z4" s="15">
        <v>44663</v>
      </c>
      <c r="AA4" s="15">
        <v>44664</v>
      </c>
      <c r="AB4" s="15">
        <v>44665</v>
      </c>
      <c r="AC4" s="15">
        <v>44666</v>
      </c>
      <c r="AD4" s="15">
        <v>44667</v>
      </c>
      <c r="AE4" s="15">
        <v>44668</v>
      </c>
      <c r="AF4" s="15">
        <v>44669</v>
      </c>
      <c r="AG4" s="15">
        <v>44670</v>
      </c>
      <c r="AH4" s="15">
        <v>44671</v>
      </c>
      <c r="AI4" s="15">
        <v>44672</v>
      </c>
      <c r="AJ4" s="15">
        <v>44673</v>
      </c>
      <c r="AK4" s="15">
        <v>44674</v>
      </c>
      <c r="AL4" s="15">
        <v>44675</v>
      </c>
      <c r="AM4" s="15">
        <v>44676</v>
      </c>
      <c r="AN4" s="15">
        <v>44677</v>
      </c>
      <c r="AO4" s="15">
        <v>44678</v>
      </c>
      <c r="AP4" s="15">
        <v>44679</v>
      </c>
      <c r="AQ4" s="15">
        <v>44680</v>
      </c>
      <c r="AR4" s="15">
        <v>44681</v>
      </c>
    </row>
    <row r="5" spans="1:44" ht="16.5" thickTop="1" thickBot="1" x14ac:dyDescent="0.3">
      <c r="A5" t="s">
        <v>16</v>
      </c>
      <c r="B5" s="59">
        <v>44629</v>
      </c>
      <c r="C5" s="60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1107</v>
      </c>
      <c r="L5" s="17">
        <f t="shared" ref="L5:L68" si="5">COUNTIF(O5:AP5,"")</f>
        <v>24</v>
      </c>
      <c r="M5" s="17">
        <f t="shared" ref="M5:M68" si="6">COUNTIF(O5:AP5,"APAGADO")</f>
        <v>4</v>
      </c>
      <c r="N5" s="18">
        <f t="shared" ref="N5:N68" si="7">(L5)/(M5+L5)</f>
        <v>0.8571428571428571</v>
      </c>
      <c r="O5" s="29"/>
      <c r="P5" s="19"/>
      <c r="Q5" s="19"/>
      <c r="R5" s="19"/>
      <c r="S5" s="29" t="s">
        <v>1343</v>
      </c>
      <c r="T5" s="29"/>
      <c r="U5" s="19"/>
      <c r="V5" s="19" t="s">
        <v>1343</v>
      </c>
      <c r="W5" s="19" t="s">
        <v>1343</v>
      </c>
      <c r="X5" s="29" t="s">
        <v>1343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.75" thickBot="1" x14ac:dyDescent="0.3">
      <c r="A6" t="s">
        <v>22</v>
      </c>
      <c r="C6" s="46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1108</v>
      </c>
      <c r="L6" s="17">
        <f t="shared" si="5"/>
        <v>27</v>
      </c>
      <c r="M6" s="17">
        <f t="shared" si="6"/>
        <v>1</v>
      </c>
      <c r="N6" s="18">
        <f t="shared" si="7"/>
        <v>0.9642857142857143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 t="s">
        <v>1343</v>
      </c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.75" thickBot="1" x14ac:dyDescent="0.3">
      <c r="C7" s="46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1055</v>
      </c>
      <c r="L7" s="17">
        <f t="shared" si="5"/>
        <v>17</v>
      </c>
      <c r="M7" s="17">
        <f t="shared" si="6"/>
        <v>11</v>
      </c>
      <c r="N7" s="18">
        <f t="shared" si="7"/>
        <v>0.6071428571428571</v>
      </c>
      <c r="O7" s="27"/>
      <c r="P7" s="8"/>
      <c r="Q7" s="8"/>
      <c r="R7" s="8" t="s">
        <v>1343</v>
      </c>
      <c r="S7" s="27" t="s">
        <v>1343</v>
      </c>
      <c r="T7" s="27" t="s">
        <v>1343</v>
      </c>
      <c r="U7" s="8" t="s">
        <v>1343</v>
      </c>
      <c r="V7" s="8" t="s">
        <v>1343</v>
      </c>
      <c r="W7" s="8" t="s">
        <v>1343</v>
      </c>
      <c r="X7" s="27" t="s">
        <v>1343</v>
      </c>
      <c r="Y7" s="27" t="s">
        <v>1343</v>
      </c>
      <c r="Z7" s="27" t="s">
        <v>1343</v>
      </c>
      <c r="AA7" s="27" t="s">
        <v>1343</v>
      </c>
      <c r="AB7" s="27" t="s">
        <v>1343</v>
      </c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</row>
    <row r="8" spans="1:44" ht="15.75" thickBot="1" x14ac:dyDescent="0.3">
      <c r="A8" t="s">
        <v>22</v>
      </c>
      <c r="C8" s="46" t="s">
        <v>29</v>
      </c>
      <c r="D8" t="s">
        <v>913</v>
      </c>
      <c r="E8" t="s">
        <v>19</v>
      </c>
      <c r="F8" t="s">
        <v>944</v>
      </c>
      <c r="G8"/>
      <c r="H8" t="s">
        <v>30</v>
      </c>
      <c r="I8" s="16">
        <v>-348230700000</v>
      </c>
      <c r="J8" s="16">
        <v>-582702540000</v>
      </c>
      <c r="K8" s="16" t="s">
        <v>1109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.75" thickBot="1" x14ac:dyDescent="0.3">
      <c r="C9" s="46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1110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.75" thickBot="1" x14ac:dyDescent="0.3">
      <c r="A10" t="s">
        <v>34</v>
      </c>
      <c r="C10" s="45" t="s">
        <v>949</v>
      </c>
      <c r="D10" t="s">
        <v>35</v>
      </c>
      <c r="E10" t="s">
        <v>24</v>
      </c>
      <c r="F10" t="s">
        <v>944</v>
      </c>
      <c r="G10"/>
      <c r="H10" t="s">
        <v>37</v>
      </c>
      <c r="I10" s="16">
        <v>-347738090000</v>
      </c>
      <c r="J10" s="16">
        <v>-582721410000</v>
      </c>
      <c r="K10" s="16" t="s">
        <v>950</v>
      </c>
      <c r="L10" s="17">
        <f t="shared" si="5"/>
        <v>24</v>
      </c>
      <c r="M10" s="17">
        <f t="shared" si="6"/>
        <v>4</v>
      </c>
      <c r="N10" s="18">
        <f t="shared" si="7"/>
        <v>0.8571428571428571</v>
      </c>
      <c r="O10" s="27"/>
      <c r="P10" s="8"/>
      <c r="Q10" s="8"/>
      <c r="R10" s="8"/>
      <c r="S10" s="27"/>
      <c r="T10" s="27"/>
      <c r="U10" s="8" t="s">
        <v>1343</v>
      </c>
      <c r="V10" s="8" t="s">
        <v>1343</v>
      </c>
      <c r="W10" s="8" t="s">
        <v>1343</v>
      </c>
      <c r="X10" s="27"/>
      <c r="Y10" s="27"/>
      <c r="Z10" s="27"/>
      <c r="AA10" s="27"/>
      <c r="AB10" s="27" t="s">
        <v>1343</v>
      </c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.75" thickBot="1" x14ac:dyDescent="0.3">
      <c r="A11" t="s">
        <v>34</v>
      </c>
      <c r="C11" s="45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943</v>
      </c>
      <c r="L11" s="17">
        <f t="shared" si="5"/>
        <v>27</v>
      </c>
      <c r="M11" s="17">
        <f t="shared" si="6"/>
        <v>1</v>
      </c>
      <c r="N11" s="18">
        <f t="shared" si="7"/>
        <v>0.9642857142857143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 t="s">
        <v>1343</v>
      </c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.75" thickBot="1" x14ac:dyDescent="0.3">
      <c r="A12" t="s">
        <v>34</v>
      </c>
      <c r="C12" s="45" t="s">
        <v>41</v>
      </c>
      <c r="D12" t="s">
        <v>42</v>
      </c>
      <c r="E12" t="s">
        <v>24</v>
      </c>
      <c r="F12" t="s">
        <v>944</v>
      </c>
      <c r="G12" t="s">
        <v>43</v>
      </c>
      <c r="H12"/>
      <c r="I12" s="16">
        <v>-347718470000</v>
      </c>
      <c r="J12" s="16">
        <v>-582688560000</v>
      </c>
      <c r="K12" s="16" t="s">
        <v>945</v>
      </c>
      <c r="L12" s="17">
        <f t="shared" si="5"/>
        <v>27</v>
      </c>
      <c r="M12" s="17">
        <f t="shared" si="6"/>
        <v>1</v>
      </c>
      <c r="N12" s="18">
        <f t="shared" si="7"/>
        <v>0.9642857142857143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 t="s">
        <v>1343</v>
      </c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.75" thickBot="1" x14ac:dyDescent="0.3">
      <c r="A13" t="s">
        <v>34</v>
      </c>
      <c r="B13" s="64">
        <v>44642</v>
      </c>
      <c r="C13" s="65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946</v>
      </c>
      <c r="L13" s="17">
        <f t="shared" si="5"/>
        <v>27</v>
      </c>
      <c r="M13" s="17">
        <f t="shared" si="6"/>
        <v>1</v>
      </c>
      <c r="N13" s="18">
        <f t="shared" si="7"/>
        <v>0.9642857142857143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 t="s">
        <v>1343</v>
      </c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.75" thickBot="1" x14ac:dyDescent="0.3">
      <c r="B14" s="64">
        <v>44642</v>
      </c>
      <c r="C14" s="65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947</v>
      </c>
      <c r="L14" s="17">
        <f t="shared" si="5"/>
        <v>27</v>
      </c>
      <c r="M14" s="17">
        <f t="shared" si="6"/>
        <v>1</v>
      </c>
      <c r="N14" s="18">
        <f t="shared" si="7"/>
        <v>0.9642857142857143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 t="s">
        <v>1343</v>
      </c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.75" thickBot="1" x14ac:dyDescent="0.3">
      <c r="A15" t="s">
        <v>34</v>
      </c>
      <c r="C15" s="45" t="s">
        <v>50</v>
      </c>
      <c r="D15" t="s">
        <v>51</v>
      </c>
      <c r="E15" t="s">
        <v>24</v>
      </c>
      <c r="F15" t="s">
        <v>944</v>
      </c>
      <c r="G15" t="s">
        <v>52</v>
      </c>
      <c r="H15"/>
      <c r="I15" s="16">
        <v>-347708370000</v>
      </c>
      <c r="J15" s="16">
        <v>-582698000000</v>
      </c>
      <c r="K15" s="16" t="s">
        <v>948</v>
      </c>
      <c r="L15" s="17">
        <f t="shared" si="5"/>
        <v>27</v>
      </c>
      <c r="M15" s="17">
        <f t="shared" si="6"/>
        <v>1</v>
      </c>
      <c r="N15" s="18">
        <f t="shared" si="7"/>
        <v>0.9642857142857143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 t="s">
        <v>1343</v>
      </c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.75" thickBot="1" x14ac:dyDescent="0.3">
      <c r="A16" t="s">
        <v>34</v>
      </c>
      <c r="C16" s="45" t="s">
        <v>53</v>
      </c>
      <c r="D16" t="s">
        <v>54</v>
      </c>
      <c r="E16" t="s">
        <v>19</v>
      </c>
      <c r="F16" t="s">
        <v>944</v>
      </c>
      <c r="G16"/>
      <c r="H16" t="s">
        <v>55</v>
      </c>
      <c r="I16" s="16">
        <v>-347737570000</v>
      </c>
      <c r="J16" s="16">
        <v>-582676650000</v>
      </c>
      <c r="K16" s="16" t="s">
        <v>952</v>
      </c>
      <c r="L16" s="17">
        <f t="shared" si="5"/>
        <v>27</v>
      </c>
      <c r="M16" s="17">
        <f t="shared" si="6"/>
        <v>1</v>
      </c>
      <c r="N16" s="18">
        <f t="shared" si="7"/>
        <v>0.9642857142857143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 t="s">
        <v>1343</v>
      </c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.75" thickBot="1" x14ac:dyDescent="0.3">
      <c r="A17" t="s">
        <v>34</v>
      </c>
      <c r="B17" s="64">
        <v>44642</v>
      </c>
      <c r="C17" s="65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953</v>
      </c>
      <c r="L17" s="17">
        <f t="shared" si="5"/>
        <v>27</v>
      </c>
      <c r="M17" s="17">
        <f t="shared" si="6"/>
        <v>1</v>
      </c>
      <c r="N17" s="18">
        <f t="shared" si="7"/>
        <v>0.9642857142857143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 t="s">
        <v>1343</v>
      </c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.75" thickBot="1" x14ac:dyDescent="0.3">
      <c r="A18" t="s">
        <v>34</v>
      </c>
      <c r="B18" s="64">
        <v>44642</v>
      </c>
      <c r="C18" s="65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954</v>
      </c>
      <c r="L18" s="17">
        <f t="shared" si="5"/>
        <v>27</v>
      </c>
      <c r="M18" s="17">
        <f t="shared" si="6"/>
        <v>1</v>
      </c>
      <c r="N18" s="18">
        <f t="shared" si="7"/>
        <v>0.9642857142857143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 t="s">
        <v>1343</v>
      </c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.75" thickBot="1" x14ac:dyDescent="0.3">
      <c r="A19" t="s">
        <v>62</v>
      </c>
      <c r="C19" s="45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957</v>
      </c>
      <c r="L19" s="17">
        <f t="shared" si="5"/>
        <v>28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</row>
    <row r="20" spans="1:44" ht="15.75" thickBot="1" x14ac:dyDescent="0.3">
      <c r="A20" t="s">
        <v>34</v>
      </c>
      <c r="C20" s="45" t="s">
        <v>955</v>
      </c>
      <c r="D20" t="s">
        <v>66</v>
      </c>
      <c r="E20" t="s">
        <v>19</v>
      </c>
      <c r="F20" t="s">
        <v>944</v>
      </c>
      <c r="G20"/>
      <c r="H20" t="s">
        <v>67</v>
      </c>
      <c r="I20" s="16">
        <v>-347689160000</v>
      </c>
      <c r="J20" s="16">
        <v>-582717100000</v>
      </c>
      <c r="K20" s="16" t="s">
        <v>956</v>
      </c>
      <c r="L20" s="17">
        <f t="shared" si="5"/>
        <v>27</v>
      </c>
      <c r="M20" s="17">
        <f t="shared" si="6"/>
        <v>1</v>
      </c>
      <c r="N20" s="18">
        <f t="shared" si="7"/>
        <v>0.9642857142857143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 t="s">
        <v>1343</v>
      </c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.75" thickBot="1" x14ac:dyDescent="0.3">
      <c r="A21" t="s">
        <v>68</v>
      </c>
      <c r="C21" s="45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958</v>
      </c>
      <c r="L21" s="17">
        <f t="shared" si="5"/>
        <v>23</v>
      </c>
      <c r="M21" s="17">
        <f t="shared" si="6"/>
        <v>5</v>
      </c>
      <c r="N21" s="18">
        <f t="shared" si="7"/>
        <v>0.8214285714285714</v>
      </c>
      <c r="O21" s="27"/>
      <c r="P21" s="8"/>
      <c r="Q21" s="8"/>
      <c r="R21" s="8"/>
      <c r="S21" s="27"/>
      <c r="T21" s="27"/>
      <c r="U21" s="8" t="s">
        <v>1343</v>
      </c>
      <c r="V21" s="8" t="s">
        <v>1343</v>
      </c>
      <c r="W21" s="8" t="s">
        <v>1343</v>
      </c>
      <c r="X21" s="27" t="s">
        <v>1343</v>
      </c>
      <c r="Y21" s="27" t="s">
        <v>1343</v>
      </c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.75" thickBot="1" x14ac:dyDescent="0.3">
      <c r="C22" s="45" t="s">
        <v>1008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1009</v>
      </c>
      <c r="L22" s="17">
        <f t="shared" si="5"/>
        <v>25</v>
      </c>
      <c r="M22" s="17">
        <f t="shared" si="6"/>
        <v>3</v>
      </c>
      <c r="N22" s="18">
        <f t="shared" si="7"/>
        <v>0.8928571428571429</v>
      </c>
      <c r="O22" s="27"/>
      <c r="P22" s="8"/>
      <c r="Q22" s="8"/>
      <c r="R22" s="8"/>
      <c r="S22" s="27"/>
      <c r="T22" s="27"/>
      <c r="U22" s="8" t="s">
        <v>1343</v>
      </c>
      <c r="V22" s="8" t="s">
        <v>1343</v>
      </c>
      <c r="W22" s="8" t="s">
        <v>1343</v>
      </c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.75" thickBot="1" x14ac:dyDescent="0.3">
      <c r="C23" s="45" t="s">
        <v>1011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1012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.75" thickBot="1" x14ac:dyDescent="0.3">
      <c r="C24" s="45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1013</v>
      </c>
      <c r="L24" s="17">
        <f t="shared" si="5"/>
        <v>26</v>
      </c>
      <c r="M24" s="17">
        <f t="shared" si="6"/>
        <v>2</v>
      </c>
      <c r="N24" s="18">
        <f t="shared" si="7"/>
        <v>0.9285714285714286</v>
      </c>
      <c r="O24" s="27"/>
      <c r="P24" s="8"/>
      <c r="Q24" s="8"/>
      <c r="R24" s="8"/>
      <c r="S24" s="27"/>
      <c r="T24" s="27"/>
      <c r="U24" s="8" t="s">
        <v>1343</v>
      </c>
      <c r="V24" s="8"/>
      <c r="W24" s="8"/>
      <c r="X24" s="27"/>
      <c r="Y24" s="27" t="s">
        <v>1343</v>
      </c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.75" thickBot="1" x14ac:dyDescent="0.3">
      <c r="C25" s="45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1014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.75" thickBot="1" x14ac:dyDescent="0.3">
      <c r="A26" t="s">
        <v>80</v>
      </c>
      <c r="C26" s="45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1015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.75" thickBot="1" x14ac:dyDescent="0.3">
      <c r="C27" s="45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1016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.75" thickBot="1" x14ac:dyDescent="0.3">
      <c r="C28" s="45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1017</v>
      </c>
      <c r="L28" s="17">
        <f t="shared" si="5"/>
        <v>28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.75" thickBot="1" x14ac:dyDescent="0.3">
      <c r="C29" s="45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1018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.75" thickBot="1" x14ac:dyDescent="0.3">
      <c r="A30" t="s">
        <v>80</v>
      </c>
      <c r="C30" s="45" t="s">
        <v>92</v>
      </c>
      <c r="D30" t="s">
        <v>93</v>
      </c>
      <c r="E30" t="s">
        <v>19</v>
      </c>
      <c r="F30" t="s">
        <v>944</v>
      </c>
      <c r="G30"/>
      <c r="H30" t="s">
        <v>94</v>
      </c>
      <c r="I30" s="16">
        <v>-347999170000</v>
      </c>
      <c r="J30" s="16">
        <v>-582863530000</v>
      </c>
      <c r="K30" s="16" t="s">
        <v>1019</v>
      </c>
      <c r="L30" s="17">
        <f t="shared" si="5"/>
        <v>23</v>
      </c>
      <c r="M30" s="17">
        <f t="shared" si="6"/>
        <v>5</v>
      </c>
      <c r="N30" s="18">
        <f t="shared" si="7"/>
        <v>0.8214285714285714</v>
      </c>
      <c r="O30" s="27" t="s">
        <v>1343</v>
      </c>
      <c r="P30" s="8"/>
      <c r="Q30" s="8"/>
      <c r="R30" s="8" t="s">
        <v>1343</v>
      </c>
      <c r="S30" s="27" t="s">
        <v>1343</v>
      </c>
      <c r="T30" s="27" t="s">
        <v>1343</v>
      </c>
      <c r="U30" s="8"/>
      <c r="V30" s="8"/>
      <c r="W30" s="8"/>
      <c r="X30" s="27"/>
      <c r="Y30" s="27" t="s">
        <v>1343</v>
      </c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.75" thickBot="1" x14ac:dyDescent="0.3">
      <c r="A31" t="s">
        <v>80</v>
      </c>
      <c r="C31" s="45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1020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.75" thickBot="1" x14ac:dyDescent="0.3">
      <c r="A32" t="s">
        <v>80</v>
      </c>
      <c r="C32" s="45" t="s">
        <v>98</v>
      </c>
      <c r="D32" t="s">
        <v>921</v>
      </c>
      <c r="E32" t="s">
        <v>19</v>
      </c>
      <c r="F32" t="s">
        <v>944</v>
      </c>
      <c r="G32"/>
      <c r="H32" t="s">
        <v>99</v>
      </c>
      <c r="I32" s="16">
        <v>-348038200000</v>
      </c>
      <c r="J32" s="16">
        <v>-582766160000</v>
      </c>
      <c r="K32" s="16" t="s">
        <v>1021</v>
      </c>
      <c r="L32" s="17">
        <f t="shared" si="5"/>
        <v>28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.75" thickBot="1" x14ac:dyDescent="0.3">
      <c r="A33" t="s">
        <v>80</v>
      </c>
      <c r="C33" s="45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1022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.75" thickBot="1" x14ac:dyDescent="0.3">
      <c r="A34" t="s">
        <v>80</v>
      </c>
      <c r="C34" s="45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1031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.75" thickBot="1" x14ac:dyDescent="0.3">
      <c r="A35" t="s">
        <v>80</v>
      </c>
      <c r="C35" s="45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1032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.75" thickBot="1" x14ac:dyDescent="0.3">
      <c r="A36" t="s">
        <v>80</v>
      </c>
      <c r="C36" s="45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1033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.75" thickBot="1" x14ac:dyDescent="0.3">
      <c r="A37" t="s">
        <v>80</v>
      </c>
      <c r="C37" s="45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959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.75" thickBot="1" x14ac:dyDescent="0.3">
      <c r="A38" t="s">
        <v>80</v>
      </c>
      <c r="C38" s="45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951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.75" thickBot="1" x14ac:dyDescent="0.3">
      <c r="A39" t="s">
        <v>80</v>
      </c>
      <c r="C39" s="45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960</v>
      </c>
      <c r="L39" s="17">
        <f t="shared" si="5"/>
        <v>27</v>
      </c>
      <c r="M39" s="17">
        <f t="shared" si="6"/>
        <v>1</v>
      </c>
      <c r="N39" s="18">
        <f t="shared" si="7"/>
        <v>0.9642857142857143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 t="s">
        <v>1343</v>
      </c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.75" thickBot="1" x14ac:dyDescent="0.3">
      <c r="A40" t="s">
        <v>80</v>
      </c>
      <c r="C40" s="45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961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.75" thickBot="1" x14ac:dyDescent="0.3">
      <c r="A41" t="s">
        <v>80</v>
      </c>
      <c r="C41" s="45" t="s">
        <v>124</v>
      </c>
      <c r="D41" t="s">
        <v>942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962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.75" thickBot="1" x14ac:dyDescent="0.3">
      <c r="A42" t="s">
        <v>80</v>
      </c>
      <c r="C42" s="45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963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.75" thickBot="1" x14ac:dyDescent="0.3">
      <c r="A43" t="s">
        <v>80</v>
      </c>
      <c r="C43" s="45" t="s">
        <v>130</v>
      </c>
      <c r="D43" t="s">
        <v>941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964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.75" thickBot="1" x14ac:dyDescent="0.3">
      <c r="A44" t="s">
        <v>80</v>
      </c>
      <c r="C44" s="45" t="s">
        <v>133</v>
      </c>
      <c r="D44" t="s">
        <v>940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965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.75" thickBot="1" x14ac:dyDescent="0.3">
      <c r="A45" t="s">
        <v>80</v>
      </c>
      <c r="C45" s="45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966</v>
      </c>
      <c r="L45" s="17">
        <f t="shared" si="5"/>
        <v>27</v>
      </c>
      <c r="M45" s="17">
        <f t="shared" si="6"/>
        <v>1</v>
      </c>
      <c r="N45" s="18">
        <f t="shared" si="7"/>
        <v>0.9642857142857143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 t="s">
        <v>1343</v>
      </c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.75" thickBot="1" x14ac:dyDescent="0.3">
      <c r="A46" t="s">
        <v>80</v>
      </c>
      <c r="C46" s="45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967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.75" thickBot="1" x14ac:dyDescent="0.3">
      <c r="A47" t="s">
        <v>80</v>
      </c>
      <c r="C47" s="45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968</v>
      </c>
      <c r="L47" s="17">
        <f t="shared" si="5"/>
        <v>26</v>
      </c>
      <c r="M47" s="17">
        <f t="shared" si="6"/>
        <v>2</v>
      </c>
      <c r="N47" s="18">
        <f t="shared" si="7"/>
        <v>0.9285714285714286</v>
      </c>
      <c r="O47" s="27"/>
      <c r="P47" s="8"/>
      <c r="Q47" s="8"/>
      <c r="R47" s="8" t="s">
        <v>1343</v>
      </c>
      <c r="S47" s="27" t="s">
        <v>1343</v>
      </c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.75" thickBot="1" x14ac:dyDescent="0.3">
      <c r="A48" t="s">
        <v>80</v>
      </c>
      <c r="C48" s="45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969</v>
      </c>
      <c r="L48" s="17">
        <f t="shared" si="5"/>
        <v>28</v>
      </c>
      <c r="M48" s="17">
        <f t="shared" si="6"/>
        <v>0</v>
      </c>
      <c r="N48" s="18">
        <f t="shared" si="7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.75" thickBot="1" x14ac:dyDescent="0.3">
      <c r="A49" t="s">
        <v>80</v>
      </c>
      <c r="C49" s="45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970</v>
      </c>
      <c r="L49" s="17">
        <f t="shared" si="5"/>
        <v>27</v>
      </c>
      <c r="M49" s="17">
        <f t="shared" si="6"/>
        <v>1</v>
      </c>
      <c r="N49" s="18">
        <f t="shared" si="7"/>
        <v>0.9642857142857143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 t="s">
        <v>1343</v>
      </c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.75" thickBot="1" x14ac:dyDescent="0.3">
      <c r="A50" t="s">
        <v>80</v>
      </c>
      <c r="C50" s="45" t="s">
        <v>150</v>
      </c>
      <c r="D50" t="s">
        <v>1326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971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.75" thickBot="1" x14ac:dyDescent="0.3">
      <c r="A51" t="s">
        <v>80</v>
      </c>
      <c r="C51" s="45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972</v>
      </c>
      <c r="L51" s="17">
        <f t="shared" si="5"/>
        <v>27</v>
      </c>
      <c r="M51" s="17">
        <f t="shared" si="6"/>
        <v>1</v>
      </c>
      <c r="N51" s="18">
        <f t="shared" si="7"/>
        <v>0.9642857142857143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 t="s">
        <v>1343</v>
      </c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.75" thickBot="1" x14ac:dyDescent="0.3">
      <c r="A52" t="s">
        <v>80</v>
      </c>
      <c r="C52" s="45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973</v>
      </c>
      <c r="L52" s="17">
        <f t="shared" si="5"/>
        <v>28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.75" thickBot="1" x14ac:dyDescent="0.3">
      <c r="C53" s="45" t="s">
        <v>159</v>
      </c>
      <c r="D53" t="s">
        <v>160</v>
      </c>
      <c r="E53" t="s">
        <v>24</v>
      </c>
      <c r="F53" t="s">
        <v>944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974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.75" thickBot="1" x14ac:dyDescent="0.3">
      <c r="A54" t="s">
        <v>80</v>
      </c>
      <c r="C54" s="45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975</v>
      </c>
      <c r="L54" s="17">
        <f t="shared" si="5"/>
        <v>28</v>
      </c>
      <c r="M54" s="17">
        <f t="shared" si="6"/>
        <v>0</v>
      </c>
      <c r="N54" s="18">
        <f t="shared" si="7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.75" thickBot="1" x14ac:dyDescent="0.3">
      <c r="A55" t="s">
        <v>80</v>
      </c>
      <c r="C55" s="45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976</v>
      </c>
      <c r="L55" s="17">
        <f t="shared" si="5"/>
        <v>28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.75" thickBot="1" x14ac:dyDescent="0.3">
      <c r="A56" t="s">
        <v>167</v>
      </c>
      <c r="C56" s="45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977</v>
      </c>
      <c r="L56" s="17">
        <f t="shared" si="5"/>
        <v>28</v>
      </c>
      <c r="M56" s="17">
        <f t="shared" si="6"/>
        <v>0</v>
      </c>
      <c r="N56" s="18">
        <f t="shared" si="7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.75" thickBot="1" x14ac:dyDescent="0.3">
      <c r="A57" t="s">
        <v>80</v>
      </c>
      <c r="C57" s="45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978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.75" thickBot="1" x14ac:dyDescent="0.3">
      <c r="A58" t="s">
        <v>80</v>
      </c>
      <c r="C58" s="45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979</v>
      </c>
      <c r="L58" s="17">
        <f t="shared" si="5"/>
        <v>28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.75" thickBot="1" x14ac:dyDescent="0.3">
      <c r="A59" t="s">
        <v>80</v>
      </c>
      <c r="C59" s="45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980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.75" thickBot="1" x14ac:dyDescent="0.3">
      <c r="A60" t="s">
        <v>80</v>
      </c>
      <c r="C60" s="45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981</v>
      </c>
      <c r="L60" s="17">
        <f t="shared" si="5"/>
        <v>28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.75" thickBot="1" x14ac:dyDescent="0.3">
      <c r="A61" t="s">
        <v>80</v>
      </c>
      <c r="C61" s="45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982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.75" thickBot="1" x14ac:dyDescent="0.3">
      <c r="A62" t="s">
        <v>80</v>
      </c>
      <c r="C62" s="45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983</v>
      </c>
      <c r="L62" s="17">
        <f t="shared" si="5"/>
        <v>17</v>
      </c>
      <c r="M62" s="17">
        <f t="shared" si="6"/>
        <v>11</v>
      </c>
      <c r="N62" s="18">
        <f t="shared" si="7"/>
        <v>0.6071428571428571</v>
      </c>
      <c r="O62" s="27" t="s">
        <v>1343</v>
      </c>
      <c r="P62" s="8"/>
      <c r="Q62" s="8"/>
      <c r="R62" s="8" t="s">
        <v>1343</v>
      </c>
      <c r="S62" s="27" t="s">
        <v>1343</v>
      </c>
      <c r="T62" s="27" t="s">
        <v>1343</v>
      </c>
      <c r="U62" s="8" t="s">
        <v>1343</v>
      </c>
      <c r="V62" s="8" t="s">
        <v>1343</v>
      </c>
      <c r="W62" s="8" t="s">
        <v>1343</v>
      </c>
      <c r="X62" s="27" t="s">
        <v>1343</v>
      </c>
      <c r="Y62" s="27" t="s">
        <v>1343</v>
      </c>
      <c r="Z62" s="27" t="s">
        <v>1343</v>
      </c>
      <c r="AA62" s="27" t="s">
        <v>1343</v>
      </c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.75" thickBot="1" x14ac:dyDescent="0.3">
      <c r="A63" t="s">
        <v>80</v>
      </c>
      <c r="C63" s="45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984</v>
      </c>
      <c r="L63" s="17">
        <f t="shared" si="5"/>
        <v>17</v>
      </c>
      <c r="M63" s="17">
        <f t="shared" si="6"/>
        <v>11</v>
      </c>
      <c r="N63" s="18">
        <f t="shared" si="7"/>
        <v>0.6071428571428571</v>
      </c>
      <c r="O63" s="27" t="s">
        <v>1343</v>
      </c>
      <c r="P63" s="8"/>
      <c r="Q63" s="8"/>
      <c r="R63" s="8" t="s">
        <v>1343</v>
      </c>
      <c r="S63" s="27" t="s">
        <v>1343</v>
      </c>
      <c r="T63" s="27" t="s">
        <v>1343</v>
      </c>
      <c r="U63" s="8" t="s">
        <v>1343</v>
      </c>
      <c r="V63" s="8" t="s">
        <v>1343</v>
      </c>
      <c r="W63" s="8" t="s">
        <v>1343</v>
      </c>
      <c r="X63" s="27" t="s">
        <v>1343</v>
      </c>
      <c r="Y63" s="27" t="s">
        <v>1343</v>
      </c>
      <c r="Z63" s="27" t="s">
        <v>1343</v>
      </c>
      <c r="AA63" s="27" t="s">
        <v>1343</v>
      </c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.75" thickBot="1" x14ac:dyDescent="0.3">
      <c r="A64" t="s">
        <v>80</v>
      </c>
      <c r="C64" s="45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985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.75" thickBot="1" x14ac:dyDescent="0.3">
      <c r="A65" t="s">
        <v>80</v>
      </c>
      <c r="C65" s="45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986</v>
      </c>
      <c r="L65" s="17">
        <f t="shared" si="5"/>
        <v>17</v>
      </c>
      <c r="M65" s="17">
        <f t="shared" si="6"/>
        <v>11</v>
      </c>
      <c r="N65" s="18">
        <f t="shared" si="7"/>
        <v>0.6071428571428571</v>
      </c>
      <c r="O65" s="27" t="s">
        <v>1343</v>
      </c>
      <c r="P65" s="8"/>
      <c r="Q65" s="8"/>
      <c r="R65" s="8" t="s">
        <v>1343</v>
      </c>
      <c r="S65" s="27" t="s">
        <v>1343</v>
      </c>
      <c r="T65" s="27" t="s">
        <v>1343</v>
      </c>
      <c r="U65" s="8" t="s">
        <v>1343</v>
      </c>
      <c r="V65" s="8" t="s">
        <v>1343</v>
      </c>
      <c r="W65" s="8" t="s">
        <v>1343</v>
      </c>
      <c r="X65" s="27" t="s">
        <v>1343</v>
      </c>
      <c r="Y65" s="27" t="s">
        <v>1343</v>
      </c>
      <c r="Z65" s="27" t="s">
        <v>1343</v>
      </c>
      <c r="AA65" s="27" t="s">
        <v>1343</v>
      </c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.75" thickBot="1" x14ac:dyDescent="0.3">
      <c r="A66" t="s">
        <v>80</v>
      </c>
      <c r="C66" s="45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987</v>
      </c>
      <c r="L66" s="17">
        <f t="shared" si="5"/>
        <v>28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.75" thickBot="1" x14ac:dyDescent="0.3">
      <c r="A67" t="s">
        <v>80</v>
      </c>
      <c r="C67" s="45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988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.75" thickBot="1" x14ac:dyDescent="0.3">
      <c r="A68" t="s">
        <v>80</v>
      </c>
      <c r="C68" s="45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989</v>
      </c>
      <c r="L68" s="17">
        <f t="shared" si="5"/>
        <v>17</v>
      </c>
      <c r="M68" s="17">
        <f t="shared" si="6"/>
        <v>11</v>
      </c>
      <c r="N68" s="18">
        <f t="shared" si="7"/>
        <v>0.6071428571428571</v>
      </c>
      <c r="O68" s="27" t="s">
        <v>1343</v>
      </c>
      <c r="P68" s="8"/>
      <c r="Q68" s="8"/>
      <c r="R68" s="8" t="s">
        <v>1343</v>
      </c>
      <c r="S68" s="27" t="s">
        <v>1343</v>
      </c>
      <c r="T68" s="27" t="s">
        <v>1343</v>
      </c>
      <c r="U68" s="8" t="s">
        <v>1343</v>
      </c>
      <c r="V68" s="8" t="s">
        <v>1343</v>
      </c>
      <c r="W68" s="8" t="s">
        <v>1343</v>
      </c>
      <c r="X68" s="27" t="s">
        <v>1343</v>
      </c>
      <c r="Y68" s="27" t="s">
        <v>1343</v>
      </c>
      <c r="Z68" s="27" t="s">
        <v>1343</v>
      </c>
      <c r="AA68" s="27" t="s">
        <v>1343</v>
      </c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.75" thickBot="1" x14ac:dyDescent="0.3">
      <c r="A69" t="s">
        <v>80</v>
      </c>
      <c r="C69" s="45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990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.75" thickBot="1" x14ac:dyDescent="0.3">
      <c r="A70" t="s">
        <v>80</v>
      </c>
      <c r="C70" s="45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991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.75" thickBot="1" x14ac:dyDescent="0.3">
      <c r="A71" t="s">
        <v>80</v>
      </c>
      <c r="C71" s="45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992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.75" thickBot="1" x14ac:dyDescent="0.3">
      <c r="A72" t="s">
        <v>80</v>
      </c>
      <c r="C72" s="45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993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.75" thickBot="1" x14ac:dyDescent="0.3">
      <c r="A73" t="s">
        <v>80</v>
      </c>
      <c r="C73" s="45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994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.75" thickBot="1" x14ac:dyDescent="0.3">
      <c r="A74" t="s">
        <v>80</v>
      </c>
      <c r="C74" s="45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995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.75" thickBot="1" x14ac:dyDescent="0.3">
      <c r="A75" t="s">
        <v>80</v>
      </c>
      <c r="C75" s="45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996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.75" thickBot="1" x14ac:dyDescent="0.3">
      <c r="A76" t="s">
        <v>80</v>
      </c>
      <c r="C76" s="45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997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.75" thickBot="1" x14ac:dyDescent="0.3">
      <c r="A77" t="s">
        <v>80</v>
      </c>
      <c r="C77" s="45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998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.75" thickBot="1" x14ac:dyDescent="0.3">
      <c r="A78" t="s">
        <v>80</v>
      </c>
      <c r="C78" s="45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999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1343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.75" thickBot="1" x14ac:dyDescent="0.3">
      <c r="A79" t="s">
        <v>80</v>
      </c>
      <c r="C79" s="45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1000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.75" thickBot="1" x14ac:dyDescent="0.3">
      <c r="A80" t="s">
        <v>80</v>
      </c>
      <c r="C80" s="45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1001</v>
      </c>
      <c r="L80" s="17">
        <f t="shared" si="8"/>
        <v>16</v>
      </c>
      <c r="M80" s="17">
        <f t="shared" si="9"/>
        <v>12</v>
      </c>
      <c r="N80" s="18">
        <f t="shared" si="10"/>
        <v>0.5714285714285714</v>
      </c>
      <c r="O80" s="27" t="s">
        <v>1343</v>
      </c>
      <c r="P80" s="8"/>
      <c r="Q80" s="8"/>
      <c r="R80" s="8" t="s">
        <v>1343</v>
      </c>
      <c r="S80" s="27" t="s">
        <v>1343</v>
      </c>
      <c r="T80" s="27" t="s">
        <v>1343</v>
      </c>
      <c r="U80" s="8" t="s">
        <v>1343</v>
      </c>
      <c r="V80" s="8" t="s">
        <v>1343</v>
      </c>
      <c r="W80" s="8" t="s">
        <v>1343</v>
      </c>
      <c r="X80" s="27" t="s">
        <v>1343</v>
      </c>
      <c r="Y80" s="27" t="s">
        <v>1343</v>
      </c>
      <c r="Z80" s="27" t="s">
        <v>1343</v>
      </c>
      <c r="AA80" s="27" t="s">
        <v>1343</v>
      </c>
      <c r="AB80" s="27" t="s">
        <v>1343</v>
      </c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</row>
    <row r="81" spans="1:44" ht="15.75" thickBot="1" x14ac:dyDescent="0.3">
      <c r="A81" t="s">
        <v>80</v>
      </c>
      <c r="C81" s="45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1002</v>
      </c>
      <c r="L81" s="17">
        <f t="shared" si="8"/>
        <v>28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.75" thickBot="1" x14ac:dyDescent="0.3">
      <c r="A82" t="s">
        <v>80</v>
      </c>
      <c r="C82" s="45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1003</v>
      </c>
      <c r="L82" s="17">
        <f t="shared" si="8"/>
        <v>28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.75" thickBot="1" x14ac:dyDescent="0.3">
      <c r="A83" t="s">
        <v>80</v>
      </c>
      <c r="C83" s="45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1004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.75" thickBot="1" x14ac:dyDescent="0.3">
      <c r="A84" t="s">
        <v>80</v>
      </c>
      <c r="C84" s="45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1005</v>
      </c>
      <c r="L84" s="17">
        <f t="shared" si="8"/>
        <v>28</v>
      </c>
      <c r="M84" s="17">
        <f t="shared" si="9"/>
        <v>0</v>
      </c>
      <c r="N84" s="18">
        <f t="shared" si="10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.75" thickBot="1" x14ac:dyDescent="0.3">
      <c r="A85" t="s">
        <v>80</v>
      </c>
      <c r="C85" s="45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1006</v>
      </c>
      <c r="L85" s="17">
        <f t="shared" si="8"/>
        <v>26</v>
      </c>
      <c r="M85" s="17">
        <f t="shared" si="9"/>
        <v>2</v>
      </c>
      <c r="N85" s="18">
        <f t="shared" si="10"/>
        <v>0.9285714285714286</v>
      </c>
      <c r="O85" s="27"/>
      <c r="P85" s="8"/>
      <c r="Q85" s="8"/>
      <c r="R85" s="8" t="s">
        <v>1343</v>
      </c>
      <c r="S85" s="27" t="s">
        <v>1343</v>
      </c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.75" thickBot="1" x14ac:dyDescent="0.3">
      <c r="A86" t="s">
        <v>80</v>
      </c>
      <c r="C86" s="45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1007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.75" thickBot="1" x14ac:dyDescent="0.3">
      <c r="C87" s="45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1010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.75" thickBot="1" x14ac:dyDescent="0.3">
      <c r="A88" t="s">
        <v>80</v>
      </c>
      <c r="C88" s="45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1023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.75" thickBot="1" x14ac:dyDescent="0.3">
      <c r="A89" t="s">
        <v>80</v>
      </c>
      <c r="C89" s="45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1344</v>
      </c>
      <c r="L89" s="17">
        <f t="shared" si="8"/>
        <v>28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.75" thickBot="1" x14ac:dyDescent="0.3">
      <c r="A90" t="s">
        <v>80</v>
      </c>
      <c r="C90" s="45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1024</v>
      </c>
      <c r="L90" s="17">
        <f t="shared" si="8"/>
        <v>28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" customHeight="1" thickBot="1" x14ac:dyDescent="0.3">
      <c r="A91" t="s">
        <v>80</v>
      </c>
      <c r="C91" s="45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1028</v>
      </c>
      <c r="L91" s="17">
        <f t="shared" si="8"/>
        <v>23</v>
      </c>
      <c r="M91" s="17">
        <f t="shared" si="9"/>
        <v>5</v>
      </c>
      <c r="N91" s="18">
        <f t="shared" si="10"/>
        <v>0.8214285714285714</v>
      </c>
      <c r="O91" s="27" t="s">
        <v>1343</v>
      </c>
      <c r="P91" s="8"/>
      <c r="Q91" s="8"/>
      <c r="R91" s="8" t="s">
        <v>1343</v>
      </c>
      <c r="S91" s="27" t="s">
        <v>1343</v>
      </c>
      <c r="T91" s="27" t="s">
        <v>1343</v>
      </c>
      <c r="U91" s="8" t="s">
        <v>1343</v>
      </c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.75" thickBot="1" x14ac:dyDescent="0.3">
      <c r="A92" t="s">
        <v>80</v>
      </c>
      <c r="C92" s="45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1029</v>
      </c>
      <c r="L92" s="17">
        <f t="shared" si="8"/>
        <v>23</v>
      </c>
      <c r="M92" s="17">
        <f t="shared" si="9"/>
        <v>5</v>
      </c>
      <c r="N92" s="18">
        <f t="shared" si="10"/>
        <v>0.8214285714285714</v>
      </c>
      <c r="O92" s="27" t="s">
        <v>1343</v>
      </c>
      <c r="P92" s="8"/>
      <c r="Q92" s="8"/>
      <c r="R92" s="8" t="s">
        <v>1343</v>
      </c>
      <c r="S92" s="27" t="s">
        <v>1343</v>
      </c>
      <c r="T92" s="27" t="s">
        <v>1343</v>
      </c>
      <c r="U92" s="8" t="s">
        <v>1343</v>
      </c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.75" thickBot="1" x14ac:dyDescent="0.3">
      <c r="A93" t="s">
        <v>80</v>
      </c>
      <c r="C93" s="45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1030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.75" thickBot="1" x14ac:dyDescent="0.3">
      <c r="A94" t="s">
        <v>80</v>
      </c>
      <c r="C94" s="45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1034</v>
      </c>
      <c r="L94" s="17">
        <f t="shared" si="8"/>
        <v>28</v>
      </c>
      <c r="M94" s="17">
        <f t="shared" si="9"/>
        <v>0</v>
      </c>
      <c r="N94" s="18">
        <f t="shared" si="10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.75" thickBot="1" x14ac:dyDescent="0.3">
      <c r="A95" t="s">
        <v>80</v>
      </c>
      <c r="C95" s="45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1035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.75" thickBot="1" x14ac:dyDescent="0.3">
      <c r="A96" t="s">
        <v>258</v>
      </c>
      <c r="C96" s="45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1036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.75" thickBot="1" x14ac:dyDescent="0.3">
      <c r="A97" t="s">
        <v>261</v>
      </c>
      <c r="C97" s="45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1037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.75" thickBot="1" x14ac:dyDescent="0.3">
      <c r="A98" t="s">
        <v>261</v>
      </c>
      <c r="C98" s="45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1038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.75" thickBot="1" x14ac:dyDescent="0.3">
      <c r="A99" t="s">
        <v>261</v>
      </c>
      <c r="C99" s="45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1039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.75" thickBot="1" x14ac:dyDescent="0.3">
      <c r="A100" t="s">
        <v>271</v>
      </c>
      <c r="C100" s="45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1040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.75" thickBot="1" x14ac:dyDescent="0.3">
      <c r="A101" t="s">
        <v>274</v>
      </c>
      <c r="C101" s="45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1041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.75" thickBot="1" x14ac:dyDescent="0.3">
      <c r="A102" t="s">
        <v>274</v>
      </c>
      <c r="C102" s="45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1042</v>
      </c>
      <c r="L102" s="17">
        <f t="shared" si="8"/>
        <v>27</v>
      </c>
      <c r="M102" s="17">
        <f t="shared" si="9"/>
        <v>1</v>
      </c>
      <c r="N102" s="18">
        <f t="shared" si="10"/>
        <v>0.9642857142857143</v>
      </c>
      <c r="O102" s="27"/>
      <c r="P102" s="8"/>
      <c r="Q102" s="8"/>
      <c r="R102" s="8"/>
      <c r="S102" s="27"/>
      <c r="T102" s="27"/>
      <c r="U102" s="8"/>
      <c r="V102" s="8"/>
      <c r="W102" s="8"/>
      <c r="X102" s="27" t="s">
        <v>1343</v>
      </c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.75" thickBot="1" x14ac:dyDescent="0.3">
      <c r="C103" s="45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1043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.75" thickBot="1" x14ac:dyDescent="0.3">
      <c r="A104" t="s">
        <v>283</v>
      </c>
      <c r="C104" s="45" t="s">
        <v>284</v>
      </c>
      <c r="D104" t="s">
        <v>285</v>
      </c>
      <c r="E104" t="s">
        <v>113</v>
      </c>
      <c r="F104" t="s">
        <v>944</v>
      </c>
      <c r="G104"/>
      <c r="H104" t="s">
        <v>286</v>
      </c>
      <c r="I104" s="16">
        <v>-347971580000</v>
      </c>
      <c r="J104" s="16">
        <v>-583070820000</v>
      </c>
      <c r="K104" s="16" t="s">
        <v>1044</v>
      </c>
      <c r="L104" s="17">
        <f t="shared" si="8"/>
        <v>28</v>
      </c>
      <c r="M104" s="17">
        <f t="shared" si="9"/>
        <v>0</v>
      </c>
      <c r="N104" s="18">
        <f t="shared" si="10"/>
        <v>1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</row>
    <row r="105" spans="1:44" ht="16.149999999999999" customHeight="1" thickBot="1" x14ac:dyDescent="0.3">
      <c r="A105" t="s">
        <v>283</v>
      </c>
      <c r="C105" s="45" t="s">
        <v>287</v>
      </c>
      <c r="D105" t="s">
        <v>285</v>
      </c>
      <c r="E105" t="s">
        <v>113</v>
      </c>
      <c r="F105" t="s">
        <v>944</v>
      </c>
      <c r="G105"/>
      <c r="H105" t="s">
        <v>288</v>
      </c>
      <c r="I105" s="16">
        <v>-347971580000</v>
      </c>
      <c r="J105" s="16">
        <v>-583070820000</v>
      </c>
      <c r="K105" s="16" t="s">
        <v>1045</v>
      </c>
      <c r="L105" s="17">
        <f t="shared" si="8"/>
        <v>28</v>
      </c>
      <c r="M105" s="17">
        <f t="shared" si="9"/>
        <v>0</v>
      </c>
      <c r="N105" s="18">
        <f t="shared" si="10"/>
        <v>1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</row>
    <row r="106" spans="1:44" ht="15.75" thickBot="1" x14ac:dyDescent="0.3">
      <c r="A106" t="s">
        <v>289</v>
      </c>
      <c r="C106" s="45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1046</v>
      </c>
      <c r="L106" s="17">
        <f t="shared" si="8"/>
        <v>28</v>
      </c>
      <c r="M106" s="17">
        <f t="shared" si="9"/>
        <v>0</v>
      </c>
      <c r="N106" s="18">
        <f t="shared" si="10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.75" thickBot="1" x14ac:dyDescent="0.3">
      <c r="A107" t="s">
        <v>289</v>
      </c>
      <c r="C107" s="45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1047</v>
      </c>
      <c r="L107" s="17">
        <f t="shared" si="8"/>
        <v>28</v>
      </c>
      <c r="M107" s="17">
        <f t="shared" si="9"/>
        <v>0</v>
      </c>
      <c r="N107" s="18">
        <f t="shared" si="10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.75" thickBot="1" x14ac:dyDescent="0.3">
      <c r="A108" t="s">
        <v>289</v>
      </c>
      <c r="C108" s="45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1048</v>
      </c>
      <c r="L108" s="17">
        <f t="shared" si="8"/>
        <v>28</v>
      </c>
      <c r="M108" s="17">
        <f t="shared" si="9"/>
        <v>0</v>
      </c>
      <c r="N108" s="18">
        <f t="shared" si="10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.75" thickBot="1" x14ac:dyDescent="0.3">
      <c r="A109" t="s">
        <v>289</v>
      </c>
      <c r="C109" s="45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1049</v>
      </c>
      <c r="L109" s="17">
        <f t="shared" si="8"/>
        <v>28</v>
      </c>
      <c r="M109" s="17">
        <f t="shared" si="9"/>
        <v>0</v>
      </c>
      <c r="N109" s="18">
        <f t="shared" si="10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.75" thickBot="1" x14ac:dyDescent="0.3">
      <c r="A110" t="s">
        <v>301</v>
      </c>
      <c r="C110" s="45" t="s">
        <v>302</v>
      </c>
      <c r="D110" t="s">
        <v>303</v>
      </c>
      <c r="E110" t="s">
        <v>19</v>
      </c>
      <c r="F110" t="s">
        <v>944</v>
      </c>
      <c r="G110"/>
      <c r="H110" t="s">
        <v>304</v>
      </c>
      <c r="I110" s="16">
        <v>-348185740000</v>
      </c>
      <c r="J110" s="16">
        <v>-582866380000</v>
      </c>
      <c r="K110" s="16" t="s">
        <v>1056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.75" thickBot="1" x14ac:dyDescent="0.3">
      <c r="A111" t="s">
        <v>301</v>
      </c>
      <c r="C111" s="45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1057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.75" thickBot="1" x14ac:dyDescent="0.3">
      <c r="A112" t="s">
        <v>301</v>
      </c>
      <c r="C112" s="45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1050</v>
      </c>
      <c r="L112" s="17">
        <f t="shared" si="8"/>
        <v>28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.75" thickBot="1" x14ac:dyDescent="0.3">
      <c r="A113" t="s">
        <v>310</v>
      </c>
      <c r="C113" s="45" t="s">
        <v>311</v>
      </c>
      <c r="D113" t="s">
        <v>312</v>
      </c>
      <c r="E113" t="s">
        <v>24</v>
      </c>
      <c r="F113" t="s">
        <v>944</v>
      </c>
      <c r="G113" t="s">
        <v>151</v>
      </c>
      <c r="H113"/>
      <c r="I113" s="16">
        <v>-348125000000</v>
      </c>
      <c r="J113" s="16">
        <v>-582916650000</v>
      </c>
      <c r="K113" s="16" t="s">
        <v>1051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.75" thickBot="1" x14ac:dyDescent="0.3">
      <c r="A114" t="s">
        <v>313</v>
      </c>
      <c r="C114" s="45" t="s">
        <v>314</v>
      </c>
      <c r="D114" t="s">
        <v>315</v>
      </c>
      <c r="E114" t="s">
        <v>19</v>
      </c>
      <c r="F114" t="s">
        <v>944</v>
      </c>
      <c r="G114" t="s">
        <v>316</v>
      </c>
      <c r="H114"/>
      <c r="I114" s="16">
        <v>-348215020000</v>
      </c>
      <c r="J114" s="16">
        <v>-582844880000</v>
      </c>
      <c r="K114" s="16" t="s">
        <v>1052</v>
      </c>
      <c r="L114" s="17">
        <f t="shared" si="8"/>
        <v>28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.75" thickBot="1" x14ac:dyDescent="0.3">
      <c r="A115" t="s">
        <v>301</v>
      </c>
      <c r="C115" s="45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1053</v>
      </c>
      <c r="L115" s="17">
        <f t="shared" si="8"/>
        <v>24</v>
      </c>
      <c r="M115" s="17">
        <f t="shared" si="9"/>
        <v>4</v>
      </c>
      <c r="N115" s="18">
        <f t="shared" si="10"/>
        <v>0.8571428571428571</v>
      </c>
      <c r="O115" s="27"/>
      <c r="P115" s="8"/>
      <c r="Q115" s="8"/>
      <c r="R115" s="8"/>
      <c r="S115" s="27"/>
      <c r="T115" s="27"/>
      <c r="U115" s="8" t="s">
        <v>1343</v>
      </c>
      <c r="V115" s="8" t="s">
        <v>1343</v>
      </c>
      <c r="W115" s="8" t="s">
        <v>1343</v>
      </c>
      <c r="X115" s="27"/>
      <c r="Y115" s="27" t="s">
        <v>1343</v>
      </c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.75" thickBot="1" x14ac:dyDescent="0.3">
      <c r="A116" t="s">
        <v>301</v>
      </c>
      <c r="C116" s="45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1054</v>
      </c>
      <c r="L116" s="17">
        <f t="shared" si="8"/>
        <v>27</v>
      </c>
      <c r="M116" s="17">
        <f t="shared" si="9"/>
        <v>1</v>
      </c>
      <c r="N116" s="18">
        <f t="shared" si="10"/>
        <v>0.9642857142857143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 t="s">
        <v>1343</v>
      </c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.75" thickBot="1" x14ac:dyDescent="0.3">
      <c r="A117" t="s">
        <v>301</v>
      </c>
      <c r="C117" s="45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1055</v>
      </c>
      <c r="L117" s="17">
        <f t="shared" si="8"/>
        <v>28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.75" thickBot="1" x14ac:dyDescent="0.3">
      <c r="A118" t="s">
        <v>301</v>
      </c>
      <c r="C118" s="45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1058</v>
      </c>
      <c r="L118" s="17">
        <f t="shared" si="8"/>
        <v>28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.75" thickBot="1" x14ac:dyDescent="0.3">
      <c r="A119" t="s">
        <v>301</v>
      </c>
      <c r="C119" s="45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1059</v>
      </c>
      <c r="L119" s="17">
        <f t="shared" si="8"/>
        <v>28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.75" thickBot="1" x14ac:dyDescent="0.3">
      <c r="A120" t="s">
        <v>301</v>
      </c>
      <c r="C120" s="45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1026</v>
      </c>
      <c r="L120" s="17">
        <f t="shared" si="8"/>
        <v>28</v>
      </c>
      <c r="M120" s="17">
        <f t="shared" si="9"/>
        <v>0</v>
      </c>
      <c r="N120" s="18">
        <f t="shared" si="10"/>
        <v>1</v>
      </c>
      <c r="O120" s="27"/>
      <c r="P120" s="8"/>
      <c r="Q120" s="8"/>
      <c r="R120" s="8"/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</row>
    <row r="121" spans="1:44" ht="15.75" thickBot="1" x14ac:dyDescent="0.3">
      <c r="A121" t="s">
        <v>301</v>
      </c>
      <c r="C121" s="45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1027</v>
      </c>
      <c r="L121" s="17">
        <f t="shared" si="8"/>
        <v>28</v>
      </c>
      <c r="M121" s="17">
        <f t="shared" si="9"/>
        <v>0</v>
      </c>
      <c r="N121" s="18">
        <f t="shared" si="10"/>
        <v>1</v>
      </c>
      <c r="O121" s="27"/>
      <c r="P121" s="8"/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</row>
    <row r="122" spans="1:44" ht="15.75" thickBot="1" x14ac:dyDescent="0.3">
      <c r="A122" t="s">
        <v>333</v>
      </c>
      <c r="C122" s="45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1061</v>
      </c>
      <c r="L122" s="17">
        <f t="shared" si="8"/>
        <v>28</v>
      </c>
      <c r="M122" s="17">
        <f t="shared" si="9"/>
        <v>0</v>
      </c>
      <c r="N122" s="18">
        <f t="shared" si="10"/>
        <v>1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.75" thickBot="1" x14ac:dyDescent="0.3">
      <c r="A123" t="s">
        <v>333</v>
      </c>
      <c r="C123" s="45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1062</v>
      </c>
      <c r="L123" s="17">
        <f t="shared" si="8"/>
        <v>28</v>
      </c>
      <c r="M123" s="17">
        <f t="shared" si="9"/>
        <v>0</v>
      </c>
      <c r="N123" s="18">
        <f t="shared" si="10"/>
        <v>1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.75" thickBot="1" x14ac:dyDescent="0.3">
      <c r="A124" t="s">
        <v>338</v>
      </c>
      <c r="C124" s="45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1063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.75" thickBot="1" x14ac:dyDescent="0.3">
      <c r="A125" t="s">
        <v>342</v>
      </c>
      <c r="C125" s="45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1070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.75" thickBot="1" x14ac:dyDescent="0.3">
      <c r="A126" t="s">
        <v>342</v>
      </c>
      <c r="C126" s="45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1071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.75" thickBot="1" x14ac:dyDescent="0.3">
      <c r="A127" t="s">
        <v>342</v>
      </c>
      <c r="C127" s="45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1072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.75" thickBot="1" x14ac:dyDescent="0.3">
      <c r="A128" t="s">
        <v>342</v>
      </c>
      <c r="C128" s="45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1073</v>
      </c>
      <c r="L128" s="17">
        <f t="shared" si="8"/>
        <v>28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.75" thickBot="1" x14ac:dyDescent="0.3">
      <c r="A129" t="s">
        <v>342</v>
      </c>
      <c r="C129" s="45" t="s">
        <v>355</v>
      </c>
      <c r="D129" t="s">
        <v>356</v>
      </c>
      <c r="E129" t="s">
        <v>113</v>
      </c>
      <c r="F129" t="s">
        <v>944</v>
      </c>
      <c r="G129"/>
      <c r="H129" t="s">
        <v>297</v>
      </c>
      <c r="I129" s="16">
        <v>-348034360000</v>
      </c>
      <c r="J129" s="16">
        <v>-583009630000</v>
      </c>
      <c r="K129" s="16" t="s">
        <v>1075</v>
      </c>
      <c r="L129" s="17">
        <f t="shared" si="8"/>
        <v>28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</row>
    <row r="130" spans="1:44" ht="15.75" thickBot="1" x14ac:dyDescent="0.3">
      <c r="A130" t="s">
        <v>342</v>
      </c>
      <c r="C130" s="45" t="s">
        <v>357</v>
      </c>
      <c r="D130" t="s">
        <v>356</v>
      </c>
      <c r="E130" t="s">
        <v>113</v>
      </c>
      <c r="F130" t="s">
        <v>944</v>
      </c>
      <c r="G130"/>
      <c r="H130" t="s">
        <v>297</v>
      </c>
      <c r="I130" s="16">
        <v>-348034540000</v>
      </c>
      <c r="J130" s="16">
        <v>-583010170000</v>
      </c>
      <c r="K130" s="16" t="s">
        <v>1076</v>
      </c>
      <c r="L130" s="17">
        <f t="shared" si="8"/>
        <v>28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</row>
    <row r="131" spans="1:44" ht="15.75" thickBot="1" x14ac:dyDescent="0.3">
      <c r="A131" t="s">
        <v>358</v>
      </c>
      <c r="C131" s="45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1064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.75" thickBot="1" x14ac:dyDescent="0.3">
      <c r="A132" t="s">
        <v>261</v>
      </c>
      <c r="C132" s="45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1065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.75" thickBot="1" x14ac:dyDescent="0.3">
      <c r="A133" t="s">
        <v>342</v>
      </c>
      <c r="C133" s="45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1066</v>
      </c>
      <c r="L133" s="17">
        <f t="shared" ref="L133:L196" si="11">COUNTIF(O133:AP133,"")</f>
        <v>16</v>
      </c>
      <c r="M133" s="17">
        <f t="shared" ref="M133:M196" si="12">COUNTIF(O133:AP133,"APAGADO")</f>
        <v>12</v>
      </c>
      <c r="N133" s="18">
        <f t="shared" ref="N133:N196" si="13">(L133)/(M133+L133)</f>
        <v>0.5714285714285714</v>
      </c>
      <c r="O133" s="27" t="s">
        <v>1343</v>
      </c>
      <c r="P133" s="8"/>
      <c r="Q133" s="8"/>
      <c r="R133" s="8" t="s">
        <v>1343</v>
      </c>
      <c r="S133" s="27" t="s">
        <v>1343</v>
      </c>
      <c r="T133" s="27" t="s">
        <v>1343</v>
      </c>
      <c r="U133" s="8" t="s">
        <v>1343</v>
      </c>
      <c r="V133" s="8" t="s">
        <v>1343</v>
      </c>
      <c r="W133" s="8" t="s">
        <v>1343</v>
      </c>
      <c r="X133" s="27" t="s">
        <v>1343</v>
      </c>
      <c r="Y133" s="27" t="s">
        <v>1343</v>
      </c>
      <c r="Z133" s="27" t="s">
        <v>1343</v>
      </c>
      <c r="AA133" s="27" t="s">
        <v>1343</v>
      </c>
      <c r="AB133" s="27" t="s">
        <v>1343</v>
      </c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</row>
    <row r="134" spans="1:44" ht="15.75" thickBot="1" x14ac:dyDescent="0.3">
      <c r="A134" t="s">
        <v>342</v>
      </c>
      <c r="C134" s="45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1067</v>
      </c>
      <c r="L134" s="17">
        <f t="shared" si="11"/>
        <v>28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.75" thickBot="1" x14ac:dyDescent="0.3">
      <c r="A135" t="s">
        <v>342</v>
      </c>
      <c r="C135" s="45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1068</v>
      </c>
      <c r="L135" s="17">
        <f t="shared" si="11"/>
        <v>28</v>
      </c>
      <c r="M135" s="17">
        <f t="shared" si="12"/>
        <v>0</v>
      </c>
      <c r="N135" s="18">
        <f t="shared" si="13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.75" thickBot="1" x14ac:dyDescent="0.3">
      <c r="A136" t="s">
        <v>342</v>
      </c>
      <c r="C136" s="45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1069</v>
      </c>
      <c r="L136" s="17">
        <f t="shared" si="11"/>
        <v>28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.75" thickBot="1" x14ac:dyDescent="0.3">
      <c r="A137" t="s">
        <v>342</v>
      </c>
      <c r="C137" s="45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1074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.75" thickBot="1" x14ac:dyDescent="0.3">
      <c r="A138" t="s">
        <v>342</v>
      </c>
      <c r="C138" s="45" t="s">
        <v>378</v>
      </c>
      <c r="D138" t="s">
        <v>379</v>
      </c>
      <c r="E138" t="s">
        <v>113</v>
      </c>
      <c r="F138" t="s">
        <v>944</v>
      </c>
      <c r="G138"/>
      <c r="H138" t="s">
        <v>380</v>
      </c>
      <c r="I138" s="16">
        <v>-348053300000</v>
      </c>
      <c r="J138" s="16">
        <v>-583014930000</v>
      </c>
      <c r="K138" s="16" t="s">
        <v>1077</v>
      </c>
      <c r="L138" s="17">
        <f t="shared" si="11"/>
        <v>28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</row>
    <row r="139" spans="1:44" ht="15.75" thickBot="1" x14ac:dyDescent="0.3">
      <c r="A139" t="s">
        <v>342</v>
      </c>
      <c r="C139" s="45" t="s">
        <v>381</v>
      </c>
      <c r="D139" t="s">
        <v>379</v>
      </c>
      <c r="E139" t="s">
        <v>113</v>
      </c>
      <c r="F139" t="s">
        <v>944</v>
      </c>
      <c r="G139"/>
      <c r="H139" t="s">
        <v>382</v>
      </c>
      <c r="I139" s="16">
        <v>-348053300000</v>
      </c>
      <c r="J139" s="16">
        <v>-583014930000</v>
      </c>
      <c r="K139" s="16" t="s">
        <v>1078</v>
      </c>
      <c r="L139" s="17">
        <f t="shared" si="11"/>
        <v>28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</row>
    <row r="140" spans="1:44" ht="15.75" thickBot="1" x14ac:dyDescent="0.3">
      <c r="A140" t="s">
        <v>342</v>
      </c>
      <c r="C140" s="45" t="s">
        <v>383</v>
      </c>
      <c r="D140" t="s">
        <v>384</v>
      </c>
      <c r="E140" t="s">
        <v>113</v>
      </c>
      <c r="F140" t="s">
        <v>944</v>
      </c>
      <c r="G140"/>
      <c r="H140" t="s">
        <v>385</v>
      </c>
      <c r="I140" s="16">
        <v>-348051560000</v>
      </c>
      <c r="J140" s="16">
        <v>-583023560000</v>
      </c>
      <c r="K140" s="16" t="s">
        <v>1079</v>
      </c>
      <c r="L140" s="17">
        <f t="shared" si="11"/>
        <v>28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</row>
    <row r="141" spans="1:44" ht="15.75" thickBot="1" x14ac:dyDescent="0.3">
      <c r="A141" t="s">
        <v>342</v>
      </c>
      <c r="C141" s="45" t="s">
        <v>386</v>
      </c>
      <c r="D141" t="s">
        <v>384</v>
      </c>
      <c r="E141" t="s">
        <v>113</v>
      </c>
      <c r="F141" t="s">
        <v>944</v>
      </c>
      <c r="G141"/>
      <c r="H141" t="s">
        <v>385</v>
      </c>
      <c r="I141" s="16">
        <v>-348051560000</v>
      </c>
      <c r="J141" s="16">
        <v>-583023560000</v>
      </c>
      <c r="K141" s="16" t="s">
        <v>1080</v>
      </c>
      <c r="L141" s="17">
        <f t="shared" si="11"/>
        <v>28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</row>
    <row r="142" spans="1:44" ht="15.75" thickBot="1" x14ac:dyDescent="0.3">
      <c r="A142" t="s">
        <v>167</v>
      </c>
      <c r="C142" s="45" t="s">
        <v>387</v>
      </c>
      <c r="D142" t="s">
        <v>388</v>
      </c>
      <c r="E142" t="s">
        <v>19</v>
      </c>
      <c r="F142" t="s">
        <v>944</v>
      </c>
      <c r="G142"/>
      <c r="H142" t="s">
        <v>389</v>
      </c>
      <c r="I142" s="16">
        <v>-347976230000</v>
      </c>
      <c r="J142" s="16">
        <v>-582821290000</v>
      </c>
      <c r="K142" s="16" t="s">
        <v>1081</v>
      </c>
      <c r="L142" s="17">
        <f t="shared" si="11"/>
        <v>28</v>
      </c>
      <c r="M142" s="17">
        <f t="shared" si="12"/>
        <v>0</v>
      </c>
      <c r="N142" s="18">
        <f t="shared" si="13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.75" thickBot="1" x14ac:dyDescent="0.3">
      <c r="A143" t="s">
        <v>167</v>
      </c>
      <c r="C143" s="45" t="s">
        <v>390</v>
      </c>
      <c r="D143" t="s">
        <v>391</v>
      </c>
      <c r="E143" t="s">
        <v>19</v>
      </c>
      <c r="F143" t="s">
        <v>944</v>
      </c>
      <c r="G143"/>
      <c r="H143" t="s">
        <v>389</v>
      </c>
      <c r="I143" s="16">
        <v>-347960180000</v>
      </c>
      <c r="J143" s="16">
        <v>-582861620000</v>
      </c>
      <c r="K143" s="16" t="s">
        <v>1082</v>
      </c>
      <c r="L143" s="17">
        <f t="shared" si="11"/>
        <v>28</v>
      </c>
      <c r="M143" s="17">
        <f t="shared" si="12"/>
        <v>0</v>
      </c>
      <c r="N143" s="18">
        <f t="shared" si="13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.75" thickBot="1" x14ac:dyDescent="0.3">
      <c r="A144" t="s">
        <v>167</v>
      </c>
      <c r="B144" s="59">
        <v>44629</v>
      </c>
      <c r="C144" s="61" t="s">
        <v>392</v>
      </c>
      <c r="D144" t="s">
        <v>393</v>
      </c>
      <c r="E144" t="s">
        <v>19</v>
      </c>
      <c r="F144" t="s">
        <v>944</v>
      </c>
      <c r="G144"/>
      <c r="H144" t="s">
        <v>389</v>
      </c>
      <c r="I144" s="16">
        <v>-347947670000</v>
      </c>
      <c r="J144" s="16">
        <v>-582871810000</v>
      </c>
      <c r="K144" s="16" t="s">
        <v>1083</v>
      </c>
      <c r="L144" s="17">
        <f t="shared" si="11"/>
        <v>28</v>
      </c>
      <c r="M144" s="17">
        <f t="shared" si="12"/>
        <v>0</v>
      </c>
      <c r="N144" s="18">
        <f t="shared" si="13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.75" thickBot="1" x14ac:dyDescent="0.3">
      <c r="A145" t="s">
        <v>261</v>
      </c>
      <c r="C145" s="45" t="s">
        <v>394</v>
      </c>
      <c r="D145" t="s">
        <v>1320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1084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.75" thickBot="1" x14ac:dyDescent="0.3">
      <c r="C146" s="45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1085</v>
      </c>
      <c r="L146" s="17">
        <f t="shared" si="11"/>
        <v>28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.75" thickBot="1" x14ac:dyDescent="0.3">
      <c r="A147" t="s">
        <v>399</v>
      </c>
      <c r="C147" s="45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1086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.75" thickBot="1" x14ac:dyDescent="0.3">
      <c r="A148" t="s">
        <v>399</v>
      </c>
      <c r="C148" s="45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1060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.75" thickBot="1" x14ac:dyDescent="0.3">
      <c r="A149" t="s">
        <v>403</v>
      </c>
      <c r="C149" s="45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1087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.75" thickBot="1" x14ac:dyDescent="0.3">
      <c r="A150" t="s">
        <v>403</v>
      </c>
      <c r="C150" s="45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1088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.75" thickBot="1" x14ac:dyDescent="0.3">
      <c r="A151" t="s">
        <v>403</v>
      </c>
      <c r="C151" s="45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1089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.75" thickBot="1" x14ac:dyDescent="0.3">
      <c r="C152" s="45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1090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.75" thickBot="1" x14ac:dyDescent="0.3">
      <c r="A153" t="s">
        <v>412</v>
      </c>
      <c r="B153" s="64">
        <v>44642</v>
      </c>
      <c r="C153" s="65" t="s">
        <v>413</v>
      </c>
      <c r="D153" s="66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1091</v>
      </c>
      <c r="L153" s="17">
        <f t="shared" si="11"/>
        <v>24</v>
      </c>
      <c r="M153" s="17">
        <f t="shared" si="12"/>
        <v>3</v>
      </c>
      <c r="N153" s="18">
        <f t="shared" si="13"/>
        <v>0.88888888888888884</v>
      </c>
      <c r="O153" s="27" t="s">
        <v>1343</v>
      </c>
      <c r="P153" s="8"/>
      <c r="Q153" s="8"/>
      <c r="R153" s="8" t="s">
        <v>1343</v>
      </c>
      <c r="S153" s="27" t="s">
        <v>1346</v>
      </c>
      <c r="T153" s="27" t="s">
        <v>1343</v>
      </c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.75" thickBot="1" x14ac:dyDescent="0.3">
      <c r="A154" t="s">
        <v>415</v>
      </c>
      <c r="C154" s="45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1092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.75" thickBot="1" x14ac:dyDescent="0.3">
      <c r="A155" t="s">
        <v>415</v>
      </c>
      <c r="C155" s="45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1093</v>
      </c>
      <c r="L155" s="17">
        <f t="shared" si="11"/>
        <v>28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.75" thickBot="1" x14ac:dyDescent="0.3">
      <c r="A156" t="s">
        <v>415</v>
      </c>
      <c r="B156" s="64">
        <v>44642</v>
      </c>
      <c r="C156" s="65" t="s">
        <v>421</v>
      </c>
      <c r="D156" s="6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1094</v>
      </c>
      <c r="L156" s="17">
        <f t="shared" si="11"/>
        <v>24</v>
      </c>
      <c r="M156" s="17">
        <f t="shared" si="12"/>
        <v>4</v>
      </c>
      <c r="N156" s="18">
        <f t="shared" si="13"/>
        <v>0.8571428571428571</v>
      </c>
      <c r="O156" s="27" t="s">
        <v>1343</v>
      </c>
      <c r="P156" s="8"/>
      <c r="Q156" s="8"/>
      <c r="R156" s="8" t="s">
        <v>1343</v>
      </c>
      <c r="S156" s="27" t="s">
        <v>1343</v>
      </c>
      <c r="T156" s="27"/>
      <c r="U156" s="8"/>
      <c r="V156" s="8"/>
      <c r="W156" s="8"/>
      <c r="X156" s="27"/>
      <c r="Y156" s="27"/>
      <c r="Z156" s="27"/>
      <c r="AA156" s="27"/>
      <c r="AB156" s="27" t="s">
        <v>1343</v>
      </c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.75" thickBot="1" x14ac:dyDescent="0.3">
      <c r="A157" t="s">
        <v>412</v>
      </c>
      <c r="C157" s="45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1095</v>
      </c>
      <c r="L157" s="17">
        <f t="shared" si="11"/>
        <v>24</v>
      </c>
      <c r="M157" s="17">
        <f t="shared" si="12"/>
        <v>4</v>
      </c>
      <c r="N157" s="18">
        <f t="shared" si="13"/>
        <v>0.8571428571428571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 t="s">
        <v>1343</v>
      </c>
      <c r="Z157" s="27" t="s">
        <v>1343</v>
      </c>
      <c r="AA157" s="27" t="s">
        <v>1343</v>
      </c>
      <c r="AB157" s="27" t="s">
        <v>1343</v>
      </c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.75" thickBot="1" x14ac:dyDescent="0.3">
      <c r="A158" t="s">
        <v>415</v>
      </c>
      <c r="C158" s="45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1096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 t="s">
        <v>1343</v>
      </c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.75" thickBot="1" x14ac:dyDescent="0.3">
      <c r="A159" t="s">
        <v>415</v>
      </c>
      <c r="B159" s="64">
        <v>44642</v>
      </c>
      <c r="C159" s="65" t="s">
        <v>428</v>
      </c>
      <c r="D159" s="66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1097</v>
      </c>
      <c r="L159" s="17">
        <f t="shared" si="11"/>
        <v>28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.75" thickBot="1" x14ac:dyDescent="0.3">
      <c r="A160" t="s">
        <v>415</v>
      </c>
      <c r="C160" s="45" t="s">
        <v>430</v>
      </c>
      <c r="D160" t="s">
        <v>1325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1098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.75" thickBot="1" x14ac:dyDescent="0.3">
      <c r="A161" t="s">
        <v>415</v>
      </c>
      <c r="C161" s="45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1099</v>
      </c>
      <c r="L161" s="17">
        <f t="shared" si="11"/>
        <v>27</v>
      </c>
      <c r="M161" s="17">
        <f t="shared" si="12"/>
        <v>1</v>
      </c>
      <c r="N161" s="18">
        <f t="shared" si="13"/>
        <v>0.9642857142857143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 t="s">
        <v>1343</v>
      </c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.75" thickBot="1" x14ac:dyDescent="0.3">
      <c r="A162" t="s">
        <v>415</v>
      </c>
      <c r="C162" s="45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1100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.75" thickBot="1" x14ac:dyDescent="0.3">
      <c r="A163" t="s">
        <v>415</v>
      </c>
      <c r="C163" s="45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1101</v>
      </c>
      <c r="L163" s="17">
        <f t="shared" si="11"/>
        <v>28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.75" thickBot="1" x14ac:dyDescent="0.3">
      <c r="A164" t="s">
        <v>415</v>
      </c>
      <c r="C164" s="45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1102</v>
      </c>
      <c r="L164" s="17">
        <f t="shared" si="11"/>
        <v>28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.75" thickBot="1" x14ac:dyDescent="0.3">
      <c r="A165" t="s">
        <v>415</v>
      </c>
      <c r="C165" s="45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1103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.75" thickBot="1" x14ac:dyDescent="0.3">
      <c r="A166" t="s">
        <v>358</v>
      </c>
      <c r="C166" s="45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1105</v>
      </c>
      <c r="L166" s="17">
        <f t="shared" si="11"/>
        <v>28</v>
      </c>
      <c r="M166" s="17">
        <f t="shared" si="12"/>
        <v>0</v>
      </c>
      <c r="N166" s="18">
        <f t="shared" si="13"/>
        <v>1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</row>
    <row r="167" spans="1:44" ht="15.75" thickBot="1" x14ac:dyDescent="0.3">
      <c r="A167" t="s">
        <v>445</v>
      </c>
      <c r="C167" s="45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1104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.75" thickBot="1" x14ac:dyDescent="0.3">
      <c r="A168" t="s">
        <v>445</v>
      </c>
      <c r="C168" s="45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1106</v>
      </c>
      <c r="L168" s="17">
        <f t="shared" si="11"/>
        <v>25</v>
      </c>
      <c r="M168" s="17">
        <f t="shared" si="12"/>
        <v>3</v>
      </c>
      <c r="N168" s="18">
        <f t="shared" si="13"/>
        <v>0.8928571428571429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 t="s">
        <v>1343</v>
      </c>
      <c r="AA168" s="27" t="s">
        <v>1343</v>
      </c>
      <c r="AB168" s="27" t="s">
        <v>1343</v>
      </c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.75" thickBot="1" x14ac:dyDescent="0.3">
      <c r="A169" t="s">
        <v>450</v>
      </c>
      <c r="C169" s="65" t="s">
        <v>451</v>
      </c>
      <c r="D169" s="66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1111</v>
      </c>
      <c r="L169" s="17">
        <f t="shared" si="11"/>
        <v>27</v>
      </c>
      <c r="M169" s="17">
        <f t="shared" si="12"/>
        <v>1</v>
      </c>
      <c r="N169" s="18">
        <f t="shared" si="13"/>
        <v>0.9642857142857143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 t="s">
        <v>1343</v>
      </c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.75" thickBot="1" x14ac:dyDescent="0.3">
      <c r="A170" t="s">
        <v>415</v>
      </c>
      <c r="C170" s="45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1112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.75" thickBot="1" x14ac:dyDescent="0.3">
      <c r="A171" t="s">
        <v>456</v>
      </c>
      <c r="C171" s="65" t="s">
        <v>457</v>
      </c>
      <c r="D171" s="66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1113</v>
      </c>
      <c r="L171" s="17">
        <f t="shared" si="11"/>
        <v>24</v>
      </c>
      <c r="M171" s="17">
        <f t="shared" si="12"/>
        <v>4</v>
      </c>
      <c r="N171" s="18">
        <f t="shared" si="13"/>
        <v>0.8571428571428571</v>
      </c>
      <c r="O171" s="27" t="s">
        <v>1343</v>
      </c>
      <c r="P171" s="8"/>
      <c r="Q171" s="8"/>
      <c r="R171" s="8" t="s">
        <v>1343</v>
      </c>
      <c r="S171" s="27" t="s">
        <v>1343</v>
      </c>
      <c r="T171" s="27"/>
      <c r="U171" s="8"/>
      <c r="V171" s="8"/>
      <c r="W171" s="8"/>
      <c r="X171" s="27"/>
      <c r="Y171" s="27"/>
      <c r="Z171" s="27"/>
      <c r="AA171" s="27"/>
      <c r="AB171" s="27" t="s">
        <v>1343</v>
      </c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.75" thickBot="1" x14ac:dyDescent="0.3">
      <c r="A172" t="s">
        <v>450</v>
      </c>
      <c r="C172" s="45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1114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.75" thickBot="1" x14ac:dyDescent="0.3">
      <c r="C173" s="65" t="s">
        <v>463</v>
      </c>
      <c r="D173" s="66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1115</v>
      </c>
      <c r="L173" s="17">
        <f t="shared" si="11"/>
        <v>26</v>
      </c>
      <c r="M173" s="17">
        <f t="shared" si="12"/>
        <v>2</v>
      </c>
      <c r="N173" s="18">
        <f t="shared" si="13"/>
        <v>0.9285714285714286</v>
      </c>
      <c r="O173" s="27"/>
      <c r="P173" s="8"/>
      <c r="Q173" s="8"/>
      <c r="R173" s="8"/>
      <c r="S173" s="27"/>
      <c r="T173" s="27"/>
      <c r="U173" s="8"/>
      <c r="V173" s="8"/>
      <c r="W173" s="8" t="s">
        <v>1343</v>
      </c>
      <c r="X173" s="27"/>
      <c r="Y173" s="27"/>
      <c r="Z173" s="27"/>
      <c r="AA173" s="27"/>
      <c r="AB173" s="27" t="s">
        <v>1343</v>
      </c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.75" thickBot="1" x14ac:dyDescent="0.3">
      <c r="A174" t="s">
        <v>456</v>
      </c>
      <c r="C174" s="65" t="s">
        <v>466</v>
      </c>
      <c r="D174" s="66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1116</v>
      </c>
      <c r="L174" s="17">
        <f t="shared" si="11"/>
        <v>22</v>
      </c>
      <c r="M174" s="17">
        <f t="shared" si="12"/>
        <v>6</v>
      </c>
      <c r="N174" s="18">
        <f t="shared" si="13"/>
        <v>0.7857142857142857</v>
      </c>
      <c r="O174" s="27" t="s">
        <v>1343</v>
      </c>
      <c r="P174" s="8"/>
      <c r="Q174" s="8"/>
      <c r="R174" s="8" t="s">
        <v>1343</v>
      </c>
      <c r="S174" s="27" t="s">
        <v>1343</v>
      </c>
      <c r="T174" s="27" t="s">
        <v>1343</v>
      </c>
      <c r="U174" s="8" t="s">
        <v>1343</v>
      </c>
      <c r="V174" s="8"/>
      <c r="W174" s="8"/>
      <c r="X174" s="27"/>
      <c r="Y174" s="27"/>
      <c r="Z174" s="27"/>
      <c r="AA174" s="27"/>
      <c r="AB174" s="27" t="s">
        <v>1343</v>
      </c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.75" thickBot="1" x14ac:dyDescent="0.3">
      <c r="A175" t="s">
        <v>469</v>
      </c>
      <c r="C175" s="45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1117</v>
      </c>
      <c r="L175" s="17">
        <f t="shared" si="11"/>
        <v>27</v>
      </c>
      <c r="M175" s="17">
        <f t="shared" si="12"/>
        <v>1</v>
      </c>
      <c r="N175" s="18">
        <f t="shared" si="13"/>
        <v>0.9642857142857143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 t="s">
        <v>1343</v>
      </c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.75" thickBot="1" x14ac:dyDescent="0.3">
      <c r="A176" t="s">
        <v>469</v>
      </c>
      <c r="C176" s="45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1118</v>
      </c>
      <c r="L176" s="17">
        <f t="shared" si="11"/>
        <v>22</v>
      </c>
      <c r="M176" s="17">
        <f t="shared" si="12"/>
        <v>6</v>
      </c>
      <c r="N176" s="18">
        <f t="shared" si="13"/>
        <v>0.7857142857142857</v>
      </c>
      <c r="O176" s="27"/>
      <c r="P176" s="8"/>
      <c r="Q176" s="8"/>
      <c r="R176" s="8" t="s">
        <v>1343</v>
      </c>
      <c r="S176" s="27" t="s">
        <v>1343</v>
      </c>
      <c r="T176" s="27" t="s">
        <v>1343</v>
      </c>
      <c r="U176" s="8" t="s">
        <v>1343</v>
      </c>
      <c r="V176" s="8"/>
      <c r="W176" s="8"/>
      <c r="X176" s="27"/>
      <c r="Y176" s="27" t="s">
        <v>1343</v>
      </c>
      <c r="Z176" s="27" t="s">
        <v>1343</v>
      </c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.75" thickBot="1" x14ac:dyDescent="0.3">
      <c r="A177" t="s">
        <v>469</v>
      </c>
      <c r="C177" s="45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1119</v>
      </c>
      <c r="L177" s="17">
        <f t="shared" si="11"/>
        <v>23</v>
      </c>
      <c r="M177" s="17">
        <f t="shared" si="12"/>
        <v>5</v>
      </c>
      <c r="N177" s="18">
        <f t="shared" si="13"/>
        <v>0.8214285714285714</v>
      </c>
      <c r="O177" s="27"/>
      <c r="P177" s="8"/>
      <c r="Q177" s="8"/>
      <c r="R177" s="8"/>
      <c r="S177" s="27"/>
      <c r="T177" s="27"/>
      <c r="U177" s="8"/>
      <c r="V177" s="8" t="s">
        <v>1343</v>
      </c>
      <c r="W177" s="8" t="s">
        <v>1343</v>
      </c>
      <c r="X177" s="27" t="s">
        <v>1343</v>
      </c>
      <c r="Y177" s="27"/>
      <c r="Z177" s="27"/>
      <c r="AA177" s="27" t="s">
        <v>1343</v>
      </c>
      <c r="AB177" s="27" t="s">
        <v>1343</v>
      </c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</row>
    <row r="178" spans="1:44" ht="15.75" thickBot="1" x14ac:dyDescent="0.3">
      <c r="A178" t="s">
        <v>469</v>
      </c>
      <c r="C178" s="45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1120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.75" thickBot="1" x14ac:dyDescent="0.3">
      <c r="A179" t="s">
        <v>480</v>
      </c>
      <c r="C179" s="45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1128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.75" thickBot="1" x14ac:dyDescent="0.3">
      <c r="A180" t="s">
        <v>480</v>
      </c>
      <c r="C180" s="45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1121</v>
      </c>
      <c r="L180" s="17">
        <f t="shared" si="11"/>
        <v>28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.75" thickBot="1" x14ac:dyDescent="0.3">
      <c r="C181" s="45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1122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.75" thickBot="1" x14ac:dyDescent="0.3">
      <c r="A182" t="s">
        <v>480</v>
      </c>
      <c r="C182" s="45" t="s">
        <v>489</v>
      </c>
      <c r="D182" t="s">
        <v>490</v>
      </c>
      <c r="E182" t="s">
        <v>24</v>
      </c>
      <c r="F182" t="s">
        <v>944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1123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.75" thickBot="1" x14ac:dyDescent="0.3">
      <c r="A183" t="s">
        <v>480</v>
      </c>
      <c r="C183" s="45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1124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.75" thickBot="1" x14ac:dyDescent="0.3">
      <c r="A184" t="s">
        <v>495</v>
      </c>
      <c r="C184" s="45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1125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.75" thickBot="1" x14ac:dyDescent="0.3">
      <c r="A185" t="s">
        <v>80</v>
      </c>
      <c r="C185" s="45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1126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.75" thickBot="1" x14ac:dyDescent="0.3">
      <c r="A186" t="s">
        <v>480</v>
      </c>
      <c r="C186" s="45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1127</v>
      </c>
      <c r="L186" s="17">
        <f t="shared" si="11"/>
        <v>28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.75" thickBot="1" x14ac:dyDescent="0.3">
      <c r="C187" s="45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1129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.75" thickBot="1" x14ac:dyDescent="0.3">
      <c r="C188" s="45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1130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.75" thickBot="1" x14ac:dyDescent="0.3">
      <c r="A189" t="s">
        <v>508</v>
      </c>
      <c r="C189" s="45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1131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.75" thickBot="1" x14ac:dyDescent="0.3">
      <c r="A190" t="s">
        <v>508</v>
      </c>
      <c r="C190" s="45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1132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.75" thickBot="1" x14ac:dyDescent="0.3">
      <c r="A191" t="s">
        <v>508</v>
      </c>
      <c r="C191" s="45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1133</v>
      </c>
      <c r="L191" s="17">
        <f t="shared" si="11"/>
        <v>16</v>
      </c>
      <c r="M191" s="17">
        <f t="shared" si="12"/>
        <v>12</v>
      </c>
      <c r="N191" s="18">
        <f t="shared" si="13"/>
        <v>0.5714285714285714</v>
      </c>
      <c r="O191" s="27" t="s">
        <v>1343</v>
      </c>
      <c r="P191" s="8"/>
      <c r="Q191" s="8"/>
      <c r="R191" s="8" t="s">
        <v>1343</v>
      </c>
      <c r="S191" s="27" t="s">
        <v>1343</v>
      </c>
      <c r="T191" s="27" t="s">
        <v>1343</v>
      </c>
      <c r="U191" s="8" t="s">
        <v>1343</v>
      </c>
      <c r="V191" s="8" t="s">
        <v>1343</v>
      </c>
      <c r="W191" s="8" t="s">
        <v>1343</v>
      </c>
      <c r="X191" s="27" t="s">
        <v>1343</v>
      </c>
      <c r="Y191" s="27" t="s">
        <v>1343</v>
      </c>
      <c r="Z191" s="27" t="s">
        <v>1343</v>
      </c>
      <c r="AA191" s="27" t="s">
        <v>1343</v>
      </c>
      <c r="AB191" s="27" t="s">
        <v>1343</v>
      </c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</row>
    <row r="192" spans="1:44" ht="15.75" thickBot="1" x14ac:dyDescent="0.3">
      <c r="A192" t="s">
        <v>508</v>
      </c>
      <c r="C192" s="45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1134</v>
      </c>
      <c r="L192" s="17">
        <f t="shared" si="11"/>
        <v>16</v>
      </c>
      <c r="M192" s="17">
        <f t="shared" si="12"/>
        <v>12</v>
      </c>
      <c r="N192" s="18">
        <f t="shared" si="13"/>
        <v>0.5714285714285714</v>
      </c>
      <c r="O192" s="27" t="s">
        <v>1343</v>
      </c>
      <c r="P192" s="8"/>
      <c r="Q192" s="8"/>
      <c r="R192" s="8" t="s">
        <v>1343</v>
      </c>
      <c r="S192" s="27" t="s">
        <v>1343</v>
      </c>
      <c r="T192" s="27" t="s">
        <v>1343</v>
      </c>
      <c r="U192" s="8" t="s">
        <v>1343</v>
      </c>
      <c r="V192" s="8" t="s">
        <v>1343</v>
      </c>
      <c r="W192" s="8" t="s">
        <v>1343</v>
      </c>
      <c r="X192" s="27" t="s">
        <v>1343</v>
      </c>
      <c r="Y192" s="27" t="s">
        <v>1343</v>
      </c>
      <c r="Z192" s="27" t="s">
        <v>1343</v>
      </c>
      <c r="AA192" s="27" t="s">
        <v>1343</v>
      </c>
      <c r="AB192" s="27" t="s">
        <v>1343</v>
      </c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</row>
    <row r="193" spans="1:44" ht="15.75" thickBot="1" x14ac:dyDescent="0.3">
      <c r="A193" t="s">
        <v>412</v>
      </c>
      <c r="C193" s="45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1135</v>
      </c>
      <c r="L193" s="17">
        <f t="shared" si="11"/>
        <v>22</v>
      </c>
      <c r="M193" s="17">
        <f t="shared" si="12"/>
        <v>6</v>
      </c>
      <c r="N193" s="18">
        <f t="shared" si="13"/>
        <v>0.7857142857142857</v>
      </c>
      <c r="O193" s="27" t="s">
        <v>1343</v>
      </c>
      <c r="P193" s="8"/>
      <c r="Q193" s="8"/>
      <c r="R193" s="8" t="s">
        <v>1343</v>
      </c>
      <c r="S193" s="27" t="s">
        <v>1343</v>
      </c>
      <c r="T193" s="27" t="s">
        <v>1343</v>
      </c>
      <c r="U193" s="8" t="s">
        <v>1343</v>
      </c>
      <c r="V193" s="8"/>
      <c r="W193" s="8"/>
      <c r="X193" s="27"/>
      <c r="Y193" s="27" t="s">
        <v>1343</v>
      </c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.75" thickBot="1" x14ac:dyDescent="0.3">
      <c r="A194" t="s">
        <v>412</v>
      </c>
      <c r="B194" s="64">
        <v>44642</v>
      </c>
      <c r="C194" s="65" t="s">
        <v>519</v>
      </c>
      <c r="D194" s="66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1136</v>
      </c>
      <c r="L194" s="17">
        <f t="shared" si="11"/>
        <v>21</v>
      </c>
      <c r="M194" s="17">
        <f t="shared" si="12"/>
        <v>7</v>
      </c>
      <c r="N194" s="18">
        <f t="shared" si="13"/>
        <v>0.75</v>
      </c>
      <c r="O194" s="27" t="s">
        <v>1343</v>
      </c>
      <c r="P194" s="8"/>
      <c r="Q194" s="8"/>
      <c r="R194" s="8" t="s">
        <v>1343</v>
      </c>
      <c r="S194" s="27" t="s">
        <v>1343</v>
      </c>
      <c r="T194" s="27" t="s">
        <v>1343</v>
      </c>
      <c r="U194" s="8"/>
      <c r="V194" s="8"/>
      <c r="W194" s="8"/>
      <c r="X194" s="27" t="s">
        <v>1343</v>
      </c>
      <c r="Y194" s="27" t="s">
        <v>1343</v>
      </c>
      <c r="Z194" s="27" t="s">
        <v>1343</v>
      </c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.75" thickBot="1" x14ac:dyDescent="0.3">
      <c r="A195" t="s">
        <v>62</v>
      </c>
      <c r="C195" s="45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1137</v>
      </c>
      <c r="L195" s="17">
        <f t="shared" si="11"/>
        <v>28</v>
      </c>
      <c r="M195" s="17">
        <f t="shared" si="12"/>
        <v>0</v>
      </c>
      <c r="N195" s="18">
        <f t="shared" si="13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</row>
    <row r="196" spans="1:44" ht="15.75" thickBot="1" x14ac:dyDescent="0.3">
      <c r="A196" t="s">
        <v>62</v>
      </c>
      <c r="C196" s="45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1138</v>
      </c>
      <c r="L196" s="17">
        <f t="shared" si="11"/>
        <v>28</v>
      </c>
      <c r="M196" s="17">
        <f t="shared" si="12"/>
        <v>0</v>
      </c>
      <c r="N196" s="18">
        <f t="shared" si="13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</row>
    <row r="197" spans="1:44" ht="15.75" thickBot="1" x14ac:dyDescent="0.3">
      <c r="A197" t="s">
        <v>289</v>
      </c>
      <c r="C197" s="45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1139</v>
      </c>
      <c r="L197" s="17">
        <f t="shared" ref="L197:L262" si="14">COUNTIF(O197:AP197,"")</f>
        <v>18</v>
      </c>
      <c r="M197" s="17">
        <f t="shared" ref="M197:M262" si="15">COUNTIF(O197:AP197,"APAGADO")</f>
        <v>10</v>
      </c>
      <c r="N197" s="18">
        <f t="shared" ref="N197:N262" si="16">(L197)/(M197+L197)</f>
        <v>0.6428571428571429</v>
      </c>
      <c r="O197" s="27" t="s">
        <v>1343</v>
      </c>
      <c r="P197" s="8"/>
      <c r="Q197" s="8"/>
      <c r="R197" s="8" t="s">
        <v>1343</v>
      </c>
      <c r="S197" s="27" t="s">
        <v>1343</v>
      </c>
      <c r="T197" s="27" t="s">
        <v>1343</v>
      </c>
      <c r="U197" s="8" t="s">
        <v>1343</v>
      </c>
      <c r="V197" s="8" t="s">
        <v>1343</v>
      </c>
      <c r="W197" s="8" t="s">
        <v>1343</v>
      </c>
      <c r="X197" s="27" t="s">
        <v>1343</v>
      </c>
      <c r="Y197" s="27" t="s">
        <v>1343</v>
      </c>
      <c r="Z197" s="27" t="s">
        <v>1343</v>
      </c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.75" thickBot="1" x14ac:dyDescent="0.3">
      <c r="A198" t="s">
        <v>289</v>
      </c>
      <c r="C198" s="45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1140</v>
      </c>
      <c r="L198" s="17">
        <f t="shared" si="14"/>
        <v>27</v>
      </c>
      <c r="M198" s="17">
        <f t="shared" si="15"/>
        <v>1</v>
      </c>
      <c r="N198" s="18">
        <f t="shared" si="16"/>
        <v>0.9642857142857143</v>
      </c>
      <c r="O198" s="27"/>
      <c r="P198" s="8"/>
      <c r="Q198" s="8"/>
      <c r="R198" s="8"/>
      <c r="S198" s="27"/>
      <c r="T198" s="27"/>
      <c r="U198" s="8"/>
      <c r="V198" s="8"/>
      <c r="W198" s="8"/>
      <c r="X198" s="27" t="s">
        <v>1343</v>
      </c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.75" thickBot="1" x14ac:dyDescent="0.3">
      <c r="A199" t="s">
        <v>333</v>
      </c>
      <c r="C199" s="45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1141</v>
      </c>
      <c r="L199" s="17">
        <f t="shared" si="14"/>
        <v>26</v>
      </c>
      <c r="M199" s="17">
        <f t="shared" si="15"/>
        <v>2</v>
      </c>
      <c r="N199" s="18">
        <f t="shared" si="16"/>
        <v>0.9285714285714286</v>
      </c>
      <c r="O199" s="27"/>
      <c r="P199" s="8"/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 t="s">
        <v>1343</v>
      </c>
      <c r="AB199" s="27" t="s">
        <v>1343</v>
      </c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.75" thickBot="1" x14ac:dyDescent="0.3">
      <c r="A200" t="s">
        <v>333</v>
      </c>
      <c r="C200" s="45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1142</v>
      </c>
      <c r="L200" s="17">
        <f t="shared" si="14"/>
        <v>26</v>
      </c>
      <c r="M200" s="17">
        <f t="shared" si="15"/>
        <v>2</v>
      </c>
      <c r="N200" s="18">
        <f t="shared" si="16"/>
        <v>0.9285714285714286</v>
      </c>
      <c r="O200" s="27"/>
      <c r="P200" s="8"/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 t="s">
        <v>1343</v>
      </c>
      <c r="AB200" s="27" t="s">
        <v>1343</v>
      </c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.75" thickBot="1" x14ac:dyDescent="0.3">
      <c r="A201" t="s">
        <v>358</v>
      </c>
      <c r="C201" s="45" t="s">
        <v>1152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1153</v>
      </c>
      <c r="L201" s="17">
        <f t="shared" si="14"/>
        <v>22</v>
      </c>
      <c r="M201" s="17">
        <f t="shared" si="15"/>
        <v>6</v>
      </c>
      <c r="N201" s="18">
        <f t="shared" si="16"/>
        <v>0.7857142857142857</v>
      </c>
      <c r="O201" s="27" t="s">
        <v>1343</v>
      </c>
      <c r="P201" s="8"/>
      <c r="Q201" s="8"/>
      <c r="R201" s="8" t="s">
        <v>1343</v>
      </c>
      <c r="S201" s="27" t="s">
        <v>1343</v>
      </c>
      <c r="T201" s="27" t="s">
        <v>1343</v>
      </c>
      <c r="U201" s="8" t="s">
        <v>1343</v>
      </c>
      <c r="V201" s="8"/>
      <c r="W201" s="8"/>
      <c r="X201" s="27" t="s">
        <v>1343</v>
      </c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.75" thickBot="1" x14ac:dyDescent="0.3">
      <c r="A202" t="s">
        <v>358</v>
      </c>
      <c r="C202" s="45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1143</v>
      </c>
      <c r="L202" s="17">
        <f t="shared" si="14"/>
        <v>22</v>
      </c>
      <c r="M202" s="17">
        <f t="shared" si="15"/>
        <v>6</v>
      </c>
      <c r="N202" s="18">
        <f t="shared" si="16"/>
        <v>0.7857142857142857</v>
      </c>
      <c r="O202" s="27" t="s">
        <v>1343</v>
      </c>
      <c r="P202" s="8"/>
      <c r="Q202" s="8"/>
      <c r="R202" s="8" t="s">
        <v>1343</v>
      </c>
      <c r="S202" s="27" t="s">
        <v>1343</v>
      </c>
      <c r="T202" s="27" t="s">
        <v>1343</v>
      </c>
      <c r="U202" s="8" t="s">
        <v>1343</v>
      </c>
      <c r="V202" s="8"/>
      <c r="W202" s="8"/>
      <c r="X202" s="27" t="s">
        <v>1343</v>
      </c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.75" thickBot="1" x14ac:dyDescent="0.3">
      <c r="A203" t="s">
        <v>445</v>
      </c>
      <c r="C203" s="45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1144</v>
      </c>
      <c r="L203" s="17">
        <f t="shared" si="14"/>
        <v>25</v>
      </c>
      <c r="M203" s="17">
        <f t="shared" si="15"/>
        <v>3</v>
      </c>
      <c r="N203" s="18">
        <f t="shared" si="16"/>
        <v>0.8928571428571429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 t="s">
        <v>1343</v>
      </c>
      <c r="AA203" s="27" t="s">
        <v>1343</v>
      </c>
      <c r="AB203" s="27" t="s">
        <v>1343</v>
      </c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.75" thickBot="1" x14ac:dyDescent="0.3">
      <c r="A204" t="s">
        <v>538</v>
      </c>
      <c r="C204" s="45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1146</v>
      </c>
      <c r="L204" s="17">
        <f t="shared" si="14"/>
        <v>28</v>
      </c>
      <c r="M204" s="17">
        <f t="shared" si="15"/>
        <v>0</v>
      </c>
      <c r="N204" s="18">
        <f t="shared" si="16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</row>
    <row r="205" spans="1:44" ht="15.75" thickBot="1" x14ac:dyDescent="0.3">
      <c r="A205" t="s">
        <v>538</v>
      </c>
      <c r="C205" s="45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1147</v>
      </c>
      <c r="L205" s="17">
        <f t="shared" si="14"/>
        <v>28</v>
      </c>
      <c r="M205" s="17">
        <f t="shared" si="15"/>
        <v>0</v>
      </c>
      <c r="N205" s="18">
        <f t="shared" si="16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</row>
    <row r="206" spans="1:44" ht="15.75" thickBot="1" x14ac:dyDescent="0.3">
      <c r="A206" t="s">
        <v>542</v>
      </c>
      <c r="C206" s="45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1154</v>
      </c>
      <c r="L206" s="17">
        <f t="shared" si="14"/>
        <v>16</v>
      </c>
      <c r="M206" s="17">
        <f t="shared" si="15"/>
        <v>12</v>
      </c>
      <c r="N206" s="18">
        <f t="shared" si="16"/>
        <v>0.5714285714285714</v>
      </c>
      <c r="O206" s="27" t="s">
        <v>1343</v>
      </c>
      <c r="P206" s="8"/>
      <c r="Q206" s="8"/>
      <c r="R206" s="8" t="s">
        <v>1343</v>
      </c>
      <c r="S206" s="27" t="s">
        <v>1343</v>
      </c>
      <c r="T206" s="27" t="s">
        <v>1343</v>
      </c>
      <c r="U206" s="8" t="s">
        <v>1343</v>
      </c>
      <c r="V206" s="8" t="s">
        <v>1343</v>
      </c>
      <c r="W206" s="8" t="s">
        <v>1343</v>
      </c>
      <c r="X206" s="27" t="s">
        <v>1343</v>
      </c>
      <c r="Y206" s="27" t="s">
        <v>1343</v>
      </c>
      <c r="Z206" s="27" t="s">
        <v>1343</v>
      </c>
      <c r="AA206" s="27" t="s">
        <v>1343</v>
      </c>
      <c r="AB206" s="27" t="s">
        <v>1343</v>
      </c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</row>
    <row r="207" spans="1:44" ht="15.75" thickBot="1" x14ac:dyDescent="0.3">
      <c r="A207" t="s">
        <v>310</v>
      </c>
      <c r="C207" s="45" t="s">
        <v>545</v>
      </c>
      <c r="D207" t="s">
        <v>546</v>
      </c>
      <c r="E207" t="s">
        <v>19</v>
      </c>
      <c r="F207" t="s">
        <v>944</v>
      </c>
      <c r="G207"/>
      <c r="H207" t="s">
        <v>547</v>
      </c>
      <c r="I207" s="16">
        <v>-348181990000</v>
      </c>
      <c r="J207" s="16">
        <v>-583002490000</v>
      </c>
      <c r="K207" s="16" t="s">
        <v>1148</v>
      </c>
      <c r="L207" s="17">
        <f t="shared" si="14"/>
        <v>16</v>
      </c>
      <c r="M207" s="17">
        <f t="shared" si="15"/>
        <v>12</v>
      </c>
      <c r="N207" s="18">
        <f t="shared" si="16"/>
        <v>0.5714285714285714</v>
      </c>
      <c r="O207" s="27" t="s">
        <v>1343</v>
      </c>
      <c r="P207" s="8"/>
      <c r="Q207" s="8"/>
      <c r="R207" s="8" t="s">
        <v>1343</v>
      </c>
      <c r="S207" s="27" t="s">
        <v>1343</v>
      </c>
      <c r="T207" s="27" t="s">
        <v>1343</v>
      </c>
      <c r="U207" s="8" t="s">
        <v>1343</v>
      </c>
      <c r="V207" s="8" t="s">
        <v>1343</v>
      </c>
      <c r="W207" s="8" t="s">
        <v>1343</v>
      </c>
      <c r="X207" s="27" t="s">
        <v>1343</v>
      </c>
      <c r="Y207" s="27" t="s">
        <v>1343</v>
      </c>
      <c r="Z207" s="27" t="s">
        <v>1343</v>
      </c>
      <c r="AA207" s="27" t="s">
        <v>1343</v>
      </c>
      <c r="AB207" s="27" t="s">
        <v>1343</v>
      </c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.75" thickBot="1" x14ac:dyDescent="0.3">
      <c r="A208" t="s">
        <v>310</v>
      </c>
      <c r="C208" s="45" t="s">
        <v>548</v>
      </c>
      <c r="D208" t="s">
        <v>546</v>
      </c>
      <c r="E208" t="s">
        <v>113</v>
      </c>
      <c r="F208" t="s">
        <v>944</v>
      </c>
      <c r="G208"/>
      <c r="H208" t="s">
        <v>547</v>
      </c>
      <c r="I208" s="16">
        <v>-348181940000</v>
      </c>
      <c r="J208" s="16">
        <v>-583002740000</v>
      </c>
      <c r="K208" s="16" t="s">
        <v>1149</v>
      </c>
      <c r="L208" s="17">
        <f t="shared" si="14"/>
        <v>28</v>
      </c>
      <c r="M208" s="17">
        <f t="shared" si="15"/>
        <v>0</v>
      </c>
      <c r="N208" s="18">
        <f t="shared" si="16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.75" thickBot="1" x14ac:dyDescent="0.3">
      <c r="A209" t="s">
        <v>549</v>
      </c>
      <c r="C209" s="45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1155</v>
      </c>
      <c r="L209" s="17">
        <f t="shared" si="14"/>
        <v>25</v>
      </c>
      <c r="M209" s="17">
        <f t="shared" si="15"/>
        <v>3</v>
      </c>
      <c r="N209" s="18">
        <f t="shared" si="16"/>
        <v>0.8928571428571429</v>
      </c>
      <c r="O209" s="27" t="s">
        <v>1343</v>
      </c>
      <c r="P209" s="8"/>
      <c r="Q209" s="8"/>
      <c r="R209" s="8" t="s">
        <v>1343</v>
      </c>
      <c r="S209" s="27" t="s">
        <v>1343</v>
      </c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</row>
    <row r="210" spans="1:44" ht="15.75" thickBot="1" x14ac:dyDescent="0.3">
      <c r="A210" t="s">
        <v>549</v>
      </c>
      <c r="C210" s="45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1156</v>
      </c>
      <c r="L210" s="17">
        <f t="shared" si="14"/>
        <v>27</v>
      </c>
      <c r="M210" s="17">
        <f t="shared" si="15"/>
        <v>1</v>
      </c>
      <c r="N210" s="18">
        <f t="shared" si="16"/>
        <v>0.9642857142857143</v>
      </c>
      <c r="O210" s="27" t="s">
        <v>1343</v>
      </c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</row>
    <row r="211" spans="1:44" ht="15.75" thickBot="1" x14ac:dyDescent="0.3">
      <c r="A211" t="s">
        <v>538</v>
      </c>
      <c r="C211" s="45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1151</v>
      </c>
      <c r="L211" s="17">
        <f t="shared" si="14"/>
        <v>28</v>
      </c>
      <c r="M211" s="17">
        <f t="shared" si="15"/>
        <v>0</v>
      </c>
      <c r="N211" s="18">
        <f t="shared" si="16"/>
        <v>1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.75" thickBot="1" x14ac:dyDescent="0.3">
      <c r="A212" t="s">
        <v>538</v>
      </c>
      <c r="C212" s="45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1150</v>
      </c>
      <c r="L212" s="17">
        <f t="shared" si="14"/>
        <v>28</v>
      </c>
      <c r="M212" s="17">
        <f t="shared" si="15"/>
        <v>0</v>
      </c>
      <c r="N212" s="18">
        <f t="shared" si="16"/>
        <v>1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.75" thickBot="1" x14ac:dyDescent="0.3">
      <c r="A213" t="s">
        <v>445</v>
      </c>
      <c r="C213" s="45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1145</v>
      </c>
      <c r="L213" s="17">
        <f t="shared" si="14"/>
        <v>25</v>
      </c>
      <c r="M213" s="17">
        <f t="shared" si="15"/>
        <v>3</v>
      </c>
      <c r="N213" s="18">
        <f t="shared" si="16"/>
        <v>0.8928571428571429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 t="s">
        <v>1343</v>
      </c>
      <c r="AA213" s="27" t="s">
        <v>1343</v>
      </c>
      <c r="AB213" s="27" t="s">
        <v>1343</v>
      </c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.75" thickBot="1" x14ac:dyDescent="0.3">
      <c r="A214" t="s">
        <v>557</v>
      </c>
      <c r="C214" s="45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1157</v>
      </c>
      <c r="L214" s="17">
        <f t="shared" si="14"/>
        <v>28</v>
      </c>
      <c r="M214" s="17">
        <f t="shared" si="15"/>
        <v>0</v>
      </c>
      <c r="N214" s="18">
        <f t="shared" si="16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.75" thickBot="1" x14ac:dyDescent="0.3">
      <c r="A215" t="s">
        <v>557</v>
      </c>
      <c r="C215" s="45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1158</v>
      </c>
      <c r="L215" s="17">
        <f t="shared" si="14"/>
        <v>28</v>
      </c>
      <c r="M215" s="17">
        <f t="shared" si="15"/>
        <v>0</v>
      </c>
      <c r="N215" s="18">
        <f t="shared" si="16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.75" thickBot="1" x14ac:dyDescent="0.3">
      <c r="A216" t="s">
        <v>557</v>
      </c>
      <c r="C216" s="45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1159</v>
      </c>
      <c r="L216" s="17">
        <f t="shared" si="14"/>
        <v>28</v>
      </c>
      <c r="M216" s="17">
        <f t="shared" si="15"/>
        <v>0</v>
      </c>
      <c r="N216" s="18">
        <f t="shared" si="16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.75" thickBot="1" x14ac:dyDescent="0.3">
      <c r="A217" t="s">
        <v>557</v>
      </c>
      <c r="C217" s="45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1160</v>
      </c>
      <c r="L217" s="17">
        <f t="shared" si="14"/>
        <v>28</v>
      </c>
      <c r="M217" s="17">
        <f t="shared" si="15"/>
        <v>0</v>
      </c>
      <c r="N217" s="18">
        <f t="shared" si="16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.75" thickBot="1" x14ac:dyDescent="0.3">
      <c r="A218" t="s">
        <v>557</v>
      </c>
      <c r="C218" s="45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1161</v>
      </c>
      <c r="L218" s="17">
        <f t="shared" si="14"/>
        <v>28</v>
      </c>
      <c r="M218" s="17">
        <f t="shared" si="15"/>
        <v>0</v>
      </c>
      <c r="N218" s="18">
        <f t="shared" si="16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.75" thickBot="1" x14ac:dyDescent="0.3">
      <c r="A219" t="s">
        <v>557</v>
      </c>
      <c r="C219" s="45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1162</v>
      </c>
      <c r="L219" s="17">
        <f t="shared" si="14"/>
        <v>28</v>
      </c>
      <c r="M219" s="17">
        <f t="shared" si="15"/>
        <v>0</v>
      </c>
      <c r="N219" s="18">
        <f t="shared" si="16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.75" thickBot="1" x14ac:dyDescent="0.3">
      <c r="A220" t="s">
        <v>571</v>
      </c>
      <c r="C220" s="45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1163</v>
      </c>
      <c r="L220" s="17">
        <f t="shared" si="14"/>
        <v>28</v>
      </c>
      <c r="M220" s="17">
        <f t="shared" si="15"/>
        <v>0</v>
      </c>
      <c r="N220" s="18">
        <f t="shared" si="16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.75" thickBot="1" x14ac:dyDescent="0.3">
      <c r="A221" t="s">
        <v>571</v>
      </c>
      <c r="C221" s="45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1166</v>
      </c>
      <c r="L221" s="17">
        <f t="shared" si="14"/>
        <v>28</v>
      </c>
      <c r="M221" s="17">
        <f t="shared" si="15"/>
        <v>0</v>
      </c>
      <c r="N221" s="18">
        <f t="shared" si="16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.75" thickBot="1" x14ac:dyDescent="0.3">
      <c r="A222" t="s">
        <v>571</v>
      </c>
      <c r="C222" s="45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1164</v>
      </c>
      <c r="L222" s="17">
        <f t="shared" si="14"/>
        <v>28</v>
      </c>
      <c r="M222" s="17">
        <f t="shared" si="15"/>
        <v>0</v>
      </c>
      <c r="N222" s="18">
        <f t="shared" si="16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.75" thickBot="1" x14ac:dyDescent="0.3">
      <c r="A223" t="s">
        <v>571</v>
      </c>
      <c r="C223" s="45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1165</v>
      </c>
      <c r="L223" s="17">
        <f t="shared" si="14"/>
        <v>28</v>
      </c>
      <c r="M223" s="17">
        <f t="shared" si="15"/>
        <v>0</v>
      </c>
      <c r="N223" s="18">
        <f t="shared" si="16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.75" thickBot="1" x14ac:dyDescent="0.3">
      <c r="A224" t="s">
        <v>571</v>
      </c>
      <c r="B224" s="59">
        <v>44629</v>
      </c>
      <c r="C224" s="61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1167</v>
      </c>
      <c r="L224" s="17">
        <f t="shared" si="14"/>
        <v>28</v>
      </c>
      <c r="M224" s="17">
        <f t="shared" si="15"/>
        <v>0</v>
      </c>
      <c r="N224" s="18">
        <f t="shared" si="16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.75" thickBot="1" x14ac:dyDescent="0.3">
      <c r="A225" t="s">
        <v>412</v>
      </c>
      <c r="C225" s="45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1168</v>
      </c>
      <c r="L225" s="17">
        <f t="shared" si="14"/>
        <v>28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.75" thickBot="1" x14ac:dyDescent="0.3">
      <c r="A226" t="s">
        <v>586</v>
      </c>
      <c r="C226" s="45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1169</v>
      </c>
      <c r="L226" s="17">
        <f t="shared" si="14"/>
        <v>27</v>
      </c>
      <c r="M226" s="17">
        <f t="shared" si="15"/>
        <v>1</v>
      </c>
      <c r="N226" s="18">
        <f t="shared" si="16"/>
        <v>0.9642857142857143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 t="s">
        <v>1343</v>
      </c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.75" thickBot="1" x14ac:dyDescent="0.3">
      <c r="A227" t="s">
        <v>586</v>
      </c>
      <c r="C227" s="45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1170</v>
      </c>
      <c r="L227" s="17">
        <f t="shared" si="14"/>
        <v>28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.75" thickBot="1" x14ac:dyDescent="0.3">
      <c r="A228" t="s">
        <v>593</v>
      </c>
      <c r="C228" s="45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1171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.75" thickBot="1" x14ac:dyDescent="0.3">
      <c r="A229" t="s">
        <v>456</v>
      </c>
      <c r="C229" s="45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1174</v>
      </c>
      <c r="L229" s="17">
        <f t="shared" si="14"/>
        <v>27</v>
      </c>
      <c r="M229" s="17">
        <f t="shared" si="15"/>
        <v>1</v>
      </c>
      <c r="N229" s="18">
        <f t="shared" si="16"/>
        <v>0.9642857142857143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 t="s">
        <v>1343</v>
      </c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.75" thickBot="1" x14ac:dyDescent="0.3">
      <c r="A230" t="s">
        <v>456</v>
      </c>
      <c r="B230" s="64">
        <v>44642</v>
      </c>
      <c r="C230" s="65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1175</v>
      </c>
      <c r="L230" s="17">
        <f t="shared" si="14"/>
        <v>27</v>
      </c>
      <c r="M230" s="17">
        <f t="shared" si="15"/>
        <v>1</v>
      </c>
      <c r="N230" s="18">
        <f t="shared" si="16"/>
        <v>0.9642857142857143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 t="s">
        <v>1343</v>
      </c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.75" thickBot="1" x14ac:dyDescent="0.3">
      <c r="A231" t="s">
        <v>456</v>
      </c>
      <c r="C231" s="45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1172</v>
      </c>
      <c r="L231" s="17">
        <f t="shared" si="14"/>
        <v>27</v>
      </c>
      <c r="M231" s="17">
        <f t="shared" si="15"/>
        <v>1</v>
      </c>
      <c r="N231" s="18">
        <f t="shared" si="16"/>
        <v>0.9642857142857143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 t="s">
        <v>1343</v>
      </c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.75" thickBot="1" x14ac:dyDescent="0.3">
      <c r="A232" t="s">
        <v>456</v>
      </c>
      <c r="C232" s="45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1173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.75" thickBot="1" x14ac:dyDescent="0.3">
      <c r="A233" t="s">
        <v>586</v>
      </c>
      <c r="C233" s="45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1177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.75" thickBot="1" x14ac:dyDescent="0.3">
      <c r="C234" s="45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1178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.75" thickBot="1" x14ac:dyDescent="0.3">
      <c r="A235" t="s">
        <v>609</v>
      </c>
      <c r="C235" s="45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1179</v>
      </c>
      <c r="L235" s="17">
        <f t="shared" si="14"/>
        <v>28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.75" thickBot="1" x14ac:dyDescent="0.3">
      <c r="A236" t="s">
        <v>609</v>
      </c>
      <c r="C236" s="45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1180</v>
      </c>
      <c r="L236" s="17">
        <f t="shared" si="14"/>
        <v>27</v>
      </c>
      <c r="M236" s="17">
        <f t="shared" si="15"/>
        <v>1</v>
      </c>
      <c r="N236" s="18">
        <f t="shared" si="16"/>
        <v>0.9642857142857143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 t="s">
        <v>1343</v>
      </c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.75" thickBot="1" x14ac:dyDescent="0.3">
      <c r="A237" t="s">
        <v>609</v>
      </c>
      <c r="C237" s="45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1181</v>
      </c>
      <c r="L237" s="17">
        <f t="shared" si="14"/>
        <v>28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.75" thickBot="1" x14ac:dyDescent="0.3">
      <c r="A238" t="s">
        <v>609</v>
      </c>
      <c r="C238" s="45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1176</v>
      </c>
      <c r="L238" s="17">
        <f t="shared" si="14"/>
        <v>28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.75" thickBot="1" x14ac:dyDescent="0.3">
      <c r="A239" t="s">
        <v>619</v>
      </c>
      <c r="C239" s="45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1182</v>
      </c>
      <c r="L239" s="17">
        <f t="shared" si="14"/>
        <v>28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.75" thickBot="1" x14ac:dyDescent="0.3">
      <c r="A240" t="s">
        <v>619</v>
      </c>
      <c r="C240" s="45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1183</v>
      </c>
      <c r="L240" s="17">
        <f t="shared" si="14"/>
        <v>27</v>
      </c>
      <c r="M240" s="17">
        <f t="shared" si="15"/>
        <v>1</v>
      </c>
      <c r="N240" s="18">
        <f t="shared" si="16"/>
        <v>0.9642857142857143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 t="s">
        <v>1343</v>
      </c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.75" thickBot="1" x14ac:dyDescent="0.3">
      <c r="A241" t="s">
        <v>609</v>
      </c>
      <c r="C241" s="45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1184</v>
      </c>
      <c r="L241" s="17">
        <f t="shared" si="14"/>
        <v>27</v>
      </c>
      <c r="M241" s="17">
        <f t="shared" si="15"/>
        <v>1</v>
      </c>
      <c r="N241" s="18">
        <f t="shared" si="16"/>
        <v>0.9642857142857143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 t="s">
        <v>1343</v>
      </c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.75" thickBot="1" x14ac:dyDescent="0.3">
      <c r="A242" t="s">
        <v>609</v>
      </c>
      <c r="C242" s="45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1185</v>
      </c>
      <c r="L242" s="17">
        <f t="shared" si="14"/>
        <v>28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.75" thickBot="1" x14ac:dyDescent="0.3">
      <c r="A243" t="s">
        <v>609</v>
      </c>
      <c r="C243" s="45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1186</v>
      </c>
      <c r="L243" s="17">
        <f t="shared" si="14"/>
        <v>28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.75" thickBot="1" x14ac:dyDescent="0.3">
      <c r="A244" t="s">
        <v>609</v>
      </c>
      <c r="C244" s="45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1187</v>
      </c>
      <c r="L244" s="17">
        <f t="shared" si="14"/>
        <v>27</v>
      </c>
      <c r="M244" s="17">
        <f t="shared" si="15"/>
        <v>1</v>
      </c>
      <c r="N244" s="18">
        <f t="shared" si="16"/>
        <v>0.9642857142857143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 t="s">
        <v>1343</v>
      </c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.75" thickBot="1" x14ac:dyDescent="0.3">
      <c r="A245" t="s">
        <v>619</v>
      </c>
      <c r="C245" s="45" t="s">
        <v>1327</v>
      </c>
      <c r="D245" t="s">
        <v>1328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1344</v>
      </c>
      <c r="L245" s="17">
        <f t="shared" si="14"/>
        <v>28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.75" thickBot="1" x14ac:dyDescent="0.3">
      <c r="A246" t="s">
        <v>609</v>
      </c>
      <c r="C246" s="45" t="s">
        <v>1329</v>
      </c>
      <c r="D246" t="s">
        <v>1330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1345</v>
      </c>
      <c r="L246" s="17">
        <f t="shared" si="14"/>
        <v>27</v>
      </c>
      <c r="M246" s="17">
        <f t="shared" si="15"/>
        <v>1</v>
      </c>
      <c r="N246" s="18">
        <f t="shared" si="16"/>
        <v>0.9642857142857143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 t="s">
        <v>1343</v>
      </c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.75" thickBot="1" x14ac:dyDescent="0.3">
      <c r="A247" t="s">
        <v>310</v>
      </c>
      <c r="C247" s="45" t="s">
        <v>631</v>
      </c>
      <c r="D247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1190</v>
      </c>
      <c r="L247" s="17">
        <f t="shared" si="14"/>
        <v>28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.75" thickBot="1" x14ac:dyDescent="0.3">
      <c r="A248" t="s">
        <v>310</v>
      </c>
      <c r="C248" s="45" t="s">
        <v>634</v>
      </c>
      <c r="D24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1192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.75" thickBot="1" x14ac:dyDescent="0.3">
      <c r="A249" t="s">
        <v>310</v>
      </c>
      <c r="C249" s="45" t="s">
        <v>636</v>
      </c>
      <c r="D249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1188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.75" thickBot="1" x14ac:dyDescent="0.3">
      <c r="A250" t="s">
        <v>310</v>
      </c>
      <c r="C250" s="45" t="s">
        <v>638</v>
      </c>
      <c r="D250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1189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.75" thickBot="1" x14ac:dyDescent="0.3">
      <c r="A251" t="s">
        <v>310</v>
      </c>
      <c r="B251" s="62">
        <v>44634</v>
      </c>
      <c r="C251" s="63" t="s">
        <v>641</v>
      </c>
      <c r="D251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1193</v>
      </c>
      <c r="L251" s="17">
        <f t="shared" si="14"/>
        <v>28</v>
      </c>
      <c r="M251" s="17">
        <f t="shared" si="15"/>
        <v>0</v>
      </c>
      <c r="N251" s="18">
        <f t="shared" si="16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.75" thickBot="1" x14ac:dyDescent="0.3">
      <c r="A252" t="s">
        <v>310</v>
      </c>
      <c r="B252" s="62">
        <v>44634</v>
      </c>
      <c r="C252" s="63" t="s">
        <v>643</v>
      </c>
      <c r="D252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1194</v>
      </c>
      <c r="L252" s="17">
        <f t="shared" si="14"/>
        <v>28</v>
      </c>
      <c r="M252" s="17">
        <f t="shared" si="15"/>
        <v>0</v>
      </c>
      <c r="N252" s="18">
        <f t="shared" si="16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.75" thickBot="1" x14ac:dyDescent="0.3">
      <c r="A253" t="s">
        <v>310</v>
      </c>
      <c r="B253" s="62">
        <v>44634</v>
      </c>
      <c r="C253" s="63" t="s">
        <v>644</v>
      </c>
      <c r="D253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1195</v>
      </c>
      <c r="L253" s="17">
        <f t="shared" si="14"/>
        <v>28</v>
      </c>
      <c r="M253" s="17">
        <f t="shared" si="15"/>
        <v>0</v>
      </c>
      <c r="N253" s="18">
        <f t="shared" si="16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.75" thickBot="1" x14ac:dyDescent="0.3">
      <c r="A254" t="s">
        <v>310</v>
      </c>
      <c r="B254" s="62">
        <v>44634</v>
      </c>
      <c r="C254" s="63" t="s">
        <v>646</v>
      </c>
      <c r="D254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1196</v>
      </c>
      <c r="L254" s="17">
        <f t="shared" si="14"/>
        <v>28</v>
      </c>
      <c r="M254" s="17">
        <f t="shared" si="15"/>
        <v>0</v>
      </c>
      <c r="N254" s="18">
        <f t="shared" si="16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.75" thickBot="1" x14ac:dyDescent="0.3">
      <c r="A255" t="s">
        <v>647</v>
      </c>
      <c r="C255" s="45" t="s">
        <v>648</v>
      </c>
      <c r="D255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1197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.75" thickBot="1" x14ac:dyDescent="0.3">
      <c r="C256" s="45" t="s">
        <v>652</v>
      </c>
      <c r="D256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1200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.75" thickBot="1" x14ac:dyDescent="0.3">
      <c r="A257" t="s">
        <v>654</v>
      </c>
      <c r="C257" s="45" t="s">
        <v>655</v>
      </c>
      <c r="D257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1201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.75" thickBot="1" x14ac:dyDescent="0.3">
      <c r="A258" t="s">
        <v>654</v>
      </c>
      <c r="C258" s="45" t="s">
        <v>659</v>
      </c>
      <c r="D25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1203</v>
      </c>
      <c r="L258" s="17">
        <f t="shared" si="14"/>
        <v>27</v>
      </c>
      <c r="M258" s="17">
        <f t="shared" si="15"/>
        <v>1</v>
      </c>
      <c r="N258" s="18">
        <f t="shared" si="16"/>
        <v>0.9642857142857143</v>
      </c>
      <c r="O258" s="27" t="s">
        <v>1343</v>
      </c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.75" thickBot="1" x14ac:dyDescent="0.3">
      <c r="A259" t="s">
        <v>654</v>
      </c>
      <c r="C259" s="45" t="s">
        <v>661</v>
      </c>
      <c r="D259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1204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.75" thickBot="1" x14ac:dyDescent="0.3">
      <c r="A260" t="s">
        <v>654</v>
      </c>
      <c r="C260" s="45" t="s">
        <v>663</v>
      </c>
      <c r="D260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1198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.75" thickBot="1" x14ac:dyDescent="0.3">
      <c r="A261" t="s">
        <v>654</v>
      </c>
      <c r="B261" s="59">
        <v>44629</v>
      </c>
      <c r="C261" s="61" t="s">
        <v>665</v>
      </c>
      <c r="D261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1199</v>
      </c>
      <c r="L261" s="17">
        <f t="shared" si="14"/>
        <v>28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.75" thickBot="1" x14ac:dyDescent="0.3">
      <c r="A262" t="s">
        <v>654</v>
      </c>
      <c r="C262" s="45" t="s">
        <v>667</v>
      </c>
      <c r="D262" t="s">
        <v>668</v>
      </c>
      <c r="E262" t="s">
        <v>19</v>
      </c>
      <c r="F262" t="s">
        <v>944</v>
      </c>
      <c r="G262"/>
      <c r="H262" t="s">
        <v>669</v>
      </c>
      <c r="I262" s="16">
        <v>-348150250000</v>
      </c>
      <c r="J262" s="16">
        <v>-582640890000</v>
      </c>
      <c r="K262" s="16" t="s">
        <v>1202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 t="s">
        <v>1343</v>
      </c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.75" thickBot="1" x14ac:dyDescent="0.3">
      <c r="A263" t="s">
        <v>258</v>
      </c>
      <c r="C263" s="45" t="s">
        <v>670</v>
      </c>
      <c r="D263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1205</v>
      </c>
      <c r="L263" s="17">
        <f t="shared" ref="L263:L326" si="17">COUNTIF(O263:AP263,"")</f>
        <v>28</v>
      </c>
      <c r="M263" s="17">
        <f t="shared" ref="M263:M326" si="18">COUNTIF(O263:AP263,"APAGADO")</f>
        <v>0</v>
      </c>
      <c r="N263" s="18">
        <f t="shared" ref="N263:N326" si="19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.75" thickBot="1" x14ac:dyDescent="0.3">
      <c r="A264" t="s">
        <v>258</v>
      </c>
      <c r="C264" s="45" t="s">
        <v>673</v>
      </c>
      <c r="D264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1206</v>
      </c>
      <c r="L264" s="17">
        <f t="shared" si="17"/>
        <v>28</v>
      </c>
      <c r="M264" s="17">
        <f t="shared" si="18"/>
        <v>0</v>
      </c>
      <c r="N264" s="18">
        <f t="shared" si="19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.75" thickBot="1" x14ac:dyDescent="0.3">
      <c r="A265" t="s">
        <v>258</v>
      </c>
      <c r="C265" s="45" t="s">
        <v>674</v>
      </c>
      <c r="D265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1207</v>
      </c>
      <c r="L265" s="17">
        <f t="shared" si="17"/>
        <v>28</v>
      </c>
      <c r="M265" s="17">
        <f t="shared" si="18"/>
        <v>0</v>
      </c>
      <c r="N265" s="18">
        <f t="shared" si="19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.75" thickBot="1" x14ac:dyDescent="0.3">
      <c r="A266" t="s">
        <v>258</v>
      </c>
      <c r="C266" s="45" t="s">
        <v>676</v>
      </c>
      <c r="D266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1208</v>
      </c>
      <c r="L266" s="17">
        <f t="shared" si="17"/>
        <v>28</v>
      </c>
      <c r="M266" s="17">
        <f t="shared" si="18"/>
        <v>0</v>
      </c>
      <c r="N266" s="18">
        <f t="shared" si="19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.75" thickBot="1" x14ac:dyDescent="0.3">
      <c r="A267" t="s">
        <v>677</v>
      </c>
      <c r="C267" s="45" t="s">
        <v>678</v>
      </c>
      <c r="D267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1215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.75" thickBot="1" x14ac:dyDescent="0.3">
      <c r="A268" t="s">
        <v>677</v>
      </c>
      <c r="C268" s="45" t="s">
        <v>680</v>
      </c>
      <c r="D2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1216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.75" thickBot="1" x14ac:dyDescent="0.3">
      <c r="A269" t="s">
        <v>677</v>
      </c>
      <c r="C269" s="45" t="s">
        <v>683</v>
      </c>
      <c r="D269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1217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.75" thickBot="1" x14ac:dyDescent="0.3">
      <c r="A270" t="s">
        <v>677</v>
      </c>
      <c r="C270" s="45" t="s">
        <v>685</v>
      </c>
      <c r="D270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1218</v>
      </c>
      <c r="L270" s="17">
        <f t="shared" si="17"/>
        <v>28</v>
      </c>
      <c r="M270" s="17">
        <f t="shared" si="18"/>
        <v>0</v>
      </c>
      <c r="N270" s="18">
        <f t="shared" si="19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.75" thickBot="1" x14ac:dyDescent="0.3">
      <c r="A271" t="s">
        <v>677</v>
      </c>
      <c r="C271" s="45" t="s">
        <v>687</v>
      </c>
      <c r="D271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1191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.75" thickBot="1" x14ac:dyDescent="0.3">
      <c r="A272" t="s">
        <v>677</v>
      </c>
      <c r="B272" s="59">
        <v>44629</v>
      </c>
      <c r="C272" s="61" t="s">
        <v>690</v>
      </c>
      <c r="D272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1219</v>
      </c>
      <c r="L272" s="17">
        <f t="shared" si="17"/>
        <v>26</v>
      </c>
      <c r="M272" s="17">
        <f t="shared" si="18"/>
        <v>2</v>
      </c>
      <c r="N272" s="18">
        <f t="shared" si="19"/>
        <v>0.9285714285714286</v>
      </c>
      <c r="O272" s="27" t="s">
        <v>1343</v>
      </c>
      <c r="P272" s="8"/>
      <c r="Q272" s="8"/>
      <c r="R272" s="8"/>
      <c r="S272" s="27"/>
      <c r="T272" s="27"/>
      <c r="U272" s="8"/>
      <c r="V272" s="8"/>
      <c r="W272" s="8"/>
      <c r="X272" s="27" t="s">
        <v>1343</v>
      </c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.75" thickBot="1" x14ac:dyDescent="0.3">
      <c r="A273" t="s">
        <v>677</v>
      </c>
      <c r="B273" s="62">
        <v>44634</v>
      </c>
      <c r="C273" s="63" t="s">
        <v>693</v>
      </c>
      <c r="D273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1223</v>
      </c>
      <c r="L273" s="17">
        <f t="shared" si="17"/>
        <v>28</v>
      </c>
      <c r="M273" s="17">
        <f t="shared" si="18"/>
        <v>0</v>
      </c>
      <c r="N273" s="18">
        <f t="shared" si="19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.75" thickBot="1" x14ac:dyDescent="0.3">
      <c r="A274" t="s">
        <v>677</v>
      </c>
      <c r="B274" s="62">
        <v>44634</v>
      </c>
      <c r="C274" s="63" t="s">
        <v>696</v>
      </c>
      <c r="D274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1224</v>
      </c>
      <c r="L274" s="17">
        <f t="shared" si="17"/>
        <v>28</v>
      </c>
      <c r="M274" s="17">
        <f t="shared" si="18"/>
        <v>0</v>
      </c>
      <c r="N274" s="18">
        <f t="shared" si="19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.75" thickBot="1" x14ac:dyDescent="0.3">
      <c r="A275" t="s">
        <v>677</v>
      </c>
      <c r="C275" s="45" t="s">
        <v>697</v>
      </c>
      <c r="D275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1211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.75" thickBot="1" x14ac:dyDescent="0.3">
      <c r="A276" t="s">
        <v>538</v>
      </c>
      <c r="C276" s="45" t="s">
        <v>698</v>
      </c>
      <c r="D276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1212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.75" thickBot="1" x14ac:dyDescent="0.3">
      <c r="A277" t="s">
        <v>677</v>
      </c>
      <c r="C277" s="45" t="s">
        <v>700</v>
      </c>
      <c r="D277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1213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.75" thickBot="1" x14ac:dyDescent="0.3">
      <c r="A278" t="s">
        <v>677</v>
      </c>
      <c r="C278" s="45" t="s">
        <v>703</v>
      </c>
      <c r="D27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1214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.75" thickBot="1" x14ac:dyDescent="0.3">
      <c r="A279" t="s">
        <v>677</v>
      </c>
      <c r="C279" s="45" t="s">
        <v>706</v>
      </c>
      <c r="D279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1209</v>
      </c>
      <c r="L279" s="17">
        <f t="shared" si="17"/>
        <v>26</v>
      </c>
      <c r="M279" s="17">
        <f t="shared" si="18"/>
        <v>2</v>
      </c>
      <c r="N279" s="18">
        <f t="shared" si="19"/>
        <v>0.9285714285714286</v>
      </c>
      <c r="O279" s="27" t="s">
        <v>1343</v>
      </c>
      <c r="P279" s="8"/>
      <c r="Q279" s="8"/>
      <c r="R279" s="8"/>
      <c r="S279" s="27"/>
      <c r="T279" s="27"/>
      <c r="U279" s="8"/>
      <c r="V279" s="8"/>
      <c r="W279" s="8"/>
      <c r="X279" s="27" t="s">
        <v>1343</v>
      </c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.75" thickBot="1" x14ac:dyDescent="0.3">
      <c r="A280" t="s">
        <v>677</v>
      </c>
      <c r="C280" s="45" t="s">
        <v>709</v>
      </c>
      <c r="D280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1210</v>
      </c>
      <c r="L280" s="17">
        <f t="shared" si="17"/>
        <v>28</v>
      </c>
      <c r="M280" s="17">
        <f t="shared" si="18"/>
        <v>0</v>
      </c>
      <c r="N280" s="18">
        <f t="shared" si="19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.75" thickBot="1" x14ac:dyDescent="0.3">
      <c r="A281" t="s">
        <v>538</v>
      </c>
      <c r="B281" s="62">
        <v>44634</v>
      </c>
      <c r="C281" s="63" t="s">
        <v>711</v>
      </c>
      <c r="D281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1220</v>
      </c>
      <c r="L281" s="17">
        <f t="shared" si="17"/>
        <v>26</v>
      </c>
      <c r="M281" s="17">
        <f t="shared" si="18"/>
        <v>2</v>
      </c>
      <c r="N281" s="18">
        <f t="shared" si="19"/>
        <v>0.9285714285714286</v>
      </c>
      <c r="O281" s="27"/>
      <c r="P281" s="8"/>
      <c r="Q281" s="8"/>
      <c r="R281" s="8"/>
      <c r="S281" s="27"/>
      <c r="T281" s="27"/>
      <c r="U281" s="8" t="s">
        <v>1343</v>
      </c>
      <c r="V281" s="8"/>
      <c r="W281" s="8" t="s">
        <v>1343</v>
      </c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.75" thickBot="1" x14ac:dyDescent="0.3">
      <c r="A282" t="s">
        <v>538</v>
      </c>
      <c r="B282" s="62">
        <v>44634</v>
      </c>
      <c r="C282" s="63" t="s">
        <v>713</v>
      </c>
      <c r="D282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1221</v>
      </c>
      <c r="L282" s="17">
        <f t="shared" si="17"/>
        <v>26</v>
      </c>
      <c r="M282" s="17">
        <f t="shared" si="18"/>
        <v>2</v>
      </c>
      <c r="N282" s="18">
        <f t="shared" si="19"/>
        <v>0.9285714285714286</v>
      </c>
      <c r="O282" s="27"/>
      <c r="P282" s="8"/>
      <c r="Q282" s="8"/>
      <c r="R282" s="8"/>
      <c r="S282" s="27"/>
      <c r="T282" s="27"/>
      <c r="U282" s="8" t="s">
        <v>1343</v>
      </c>
      <c r="V282" s="8"/>
      <c r="W282" s="8" t="s">
        <v>1343</v>
      </c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.75" thickBot="1" x14ac:dyDescent="0.3">
      <c r="A283" t="s">
        <v>677</v>
      </c>
      <c r="C283" s="45" t="s">
        <v>714</v>
      </c>
      <c r="D283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1222</v>
      </c>
      <c r="L283" s="17">
        <f t="shared" si="17"/>
        <v>19</v>
      </c>
      <c r="M283" s="17">
        <f t="shared" si="18"/>
        <v>9</v>
      </c>
      <c r="N283" s="18">
        <f t="shared" si="19"/>
        <v>0.6785714285714286</v>
      </c>
      <c r="O283" s="27" t="s">
        <v>1343</v>
      </c>
      <c r="P283" s="8"/>
      <c r="Q283" s="8"/>
      <c r="R283" s="8"/>
      <c r="S283" s="27" t="s">
        <v>1343</v>
      </c>
      <c r="T283" s="27" t="s">
        <v>1343</v>
      </c>
      <c r="U283" s="8" t="s">
        <v>1343</v>
      </c>
      <c r="V283" s="8" t="s">
        <v>1343</v>
      </c>
      <c r="W283" s="8" t="s">
        <v>1343</v>
      </c>
      <c r="X283" s="27"/>
      <c r="Y283" s="27" t="s">
        <v>1343</v>
      </c>
      <c r="Z283" s="27" t="s">
        <v>1343</v>
      </c>
      <c r="AA283" s="27" t="s">
        <v>1343</v>
      </c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.75" thickBot="1" x14ac:dyDescent="0.3">
      <c r="A284" t="s">
        <v>677</v>
      </c>
      <c r="C284" s="45" t="s">
        <v>717</v>
      </c>
      <c r="D284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1225</v>
      </c>
      <c r="L284" s="17">
        <f t="shared" si="17"/>
        <v>26</v>
      </c>
      <c r="M284" s="17">
        <f t="shared" si="18"/>
        <v>2</v>
      </c>
      <c r="N284" s="18">
        <f t="shared" si="19"/>
        <v>0.9285714285714286</v>
      </c>
      <c r="O284" s="27"/>
      <c r="P284" s="8"/>
      <c r="Q284" s="8"/>
      <c r="R284" s="8"/>
      <c r="S284" s="27"/>
      <c r="T284" s="27"/>
      <c r="U284" s="8" t="s">
        <v>1343</v>
      </c>
      <c r="V284" s="8" t="s">
        <v>1343</v>
      </c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.75" thickBot="1" x14ac:dyDescent="0.3">
      <c r="A285" t="s">
        <v>677</v>
      </c>
      <c r="C285" s="45" t="s">
        <v>720</v>
      </c>
      <c r="D285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1226</v>
      </c>
      <c r="L285" s="17">
        <f t="shared" si="17"/>
        <v>26</v>
      </c>
      <c r="M285" s="17">
        <f t="shared" si="18"/>
        <v>2</v>
      </c>
      <c r="N285" s="18">
        <f t="shared" si="19"/>
        <v>0.9285714285714286</v>
      </c>
      <c r="O285" s="27"/>
      <c r="P285" s="8"/>
      <c r="Q285" s="8"/>
      <c r="R285" s="8"/>
      <c r="S285" s="27"/>
      <c r="T285" s="27"/>
      <c r="U285" s="8" t="s">
        <v>1343</v>
      </c>
      <c r="V285" s="8" t="s">
        <v>1343</v>
      </c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.75" thickBot="1" x14ac:dyDescent="0.3">
      <c r="A286" t="s">
        <v>549</v>
      </c>
      <c r="C286" s="45" t="s">
        <v>721</v>
      </c>
      <c r="D286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1227</v>
      </c>
      <c r="L286" s="17">
        <f t="shared" si="17"/>
        <v>28</v>
      </c>
      <c r="M286" s="17">
        <f t="shared" si="18"/>
        <v>0</v>
      </c>
      <c r="N286" s="18">
        <f t="shared" si="19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.75" thickBot="1" x14ac:dyDescent="0.3">
      <c r="A287" t="s">
        <v>549</v>
      </c>
      <c r="C287" s="45" t="s">
        <v>723</v>
      </c>
      <c r="D287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1228</v>
      </c>
      <c r="L287" s="17">
        <f t="shared" si="17"/>
        <v>28</v>
      </c>
      <c r="M287" s="17">
        <f t="shared" si="18"/>
        <v>0</v>
      </c>
      <c r="N287" s="18">
        <f t="shared" si="19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.75" thickBot="1" x14ac:dyDescent="0.3">
      <c r="A288" t="s">
        <v>724</v>
      </c>
      <c r="C288" s="45" t="s">
        <v>725</v>
      </c>
      <c r="D288" t="s">
        <v>726</v>
      </c>
      <c r="E288" t="s">
        <v>24</v>
      </c>
      <c r="F288" t="s">
        <v>944</v>
      </c>
      <c r="G288" t="s">
        <v>727</v>
      </c>
      <c r="H288"/>
      <c r="I288" s="16">
        <v>-347888010000</v>
      </c>
      <c r="J288" s="16">
        <v>-582597900000</v>
      </c>
      <c r="K288" s="16" t="s">
        <v>1229</v>
      </c>
      <c r="L288" s="17">
        <f t="shared" si="17"/>
        <v>28</v>
      </c>
      <c r="M288" s="17">
        <f t="shared" si="18"/>
        <v>0</v>
      </c>
      <c r="N288" s="18">
        <f t="shared" si="19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899999999999999" customHeight="1" thickBot="1" x14ac:dyDescent="0.3">
      <c r="A289" t="s">
        <v>724</v>
      </c>
      <c r="C289" s="45" t="s">
        <v>728</v>
      </c>
      <c r="D289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1230</v>
      </c>
      <c r="L289" s="17">
        <f t="shared" si="17"/>
        <v>26</v>
      </c>
      <c r="M289" s="17">
        <f t="shared" si="18"/>
        <v>2</v>
      </c>
      <c r="N289" s="18">
        <f t="shared" si="19"/>
        <v>0.9285714285714286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 t="s">
        <v>1343</v>
      </c>
      <c r="AB289" s="27" t="s">
        <v>1343</v>
      </c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.75" thickBot="1" x14ac:dyDescent="0.3">
      <c r="A290" t="s">
        <v>730</v>
      </c>
      <c r="C290" s="45" t="s">
        <v>731</v>
      </c>
      <c r="D290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1231</v>
      </c>
      <c r="L290" s="17">
        <f t="shared" si="17"/>
        <v>28</v>
      </c>
      <c r="M290" s="17">
        <f t="shared" si="18"/>
        <v>0</v>
      </c>
      <c r="N290" s="18">
        <f t="shared" si="19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.75" thickBot="1" x14ac:dyDescent="0.3">
      <c r="A291" t="s">
        <v>724</v>
      </c>
      <c r="C291" s="45" t="s">
        <v>733</v>
      </c>
      <c r="D291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1232</v>
      </c>
      <c r="L291" s="17">
        <f t="shared" si="17"/>
        <v>25</v>
      </c>
      <c r="M291" s="17">
        <f t="shared" si="18"/>
        <v>3</v>
      </c>
      <c r="N291" s="18">
        <f t="shared" si="19"/>
        <v>0.8928571428571429</v>
      </c>
      <c r="O291" s="27" t="s">
        <v>1343</v>
      </c>
      <c r="P291" s="8"/>
      <c r="Q291" s="8"/>
      <c r="R291" s="8" t="s">
        <v>1343</v>
      </c>
      <c r="S291" s="27" t="s">
        <v>1343</v>
      </c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.75" thickBot="1" x14ac:dyDescent="0.3">
      <c r="A292" t="s">
        <v>724</v>
      </c>
      <c r="C292" s="45" t="s">
        <v>737</v>
      </c>
      <c r="D292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1233</v>
      </c>
      <c r="L292" s="17">
        <f t="shared" si="17"/>
        <v>26</v>
      </c>
      <c r="M292" s="17">
        <f t="shared" si="18"/>
        <v>2</v>
      </c>
      <c r="N292" s="18">
        <f t="shared" si="19"/>
        <v>0.9285714285714286</v>
      </c>
      <c r="O292" s="27" t="s">
        <v>1343</v>
      </c>
      <c r="P292" s="8"/>
      <c r="Q292" s="8"/>
      <c r="R292" s="8" t="s">
        <v>1343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.75" thickBot="1" x14ac:dyDescent="0.3">
      <c r="A293" t="s">
        <v>724</v>
      </c>
      <c r="C293" s="45" t="s">
        <v>739</v>
      </c>
      <c r="D293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1234</v>
      </c>
      <c r="L293" s="17">
        <f t="shared" si="17"/>
        <v>26</v>
      </c>
      <c r="M293" s="17">
        <f t="shared" si="18"/>
        <v>2</v>
      </c>
      <c r="N293" s="18">
        <f t="shared" si="19"/>
        <v>0.9285714285714286</v>
      </c>
      <c r="O293" s="27" t="s">
        <v>1343</v>
      </c>
      <c r="P293" s="8"/>
      <c r="Q293" s="8"/>
      <c r="R293" s="8" t="s">
        <v>1343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.75" thickBot="1" x14ac:dyDescent="0.3">
      <c r="A294" t="s">
        <v>724</v>
      </c>
      <c r="C294" s="45" t="s">
        <v>742</v>
      </c>
      <c r="D294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1235</v>
      </c>
      <c r="L294" s="17">
        <f t="shared" si="17"/>
        <v>26</v>
      </c>
      <c r="M294" s="17">
        <f t="shared" si="18"/>
        <v>2</v>
      </c>
      <c r="N294" s="18">
        <f t="shared" si="19"/>
        <v>0.9285714285714286</v>
      </c>
      <c r="O294" s="27" t="s">
        <v>1343</v>
      </c>
      <c r="P294" s="8"/>
      <c r="Q294" s="8"/>
      <c r="R294" s="8" t="s">
        <v>1343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.75" thickBot="1" x14ac:dyDescent="0.3">
      <c r="A295" t="s">
        <v>724</v>
      </c>
      <c r="C295" s="45" t="s">
        <v>744</v>
      </c>
      <c r="D295" t="s">
        <v>745</v>
      </c>
      <c r="E295" t="s">
        <v>24</v>
      </c>
      <c r="F295" t="s">
        <v>944</v>
      </c>
      <c r="G295" t="s">
        <v>735</v>
      </c>
      <c r="H295"/>
      <c r="I295" s="16">
        <v>-347917260000</v>
      </c>
      <c r="J295" s="16">
        <v>-582524730000</v>
      </c>
      <c r="K295" s="16" t="s">
        <v>1236</v>
      </c>
      <c r="L295" s="17">
        <f t="shared" si="17"/>
        <v>26</v>
      </c>
      <c r="M295" s="17">
        <f t="shared" si="18"/>
        <v>2</v>
      </c>
      <c r="N295" s="18">
        <f t="shared" si="19"/>
        <v>0.9285714285714286</v>
      </c>
      <c r="O295" s="27" t="s">
        <v>1343</v>
      </c>
      <c r="P295" s="8"/>
      <c r="Q295" s="8"/>
      <c r="R295" s="8" t="s">
        <v>1343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.75" thickBot="1" x14ac:dyDescent="0.3">
      <c r="A296" t="s">
        <v>412</v>
      </c>
      <c r="C296" s="45" t="s">
        <v>746</v>
      </c>
      <c r="D296" t="s">
        <v>747</v>
      </c>
      <c r="E296" t="s">
        <v>24</v>
      </c>
      <c r="F296" t="s">
        <v>944</v>
      </c>
      <c r="G296" t="s">
        <v>161</v>
      </c>
      <c r="H296"/>
      <c r="I296" s="16">
        <v>-347867610000</v>
      </c>
      <c r="J296" s="16">
        <v>-582563190000</v>
      </c>
      <c r="K296" s="16" t="s">
        <v>1237</v>
      </c>
      <c r="L296" s="17">
        <f t="shared" si="17"/>
        <v>23</v>
      </c>
      <c r="M296" s="17">
        <f t="shared" si="18"/>
        <v>5</v>
      </c>
      <c r="N296" s="18">
        <f t="shared" si="19"/>
        <v>0.8214285714285714</v>
      </c>
      <c r="O296" s="27" t="s">
        <v>1343</v>
      </c>
      <c r="P296" s="8"/>
      <c r="Q296" s="8"/>
      <c r="R296" s="8"/>
      <c r="S296" s="27"/>
      <c r="T296" s="27"/>
      <c r="U296" s="8" t="s">
        <v>1343</v>
      </c>
      <c r="V296" s="8" t="s">
        <v>1343</v>
      </c>
      <c r="W296" s="8" t="s">
        <v>1343</v>
      </c>
      <c r="X296" s="27" t="s">
        <v>1343</v>
      </c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.75" thickBot="1" x14ac:dyDescent="0.3">
      <c r="A297" t="s">
        <v>358</v>
      </c>
      <c r="C297" s="45" t="s">
        <v>748</v>
      </c>
      <c r="D297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1238</v>
      </c>
      <c r="L297" s="17">
        <f t="shared" si="17"/>
        <v>24</v>
      </c>
      <c r="M297" s="17">
        <f t="shared" si="18"/>
        <v>4</v>
      </c>
      <c r="N297" s="18">
        <f t="shared" si="19"/>
        <v>0.8571428571428571</v>
      </c>
      <c r="O297" s="27" t="s">
        <v>1343</v>
      </c>
      <c r="P297" s="8"/>
      <c r="Q297" s="8"/>
      <c r="R297" s="8"/>
      <c r="S297" s="27"/>
      <c r="T297" s="27"/>
      <c r="U297" s="8"/>
      <c r="V297" s="8" t="s">
        <v>1343</v>
      </c>
      <c r="W297" s="8" t="s">
        <v>1343</v>
      </c>
      <c r="X297" s="27" t="s">
        <v>1343</v>
      </c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.75" thickBot="1" x14ac:dyDescent="0.3">
      <c r="A298" t="s">
        <v>358</v>
      </c>
      <c r="C298" s="45" t="s">
        <v>751</v>
      </c>
      <c r="D29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1239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.75" thickBot="1" x14ac:dyDescent="0.3">
      <c r="A299" t="s">
        <v>358</v>
      </c>
      <c r="C299" s="45" t="s">
        <v>753</v>
      </c>
      <c r="D299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1240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.75" thickBot="1" x14ac:dyDescent="0.3">
      <c r="A300" t="s">
        <v>358</v>
      </c>
      <c r="C300" s="45" t="s">
        <v>755</v>
      </c>
      <c r="D300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1241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.75" thickBot="1" x14ac:dyDescent="0.3">
      <c r="A301" t="s">
        <v>358</v>
      </c>
      <c r="C301" s="45" t="s">
        <v>756</v>
      </c>
      <c r="D301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1242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.75" thickBot="1" x14ac:dyDescent="0.3">
      <c r="A302" t="s">
        <v>358</v>
      </c>
      <c r="C302" s="45" t="s">
        <v>758</v>
      </c>
      <c r="D302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1243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.75" thickBot="1" x14ac:dyDescent="0.3">
      <c r="A303" t="s">
        <v>358</v>
      </c>
      <c r="C303" s="45" t="s">
        <v>759</v>
      </c>
      <c r="D303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1244</v>
      </c>
      <c r="L303" s="17">
        <f t="shared" si="17"/>
        <v>16</v>
      </c>
      <c r="M303" s="17">
        <f t="shared" si="18"/>
        <v>12</v>
      </c>
      <c r="N303" s="18">
        <f t="shared" si="19"/>
        <v>0.5714285714285714</v>
      </c>
      <c r="O303" s="27" t="s">
        <v>1343</v>
      </c>
      <c r="P303" s="8"/>
      <c r="Q303" s="8"/>
      <c r="R303" s="8" t="s">
        <v>1343</v>
      </c>
      <c r="S303" s="27" t="s">
        <v>1343</v>
      </c>
      <c r="T303" s="27" t="s">
        <v>1343</v>
      </c>
      <c r="U303" s="8" t="s">
        <v>1343</v>
      </c>
      <c r="V303" s="8" t="s">
        <v>1343</v>
      </c>
      <c r="W303" s="8" t="s">
        <v>1343</v>
      </c>
      <c r="X303" s="27" t="s">
        <v>1343</v>
      </c>
      <c r="Y303" s="27" t="s">
        <v>1343</v>
      </c>
      <c r="Z303" s="27" t="s">
        <v>1343</v>
      </c>
      <c r="AA303" s="27" t="s">
        <v>1343</v>
      </c>
      <c r="AB303" s="27" t="s">
        <v>1343</v>
      </c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</row>
    <row r="304" spans="1:44" ht="15.75" thickBot="1" x14ac:dyDescent="0.3">
      <c r="A304" t="s">
        <v>358</v>
      </c>
      <c r="B304" s="62">
        <v>44634</v>
      </c>
      <c r="C304" s="63" t="s">
        <v>761</v>
      </c>
      <c r="D304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1245</v>
      </c>
      <c r="L304" s="17">
        <f t="shared" si="17"/>
        <v>28</v>
      </c>
      <c r="M304" s="17">
        <f t="shared" si="18"/>
        <v>0</v>
      </c>
      <c r="N304" s="18">
        <f t="shared" si="19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</row>
    <row r="305" spans="1:44" ht="15.75" thickBot="1" x14ac:dyDescent="0.3">
      <c r="A305" t="s">
        <v>358</v>
      </c>
      <c r="B305" s="62">
        <v>44634</v>
      </c>
      <c r="C305" s="63" t="s">
        <v>764</v>
      </c>
      <c r="D305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1246</v>
      </c>
      <c r="L305" s="17">
        <f t="shared" si="17"/>
        <v>28</v>
      </c>
      <c r="M305" s="17">
        <f t="shared" si="18"/>
        <v>0</v>
      </c>
      <c r="N305" s="18">
        <f t="shared" si="19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</row>
    <row r="306" spans="1:44" ht="15.75" thickBot="1" x14ac:dyDescent="0.3">
      <c r="A306" t="s">
        <v>358</v>
      </c>
      <c r="B306" s="62">
        <v>44634</v>
      </c>
      <c r="C306" s="63" t="s">
        <v>765</v>
      </c>
      <c r="D306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1247</v>
      </c>
      <c r="L306" s="17">
        <f t="shared" si="17"/>
        <v>28</v>
      </c>
      <c r="M306" s="17">
        <f t="shared" si="18"/>
        <v>0</v>
      </c>
      <c r="N306" s="18">
        <f t="shared" si="19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</row>
    <row r="307" spans="1:44" ht="15.75" thickBot="1" x14ac:dyDescent="0.3">
      <c r="A307" t="s">
        <v>358</v>
      </c>
      <c r="B307" s="62">
        <v>44634</v>
      </c>
      <c r="C307" s="63" t="s">
        <v>768</v>
      </c>
      <c r="D307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1248</v>
      </c>
      <c r="L307" s="17">
        <f t="shared" si="17"/>
        <v>28</v>
      </c>
      <c r="M307" s="17">
        <f t="shared" si="18"/>
        <v>0</v>
      </c>
      <c r="N307" s="18">
        <f t="shared" si="19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</row>
    <row r="308" spans="1:44" ht="15.75" thickBot="1" x14ac:dyDescent="0.3">
      <c r="C308" s="45" t="s">
        <v>769</v>
      </c>
      <c r="D308" t="s">
        <v>770</v>
      </c>
      <c r="E308" t="s">
        <v>19</v>
      </c>
      <c r="F308" t="s">
        <v>944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1260</v>
      </c>
      <c r="L308" s="17">
        <f t="shared" si="17"/>
        <v>28</v>
      </c>
      <c r="M308" s="17">
        <f t="shared" si="18"/>
        <v>0</v>
      </c>
      <c r="N308" s="18">
        <f t="shared" si="19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.75" thickBot="1" x14ac:dyDescent="0.3">
      <c r="A309" t="s">
        <v>772</v>
      </c>
      <c r="C309" s="45" t="s">
        <v>773</v>
      </c>
      <c r="D309" t="s">
        <v>774</v>
      </c>
      <c r="E309" t="s">
        <v>24</v>
      </c>
      <c r="F309" t="s">
        <v>944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1261</v>
      </c>
      <c r="L309" s="17">
        <f t="shared" si="17"/>
        <v>27</v>
      </c>
      <c r="M309" s="17">
        <f t="shared" si="18"/>
        <v>1</v>
      </c>
      <c r="N309" s="18">
        <f t="shared" si="19"/>
        <v>0.9642857142857143</v>
      </c>
      <c r="O309" s="27"/>
      <c r="P309" s="8"/>
      <c r="Q309" s="8"/>
      <c r="R309" s="8"/>
      <c r="S309" s="27"/>
      <c r="T309" s="27"/>
      <c r="U309" s="8" t="s">
        <v>1343</v>
      </c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.75" thickBot="1" x14ac:dyDescent="0.3">
      <c r="C310" s="45" t="s">
        <v>776</v>
      </c>
      <c r="D310" t="s">
        <v>777</v>
      </c>
      <c r="E310" t="s">
        <v>19</v>
      </c>
      <c r="F310" t="s">
        <v>944</v>
      </c>
      <c r="G310" t="s">
        <v>778</v>
      </c>
      <c r="H310"/>
      <c r="I310" s="16">
        <v>-348129440000</v>
      </c>
      <c r="J310" s="16">
        <v>-582759900000</v>
      </c>
      <c r="K310" s="16" t="s">
        <v>1263</v>
      </c>
      <c r="L310" s="17">
        <f t="shared" si="17"/>
        <v>28</v>
      </c>
      <c r="M310" s="17">
        <f t="shared" si="18"/>
        <v>0</v>
      </c>
      <c r="N310" s="18">
        <f t="shared" si="19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</row>
    <row r="311" spans="1:44" ht="15.75" thickBot="1" x14ac:dyDescent="0.3">
      <c r="A311" t="s">
        <v>779</v>
      </c>
      <c r="C311" s="45" t="s">
        <v>780</v>
      </c>
      <c r="D311" t="s">
        <v>781</v>
      </c>
      <c r="E311" t="s">
        <v>19</v>
      </c>
      <c r="F311" t="s">
        <v>944</v>
      </c>
      <c r="G311"/>
      <c r="H311" t="s">
        <v>782</v>
      </c>
      <c r="I311" s="16">
        <v>-348174960000</v>
      </c>
      <c r="J311" s="16">
        <v>-582687670000</v>
      </c>
      <c r="K311" s="16" t="s">
        <v>1264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.75" thickBot="1" x14ac:dyDescent="0.3">
      <c r="A312" t="s">
        <v>779</v>
      </c>
      <c r="C312" s="45" t="s">
        <v>783</v>
      </c>
      <c r="D312" t="s">
        <v>928</v>
      </c>
      <c r="E312" t="s">
        <v>19</v>
      </c>
      <c r="F312" t="s">
        <v>944</v>
      </c>
      <c r="G312"/>
      <c r="H312" t="s">
        <v>30</v>
      </c>
      <c r="I312" s="16">
        <v>-348206040000</v>
      </c>
      <c r="J312" s="16">
        <v>-582725050000</v>
      </c>
      <c r="K312" s="16" t="s">
        <v>1265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.75" thickBot="1" x14ac:dyDescent="0.3">
      <c r="A313" t="s">
        <v>772</v>
      </c>
      <c r="C313" s="45" t="s">
        <v>784</v>
      </c>
      <c r="D313" t="s">
        <v>785</v>
      </c>
      <c r="E313" t="s">
        <v>19</v>
      </c>
      <c r="F313" t="s">
        <v>944</v>
      </c>
      <c r="G313"/>
      <c r="H313" t="s">
        <v>692</v>
      </c>
      <c r="I313" s="16">
        <v>-348117590000</v>
      </c>
      <c r="J313" s="16">
        <v>-582727020000</v>
      </c>
      <c r="K313" s="16" t="s">
        <v>1266</v>
      </c>
      <c r="L313" s="17">
        <f t="shared" si="17"/>
        <v>28</v>
      </c>
      <c r="M313" s="17">
        <f t="shared" si="18"/>
        <v>0</v>
      </c>
      <c r="N313" s="18">
        <f t="shared" si="19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.75" thickBot="1" x14ac:dyDescent="0.3">
      <c r="A314" t="s">
        <v>772</v>
      </c>
      <c r="C314" s="45" t="s">
        <v>786</v>
      </c>
      <c r="D314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1267</v>
      </c>
      <c r="L314" s="17">
        <f t="shared" si="17"/>
        <v>28</v>
      </c>
      <c r="M314" s="17">
        <f t="shared" si="18"/>
        <v>0</v>
      </c>
      <c r="N314" s="18">
        <f t="shared" si="19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.75" thickBot="1" x14ac:dyDescent="0.3">
      <c r="A315" t="s">
        <v>779</v>
      </c>
      <c r="C315" s="45" t="s">
        <v>788</v>
      </c>
      <c r="D315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1268</v>
      </c>
      <c r="L315" s="17">
        <f t="shared" si="17"/>
        <v>28</v>
      </c>
      <c r="M315" s="17">
        <f t="shared" si="18"/>
        <v>0</v>
      </c>
      <c r="N315" s="18">
        <f t="shared" si="19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.75" thickBot="1" x14ac:dyDescent="0.3">
      <c r="A316" t="s">
        <v>779</v>
      </c>
      <c r="C316" s="45" t="s">
        <v>790</v>
      </c>
      <c r="D316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1249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.75" thickBot="1" x14ac:dyDescent="0.3">
      <c r="A317" t="s">
        <v>772</v>
      </c>
      <c r="C317" s="45" t="s">
        <v>792</v>
      </c>
      <c r="D317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1250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.75" thickBot="1" x14ac:dyDescent="0.3">
      <c r="A318" t="s">
        <v>772</v>
      </c>
      <c r="C318" s="45" t="s">
        <v>793</v>
      </c>
      <c r="D31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1251</v>
      </c>
      <c r="L318" s="17">
        <f t="shared" si="17"/>
        <v>28</v>
      </c>
      <c r="M318" s="17">
        <f t="shared" si="18"/>
        <v>0</v>
      </c>
      <c r="N318" s="18">
        <f t="shared" si="19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.75" thickBot="1" x14ac:dyDescent="0.3">
      <c r="A319" t="s">
        <v>772</v>
      </c>
      <c r="C319" s="45" t="s">
        <v>796</v>
      </c>
      <c r="D319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1252</v>
      </c>
      <c r="L319" s="17">
        <f t="shared" si="17"/>
        <v>28</v>
      </c>
      <c r="M319" s="17">
        <f t="shared" si="18"/>
        <v>0</v>
      </c>
      <c r="N319" s="18">
        <f t="shared" si="19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.75" thickBot="1" x14ac:dyDescent="0.3">
      <c r="A320" t="s">
        <v>772</v>
      </c>
      <c r="C320" s="45" t="s">
        <v>799</v>
      </c>
      <c r="D320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1253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.75" thickBot="1" x14ac:dyDescent="0.3">
      <c r="A321" t="s">
        <v>772</v>
      </c>
      <c r="C321" s="45" t="s">
        <v>802</v>
      </c>
      <c r="D321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1254</v>
      </c>
      <c r="L321" s="17">
        <f t="shared" si="17"/>
        <v>27</v>
      </c>
      <c r="M321" s="17">
        <f t="shared" si="18"/>
        <v>1</v>
      </c>
      <c r="N321" s="18">
        <f t="shared" si="19"/>
        <v>0.9642857142857143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 t="s">
        <v>1343</v>
      </c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.75" thickBot="1" x14ac:dyDescent="0.3">
      <c r="A322" t="s">
        <v>772</v>
      </c>
      <c r="C322" s="45" t="s">
        <v>803</v>
      </c>
      <c r="D322" t="s">
        <v>925</v>
      </c>
      <c r="E322" t="s">
        <v>19</v>
      </c>
      <c r="F322" t="s">
        <v>944</v>
      </c>
      <c r="G322" t="s">
        <v>804</v>
      </c>
      <c r="H322"/>
      <c r="I322" s="16">
        <v>-348119360000</v>
      </c>
      <c r="J322" s="16">
        <v>-582777500000</v>
      </c>
      <c r="K322" s="16" t="s">
        <v>1255</v>
      </c>
      <c r="L322" s="17">
        <f t="shared" si="17"/>
        <v>28</v>
      </c>
      <c r="M322" s="17">
        <f t="shared" si="18"/>
        <v>0</v>
      </c>
      <c r="N322" s="18">
        <f t="shared" si="19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.75" thickBot="1" x14ac:dyDescent="0.3">
      <c r="A323" t="s">
        <v>779</v>
      </c>
      <c r="C323" s="45" t="s">
        <v>805</v>
      </c>
      <c r="D323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1256</v>
      </c>
      <c r="L323" s="17">
        <f t="shared" si="17"/>
        <v>28</v>
      </c>
      <c r="M323" s="17">
        <f t="shared" si="18"/>
        <v>0</v>
      </c>
      <c r="N323" s="18">
        <f t="shared" si="19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.75" thickBot="1" x14ac:dyDescent="0.3">
      <c r="A324" t="s">
        <v>779</v>
      </c>
      <c r="C324" s="45" t="s">
        <v>807</v>
      </c>
      <c r="D324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1257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 t="s">
        <v>1343</v>
      </c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.75" thickBot="1" x14ac:dyDescent="0.3">
      <c r="A325" t="s">
        <v>772</v>
      </c>
      <c r="C325" s="45" t="s">
        <v>810</v>
      </c>
      <c r="D325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1258</v>
      </c>
      <c r="L325" s="17">
        <f t="shared" si="17"/>
        <v>28</v>
      </c>
      <c r="M325" s="17">
        <f t="shared" si="18"/>
        <v>0</v>
      </c>
      <c r="N325" s="18">
        <f t="shared" si="19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</row>
    <row r="326" spans="1:44" ht="15.75" thickBot="1" x14ac:dyDescent="0.3">
      <c r="A326" t="s">
        <v>779</v>
      </c>
      <c r="C326" s="45" t="s">
        <v>812</v>
      </c>
      <c r="D326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1259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.75" thickBot="1" x14ac:dyDescent="0.3">
      <c r="C327" s="45" t="s">
        <v>814</v>
      </c>
      <c r="D327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1262</v>
      </c>
      <c r="L327" s="17">
        <f t="shared" ref="L327:L372" si="20">COUNTIF(O327:AP327,"")</f>
        <v>27</v>
      </c>
      <c r="M327" s="17">
        <f t="shared" ref="M327:M372" si="21">COUNTIF(O327:AP327,"APAGADO")</f>
        <v>1</v>
      </c>
      <c r="N327" s="18">
        <f t="shared" ref="N327:N372" si="22">(L327)/(M327+L327)</f>
        <v>0.9642857142857143</v>
      </c>
      <c r="O327" s="27"/>
      <c r="P327" s="8"/>
      <c r="Q327" s="8"/>
      <c r="R327" s="8"/>
      <c r="S327" s="27"/>
      <c r="T327" s="27"/>
      <c r="U327" s="8" t="s">
        <v>1343</v>
      </c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.75" thickBot="1" x14ac:dyDescent="0.3">
      <c r="A328" t="s">
        <v>772</v>
      </c>
      <c r="C328" s="45" t="s">
        <v>818</v>
      </c>
      <c r="D32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1269</v>
      </c>
      <c r="L328" s="17">
        <f t="shared" si="20"/>
        <v>28</v>
      </c>
      <c r="M328" s="17">
        <f t="shared" si="21"/>
        <v>0</v>
      </c>
      <c r="N328" s="18">
        <f t="shared" si="22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</row>
    <row r="329" spans="1:44" ht="15.75" thickBot="1" x14ac:dyDescent="0.3">
      <c r="A329" t="s">
        <v>772</v>
      </c>
      <c r="C329" s="45" t="s">
        <v>820</v>
      </c>
      <c r="D329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1270</v>
      </c>
      <c r="L329" s="17">
        <f t="shared" si="20"/>
        <v>28</v>
      </c>
      <c r="M329" s="17">
        <f t="shared" si="21"/>
        <v>0</v>
      </c>
      <c r="N329" s="18">
        <f t="shared" si="22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</row>
    <row r="330" spans="1:44" ht="15.75" thickBot="1" x14ac:dyDescent="0.3">
      <c r="A330" t="s">
        <v>772</v>
      </c>
      <c r="C330" s="45" t="s">
        <v>821</v>
      </c>
      <c r="D330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1025</v>
      </c>
      <c r="L330" s="17">
        <f t="shared" si="20"/>
        <v>28</v>
      </c>
      <c r="M330" s="17">
        <f t="shared" si="21"/>
        <v>0</v>
      </c>
      <c r="N330" s="18">
        <f t="shared" si="22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.75" thickBot="1" x14ac:dyDescent="0.3">
      <c r="A331" t="s">
        <v>772</v>
      </c>
      <c r="C331" s="45" t="s">
        <v>823</v>
      </c>
      <c r="D331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1271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.75" thickBot="1" x14ac:dyDescent="0.3">
      <c r="A332" t="s">
        <v>619</v>
      </c>
      <c r="C332" s="45" t="s">
        <v>824</v>
      </c>
      <c r="D332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1278</v>
      </c>
      <c r="L332" s="17">
        <f t="shared" si="20"/>
        <v>28</v>
      </c>
      <c r="M332" s="17">
        <f t="shared" si="21"/>
        <v>0</v>
      </c>
      <c r="N332" s="18">
        <f t="shared" si="22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.75" thickBot="1" x14ac:dyDescent="0.3">
      <c r="A333" t="s">
        <v>619</v>
      </c>
      <c r="C333" s="45" t="s">
        <v>828</v>
      </c>
      <c r="D333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1274</v>
      </c>
      <c r="L333" s="17">
        <f t="shared" si="20"/>
        <v>27</v>
      </c>
      <c r="M333" s="17">
        <f t="shared" si="21"/>
        <v>1</v>
      </c>
      <c r="N333" s="18">
        <f t="shared" si="22"/>
        <v>0.9642857142857143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 t="s">
        <v>1343</v>
      </c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.75" thickBot="1" x14ac:dyDescent="0.3">
      <c r="A334" t="s">
        <v>456</v>
      </c>
      <c r="C334" s="45" t="s">
        <v>830</v>
      </c>
      <c r="D334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1275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.75" thickBot="1" x14ac:dyDescent="0.3">
      <c r="A335" t="s">
        <v>619</v>
      </c>
      <c r="C335" s="45" t="s">
        <v>832</v>
      </c>
      <c r="D335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1272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.75" thickBot="1" x14ac:dyDescent="0.3">
      <c r="A336" t="s">
        <v>619</v>
      </c>
      <c r="C336" s="45" t="s">
        <v>834</v>
      </c>
      <c r="D336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1273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.75" thickBot="1" x14ac:dyDescent="0.3">
      <c r="A337" t="s">
        <v>619</v>
      </c>
      <c r="C337" s="45" t="s">
        <v>835</v>
      </c>
      <c r="D337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1276</v>
      </c>
      <c r="L337" s="17">
        <f t="shared" si="20"/>
        <v>28</v>
      </c>
      <c r="M337" s="17">
        <f t="shared" si="21"/>
        <v>0</v>
      </c>
      <c r="N337" s="18">
        <f t="shared" si="22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.75" thickBot="1" x14ac:dyDescent="0.3">
      <c r="A338" t="s">
        <v>619</v>
      </c>
      <c r="C338" s="45" t="s">
        <v>838</v>
      </c>
      <c r="D33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1277</v>
      </c>
      <c r="L338" s="17">
        <f t="shared" si="20"/>
        <v>28</v>
      </c>
      <c r="M338" s="17">
        <f t="shared" si="21"/>
        <v>0</v>
      </c>
      <c r="N338" s="18">
        <f t="shared" si="22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.75" thickBot="1" x14ac:dyDescent="0.3">
      <c r="A339" t="s">
        <v>619</v>
      </c>
      <c r="C339" s="45" t="s">
        <v>839</v>
      </c>
      <c r="D339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1279</v>
      </c>
      <c r="L339" s="17">
        <f t="shared" si="20"/>
        <v>27</v>
      </c>
      <c r="M339" s="17">
        <f t="shared" si="21"/>
        <v>1</v>
      </c>
      <c r="N339" s="18">
        <f t="shared" si="22"/>
        <v>0.9642857142857143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 t="s">
        <v>1343</v>
      </c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.75" thickBot="1" x14ac:dyDescent="0.3">
      <c r="A340" t="s">
        <v>730</v>
      </c>
      <c r="C340" s="45" t="s">
        <v>841</v>
      </c>
      <c r="D340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1280</v>
      </c>
      <c r="L340" s="17">
        <f t="shared" si="20"/>
        <v>28</v>
      </c>
      <c r="M340" s="17">
        <f t="shared" si="21"/>
        <v>0</v>
      </c>
      <c r="N340" s="18">
        <f t="shared" si="22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.75" thickBot="1" x14ac:dyDescent="0.3">
      <c r="A341" t="s">
        <v>730</v>
      </c>
      <c r="C341" s="45" t="s">
        <v>843</v>
      </c>
      <c r="D341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1281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.75" thickBot="1" x14ac:dyDescent="0.3">
      <c r="A342" t="s">
        <v>730</v>
      </c>
      <c r="C342" s="45" t="s">
        <v>846</v>
      </c>
      <c r="D342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1282</v>
      </c>
      <c r="L342" s="17">
        <f t="shared" si="20"/>
        <v>28</v>
      </c>
      <c r="M342" s="17">
        <f t="shared" si="21"/>
        <v>0</v>
      </c>
      <c r="N342" s="18">
        <f t="shared" si="22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.75" thickBot="1" x14ac:dyDescent="0.3">
      <c r="A343" t="s">
        <v>730</v>
      </c>
      <c r="C343" s="45" t="s">
        <v>848</v>
      </c>
      <c r="D343" t="s">
        <v>849</v>
      </c>
      <c r="E343" t="s">
        <v>24</v>
      </c>
      <c r="F343" t="s">
        <v>944</v>
      </c>
      <c r="G343" t="s">
        <v>65</v>
      </c>
      <c r="H343"/>
      <c r="I343" s="16">
        <v>-347937530000</v>
      </c>
      <c r="J343" s="16">
        <v>-582478490000</v>
      </c>
      <c r="K343" s="16" t="s">
        <v>1283</v>
      </c>
      <c r="L343" s="17">
        <f t="shared" si="20"/>
        <v>26</v>
      </c>
      <c r="M343" s="17">
        <f t="shared" si="21"/>
        <v>2</v>
      </c>
      <c r="N343" s="18">
        <f t="shared" si="22"/>
        <v>0.9285714285714286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 t="s">
        <v>1343</v>
      </c>
      <c r="AB343" s="27" t="s">
        <v>1343</v>
      </c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.75" thickBot="1" x14ac:dyDescent="0.3">
      <c r="A344" t="s">
        <v>724</v>
      </c>
      <c r="C344" s="45" t="s">
        <v>850</v>
      </c>
      <c r="D344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1284</v>
      </c>
      <c r="L344" s="17">
        <f t="shared" si="20"/>
        <v>28</v>
      </c>
      <c r="M344" s="17">
        <f t="shared" si="21"/>
        <v>0</v>
      </c>
      <c r="N344" s="18">
        <f t="shared" si="22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.75" thickBot="1" x14ac:dyDescent="0.3">
      <c r="A345" t="s">
        <v>853</v>
      </c>
      <c r="C345" s="45" t="s">
        <v>854</v>
      </c>
      <c r="D345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1285</v>
      </c>
      <c r="L345" s="17">
        <f t="shared" si="20"/>
        <v>28</v>
      </c>
      <c r="M345" s="17">
        <f t="shared" si="21"/>
        <v>0</v>
      </c>
      <c r="N345" s="18">
        <f t="shared" si="22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.75" thickBot="1" x14ac:dyDescent="0.3">
      <c r="A346" t="s">
        <v>853</v>
      </c>
      <c r="C346" s="45" t="s">
        <v>856</v>
      </c>
      <c r="D346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1286</v>
      </c>
      <c r="L346" s="17">
        <f t="shared" si="20"/>
        <v>28</v>
      </c>
      <c r="M346" s="17">
        <f t="shared" si="21"/>
        <v>0</v>
      </c>
      <c r="N346" s="18">
        <f t="shared" si="22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.75" thickBot="1" x14ac:dyDescent="0.3">
      <c r="A347" t="s">
        <v>853</v>
      </c>
      <c r="B347" s="59">
        <v>44629</v>
      </c>
      <c r="C347" s="61" t="s">
        <v>858</v>
      </c>
      <c r="D347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1287</v>
      </c>
      <c r="L347" s="17">
        <f t="shared" si="20"/>
        <v>28</v>
      </c>
      <c r="M347" s="17">
        <f t="shared" si="21"/>
        <v>0</v>
      </c>
      <c r="N347" s="18">
        <f t="shared" si="22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.75" thickBot="1" x14ac:dyDescent="0.3">
      <c r="A348" t="s">
        <v>853</v>
      </c>
      <c r="B348" s="59">
        <v>44629</v>
      </c>
      <c r="C348" s="61" t="s">
        <v>860</v>
      </c>
      <c r="D34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1288</v>
      </c>
      <c r="L348" s="17">
        <f t="shared" si="20"/>
        <v>28</v>
      </c>
      <c r="M348" s="17">
        <f t="shared" si="21"/>
        <v>0</v>
      </c>
      <c r="N348" s="18">
        <f t="shared" si="22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.75" thickBot="1" x14ac:dyDescent="0.3">
      <c r="A349" t="s">
        <v>861</v>
      </c>
      <c r="B349" s="59">
        <v>44629</v>
      </c>
      <c r="C349" s="61" t="s">
        <v>862</v>
      </c>
      <c r="D349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1289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.75" thickBot="1" x14ac:dyDescent="0.3">
      <c r="A350" t="s">
        <v>861</v>
      </c>
      <c r="C350" s="45" t="s">
        <v>865</v>
      </c>
      <c r="D350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1290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.75" thickBot="1" x14ac:dyDescent="0.3">
      <c r="A351" t="s">
        <v>861</v>
      </c>
      <c r="B351" s="59">
        <v>44629</v>
      </c>
      <c r="C351" s="61" t="s">
        <v>867</v>
      </c>
      <c r="D351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1291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.75" thickBot="1" x14ac:dyDescent="0.3">
      <c r="A352" t="s">
        <v>861</v>
      </c>
      <c r="C352" s="45" t="s">
        <v>870</v>
      </c>
      <c r="D352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1292</v>
      </c>
      <c r="L352" s="17">
        <f t="shared" si="20"/>
        <v>16</v>
      </c>
      <c r="M352" s="17">
        <f t="shared" si="21"/>
        <v>12</v>
      </c>
      <c r="N352" s="18">
        <f t="shared" si="22"/>
        <v>0.5714285714285714</v>
      </c>
      <c r="O352" s="27" t="s">
        <v>1343</v>
      </c>
      <c r="P352" s="8"/>
      <c r="Q352" s="8"/>
      <c r="R352" s="8" t="s">
        <v>1343</v>
      </c>
      <c r="S352" s="27" t="s">
        <v>1343</v>
      </c>
      <c r="T352" s="27" t="s">
        <v>1343</v>
      </c>
      <c r="U352" s="8" t="s">
        <v>1343</v>
      </c>
      <c r="V352" s="8" t="s">
        <v>1343</v>
      </c>
      <c r="W352" s="8" t="s">
        <v>1343</v>
      </c>
      <c r="X352" s="27" t="s">
        <v>1343</v>
      </c>
      <c r="Y352" s="27" t="s">
        <v>1343</v>
      </c>
      <c r="Z352" s="27" t="s">
        <v>1343</v>
      </c>
      <c r="AA352" s="27" t="s">
        <v>1343</v>
      </c>
      <c r="AB352" s="27" t="s">
        <v>1343</v>
      </c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</row>
    <row r="353" spans="1:44" ht="15.75" thickBot="1" x14ac:dyDescent="0.3">
      <c r="A353" t="s">
        <v>861</v>
      </c>
      <c r="C353" s="45" t="s">
        <v>872</v>
      </c>
      <c r="D353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1293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.75" thickBot="1" x14ac:dyDescent="0.3">
      <c r="A354" t="s">
        <v>271</v>
      </c>
      <c r="C354" s="45" t="s">
        <v>874</v>
      </c>
      <c r="D354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1294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.75" thickBot="1" x14ac:dyDescent="0.3">
      <c r="C355" s="45" t="s">
        <v>875</v>
      </c>
      <c r="D355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25</v>
      </c>
      <c r="M355" s="17">
        <f t="shared" si="21"/>
        <v>3</v>
      </c>
      <c r="N355" s="18">
        <f t="shared" si="22"/>
        <v>0.8928571428571429</v>
      </c>
      <c r="O355" s="27"/>
      <c r="P355" s="8"/>
      <c r="Q355" s="8"/>
      <c r="R355" s="8"/>
      <c r="S355" s="27"/>
      <c r="T355" s="27"/>
      <c r="U355" s="8"/>
      <c r="V355" s="8"/>
      <c r="W355" s="8" t="s">
        <v>1343</v>
      </c>
      <c r="X355" s="27" t="s">
        <v>1343</v>
      </c>
      <c r="Y355" s="27"/>
      <c r="Z355" s="27"/>
      <c r="AA355" s="27"/>
      <c r="AB355" s="27" t="s">
        <v>1343</v>
      </c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</row>
    <row r="356" spans="1:44" ht="15.75" thickBot="1" x14ac:dyDescent="0.3">
      <c r="A356" t="s">
        <v>271</v>
      </c>
      <c r="C356" s="45" t="s">
        <v>878</v>
      </c>
      <c r="D356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1295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.75" thickBot="1" x14ac:dyDescent="0.3">
      <c r="A357" t="s">
        <v>271</v>
      </c>
      <c r="C357" s="45" t="s">
        <v>880</v>
      </c>
      <c r="D357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1296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.75" thickBot="1" x14ac:dyDescent="0.3">
      <c r="A358" t="s">
        <v>271</v>
      </c>
      <c r="C358" s="45" t="s">
        <v>882</v>
      </c>
      <c r="D35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1297</v>
      </c>
      <c r="L358" s="17">
        <f t="shared" si="20"/>
        <v>25</v>
      </c>
      <c r="M358" s="17">
        <f t="shared" si="21"/>
        <v>3</v>
      </c>
      <c r="N358" s="18">
        <f t="shared" si="22"/>
        <v>0.8928571428571429</v>
      </c>
      <c r="O358" s="27" t="s">
        <v>1343</v>
      </c>
      <c r="P358" s="8"/>
      <c r="Q358" s="8"/>
      <c r="R358" s="8" t="s">
        <v>1343</v>
      </c>
      <c r="S358" s="27" t="s">
        <v>1343</v>
      </c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.75" thickBot="1" x14ac:dyDescent="0.3">
      <c r="A359" t="s">
        <v>884</v>
      </c>
      <c r="C359" s="45" t="s">
        <v>885</v>
      </c>
      <c r="D359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1298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.75" thickBot="1" x14ac:dyDescent="0.3">
      <c r="A360" t="s">
        <v>884</v>
      </c>
      <c r="C360" s="45" t="s">
        <v>888</v>
      </c>
      <c r="D360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1299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.75" thickBot="1" x14ac:dyDescent="0.3">
      <c r="A361" t="s">
        <v>884</v>
      </c>
      <c r="C361" s="45" t="s">
        <v>889</v>
      </c>
      <c r="D361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1300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.75" thickBot="1" x14ac:dyDescent="0.3">
      <c r="A362" t="s">
        <v>884</v>
      </c>
      <c r="C362" s="45" t="s">
        <v>891</v>
      </c>
      <c r="D362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1301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.75" thickBot="1" x14ac:dyDescent="0.3">
      <c r="A363" t="s">
        <v>892</v>
      </c>
      <c r="C363" s="45" t="s">
        <v>893</v>
      </c>
      <c r="D363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1302</v>
      </c>
      <c r="L363" s="17">
        <f t="shared" si="20"/>
        <v>28</v>
      </c>
      <c r="M363" s="17">
        <f t="shared" si="21"/>
        <v>0</v>
      </c>
      <c r="N363" s="18">
        <f t="shared" si="22"/>
        <v>1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</row>
    <row r="364" spans="1:44" ht="15.75" thickBot="1" x14ac:dyDescent="0.3">
      <c r="A364" t="s">
        <v>895</v>
      </c>
      <c r="C364" s="45" t="s">
        <v>896</v>
      </c>
      <c r="D364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1303</v>
      </c>
      <c r="L364" s="17">
        <f t="shared" si="20"/>
        <v>28</v>
      </c>
      <c r="M364" s="17">
        <f t="shared" si="21"/>
        <v>0</v>
      </c>
      <c r="N364" s="18">
        <f t="shared" si="22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.75" thickBot="1" x14ac:dyDescent="0.3">
      <c r="A365" t="s">
        <v>895</v>
      </c>
      <c r="C365" s="45" t="s">
        <v>898</v>
      </c>
      <c r="D365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1304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.75" thickBot="1" x14ac:dyDescent="0.3">
      <c r="A366" t="s">
        <v>895</v>
      </c>
      <c r="C366" s="45" t="s">
        <v>901</v>
      </c>
      <c r="D366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1305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.75" thickBot="1" x14ac:dyDescent="0.3">
      <c r="C367" s="45" t="s">
        <v>903</v>
      </c>
      <c r="D367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1309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.75" thickBot="1" x14ac:dyDescent="0.3">
      <c r="A368" t="s">
        <v>905</v>
      </c>
      <c r="C368" s="45" t="s">
        <v>906</v>
      </c>
      <c r="D3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1306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.75" thickBot="1" x14ac:dyDescent="0.3">
      <c r="A369" t="s">
        <v>480</v>
      </c>
      <c r="B369" s="59">
        <v>44629</v>
      </c>
      <c r="C369" s="61" t="s">
        <v>908</v>
      </c>
      <c r="D369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1307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.75" thickBot="1" x14ac:dyDescent="0.3">
      <c r="C370" s="45" t="s">
        <v>910</v>
      </c>
      <c r="D370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1308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.75" thickBot="1" x14ac:dyDescent="0.3">
      <c r="A371" t="s">
        <v>1316</v>
      </c>
      <c r="C371" s="45" t="s">
        <v>1312</v>
      </c>
      <c r="D371" t="s">
        <v>1314</v>
      </c>
      <c r="E371" s="45" t="s">
        <v>113</v>
      </c>
      <c r="F371" s="45" t="s">
        <v>36</v>
      </c>
      <c r="G371" s="9"/>
      <c r="H371" s="9" t="s">
        <v>1319</v>
      </c>
      <c r="I371" s="9"/>
      <c r="J371" s="9"/>
      <c r="K371" s="28" t="s">
        <v>1317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.75" thickBot="1" x14ac:dyDescent="0.3">
      <c r="A372" t="s">
        <v>1316</v>
      </c>
      <c r="C372" s="45" t="s">
        <v>1313</v>
      </c>
      <c r="D372" t="s">
        <v>1315</v>
      </c>
      <c r="E372" s="45" t="s">
        <v>113</v>
      </c>
      <c r="F372" s="45" t="s">
        <v>36</v>
      </c>
      <c r="G372" s="9" t="s">
        <v>1319</v>
      </c>
      <c r="H372" s="9"/>
      <c r="I372" s="9"/>
      <c r="J372" s="9"/>
      <c r="K372" s="28" t="s">
        <v>1318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ht="15.75" thickBot="1" x14ac:dyDescent="0.3">
      <c r="A373" s="67" t="s">
        <v>571</v>
      </c>
      <c r="C373" s="68" t="s">
        <v>1331</v>
      </c>
      <c r="D373" s="69" t="s">
        <v>1335</v>
      </c>
      <c r="E373" s="70" t="s">
        <v>19</v>
      </c>
      <c r="F373" s="71" t="s">
        <v>36</v>
      </c>
      <c r="G373" s="9"/>
      <c r="H373" s="9"/>
      <c r="I373" s="9"/>
      <c r="J373" s="9"/>
      <c r="K373" s="72" t="s">
        <v>1339</v>
      </c>
      <c r="L373" s="73">
        <f t="shared" ref="L373:L377" si="23">COUNTIF(O373:AP373,"")</f>
        <v>28</v>
      </c>
      <c r="M373" s="73">
        <f t="shared" ref="M373:M377" si="24">COUNTIF(O373:AP373,"APAGADO")</f>
        <v>0</v>
      </c>
      <c r="N373" s="74">
        <f t="shared" ref="N373:N377" si="25">(L373)/(M373+L373)</f>
        <v>1</v>
      </c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  <c r="AD373" s="75"/>
      <c r="AE373" s="75"/>
      <c r="AF373" s="75"/>
      <c r="AG373" s="75"/>
      <c r="AH373" s="75"/>
      <c r="AI373" s="75"/>
      <c r="AJ373" s="75"/>
      <c r="AK373" s="75"/>
      <c r="AL373" s="75"/>
      <c r="AM373" s="75"/>
      <c r="AN373" s="75"/>
      <c r="AO373" s="75"/>
      <c r="AP373" s="75"/>
      <c r="AQ373" s="75"/>
      <c r="AR373" s="75"/>
    </row>
    <row r="374" spans="1:44" ht="15.75" thickBot="1" x14ac:dyDescent="0.3">
      <c r="A374" s="67" t="s">
        <v>571</v>
      </c>
      <c r="C374" s="68" t="s">
        <v>1332</v>
      </c>
      <c r="D374" s="69" t="s">
        <v>1336</v>
      </c>
      <c r="E374" s="70" t="s">
        <v>19</v>
      </c>
      <c r="F374" s="71" t="s">
        <v>36</v>
      </c>
      <c r="G374" s="9"/>
      <c r="H374" s="9"/>
      <c r="I374" s="9"/>
      <c r="J374" s="9"/>
      <c r="K374" s="72" t="s">
        <v>1340</v>
      </c>
      <c r="L374" s="73">
        <f t="shared" si="23"/>
        <v>28</v>
      </c>
      <c r="M374" s="73">
        <f t="shared" si="24"/>
        <v>0</v>
      </c>
      <c r="N374" s="74">
        <f t="shared" si="25"/>
        <v>1</v>
      </c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  <c r="AD374" s="75"/>
      <c r="AE374" s="75"/>
      <c r="AF374" s="75"/>
      <c r="AG374" s="75"/>
      <c r="AH374" s="75"/>
      <c r="AI374" s="75"/>
      <c r="AJ374" s="75"/>
      <c r="AK374" s="75"/>
      <c r="AL374" s="75"/>
      <c r="AM374" s="75"/>
      <c r="AN374" s="75"/>
      <c r="AO374" s="75"/>
      <c r="AP374" s="75"/>
      <c r="AQ374" s="75"/>
      <c r="AR374" s="75"/>
    </row>
    <row r="375" spans="1:44" ht="15.75" thickBot="1" x14ac:dyDescent="0.3">
      <c r="A375" s="67" t="s">
        <v>571</v>
      </c>
      <c r="C375" s="68" t="s">
        <v>1333</v>
      </c>
      <c r="D375" s="69" t="s">
        <v>1337</v>
      </c>
      <c r="E375" s="70" t="s">
        <v>19</v>
      </c>
      <c r="F375" s="71" t="s">
        <v>36</v>
      </c>
      <c r="G375" s="9"/>
      <c r="H375" s="9"/>
      <c r="I375" s="9"/>
      <c r="J375" s="9"/>
      <c r="K375" s="72" t="s">
        <v>1341</v>
      </c>
      <c r="L375" s="73">
        <f t="shared" si="23"/>
        <v>28</v>
      </c>
      <c r="M375" s="73">
        <f t="shared" si="24"/>
        <v>0</v>
      </c>
      <c r="N375" s="74">
        <f t="shared" si="25"/>
        <v>1</v>
      </c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  <c r="AH375" s="75"/>
      <c r="AI375" s="75"/>
      <c r="AJ375" s="75"/>
      <c r="AK375" s="75"/>
      <c r="AL375" s="75"/>
      <c r="AM375" s="75"/>
      <c r="AN375" s="75"/>
      <c r="AO375" s="75"/>
      <c r="AP375" s="75"/>
      <c r="AQ375" s="75"/>
      <c r="AR375" s="75"/>
    </row>
    <row r="376" spans="1:44" ht="15.75" thickBot="1" x14ac:dyDescent="0.3">
      <c r="A376" s="67" t="s">
        <v>571</v>
      </c>
      <c r="C376" s="68" t="s">
        <v>1334</v>
      </c>
      <c r="D376" s="69" t="s">
        <v>1338</v>
      </c>
      <c r="E376" s="70" t="s">
        <v>19</v>
      </c>
      <c r="F376" s="71" t="s">
        <v>36</v>
      </c>
      <c r="G376" s="9"/>
      <c r="H376" s="9"/>
      <c r="I376" s="9"/>
      <c r="J376" s="9"/>
      <c r="K376" s="72" t="s">
        <v>1342</v>
      </c>
      <c r="L376" s="73">
        <f t="shared" si="23"/>
        <v>28</v>
      </c>
      <c r="M376" s="73">
        <f t="shared" si="24"/>
        <v>0</v>
      </c>
      <c r="N376" s="74">
        <f t="shared" si="25"/>
        <v>1</v>
      </c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  <c r="AK376" s="75"/>
      <c r="AL376" s="75"/>
      <c r="AM376" s="75"/>
      <c r="AN376" s="75"/>
      <c r="AO376" s="75"/>
      <c r="AP376" s="75"/>
      <c r="AQ376" s="75"/>
      <c r="AR376" s="75"/>
    </row>
    <row r="377" spans="1:44" s="70" customFormat="1" ht="15.75" thickBot="1" x14ac:dyDescent="0.3">
      <c r="A377" s="70" t="s">
        <v>80</v>
      </c>
      <c r="C377" s="71" t="s">
        <v>1349</v>
      </c>
      <c r="D377" s="70" t="s">
        <v>1347</v>
      </c>
      <c r="E377" s="70" t="s">
        <v>19</v>
      </c>
      <c r="F377" s="71" t="s">
        <v>36</v>
      </c>
      <c r="G377" s="72"/>
      <c r="H377" s="72"/>
      <c r="I377" s="72"/>
      <c r="J377" s="72"/>
      <c r="K377" s="72" t="s">
        <v>1348</v>
      </c>
      <c r="L377" s="73">
        <f t="shared" si="23"/>
        <v>28</v>
      </c>
      <c r="M377" s="73">
        <f t="shared" si="24"/>
        <v>0</v>
      </c>
      <c r="N377" s="74">
        <f t="shared" si="25"/>
        <v>1</v>
      </c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  <c r="AC377" s="75"/>
      <c r="AD377" s="75"/>
      <c r="AE377" s="75"/>
      <c r="AF377" s="75"/>
      <c r="AG377" s="75"/>
      <c r="AH377" s="75"/>
      <c r="AI377" s="75"/>
      <c r="AJ377" s="75"/>
      <c r="AK377" s="75"/>
      <c r="AL377" s="75"/>
      <c r="AM377" s="75"/>
      <c r="AN377" s="75"/>
      <c r="AO377" s="75"/>
      <c r="AP377" s="75"/>
      <c r="AQ377" s="75"/>
      <c r="AR377" s="75"/>
    </row>
    <row r="378" spans="1:44" x14ac:dyDescent="0.25"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</row>
    <row r="379" spans="1:44" x14ac:dyDescent="0.25"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</row>
    <row r="380" spans="1:44" x14ac:dyDescent="0.25"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25"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25"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25"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25"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5:44" x14ac:dyDescent="0.25"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5:44" x14ac:dyDescent="0.25"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5:44" x14ac:dyDescent="0.25"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5:44" x14ac:dyDescent="0.25"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5:44" x14ac:dyDescent="0.25"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5:44" x14ac:dyDescent="0.25"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5:44" x14ac:dyDescent="0.25"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5:44" x14ac:dyDescent="0.25"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5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5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5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5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5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5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5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5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Y96:AJ372 AK95:AP369 AR95:AR369 N245:X246 N247:N377">
    <cfRule type="cellIs" dxfId="517" priority="1893" operator="lessThan">
      <formula>0.8</formula>
    </cfRule>
    <cfRule type="cellIs" dxfId="516" priority="1894" operator="greaterThan">
      <formula>0.8</formula>
    </cfRule>
  </conditionalFormatting>
  <conditionalFormatting sqref="E1:K3 E284:K334 E236:K236 E5:K32 E36:K91 E94:K230 E337:K364 E369:K372 E243:K281 E391:K1048576">
    <cfRule type="containsText" dxfId="515" priority="1892" operator="containsText" text="Radio">
      <formula>NOT(ISERROR(SEARCH("Radio",E1)))</formula>
    </cfRule>
  </conditionalFormatting>
  <conditionalFormatting sqref="P236:U244 P247:U281 O95:O244 O247:O372 V96:X244 V247:X372 O245:X246 Y96:AJ372 AK95:AP372 V391:AP1048576 AR391:AR1048576 AR95:AR372">
    <cfRule type="notContainsText" dxfId="514" priority="1888" operator="notContains" text="Caida">
      <formula>ISERROR(SEARCH("Caida",O95))</formula>
    </cfRule>
    <cfRule type="containsText" dxfId="513" priority="1889" operator="containsText" text="Caida">
      <formula>NOT(ISERROR(SEARCH("Caida",O95)))</formula>
    </cfRule>
  </conditionalFormatting>
  <conditionalFormatting sqref="E282:K282">
    <cfRule type="containsText" dxfId="512" priority="1861" operator="containsText" text="Radio">
      <formula>NOT(ISERROR(SEARCH("Radio",E282)))</formula>
    </cfRule>
  </conditionalFormatting>
  <conditionalFormatting sqref="E283:K283">
    <cfRule type="containsText" dxfId="511" priority="1836" operator="containsText" text="Radio">
      <formula>NOT(ISERROR(SEARCH("Radio",E283)))</formula>
    </cfRule>
  </conditionalFormatting>
  <conditionalFormatting sqref="E4:K4">
    <cfRule type="containsText" dxfId="510" priority="1811" operator="containsText" text="Radio">
      <formula>NOT(ISERROR(SEARCH("Radio",E4)))</formula>
    </cfRule>
  </conditionalFormatting>
  <conditionalFormatting sqref="E231:K231">
    <cfRule type="containsText" dxfId="509" priority="1810" operator="containsText" text="Radio">
      <formula>NOT(ISERROR(SEARCH("Radio",E231)))</formula>
    </cfRule>
  </conditionalFormatting>
  <conditionalFormatting sqref="E232:K232">
    <cfRule type="containsText" dxfId="508" priority="1785" operator="containsText" text="Radio">
      <formula>NOT(ISERROR(SEARCH("Radio",E232)))</formula>
    </cfRule>
  </conditionalFormatting>
  <conditionalFormatting sqref="E233:K233">
    <cfRule type="containsText" dxfId="507" priority="1760" operator="containsText" text="Radio">
      <formula>NOT(ISERROR(SEARCH("Radio",E233)))</formula>
    </cfRule>
  </conditionalFormatting>
  <conditionalFormatting sqref="E234:K234">
    <cfRule type="containsText" dxfId="506" priority="1735" operator="containsText" text="Radio">
      <formula>NOT(ISERROR(SEARCH("Radio",E234)))</formula>
    </cfRule>
  </conditionalFormatting>
  <conditionalFormatting sqref="E235:K235">
    <cfRule type="containsText" dxfId="505" priority="1710" operator="containsText" text="Radio">
      <formula>NOT(ISERROR(SEARCH("Radio",E235)))</formula>
    </cfRule>
  </conditionalFormatting>
  <conditionalFormatting sqref="E335:K335">
    <cfRule type="containsText" dxfId="504" priority="1661" operator="containsText" text="Radio">
      <formula>NOT(ISERROR(SEARCH("Radio",E335)))</formula>
    </cfRule>
  </conditionalFormatting>
  <conditionalFormatting sqref="E336:K336">
    <cfRule type="containsText" dxfId="503" priority="1636" operator="containsText" text="Radio">
      <formula>NOT(ISERROR(SEARCH("Radio",E336)))</formula>
    </cfRule>
  </conditionalFormatting>
  <conditionalFormatting sqref="E237:K237">
    <cfRule type="containsText" dxfId="502" priority="1611" operator="containsText" text="Radio">
      <formula>NOT(ISERROR(SEARCH("Radio",E237)))</formula>
    </cfRule>
  </conditionalFormatting>
  <conditionalFormatting sqref="E238:K238">
    <cfRule type="containsText" dxfId="501" priority="1586" operator="containsText" text="Radio">
      <formula>NOT(ISERROR(SEARCH("Radio",E238)))</formula>
    </cfRule>
  </conditionalFormatting>
  <conditionalFormatting sqref="E33:K35">
    <cfRule type="containsText" dxfId="500" priority="1561" operator="containsText" text="Radio">
      <formula>NOT(ISERROR(SEARCH("Radio",E33)))</formula>
    </cfRule>
  </conditionalFormatting>
  <conditionalFormatting sqref="E239:K239">
    <cfRule type="containsText" dxfId="499" priority="1536" operator="containsText" text="Radio">
      <formula>NOT(ISERROR(SEARCH("Radio",E239)))</formula>
    </cfRule>
  </conditionalFormatting>
  <conditionalFormatting sqref="E240:K240">
    <cfRule type="containsText" dxfId="498" priority="1511" operator="containsText" text="Radio">
      <formula>NOT(ISERROR(SEARCH("Radio",E240)))</formula>
    </cfRule>
  </conditionalFormatting>
  <conditionalFormatting sqref="E241:K241">
    <cfRule type="containsText" dxfId="497" priority="1486" operator="containsText" text="Radio">
      <formula>NOT(ISERROR(SEARCH("Radio",E241)))</formula>
    </cfRule>
  </conditionalFormatting>
  <conditionalFormatting sqref="E242:K242">
    <cfRule type="containsText" dxfId="496" priority="1461" operator="containsText" text="Radio">
      <formula>NOT(ISERROR(SEARCH("Radio",E242)))</formula>
    </cfRule>
  </conditionalFormatting>
  <conditionalFormatting sqref="P6:P92 P96:P230">
    <cfRule type="cellIs" dxfId="495" priority="1386" operator="lessThan">
      <formula>0.8</formula>
    </cfRule>
    <cfRule type="cellIs" dxfId="494" priority="1387" operator="greaterThan">
      <formula>0.8</formula>
    </cfRule>
  </conditionalFormatting>
  <conditionalFormatting sqref="P6:P92 P96:P230">
    <cfRule type="notContainsText" dxfId="493" priority="1384" operator="notContains" text="Caida">
      <formula>ISERROR(SEARCH("Caida",P6))</formula>
    </cfRule>
    <cfRule type="containsText" dxfId="492" priority="1385" operator="containsText" text="Caida">
      <formula>NOT(ISERROR(SEARCH("Caida",P6)))</formula>
    </cfRule>
  </conditionalFormatting>
  <conditionalFormatting sqref="P337:P366 P284:P334">
    <cfRule type="cellIs" dxfId="491" priority="1382" operator="lessThan">
      <formula>0.8</formula>
    </cfRule>
    <cfRule type="cellIs" dxfId="490" priority="1383" operator="greaterThan">
      <formula>0.8</formula>
    </cfRule>
  </conditionalFormatting>
  <conditionalFormatting sqref="P337:P366 P284:P334 P391:P1048576">
    <cfRule type="notContainsText" dxfId="489" priority="1380" operator="notContains" text="Caida">
      <formula>ISERROR(SEARCH("Caida",P284))</formula>
    </cfRule>
    <cfRule type="containsText" dxfId="488" priority="1381" operator="containsText" text="Caida">
      <formula>NOT(ISERROR(SEARCH("Caida",P284)))</formula>
    </cfRule>
  </conditionalFormatting>
  <conditionalFormatting sqref="O391:O1048576">
    <cfRule type="notContainsText" dxfId="487" priority="1429" operator="notContains" text="Caida">
      <formula>ISERROR(SEARCH("Caida",O391))</formula>
    </cfRule>
    <cfRule type="containsText" dxfId="486" priority="1430" operator="containsText" text="Caida">
      <formula>NOT(ISERROR(SEARCH("Caida",O391)))</formula>
    </cfRule>
  </conditionalFormatting>
  <conditionalFormatting sqref="P336">
    <cfRule type="cellIs" dxfId="485" priority="1341" operator="lessThan">
      <formula>0.8</formula>
    </cfRule>
    <cfRule type="cellIs" dxfId="484" priority="1342" operator="greaterThan">
      <formula>0.8</formula>
    </cfRule>
  </conditionalFormatting>
  <conditionalFormatting sqref="P336">
    <cfRule type="notContainsText" dxfId="483" priority="1339" operator="notContains" text="Caida">
      <formula>ISERROR(SEARCH("Caida",P336))</formula>
    </cfRule>
    <cfRule type="containsText" dxfId="482" priority="1340" operator="containsText" text="Caida">
      <formula>NOT(ISERROR(SEARCH("Caida",P336)))</formula>
    </cfRule>
  </conditionalFormatting>
  <conditionalFormatting sqref="P22">
    <cfRule type="containsText" dxfId="481" priority="1379" operator="containsText" text="Instaladas en Funcionamiento Caida">
      <formula>NOT(ISERROR(SEARCH("Instaladas en Funcionamiento Caida",P22)))</formula>
    </cfRule>
  </conditionalFormatting>
  <conditionalFormatting sqref="P282">
    <cfRule type="cellIs" dxfId="480" priority="1377" operator="lessThan">
      <formula>0.8</formula>
    </cfRule>
    <cfRule type="cellIs" dxfId="479" priority="1378" operator="greaterThan">
      <formula>0.8</formula>
    </cfRule>
  </conditionalFormatting>
  <conditionalFormatting sqref="P282">
    <cfRule type="notContainsText" dxfId="478" priority="1375" operator="notContains" text="Caida">
      <formula>ISERROR(SEARCH("Caida",P282))</formula>
    </cfRule>
    <cfRule type="containsText" dxfId="477" priority="1376" operator="containsText" text="Caida">
      <formula>NOT(ISERROR(SEARCH("Caida",P282)))</formula>
    </cfRule>
  </conditionalFormatting>
  <conditionalFormatting sqref="P283">
    <cfRule type="cellIs" dxfId="476" priority="1373" operator="lessThan">
      <formula>0.8</formula>
    </cfRule>
    <cfRule type="cellIs" dxfId="475" priority="1374" operator="greaterThan">
      <formula>0.8</formula>
    </cfRule>
  </conditionalFormatting>
  <conditionalFormatting sqref="P283">
    <cfRule type="notContainsText" dxfId="474" priority="1371" operator="notContains" text="Caida">
      <formula>ISERROR(SEARCH("Caida",P283))</formula>
    </cfRule>
    <cfRule type="containsText" dxfId="473" priority="1372" operator="containsText" text="Caida">
      <formula>NOT(ISERROR(SEARCH("Caida",P283)))</formula>
    </cfRule>
  </conditionalFormatting>
  <conditionalFormatting sqref="P5">
    <cfRule type="cellIs" dxfId="472" priority="1369" operator="lessThan">
      <formula>0.8</formula>
    </cfRule>
    <cfRule type="cellIs" dxfId="471" priority="1370" operator="greaterThan">
      <formula>0.8</formula>
    </cfRule>
  </conditionalFormatting>
  <conditionalFormatting sqref="P5">
    <cfRule type="notContainsText" dxfId="470" priority="1367" operator="notContains" text="Caida">
      <formula>ISERROR(SEARCH("Caida",P5))</formula>
    </cfRule>
    <cfRule type="containsText" dxfId="469" priority="1368" operator="containsText" text="Caida">
      <formula>NOT(ISERROR(SEARCH("Caida",P5)))</formula>
    </cfRule>
  </conditionalFormatting>
  <conditionalFormatting sqref="P231">
    <cfRule type="cellIs" dxfId="468" priority="1365" operator="lessThan">
      <formula>0.8</formula>
    </cfRule>
    <cfRule type="cellIs" dxfId="467" priority="1366" operator="greaterThan">
      <formula>0.8</formula>
    </cfRule>
  </conditionalFormatting>
  <conditionalFormatting sqref="P231">
    <cfRule type="notContainsText" dxfId="466" priority="1363" operator="notContains" text="Caida">
      <formula>ISERROR(SEARCH("Caida",P231))</formula>
    </cfRule>
    <cfRule type="containsText" dxfId="465" priority="1364" operator="containsText" text="Caida">
      <formula>NOT(ISERROR(SEARCH("Caida",P231)))</formula>
    </cfRule>
  </conditionalFormatting>
  <conditionalFormatting sqref="P232">
    <cfRule type="cellIs" dxfId="464" priority="1361" operator="lessThan">
      <formula>0.8</formula>
    </cfRule>
    <cfRule type="cellIs" dxfId="463" priority="1362" operator="greaterThan">
      <formula>0.8</formula>
    </cfRule>
  </conditionalFormatting>
  <conditionalFormatting sqref="P232">
    <cfRule type="notContainsText" dxfId="462" priority="1359" operator="notContains" text="Caida">
      <formula>ISERROR(SEARCH("Caida",P232))</formula>
    </cfRule>
    <cfRule type="containsText" dxfId="461" priority="1360" operator="containsText" text="Caida">
      <formula>NOT(ISERROR(SEARCH("Caida",P232)))</formula>
    </cfRule>
  </conditionalFormatting>
  <conditionalFormatting sqref="P233">
    <cfRule type="cellIs" dxfId="460" priority="1357" operator="lessThan">
      <formula>0.8</formula>
    </cfRule>
    <cfRule type="cellIs" dxfId="459" priority="1358" operator="greaterThan">
      <formula>0.8</formula>
    </cfRule>
  </conditionalFormatting>
  <conditionalFormatting sqref="P233">
    <cfRule type="notContainsText" dxfId="458" priority="1355" operator="notContains" text="Caida">
      <formula>ISERROR(SEARCH("Caida",P233))</formula>
    </cfRule>
    <cfRule type="containsText" dxfId="457" priority="1356" operator="containsText" text="Caida">
      <formula>NOT(ISERROR(SEARCH("Caida",P233)))</formula>
    </cfRule>
  </conditionalFormatting>
  <conditionalFormatting sqref="P234">
    <cfRule type="cellIs" dxfId="456" priority="1353" operator="lessThan">
      <formula>0.8</formula>
    </cfRule>
    <cfRule type="cellIs" dxfId="455" priority="1354" operator="greaterThan">
      <formula>0.8</formula>
    </cfRule>
  </conditionalFormatting>
  <conditionalFormatting sqref="P234">
    <cfRule type="notContainsText" dxfId="454" priority="1351" operator="notContains" text="Caida">
      <formula>ISERROR(SEARCH("Caida",P234))</formula>
    </cfRule>
    <cfRule type="containsText" dxfId="453" priority="1352" operator="containsText" text="Caida">
      <formula>NOT(ISERROR(SEARCH("Caida",P234)))</formula>
    </cfRule>
  </conditionalFormatting>
  <conditionalFormatting sqref="P235">
    <cfRule type="cellIs" dxfId="452" priority="1349" operator="lessThan">
      <formula>0.8</formula>
    </cfRule>
    <cfRule type="cellIs" dxfId="451" priority="1350" operator="greaterThan">
      <formula>0.8</formula>
    </cfRule>
  </conditionalFormatting>
  <conditionalFormatting sqref="P235">
    <cfRule type="notContainsText" dxfId="450" priority="1347" operator="notContains" text="Caida">
      <formula>ISERROR(SEARCH("Caida",P235))</formula>
    </cfRule>
    <cfRule type="containsText" dxfId="449" priority="1348" operator="containsText" text="Caida">
      <formula>NOT(ISERROR(SEARCH("Caida",P235)))</formula>
    </cfRule>
  </conditionalFormatting>
  <conditionalFormatting sqref="P335">
    <cfRule type="cellIs" dxfId="448" priority="1345" operator="lessThan">
      <formula>0.8</formula>
    </cfRule>
    <cfRule type="cellIs" dxfId="447" priority="1346" operator="greaterThan">
      <formula>0.8</formula>
    </cfRule>
  </conditionalFormatting>
  <conditionalFormatting sqref="P335">
    <cfRule type="notContainsText" dxfId="446" priority="1343" operator="notContains" text="Caida">
      <formula>ISERROR(SEARCH("Caida",P335))</formula>
    </cfRule>
    <cfRule type="containsText" dxfId="445" priority="1344" operator="containsText" text="Caida">
      <formula>NOT(ISERROR(SEARCH("Caida",P335)))</formula>
    </cfRule>
  </conditionalFormatting>
  <conditionalFormatting sqref="Q6:Q92 Q96:Q230">
    <cfRule type="cellIs" dxfId="444" priority="1337" operator="lessThan">
      <formula>0.8</formula>
    </cfRule>
    <cfRule type="cellIs" dxfId="443" priority="1338" operator="greaterThan">
      <formula>0.8</formula>
    </cfRule>
  </conditionalFormatting>
  <conditionalFormatting sqref="Q6:Q92 Q96:Q230">
    <cfRule type="notContainsText" dxfId="442" priority="1335" operator="notContains" text="Caida">
      <formula>ISERROR(SEARCH("Caida",Q6))</formula>
    </cfRule>
    <cfRule type="containsText" dxfId="441" priority="1336" operator="containsText" text="Caida">
      <formula>NOT(ISERROR(SEARCH("Caida",Q6)))</formula>
    </cfRule>
  </conditionalFormatting>
  <conditionalFormatting sqref="Q336">
    <cfRule type="cellIs" dxfId="440" priority="1292" operator="lessThan">
      <formula>0.8</formula>
    </cfRule>
    <cfRule type="cellIs" dxfId="439" priority="1293" operator="greaterThan">
      <formula>0.8</formula>
    </cfRule>
  </conditionalFormatting>
  <conditionalFormatting sqref="Q336">
    <cfRule type="notContainsText" dxfId="438" priority="1290" operator="notContains" text="Caida">
      <formula>ISERROR(SEARCH("Caida",Q336))</formula>
    </cfRule>
    <cfRule type="containsText" dxfId="437" priority="1291" operator="containsText" text="Caida">
      <formula>NOT(ISERROR(SEARCH("Caida",Q336)))</formula>
    </cfRule>
  </conditionalFormatting>
  <conditionalFormatting sqref="Q337:Q366 Q284:Q334">
    <cfRule type="cellIs" dxfId="436" priority="1333" operator="lessThan">
      <formula>0.8</formula>
    </cfRule>
    <cfRule type="cellIs" dxfId="435" priority="1334" operator="greaterThan">
      <formula>0.8</formula>
    </cfRule>
  </conditionalFormatting>
  <conditionalFormatting sqref="Q337:Q366 Q284:Q334 Q391:Q1048576">
    <cfRule type="notContainsText" dxfId="434" priority="1331" operator="notContains" text="Caida">
      <formula>ISERROR(SEARCH("Caida",Q284))</formula>
    </cfRule>
    <cfRule type="containsText" dxfId="433" priority="1332" operator="containsText" text="Caida">
      <formula>NOT(ISERROR(SEARCH("Caida",Q284)))</formula>
    </cfRule>
  </conditionalFormatting>
  <conditionalFormatting sqref="Q22">
    <cfRule type="containsText" dxfId="432" priority="1330" operator="containsText" text="Instaladas en Funcionamiento Caida">
      <formula>NOT(ISERROR(SEARCH("Instaladas en Funcionamiento Caida",Q22)))</formula>
    </cfRule>
  </conditionalFormatting>
  <conditionalFormatting sqref="Q282">
    <cfRule type="cellIs" dxfId="431" priority="1328" operator="lessThan">
      <formula>0.8</formula>
    </cfRule>
    <cfRule type="cellIs" dxfId="430" priority="1329" operator="greaterThan">
      <formula>0.8</formula>
    </cfRule>
  </conditionalFormatting>
  <conditionalFormatting sqref="Q282">
    <cfRule type="notContainsText" dxfId="429" priority="1326" operator="notContains" text="Caida">
      <formula>ISERROR(SEARCH("Caida",Q282))</formula>
    </cfRule>
    <cfRule type="containsText" dxfId="428" priority="1327" operator="containsText" text="Caida">
      <formula>NOT(ISERROR(SEARCH("Caida",Q282)))</formula>
    </cfRule>
  </conditionalFormatting>
  <conditionalFormatting sqref="Q283">
    <cfRule type="cellIs" dxfId="427" priority="1324" operator="lessThan">
      <formula>0.8</formula>
    </cfRule>
    <cfRule type="cellIs" dxfId="426" priority="1325" operator="greaterThan">
      <formula>0.8</formula>
    </cfRule>
  </conditionalFormatting>
  <conditionalFormatting sqref="Q283">
    <cfRule type="notContainsText" dxfId="425" priority="1322" operator="notContains" text="Caida">
      <formula>ISERROR(SEARCH("Caida",Q283))</formula>
    </cfRule>
    <cfRule type="containsText" dxfId="424" priority="1323" operator="containsText" text="Caida">
      <formula>NOT(ISERROR(SEARCH("Caida",Q283)))</formula>
    </cfRule>
  </conditionalFormatting>
  <conditionalFormatting sqref="Q5">
    <cfRule type="cellIs" dxfId="423" priority="1320" operator="lessThan">
      <formula>0.8</formula>
    </cfRule>
    <cfRule type="cellIs" dxfId="422" priority="1321" operator="greaterThan">
      <formula>0.8</formula>
    </cfRule>
  </conditionalFormatting>
  <conditionalFormatting sqref="Q5">
    <cfRule type="notContainsText" dxfId="421" priority="1318" operator="notContains" text="Caida">
      <formula>ISERROR(SEARCH("Caida",Q5))</formula>
    </cfRule>
    <cfRule type="containsText" dxfId="420" priority="1319" operator="containsText" text="Caida">
      <formula>NOT(ISERROR(SEARCH("Caida",Q5)))</formula>
    </cfRule>
  </conditionalFormatting>
  <conditionalFormatting sqref="Q231">
    <cfRule type="cellIs" dxfId="419" priority="1316" operator="lessThan">
      <formula>0.8</formula>
    </cfRule>
    <cfRule type="cellIs" dxfId="418" priority="1317" operator="greaterThan">
      <formula>0.8</formula>
    </cfRule>
  </conditionalFormatting>
  <conditionalFormatting sqref="Q231">
    <cfRule type="notContainsText" dxfId="417" priority="1314" operator="notContains" text="Caida">
      <formula>ISERROR(SEARCH("Caida",Q231))</formula>
    </cfRule>
    <cfRule type="containsText" dxfId="416" priority="1315" operator="containsText" text="Caida">
      <formula>NOT(ISERROR(SEARCH("Caida",Q231)))</formula>
    </cfRule>
  </conditionalFormatting>
  <conditionalFormatting sqref="Q232">
    <cfRule type="cellIs" dxfId="415" priority="1312" operator="lessThan">
      <formula>0.8</formula>
    </cfRule>
    <cfRule type="cellIs" dxfId="414" priority="1313" operator="greaterThan">
      <formula>0.8</formula>
    </cfRule>
  </conditionalFormatting>
  <conditionalFormatting sqref="Q232">
    <cfRule type="notContainsText" dxfId="413" priority="1310" operator="notContains" text="Caida">
      <formula>ISERROR(SEARCH("Caida",Q232))</formula>
    </cfRule>
    <cfRule type="containsText" dxfId="412" priority="1311" operator="containsText" text="Caida">
      <formula>NOT(ISERROR(SEARCH("Caida",Q232)))</formula>
    </cfRule>
  </conditionalFormatting>
  <conditionalFormatting sqref="Q233">
    <cfRule type="cellIs" dxfId="411" priority="1308" operator="lessThan">
      <formula>0.8</formula>
    </cfRule>
    <cfRule type="cellIs" dxfId="410" priority="1309" operator="greaterThan">
      <formula>0.8</formula>
    </cfRule>
  </conditionalFormatting>
  <conditionalFormatting sqref="Q233">
    <cfRule type="notContainsText" dxfId="409" priority="1306" operator="notContains" text="Caida">
      <formula>ISERROR(SEARCH("Caida",Q233))</formula>
    </cfRule>
    <cfRule type="containsText" dxfId="408" priority="1307" operator="containsText" text="Caida">
      <formula>NOT(ISERROR(SEARCH("Caida",Q233)))</formula>
    </cfRule>
  </conditionalFormatting>
  <conditionalFormatting sqref="Q234">
    <cfRule type="cellIs" dxfId="407" priority="1304" operator="lessThan">
      <formula>0.8</formula>
    </cfRule>
    <cfRule type="cellIs" dxfId="406" priority="1305" operator="greaterThan">
      <formula>0.8</formula>
    </cfRule>
  </conditionalFormatting>
  <conditionalFormatting sqref="Q234">
    <cfRule type="notContainsText" dxfId="405" priority="1302" operator="notContains" text="Caida">
      <formula>ISERROR(SEARCH("Caida",Q234))</formula>
    </cfRule>
    <cfRule type="containsText" dxfId="404" priority="1303" operator="containsText" text="Caida">
      <formula>NOT(ISERROR(SEARCH("Caida",Q234)))</formula>
    </cfRule>
  </conditionalFormatting>
  <conditionalFormatting sqref="Q235">
    <cfRule type="cellIs" dxfId="403" priority="1300" operator="lessThan">
      <formula>0.8</formula>
    </cfRule>
    <cfRule type="cellIs" dxfId="402" priority="1301" operator="greaterThan">
      <formula>0.8</formula>
    </cfRule>
  </conditionalFormatting>
  <conditionalFormatting sqref="Q235">
    <cfRule type="notContainsText" dxfId="401" priority="1298" operator="notContains" text="Caida">
      <formula>ISERROR(SEARCH("Caida",Q235))</formula>
    </cfRule>
    <cfRule type="containsText" dxfId="400" priority="1299" operator="containsText" text="Caida">
      <formula>NOT(ISERROR(SEARCH("Caida",Q235)))</formula>
    </cfRule>
  </conditionalFormatting>
  <conditionalFormatting sqref="Q335">
    <cfRule type="cellIs" dxfId="399" priority="1296" operator="lessThan">
      <formula>0.8</formula>
    </cfRule>
    <cfRule type="cellIs" dxfId="398" priority="1297" operator="greaterThan">
      <formula>0.8</formula>
    </cfRule>
  </conditionalFormatting>
  <conditionalFormatting sqref="Q335">
    <cfRule type="notContainsText" dxfId="397" priority="1294" operator="notContains" text="Caida">
      <formula>ISERROR(SEARCH("Caida",Q335))</formula>
    </cfRule>
    <cfRule type="containsText" dxfId="396" priority="1295" operator="containsText" text="Caida">
      <formula>NOT(ISERROR(SEARCH("Caida",Q335)))</formula>
    </cfRule>
  </conditionalFormatting>
  <conditionalFormatting sqref="R6:R92 R96:R230">
    <cfRule type="cellIs" dxfId="395" priority="1288" operator="lessThan">
      <formula>0.8</formula>
    </cfRule>
    <cfRule type="cellIs" dxfId="394" priority="1289" operator="greaterThan">
      <formula>0.8</formula>
    </cfRule>
  </conditionalFormatting>
  <conditionalFormatting sqref="R6:R92 R96:R230">
    <cfRule type="notContainsText" dxfId="393" priority="1286" operator="notContains" text="Caida">
      <formula>ISERROR(SEARCH("Caida",R6))</formula>
    </cfRule>
    <cfRule type="containsText" dxfId="392" priority="1287" operator="containsText" text="Caida">
      <formula>NOT(ISERROR(SEARCH("Caida",R6)))</formula>
    </cfRule>
  </conditionalFormatting>
  <conditionalFormatting sqref="R336:T336">
    <cfRule type="cellIs" dxfId="391" priority="1243" operator="lessThan">
      <formula>0.8</formula>
    </cfRule>
    <cfRule type="cellIs" dxfId="390" priority="1244" operator="greaterThan">
      <formula>0.8</formula>
    </cfRule>
  </conditionalFormatting>
  <conditionalFormatting sqref="R336:T336">
    <cfRule type="notContainsText" dxfId="389" priority="1241" operator="notContains" text="Caida">
      <formula>ISERROR(SEARCH("Caida",R336))</formula>
    </cfRule>
    <cfRule type="containsText" dxfId="388" priority="1242" operator="containsText" text="Caida">
      <formula>NOT(ISERROR(SEARCH("Caida",R336)))</formula>
    </cfRule>
  </conditionalFormatting>
  <conditionalFormatting sqref="R337:R366 R284:R334">
    <cfRule type="cellIs" dxfId="387" priority="1284" operator="lessThan">
      <formula>0.8</formula>
    </cfRule>
    <cfRule type="cellIs" dxfId="386" priority="1285" operator="greaterThan">
      <formula>0.8</formula>
    </cfRule>
  </conditionalFormatting>
  <conditionalFormatting sqref="R337:R366 R284:R334 R391:R1048576">
    <cfRule type="notContainsText" dxfId="385" priority="1282" operator="notContains" text="Caida">
      <formula>ISERROR(SEARCH("Caida",R284))</formula>
    </cfRule>
    <cfRule type="containsText" dxfId="384" priority="1283" operator="containsText" text="Caida">
      <formula>NOT(ISERROR(SEARCH("Caida",R284)))</formula>
    </cfRule>
  </conditionalFormatting>
  <conditionalFormatting sqref="R22:T22">
    <cfRule type="containsText" dxfId="383" priority="1281" operator="containsText" text="Instaladas en Funcionamiento Caida">
      <formula>NOT(ISERROR(SEARCH("Instaladas en Funcionamiento Caida",R22)))</formula>
    </cfRule>
  </conditionalFormatting>
  <conditionalFormatting sqref="R282:T282">
    <cfRule type="cellIs" dxfId="382" priority="1279" operator="lessThan">
      <formula>0.8</formula>
    </cfRule>
    <cfRule type="cellIs" dxfId="381" priority="1280" operator="greaterThan">
      <formula>0.8</formula>
    </cfRule>
  </conditionalFormatting>
  <conditionalFormatting sqref="R282:T282">
    <cfRule type="notContainsText" dxfId="380" priority="1277" operator="notContains" text="Caida">
      <formula>ISERROR(SEARCH("Caida",R282))</formula>
    </cfRule>
    <cfRule type="containsText" dxfId="379" priority="1278" operator="containsText" text="Caida">
      <formula>NOT(ISERROR(SEARCH("Caida",R282)))</formula>
    </cfRule>
  </conditionalFormatting>
  <conditionalFormatting sqref="R283:T283">
    <cfRule type="cellIs" dxfId="378" priority="1275" operator="lessThan">
      <formula>0.8</formula>
    </cfRule>
    <cfRule type="cellIs" dxfId="377" priority="1276" operator="greaterThan">
      <formula>0.8</formula>
    </cfRule>
  </conditionalFormatting>
  <conditionalFormatting sqref="R283:T283">
    <cfRule type="notContainsText" dxfId="376" priority="1273" operator="notContains" text="Caida">
      <formula>ISERROR(SEARCH("Caida",R283))</formula>
    </cfRule>
    <cfRule type="containsText" dxfId="375" priority="1274" operator="containsText" text="Caida">
      <formula>NOT(ISERROR(SEARCH("Caida",R283)))</formula>
    </cfRule>
  </conditionalFormatting>
  <conditionalFormatting sqref="R5:T5">
    <cfRule type="cellIs" dxfId="374" priority="1271" operator="lessThan">
      <formula>0.8</formula>
    </cfRule>
    <cfRule type="cellIs" dxfId="373" priority="1272" operator="greaterThan">
      <formula>0.8</formula>
    </cfRule>
  </conditionalFormatting>
  <conditionalFormatting sqref="R5:T5">
    <cfRule type="notContainsText" dxfId="372" priority="1269" operator="notContains" text="Caida">
      <formula>ISERROR(SEARCH("Caida",R5))</formula>
    </cfRule>
    <cfRule type="containsText" dxfId="371" priority="1270" operator="containsText" text="Caida">
      <formula>NOT(ISERROR(SEARCH("Caida",R5)))</formula>
    </cfRule>
  </conditionalFormatting>
  <conditionalFormatting sqref="R231:T231">
    <cfRule type="cellIs" dxfId="370" priority="1267" operator="lessThan">
      <formula>0.8</formula>
    </cfRule>
    <cfRule type="cellIs" dxfId="369" priority="1268" operator="greaterThan">
      <formula>0.8</formula>
    </cfRule>
  </conditionalFormatting>
  <conditionalFormatting sqref="R231:T231">
    <cfRule type="notContainsText" dxfId="368" priority="1265" operator="notContains" text="Caida">
      <formula>ISERROR(SEARCH("Caida",R231))</formula>
    </cfRule>
    <cfRule type="containsText" dxfId="367" priority="1266" operator="containsText" text="Caida">
      <formula>NOT(ISERROR(SEARCH("Caida",R231)))</formula>
    </cfRule>
  </conditionalFormatting>
  <conditionalFormatting sqref="R232:T232">
    <cfRule type="cellIs" dxfId="366" priority="1263" operator="lessThan">
      <formula>0.8</formula>
    </cfRule>
    <cfRule type="cellIs" dxfId="365" priority="1264" operator="greaterThan">
      <formula>0.8</formula>
    </cfRule>
  </conditionalFormatting>
  <conditionalFormatting sqref="R232:T232">
    <cfRule type="notContainsText" dxfId="364" priority="1261" operator="notContains" text="Caida">
      <formula>ISERROR(SEARCH("Caida",R232))</formula>
    </cfRule>
    <cfRule type="containsText" dxfId="363" priority="1262" operator="containsText" text="Caida">
      <formula>NOT(ISERROR(SEARCH("Caida",R232)))</formula>
    </cfRule>
  </conditionalFormatting>
  <conditionalFormatting sqref="R233:T233">
    <cfRule type="cellIs" dxfId="362" priority="1259" operator="lessThan">
      <formula>0.8</formula>
    </cfRule>
    <cfRule type="cellIs" dxfId="361" priority="1260" operator="greaterThan">
      <formula>0.8</formula>
    </cfRule>
  </conditionalFormatting>
  <conditionalFormatting sqref="R233:T233">
    <cfRule type="notContainsText" dxfId="360" priority="1257" operator="notContains" text="Caida">
      <formula>ISERROR(SEARCH("Caida",R233))</formula>
    </cfRule>
    <cfRule type="containsText" dxfId="359" priority="1258" operator="containsText" text="Caida">
      <formula>NOT(ISERROR(SEARCH("Caida",R233)))</formula>
    </cfRule>
  </conditionalFormatting>
  <conditionalFormatting sqref="R234:T234">
    <cfRule type="cellIs" dxfId="358" priority="1255" operator="lessThan">
      <formula>0.8</formula>
    </cfRule>
    <cfRule type="cellIs" dxfId="357" priority="1256" operator="greaterThan">
      <formula>0.8</formula>
    </cfRule>
  </conditionalFormatting>
  <conditionalFormatting sqref="R234:T234">
    <cfRule type="notContainsText" dxfId="356" priority="1253" operator="notContains" text="Caida">
      <formula>ISERROR(SEARCH("Caida",R234))</formula>
    </cfRule>
    <cfRule type="containsText" dxfId="355" priority="1254" operator="containsText" text="Caida">
      <formula>NOT(ISERROR(SEARCH("Caida",R234)))</formula>
    </cfRule>
  </conditionalFormatting>
  <conditionalFormatting sqref="R235:T235">
    <cfRule type="cellIs" dxfId="354" priority="1251" operator="lessThan">
      <formula>0.8</formula>
    </cfRule>
    <cfRule type="cellIs" dxfId="353" priority="1252" operator="greaterThan">
      <formula>0.8</formula>
    </cfRule>
  </conditionalFormatting>
  <conditionalFormatting sqref="R235:T235">
    <cfRule type="notContainsText" dxfId="352" priority="1249" operator="notContains" text="Caida">
      <formula>ISERROR(SEARCH("Caida",R235))</formula>
    </cfRule>
    <cfRule type="containsText" dxfId="351" priority="1250" operator="containsText" text="Caida">
      <formula>NOT(ISERROR(SEARCH("Caida",R235)))</formula>
    </cfRule>
  </conditionalFormatting>
  <conditionalFormatting sqref="R335:T335">
    <cfRule type="cellIs" dxfId="350" priority="1247" operator="lessThan">
      <formula>0.8</formula>
    </cfRule>
    <cfRule type="cellIs" dxfId="349" priority="1248" operator="greaterThan">
      <formula>0.8</formula>
    </cfRule>
  </conditionalFormatting>
  <conditionalFormatting sqref="R335:T335">
    <cfRule type="notContainsText" dxfId="348" priority="1245" operator="notContains" text="Caida">
      <formula>ISERROR(SEARCH("Caida",R335))</formula>
    </cfRule>
    <cfRule type="containsText" dxfId="347" priority="1246" operator="containsText" text="Caida">
      <formula>NOT(ISERROR(SEARCH("Caida",R335)))</formula>
    </cfRule>
  </conditionalFormatting>
  <conditionalFormatting sqref="S391:S1048576">
    <cfRule type="notContainsText" dxfId="346" priority="1233" operator="notContains" text="Caida">
      <formula>ISERROR(SEARCH("Caida",S391))</formula>
    </cfRule>
    <cfRule type="containsText" dxfId="345" priority="1234" operator="containsText" text="Caida">
      <formula>NOT(ISERROR(SEARCH("Caida",S391)))</formula>
    </cfRule>
  </conditionalFormatting>
  <conditionalFormatting sqref="T391:T1048576">
    <cfRule type="notContainsText" dxfId="344" priority="1184" operator="notContains" text="Caida">
      <formula>ISERROR(SEARCH("Caida",T391))</formula>
    </cfRule>
    <cfRule type="containsText" dxfId="343" priority="1185" operator="containsText" text="Caida">
      <formula>NOT(ISERROR(SEARCH("Caida",T391)))</formula>
    </cfRule>
  </conditionalFormatting>
  <conditionalFormatting sqref="E92:K93">
    <cfRule type="containsText" dxfId="342" priority="1140" operator="containsText" text="Radio">
      <formula>NOT(ISERROR(SEARCH("Radio",E92)))</formula>
    </cfRule>
  </conditionalFormatting>
  <conditionalFormatting sqref="P93:P95">
    <cfRule type="cellIs" dxfId="341" priority="1110" operator="lessThan">
      <formula>0.8</formula>
    </cfRule>
    <cfRule type="cellIs" dxfId="340" priority="1111" operator="greaterThan">
      <formula>0.8</formula>
    </cfRule>
  </conditionalFormatting>
  <conditionalFormatting sqref="P93:P95">
    <cfRule type="notContainsText" dxfId="339" priority="1108" operator="notContains" text="Caida">
      <formula>ISERROR(SEARCH("Caida",P93))</formula>
    </cfRule>
    <cfRule type="containsText" dxfId="338" priority="1109" operator="containsText" text="Caida">
      <formula>NOT(ISERROR(SEARCH("Caida",P93)))</formula>
    </cfRule>
  </conditionalFormatting>
  <conditionalFormatting sqref="Q93:Q95">
    <cfRule type="cellIs" dxfId="337" priority="1106" operator="lessThan">
      <formula>0.8</formula>
    </cfRule>
    <cfRule type="cellIs" dxfId="336" priority="1107" operator="greaterThan">
      <formula>0.8</formula>
    </cfRule>
  </conditionalFormatting>
  <conditionalFormatting sqref="Q93:Q95">
    <cfRule type="notContainsText" dxfId="335" priority="1104" operator="notContains" text="Caida">
      <formula>ISERROR(SEARCH("Caida",Q93))</formula>
    </cfRule>
    <cfRule type="containsText" dxfId="334" priority="1105" operator="containsText" text="Caida">
      <formula>NOT(ISERROR(SEARCH("Caida",Q93)))</formula>
    </cfRule>
  </conditionalFormatting>
  <conditionalFormatting sqref="R93:R95">
    <cfRule type="cellIs" dxfId="333" priority="1102" operator="lessThan">
      <formula>0.8</formula>
    </cfRule>
    <cfRule type="cellIs" dxfId="332" priority="1103" operator="greaterThan">
      <formula>0.8</formula>
    </cfRule>
  </conditionalFormatting>
  <conditionalFormatting sqref="R93:R95">
    <cfRule type="notContainsText" dxfId="331" priority="1100" operator="notContains" text="Caida">
      <formula>ISERROR(SEARCH("Caida",R93))</formula>
    </cfRule>
    <cfRule type="containsText" dxfId="330" priority="1101" operator="containsText" text="Caida">
      <formula>NOT(ISERROR(SEARCH("Caida",R93)))</formula>
    </cfRule>
  </conditionalFormatting>
  <conditionalFormatting sqref="E365:K365">
    <cfRule type="containsText" dxfId="329" priority="1089" operator="containsText" text="Radio">
      <formula>NOT(ISERROR(SEARCH("Radio",E365)))</formula>
    </cfRule>
  </conditionalFormatting>
  <conditionalFormatting sqref="P367">
    <cfRule type="cellIs" dxfId="328" priority="1071" operator="lessThan">
      <formula>0.8</formula>
    </cfRule>
    <cfRule type="cellIs" dxfId="327" priority="1072" operator="greaterThan">
      <formula>0.8</formula>
    </cfRule>
  </conditionalFormatting>
  <conditionalFormatting sqref="P367">
    <cfRule type="notContainsText" dxfId="326" priority="1069" operator="notContains" text="Caida">
      <formula>ISERROR(SEARCH("Caida",P367))</formula>
    </cfRule>
    <cfRule type="containsText" dxfId="325" priority="1070" operator="containsText" text="Caida">
      <formula>NOT(ISERROR(SEARCH("Caida",P367)))</formula>
    </cfRule>
  </conditionalFormatting>
  <conditionalFormatting sqref="Q367">
    <cfRule type="cellIs" dxfId="324" priority="1067" operator="lessThan">
      <formula>0.8</formula>
    </cfRule>
    <cfRule type="cellIs" dxfId="323" priority="1068" operator="greaterThan">
      <formula>0.8</formula>
    </cfRule>
  </conditionalFormatting>
  <conditionalFormatting sqref="Q367">
    <cfRule type="notContainsText" dxfId="322" priority="1065" operator="notContains" text="Caida">
      <formula>ISERROR(SEARCH("Caida",Q367))</formula>
    </cfRule>
    <cfRule type="containsText" dxfId="321" priority="1066" operator="containsText" text="Caida">
      <formula>NOT(ISERROR(SEARCH("Caida",Q367)))</formula>
    </cfRule>
  </conditionalFormatting>
  <conditionalFormatting sqref="R367:T367">
    <cfRule type="cellIs" dxfId="320" priority="1063" operator="lessThan">
      <formula>0.8</formula>
    </cfRule>
    <cfRule type="cellIs" dxfId="319" priority="1064" operator="greaterThan">
      <formula>0.8</formula>
    </cfRule>
  </conditionalFormatting>
  <conditionalFormatting sqref="R367:T367">
    <cfRule type="notContainsText" dxfId="318" priority="1061" operator="notContains" text="Caida">
      <formula>ISERROR(SEARCH("Caida",R367))</formula>
    </cfRule>
    <cfRule type="containsText" dxfId="317" priority="1062" operator="containsText" text="Caida">
      <formula>NOT(ISERROR(SEARCH("Caida",R367)))</formula>
    </cfRule>
  </conditionalFormatting>
  <conditionalFormatting sqref="E366:K366">
    <cfRule type="containsText" dxfId="316" priority="1050" operator="containsText" text="Radio">
      <formula>NOT(ISERROR(SEARCH("Radio",E366)))</formula>
    </cfRule>
  </conditionalFormatting>
  <conditionalFormatting sqref="P368">
    <cfRule type="cellIs" dxfId="315" priority="1032" operator="lessThan">
      <formula>0.8</formula>
    </cfRule>
    <cfRule type="cellIs" dxfId="314" priority="1033" operator="greaterThan">
      <formula>0.8</formula>
    </cfRule>
  </conditionalFormatting>
  <conditionalFormatting sqref="P368">
    <cfRule type="notContainsText" dxfId="313" priority="1030" operator="notContains" text="Caida">
      <formula>ISERROR(SEARCH("Caida",P368))</formula>
    </cfRule>
    <cfRule type="containsText" dxfId="312" priority="1031" operator="containsText" text="Caida">
      <formula>NOT(ISERROR(SEARCH("Caida",P368)))</formula>
    </cfRule>
  </conditionalFormatting>
  <conditionalFormatting sqref="Q368">
    <cfRule type="cellIs" dxfId="311" priority="1028" operator="lessThan">
      <formula>0.8</formula>
    </cfRule>
    <cfRule type="cellIs" dxfId="310" priority="1029" operator="greaterThan">
      <formula>0.8</formula>
    </cfRule>
  </conditionalFormatting>
  <conditionalFormatting sqref="Q368">
    <cfRule type="notContainsText" dxfId="309" priority="1026" operator="notContains" text="Caida">
      <formula>ISERROR(SEARCH("Caida",Q368))</formula>
    </cfRule>
    <cfRule type="containsText" dxfId="308" priority="1027" operator="containsText" text="Caida">
      <formula>NOT(ISERROR(SEARCH("Caida",Q368)))</formula>
    </cfRule>
  </conditionalFormatting>
  <conditionalFormatting sqref="R368:T368">
    <cfRule type="cellIs" dxfId="307" priority="1024" operator="lessThan">
      <formula>0.8</formula>
    </cfRule>
    <cfRule type="cellIs" dxfId="306" priority="1025" operator="greaterThan">
      <formula>0.8</formula>
    </cfRule>
  </conditionalFormatting>
  <conditionalFormatting sqref="R368:T368">
    <cfRule type="notContainsText" dxfId="305" priority="1022" operator="notContains" text="Caida">
      <formula>ISERROR(SEARCH("Caida",R368))</formula>
    </cfRule>
    <cfRule type="containsText" dxfId="304" priority="1023" operator="containsText" text="Caida">
      <formula>NOT(ISERROR(SEARCH("Caida",R368)))</formula>
    </cfRule>
  </conditionalFormatting>
  <conditionalFormatting sqref="E367:K367">
    <cfRule type="containsText" dxfId="303" priority="1011" operator="containsText" text="Radio">
      <formula>NOT(ISERROR(SEARCH("Radio",E367)))</formula>
    </cfRule>
  </conditionalFormatting>
  <conditionalFormatting sqref="P369">
    <cfRule type="cellIs" dxfId="302" priority="993" operator="lessThan">
      <formula>0.8</formula>
    </cfRule>
    <cfRule type="cellIs" dxfId="301" priority="994" operator="greaterThan">
      <formula>0.8</formula>
    </cfRule>
  </conditionalFormatting>
  <conditionalFormatting sqref="P369">
    <cfRule type="notContainsText" dxfId="300" priority="991" operator="notContains" text="Caida">
      <formula>ISERROR(SEARCH("Caida",P369))</formula>
    </cfRule>
    <cfRule type="containsText" dxfId="299" priority="992" operator="containsText" text="Caida">
      <formula>NOT(ISERROR(SEARCH("Caida",P369)))</formula>
    </cfRule>
  </conditionalFormatting>
  <conditionalFormatting sqref="Q369">
    <cfRule type="cellIs" dxfId="298" priority="989" operator="lessThan">
      <formula>0.8</formula>
    </cfRule>
    <cfRule type="cellIs" dxfId="297" priority="990" operator="greaterThan">
      <formula>0.8</formula>
    </cfRule>
  </conditionalFormatting>
  <conditionalFormatting sqref="Q369">
    <cfRule type="notContainsText" dxfId="296" priority="987" operator="notContains" text="Caida">
      <formula>ISERROR(SEARCH("Caida",Q369))</formula>
    </cfRule>
    <cfRule type="containsText" dxfId="295" priority="988" operator="containsText" text="Caida">
      <formula>NOT(ISERROR(SEARCH("Caida",Q369)))</formula>
    </cfRule>
  </conditionalFormatting>
  <conditionalFormatting sqref="R369:T369">
    <cfRule type="cellIs" dxfId="294" priority="985" operator="lessThan">
      <formula>0.8</formula>
    </cfRule>
    <cfRule type="cellIs" dxfId="293" priority="986" operator="greaterThan">
      <formula>0.8</formula>
    </cfRule>
  </conditionalFormatting>
  <conditionalFormatting sqref="R369:T369">
    <cfRule type="notContainsText" dxfId="292" priority="983" operator="notContains" text="Caida">
      <formula>ISERROR(SEARCH("Caida",R369))</formula>
    </cfRule>
    <cfRule type="containsText" dxfId="291" priority="984" operator="containsText" text="Caida">
      <formula>NOT(ISERROR(SEARCH("Caida",R369)))</formula>
    </cfRule>
  </conditionalFormatting>
  <conditionalFormatting sqref="E368:K368">
    <cfRule type="containsText" dxfId="290" priority="972" operator="containsText" text="Radio">
      <formula>NOT(ISERROR(SEARCH("Radio",E368)))</formula>
    </cfRule>
  </conditionalFormatting>
  <conditionalFormatting sqref="U231">
    <cfRule type="cellIs" dxfId="289" priority="913" operator="lessThan">
      <formula>0.8</formula>
    </cfRule>
    <cfRule type="cellIs" dxfId="288" priority="914" operator="greaterThan">
      <formula>0.8</formula>
    </cfRule>
  </conditionalFormatting>
  <conditionalFormatting sqref="U231">
    <cfRule type="notContainsText" dxfId="287" priority="911" operator="notContains" text="Caida">
      <formula>ISERROR(SEARCH("Caida",U231))</formula>
    </cfRule>
    <cfRule type="containsText" dxfId="286" priority="912" operator="containsText" text="Caida">
      <formula>NOT(ISERROR(SEARCH("Caida",U231)))</formula>
    </cfRule>
  </conditionalFormatting>
  <conditionalFormatting sqref="U232">
    <cfRule type="cellIs" dxfId="285" priority="909" operator="lessThan">
      <formula>0.8</formula>
    </cfRule>
    <cfRule type="cellIs" dxfId="284" priority="910" operator="greaterThan">
      <formula>0.8</formula>
    </cfRule>
  </conditionalFormatting>
  <conditionalFormatting sqref="U232">
    <cfRule type="notContainsText" dxfId="283" priority="907" operator="notContains" text="Caida">
      <formula>ISERROR(SEARCH("Caida",U232))</formula>
    </cfRule>
    <cfRule type="containsText" dxfId="282" priority="908" operator="containsText" text="Caida">
      <formula>NOT(ISERROR(SEARCH("Caida",U232)))</formula>
    </cfRule>
  </conditionalFormatting>
  <conditionalFormatting sqref="P370:P372">
    <cfRule type="cellIs" dxfId="281" priority="954" operator="lessThan">
      <formula>0.8</formula>
    </cfRule>
    <cfRule type="cellIs" dxfId="280" priority="955" operator="greaterThan">
      <formula>0.8</formula>
    </cfRule>
  </conditionalFormatting>
  <conditionalFormatting sqref="P370:P372">
    <cfRule type="notContainsText" dxfId="279" priority="952" operator="notContains" text="Caida">
      <formula>ISERROR(SEARCH("Caida",P370))</formula>
    </cfRule>
    <cfRule type="containsText" dxfId="278" priority="953" operator="containsText" text="Caida">
      <formula>NOT(ISERROR(SEARCH("Caida",P370)))</formula>
    </cfRule>
  </conditionalFormatting>
  <conditionalFormatting sqref="Q370:Q372">
    <cfRule type="cellIs" dxfId="277" priority="950" operator="lessThan">
      <formula>0.8</formula>
    </cfRule>
    <cfRule type="cellIs" dxfId="276" priority="951" operator="greaterThan">
      <formula>0.8</formula>
    </cfRule>
  </conditionalFormatting>
  <conditionalFormatting sqref="Q370:Q372">
    <cfRule type="notContainsText" dxfId="275" priority="948" operator="notContains" text="Caida">
      <formula>ISERROR(SEARCH("Caida",Q370))</formula>
    </cfRule>
    <cfRule type="containsText" dxfId="274" priority="949" operator="containsText" text="Caida">
      <formula>NOT(ISERROR(SEARCH("Caida",Q370)))</formula>
    </cfRule>
  </conditionalFormatting>
  <conditionalFormatting sqref="R370:T370">
    <cfRule type="cellIs" dxfId="273" priority="946" operator="lessThan">
      <formula>0.8</formula>
    </cfRule>
    <cfRule type="cellIs" dxfId="272" priority="947" operator="greaterThan">
      <formula>0.8</formula>
    </cfRule>
  </conditionalFormatting>
  <conditionalFormatting sqref="R370:T370">
    <cfRule type="notContainsText" dxfId="271" priority="944" operator="notContains" text="Caida">
      <formula>ISERROR(SEARCH("Caida",R370))</formula>
    </cfRule>
    <cfRule type="containsText" dxfId="270" priority="945" operator="containsText" text="Caida">
      <formula>NOT(ISERROR(SEARCH("Caida",R370)))</formula>
    </cfRule>
  </conditionalFormatting>
  <conditionalFormatting sqref="U368">
    <cfRule type="cellIs" dxfId="269" priority="877" operator="lessThan">
      <formula>0.8</formula>
    </cfRule>
    <cfRule type="cellIs" dxfId="268" priority="878" operator="greaterThan">
      <formula>0.8</formula>
    </cfRule>
  </conditionalFormatting>
  <conditionalFormatting sqref="U368">
    <cfRule type="notContainsText" dxfId="267" priority="875" operator="notContains" text="Caida">
      <formula>ISERROR(SEARCH("Caida",U368))</formula>
    </cfRule>
    <cfRule type="containsText" dxfId="266" priority="876" operator="containsText" text="Caida">
      <formula>NOT(ISERROR(SEARCH("Caida",U368)))</formula>
    </cfRule>
  </conditionalFormatting>
  <conditionalFormatting sqref="U369">
    <cfRule type="cellIs" dxfId="265" priority="873" operator="lessThan">
      <formula>0.8</formula>
    </cfRule>
    <cfRule type="cellIs" dxfId="264" priority="874" operator="greaterThan">
      <formula>0.8</formula>
    </cfRule>
  </conditionalFormatting>
  <conditionalFormatting sqref="U369">
    <cfRule type="notContainsText" dxfId="263" priority="871" operator="notContains" text="Caida">
      <formula>ISERROR(SEARCH("Caida",U369))</formula>
    </cfRule>
    <cfRule type="containsText" dxfId="262" priority="872" operator="containsText" text="Caida">
      <formula>NOT(ISERROR(SEARCH("Caida",U369)))</formula>
    </cfRule>
  </conditionalFormatting>
  <conditionalFormatting sqref="U370:U372">
    <cfRule type="cellIs" dxfId="261" priority="869" operator="lessThan">
      <formula>0.8</formula>
    </cfRule>
    <cfRule type="cellIs" dxfId="260" priority="870" operator="greaterThan">
      <formula>0.8</formula>
    </cfRule>
  </conditionalFormatting>
  <conditionalFormatting sqref="U370:U372">
    <cfRule type="notContainsText" dxfId="259" priority="867" operator="notContains" text="Caida">
      <formula>ISERROR(SEARCH("Caida",U370))</formula>
    </cfRule>
    <cfRule type="containsText" dxfId="258" priority="868" operator="containsText" text="Caida">
      <formula>NOT(ISERROR(SEARCH("Caida",U370)))</formula>
    </cfRule>
  </conditionalFormatting>
  <conditionalFormatting sqref="U6:U92 U96:U230">
    <cfRule type="cellIs" dxfId="257" priority="934" operator="lessThan">
      <formula>0.8</formula>
    </cfRule>
    <cfRule type="cellIs" dxfId="256" priority="935" operator="greaterThan">
      <formula>0.8</formula>
    </cfRule>
  </conditionalFormatting>
  <conditionalFormatting sqref="U6:U92 U96:U230">
    <cfRule type="notContainsText" dxfId="255" priority="932" operator="notContains" text="Caida">
      <formula>ISERROR(SEARCH("Caida",U6))</formula>
    </cfRule>
    <cfRule type="containsText" dxfId="254" priority="933" operator="containsText" text="Caida">
      <formula>NOT(ISERROR(SEARCH("Caida",U6)))</formula>
    </cfRule>
  </conditionalFormatting>
  <conditionalFormatting sqref="U336">
    <cfRule type="cellIs" dxfId="253" priority="889" operator="lessThan">
      <formula>0.8</formula>
    </cfRule>
    <cfRule type="cellIs" dxfId="252" priority="890" operator="greaterThan">
      <formula>0.8</formula>
    </cfRule>
  </conditionalFormatting>
  <conditionalFormatting sqref="U336">
    <cfRule type="notContainsText" dxfId="251" priority="887" operator="notContains" text="Caida">
      <formula>ISERROR(SEARCH("Caida",U336))</formula>
    </cfRule>
    <cfRule type="containsText" dxfId="250" priority="888" operator="containsText" text="Caida">
      <formula>NOT(ISERROR(SEARCH("Caida",U336)))</formula>
    </cfRule>
  </conditionalFormatting>
  <conditionalFormatting sqref="U337:U366 U284:U334">
    <cfRule type="cellIs" dxfId="249" priority="930" operator="lessThan">
      <formula>0.8</formula>
    </cfRule>
    <cfRule type="cellIs" dxfId="248" priority="931" operator="greaterThan">
      <formula>0.8</formula>
    </cfRule>
  </conditionalFormatting>
  <conditionalFormatting sqref="U337:U366 U284:U334 U391:U1048576">
    <cfRule type="notContainsText" dxfId="247" priority="928" operator="notContains" text="Caida">
      <formula>ISERROR(SEARCH("Caida",U284))</formula>
    </cfRule>
    <cfRule type="containsText" dxfId="246" priority="929" operator="containsText" text="Caida">
      <formula>NOT(ISERROR(SEARCH("Caida",U284)))</formula>
    </cfRule>
  </conditionalFormatting>
  <conditionalFormatting sqref="U22">
    <cfRule type="containsText" dxfId="245" priority="927" operator="containsText" text="Instaladas en Funcionamiento Caida">
      <formula>NOT(ISERROR(SEARCH("Instaladas en Funcionamiento Caida",U22)))</formula>
    </cfRule>
  </conditionalFormatting>
  <conditionalFormatting sqref="U282">
    <cfRule type="cellIs" dxfId="244" priority="925" operator="lessThan">
      <formula>0.8</formula>
    </cfRule>
    <cfRule type="cellIs" dxfId="243" priority="926" operator="greaterThan">
      <formula>0.8</formula>
    </cfRule>
  </conditionalFormatting>
  <conditionalFormatting sqref="U282">
    <cfRule type="notContainsText" dxfId="242" priority="923" operator="notContains" text="Caida">
      <formula>ISERROR(SEARCH("Caida",U282))</formula>
    </cfRule>
    <cfRule type="containsText" dxfId="241" priority="924" operator="containsText" text="Caida">
      <formula>NOT(ISERROR(SEARCH("Caida",U282)))</formula>
    </cfRule>
  </conditionalFormatting>
  <conditionalFormatting sqref="U283">
    <cfRule type="cellIs" dxfId="240" priority="921" operator="lessThan">
      <formula>0.8</formula>
    </cfRule>
    <cfRule type="cellIs" dxfId="239" priority="922" operator="greaterThan">
      <formula>0.8</formula>
    </cfRule>
  </conditionalFormatting>
  <conditionalFormatting sqref="U283">
    <cfRule type="notContainsText" dxfId="238" priority="919" operator="notContains" text="Caida">
      <formula>ISERROR(SEARCH("Caida",U283))</formula>
    </cfRule>
    <cfRule type="containsText" dxfId="237" priority="920" operator="containsText" text="Caida">
      <formula>NOT(ISERROR(SEARCH("Caida",U283)))</formula>
    </cfRule>
  </conditionalFormatting>
  <conditionalFormatting sqref="U5">
    <cfRule type="cellIs" dxfId="236" priority="917" operator="lessThan">
      <formula>0.8</formula>
    </cfRule>
    <cfRule type="cellIs" dxfId="235" priority="918" operator="greaterThan">
      <formula>0.8</formula>
    </cfRule>
  </conditionalFormatting>
  <conditionalFormatting sqref="U5">
    <cfRule type="notContainsText" dxfId="234" priority="915" operator="notContains" text="Caida">
      <formula>ISERROR(SEARCH("Caida",U5))</formula>
    </cfRule>
    <cfRule type="containsText" dxfId="233" priority="916" operator="containsText" text="Caida">
      <formula>NOT(ISERROR(SEARCH("Caida",U5)))</formula>
    </cfRule>
  </conditionalFormatting>
  <conditionalFormatting sqref="U233">
    <cfRule type="cellIs" dxfId="232" priority="905" operator="lessThan">
      <formula>0.8</formula>
    </cfRule>
    <cfRule type="cellIs" dxfId="231" priority="906" operator="greaterThan">
      <formula>0.8</formula>
    </cfRule>
  </conditionalFormatting>
  <conditionalFormatting sqref="U233">
    <cfRule type="notContainsText" dxfId="230" priority="903" operator="notContains" text="Caida">
      <formula>ISERROR(SEARCH("Caida",U233))</formula>
    </cfRule>
    <cfRule type="containsText" dxfId="229" priority="904" operator="containsText" text="Caida">
      <formula>NOT(ISERROR(SEARCH("Caida",U233)))</formula>
    </cfRule>
  </conditionalFormatting>
  <conditionalFormatting sqref="U234">
    <cfRule type="cellIs" dxfId="228" priority="901" operator="lessThan">
      <formula>0.8</formula>
    </cfRule>
    <cfRule type="cellIs" dxfId="227" priority="902" operator="greaterThan">
      <formula>0.8</formula>
    </cfRule>
  </conditionalFormatting>
  <conditionalFormatting sqref="U234">
    <cfRule type="notContainsText" dxfId="226" priority="899" operator="notContains" text="Caida">
      <formula>ISERROR(SEARCH("Caida",U234))</formula>
    </cfRule>
    <cfRule type="containsText" dxfId="225" priority="900" operator="containsText" text="Caida">
      <formula>NOT(ISERROR(SEARCH("Caida",U234)))</formula>
    </cfRule>
  </conditionalFormatting>
  <conditionalFormatting sqref="U235">
    <cfRule type="cellIs" dxfId="224" priority="897" operator="lessThan">
      <formula>0.8</formula>
    </cfRule>
    <cfRule type="cellIs" dxfId="223" priority="898" operator="greaterThan">
      <formula>0.8</formula>
    </cfRule>
  </conditionalFormatting>
  <conditionalFormatting sqref="U235">
    <cfRule type="notContainsText" dxfId="222" priority="895" operator="notContains" text="Caida">
      <formula>ISERROR(SEARCH("Caida",U235))</formula>
    </cfRule>
    <cfRule type="containsText" dxfId="221" priority="896" operator="containsText" text="Caida">
      <formula>NOT(ISERROR(SEARCH("Caida",U235)))</formula>
    </cfRule>
  </conditionalFormatting>
  <conditionalFormatting sqref="U335">
    <cfRule type="cellIs" dxfId="220" priority="893" operator="lessThan">
      <formula>0.8</formula>
    </cfRule>
    <cfRule type="cellIs" dxfId="219" priority="894" operator="greaterThan">
      <formula>0.8</formula>
    </cfRule>
  </conditionalFormatting>
  <conditionalFormatting sqref="U335">
    <cfRule type="notContainsText" dxfId="218" priority="891" operator="notContains" text="Caida">
      <formula>ISERROR(SEARCH("Caida",U335))</formula>
    </cfRule>
    <cfRule type="containsText" dxfId="217" priority="892" operator="containsText" text="Caida">
      <formula>NOT(ISERROR(SEARCH("Caida",U335)))</formula>
    </cfRule>
  </conditionalFormatting>
  <conditionalFormatting sqref="U93:U95">
    <cfRule type="cellIs" dxfId="216" priority="885" operator="lessThan">
      <formula>0.8</formula>
    </cfRule>
    <cfRule type="cellIs" dxfId="215" priority="886" operator="greaterThan">
      <formula>0.8</formula>
    </cfRule>
  </conditionalFormatting>
  <conditionalFormatting sqref="U93:U95">
    <cfRule type="notContainsText" dxfId="214" priority="883" operator="notContains" text="Caida">
      <formula>ISERROR(SEARCH("Caida",U93))</formula>
    </cfRule>
    <cfRule type="containsText" dxfId="213" priority="884" operator="containsText" text="Caida">
      <formula>NOT(ISERROR(SEARCH("Caida",U93)))</formula>
    </cfRule>
  </conditionalFormatting>
  <conditionalFormatting sqref="U367">
    <cfRule type="cellIs" dxfId="212" priority="881" operator="lessThan">
      <formula>0.8</formula>
    </cfRule>
    <cfRule type="cellIs" dxfId="211" priority="882" operator="greaterThan">
      <formula>0.8</formula>
    </cfRule>
  </conditionalFormatting>
  <conditionalFormatting sqref="U367">
    <cfRule type="notContainsText" dxfId="210" priority="879" operator="notContains" text="Caida">
      <formula>ISERROR(SEARCH("Caida",U367))</formula>
    </cfRule>
    <cfRule type="containsText" dxfId="209" priority="880" operator="containsText" text="Caida">
      <formula>NOT(ISERROR(SEARCH("Caida",U367)))</formula>
    </cfRule>
  </conditionalFormatting>
  <conditionalFormatting sqref="V6:X92">
    <cfRule type="cellIs" dxfId="208" priority="865" operator="lessThan">
      <formula>0.8</formula>
    </cfRule>
    <cfRule type="cellIs" dxfId="207" priority="866" operator="greaterThan">
      <formula>0.8</formula>
    </cfRule>
  </conditionalFormatting>
  <conditionalFormatting sqref="V6:X92">
    <cfRule type="notContainsText" dxfId="206" priority="863" operator="notContains" text="Caida">
      <formula>ISERROR(SEARCH("Caida",V6))</formula>
    </cfRule>
    <cfRule type="containsText" dxfId="205" priority="864" operator="containsText" text="Caida">
      <formula>NOT(ISERROR(SEARCH("Caida",V6)))</formula>
    </cfRule>
  </conditionalFormatting>
  <conditionalFormatting sqref="V22:AJ22">
    <cfRule type="containsText" dxfId="204" priority="862" operator="containsText" text="Instaladas en Funcionamiento Caida">
      <formula>NOT(ISERROR(SEARCH("Instaladas en Funcionamiento Caida",V22)))</formula>
    </cfRule>
  </conditionalFormatting>
  <conditionalFormatting sqref="V5:AJ5">
    <cfRule type="cellIs" dxfId="203" priority="860" operator="lessThan">
      <formula>0.8</formula>
    </cfRule>
    <cfRule type="cellIs" dxfId="202" priority="861" operator="greaterThan">
      <formula>0.8</formula>
    </cfRule>
  </conditionalFormatting>
  <conditionalFormatting sqref="V5:AJ5">
    <cfRule type="notContainsText" dxfId="201" priority="858" operator="notContains" text="Caida">
      <formula>ISERROR(SEARCH("Caida",V5))</formula>
    </cfRule>
    <cfRule type="containsText" dxfId="200" priority="859" operator="containsText" text="Caida">
      <formula>NOT(ISERROR(SEARCH("Caida",V5)))</formula>
    </cfRule>
  </conditionalFormatting>
  <conditionalFormatting sqref="V93:X95">
    <cfRule type="cellIs" dxfId="199" priority="856" operator="lessThan">
      <formula>0.8</formula>
    </cfRule>
    <cfRule type="cellIs" dxfId="198" priority="857" operator="greaterThan">
      <formula>0.8</formula>
    </cfRule>
  </conditionalFormatting>
  <conditionalFormatting sqref="V93:X95">
    <cfRule type="notContainsText" dxfId="197" priority="854" operator="notContains" text="Caida">
      <formula>ISERROR(SEARCH("Caida",V93))</formula>
    </cfRule>
    <cfRule type="containsText" dxfId="196" priority="855" operator="containsText" text="Caida">
      <formula>NOT(ISERROR(SEARCH("Caida",V93)))</formula>
    </cfRule>
  </conditionalFormatting>
  <conditionalFormatting sqref="E1:E372 E391:E1048576">
    <cfRule type="containsText" dxfId="195" priority="714" operator="containsText" text="fija">
      <formula>NOT(ISERROR(SEARCH("fija",E1)))</formula>
    </cfRule>
    <cfRule type="containsText" dxfId="194" priority="715" operator="containsText" text="domo">
      <formula>NOT(ISERROR(SEARCH("domo",E1)))</formula>
    </cfRule>
  </conditionalFormatting>
  <conditionalFormatting sqref="AK6:AP92">
    <cfRule type="cellIs" dxfId="193" priority="690" operator="lessThan">
      <formula>0.8</formula>
    </cfRule>
    <cfRule type="cellIs" dxfId="192" priority="691" operator="greaterThan">
      <formula>0.8</formula>
    </cfRule>
  </conditionalFormatting>
  <conditionalFormatting sqref="AK6:AP92">
    <cfRule type="notContainsText" dxfId="191" priority="688" operator="notContains" text="Caida">
      <formula>ISERROR(SEARCH("Caida",AK6))</formula>
    </cfRule>
    <cfRule type="containsText" dxfId="190" priority="689" operator="containsText" text="Caida">
      <formula>NOT(ISERROR(SEARCH("Caida",AK6)))</formula>
    </cfRule>
  </conditionalFormatting>
  <conditionalFormatting sqref="AK22:AR22">
    <cfRule type="containsText" dxfId="189" priority="687" operator="containsText" text="Instaladas en Funcionamiento Caida">
      <formula>NOT(ISERROR(SEARCH("Instaladas en Funcionamiento Caida",AK22)))</formula>
    </cfRule>
  </conditionalFormatting>
  <conditionalFormatting sqref="AK5:AR5">
    <cfRule type="cellIs" dxfId="188" priority="685" operator="lessThan">
      <formula>0.8</formula>
    </cfRule>
    <cfRule type="cellIs" dxfId="187" priority="686" operator="greaterThan">
      <formula>0.8</formula>
    </cfRule>
  </conditionalFormatting>
  <conditionalFormatting sqref="AK5:AR5">
    <cfRule type="notContainsText" dxfId="186" priority="683" operator="notContains" text="Caida">
      <formula>ISERROR(SEARCH("Caida",AK5))</formula>
    </cfRule>
    <cfRule type="containsText" dxfId="185" priority="684" operator="containsText" text="Caida">
      <formula>NOT(ISERROR(SEARCH("Caida",AK5)))</formula>
    </cfRule>
  </conditionalFormatting>
  <conditionalFormatting sqref="AK93:AP94">
    <cfRule type="cellIs" dxfId="184" priority="681" operator="lessThan">
      <formula>0.8</formula>
    </cfRule>
    <cfRule type="cellIs" dxfId="183" priority="682" operator="greaterThan">
      <formula>0.8</formula>
    </cfRule>
  </conditionalFormatting>
  <conditionalFormatting sqref="AK93:AP94">
    <cfRule type="notContainsText" dxfId="182" priority="679" operator="notContains" text="Caida">
      <formula>ISERROR(SEARCH("Caida",AK93))</formula>
    </cfRule>
    <cfRule type="containsText" dxfId="181" priority="680" operator="containsText" text="Caida">
      <formula>NOT(ISERROR(SEARCH("Caida",AK93)))</formula>
    </cfRule>
  </conditionalFormatting>
  <conditionalFormatting sqref="O247:O372 O5:AJ369 AK1:AR1 AK391:AR1048576 AK5:AR372">
    <cfRule type="cellIs" dxfId="180" priority="678" operator="equal">
      <formula>"APAGADO"</formula>
    </cfRule>
  </conditionalFormatting>
  <conditionalFormatting sqref="S6:S92 S96:S230">
    <cfRule type="cellIs" dxfId="179" priority="662" operator="lessThan">
      <formula>0.8</formula>
    </cfRule>
    <cfRule type="cellIs" dxfId="178" priority="663" operator="greaterThan">
      <formula>0.8</formula>
    </cfRule>
  </conditionalFormatting>
  <conditionalFormatting sqref="S6:S92 S96:S230">
    <cfRule type="notContainsText" dxfId="177" priority="660" operator="notContains" text="Caida">
      <formula>ISERROR(SEARCH("Caida",S6))</formula>
    </cfRule>
    <cfRule type="containsText" dxfId="176" priority="661" operator="containsText" text="Caida">
      <formula>NOT(ISERROR(SEARCH("Caida",S6)))</formula>
    </cfRule>
  </conditionalFormatting>
  <conditionalFormatting sqref="S337:S366 S284:S334">
    <cfRule type="cellIs" dxfId="175" priority="658" operator="lessThan">
      <formula>0.8</formula>
    </cfRule>
    <cfRule type="cellIs" dxfId="174" priority="659" operator="greaterThan">
      <formula>0.8</formula>
    </cfRule>
  </conditionalFormatting>
  <conditionalFormatting sqref="S337:S366 S284:S334">
    <cfRule type="notContainsText" dxfId="173" priority="656" operator="notContains" text="Caida">
      <formula>ISERROR(SEARCH("Caida",S284))</formula>
    </cfRule>
    <cfRule type="containsText" dxfId="172" priority="657" operator="containsText" text="Caida">
      <formula>NOT(ISERROR(SEARCH("Caida",S284)))</formula>
    </cfRule>
  </conditionalFormatting>
  <conditionalFormatting sqref="S93:S95">
    <cfRule type="cellIs" dxfId="171" priority="654" operator="lessThan">
      <formula>0.8</formula>
    </cfRule>
    <cfRule type="cellIs" dxfId="170" priority="655" operator="greaterThan">
      <formula>0.8</formula>
    </cfRule>
  </conditionalFormatting>
  <conditionalFormatting sqref="S93:S95">
    <cfRule type="notContainsText" dxfId="169" priority="652" operator="notContains" text="Caida">
      <formula>ISERROR(SEARCH("Caida",S93))</formula>
    </cfRule>
    <cfRule type="containsText" dxfId="168" priority="653" operator="containsText" text="Caida">
      <formula>NOT(ISERROR(SEARCH("Caida",S93)))</formula>
    </cfRule>
  </conditionalFormatting>
  <conditionalFormatting sqref="T6:T92 T96:T230">
    <cfRule type="cellIs" dxfId="167" priority="650" operator="lessThan">
      <formula>0.8</formula>
    </cfRule>
    <cfRule type="cellIs" dxfId="166" priority="651" operator="greaterThan">
      <formula>0.8</formula>
    </cfRule>
  </conditionalFormatting>
  <conditionalFormatting sqref="T6:T92 T96:T230">
    <cfRule type="notContainsText" dxfId="165" priority="648" operator="notContains" text="Caida">
      <formula>ISERROR(SEARCH("Caida",T6))</formula>
    </cfRule>
    <cfRule type="containsText" dxfId="164" priority="649" operator="containsText" text="Caida">
      <formula>NOT(ISERROR(SEARCH("Caida",T6)))</formula>
    </cfRule>
  </conditionalFormatting>
  <conditionalFormatting sqref="T337:T366 T284:T334">
    <cfRule type="cellIs" dxfId="163" priority="646" operator="lessThan">
      <formula>0.8</formula>
    </cfRule>
    <cfRule type="cellIs" dxfId="162" priority="647" operator="greaterThan">
      <formula>0.8</formula>
    </cfRule>
  </conditionalFormatting>
  <conditionalFormatting sqref="T337:T366 T284:T334">
    <cfRule type="notContainsText" dxfId="161" priority="644" operator="notContains" text="Caida">
      <formula>ISERROR(SEARCH("Caida",T284))</formula>
    </cfRule>
    <cfRule type="containsText" dxfId="160" priority="645" operator="containsText" text="Caida">
      <formula>NOT(ISERROR(SEARCH("Caida",T284)))</formula>
    </cfRule>
  </conditionalFormatting>
  <conditionalFormatting sqref="T93:T95">
    <cfRule type="cellIs" dxfId="159" priority="642" operator="lessThan">
      <formula>0.8</formula>
    </cfRule>
    <cfRule type="cellIs" dxfId="158" priority="643" operator="greaterThan">
      <formula>0.8</formula>
    </cfRule>
  </conditionalFormatting>
  <conditionalFormatting sqref="T93:T95">
    <cfRule type="notContainsText" dxfId="157" priority="640" operator="notContains" text="Caida">
      <formula>ISERROR(SEARCH("Caida",T93))</formula>
    </cfRule>
    <cfRule type="containsText" dxfId="156" priority="641" operator="containsText" text="Caida">
      <formula>NOT(ISERROR(SEARCH("Caida",T93)))</formula>
    </cfRule>
  </conditionalFormatting>
  <conditionalFormatting sqref="F1:F372 F391:F1048576">
    <cfRule type="cellIs" dxfId="155" priority="569" operator="equal">
      <formula>"PTP A FO"</formula>
    </cfRule>
  </conditionalFormatting>
  <conditionalFormatting sqref="R371:T372">
    <cfRule type="cellIs" dxfId="154" priority="198" operator="lessThan">
      <formula>0.8</formula>
    </cfRule>
    <cfRule type="cellIs" dxfId="153" priority="199" operator="greaterThan">
      <formula>0.8</formula>
    </cfRule>
  </conditionalFormatting>
  <conditionalFormatting sqref="R371:T372">
    <cfRule type="notContainsText" dxfId="152" priority="196" operator="notContains" text="Caida">
      <formula>ISERROR(SEARCH("Caida",R371))</formula>
    </cfRule>
    <cfRule type="containsText" dxfId="151" priority="197" operator="containsText" text="Caida">
      <formula>NOT(ISERROR(SEARCH("Caida",R371)))</formula>
    </cfRule>
  </conditionalFormatting>
  <conditionalFormatting sqref="O6:O92">
    <cfRule type="cellIs" dxfId="150" priority="186" operator="lessThan">
      <formula>0.8</formula>
    </cfRule>
    <cfRule type="cellIs" dxfId="149" priority="187" operator="greaterThan">
      <formula>0.8</formula>
    </cfRule>
  </conditionalFormatting>
  <conditionalFormatting sqref="O6:O92">
    <cfRule type="notContainsText" dxfId="148" priority="184" operator="notContains" text="Caida">
      <formula>ISERROR(SEARCH("Caida",O6))</formula>
    </cfRule>
    <cfRule type="containsText" dxfId="147" priority="185" operator="containsText" text="Caida">
      <formula>NOT(ISERROR(SEARCH("Caida",O6)))</formula>
    </cfRule>
  </conditionalFormatting>
  <conditionalFormatting sqref="O22">
    <cfRule type="containsText" dxfId="146" priority="183" operator="containsText" text="Instaladas en Funcionamiento Caida">
      <formula>NOT(ISERROR(SEARCH("Instaladas en Funcionamiento Caida",O22)))</formula>
    </cfRule>
  </conditionalFormatting>
  <conditionalFormatting sqref="O5">
    <cfRule type="cellIs" dxfId="145" priority="181" operator="lessThan">
      <formula>0.8</formula>
    </cfRule>
    <cfRule type="cellIs" dxfId="144" priority="182" operator="greaterThan">
      <formula>0.8</formula>
    </cfRule>
  </conditionalFormatting>
  <conditionalFormatting sqref="O5">
    <cfRule type="notContainsText" dxfId="143" priority="179" operator="notContains" text="Caida">
      <formula>ISERROR(SEARCH("Caida",O5))</formula>
    </cfRule>
    <cfRule type="containsText" dxfId="142" priority="180" operator="containsText" text="Caida">
      <formula>NOT(ISERROR(SEARCH("Caida",O5)))</formula>
    </cfRule>
  </conditionalFormatting>
  <conditionalFormatting sqref="O93:O94">
    <cfRule type="cellIs" dxfId="141" priority="177" operator="lessThan">
      <formula>0.8</formula>
    </cfRule>
    <cfRule type="cellIs" dxfId="140" priority="178" operator="greaterThan">
      <formula>0.8</formula>
    </cfRule>
  </conditionalFormatting>
  <conditionalFormatting sqref="O93:O94">
    <cfRule type="notContainsText" dxfId="139" priority="175" operator="notContains" text="Caida">
      <formula>ISERROR(SEARCH("Caida",O93))</formula>
    </cfRule>
    <cfRule type="containsText" dxfId="138" priority="176" operator="containsText" text="Caida">
      <formula>NOT(ISERROR(SEARCH("Caida",O93)))</formula>
    </cfRule>
  </conditionalFormatting>
  <conditionalFormatting sqref="AR6:AR92">
    <cfRule type="cellIs" dxfId="137" priority="168" operator="lessThan">
      <formula>0.8</formula>
    </cfRule>
    <cfRule type="cellIs" dxfId="136" priority="169" operator="greaterThan">
      <formula>0.8</formula>
    </cfRule>
  </conditionalFormatting>
  <conditionalFormatting sqref="AR6:AR92">
    <cfRule type="notContainsText" dxfId="135" priority="166" operator="notContains" text="Caida">
      <formula>ISERROR(SEARCH("Caida",AR6))</formula>
    </cfRule>
    <cfRule type="containsText" dxfId="134" priority="167" operator="containsText" text="Caida">
      <formula>NOT(ISERROR(SEARCH("Caida",AR6)))</formula>
    </cfRule>
  </conditionalFormatting>
  <conditionalFormatting sqref="AR93:AR94">
    <cfRule type="cellIs" dxfId="133" priority="164" operator="lessThan">
      <formula>0.8</formula>
    </cfRule>
    <cfRule type="cellIs" dxfId="132" priority="165" operator="greaterThan">
      <formula>0.8</formula>
    </cfRule>
  </conditionalFormatting>
  <conditionalFormatting sqref="AR93:AR94">
    <cfRule type="notContainsText" dxfId="131" priority="162" operator="notContains" text="Caida">
      <formula>ISERROR(SEARCH("Caida",AR93))</formula>
    </cfRule>
    <cfRule type="containsText" dxfId="130" priority="163" operator="containsText" text="Caida">
      <formula>NOT(ISERROR(SEARCH("Caida",AR93)))</formula>
    </cfRule>
  </conditionalFormatting>
  <conditionalFormatting sqref="Y6:AF92">
    <cfRule type="cellIs" dxfId="129" priority="103" operator="lessThan">
      <formula>0.8</formula>
    </cfRule>
    <cfRule type="cellIs" dxfId="128" priority="104" operator="greaterThan">
      <formula>0.8</formula>
    </cfRule>
  </conditionalFormatting>
  <conditionalFormatting sqref="Y6:AF92">
    <cfRule type="notContainsText" dxfId="127" priority="101" operator="notContains" text="Caida">
      <formula>ISERROR(SEARCH("Caida",Y6))</formula>
    </cfRule>
    <cfRule type="containsText" dxfId="126" priority="102" operator="containsText" text="Caida">
      <formula>NOT(ISERROR(SEARCH("Caida",Y6)))</formula>
    </cfRule>
  </conditionalFormatting>
  <conditionalFormatting sqref="Y93:AF95">
    <cfRule type="cellIs" dxfId="125" priority="99" operator="lessThan">
      <formula>0.8</formula>
    </cfRule>
    <cfRule type="cellIs" dxfId="124" priority="100" operator="greaterThan">
      <formula>0.8</formula>
    </cfRule>
  </conditionalFormatting>
  <conditionalFormatting sqref="Y93:AF95">
    <cfRule type="notContainsText" dxfId="123" priority="97" operator="notContains" text="Caida">
      <formula>ISERROR(SEARCH("Caida",Y93))</formula>
    </cfRule>
    <cfRule type="containsText" dxfId="122" priority="98" operator="containsText" text="Caida">
      <formula>NOT(ISERROR(SEARCH("Caida",Y93)))</formula>
    </cfRule>
  </conditionalFormatting>
  <conditionalFormatting sqref="AF1:AF3 AF5:AF376 AF378:AF1048576">
    <cfRule type="cellIs" dxfId="121" priority="96" operator="equal">
      <formula>"apagado"</formula>
    </cfRule>
  </conditionalFormatting>
  <conditionalFormatting sqref="AE1:AE3 AE5:AE376 AE378:AE1048576">
    <cfRule type="cellIs" dxfId="120" priority="95" operator="equal">
      <formula>"apagado"</formula>
    </cfRule>
  </conditionalFormatting>
  <conditionalFormatting sqref="AD1:AD3 AD5:AD376 AD378:AD1048576">
    <cfRule type="cellIs" dxfId="119" priority="94" operator="equal">
      <formula>"apagado"</formula>
    </cfRule>
  </conditionalFormatting>
  <conditionalFormatting sqref="AC1:AC3 AC5:AC376 AC378:AC1048576">
    <cfRule type="cellIs" dxfId="118" priority="93" operator="equal">
      <formula>"apagado"</formula>
    </cfRule>
  </conditionalFormatting>
  <conditionalFormatting sqref="AB1:AB3 AB5:AB376 AB378:AB1048576">
    <cfRule type="cellIs" dxfId="117" priority="92" operator="equal">
      <formula>"apagado"</formula>
    </cfRule>
  </conditionalFormatting>
  <conditionalFormatting sqref="AA1:AA3 AA5:AA376 AA378:AA1048576">
    <cfRule type="cellIs" dxfId="116" priority="91" operator="equal">
      <formula>"apagado"</formula>
    </cfRule>
  </conditionalFormatting>
  <conditionalFormatting sqref="Z1:Z3 Z5:Z376 Z378:Z1048576">
    <cfRule type="cellIs" dxfId="115" priority="90" operator="equal">
      <formula>"apagado"</formula>
    </cfRule>
  </conditionalFormatting>
  <conditionalFormatting sqref="Y1:Y3 Y5:Y376 Y378:Y1048576">
    <cfRule type="cellIs" dxfId="114" priority="89" operator="equal">
      <formula>"apagado"</formula>
    </cfRule>
  </conditionalFormatting>
  <conditionalFormatting sqref="AG6:AG92">
    <cfRule type="cellIs" dxfId="113" priority="87" operator="lessThan">
      <formula>0.8</formula>
    </cfRule>
    <cfRule type="cellIs" dxfId="112" priority="88" operator="greaterThan">
      <formula>0.8</formula>
    </cfRule>
  </conditionalFormatting>
  <conditionalFormatting sqref="AG6:AG92">
    <cfRule type="notContainsText" dxfId="111" priority="85" operator="notContains" text="Caida">
      <formula>ISERROR(SEARCH("Caida",AG6))</formula>
    </cfRule>
    <cfRule type="containsText" dxfId="110" priority="86" operator="containsText" text="Caida">
      <formula>NOT(ISERROR(SEARCH("Caida",AG6)))</formula>
    </cfRule>
  </conditionalFormatting>
  <conditionalFormatting sqref="AG93:AG95">
    <cfRule type="cellIs" dxfId="109" priority="83" operator="lessThan">
      <formula>0.8</formula>
    </cfRule>
    <cfRule type="cellIs" dxfId="108" priority="84" operator="greaterThan">
      <formula>0.8</formula>
    </cfRule>
  </conditionalFormatting>
  <conditionalFormatting sqref="AG93:AG95">
    <cfRule type="notContainsText" dxfId="107" priority="81" operator="notContains" text="Caida">
      <formula>ISERROR(SEARCH("Caida",AG93))</formula>
    </cfRule>
    <cfRule type="containsText" dxfId="106" priority="82" operator="containsText" text="Caida">
      <formula>NOT(ISERROR(SEARCH("Caida",AG93)))</formula>
    </cfRule>
  </conditionalFormatting>
  <conditionalFormatting sqref="AG1:AG3 AG5:AG376 AG378:AG1048576">
    <cfRule type="cellIs" dxfId="105" priority="80" operator="equal">
      <formula>"apagado"</formula>
    </cfRule>
  </conditionalFormatting>
  <conditionalFormatting sqref="AH6:AH92">
    <cfRule type="cellIs" dxfId="104" priority="78" operator="lessThan">
      <formula>0.8</formula>
    </cfRule>
    <cfRule type="cellIs" dxfId="103" priority="79" operator="greaterThan">
      <formula>0.8</formula>
    </cfRule>
  </conditionalFormatting>
  <conditionalFormatting sqref="AH6:AH92">
    <cfRule type="notContainsText" dxfId="102" priority="76" operator="notContains" text="Caida">
      <formula>ISERROR(SEARCH("Caida",AH6))</formula>
    </cfRule>
    <cfRule type="containsText" dxfId="101" priority="77" operator="containsText" text="Caida">
      <formula>NOT(ISERROR(SEARCH("Caida",AH6)))</formula>
    </cfRule>
  </conditionalFormatting>
  <conditionalFormatting sqref="AH93:AH95">
    <cfRule type="cellIs" dxfId="100" priority="74" operator="lessThan">
      <formula>0.8</formula>
    </cfRule>
    <cfRule type="cellIs" dxfId="99" priority="75" operator="greaterThan">
      <formula>0.8</formula>
    </cfRule>
  </conditionalFormatting>
  <conditionalFormatting sqref="AH93:AH95">
    <cfRule type="notContainsText" dxfId="98" priority="72" operator="notContains" text="Caida">
      <formula>ISERROR(SEARCH("Caida",AH93))</formula>
    </cfRule>
    <cfRule type="containsText" dxfId="97" priority="73" operator="containsText" text="Caida">
      <formula>NOT(ISERROR(SEARCH("Caida",AH93)))</formula>
    </cfRule>
  </conditionalFormatting>
  <conditionalFormatting sqref="AH1:AH3 AH5:AH376 AH378:AH1048576">
    <cfRule type="cellIs" dxfId="96" priority="71" operator="equal">
      <formula>"apagado"</formula>
    </cfRule>
  </conditionalFormatting>
  <conditionalFormatting sqref="AI6:AI92">
    <cfRule type="cellIs" dxfId="95" priority="69" operator="lessThan">
      <formula>0.8</formula>
    </cfRule>
    <cfRule type="cellIs" dxfId="94" priority="70" operator="greaterThan">
      <formula>0.8</formula>
    </cfRule>
  </conditionalFormatting>
  <conditionalFormatting sqref="AI6:AI92">
    <cfRule type="notContainsText" dxfId="93" priority="67" operator="notContains" text="Caida">
      <formula>ISERROR(SEARCH("Caida",AI6))</formula>
    </cfRule>
    <cfRule type="containsText" dxfId="92" priority="68" operator="containsText" text="Caida">
      <formula>NOT(ISERROR(SEARCH("Caida",AI6)))</formula>
    </cfRule>
  </conditionalFormatting>
  <conditionalFormatting sqref="AI93:AI95">
    <cfRule type="cellIs" dxfId="91" priority="65" operator="lessThan">
      <formula>0.8</formula>
    </cfRule>
    <cfRule type="cellIs" dxfId="90" priority="66" operator="greaterThan">
      <formula>0.8</formula>
    </cfRule>
  </conditionalFormatting>
  <conditionalFormatting sqref="AI93:AI95">
    <cfRule type="notContainsText" dxfId="89" priority="63" operator="notContains" text="Caida">
      <formula>ISERROR(SEARCH("Caida",AI93))</formula>
    </cfRule>
    <cfRule type="containsText" dxfId="88" priority="64" operator="containsText" text="Caida">
      <formula>NOT(ISERROR(SEARCH("Caida",AI93)))</formula>
    </cfRule>
  </conditionalFormatting>
  <conditionalFormatting sqref="AI1:AI3 AI5:AI376 AI378:AI1048576">
    <cfRule type="cellIs" dxfId="87" priority="62" operator="equal">
      <formula>"apagado"</formula>
    </cfRule>
  </conditionalFormatting>
  <conditionalFormatting sqref="AJ6:AJ92">
    <cfRule type="cellIs" dxfId="86" priority="60" operator="lessThan">
      <formula>0.8</formula>
    </cfRule>
    <cfRule type="cellIs" dxfId="85" priority="61" operator="greaterThan">
      <formula>0.8</formula>
    </cfRule>
  </conditionalFormatting>
  <conditionalFormatting sqref="AJ6:AJ92">
    <cfRule type="notContainsText" dxfId="84" priority="58" operator="notContains" text="Caida">
      <formula>ISERROR(SEARCH("Caida",AJ6))</formula>
    </cfRule>
    <cfRule type="containsText" dxfId="83" priority="59" operator="containsText" text="Caida">
      <formula>NOT(ISERROR(SEARCH("Caida",AJ6)))</formula>
    </cfRule>
  </conditionalFormatting>
  <conditionalFormatting sqref="AJ93:AJ95">
    <cfRule type="cellIs" dxfId="82" priority="56" operator="lessThan">
      <formula>0.8</formula>
    </cfRule>
    <cfRule type="cellIs" dxfId="81" priority="57" operator="greaterThan">
      <formula>0.8</formula>
    </cfRule>
  </conditionalFormatting>
  <conditionalFormatting sqref="AJ93:AJ95">
    <cfRule type="notContainsText" dxfId="80" priority="54" operator="notContains" text="Caida">
      <formula>ISERROR(SEARCH("Caida",AJ93))</formula>
    </cfRule>
    <cfRule type="containsText" dxfId="79" priority="55" operator="containsText" text="Caida">
      <formula>NOT(ISERROR(SEARCH("Caida",AJ93)))</formula>
    </cfRule>
  </conditionalFormatting>
  <conditionalFormatting sqref="AJ1:AJ3 AJ5:AJ376 AJ378:AJ1048576">
    <cfRule type="cellIs" dxfId="78" priority="53" operator="equal">
      <formula>"apagado"</formula>
    </cfRule>
  </conditionalFormatting>
  <conditionalFormatting sqref="AQ95:AQ369">
    <cfRule type="cellIs" dxfId="77" priority="34" operator="lessThan">
      <formula>0.8</formula>
    </cfRule>
    <cfRule type="cellIs" dxfId="76" priority="35" operator="greaterThan">
      <formula>0.8</formula>
    </cfRule>
  </conditionalFormatting>
  <conditionalFormatting sqref="AQ95:AQ372 AQ391:AQ1048576">
    <cfRule type="notContainsText" dxfId="75" priority="32" operator="notContains" text="Caida">
      <formula>ISERROR(SEARCH("Caida",AQ95))</formula>
    </cfRule>
    <cfRule type="containsText" dxfId="74" priority="33" operator="containsText" text="Caida">
      <formula>NOT(ISERROR(SEARCH("Caida",AQ95)))</formula>
    </cfRule>
  </conditionalFormatting>
  <conditionalFormatting sqref="AQ6:AQ92">
    <cfRule type="cellIs" dxfId="73" priority="30" operator="lessThan">
      <formula>0.8</formula>
    </cfRule>
    <cfRule type="cellIs" dxfId="72" priority="31" operator="greaterThan">
      <formula>0.8</formula>
    </cfRule>
  </conditionalFormatting>
  <conditionalFormatting sqref="AQ6:AQ92">
    <cfRule type="notContainsText" dxfId="71" priority="28" operator="notContains" text="Caida">
      <formula>ISERROR(SEARCH("Caida",AQ6))</formula>
    </cfRule>
    <cfRule type="containsText" dxfId="70" priority="29" operator="containsText" text="Caida">
      <formula>NOT(ISERROR(SEARCH("Caida",AQ6)))</formula>
    </cfRule>
  </conditionalFormatting>
  <conditionalFormatting sqref="AQ93:AQ94">
    <cfRule type="cellIs" dxfId="69" priority="26" operator="lessThan">
      <formula>0.8</formula>
    </cfRule>
    <cfRule type="cellIs" dxfId="68" priority="27" operator="greaterThan">
      <formula>0.8</formula>
    </cfRule>
  </conditionalFormatting>
  <conditionalFormatting sqref="AQ93:AQ94">
    <cfRule type="notContainsText" dxfId="67" priority="24" operator="notContains" text="Caida">
      <formula>ISERROR(SEARCH("Caida",AQ93))</formula>
    </cfRule>
    <cfRule type="containsText" dxfId="66" priority="25" operator="containsText" text="Caida">
      <formula>NOT(ISERROR(SEARCH("Caida",AQ93)))</formula>
    </cfRule>
  </conditionalFormatting>
  <conditionalFormatting sqref="AQ10">
    <cfRule type="cellIs" dxfId="65" priority="19" operator="equal">
      <formula>"apagado"</formula>
    </cfRule>
    <cfRule type="cellIs" dxfId="64" priority="22" operator="lessThan">
      <formula>0.8</formula>
    </cfRule>
    <cfRule type="cellIs" dxfId="63" priority="23" operator="greaterThan">
      <formula>0.8</formula>
    </cfRule>
  </conditionalFormatting>
  <conditionalFormatting sqref="AQ10">
    <cfRule type="notContainsText" dxfId="62" priority="20" operator="notContains" text="Caida">
      <formula>ISERROR(SEARCH("Caida",AQ10))</formula>
    </cfRule>
    <cfRule type="containsText" dxfId="61" priority="21" operator="containsText" text="Caida">
      <formula>NOT(ISERROR(SEARCH("Caida",AQ10)))</formula>
    </cfRule>
  </conditionalFormatting>
  <conditionalFormatting sqref="AQ1:AQ3 AQ5:AQ376 AQ378:AQ1048576">
    <cfRule type="cellIs" dxfId="60" priority="18" operator="equal">
      <formula>"apagado"</formula>
    </cfRule>
  </conditionalFormatting>
  <conditionalFormatting sqref="O5:AR376">
    <cfRule type="cellIs" dxfId="59" priority="17" operator="equal">
      <formula>"APAGADO"</formula>
    </cfRule>
  </conditionalFormatting>
  <conditionalFormatting sqref="AF377">
    <cfRule type="cellIs" dxfId="58" priority="14" operator="equal">
      <formula>"apagado"</formula>
    </cfRule>
  </conditionalFormatting>
  <conditionalFormatting sqref="AE377">
    <cfRule type="cellIs" dxfId="57" priority="13" operator="equal">
      <formula>"apagado"</formula>
    </cfRule>
  </conditionalFormatting>
  <conditionalFormatting sqref="AD377">
    <cfRule type="cellIs" dxfId="56" priority="12" operator="equal">
      <formula>"apagado"</formula>
    </cfRule>
  </conditionalFormatting>
  <conditionalFormatting sqref="AC377">
    <cfRule type="cellIs" dxfId="55" priority="11" operator="equal">
      <formula>"apagado"</formula>
    </cfRule>
  </conditionalFormatting>
  <conditionalFormatting sqref="AB377">
    <cfRule type="cellIs" dxfId="54" priority="10" operator="equal">
      <formula>"apagado"</formula>
    </cfRule>
  </conditionalFormatting>
  <conditionalFormatting sqref="AA377">
    <cfRule type="cellIs" dxfId="53" priority="9" operator="equal">
      <formula>"apagado"</formula>
    </cfRule>
  </conditionalFormatting>
  <conditionalFormatting sqref="Z377">
    <cfRule type="cellIs" dxfId="52" priority="8" operator="equal">
      <formula>"apagado"</formula>
    </cfRule>
  </conditionalFormatting>
  <conditionalFormatting sqref="Y377">
    <cfRule type="cellIs" dxfId="51" priority="7" operator="equal">
      <formula>"apagado"</formula>
    </cfRule>
  </conditionalFormatting>
  <conditionalFormatting sqref="AG377">
    <cfRule type="cellIs" dxfId="50" priority="6" operator="equal">
      <formula>"apagado"</formula>
    </cfRule>
  </conditionalFormatting>
  <conditionalFormatting sqref="AH377">
    <cfRule type="cellIs" dxfId="49" priority="5" operator="equal">
      <formula>"apagado"</formula>
    </cfRule>
  </conditionalFormatting>
  <conditionalFormatting sqref="AI377">
    <cfRule type="cellIs" dxfId="48" priority="4" operator="equal">
      <formula>"apagado"</formula>
    </cfRule>
  </conditionalFormatting>
  <conditionalFormatting sqref="AJ377">
    <cfRule type="cellIs" dxfId="47" priority="3" operator="equal">
      <formula>"apagado"</formula>
    </cfRule>
  </conditionalFormatting>
  <conditionalFormatting sqref="AQ377">
    <cfRule type="cellIs" dxfId="46" priority="2" operator="equal">
      <formula>"apagado"</formula>
    </cfRule>
  </conditionalFormatting>
  <conditionalFormatting sqref="O377:AR377">
    <cfRule type="cellIs" dxfId="45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:H13"/>
  <sheetViews>
    <sheetView workbookViewId="0">
      <selection activeCell="I20" sqref="I20"/>
    </sheetView>
  </sheetViews>
  <sheetFormatPr baseColWidth="10" defaultRowHeight="15" x14ac:dyDescent="0.25"/>
  <cols>
    <col min="2" max="2" width="22.28515625" bestFit="1" customWidth="1"/>
    <col min="3" max="3" width="37.7109375" bestFit="1" customWidth="1"/>
    <col min="4" max="4" width="34.28515625" bestFit="1" customWidth="1"/>
    <col min="7" max="7" width="9.7109375" bestFit="1" customWidth="1"/>
  </cols>
  <sheetData>
    <row r="1" spans="1:8" ht="20.25" thickTop="1" thickBot="1" x14ac:dyDescent="0.35">
      <c r="A1" s="76"/>
      <c r="B1" s="70" t="s">
        <v>7</v>
      </c>
      <c r="C1" s="71" t="s">
        <v>8</v>
      </c>
      <c r="D1" s="70" t="s">
        <v>9</v>
      </c>
      <c r="E1" s="70" t="s">
        <v>10</v>
      </c>
      <c r="F1" s="70" t="s">
        <v>11</v>
      </c>
      <c r="G1" s="15">
        <v>44651</v>
      </c>
      <c r="H1" s="11"/>
    </row>
    <row r="2" spans="1:8" ht="15.75" thickTop="1" x14ac:dyDescent="0.25">
      <c r="A2" s="76">
        <v>1</v>
      </c>
      <c r="B2" s="70" t="s">
        <v>415</v>
      </c>
      <c r="C2" s="71" t="s">
        <v>421</v>
      </c>
      <c r="D2" s="70" t="s">
        <v>422</v>
      </c>
      <c r="E2" s="70" t="s">
        <v>113</v>
      </c>
      <c r="F2" s="70" t="s">
        <v>36</v>
      </c>
      <c r="G2" s="27" t="s">
        <v>1343</v>
      </c>
      <c r="H2" s="16" t="s">
        <v>1094</v>
      </c>
    </row>
    <row r="3" spans="1:8" x14ac:dyDescent="0.25">
      <c r="A3" s="76">
        <v>2</v>
      </c>
      <c r="B3" s="70" t="s">
        <v>412</v>
      </c>
      <c r="C3" s="71" t="s">
        <v>413</v>
      </c>
      <c r="D3" s="70" t="s">
        <v>414</v>
      </c>
      <c r="E3" s="70" t="s">
        <v>24</v>
      </c>
      <c r="F3" s="70" t="s">
        <v>36</v>
      </c>
      <c r="G3" s="27" t="s">
        <v>1343</v>
      </c>
      <c r="H3" s="16" t="s">
        <v>1091</v>
      </c>
    </row>
    <row r="4" spans="1:8" x14ac:dyDescent="0.25">
      <c r="A4" s="76">
        <v>3</v>
      </c>
      <c r="B4" s="70" t="s">
        <v>456</v>
      </c>
      <c r="C4" s="71" t="s">
        <v>457</v>
      </c>
      <c r="D4" s="70" t="s">
        <v>458</v>
      </c>
      <c r="E4" s="70" t="s">
        <v>24</v>
      </c>
      <c r="F4" s="70" t="s">
        <v>36</v>
      </c>
      <c r="G4" s="27" t="s">
        <v>1343</v>
      </c>
      <c r="H4" s="16" t="s">
        <v>1113</v>
      </c>
    </row>
    <row r="5" spans="1:8" x14ac:dyDescent="0.25">
      <c r="A5" s="76">
        <v>4</v>
      </c>
      <c r="B5" s="70" t="s">
        <v>456</v>
      </c>
      <c r="C5" s="71" t="s">
        <v>466</v>
      </c>
      <c r="D5" s="70" t="s">
        <v>467</v>
      </c>
      <c r="E5" s="70" t="s">
        <v>19</v>
      </c>
      <c r="F5" s="70" t="s">
        <v>36</v>
      </c>
      <c r="G5" s="27" t="s">
        <v>1343</v>
      </c>
      <c r="H5" s="16" t="s">
        <v>1116</v>
      </c>
    </row>
    <row r="6" spans="1:8" x14ac:dyDescent="0.25">
      <c r="A6" s="76">
        <v>5</v>
      </c>
      <c r="B6" s="70" t="s">
        <v>289</v>
      </c>
      <c r="C6" s="71" t="s">
        <v>524</v>
      </c>
      <c r="D6" s="70" t="s">
        <v>525</v>
      </c>
      <c r="E6" s="70" t="s">
        <v>19</v>
      </c>
      <c r="F6" s="70" t="s">
        <v>36</v>
      </c>
      <c r="G6" s="27" t="s">
        <v>1343</v>
      </c>
      <c r="H6" s="16" t="s">
        <v>1139</v>
      </c>
    </row>
    <row r="7" spans="1:8" x14ac:dyDescent="0.25">
      <c r="A7" s="76">
        <v>6</v>
      </c>
      <c r="B7" s="70" t="s">
        <v>549</v>
      </c>
      <c r="C7" s="71" t="s">
        <v>550</v>
      </c>
      <c r="D7" s="70" t="s">
        <v>551</v>
      </c>
      <c r="E7" s="70" t="s">
        <v>19</v>
      </c>
      <c r="F7" s="70" t="s">
        <v>36</v>
      </c>
      <c r="G7" s="27" t="s">
        <v>1343</v>
      </c>
      <c r="H7" s="16" t="s">
        <v>1155</v>
      </c>
    </row>
    <row r="8" spans="1:8" x14ac:dyDescent="0.25">
      <c r="A8" s="76">
        <v>7</v>
      </c>
      <c r="B8" s="70" t="s">
        <v>549</v>
      </c>
      <c r="C8" s="71" t="s">
        <v>552</v>
      </c>
      <c r="D8" s="70" t="s">
        <v>551</v>
      </c>
      <c r="E8" s="70" t="s">
        <v>113</v>
      </c>
      <c r="F8" s="70" t="s">
        <v>36</v>
      </c>
      <c r="G8" s="27" t="s">
        <v>1343</v>
      </c>
      <c r="H8" s="16" t="s">
        <v>1156</v>
      </c>
    </row>
    <row r="9" spans="1:8" x14ac:dyDescent="0.25">
      <c r="A9" s="76">
        <v>8</v>
      </c>
      <c r="B9" s="70" t="s">
        <v>724</v>
      </c>
      <c r="C9" s="71" t="s">
        <v>733</v>
      </c>
      <c r="D9" s="70" t="s">
        <v>734</v>
      </c>
      <c r="E9" s="70" t="s">
        <v>19</v>
      </c>
      <c r="F9" s="70" t="s">
        <v>36</v>
      </c>
      <c r="G9" s="27" t="s">
        <v>1343</v>
      </c>
      <c r="H9" s="16" t="s">
        <v>1232</v>
      </c>
    </row>
    <row r="10" spans="1:8" x14ac:dyDescent="0.25">
      <c r="A10" s="76">
        <v>9</v>
      </c>
      <c r="B10" s="70" t="s">
        <v>724</v>
      </c>
      <c r="C10" s="71" t="s">
        <v>737</v>
      </c>
      <c r="D10" s="70" t="s">
        <v>738</v>
      </c>
      <c r="E10" s="70" t="s">
        <v>24</v>
      </c>
      <c r="F10" s="70" t="s">
        <v>36</v>
      </c>
      <c r="G10" s="27" t="s">
        <v>1343</v>
      </c>
      <c r="H10" s="16" t="s">
        <v>1233</v>
      </c>
    </row>
    <row r="11" spans="1:8" x14ac:dyDescent="0.25">
      <c r="A11" s="76">
        <v>10</v>
      </c>
      <c r="B11" s="70" t="s">
        <v>724</v>
      </c>
      <c r="C11" s="71" t="s">
        <v>739</v>
      </c>
      <c r="D11" s="70" t="s">
        <v>740</v>
      </c>
      <c r="E11" s="70" t="s">
        <v>19</v>
      </c>
      <c r="F11" s="70" t="s">
        <v>36</v>
      </c>
      <c r="G11" s="27" t="s">
        <v>1343</v>
      </c>
      <c r="H11" s="16" t="s">
        <v>1234</v>
      </c>
    </row>
    <row r="12" spans="1:8" x14ac:dyDescent="0.25">
      <c r="A12" s="76">
        <v>11</v>
      </c>
      <c r="B12" s="70" t="s">
        <v>724</v>
      </c>
      <c r="C12" s="71" t="s">
        <v>742</v>
      </c>
      <c r="D12" s="70" t="s">
        <v>743</v>
      </c>
      <c r="E12" s="70" t="s">
        <v>24</v>
      </c>
      <c r="F12" s="70" t="s">
        <v>36</v>
      </c>
      <c r="G12" s="27" t="s">
        <v>1343</v>
      </c>
      <c r="H12" s="16" t="s">
        <v>1235</v>
      </c>
    </row>
    <row r="13" spans="1:8" x14ac:dyDescent="0.25">
      <c r="A13" s="76">
        <v>12</v>
      </c>
      <c r="B13" s="70" t="s">
        <v>724</v>
      </c>
      <c r="C13" s="71" t="s">
        <v>744</v>
      </c>
      <c r="D13" s="70" t="s">
        <v>745</v>
      </c>
      <c r="E13" s="70" t="s">
        <v>24</v>
      </c>
      <c r="F13" s="70" t="s">
        <v>944</v>
      </c>
      <c r="G13" s="27" t="s">
        <v>1343</v>
      </c>
      <c r="H13" s="16" t="s">
        <v>1236</v>
      </c>
    </row>
  </sheetData>
  <conditionalFormatting sqref="G2:G13">
    <cfRule type="cellIs" dxfId="44" priority="37" operator="lessThan">
      <formula>0.8</formula>
    </cfRule>
    <cfRule type="cellIs" dxfId="43" priority="38" operator="greaterThan">
      <formula>0.8</formula>
    </cfRule>
  </conditionalFormatting>
  <conditionalFormatting sqref="E1:F13">
    <cfRule type="containsText" dxfId="42" priority="36" operator="containsText" text="Radio">
      <formula>NOT(ISERROR(SEARCH("Radio",E1)))</formula>
    </cfRule>
  </conditionalFormatting>
  <conditionalFormatting sqref="G2:G13">
    <cfRule type="notContainsText" dxfId="41" priority="34" operator="notContains" text="Caida">
      <formula>ISERROR(SEARCH("Caida",G2))</formula>
    </cfRule>
    <cfRule type="containsText" dxfId="40" priority="35" operator="containsText" text="Caida">
      <formula>NOT(ISERROR(SEARCH("Caida",G2)))</formula>
    </cfRule>
  </conditionalFormatting>
  <conditionalFormatting sqref="E2">
    <cfRule type="containsText" dxfId="39" priority="32" operator="containsText" text="fija">
      <formula>NOT(ISERROR(SEARCH("fija",E2)))</formula>
    </cfRule>
    <cfRule type="containsText" dxfId="38" priority="33" operator="containsText" text="domo">
      <formula>NOT(ISERROR(SEARCH("domo",E2)))</formula>
    </cfRule>
  </conditionalFormatting>
  <conditionalFormatting sqref="G2:G13">
    <cfRule type="cellIs" dxfId="37" priority="31" operator="equal">
      <formula>"APAGADO"</formula>
    </cfRule>
  </conditionalFormatting>
  <conditionalFormatting sqref="F2">
    <cfRule type="cellIs" dxfId="36" priority="30" operator="equal">
      <formula>"PTP A FO"</formula>
    </cfRule>
  </conditionalFormatting>
  <conditionalFormatting sqref="G1:G13">
    <cfRule type="cellIs" dxfId="35" priority="29" operator="equal">
      <formula>"apagado"</formula>
    </cfRule>
  </conditionalFormatting>
  <conditionalFormatting sqref="E3">
    <cfRule type="containsText" dxfId="34" priority="27" operator="containsText" text="fija">
      <formula>NOT(ISERROR(SEARCH("fija",E3)))</formula>
    </cfRule>
    <cfRule type="containsText" dxfId="33" priority="28" operator="containsText" text="domo">
      <formula>NOT(ISERROR(SEARCH("domo",E3)))</formula>
    </cfRule>
  </conditionalFormatting>
  <conditionalFormatting sqref="F3">
    <cfRule type="cellIs" dxfId="32" priority="26" operator="equal">
      <formula>"PTP A FO"</formula>
    </cfRule>
  </conditionalFormatting>
  <conditionalFormatting sqref="E4">
    <cfRule type="containsText" dxfId="31" priority="24" operator="containsText" text="fija">
      <formula>NOT(ISERROR(SEARCH("fija",E4)))</formula>
    </cfRule>
    <cfRule type="containsText" dxfId="30" priority="25" operator="containsText" text="domo">
      <formula>NOT(ISERROR(SEARCH("domo",E4)))</formula>
    </cfRule>
  </conditionalFormatting>
  <conditionalFormatting sqref="F4">
    <cfRule type="cellIs" dxfId="29" priority="23" operator="equal">
      <formula>"PTP A FO"</formula>
    </cfRule>
  </conditionalFormatting>
  <conditionalFormatting sqref="E5">
    <cfRule type="containsText" dxfId="28" priority="21" operator="containsText" text="fija">
      <formula>NOT(ISERROR(SEARCH("fija",E5)))</formula>
    </cfRule>
    <cfRule type="containsText" dxfId="27" priority="22" operator="containsText" text="domo">
      <formula>NOT(ISERROR(SEARCH("domo",E5)))</formula>
    </cfRule>
  </conditionalFormatting>
  <conditionalFormatting sqref="F5">
    <cfRule type="cellIs" dxfId="26" priority="20" operator="equal">
      <formula>"PTP A FO"</formula>
    </cfRule>
  </conditionalFormatting>
  <conditionalFormatting sqref="E6">
    <cfRule type="containsText" dxfId="25" priority="18" operator="containsText" text="fija">
      <formula>NOT(ISERROR(SEARCH("fija",E6)))</formula>
    </cfRule>
    <cfRule type="containsText" dxfId="24" priority="19" operator="containsText" text="domo">
      <formula>NOT(ISERROR(SEARCH("domo",E6)))</formula>
    </cfRule>
  </conditionalFormatting>
  <conditionalFormatting sqref="F6">
    <cfRule type="cellIs" dxfId="23" priority="17" operator="equal">
      <formula>"PTP A FO"</formula>
    </cfRule>
  </conditionalFormatting>
  <conditionalFormatting sqref="E7:E8">
    <cfRule type="containsText" dxfId="22" priority="15" operator="containsText" text="fija">
      <formula>NOT(ISERROR(SEARCH("fija",E7)))</formula>
    </cfRule>
    <cfRule type="containsText" dxfId="21" priority="16" operator="containsText" text="domo">
      <formula>NOT(ISERROR(SEARCH("domo",E7)))</formula>
    </cfRule>
  </conditionalFormatting>
  <conditionalFormatting sqref="F7:F8">
    <cfRule type="cellIs" dxfId="20" priority="14" operator="equal">
      <formula>"PTP A FO"</formula>
    </cfRule>
  </conditionalFormatting>
  <conditionalFormatting sqref="E9:E13">
    <cfRule type="containsText" dxfId="19" priority="12" operator="containsText" text="fija">
      <formula>NOT(ISERROR(SEARCH("fija",E9)))</formula>
    </cfRule>
    <cfRule type="containsText" dxfId="18" priority="13" operator="containsText" text="domo">
      <formula>NOT(ISERROR(SEARCH("domo",E9)))</formula>
    </cfRule>
  </conditionalFormatting>
  <conditionalFormatting sqref="F9:F13">
    <cfRule type="cellIs" dxfId="17" priority="11" operator="equal">
      <formula>"PTP A FO"</formula>
    </cfRule>
  </conditionalFormatting>
  <conditionalFormatting sqref="E1">
    <cfRule type="containsText" dxfId="16" priority="9" operator="containsText" text="fija">
      <formula>NOT(ISERROR(SEARCH("fija",E1)))</formula>
    </cfRule>
    <cfRule type="containsText" dxfId="15" priority="10" operator="containsText" text="domo">
      <formula>NOT(ISERROR(SEARCH("domo",E1)))</formula>
    </cfRule>
  </conditionalFormatting>
  <conditionalFormatting sqref="F1">
    <cfRule type="cellIs" dxfId="14" priority="8" operator="equal">
      <formula>"PTP A FO"</formula>
    </cfRule>
  </conditionalFormatting>
  <conditionalFormatting sqref="H2">
    <cfRule type="containsText" dxfId="13" priority="7" operator="containsText" text="Radio">
      <formula>NOT(ISERROR(SEARCH("Radio",H2)))</formula>
    </cfRule>
  </conditionalFormatting>
  <conditionalFormatting sqref="H3">
    <cfRule type="containsText" dxfId="12" priority="6" operator="containsText" text="Radio">
      <formula>NOT(ISERROR(SEARCH("Radio",H3)))</formula>
    </cfRule>
  </conditionalFormatting>
  <conditionalFormatting sqref="H4">
    <cfRule type="containsText" dxfId="11" priority="5" operator="containsText" text="Radio">
      <formula>NOT(ISERROR(SEARCH("Radio",H4)))</formula>
    </cfRule>
  </conditionalFormatting>
  <conditionalFormatting sqref="H5">
    <cfRule type="containsText" dxfId="10" priority="4" operator="containsText" text="Radio">
      <formula>NOT(ISERROR(SEARCH("Radio",H5)))</formula>
    </cfRule>
  </conditionalFormatting>
  <conditionalFormatting sqref="H6">
    <cfRule type="containsText" dxfId="9" priority="3" operator="containsText" text="Radio">
      <formula>NOT(ISERROR(SEARCH("Radio",H6)))</formula>
    </cfRule>
  </conditionalFormatting>
  <conditionalFormatting sqref="H7:H8">
    <cfRule type="containsText" dxfId="8" priority="2" operator="containsText" text="Radio">
      <formula>NOT(ISERROR(SEARCH("Radio",H7)))</formula>
    </cfRule>
  </conditionalFormatting>
  <conditionalFormatting sqref="H9:H13">
    <cfRule type="containsText" dxfId="7" priority="1" operator="containsText" text="Radio">
      <formula>NOT(ISERROR(SEARCH("Radio",H9)))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3"/>
  <sheetViews>
    <sheetView workbookViewId="0">
      <selection activeCell="B31" sqref="B31"/>
    </sheetView>
  </sheetViews>
  <sheetFormatPr baseColWidth="10" defaultColWidth="11.5703125" defaultRowHeight="15" x14ac:dyDescent="0.25"/>
  <cols>
    <col min="1" max="1" width="18.28515625" style="47" bestFit="1" customWidth="1"/>
    <col min="2" max="2" width="81.140625" style="47" bestFit="1" customWidth="1"/>
    <col min="3" max="16384" width="11.5703125" style="47"/>
  </cols>
  <sheetData>
    <row r="1" spans="1:1" x14ac:dyDescent="0.25">
      <c r="A1" s="47" t="s">
        <v>1310</v>
      </c>
    </row>
    <row r="2" spans="1:1" ht="15.75" thickBot="1" x14ac:dyDescent="0.3"/>
    <row r="3" spans="1:1" ht="20.25" thickTop="1" thickBot="1" x14ac:dyDescent="0.3">
      <c r="A3" s="48">
        <v>44652</v>
      </c>
    </row>
    <row r="4" spans="1:1" ht="20.25" thickTop="1" thickBot="1" x14ac:dyDescent="0.3">
      <c r="A4" s="48">
        <v>44653</v>
      </c>
    </row>
    <row r="5" spans="1:1" ht="20.25" thickTop="1" thickBot="1" x14ac:dyDescent="0.3">
      <c r="A5" s="48">
        <v>44654</v>
      </c>
    </row>
    <row r="6" spans="1:1" ht="20.25" thickTop="1" thickBot="1" x14ac:dyDescent="0.3">
      <c r="A6" s="48">
        <v>44655</v>
      </c>
    </row>
    <row r="7" spans="1:1" ht="20.25" thickTop="1" thickBot="1" x14ac:dyDescent="0.3">
      <c r="A7" s="48">
        <v>44656</v>
      </c>
    </row>
    <row r="8" spans="1:1" ht="20.25" thickTop="1" thickBot="1" x14ac:dyDescent="0.3">
      <c r="A8" s="48">
        <v>44657</v>
      </c>
    </row>
    <row r="9" spans="1:1" ht="20.25" thickTop="1" thickBot="1" x14ac:dyDescent="0.3">
      <c r="A9" s="48">
        <v>44658</v>
      </c>
    </row>
    <row r="10" spans="1:1" ht="20.25" thickTop="1" thickBot="1" x14ac:dyDescent="0.3">
      <c r="A10" s="48">
        <v>44659</v>
      </c>
    </row>
    <row r="11" spans="1:1" ht="20.25" thickTop="1" thickBot="1" x14ac:dyDescent="0.3">
      <c r="A11" s="48">
        <v>44660</v>
      </c>
    </row>
    <row r="12" spans="1:1" ht="20.25" thickTop="1" thickBot="1" x14ac:dyDescent="0.3">
      <c r="A12" s="48">
        <v>44661</v>
      </c>
    </row>
    <row r="13" spans="1:1" ht="20.25" thickTop="1" thickBot="1" x14ac:dyDescent="0.3">
      <c r="A13" s="48">
        <v>44662</v>
      </c>
    </row>
    <row r="14" spans="1:1" ht="20.25" thickTop="1" thickBot="1" x14ac:dyDescent="0.3">
      <c r="A14" s="48">
        <v>44663</v>
      </c>
    </row>
    <row r="15" spans="1:1" ht="20.25" thickTop="1" thickBot="1" x14ac:dyDescent="0.3">
      <c r="A15" s="48">
        <v>44664</v>
      </c>
    </row>
    <row r="16" spans="1:1" ht="20.25" thickTop="1" thickBot="1" x14ac:dyDescent="0.3">
      <c r="A16" s="48">
        <v>44665</v>
      </c>
    </row>
    <row r="17" spans="1:2" ht="20.25" thickTop="1" thickBot="1" x14ac:dyDescent="0.3">
      <c r="A17" s="48">
        <v>44666</v>
      </c>
    </row>
    <row r="18" spans="1:2" ht="20.25" thickTop="1" thickBot="1" x14ac:dyDescent="0.3">
      <c r="A18" s="48">
        <v>44667</v>
      </c>
    </row>
    <row r="19" spans="1:2" ht="20.25" thickTop="1" thickBot="1" x14ac:dyDescent="0.3">
      <c r="A19" s="48">
        <v>44668</v>
      </c>
    </row>
    <row r="20" spans="1:2" ht="20.25" thickTop="1" thickBot="1" x14ac:dyDescent="0.3">
      <c r="A20" s="48">
        <v>44669</v>
      </c>
    </row>
    <row r="21" spans="1:2" ht="20.25" thickTop="1" thickBot="1" x14ac:dyDescent="0.3">
      <c r="A21" s="48">
        <v>44670</v>
      </c>
    </row>
    <row r="22" spans="1:2" ht="20.25" thickTop="1" thickBot="1" x14ac:dyDescent="0.3">
      <c r="A22" s="48">
        <v>44671</v>
      </c>
    </row>
    <row r="23" spans="1:2" ht="20.25" thickTop="1" thickBot="1" x14ac:dyDescent="0.3">
      <c r="A23" s="48">
        <v>44672</v>
      </c>
      <c r="B23" s="49"/>
    </row>
    <row r="24" spans="1:2" ht="20.25" thickTop="1" thickBot="1" x14ac:dyDescent="0.3">
      <c r="A24" s="48">
        <v>44673</v>
      </c>
      <c r="B24" s="50"/>
    </row>
    <row r="25" spans="1:2" ht="20.25" thickTop="1" thickBot="1" x14ac:dyDescent="0.3">
      <c r="A25" s="48">
        <v>44674</v>
      </c>
    </row>
    <row r="26" spans="1:2" ht="20.25" thickTop="1" thickBot="1" x14ac:dyDescent="0.3">
      <c r="A26" s="48">
        <v>44675</v>
      </c>
    </row>
    <row r="27" spans="1:2" ht="20.25" thickTop="1" thickBot="1" x14ac:dyDescent="0.3">
      <c r="A27" s="48">
        <v>44676</v>
      </c>
    </row>
    <row r="28" spans="1:2" ht="20.25" thickTop="1" thickBot="1" x14ac:dyDescent="0.3">
      <c r="A28" s="48">
        <v>44677</v>
      </c>
    </row>
    <row r="29" spans="1:2" ht="20.25" thickTop="1" thickBot="1" x14ac:dyDescent="0.3">
      <c r="A29" s="48">
        <v>44678</v>
      </c>
    </row>
    <row r="30" spans="1:2" ht="20.25" thickTop="1" thickBot="1" x14ac:dyDescent="0.3">
      <c r="A30" s="48">
        <v>44679</v>
      </c>
    </row>
    <row r="31" spans="1:2" ht="20.25" thickTop="1" thickBot="1" x14ac:dyDescent="0.3">
      <c r="A31" s="48">
        <v>44680</v>
      </c>
    </row>
    <row r="32" spans="1:2" ht="20.25" thickTop="1" thickBot="1" x14ac:dyDescent="0.3">
      <c r="A32" s="48">
        <v>44681</v>
      </c>
    </row>
    <row r="33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topLeftCell="A73" workbookViewId="0">
      <selection activeCell="AG2" sqref="AG2:AJ37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44652</v>
      </c>
      <c r="G1" s="25">
        <f>'RESUMEN TOTAL'!P4</f>
        <v>44653</v>
      </c>
      <c r="H1" s="25">
        <f>'RESUMEN TOTAL'!Q4</f>
        <v>44654</v>
      </c>
      <c r="I1" s="25">
        <f>'RESUMEN TOTAL'!R4</f>
        <v>44655</v>
      </c>
      <c r="J1" s="25">
        <f>'RESUMEN TOTAL'!S4</f>
        <v>44656</v>
      </c>
      <c r="K1" s="25">
        <f>'RESUMEN TOTAL'!T4</f>
        <v>44657</v>
      </c>
      <c r="L1" s="25">
        <f>'RESUMEN TOTAL'!U4</f>
        <v>44658</v>
      </c>
      <c r="M1" s="25">
        <f>'RESUMEN TOTAL'!V4</f>
        <v>44659</v>
      </c>
      <c r="N1" s="25">
        <f>'RESUMEN TOTAL'!W4</f>
        <v>44660</v>
      </c>
      <c r="O1" s="25">
        <f>'RESUMEN TOTAL'!X4</f>
        <v>44661</v>
      </c>
      <c r="P1" s="25">
        <f>'RESUMEN TOTAL'!Y4</f>
        <v>44662</v>
      </c>
      <c r="Q1" s="25">
        <f>'RESUMEN TOTAL'!Z4</f>
        <v>44663</v>
      </c>
      <c r="R1" s="25">
        <f>'RESUMEN TOTAL'!AA4</f>
        <v>44664</v>
      </c>
      <c r="S1" s="25">
        <f>'RESUMEN TOTAL'!AB4</f>
        <v>44665</v>
      </c>
      <c r="T1" s="25">
        <f>'RESUMEN TOTAL'!AC4</f>
        <v>44666</v>
      </c>
      <c r="U1" s="25">
        <f>'RESUMEN TOTAL'!AD4</f>
        <v>44667</v>
      </c>
      <c r="V1" s="25">
        <f>'RESUMEN TOTAL'!AE4</f>
        <v>44668</v>
      </c>
      <c r="W1" s="25">
        <f>'RESUMEN TOTAL'!AF4</f>
        <v>44669</v>
      </c>
      <c r="X1" s="25">
        <f>'RESUMEN TOTAL'!AG4</f>
        <v>44670</v>
      </c>
      <c r="Y1" s="25">
        <f>'RESUMEN TOTAL'!AH4</f>
        <v>44671</v>
      </c>
      <c r="Z1" s="25">
        <f>'RESUMEN TOTAL'!AI4</f>
        <v>44672</v>
      </c>
      <c r="AA1" s="25">
        <f>'RESUMEN TOTAL'!AJ4</f>
        <v>44673</v>
      </c>
      <c r="AB1" s="25">
        <f>'RESUMEN TOTAL'!AK4</f>
        <v>44674</v>
      </c>
      <c r="AC1" s="25">
        <f>'RESUMEN TOTAL'!AL4</f>
        <v>44675</v>
      </c>
      <c r="AD1" s="25">
        <f>'RESUMEN TOTAL'!AM4</f>
        <v>44676</v>
      </c>
      <c r="AE1" s="25">
        <f>'RESUMEN TOTAL'!AN4</f>
        <v>44677</v>
      </c>
      <c r="AF1" s="25">
        <f>'RESUMEN TOTAL'!AO4</f>
        <v>44678</v>
      </c>
      <c r="AG1" s="25">
        <f>'RESUMEN TOTAL'!AP4</f>
        <v>44679</v>
      </c>
      <c r="AH1" s="25">
        <f>'RESUMEN TOTAL'!AQ4</f>
        <v>44680</v>
      </c>
      <c r="AI1" s="25">
        <f>'RESUMEN TOTAL'!AR4</f>
        <v>44681</v>
      </c>
      <c r="AJ1" s="25" t="e">
        <f>'RESUMEN TOTAL'!#REF!</f>
        <v>#REF!</v>
      </c>
    </row>
    <row r="2" spans="1:36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 t="str">
        <f>'RESUMEN TOTAL'!S5</f>
        <v>APAGADO</v>
      </c>
      <c r="K2">
        <f>'RESUMEN TOTAL'!T5</f>
        <v>0</v>
      </c>
      <c r="L2">
        <f>'RESUMEN TOTAL'!U5</f>
        <v>0</v>
      </c>
      <c r="M2" t="str">
        <f>'RESUMEN TOTAL'!V5</f>
        <v>APAGADO</v>
      </c>
      <c r="N2" t="str">
        <f>'RESUMEN TOTAL'!W5</f>
        <v>APAGADO</v>
      </c>
      <c r="O2" t="str">
        <f>'RESUMEN TOTAL'!X5</f>
        <v>APAGADO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t="e">
        <f>'RESUMEN TOTAL'!#REF!</f>
        <v>#REF!</v>
      </c>
    </row>
    <row r="3" spans="1:36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 t="str">
        <f>'RESUMEN TOTAL'!Z6</f>
        <v>APAGADO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t="e">
        <f>'RESUMEN TOTAL'!#REF!</f>
        <v>#REF!</v>
      </c>
    </row>
    <row r="4" spans="1:36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t="e">
        <f>'RESUMEN TOTAL'!#REF!</f>
        <v>#REF!</v>
      </c>
    </row>
    <row r="5" spans="1:36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t="e">
        <f>'RESUMEN TOTAL'!#REF!</f>
        <v>#REF!</v>
      </c>
    </row>
    <row r="6" spans="1:36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 t="str">
        <f>'RESUMEN TOTAL'!W10</f>
        <v>APAGADO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 t="str">
        <f>'RESUMEN TOTAL'!AB10</f>
        <v>APAGADO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 t="str">
        <f>'RESUMEN TOTAL'!AB11</f>
        <v>APAGADO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 t="str">
        <f>'RESUMEN TOTAL'!AB12</f>
        <v>APAGADO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 t="str">
        <f>'RESUMEN TOTAL'!AB13</f>
        <v>APAGADO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t="e">
        <f>'RESUMEN TOTAL'!#REF!</f>
        <v>#REF!</v>
      </c>
    </row>
    <row r="11" spans="1:36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 t="str">
        <f>'RESUMEN TOTAL'!AB14</f>
        <v>APAGADO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t="e">
        <f>'RESUMEN TOTAL'!#REF!</f>
        <v>#REF!</v>
      </c>
    </row>
    <row r="12" spans="1:36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 t="str">
        <f>'RESUMEN TOTAL'!AB15</f>
        <v>APAGADO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t="e">
        <f>'RESUMEN TOTAL'!#REF!</f>
        <v>#REF!</v>
      </c>
    </row>
    <row r="13" spans="1:36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 t="str">
        <f>'RESUMEN TOTAL'!AB16</f>
        <v>APAGADO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t="e">
        <f>'RESUMEN TOTAL'!#REF!</f>
        <v>#REF!</v>
      </c>
    </row>
    <row r="14" spans="1:36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 t="str">
        <f>'RESUMEN TOTAL'!AB17</f>
        <v>APAGADO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t="e">
        <f>'RESUMEN TOTAL'!#REF!</f>
        <v>#REF!</v>
      </c>
    </row>
    <row r="15" spans="1:36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 t="str">
        <f>'RESUMEN TOTAL'!AB18</f>
        <v>APAGADO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t="e">
        <f>'RESUMEN TOTAL'!#REF!</f>
        <v>#REF!</v>
      </c>
    </row>
    <row r="16" spans="1:36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t="e">
        <f>'RESUMEN TOTAL'!#REF!</f>
        <v>#REF!</v>
      </c>
    </row>
    <row r="17" spans="1:36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 t="str">
        <f>'RESUMEN TOTAL'!AB20</f>
        <v>APAGADO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t="e">
        <f>'RESUMEN TOTAL'!#REF!</f>
        <v>#REF!</v>
      </c>
    </row>
    <row r="18" spans="1:36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 t="str">
        <f>'RESUMEN TOTAL'!U21</f>
        <v>APAGADO</v>
      </c>
      <c r="M18" t="str">
        <f>'RESUMEN TOTAL'!V21</f>
        <v>APAGADO</v>
      </c>
      <c r="N18" t="str">
        <f>'RESUMEN TOTAL'!W21</f>
        <v>APAGADO</v>
      </c>
      <c r="O18" t="str">
        <f>'RESUMEN TOTAL'!X21</f>
        <v>APAGADO</v>
      </c>
      <c r="P18" t="str">
        <f>'RESUMEN TOTAL'!Y21</f>
        <v>APAGADO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t="e">
        <f>'RESUMEN TOTAL'!#REF!</f>
        <v>#REF!</v>
      </c>
    </row>
    <row r="19" spans="1:36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 t="str">
        <f>'RESUMEN TOTAL'!U22</f>
        <v>APAGADO</v>
      </c>
      <c r="M19" t="str">
        <f>'RESUMEN TOTAL'!V22</f>
        <v>APAGADO</v>
      </c>
      <c r="N19" t="str">
        <f>'RESUMEN TOTAL'!W22</f>
        <v>APAGADO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t="e">
        <f>'RESUMEN TOTAL'!#REF!</f>
        <v>#REF!</v>
      </c>
    </row>
    <row r="20" spans="1:36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t="e">
        <f>'RESUMEN TOTAL'!#REF!</f>
        <v>#REF!</v>
      </c>
    </row>
    <row r="21" spans="1:36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 t="str">
        <f>'RESUMEN TOTAL'!U24</f>
        <v>APAGADO</v>
      </c>
      <c r="M21">
        <f>'RESUMEN TOTAL'!V24</f>
        <v>0</v>
      </c>
      <c r="N21">
        <f>'RESUMEN TOTAL'!W24</f>
        <v>0</v>
      </c>
      <c r="O21">
        <f>'RESUMEN TOTAL'!X24</f>
        <v>0</v>
      </c>
      <c r="P21" t="str">
        <f>'RESUMEN TOTAL'!Y24</f>
        <v>APAGADO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t="e">
        <f>'RESUMEN TOTAL'!#REF!</f>
        <v>#REF!</v>
      </c>
    </row>
    <row r="22" spans="1:36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t="e">
        <f>'RESUMEN TOTAL'!#REF!</f>
        <v>#REF!</v>
      </c>
    </row>
    <row r="24" spans="1:36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t="e">
        <f>'RESUMEN TOTAL'!#REF!</f>
        <v>#REF!</v>
      </c>
    </row>
    <row r="25" spans="1:36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t="e">
        <f>'RESUMEN TOTAL'!#REF!</f>
        <v>#REF!</v>
      </c>
    </row>
    <row r="26" spans="1:36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>
        <f>'RESUMEN TOTAL'!P30</f>
        <v>0</v>
      </c>
      <c r="H27">
        <f>'RESUMEN TOTAL'!Q30</f>
        <v>0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 t="str">
        <f>'RESUMEN TOTAL'!Y30</f>
        <v>APAGADO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 t="str">
        <f>'RESUMEN TOTAL'!Y39</f>
        <v>APAGADO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t="e">
        <f>'RESUMEN TOTAL'!#REF!</f>
        <v>#REF!</v>
      </c>
    </row>
    <row r="40" spans="1:36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 t="str">
        <f>'RESUMEN TOTAL'!Y45</f>
        <v>APAGADO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 t="str">
        <f>'RESUMEN TOTAL'!S47</f>
        <v>APAGADO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 t="str">
        <f>'RESUMEN TOTAL'!Y49</f>
        <v>APAGADO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 t="str">
        <f>'RESUMEN TOTAL'!Y51</f>
        <v>APAGADO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t="e">
        <f>'RESUMEN TOTAL'!#REF!</f>
        <v>#REF!</v>
      </c>
    </row>
    <row r="50" spans="1:36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t="e">
        <f>'RESUMEN TOTAL'!#REF!</f>
        <v>#REF!</v>
      </c>
    </row>
    <row r="53" spans="1:36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 t="str">
        <f>'RESUMEN TOTAL'!O62</f>
        <v>APAGADO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 t="str">
        <f>'RESUMEN TOTAL'!S62</f>
        <v>APAGADO</v>
      </c>
      <c r="K59" t="str">
        <f>'RESUMEN TOTAL'!T62</f>
        <v>APAGADO</v>
      </c>
      <c r="L59" t="str">
        <f>'RESUMEN TOTAL'!U62</f>
        <v>APAGADO</v>
      </c>
      <c r="M59" t="str">
        <f>'RESUMEN TOTAL'!V62</f>
        <v>APAGADO</v>
      </c>
      <c r="N59" t="str">
        <f>'RESUMEN TOTAL'!W62</f>
        <v>APAGADO</v>
      </c>
      <c r="O59" t="str">
        <f>'RESUMEN TOTAL'!X62</f>
        <v>APAGADO</v>
      </c>
      <c r="P59" t="str">
        <f>'RESUMEN TOTAL'!Y62</f>
        <v>APAGADO</v>
      </c>
      <c r="Q59" t="str">
        <f>'RESUMEN TOTAL'!Z62</f>
        <v>APAGADO</v>
      </c>
      <c r="R59" t="str">
        <f>'RESUMEN TOTAL'!AA62</f>
        <v>APAGADO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>
        <f>'RESUMEN TOTAL'!P63</f>
        <v>0</v>
      </c>
      <c r="H60">
        <f>'RESUMEN TOTAL'!Q63</f>
        <v>0</v>
      </c>
      <c r="I60" t="str">
        <f>'RESUMEN TOTAL'!R63</f>
        <v>APAGADO</v>
      </c>
      <c r="J60" t="str">
        <f>'RESUMEN TOTAL'!S63</f>
        <v>APAGADO</v>
      </c>
      <c r="K60" t="str">
        <f>'RESUMEN TOTAL'!T63</f>
        <v>APAGADO</v>
      </c>
      <c r="L60" t="str">
        <f>'RESUMEN TOTAL'!U63</f>
        <v>APAGADO</v>
      </c>
      <c r="M60" t="str">
        <f>'RESUMEN TOTAL'!V63</f>
        <v>APAGADO</v>
      </c>
      <c r="N60" t="str">
        <f>'RESUMEN TOTAL'!W63</f>
        <v>APAGADO</v>
      </c>
      <c r="O60" t="str">
        <f>'RESUMEN TOTAL'!X63</f>
        <v>APAGADO</v>
      </c>
      <c r="P60" t="str">
        <f>'RESUMEN TOTAL'!Y63</f>
        <v>APAGADO</v>
      </c>
      <c r="Q60" t="str">
        <f>'RESUMEN TOTAL'!Z63</f>
        <v>APAGADO</v>
      </c>
      <c r="R60" t="str">
        <f>'RESUMEN TOTAL'!AA63</f>
        <v>APAGADO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>
        <f>'RESUMEN TOTAL'!P65</f>
        <v>0</v>
      </c>
      <c r="H62">
        <f>'RESUMEN TOTAL'!Q65</f>
        <v>0</v>
      </c>
      <c r="I62" t="str">
        <f>'RESUMEN TOTAL'!R65</f>
        <v>APAGADO</v>
      </c>
      <c r="J62" t="str">
        <f>'RESUMEN TOTAL'!S65</f>
        <v>APAGADO</v>
      </c>
      <c r="K62" t="str">
        <f>'RESUMEN TOTAL'!T65</f>
        <v>APAGADO</v>
      </c>
      <c r="L62" t="str">
        <f>'RESUMEN TOTAL'!U65</f>
        <v>APAGADO</v>
      </c>
      <c r="M62" t="str">
        <f>'RESUMEN TOTAL'!V65</f>
        <v>APAGADO</v>
      </c>
      <c r="N62" t="str">
        <f>'RESUMEN TOTAL'!W65</f>
        <v>APAGADO</v>
      </c>
      <c r="O62" t="str">
        <f>'RESUMEN TOTAL'!X65</f>
        <v>APAGADO</v>
      </c>
      <c r="P62" t="str">
        <f>'RESUMEN TOTAL'!Y65</f>
        <v>APAGADO</v>
      </c>
      <c r="Q62" t="str">
        <f>'RESUMEN TOTAL'!Z65</f>
        <v>APAGADO</v>
      </c>
      <c r="R62" t="str">
        <f>'RESUMEN TOTAL'!AA65</f>
        <v>APAGADO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>
        <f>'RESUMEN TOTAL'!P68</f>
        <v>0</v>
      </c>
      <c r="H65">
        <f>'RESUMEN TOTAL'!Q68</f>
        <v>0</v>
      </c>
      <c r="I65" t="str">
        <f>'RESUMEN TOTAL'!R68</f>
        <v>APAGADO</v>
      </c>
      <c r="J65" t="str">
        <f>'RESUMEN TOTAL'!S68</f>
        <v>APAGADO</v>
      </c>
      <c r="K65" t="str">
        <f>'RESUMEN TOTAL'!T68</f>
        <v>APAGADO</v>
      </c>
      <c r="L65" t="str">
        <f>'RESUMEN TOTAL'!U68</f>
        <v>APAGADO</v>
      </c>
      <c r="M65" t="str">
        <f>'RESUMEN TOTAL'!V68</f>
        <v>APAGADO</v>
      </c>
      <c r="N65" t="str">
        <f>'RESUMEN TOTAL'!W68</f>
        <v>APAGADO</v>
      </c>
      <c r="O65" t="str">
        <f>'RESUMEN TOTAL'!X68</f>
        <v>APAGADO</v>
      </c>
      <c r="P65" t="str">
        <f>'RESUMEN TOTAL'!Y68</f>
        <v>APAGADO</v>
      </c>
      <c r="Q65" t="str">
        <f>'RESUMEN TOTAL'!Z68</f>
        <v>APAGADO</v>
      </c>
      <c r="R65" t="str">
        <f>'RESUMEN TOTAL'!AA68</f>
        <v>APAGADO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>
        <f>'RESUMEN TOTAL'!P80</f>
        <v>0</v>
      </c>
      <c r="H77">
        <f>'RESUMEN TOTAL'!Q80</f>
        <v>0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 t="str">
        <f>'RESUMEN TOTAL'!R85</f>
        <v>APAGADO</v>
      </c>
      <c r="J82" t="str">
        <f>'RESUMEN TOTAL'!S85</f>
        <v>APAGADO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t="e">
        <f>'RESUMEN TOTAL'!#REF!</f>
        <v>#REF!</v>
      </c>
    </row>
    <row r="84" spans="1:36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 t="str">
        <f>'RESUMEN TOTAL'!S91</f>
        <v>APAGADO</v>
      </c>
      <c r="K88" t="str">
        <f>'RESUMEN TOTAL'!T91</f>
        <v>APAGADO</v>
      </c>
      <c r="L88" t="str">
        <f>'RESUMEN TOTAL'!U91</f>
        <v>APAGADO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 t="str">
        <f>'RESUMEN TOTAL'!S92</f>
        <v>APAGADO</v>
      </c>
      <c r="K89" t="str">
        <f>'RESUMEN TOTAL'!T92</f>
        <v>APAGADO</v>
      </c>
      <c r="L89" t="str">
        <f>'RESUMEN TOTAL'!U92</f>
        <v>APAGADO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t="e">
        <f>'RESUMEN TOTAL'!#REF!</f>
        <v>#REF!</v>
      </c>
    </row>
    <row r="93" spans="1:36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t="e">
        <f>'RESUMEN TOTAL'!#REF!</f>
        <v>#REF!</v>
      </c>
    </row>
    <row r="94" spans="1:36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t="e">
        <f>'RESUMEN TOTAL'!#REF!</f>
        <v>#REF!</v>
      </c>
    </row>
    <row r="95" spans="1:36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t="e">
        <f>'RESUMEN TOTAL'!#REF!</f>
        <v>#REF!</v>
      </c>
    </row>
    <row r="96" spans="1:36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t="e">
        <f>'RESUMEN TOTAL'!#REF!</f>
        <v>#REF!</v>
      </c>
    </row>
    <row r="97" spans="1:36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t="e">
        <f>'RESUMEN TOTAL'!#REF!</f>
        <v>#REF!</v>
      </c>
    </row>
    <row r="98" spans="1:36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t="e">
        <f>'RESUMEN TOTAL'!#REF!</f>
        <v>#REF!</v>
      </c>
    </row>
    <row r="99" spans="1:36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 t="str">
        <f>'RESUMEN TOTAL'!X102</f>
        <v>APAGADO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t="e">
        <f>'RESUMEN TOTAL'!#REF!</f>
        <v>#REF!</v>
      </c>
    </row>
    <row r="100" spans="1:36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t="e">
        <f>'RESUMEN TOTAL'!#REF!</f>
        <v>#REF!</v>
      </c>
    </row>
    <row r="101" spans="1:36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t="e">
        <f>'RESUMEN TOTAL'!#REF!</f>
        <v>#REF!</v>
      </c>
    </row>
    <row r="102" spans="1:36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t="e">
        <f>'RESUMEN TOTAL'!#REF!</f>
        <v>#REF!</v>
      </c>
    </row>
    <row r="103" spans="1:36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t="e">
        <f>'RESUMEN TOTAL'!#REF!</f>
        <v>#REF!</v>
      </c>
    </row>
    <row r="104" spans="1:36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t="e">
        <f>'RESUMEN TOTAL'!#REF!</f>
        <v>#REF!</v>
      </c>
    </row>
    <row r="105" spans="1:36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t="e">
        <f>'RESUMEN TOTAL'!#REF!</f>
        <v>#REF!</v>
      </c>
    </row>
    <row r="106" spans="1:36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t="e">
        <f>'RESUMEN TOTAL'!#REF!</f>
        <v>#REF!</v>
      </c>
    </row>
    <row r="107" spans="1:36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t="e">
        <f>'RESUMEN TOTAL'!#REF!</f>
        <v>#REF!</v>
      </c>
    </row>
    <row r="108" spans="1:36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t="e">
        <f>'RESUMEN TOTAL'!#REF!</f>
        <v>#REF!</v>
      </c>
    </row>
    <row r="109" spans="1:36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t="e">
        <f>'RESUMEN TOTAL'!#REF!</f>
        <v>#REF!</v>
      </c>
    </row>
    <row r="110" spans="1:36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t="e">
        <f>'RESUMEN TOTAL'!#REF!</f>
        <v>#REF!</v>
      </c>
    </row>
    <row r="111" spans="1:36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t="e">
        <f>'RESUMEN TOTAL'!#REF!</f>
        <v>#REF!</v>
      </c>
    </row>
    <row r="112" spans="1:36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>
        <f>'RESUMEN TOTAL'!X115</f>
        <v>0</v>
      </c>
      <c r="P112" t="str">
        <f>'RESUMEN TOTAL'!Y115</f>
        <v>APAGADO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t="e">
        <f>'RESUMEN TOTAL'!#REF!</f>
        <v>#REF!</v>
      </c>
    </row>
    <row r="113" spans="1:36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 t="str">
        <f>'RESUMEN TOTAL'!Y116</f>
        <v>APAGADO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t="e">
        <f>'RESUMEN TOTAL'!#REF!</f>
        <v>#REF!</v>
      </c>
    </row>
    <row r="114" spans="1:36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t="e">
        <f>'RESUMEN TOTAL'!#REF!</f>
        <v>#REF!</v>
      </c>
    </row>
    <row r="115" spans="1:36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t="e">
        <f>'RESUMEN TOTAL'!#REF!</f>
        <v>#REF!</v>
      </c>
    </row>
    <row r="116" spans="1:36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t="e">
        <f>'RESUMEN TOTAL'!#REF!</f>
        <v>#REF!</v>
      </c>
    </row>
    <row r="117" spans="1:36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t="e">
        <f>'RESUMEN TOTAL'!#REF!</f>
        <v>#REF!</v>
      </c>
    </row>
    <row r="118" spans="1:36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t="e">
        <f>'RESUMEN TOTAL'!#REF!</f>
        <v>#REF!</v>
      </c>
    </row>
    <row r="119" spans="1:36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t="e">
        <f>'RESUMEN TOTAL'!#REF!</f>
        <v>#REF!</v>
      </c>
    </row>
    <row r="120" spans="1:36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t="e">
        <f>'RESUMEN TOTAL'!#REF!</f>
        <v>#REF!</v>
      </c>
    </row>
    <row r="121" spans="1:36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t="e">
        <f>'RESUMEN TOTAL'!#REF!</f>
        <v>#REF!</v>
      </c>
    </row>
    <row r="122" spans="1:36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t="e">
        <f>'RESUMEN TOTAL'!#REF!</f>
        <v>#REF!</v>
      </c>
    </row>
    <row r="123" spans="1:36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t="e">
        <f>'RESUMEN TOTAL'!#REF!</f>
        <v>#REF!</v>
      </c>
    </row>
    <row r="124" spans="1:36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t="e">
        <f>'RESUMEN TOTAL'!#REF!</f>
        <v>#REF!</v>
      </c>
    </row>
    <row r="125" spans="1:36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t="e">
        <f>'RESUMEN TOTAL'!#REF!</f>
        <v>#REF!</v>
      </c>
    </row>
    <row r="126" spans="1:36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t="e">
        <f>'RESUMEN TOTAL'!#REF!</f>
        <v>#REF!</v>
      </c>
    </row>
    <row r="127" spans="1:36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t="e">
        <f>'RESUMEN TOTAL'!#REF!</f>
        <v>#REF!</v>
      </c>
    </row>
    <row r="128" spans="1:36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t="e">
        <f>'RESUMEN TOTAL'!#REF!</f>
        <v>#REF!</v>
      </c>
    </row>
    <row r="129" spans="1:36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t="e">
        <f>'RESUMEN TOTAL'!#REF!</f>
        <v>#REF!</v>
      </c>
    </row>
    <row r="130" spans="1:36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>
        <f>'RESUMEN TOTAL'!P133</f>
        <v>0</v>
      </c>
      <c r="H130">
        <f>'RESUMEN TOTAL'!Q133</f>
        <v>0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t="e">
        <f>'RESUMEN TOTAL'!#REF!</f>
        <v>#REF!</v>
      </c>
    </row>
    <row r="131" spans="1:36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t="e">
        <f>'RESUMEN TOTAL'!#REF!</f>
        <v>#REF!</v>
      </c>
    </row>
    <row r="132" spans="1:36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t="e">
        <f>'RESUMEN TOTAL'!#REF!</f>
        <v>#REF!</v>
      </c>
    </row>
    <row r="133" spans="1:36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t="e">
        <f>'RESUMEN TOTAL'!#REF!</f>
        <v>#REF!</v>
      </c>
    </row>
    <row r="134" spans="1:36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t="e">
        <f>'RESUMEN TOTAL'!#REF!</f>
        <v>#REF!</v>
      </c>
    </row>
    <row r="135" spans="1:36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t="e">
        <f>'RESUMEN TOTAL'!#REF!</f>
        <v>#REF!</v>
      </c>
    </row>
    <row r="136" spans="1:36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t="e">
        <f>'RESUMEN TOTAL'!#REF!</f>
        <v>#REF!</v>
      </c>
    </row>
    <row r="137" spans="1:36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t="e">
        <f>'RESUMEN TOTAL'!#REF!</f>
        <v>#REF!</v>
      </c>
    </row>
    <row r="138" spans="1:36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t="e">
        <f>'RESUMEN TOTAL'!#REF!</f>
        <v>#REF!</v>
      </c>
    </row>
    <row r="139" spans="1:36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t="e">
        <f>'RESUMEN TOTAL'!#REF!</f>
        <v>#REF!</v>
      </c>
    </row>
    <row r="140" spans="1:36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t="e">
        <f>'RESUMEN TOTAL'!#REF!</f>
        <v>#REF!</v>
      </c>
    </row>
    <row r="141" spans="1:36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t="e">
        <f>'RESUMEN TOTAL'!#REF!</f>
        <v>#REF!</v>
      </c>
    </row>
    <row r="142" spans="1:36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t="e">
        <f>'RESUMEN TOTAL'!#REF!</f>
        <v>#REF!</v>
      </c>
    </row>
    <row r="143" spans="1:36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t="e">
        <f>'RESUMEN TOTAL'!#REF!</f>
        <v>#REF!</v>
      </c>
    </row>
    <row r="144" spans="1:36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t="e">
        <f>'RESUMEN TOTAL'!#REF!</f>
        <v>#REF!</v>
      </c>
    </row>
    <row r="145" spans="1:36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t="e">
        <f>'RESUMEN TOTAL'!#REF!</f>
        <v>#REF!</v>
      </c>
    </row>
    <row r="146" spans="1:36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t="e">
        <f>'RESUMEN TOTAL'!#REF!</f>
        <v>#REF!</v>
      </c>
    </row>
    <row r="147" spans="1:36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t="e">
        <f>'RESUMEN TOTAL'!#REF!</f>
        <v>#REF!</v>
      </c>
    </row>
    <row r="148" spans="1:36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t="e">
        <f>'RESUMEN TOTAL'!#REF!</f>
        <v>#REF!</v>
      </c>
    </row>
    <row r="149" spans="1:36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t="e">
        <f>'RESUMEN TOTAL'!#REF!</f>
        <v>#REF!</v>
      </c>
    </row>
    <row r="150" spans="1:36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 t="str">
        <f>'RESUMEN TOTAL'!O153</f>
        <v>APAGADO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 t="str">
        <f>'RESUMEN TOTAL'!S153</f>
        <v>APAGAD</v>
      </c>
      <c r="K150" t="str">
        <f>'RESUMEN TOTAL'!T153</f>
        <v>APAGADO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t="e">
        <f>'RESUMEN TOTAL'!#REF!</f>
        <v>#REF!</v>
      </c>
    </row>
    <row r="151" spans="1:36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t="e">
        <f>'RESUMEN TOTAL'!#REF!</f>
        <v>#REF!</v>
      </c>
    </row>
    <row r="152" spans="1:36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t="e">
        <f>'RESUMEN TOTAL'!#REF!</f>
        <v>#REF!</v>
      </c>
    </row>
    <row r="153" spans="1:36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 t="str">
        <f>'RESUMEN TOTAL'!S156</f>
        <v>APAGADO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 t="str">
        <f>'RESUMEN TOTAL'!AB156</f>
        <v>APAGADO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t="e">
        <f>'RESUMEN TOTAL'!#REF!</f>
        <v>#REF!</v>
      </c>
    </row>
    <row r="154" spans="1:36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 t="str">
        <f>'RESUMEN TOTAL'!Y157</f>
        <v>APAGADO</v>
      </c>
      <c r="Q154" t="str">
        <f>'RESUMEN TOTAL'!Z157</f>
        <v>APAGADO</v>
      </c>
      <c r="R154" t="str">
        <f>'RESUMEN TOTAL'!AA157</f>
        <v>APAGADO</v>
      </c>
      <c r="S154" t="str">
        <f>'RESUMEN TOTAL'!AB157</f>
        <v>APAGADO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t="e">
        <f>'RESUMEN TOTAL'!#REF!</f>
        <v>#REF!</v>
      </c>
    </row>
    <row r="155" spans="1:36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 t="str">
        <f>'RESUMEN TOTAL'!Y158</f>
        <v>APAGADO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t="e">
        <f>'RESUMEN TOTAL'!#REF!</f>
        <v>#REF!</v>
      </c>
    </row>
    <row r="156" spans="1:36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t="e">
        <f>'RESUMEN TOTAL'!#REF!</f>
        <v>#REF!</v>
      </c>
    </row>
    <row r="157" spans="1:36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t="e">
        <f>'RESUMEN TOTAL'!#REF!</f>
        <v>#REF!</v>
      </c>
    </row>
    <row r="158" spans="1:36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 t="str">
        <f>'RESUMEN TOTAL'!AB161</f>
        <v>APAGADO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t="e">
        <f>'RESUMEN TOTAL'!#REF!</f>
        <v>#REF!</v>
      </c>
    </row>
    <row r="159" spans="1:36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t="e">
        <f>'RESUMEN TOTAL'!#REF!</f>
        <v>#REF!</v>
      </c>
    </row>
    <row r="160" spans="1:36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t="e">
        <f>'RESUMEN TOTAL'!#REF!</f>
        <v>#REF!</v>
      </c>
    </row>
    <row r="161" spans="1:36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t="e">
        <f>'RESUMEN TOTAL'!#REF!</f>
        <v>#REF!</v>
      </c>
    </row>
    <row r="162" spans="1:36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t="e">
        <f>'RESUMEN TOTAL'!#REF!</f>
        <v>#REF!</v>
      </c>
    </row>
    <row r="163" spans="1:36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t="e">
        <f>'RESUMEN TOTAL'!#REF!</f>
        <v>#REF!</v>
      </c>
    </row>
    <row r="164" spans="1:36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t="e">
        <f>'RESUMEN TOTAL'!#REF!</f>
        <v>#REF!</v>
      </c>
    </row>
    <row r="165" spans="1:36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 t="str">
        <f>'RESUMEN TOTAL'!Z168</f>
        <v>APAGADO</v>
      </c>
      <c r="R165" t="str">
        <f>'RESUMEN TOTAL'!AA168</f>
        <v>APAGADO</v>
      </c>
      <c r="S165" t="str">
        <f>'RESUMEN TOTAL'!AB168</f>
        <v>APAGADO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t="e">
        <f>'RESUMEN TOTAL'!#REF!</f>
        <v>#REF!</v>
      </c>
    </row>
    <row r="166" spans="1:36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 t="str">
        <f>'RESUMEN TOTAL'!AB169</f>
        <v>APAGADO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t="e">
        <f>'RESUMEN TOTAL'!#REF!</f>
        <v>#REF!</v>
      </c>
    </row>
    <row r="167" spans="1:36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t="e">
        <f>'RESUMEN TOTAL'!#REF!</f>
        <v>#REF!</v>
      </c>
    </row>
    <row r="168" spans="1:36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>
        <f>'RESUMEN TOTAL'!P171</f>
        <v>0</v>
      </c>
      <c r="H168">
        <f>'RESUMEN TOTAL'!Q171</f>
        <v>0</v>
      </c>
      <c r="I168" t="str">
        <f>'RESUMEN TOTAL'!R171</f>
        <v>APAGADO</v>
      </c>
      <c r="J168" t="str">
        <f>'RESUMEN TOTAL'!S171</f>
        <v>APAGADO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 t="str">
        <f>'RESUMEN TOTAL'!AB171</f>
        <v>APAGADO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t="e">
        <f>'RESUMEN TOTAL'!#REF!</f>
        <v>#REF!</v>
      </c>
    </row>
    <row r="169" spans="1:36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t="e">
        <f>'RESUMEN TOTAL'!#REF!</f>
        <v>#REF!</v>
      </c>
    </row>
    <row r="170" spans="1:36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 t="str">
        <f>'RESUMEN TOTAL'!W173</f>
        <v>APAGADO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 t="str">
        <f>'RESUMEN TOTAL'!AB173</f>
        <v>APAGADO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t="e">
        <f>'RESUMEN TOTAL'!#REF!</f>
        <v>#REF!</v>
      </c>
    </row>
    <row r="171" spans="1:36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>
        <f>'RESUMEN TOTAL'!P174</f>
        <v>0</v>
      </c>
      <c r="H171">
        <f>'RESUMEN TOTAL'!Q174</f>
        <v>0</v>
      </c>
      <c r="I171" t="str">
        <f>'RESUMEN TOTAL'!R174</f>
        <v>APAGADO</v>
      </c>
      <c r="J171" t="str">
        <f>'RESUMEN TOTAL'!S174</f>
        <v>APAGADO</v>
      </c>
      <c r="K171" t="str">
        <f>'RESUMEN TOTAL'!T174</f>
        <v>APAGADO</v>
      </c>
      <c r="L171" t="str">
        <f>'RESUMEN TOTAL'!U174</f>
        <v>APAGADO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 t="str">
        <f>'RESUMEN TOTAL'!AB174</f>
        <v>APAGADO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t="e">
        <f>'RESUMEN TOTAL'!#REF!</f>
        <v>#REF!</v>
      </c>
    </row>
    <row r="172" spans="1:36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 t="str">
        <f>'RESUMEN TOTAL'!Y175</f>
        <v>APAGADO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t="e">
        <f>'RESUMEN TOTAL'!#REF!</f>
        <v>#REF!</v>
      </c>
    </row>
    <row r="173" spans="1:36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 t="str">
        <f>'RESUMEN TOTAL'!R176</f>
        <v>APAGADO</v>
      </c>
      <c r="J173" t="str">
        <f>'RESUMEN TOTAL'!S176</f>
        <v>APAGADO</v>
      </c>
      <c r="K173" t="str">
        <f>'RESUMEN TOTAL'!T176</f>
        <v>APAGADO</v>
      </c>
      <c r="L173" t="str">
        <f>'RESUMEN TOTAL'!U176</f>
        <v>APAGADO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 t="str">
        <f>'RESUMEN TOTAL'!Y176</f>
        <v>APAGADO</v>
      </c>
      <c r="Q173" t="str">
        <f>'RESUMEN TOTAL'!Z176</f>
        <v>APAGADO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t="e">
        <f>'RESUMEN TOTAL'!#REF!</f>
        <v>#REF!</v>
      </c>
    </row>
    <row r="174" spans="1:36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>
        <f>'RESUMEN TOTAL'!Y177</f>
        <v>0</v>
      </c>
      <c r="Q174">
        <f>'RESUMEN TOTAL'!Z177</f>
        <v>0</v>
      </c>
      <c r="R174" t="str">
        <f>'RESUMEN TOTAL'!AA177</f>
        <v>APAGADO</v>
      </c>
      <c r="S174" t="str">
        <f>'RESUMEN TOTAL'!AB177</f>
        <v>APAGADO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t="e">
        <f>'RESUMEN TOTAL'!#REF!</f>
        <v>#REF!</v>
      </c>
    </row>
    <row r="175" spans="1:36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t="e">
        <f>'RESUMEN TOTAL'!#REF!</f>
        <v>#REF!</v>
      </c>
    </row>
    <row r="176" spans="1:36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t="e">
        <f>'RESUMEN TOTAL'!#REF!</f>
        <v>#REF!</v>
      </c>
    </row>
    <row r="177" spans="1:36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t="e">
        <f>'RESUMEN TOTAL'!#REF!</f>
        <v>#REF!</v>
      </c>
    </row>
    <row r="178" spans="1:36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t="e">
        <f>'RESUMEN TOTAL'!#REF!</f>
        <v>#REF!</v>
      </c>
    </row>
    <row r="179" spans="1:36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t="e">
        <f>'RESUMEN TOTAL'!#REF!</f>
        <v>#REF!</v>
      </c>
    </row>
    <row r="180" spans="1:36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t="e">
        <f>'RESUMEN TOTAL'!#REF!</f>
        <v>#REF!</v>
      </c>
    </row>
    <row r="181" spans="1:36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t="e">
        <f>'RESUMEN TOTAL'!#REF!</f>
        <v>#REF!</v>
      </c>
    </row>
    <row r="182" spans="1:36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t="e">
        <f>'RESUMEN TOTAL'!#REF!</f>
        <v>#REF!</v>
      </c>
    </row>
    <row r="183" spans="1:36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t="e">
        <f>'RESUMEN TOTAL'!#REF!</f>
        <v>#REF!</v>
      </c>
    </row>
    <row r="184" spans="1:36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t="e">
        <f>'RESUMEN TOTAL'!#REF!</f>
        <v>#REF!</v>
      </c>
    </row>
    <row r="185" spans="1:36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t="e">
        <f>'RESUMEN TOTAL'!#REF!</f>
        <v>#REF!</v>
      </c>
    </row>
    <row r="186" spans="1:36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t="e">
        <f>'RESUMEN TOTAL'!#REF!</f>
        <v>#REF!</v>
      </c>
    </row>
    <row r="187" spans="1:36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t="e">
        <f>'RESUMEN TOTAL'!#REF!</f>
        <v>#REF!</v>
      </c>
    </row>
    <row r="188" spans="1:36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>
        <f>'RESUMEN TOTAL'!P191</f>
        <v>0</v>
      </c>
      <c r="H188">
        <f>'RESUMEN TOTAL'!Q191</f>
        <v>0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t="e">
        <f>'RESUMEN TOTAL'!#REF!</f>
        <v>#REF!</v>
      </c>
    </row>
    <row r="189" spans="1:36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>
        <f>'RESUMEN TOTAL'!P192</f>
        <v>0</v>
      </c>
      <c r="H189">
        <f>'RESUMEN TOTAL'!Q192</f>
        <v>0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t="e">
        <f>'RESUMEN TOTAL'!#REF!</f>
        <v>#REF!</v>
      </c>
    </row>
    <row r="190" spans="1:36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>
        <f>'RESUMEN TOTAL'!P193</f>
        <v>0</v>
      </c>
      <c r="H190">
        <f>'RESUMEN TOTAL'!Q193</f>
        <v>0</v>
      </c>
      <c r="I190" t="str">
        <f>'RESUMEN TOTAL'!R193</f>
        <v>APAGADO</v>
      </c>
      <c r="J190" t="str">
        <f>'RESUMEN TOTAL'!S193</f>
        <v>APAGADO</v>
      </c>
      <c r="K190" t="str">
        <f>'RESUMEN TOTAL'!T193</f>
        <v>APAGADO</v>
      </c>
      <c r="L190" t="str">
        <f>'RESUMEN TOTAL'!U193</f>
        <v>APAGADO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 t="str">
        <f>'RESUMEN TOTAL'!Y193</f>
        <v>APAGADO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t="e">
        <f>'RESUMEN TOTAL'!#REF!</f>
        <v>#REF!</v>
      </c>
    </row>
    <row r="191" spans="1:36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>
        <f>'RESUMEN TOTAL'!Q194</f>
        <v>0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 t="str">
        <f>'RESUMEN TOTAL'!X194</f>
        <v>APAGADO</v>
      </c>
      <c r="P191" t="str">
        <f>'RESUMEN TOTAL'!Y194</f>
        <v>APAGADO</v>
      </c>
      <c r="Q191" t="str">
        <f>'RESUMEN TOTAL'!Z194</f>
        <v>APAGADO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t="e">
        <f>'RESUMEN TOTAL'!#REF!</f>
        <v>#REF!</v>
      </c>
    </row>
    <row r="192" spans="1:36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t="e">
        <f>'RESUMEN TOTAL'!#REF!</f>
        <v>#REF!</v>
      </c>
    </row>
    <row r="193" spans="1:36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t="e">
        <f>'RESUMEN TOTAL'!#REF!</f>
        <v>#REF!</v>
      </c>
    </row>
    <row r="194" spans="1:36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 t="str">
        <f>'RESUMEN TOTAL'!U197</f>
        <v>APAGADO</v>
      </c>
      <c r="M194" t="str">
        <f>'RESUMEN TOTAL'!V197</f>
        <v>APAGADO</v>
      </c>
      <c r="N194" t="str">
        <f>'RESUMEN TOTAL'!W197</f>
        <v>APAGADO</v>
      </c>
      <c r="O194" t="str">
        <f>'RESUMEN TOTAL'!X197</f>
        <v>APAGADO</v>
      </c>
      <c r="P194" t="str">
        <f>'RESUMEN TOTAL'!Y197</f>
        <v>APAGADO</v>
      </c>
      <c r="Q194" t="str">
        <f>'RESUMEN TOTAL'!Z197</f>
        <v>APAGADO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t="e">
        <f>'RESUMEN TOTAL'!#REF!</f>
        <v>#REF!</v>
      </c>
    </row>
    <row r="195" spans="1:36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 t="str">
        <f>'RESUMEN TOTAL'!X198</f>
        <v>APAGADO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t="e">
        <f>'RESUMEN TOTAL'!#REF!</f>
        <v>#REF!</v>
      </c>
    </row>
    <row r="196" spans="1:36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 t="str">
        <f>'RESUMEN TOTAL'!AA199</f>
        <v>APAGADO</v>
      </c>
      <c r="S196" t="str">
        <f>'RESUMEN TOTAL'!AB199</f>
        <v>APAGADO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t="e">
        <f>'RESUMEN TOTAL'!#REF!</f>
        <v>#REF!</v>
      </c>
    </row>
    <row r="197" spans="1:36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 t="str">
        <f>'RESUMEN TOTAL'!AA200</f>
        <v>APAGADO</v>
      </c>
      <c r="S197" t="str">
        <f>'RESUMEN TOTAL'!AB200</f>
        <v>APAGADO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t="e">
        <f>'RESUMEN TOTAL'!#REF!</f>
        <v>#REF!</v>
      </c>
    </row>
    <row r="198" spans="1:36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 t="str">
        <f>'RESUMEN TOTAL'!O201</f>
        <v>APAGADO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 t="str">
        <f>'RESUMEN TOTAL'!S201</f>
        <v>APAGADO</v>
      </c>
      <c r="K198" t="str">
        <f>'RESUMEN TOTAL'!T201</f>
        <v>APAGADO</v>
      </c>
      <c r="L198" t="str">
        <f>'RESUMEN TOTAL'!U201</f>
        <v>APAGADO</v>
      </c>
      <c r="M198">
        <f>'RESUMEN TOTAL'!V201</f>
        <v>0</v>
      </c>
      <c r="N198">
        <f>'RESUMEN TOTAL'!W201</f>
        <v>0</v>
      </c>
      <c r="O198" t="str">
        <f>'RESUMEN TOTAL'!X201</f>
        <v>APAGADO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t="e">
        <f>'RESUMEN TOTAL'!#REF!</f>
        <v>#REF!</v>
      </c>
    </row>
    <row r="199" spans="1:36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 t="str">
        <f>'RESUMEN TOTAL'!O202</f>
        <v>APAGADO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 t="str">
        <f>'RESUMEN TOTAL'!S202</f>
        <v>APAGADO</v>
      </c>
      <c r="K199" t="str">
        <f>'RESUMEN TOTAL'!T202</f>
        <v>APAGADO</v>
      </c>
      <c r="L199" t="str">
        <f>'RESUMEN TOTAL'!U202</f>
        <v>APAGADO</v>
      </c>
      <c r="M199">
        <f>'RESUMEN TOTAL'!V202</f>
        <v>0</v>
      </c>
      <c r="N199">
        <f>'RESUMEN TOTAL'!W202</f>
        <v>0</v>
      </c>
      <c r="O199" t="str">
        <f>'RESUMEN TOTAL'!X202</f>
        <v>APAGADO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t="e">
        <f>'RESUMEN TOTAL'!#REF!</f>
        <v>#REF!</v>
      </c>
    </row>
    <row r="200" spans="1:36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 t="str">
        <f>'RESUMEN TOTAL'!Z203</f>
        <v>APAGADO</v>
      </c>
      <c r="R200" t="str">
        <f>'RESUMEN TOTAL'!AA203</f>
        <v>APAGADO</v>
      </c>
      <c r="S200" t="str">
        <f>'RESUMEN TOTAL'!AB203</f>
        <v>APAGADO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t="e">
        <f>'RESUMEN TOTAL'!#REF!</f>
        <v>#REF!</v>
      </c>
    </row>
    <row r="201" spans="1:36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t="e">
        <f>'RESUMEN TOTAL'!#REF!</f>
        <v>#REF!</v>
      </c>
    </row>
    <row r="202" spans="1:36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t="e">
        <f>'RESUMEN TOTAL'!#REF!</f>
        <v>#REF!</v>
      </c>
    </row>
    <row r="203" spans="1:36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>
        <f>'RESUMEN TOTAL'!P206</f>
        <v>0</v>
      </c>
      <c r="H203">
        <f>'RESUMEN TOTAL'!Q206</f>
        <v>0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t="e">
        <f>'RESUMEN TOTAL'!#REF!</f>
        <v>#REF!</v>
      </c>
    </row>
    <row r="204" spans="1:36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 t="str">
        <f>'RESUMEN TOTAL'!AA207</f>
        <v>APAGADO</v>
      </c>
      <c r="S204" t="str">
        <f>'RESUMEN TOTAL'!AB207</f>
        <v>APAGADO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t="e">
        <f>'RESUMEN TOTAL'!#REF!</f>
        <v>#REF!</v>
      </c>
    </row>
    <row r="205" spans="1:36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t="e">
        <f>'RESUMEN TOTAL'!#REF!</f>
        <v>#REF!</v>
      </c>
    </row>
    <row r="206" spans="1:36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 t="str">
        <f>'RESUMEN TOTAL'!O209</f>
        <v>APAGADO</v>
      </c>
      <c r="G206">
        <f>'RESUMEN TOTAL'!P209</f>
        <v>0</v>
      </c>
      <c r="H206">
        <f>'RESUMEN TOTAL'!Q209</f>
        <v>0</v>
      </c>
      <c r="I206" t="str">
        <f>'RESUMEN TOTAL'!R209</f>
        <v>APAGADO</v>
      </c>
      <c r="J206" t="str">
        <f>'RESUMEN TOTAL'!S209</f>
        <v>APAGADO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t="e">
        <f>'RESUMEN TOTAL'!#REF!</f>
        <v>#REF!</v>
      </c>
    </row>
    <row r="207" spans="1:36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 t="str">
        <f>'RESUMEN TOTAL'!O210</f>
        <v>APAGADO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t="e">
        <f>'RESUMEN TOTAL'!#REF!</f>
        <v>#REF!</v>
      </c>
    </row>
    <row r="208" spans="1:36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t="e">
        <f>'RESUMEN TOTAL'!#REF!</f>
        <v>#REF!</v>
      </c>
    </row>
    <row r="209" spans="1:36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t="e">
        <f>'RESUMEN TOTAL'!#REF!</f>
        <v>#REF!</v>
      </c>
    </row>
    <row r="210" spans="1:36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 t="str">
        <f>'RESUMEN TOTAL'!Z213</f>
        <v>APAGADO</v>
      </c>
      <c r="R210" t="str">
        <f>'RESUMEN TOTAL'!AA213</f>
        <v>APAGADO</v>
      </c>
      <c r="S210" t="str">
        <f>'RESUMEN TOTAL'!AB213</f>
        <v>APAGADO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t="e">
        <f>'RESUMEN TOTAL'!#REF!</f>
        <v>#REF!</v>
      </c>
    </row>
    <row r="211" spans="1:36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t="e">
        <f>'RESUMEN TOTAL'!#REF!</f>
        <v>#REF!</v>
      </c>
    </row>
    <row r="212" spans="1:36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t="e">
        <f>'RESUMEN TOTAL'!#REF!</f>
        <v>#REF!</v>
      </c>
    </row>
    <row r="213" spans="1:36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t="e">
        <f>'RESUMEN TOTAL'!#REF!</f>
        <v>#REF!</v>
      </c>
    </row>
    <row r="214" spans="1:36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t="e">
        <f>'RESUMEN TOTAL'!#REF!</f>
        <v>#REF!</v>
      </c>
    </row>
    <row r="215" spans="1:36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t="e">
        <f>'RESUMEN TOTAL'!#REF!</f>
        <v>#REF!</v>
      </c>
    </row>
    <row r="216" spans="1:36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t="e">
        <f>'RESUMEN TOTAL'!#REF!</f>
        <v>#REF!</v>
      </c>
    </row>
    <row r="217" spans="1:36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t="e">
        <f>'RESUMEN TOTAL'!#REF!</f>
        <v>#REF!</v>
      </c>
    </row>
    <row r="218" spans="1:36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t="e">
        <f>'RESUMEN TOTAL'!#REF!</f>
        <v>#REF!</v>
      </c>
    </row>
    <row r="219" spans="1:36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t="e">
        <f>'RESUMEN TOTAL'!#REF!</f>
        <v>#REF!</v>
      </c>
    </row>
    <row r="220" spans="1:36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t="e">
        <f>'RESUMEN TOTAL'!#REF!</f>
        <v>#REF!</v>
      </c>
    </row>
    <row r="221" spans="1:36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t="e">
        <f>'RESUMEN TOTAL'!#REF!</f>
        <v>#REF!</v>
      </c>
    </row>
    <row r="222" spans="1:36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t="e">
        <f>'RESUMEN TOTAL'!#REF!</f>
        <v>#REF!</v>
      </c>
    </row>
    <row r="223" spans="1:36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 t="str">
        <f>'RESUMEN TOTAL'!Y226</f>
        <v>APAGADO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t="e">
        <f>'RESUMEN TOTAL'!#REF!</f>
        <v>#REF!</v>
      </c>
    </row>
    <row r="224" spans="1:36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t="e">
        <f>'RESUMEN TOTAL'!#REF!</f>
        <v>#REF!</v>
      </c>
    </row>
    <row r="225" spans="1:36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t="e">
        <f>'RESUMEN TOTAL'!#REF!</f>
        <v>#REF!</v>
      </c>
    </row>
    <row r="226" spans="1:36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 t="str">
        <f>'RESUMEN TOTAL'!Y229</f>
        <v>APAGADO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t="e">
        <f>'RESUMEN TOTAL'!#REF!</f>
        <v>#REF!</v>
      </c>
    </row>
    <row r="227" spans="1:36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 t="str">
        <f>'RESUMEN TOTAL'!AB230</f>
        <v>APAGADO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t="e">
        <f>'RESUMEN TOTAL'!#REF!</f>
        <v>#REF!</v>
      </c>
    </row>
    <row r="228" spans="1:36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 t="str">
        <f>'RESUMEN TOTAL'!Y231</f>
        <v>APAGADO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t="e">
        <f>'RESUMEN TOTAL'!#REF!</f>
        <v>#REF!</v>
      </c>
    </row>
    <row r="229" spans="1:36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t="e">
        <f>'RESUMEN TOTAL'!#REF!</f>
        <v>#REF!</v>
      </c>
    </row>
    <row r="230" spans="1:36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t="e">
        <f>'RESUMEN TOTAL'!#REF!</f>
        <v>#REF!</v>
      </c>
    </row>
    <row r="231" spans="1:36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t="e">
        <f>'RESUMEN TOTAL'!#REF!</f>
        <v>#REF!</v>
      </c>
    </row>
    <row r="232" spans="1:36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t="e">
        <f>'RESUMEN TOTAL'!#REF!</f>
        <v>#REF!</v>
      </c>
    </row>
    <row r="233" spans="1:36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 t="str">
        <f>'RESUMEN TOTAL'!Y236</f>
        <v>APAGADO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t="e">
        <f>'RESUMEN TOTAL'!#REF!</f>
        <v>#REF!</v>
      </c>
    </row>
    <row r="234" spans="1:36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t="e">
        <f>'RESUMEN TOTAL'!#REF!</f>
        <v>#REF!</v>
      </c>
    </row>
    <row r="235" spans="1:36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t="e">
        <f>'RESUMEN TOTAL'!#REF!</f>
        <v>#REF!</v>
      </c>
    </row>
    <row r="236" spans="1:36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t="e">
        <f>'RESUMEN TOTAL'!#REF!</f>
        <v>#REF!</v>
      </c>
    </row>
    <row r="237" spans="1:36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 t="str">
        <f>'RESUMEN TOTAL'!Y240</f>
        <v>APAGADO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t="e">
        <f>'RESUMEN TOTAL'!#REF!</f>
        <v>#REF!</v>
      </c>
    </row>
    <row r="238" spans="1:36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 t="str">
        <f>'RESUMEN TOTAL'!Y241</f>
        <v>APAGADO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t="e">
        <f>'RESUMEN TOTAL'!#REF!</f>
        <v>#REF!</v>
      </c>
    </row>
    <row r="239" spans="1:36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t="e">
        <f>'RESUMEN TOTAL'!#REF!</f>
        <v>#REF!</v>
      </c>
    </row>
    <row r="240" spans="1:36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t="e">
        <f>'RESUMEN TOTAL'!#REF!</f>
        <v>#REF!</v>
      </c>
    </row>
    <row r="241" spans="1:36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 t="str">
        <f>'RESUMEN TOTAL'!Y244</f>
        <v>APAGADO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t="e">
        <f>'RESUMEN TOTAL'!#REF!</f>
        <v>#REF!</v>
      </c>
    </row>
    <row r="242" spans="1:36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t="e">
        <f>'RESUMEN TOTAL'!#REF!</f>
        <v>#REF!</v>
      </c>
    </row>
    <row r="243" spans="1:36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 t="str">
        <f>'RESUMEN TOTAL'!Y246</f>
        <v>APAGADO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t="e">
        <f>'RESUMEN TOTAL'!#REF!</f>
        <v>#REF!</v>
      </c>
    </row>
    <row r="246" spans="1:36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t="e">
        <f>'RESUMEN TOTAL'!#REF!</f>
        <v>#REF!</v>
      </c>
    </row>
    <row r="247" spans="1:36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t="e">
        <f>'RESUMEN TOTAL'!#REF!</f>
        <v>#REF!</v>
      </c>
    </row>
    <row r="248" spans="1:36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t="e">
        <f>'RESUMEN TOTAL'!#REF!</f>
        <v>#REF!</v>
      </c>
    </row>
    <row r="249" spans="1:36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t="e">
        <f>'RESUMEN TOTAL'!#REF!</f>
        <v>#REF!</v>
      </c>
    </row>
    <row r="251" spans="1:36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t="e">
        <f>'RESUMEN TOTAL'!#REF!</f>
        <v>#REF!</v>
      </c>
    </row>
    <row r="252" spans="1:36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t="e">
        <f>'RESUMEN TOTAL'!#REF!</f>
        <v>#REF!</v>
      </c>
    </row>
    <row r="253" spans="1:36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t="e">
        <f>'RESUMEN TOTAL'!#REF!</f>
        <v>#REF!</v>
      </c>
    </row>
    <row r="254" spans="1:36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t="e">
        <f>'RESUMEN TOTAL'!#REF!</f>
        <v>#REF!</v>
      </c>
    </row>
    <row r="255" spans="1:36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 t="str">
        <f>'RESUMEN TOTAL'!O258</f>
        <v>APAGADO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t="e">
        <f>'RESUMEN TOTAL'!#REF!</f>
        <v>#REF!</v>
      </c>
    </row>
    <row r="256" spans="1:36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t="e">
        <f>'RESUMEN TOTAL'!#REF!</f>
        <v>#REF!</v>
      </c>
    </row>
    <row r="257" spans="1:36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t="e">
        <f>'RESUMEN TOTAL'!#REF!</f>
        <v>#REF!</v>
      </c>
    </row>
    <row r="258" spans="1:36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t="e">
        <f>'RESUMEN TOTAL'!#REF!</f>
        <v>#REF!</v>
      </c>
    </row>
    <row r="259" spans="1:36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 t="str">
        <f>'RESUMEN TOTAL'!Y262</f>
        <v>APAGADO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t="e">
        <f>'RESUMEN TOTAL'!#REF!</f>
        <v>#REF!</v>
      </c>
    </row>
    <row r="260" spans="1:36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t="e">
        <f>'RESUMEN TOTAL'!#REF!</f>
        <v>#REF!</v>
      </c>
    </row>
    <row r="261" spans="1:36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t="e">
        <f>'RESUMEN TOTAL'!#REF!</f>
        <v>#REF!</v>
      </c>
    </row>
    <row r="262" spans="1:36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t="e">
        <f>'RESUMEN TOTAL'!#REF!</f>
        <v>#REF!</v>
      </c>
    </row>
    <row r="263" spans="1:36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t="e">
        <f>'RESUMEN TOTAL'!#REF!</f>
        <v>#REF!</v>
      </c>
    </row>
    <row r="264" spans="1:36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t="e">
        <f>'RESUMEN TOTAL'!#REF!</f>
        <v>#REF!</v>
      </c>
    </row>
    <row r="265" spans="1:36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t="e">
        <f>'RESUMEN TOTAL'!#REF!</f>
        <v>#REF!</v>
      </c>
    </row>
    <row r="266" spans="1:36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t="e">
        <f>'RESUMEN TOTAL'!#REF!</f>
        <v>#REF!</v>
      </c>
    </row>
    <row r="267" spans="1:36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t="e">
        <f>'RESUMEN TOTAL'!#REF!</f>
        <v>#REF!</v>
      </c>
    </row>
    <row r="268" spans="1:36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t="e">
        <f>'RESUMEN TOTAL'!#REF!</f>
        <v>#REF!</v>
      </c>
    </row>
    <row r="269" spans="1:36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 t="str">
        <f>'RESUMEN TOTAL'!O272</f>
        <v>APAGADO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 t="str">
        <f>'RESUMEN TOTAL'!X272</f>
        <v>APAGADO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t="e">
        <f>'RESUMEN TOTAL'!#REF!</f>
        <v>#REF!</v>
      </c>
    </row>
    <row r="270" spans="1:36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t="e">
        <f>'RESUMEN TOTAL'!#REF!</f>
        <v>#REF!</v>
      </c>
    </row>
    <row r="271" spans="1:36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t="e">
        <f>'RESUMEN TOTAL'!#REF!</f>
        <v>#REF!</v>
      </c>
    </row>
    <row r="272" spans="1:36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t="e">
        <f>'RESUMEN TOTAL'!#REF!</f>
        <v>#REF!</v>
      </c>
    </row>
    <row r="273" spans="1:36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t="e">
        <f>'RESUMEN TOTAL'!#REF!</f>
        <v>#REF!</v>
      </c>
    </row>
    <row r="274" spans="1:36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t="e">
        <f>'RESUMEN TOTAL'!#REF!</f>
        <v>#REF!</v>
      </c>
    </row>
    <row r="275" spans="1:36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t="e">
        <f>'RESUMEN TOTAL'!#REF!</f>
        <v>#REF!</v>
      </c>
    </row>
    <row r="276" spans="1:36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 t="str">
        <f>'RESUMEN TOTAL'!O279</f>
        <v>APAGADO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 t="str">
        <f>'RESUMEN TOTAL'!X279</f>
        <v>APAGADO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t="e">
        <f>'RESUMEN TOTAL'!#REF!</f>
        <v>#REF!</v>
      </c>
    </row>
    <row r="277" spans="1:36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t="e">
        <f>'RESUMEN TOTAL'!#REF!</f>
        <v>#REF!</v>
      </c>
    </row>
    <row r="278" spans="1:36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 t="str">
        <f>'RESUMEN TOTAL'!U281</f>
        <v>APAGADO</v>
      </c>
      <c r="M278">
        <f>'RESUMEN TOTAL'!V281</f>
        <v>0</v>
      </c>
      <c r="N278" t="str">
        <f>'RESUMEN TOTAL'!W281</f>
        <v>APAGADO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t="e">
        <f>'RESUMEN TOTAL'!#REF!</f>
        <v>#REF!</v>
      </c>
    </row>
    <row r="279" spans="1:36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>
        <f>'RESUMEN TOTAL'!V282</f>
        <v>0</v>
      </c>
      <c r="N279" t="str">
        <f>'RESUMEN TOTAL'!W282</f>
        <v>APAGADO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t="e">
        <f>'RESUMEN TOTAL'!#REF!</f>
        <v>#REF!</v>
      </c>
    </row>
    <row r="280" spans="1:36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 t="str">
        <f>'RESUMEN TOTAL'!O283</f>
        <v>APAGADO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 t="str">
        <f>'RESUMEN TOTAL'!S283</f>
        <v>APAGADO</v>
      </c>
      <c r="K280" t="str">
        <f>'RESUMEN TOTAL'!T283</f>
        <v>APAGADO</v>
      </c>
      <c r="L280" t="str">
        <f>'RESUMEN TOTAL'!U283</f>
        <v>APAGADO</v>
      </c>
      <c r="M280" t="str">
        <f>'RESUMEN TOTAL'!V283</f>
        <v>APAGADO</v>
      </c>
      <c r="N280" t="str">
        <f>'RESUMEN TOTAL'!W283</f>
        <v>APAGADO</v>
      </c>
      <c r="O280">
        <f>'RESUMEN TOTAL'!X283</f>
        <v>0</v>
      </c>
      <c r="P280" t="str">
        <f>'RESUMEN TOTAL'!Y283</f>
        <v>APAGADO</v>
      </c>
      <c r="Q280" t="str">
        <f>'RESUMEN TOTAL'!Z283</f>
        <v>APAGADO</v>
      </c>
      <c r="R280" t="str">
        <f>'RESUMEN TOTAL'!AA283</f>
        <v>APAGADO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t="e">
        <f>'RESUMEN TOTAL'!#REF!</f>
        <v>#REF!</v>
      </c>
    </row>
    <row r="281" spans="1:36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 t="str">
        <f>'RESUMEN TOTAL'!U284</f>
        <v>APAGADO</v>
      </c>
      <c r="M281" t="str">
        <f>'RESUMEN TOTAL'!V284</f>
        <v>APAGADO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t="e">
        <f>'RESUMEN TOTAL'!#REF!</f>
        <v>#REF!</v>
      </c>
    </row>
    <row r="282" spans="1:36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 t="str">
        <f>'RESUMEN TOTAL'!U285</f>
        <v>APAGADO</v>
      </c>
      <c r="M282" t="str">
        <f>'RESUMEN TOTAL'!V285</f>
        <v>APAGADO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t="e">
        <f>'RESUMEN TOTAL'!#REF!</f>
        <v>#REF!</v>
      </c>
    </row>
    <row r="283" spans="1:36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t="e">
        <f>'RESUMEN TOTAL'!#REF!</f>
        <v>#REF!</v>
      </c>
    </row>
    <row r="284" spans="1:36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t="e">
        <f>'RESUMEN TOTAL'!#REF!</f>
        <v>#REF!</v>
      </c>
    </row>
    <row r="285" spans="1:36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t="e">
        <f>'RESUMEN TOTAL'!#REF!</f>
        <v>#REF!</v>
      </c>
    </row>
    <row r="286" spans="1:36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 t="str">
        <f>'RESUMEN TOTAL'!AA289</f>
        <v>APAGADO</v>
      </c>
      <c r="S286" t="str">
        <f>'RESUMEN TOTAL'!AB289</f>
        <v>APAGADO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t="e">
        <f>'RESUMEN TOTAL'!#REF!</f>
        <v>#REF!</v>
      </c>
    </row>
    <row r="287" spans="1:36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t="e">
        <f>'RESUMEN TOTAL'!#REF!</f>
        <v>#REF!</v>
      </c>
    </row>
    <row r="288" spans="1:36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 t="str">
        <f>'RESUMEN TOTAL'!O291</f>
        <v>APAGADO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 t="str">
        <f>'RESUMEN TOTAL'!S291</f>
        <v>APAGADO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t="e">
        <f>'RESUMEN TOTAL'!#REF!</f>
        <v>#REF!</v>
      </c>
    </row>
    <row r="289" spans="1:36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 t="str">
        <f>'RESUMEN TOTAL'!O292</f>
        <v>APAGADO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t="e">
        <f>'RESUMEN TOTAL'!#REF!</f>
        <v>#REF!</v>
      </c>
    </row>
    <row r="290" spans="1:36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 t="str">
        <f>'RESUMEN TOTAL'!O293</f>
        <v>APAGADO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t="e">
        <f>'RESUMEN TOTAL'!#REF!</f>
        <v>#REF!</v>
      </c>
    </row>
    <row r="291" spans="1:36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 t="str">
        <f>'RESUMEN TOTAL'!O294</f>
        <v>APAGADO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t="e">
        <f>'RESUMEN TOTAL'!#REF!</f>
        <v>#REF!</v>
      </c>
    </row>
    <row r="292" spans="1:36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 t="str">
        <f>'RESUMEN TOTAL'!O295</f>
        <v>APAGADO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t="e">
        <f>'RESUMEN TOTAL'!#REF!</f>
        <v>#REF!</v>
      </c>
    </row>
    <row r="293" spans="1:36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 t="str">
        <f>'RESUMEN TOTAL'!O296</f>
        <v>APAGADO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 t="str">
        <f>'RESUMEN TOTAL'!U296</f>
        <v>APAGADO</v>
      </c>
      <c r="M293" t="str">
        <f>'RESUMEN TOTAL'!V296</f>
        <v>APAGADO</v>
      </c>
      <c r="N293" t="str">
        <f>'RESUMEN TOTAL'!W296</f>
        <v>APAGADO</v>
      </c>
      <c r="O293" t="str">
        <f>'RESUMEN TOTAL'!X296</f>
        <v>APAGADO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t="e">
        <f>'RESUMEN TOTAL'!#REF!</f>
        <v>#REF!</v>
      </c>
    </row>
    <row r="294" spans="1:36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 t="str">
        <f>'RESUMEN TOTAL'!O297</f>
        <v>APAGADO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 t="str">
        <f>'RESUMEN TOTAL'!V297</f>
        <v>APAGADO</v>
      </c>
      <c r="N294" t="str">
        <f>'RESUMEN TOTAL'!W297</f>
        <v>APAGADO</v>
      </c>
      <c r="O294" t="str">
        <f>'RESUMEN TOTAL'!X297</f>
        <v>APAGADO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t="e">
        <f>'RESUMEN TOTAL'!#REF!</f>
        <v>#REF!</v>
      </c>
    </row>
    <row r="295" spans="1:36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t="e">
        <f>'RESUMEN TOTAL'!#REF!</f>
        <v>#REF!</v>
      </c>
    </row>
    <row r="296" spans="1:36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t="e">
        <f>'RESUMEN TOTAL'!#REF!</f>
        <v>#REF!</v>
      </c>
    </row>
    <row r="297" spans="1:36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t="e">
        <f>'RESUMEN TOTAL'!#REF!</f>
        <v>#REF!</v>
      </c>
    </row>
    <row r="298" spans="1:36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t="e">
        <f>'RESUMEN TOTAL'!#REF!</f>
        <v>#REF!</v>
      </c>
    </row>
    <row r="299" spans="1:36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t="e">
        <f>'RESUMEN TOTAL'!#REF!</f>
        <v>#REF!</v>
      </c>
    </row>
    <row r="300" spans="1:36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>
        <f>'RESUMEN TOTAL'!P303</f>
        <v>0</v>
      </c>
      <c r="H300">
        <f>'RESUMEN TOTAL'!Q303</f>
        <v>0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 t="str">
        <f>'RESUMEN TOTAL'!V303</f>
        <v>APAGADO</v>
      </c>
      <c r="N300" t="str">
        <f>'RESUMEN TOTAL'!W303</f>
        <v>APAGADO</v>
      </c>
      <c r="O300" t="str">
        <f>'RESUMEN TOTAL'!X303</f>
        <v>APAGADO</v>
      </c>
      <c r="P300" t="str">
        <f>'RESUMEN TOTAL'!Y303</f>
        <v>APAGADO</v>
      </c>
      <c r="Q300" t="str">
        <f>'RESUMEN TOTAL'!Z303</f>
        <v>APAGADO</v>
      </c>
      <c r="R300" t="str">
        <f>'RESUMEN TOTAL'!AA303</f>
        <v>APAGADO</v>
      </c>
      <c r="S300" t="str">
        <f>'RESUMEN TOTAL'!AB303</f>
        <v>APAGADO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t="e">
        <f>'RESUMEN TOTAL'!#REF!</f>
        <v>#REF!</v>
      </c>
    </row>
    <row r="301" spans="1:36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t="e">
        <f>'RESUMEN TOTAL'!#REF!</f>
        <v>#REF!</v>
      </c>
    </row>
    <row r="302" spans="1:36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t="e">
        <f>'RESUMEN TOTAL'!#REF!</f>
        <v>#REF!</v>
      </c>
    </row>
    <row r="303" spans="1:36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t="e">
        <f>'RESUMEN TOTAL'!#REF!</f>
        <v>#REF!</v>
      </c>
    </row>
    <row r="304" spans="1:36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t="e">
        <f>'RESUMEN TOTAL'!#REF!</f>
        <v>#REF!</v>
      </c>
    </row>
    <row r="305" spans="1:36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t="e">
        <f>'RESUMEN TOTAL'!#REF!</f>
        <v>#REF!</v>
      </c>
    </row>
    <row r="306" spans="1:36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 t="str">
        <f>'RESUMEN TOTAL'!U309</f>
        <v>APAGADO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t="e">
        <f>'RESUMEN TOTAL'!#REF!</f>
        <v>#REF!</v>
      </c>
    </row>
    <row r="307" spans="1:36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t="e">
        <f>'RESUMEN TOTAL'!#REF!</f>
        <v>#REF!</v>
      </c>
    </row>
    <row r="308" spans="1:36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t="e">
        <f>'RESUMEN TOTAL'!#REF!</f>
        <v>#REF!</v>
      </c>
    </row>
    <row r="309" spans="1:36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t="e">
        <f>'RESUMEN TOTAL'!#REF!</f>
        <v>#REF!</v>
      </c>
    </row>
    <row r="310" spans="1:36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t="e">
        <f>'RESUMEN TOTAL'!#REF!</f>
        <v>#REF!</v>
      </c>
    </row>
    <row r="311" spans="1:36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t="e">
        <f>'RESUMEN TOTAL'!#REF!</f>
        <v>#REF!</v>
      </c>
    </row>
    <row r="312" spans="1:36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t="e">
        <f>'RESUMEN TOTAL'!#REF!</f>
        <v>#REF!</v>
      </c>
    </row>
    <row r="313" spans="1:36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t="e">
        <f>'RESUMEN TOTAL'!#REF!</f>
        <v>#REF!</v>
      </c>
    </row>
    <row r="314" spans="1:36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t="e">
        <f>'RESUMEN TOTAL'!#REF!</f>
        <v>#REF!</v>
      </c>
    </row>
    <row r="315" spans="1:36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t="e">
        <f>'RESUMEN TOTAL'!#REF!</f>
        <v>#REF!</v>
      </c>
    </row>
    <row r="316" spans="1:36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t="e">
        <f>'RESUMEN TOTAL'!#REF!</f>
        <v>#REF!</v>
      </c>
    </row>
    <row r="317" spans="1:36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t="e">
        <f>'RESUMEN TOTAL'!#REF!</f>
        <v>#REF!</v>
      </c>
    </row>
    <row r="318" spans="1:36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 t="str">
        <f>'RESUMEN TOTAL'!Y321</f>
        <v>APAGADO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t="e">
        <f>'RESUMEN TOTAL'!#REF!</f>
        <v>#REF!</v>
      </c>
    </row>
    <row r="319" spans="1:36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t="e">
        <f>'RESUMEN TOTAL'!#REF!</f>
        <v>#REF!</v>
      </c>
    </row>
    <row r="320" spans="1:36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t="e">
        <f>'RESUMEN TOTAL'!#REF!</f>
        <v>#REF!</v>
      </c>
    </row>
    <row r="321" spans="1:36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 t="str">
        <f>'RESUMEN TOTAL'!Y324</f>
        <v>APAGADO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t="e">
        <f>'RESUMEN TOTAL'!#REF!</f>
        <v>#REF!</v>
      </c>
    </row>
    <row r="322" spans="1:36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t="e">
        <f>'RESUMEN TOTAL'!#REF!</f>
        <v>#REF!</v>
      </c>
    </row>
    <row r="323" spans="1:36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t="e">
        <f>'RESUMEN TOTAL'!#REF!</f>
        <v>#REF!</v>
      </c>
    </row>
    <row r="324" spans="1:36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 t="str">
        <f>'RESUMEN TOTAL'!U327</f>
        <v>APAGADO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t="e">
        <f>'RESUMEN TOTAL'!#REF!</f>
        <v>#REF!</v>
      </c>
    </row>
    <row r="325" spans="1:36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t="e">
        <f>'RESUMEN TOTAL'!#REF!</f>
        <v>#REF!</v>
      </c>
    </row>
    <row r="326" spans="1:36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t="e">
        <f>'RESUMEN TOTAL'!#REF!</f>
        <v>#REF!</v>
      </c>
    </row>
    <row r="327" spans="1:36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t="e">
        <f>'RESUMEN TOTAL'!#REF!</f>
        <v>#REF!</v>
      </c>
    </row>
    <row r="328" spans="1:36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t="e">
        <f>'RESUMEN TOTAL'!#REF!</f>
        <v>#REF!</v>
      </c>
    </row>
    <row r="329" spans="1:36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t="e">
        <f>'RESUMEN TOTAL'!#REF!</f>
        <v>#REF!</v>
      </c>
    </row>
    <row r="330" spans="1:36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 t="str">
        <f>'RESUMEN TOTAL'!Y333</f>
        <v>APAGADO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t="e">
        <f>'RESUMEN TOTAL'!#REF!</f>
        <v>#REF!</v>
      </c>
    </row>
    <row r="331" spans="1:36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t="e">
        <f>'RESUMEN TOTAL'!#REF!</f>
        <v>#REF!</v>
      </c>
    </row>
    <row r="332" spans="1:36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t="e">
        <f>'RESUMEN TOTAL'!#REF!</f>
        <v>#REF!</v>
      </c>
    </row>
    <row r="333" spans="1:36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t="e">
        <f>'RESUMEN TOTAL'!#REF!</f>
        <v>#REF!</v>
      </c>
    </row>
    <row r="334" spans="1:36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t="e">
        <f>'RESUMEN TOTAL'!#REF!</f>
        <v>#REF!</v>
      </c>
    </row>
    <row r="335" spans="1:36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t="e">
        <f>'RESUMEN TOTAL'!#REF!</f>
        <v>#REF!</v>
      </c>
    </row>
    <row r="336" spans="1:36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 t="str">
        <f>'RESUMEN TOTAL'!Y339</f>
        <v>APAGADO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t="e">
        <f>'RESUMEN TOTAL'!#REF!</f>
        <v>#REF!</v>
      </c>
    </row>
    <row r="337" spans="1:36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t="e">
        <f>'RESUMEN TOTAL'!#REF!</f>
        <v>#REF!</v>
      </c>
    </row>
    <row r="338" spans="1:36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t="e">
        <f>'RESUMEN TOTAL'!#REF!</f>
        <v>#REF!</v>
      </c>
    </row>
    <row r="339" spans="1:36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t="e">
        <f>'RESUMEN TOTAL'!#REF!</f>
        <v>#REF!</v>
      </c>
    </row>
    <row r="340" spans="1:36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 t="str">
        <f>'RESUMEN TOTAL'!AA343</f>
        <v>APAGADO</v>
      </c>
      <c r="S340" t="str">
        <f>'RESUMEN TOTAL'!AB343</f>
        <v>APAGADO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t="e">
        <f>'RESUMEN TOTAL'!#REF!</f>
        <v>#REF!</v>
      </c>
    </row>
    <row r="341" spans="1:36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t="e">
        <f>'RESUMEN TOTAL'!#REF!</f>
        <v>#REF!</v>
      </c>
    </row>
    <row r="342" spans="1:36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t="e">
        <f>'RESUMEN TOTAL'!#REF!</f>
        <v>#REF!</v>
      </c>
    </row>
    <row r="343" spans="1:36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t="e">
        <f>'RESUMEN TOTAL'!#REF!</f>
        <v>#REF!</v>
      </c>
    </row>
    <row r="344" spans="1:36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t="e">
        <f>'RESUMEN TOTAL'!#REF!</f>
        <v>#REF!</v>
      </c>
    </row>
    <row r="345" spans="1:36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t="e">
        <f>'RESUMEN TOTAL'!#REF!</f>
        <v>#REF!</v>
      </c>
    </row>
    <row r="346" spans="1:36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t="e">
        <f>'RESUMEN TOTAL'!#REF!</f>
        <v>#REF!</v>
      </c>
    </row>
    <row r="347" spans="1:36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t="e">
        <f>'RESUMEN TOTAL'!#REF!</f>
        <v>#REF!</v>
      </c>
    </row>
    <row r="348" spans="1:36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t="e">
        <f>'RESUMEN TOTAL'!#REF!</f>
        <v>#REF!</v>
      </c>
    </row>
    <row r="349" spans="1:36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>
        <f>'RESUMEN TOTAL'!P352</f>
        <v>0</v>
      </c>
      <c r="H349">
        <f>'RESUMEN TOTAL'!Q352</f>
        <v>0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t="e">
        <f>'RESUMEN TOTAL'!#REF!</f>
        <v>#REF!</v>
      </c>
    </row>
    <row r="350" spans="1:36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t="e">
        <f>'RESUMEN TOTAL'!#REF!</f>
        <v>#REF!</v>
      </c>
    </row>
    <row r="351" spans="1:36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t="e">
        <f>'RESUMEN TOTAL'!#REF!</f>
        <v>#REF!</v>
      </c>
    </row>
    <row r="352" spans="1:36" x14ac:dyDescent="0.25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 t="str">
        <f>'RESUMEN TOTAL'!W355</f>
        <v>APAGADO</v>
      </c>
      <c r="O352" t="str">
        <f>'RESUMEN TOTAL'!X355</f>
        <v>APAGADO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 t="str">
        <f>'RESUMEN TOTAL'!AB355</f>
        <v>APAGADO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t="e">
        <f>'RESUMEN TOTAL'!#REF!</f>
        <v>#REF!</v>
      </c>
    </row>
    <row r="353" spans="1:36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t="e">
        <f>'RESUMEN TOTAL'!#REF!</f>
        <v>#REF!</v>
      </c>
    </row>
    <row r="354" spans="1:36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t="e">
        <f>'RESUMEN TOTAL'!#REF!</f>
        <v>#REF!</v>
      </c>
    </row>
    <row r="355" spans="1:36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 t="str">
        <f>'RESUMEN TOTAL'!O358</f>
        <v>APAGADO</v>
      </c>
      <c r="G355">
        <f>'RESUMEN TOTAL'!P358</f>
        <v>0</v>
      </c>
      <c r="H355">
        <f>'RESUMEN TOTAL'!Q358</f>
        <v>0</v>
      </c>
      <c r="I355" t="str">
        <f>'RESUMEN TOTAL'!R358</f>
        <v>APAGADO</v>
      </c>
      <c r="J355" t="str">
        <f>'RESUMEN TOTAL'!S358</f>
        <v>APAGADO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t="e">
        <f>'RESUMEN TOTAL'!#REF!</f>
        <v>#REF!</v>
      </c>
    </row>
    <row r="356" spans="1:36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t="e">
        <f>'RESUMEN TOTAL'!#REF!</f>
        <v>#REF!</v>
      </c>
    </row>
    <row r="357" spans="1:36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t="e">
        <f>'RESUMEN TOTAL'!#REF!</f>
        <v>#REF!</v>
      </c>
    </row>
    <row r="358" spans="1:36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t="e">
        <f>'RESUMEN TOTAL'!#REF!</f>
        <v>#REF!</v>
      </c>
    </row>
    <row r="359" spans="1:36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t="e">
        <f>'RESUMEN TOTAL'!#REF!</f>
        <v>#REF!</v>
      </c>
    </row>
    <row r="360" spans="1:36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t="e">
        <f>'RESUMEN TOTAL'!#REF!</f>
        <v>#REF!</v>
      </c>
    </row>
    <row r="361" spans="1:36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t="e">
        <f>'RESUMEN TOTAL'!#REF!</f>
        <v>#REF!</v>
      </c>
    </row>
    <row r="362" spans="1:36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t="e">
        <f>'RESUMEN TOTAL'!#REF!</f>
        <v>#REF!</v>
      </c>
    </row>
    <row r="363" spans="1:36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t="e">
        <f>'RESUMEN TOTAL'!#REF!</f>
        <v>#REF!</v>
      </c>
    </row>
    <row r="364" spans="1:36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t="e">
        <f>'RESUMEN TOTAL'!#REF!</f>
        <v>#REF!</v>
      </c>
    </row>
    <row r="365" spans="1:36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t="e">
        <f>'RESUMEN TOTAL'!#REF!</f>
        <v>#REF!</v>
      </c>
    </row>
    <row r="366" spans="1:36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t="e">
        <f>'RESUMEN TOTAL'!#REF!</f>
        <v>#REF!</v>
      </c>
    </row>
    <row r="367" spans="1:36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t="e">
        <f>'RESUMEN TOTAL'!#REF!</f>
        <v>#REF!</v>
      </c>
    </row>
    <row r="368" spans="1:36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t="e">
        <f>'RESUMEN TOTAL'!#REF!</f>
        <v>#REF!</v>
      </c>
    </row>
    <row r="369" spans="1:36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t="e">
        <f>'RESUMEN TOTAL'!#REF!</f>
        <v>#REF!</v>
      </c>
    </row>
    <row r="370" spans="1:36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t="e">
        <f>'RESUMEN TOTAL'!#REF!</f>
        <v>#REF!</v>
      </c>
    </row>
    <row r="371" spans="1:36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t="e">
        <f>'RESUMEN TOTAL'!#REF!</f>
        <v>#REF!</v>
      </c>
    </row>
    <row r="372" spans="1:36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t="e">
        <f>'RESUMEN TOTAL'!#REF!</f>
        <v>#REF!</v>
      </c>
    </row>
    <row r="373" spans="1:36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t="e">
        <f>'RESUMEN TOTAL'!#REF!</f>
        <v>#REF!</v>
      </c>
    </row>
    <row r="374" spans="1:36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t="e">
        <f>'RESUMEN TOTAL'!#REF!</f>
        <v>#REF!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G37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26" t="s">
        <v>934</v>
      </c>
      <c r="F1" s="26">
        <f t="shared" ref="F1:AC1" si="0">COUNTIF(F3:F366, "APAGADO")</f>
        <v>38</v>
      </c>
      <c r="G1" s="26">
        <f t="shared" si="0"/>
        <v>0</v>
      </c>
      <c r="H1" s="26">
        <f t="shared" si="0"/>
        <v>0</v>
      </c>
      <c r="I1" s="26">
        <f t="shared" si="0"/>
        <v>36</v>
      </c>
      <c r="J1" s="26">
        <f t="shared" si="0"/>
        <v>32</v>
      </c>
      <c r="K1" s="26">
        <f t="shared" si="0"/>
        <v>25</v>
      </c>
      <c r="L1" s="26">
        <f t="shared" si="0"/>
        <v>34</v>
      </c>
      <c r="M1" s="26">
        <f t="shared" si="0"/>
        <v>25</v>
      </c>
      <c r="N1" s="26">
        <f t="shared" si="0"/>
        <v>27</v>
      </c>
      <c r="O1" s="26">
        <f t="shared" si="0"/>
        <v>27</v>
      </c>
      <c r="P1" s="26">
        <f t="shared" si="0"/>
        <v>43</v>
      </c>
      <c r="Q1" s="26">
        <f t="shared" si="0"/>
        <v>22</v>
      </c>
      <c r="R1" s="26">
        <f t="shared" si="0"/>
        <v>23</v>
      </c>
      <c r="S1" s="26">
        <f t="shared" si="0"/>
        <v>36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5">
        <f>ESTADISTICA!F1</f>
        <v>44652</v>
      </c>
      <c r="G2" s="25">
        <f>ESTADISTICA!G1</f>
        <v>44653</v>
      </c>
      <c r="H2" s="25">
        <f>ESTADISTICA!H1</f>
        <v>44654</v>
      </c>
      <c r="I2" s="25">
        <f>ESTADISTICA!I1</f>
        <v>44655</v>
      </c>
      <c r="J2" s="25">
        <f>ESTADISTICA!J1</f>
        <v>44656</v>
      </c>
      <c r="K2" s="25">
        <f>ESTADISTICA!K1</f>
        <v>44657</v>
      </c>
      <c r="L2" s="25">
        <f>ESTADISTICA!L1</f>
        <v>44658</v>
      </c>
      <c r="M2" s="25">
        <f>ESTADISTICA!M1</f>
        <v>44659</v>
      </c>
      <c r="N2" s="25">
        <f>ESTADISTICA!N1</f>
        <v>44660</v>
      </c>
      <c r="O2" s="25">
        <f>ESTADISTICA!O1</f>
        <v>44661</v>
      </c>
      <c r="P2" s="25">
        <f>ESTADISTICA!P1</f>
        <v>44662</v>
      </c>
      <c r="Q2" s="25">
        <f>ESTADISTICA!Q1</f>
        <v>44663</v>
      </c>
      <c r="R2" s="25">
        <f>ESTADISTICA!R1</f>
        <v>44664</v>
      </c>
      <c r="S2" s="25">
        <f>ESTADISTICA!S1</f>
        <v>44665</v>
      </c>
      <c r="T2" s="25">
        <f>ESTADISTICA!T1</f>
        <v>44666</v>
      </c>
      <c r="U2" s="25">
        <f>ESTADISTICA!U1</f>
        <v>44667</v>
      </c>
      <c r="V2" s="25">
        <f>ESTADISTICA!V1</f>
        <v>44668</v>
      </c>
      <c r="W2" s="25">
        <f>ESTADISTICA!W1</f>
        <v>44669</v>
      </c>
      <c r="X2" s="25">
        <f>ESTADISTICA!X1</f>
        <v>44670</v>
      </c>
      <c r="Y2" s="25">
        <f>ESTADISTICA!Y1</f>
        <v>44671</v>
      </c>
      <c r="Z2" s="25">
        <f>ESTADISTICA!Z1</f>
        <v>44672</v>
      </c>
      <c r="AA2" s="25">
        <f>ESTADISTICA!AA1</f>
        <v>44673</v>
      </c>
      <c r="AB2" s="25">
        <f>ESTADISTICA!AB1</f>
        <v>44674</v>
      </c>
      <c r="AC2" s="25">
        <f>ESTADISTICA!AC1</f>
        <v>44675</v>
      </c>
      <c r="AD2" s="25">
        <f>ESTADISTICA!AD1</f>
        <v>44676</v>
      </c>
      <c r="AE2" s="25">
        <f>ESTADISTICA!AE1</f>
        <v>44677</v>
      </c>
      <c r="AF2" s="25">
        <f>ESTADISTICA!AF1</f>
        <v>44678</v>
      </c>
      <c r="AG2" s="25">
        <f>ESTADISTICA!AG1</f>
        <v>44679</v>
      </c>
    </row>
    <row r="3" spans="1:33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 t="str">
        <f>ESTADISTICA!J2</f>
        <v>APAGADO</v>
      </c>
      <c r="K3">
        <f>ESTADISTICA!K2</f>
        <v>0</v>
      </c>
      <c r="L3">
        <f>ESTADISTICA!L2</f>
        <v>0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 t="str">
        <f>ESTADISTICA!S7</f>
        <v>APAGADO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 t="str">
        <f>ESTADISTICA!S8</f>
        <v>APAGADO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 t="str">
        <f>ESTADISTICA!S9</f>
        <v>APAGADO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 t="str">
        <f>ESTADISTICA!S10</f>
        <v>APAGADO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 t="str">
        <f>ESTADISTICA!S11</f>
        <v>APAGADO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 t="str">
        <f>ESTADISTICA!S12</f>
        <v>APAGADO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 t="str">
        <f>ESTADISTICA!S13</f>
        <v>APAGADO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 t="str">
        <f>ESTADISTICA!S14</f>
        <v>APAGADO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 t="str">
        <f>ESTADISTICA!S15</f>
        <v>APAGADO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 t="str">
        <f>ESTADISTICA!S17</f>
        <v>APAGADO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 t="str">
        <f>ESTADISTICA!L19</f>
        <v>APAGADO</v>
      </c>
      <c r="M20" t="str">
        <f>ESTADISTICA!M19</f>
        <v>APAGADO</v>
      </c>
      <c r="N20" t="str">
        <f>ESTADISTICA!N19</f>
        <v>APAGADO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>
        <f>ESTADISTICA!M21</f>
        <v>0</v>
      </c>
      <c r="N22">
        <f>ESTADISTICA!N21</f>
        <v>0</v>
      </c>
      <c r="O22">
        <f>ESTADISTICA!O21</f>
        <v>0</v>
      </c>
      <c r="P22" t="str">
        <f>ESTADISTICA!P21</f>
        <v>APAGADO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>
        <f>ESTADISTICA!G27</f>
        <v>0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 t="str">
        <f>ESTADISTICA!P27</f>
        <v>APAGADO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 t="str">
        <f>ESTADISTICA!P36</f>
        <v>APAGADO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 t="str">
        <f>ESTADISTICA!J44</f>
        <v>APAGADO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 t="str">
        <f>ESTADISTICA!P46</f>
        <v>APAGADO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 t="str">
        <f>ESTADISTICA!P48</f>
        <v>APAGADO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>
        <f>ESTADISTICA!G59</f>
        <v>0</v>
      </c>
      <c r="H60">
        <f>ESTADISTICA!H59</f>
        <v>0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>
        <f>ESTADISTICA!G60</f>
        <v>0</v>
      </c>
      <c r="H61">
        <f>ESTADISTICA!H60</f>
        <v>0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>
        <f>ESTADISTICA!G62</f>
        <v>0</v>
      </c>
      <c r="H63">
        <f>ESTADISTICA!H62</f>
        <v>0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 t="str">
        <f>ESTADISTICA!Q62</f>
        <v>APAGADO</v>
      </c>
      <c r="R63" t="str">
        <f>ESTADISTICA!R62</f>
        <v>APAGADO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>
        <f>ESTADISTICA!G65</f>
        <v>0</v>
      </c>
      <c r="H66">
        <f>ESTADISTICA!H65</f>
        <v>0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 t="str">
        <f>ESTADISTICA!O65</f>
        <v>APAGADO</v>
      </c>
      <c r="P66" t="str">
        <f>ESTADISTICA!P65</f>
        <v>APAGADO</v>
      </c>
      <c r="Q66" t="str">
        <f>ESTADISTICA!Q65</f>
        <v>APAGADO</v>
      </c>
      <c r="R66" t="str">
        <f>ESTADISTICA!R65</f>
        <v>APAGADO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>
        <f>ESTADISTICA!G77</f>
        <v>0</v>
      </c>
      <c r="H78">
        <f>ESTADISTICA!H77</f>
        <v>0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 t="str">
        <f>ESTADISTICA!I82</f>
        <v>APAGADO</v>
      </c>
      <c r="J83" t="str">
        <f>ESTADISTICA!J82</f>
        <v>APAGADO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>
        <f>ESTADISTICA!G88</f>
        <v>0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>
        <f>ESTADISTICA!G89</f>
        <v>0</v>
      </c>
      <c r="H90">
        <f>ESTADISTICA!H89</f>
        <v>0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 t="str">
        <f>ESTADISTICA!P112</f>
        <v>APAGADO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 t="str">
        <f>ESTADISTICA!F150</f>
        <v>APAGADO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 t="str">
        <f>ESTADISTICA!J150</f>
        <v>APAGAD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 t="str">
        <f>ESTADISTICA!S153</f>
        <v>APAGADO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 t="str">
        <f>ESTADISTICA!P154</f>
        <v>APAGADO</v>
      </c>
      <c r="Q155" t="str">
        <f>ESTADISTICA!Q154</f>
        <v>APAGADO</v>
      </c>
      <c r="R155" t="str">
        <f>ESTADISTICA!R154</f>
        <v>APAGADO</v>
      </c>
      <c r="S155" t="str">
        <f>ESTADISTICA!S154</f>
        <v>APAGADO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 t="str">
        <f>ESTADISTICA!P155</f>
        <v>APAGADO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 t="str">
        <f>ESTADISTICA!S158</f>
        <v>APAGADO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 t="str">
        <f>ESTADISTICA!S166</f>
        <v>APAGADO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>
        <f>ESTADISTICA!G168</f>
        <v>0</v>
      </c>
      <c r="H169">
        <f>ESTADISTICA!H168</f>
        <v>0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 t="str">
        <f>ESTADISTICA!S168</f>
        <v>APAGADO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 t="str">
        <f>ESTADISTICA!N170</f>
        <v>APAGADO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 t="str">
        <f>ESTADISTICA!S170</f>
        <v>APAGADO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>
        <f>ESTADISTICA!G171</f>
        <v>0</v>
      </c>
      <c r="H172">
        <f>ESTADISTICA!H171</f>
        <v>0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 t="str">
        <f>ESTADISTICA!S174</f>
        <v>APAGADO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>
        <f>ESTADISTICA!M190</f>
        <v>0</v>
      </c>
      <c r="N191">
        <f>ESTADISTICA!N190</f>
        <v>0</v>
      </c>
      <c r="O191">
        <f>ESTADISTICA!O190</f>
        <v>0</v>
      </c>
      <c r="P191" t="str">
        <f>ESTADISTICA!P190</f>
        <v>APAGADO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 t="str">
        <f>ESTADISTICA!R196</f>
        <v>APAGADO</v>
      </c>
      <c r="S197" t="str">
        <f>ESTADISTICA!S196</f>
        <v>APAGADO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 t="str">
        <f>ESTADISTICA!R197</f>
        <v>APAGADO</v>
      </c>
      <c r="S198" t="str">
        <f>ESTADISTICA!S197</f>
        <v>APAGADO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 t="str">
        <f>ESTADISTICA!F198</f>
        <v>APAGADO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>
        <f>ESTADISTICA!M198</f>
        <v>0</v>
      </c>
      <c r="N199">
        <f>ESTADISTICA!N198</f>
        <v>0</v>
      </c>
      <c r="O199" t="str">
        <f>ESTADISTICA!O198</f>
        <v>APAGADO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 t="str">
        <f>ESTADISTICA!F199</f>
        <v>APAGADO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 t="str">
        <f>ESTADISTICA!J199</f>
        <v>APAGADO</v>
      </c>
      <c r="K200" t="str">
        <f>ESTADISTICA!K199</f>
        <v>APAGADO</v>
      </c>
      <c r="L200" t="str">
        <f>ESTADISTICA!L199</f>
        <v>APAGADO</v>
      </c>
      <c r="M200">
        <f>ESTADISTICA!M199</f>
        <v>0</v>
      </c>
      <c r="N200">
        <f>ESTADISTICA!N199</f>
        <v>0</v>
      </c>
      <c r="O200" t="str">
        <f>ESTADISTICA!O199</f>
        <v>APAGADO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 t="str">
        <f>ESTADISTICA!S200</f>
        <v>APAGADO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 t="str">
        <f>ESTADISTICA!S204</f>
        <v>APAGADO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 t="str">
        <f>ESTADISTICA!F206</f>
        <v>APAGADO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 t="str">
        <f>ESTADISTICA!J206</f>
        <v>APAGADO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 t="str">
        <f>ESTADISTICA!F207</f>
        <v>APAGADO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 t="str">
        <f>ESTADISTICA!Q210</f>
        <v>APAGADO</v>
      </c>
      <c r="R211" t="str">
        <f>ESTADISTICA!R210</f>
        <v>APAGADO</v>
      </c>
      <c r="S211" t="str">
        <f>ESTADISTICA!S210</f>
        <v>APAGADO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 t="str">
        <f>ESTADISTICA!P226</f>
        <v>APAGADO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 t="str">
        <f>ESTADISTICA!S227</f>
        <v>APAGADO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 t="str">
        <f>ESTADISTICA!P228</f>
        <v>APAGADO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 t="str">
        <f>ESTADISTICA!P233</f>
        <v>APAGADO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 t="str">
        <f>ESTADISTICA!P237</f>
        <v>APAGADO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 t="str">
        <f>ESTADISTICA!P238</f>
        <v>APAGADO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 t="str">
        <f>ESTADISTICA!P241</f>
        <v>APAGADO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 t="str">
        <f>ESTADISTICA!P243</f>
        <v>APAGADO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 t="str">
        <f>ESTADISTICA!F269</f>
        <v>APAGADO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 t="str">
        <f>ESTADISTICA!O269</f>
        <v>APAGADO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 t="str">
        <f>ESTADISTICA!F276</f>
        <v>APAGADO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 t="str">
        <f>ESTADISTICA!O276</f>
        <v>APAGADO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 t="str">
        <f>ESTADISTICA!L278</f>
        <v>APAGADO</v>
      </c>
      <c r="M279">
        <f>ESTADISTICA!M278</f>
        <v>0</v>
      </c>
      <c r="N279" t="str">
        <f>ESTADISTICA!N278</f>
        <v>APAGADO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>
        <f>ESTADISTICA!M279</f>
        <v>0</v>
      </c>
      <c r="N280" t="str">
        <f>ESTADISTICA!N279</f>
        <v>APAGADO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 t="str">
        <f>ESTADISTICA!F280</f>
        <v>APAGADO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 t="str">
        <f>ESTADISTICA!M280</f>
        <v>APAGADO</v>
      </c>
      <c r="N281" t="str">
        <f>ESTADISTICA!N280</f>
        <v>APAGADO</v>
      </c>
      <c r="O281">
        <f>ESTADISTICA!O280</f>
        <v>0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 t="str">
        <f>ESTADISTICA!L281</f>
        <v>APAGADO</v>
      </c>
      <c r="M282" t="str">
        <f>ESTADISTICA!M281</f>
        <v>APAGADO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 t="str">
        <f>ESTADISTICA!R286</f>
        <v>APAGADO</v>
      </c>
      <c r="S287" t="str">
        <f>ESTADISTICA!S286</f>
        <v>APAGADO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 t="str">
        <f>ESTADISTICA!F288</f>
        <v>APAGADO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 t="str">
        <f>ESTADISTICA!J288</f>
        <v>APAGADO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 t="str">
        <f>ESTADISTICA!F289</f>
        <v>APAGADO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 t="str">
        <f>ESTADISTICA!F291</f>
        <v>APAGADO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 t="str">
        <f>ESTADISTICA!F292</f>
        <v>APAGADO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 t="str">
        <f>ESTADISTICA!F293</f>
        <v>APAGADO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 t="str">
        <f>ESTADISTICA!F294</f>
        <v>APAGADO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 t="str">
        <f>ESTADISTICA!M294</f>
        <v>APAGADO</v>
      </c>
      <c r="N295" t="str">
        <f>ESTADISTICA!N294</f>
        <v>APAGADO</v>
      </c>
      <c r="O295" t="str">
        <f>ESTADISTICA!O294</f>
        <v>APAGADO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>
        <f>ESTADISTICA!G300</f>
        <v>0</v>
      </c>
      <c r="H301">
        <f>ESTADISTICA!H300</f>
        <v>0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 t="str">
        <f>ESTADISTICA!Q300</f>
        <v>APAGADO</v>
      </c>
      <c r="R301" t="str">
        <f>ESTADISTICA!R300</f>
        <v>APAGADO</v>
      </c>
      <c r="S301" t="str">
        <f>ESTADISTICA!S300</f>
        <v>APAGADO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 t="str">
        <f>ESTADISTICA!L306</f>
        <v>APAGADO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 t="str">
        <f>ESTADISTICA!P318</f>
        <v>APAGADO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 t="str">
        <f>ESTADISTICA!P321</f>
        <v>APAGADO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 t="str">
        <f>ESTADISTICA!P330</f>
        <v>APAGADO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 t="str">
        <f>ESTADISTICA!S352</f>
        <v>APAGADO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 t="str">
        <f>ESTADISTICA!F355</f>
        <v>APAGADO</v>
      </c>
      <c r="G356">
        <f>ESTADISTICA!G355</f>
        <v>0</v>
      </c>
      <c r="H356">
        <f>ESTADISTICA!H355</f>
        <v>0</v>
      </c>
      <c r="I356" t="str">
        <f>ESTADISTICA!I355</f>
        <v>APAGADO</v>
      </c>
      <c r="J356" t="str">
        <f>ESTADISTICA!J355</f>
        <v>APAGADO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F3" sqref="F3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6" ht="18.75" x14ac:dyDescent="0.3">
      <c r="C1" s="53" t="s">
        <v>1321</v>
      </c>
      <c r="D1" s="54">
        <f>COUNTIFS(E4:E369,"=Fibra Optica")</f>
        <v>237</v>
      </c>
    </row>
    <row r="2" spans="1:36" ht="21" x14ac:dyDescent="0.35">
      <c r="E2" s="26" t="s">
        <v>934</v>
      </c>
      <c r="F2" s="26">
        <f>COUNTIFS(F4:F367, "=APAGADO",E4:E367,"=Fibra Optica")</f>
        <v>30</v>
      </c>
      <c r="G2" s="26">
        <f>COUNTIFS(G4:G367, "=APAGADO",E4:E367,"=Fibra Optica")</f>
        <v>0</v>
      </c>
      <c r="H2" s="26">
        <f>COUNTIFS(H4:H367, "=APAGADO",E4:E367,"=Fibra Optica")</f>
        <v>0</v>
      </c>
      <c r="I2" s="26">
        <f>COUNTIFS(I4:I367, "=APAGADO",E4:E367,"=Fibra Optica")</f>
        <v>29</v>
      </c>
      <c r="J2" s="26">
        <f>COUNTIFS(J4:J367, "=APAGADO",E4:E367,"=Fibra Optica")</f>
        <v>26</v>
      </c>
      <c r="K2" s="26">
        <f>COUNTIFS(K4:K367, "=APAGADO",E4:E367,"=Fibra Optica")</f>
        <v>20</v>
      </c>
      <c r="L2" s="26">
        <f>COUNTIFS(L4:L367, "=APAGADO",E4:E367,"=Fibra Optica")</f>
        <v>24</v>
      </c>
      <c r="M2" s="26">
        <f>COUNTIFS(M4:M367, "=APAGADO",E4:E367,"=Fibra Optica")</f>
        <v>18</v>
      </c>
      <c r="N2" s="26">
        <f>COUNTIFS(N4:N367, "=APAGADO",E4:E367,"=Fibra Optica")</f>
        <v>17</v>
      </c>
      <c r="O2" s="26">
        <f>COUNTIFS(O4:O367, "=APAGADO",E4:E367,"=Fibra Optica")</f>
        <v>17</v>
      </c>
      <c r="P2" s="26">
        <f>COUNTIFS(P4:P367, "=APAGADO",E4:E367,"=Fibra Optica")</f>
        <v>36</v>
      </c>
      <c r="Q2" s="26">
        <f>COUNTIFS(Q4:Q367, "=APAGADO",E4:E367,"=Fibra Optica")</f>
        <v>17</v>
      </c>
      <c r="R2" s="26">
        <f>COUNTIFS(R4:R367, "=APAGADO",E4:E367,"=Fibra Optica")</f>
        <v>18</v>
      </c>
      <c r="S2" s="26">
        <f>COUNTIFS(S4:S367, "=APAGADO",E4:E367,"=Fibra Optica")</f>
        <v>25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dimension ref="A1:AJ369"/>
  <sheetViews>
    <sheetView workbookViewId="0">
      <pane xSplit="5" ySplit="3" topLeftCell="J4" activePane="bottomRight" state="frozenSplit"/>
      <selection pane="topRight" activeCell="F1" sqref="F1"/>
      <selection pane="bottomLeft" activeCell="A3" sqref="A3"/>
      <selection pane="bottomRight" activeCell="M2" sqref="M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6" ht="21" x14ac:dyDescent="0.35">
      <c r="C1" s="55" t="s">
        <v>1322</v>
      </c>
      <c r="D1" s="55">
        <f>COUNTIFS(E4:E367,"=PTP A FO")</f>
        <v>38</v>
      </c>
    </row>
    <row r="2" spans="1:36" ht="21" x14ac:dyDescent="0.35">
      <c r="E2" s="26" t="s">
        <v>934</v>
      </c>
      <c r="F2" s="26">
        <f>COUNTIFS(F4:F367, "=APAGADO",E4:E367,"=PTP A FO")</f>
        <v>4</v>
      </c>
      <c r="G2" s="26">
        <f>COUNTIFS(G4:G367, "=APAGADO",E4:E367,"=PTP A FO")</f>
        <v>0</v>
      </c>
      <c r="H2" s="26">
        <f>COUNTIFS(H4:H367, "=APAGADO",E4:E367,"=PTP A FO")</f>
        <v>0</v>
      </c>
      <c r="I2" s="26">
        <f>COUNTIFS(I4:I367, "=APAGADO",E4:E367,"=PTP A FO")</f>
        <v>3</v>
      </c>
      <c r="J2" s="26">
        <f>COUNTIFS(J4:J367, "=APAGADO",E4:E367,"=PTP A FO")</f>
        <v>2</v>
      </c>
      <c r="K2" s="26">
        <f>COUNTIFS(K4:K367, "=APAGADO",E4:E367,"=PTP A FO")</f>
        <v>2</v>
      </c>
      <c r="L2" s="26">
        <f>COUNTIFS(L4:L367, "=APAGADO",E4:E367,"=PTP A FO")</f>
        <v>4</v>
      </c>
      <c r="M2" s="26">
        <f>COUNTIFS(M4:M367, "=APAGADO",E4:E367,"=PTP A FO")</f>
        <v>3</v>
      </c>
      <c r="N2" s="26">
        <f>COUNTIFS(N4:N367, "=APAGADO",E4:E367,"=PTP A FO")</f>
        <v>3</v>
      </c>
      <c r="O2" s="26">
        <f>COUNTIFS(O4:O367,"APAGADO", E4:E367,"=PTP A FO" )</f>
        <v>2</v>
      </c>
      <c r="P2" s="26">
        <f>COUNTIFS(P4:P367, "=APAGADO",E4:E367,"=PTP A FO")</f>
        <v>3</v>
      </c>
      <c r="Q2" s="26">
        <f>COUNTIFS(Q4:Q367, "=APAGADO",E4:E367,"=PTP A FO")</f>
        <v>1</v>
      </c>
      <c r="R2" s="26">
        <f>COUNTIFS(R4:R367, "=APAGADO",E4:E367,"=PTP A FO")</f>
        <v>2</v>
      </c>
      <c r="S2" s="26">
        <f>COUNTIFS(S4:S367, "=APAGADO",E4:E367,"=PTP A FO")</f>
        <v>7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x14ac:dyDescent="0.25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/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 AH4:AJ369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dimension ref="A1:AJ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6" ht="21" x14ac:dyDescent="0.35">
      <c r="C1" s="55" t="s">
        <v>1323</v>
      </c>
      <c r="D1" s="55">
        <f>COUNTIFS(E4:E367,"=radio")</f>
        <v>88</v>
      </c>
    </row>
    <row r="2" spans="1:36" ht="21" x14ac:dyDescent="0.35">
      <c r="E2" s="26" t="s">
        <v>934</v>
      </c>
      <c r="F2" s="26">
        <f>COUNTIFS(F4:F367, "=APAGADO",E4:E367,"=radio")</f>
        <v>4</v>
      </c>
      <c r="G2" s="26">
        <f>COUNTIFS(G4:G367, "=APAGADO",E4:E367,"=radio")</f>
        <v>0</v>
      </c>
      <c r="H2" s="26">
        <f>COUNTIFS(H4:H367, "=APAGADO",E4:E367,"=radio")</f>
        <v>0</v>
      </c>
      <c r="I2" s="26">
        <f>COUNTIFS(I4:I367, "=APAGADO",E4:E367,"=radio")</f>
        <v>4</v>
      </c>
      <c r="J2" s="26">
        <f>COUNTIFS(J4:J367, "=APAGADO",E4:E367,"=radio")</f>
        <v>4</v>
      </c>
      <c r="K2" s="26">
        <f>COUNTIFS(K4:K367, "=APAGADO",E4:E367,"=radio")</f>
        <v>3</v>
      </c>
      <c r="L2" s="26">
        <f>COUNTIFS(L4:L367, "=APAGADO",E4:E367,"=radio")</f>
        <v>6</v>
      </c>
      <c r="M2" s="26">
        <f>COUNTIFS(M4:M367, "=APAGADO",E4:E367,"=radio")</f>
        <v>4</v>
      </c>
      <c r="N2" s="26">
        <f>COUNTIFS(N4:N367, "=APAGADO",E4:E367,"=radio")</f>
        <v>6</v>
      </c>
      <c r="O2" s="26">
        <f>COUNTIFS(O4:O367, "=APAGADO",E4:E367,"=radio")</f>
        <v>7</v>
      </c>
      <c r="P2" s="26">
        <f>COUNTIFS(P4:P367, "=APAGADO",E4:E367,"=radio")</f>
        <v>4</v>
      </c>
      <c r="Q2" s="26">
        <f>COUNTIFS(Q4:Q367, "=APAGADO",E4:E367,"=radio")</f>
        <v>4</v>
      </c>
      <c r="R2" s="26">
        <f>COUNTIFS(R4:R367, "=APAGADO",E4:E367,"=radio")</f>
        <v>3</v>
      </c>
      <c r="S2" s="26">
        <f>COUNTIFS(S4:S367, "=APAGADO",E4:E367,"=radio")</f>
        <v>3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x14ac:dyDescent="0.25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/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 AH4:AJ369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G7" sqref="G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zoomScaleNormal="100" workbookViewId="0">
      <selection activeCell="U25" sqref="U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workbookViewId="0">
      <selection activeCell="E33" sqref="E33"/>
    </sheetView>
  </sheetViews>
  <sheetFormatPr baseColWidth="10" defaultRowHeight="15" x14ac:dyDescent="0.25"/>
  <cols>
    <col min="5" max="5" width="15.7109375" bestFit="1" customWidth="1"/>
    <col min="7" max="7" width="11.5703125" style="77"/>
  </cols>
  <sheetData>
    <row r="1" spans="1:7" x14ac:dyDescent="0.25">
      <c r="A1" t="s">
        <v>935</v>
      </c>
      <c r="B1" t="s">
        <v>20</v>
      </c>
      <c r="C1" t="s">
        <v>936</v>
      </c>
      <c r="D1" t="s">
        <v>1311</v>
      </c>
      <c r="E1" t="s">
        <v>938</v>
      </c>
      <c r="F1" t="s">
        <v>937</v>
      </c>
      <c r="G1" s="77" t="s">
        <v>1350</v>
      </c>
    </row>
    <row r="2" spans="1:7" x14ac:dyDescent="0.25">
      <c r="A2" s="25">
        <f>'APAGADOS RADIO'!F3</f>
        <v>44652</v>
      </c>
      <c r="B2">
        <f>'APAGADOS RADIO'!F2+D2</f>
        <v>8</v>
      </c>
      <c r="C2">
        <f>'APAGADOS FIBRA'!F2</f>
        <v>30</v>
      </c>
      <c r="D2">
        <f>'APAGADOS ANTENA'!F2</f>
        <v>4</v>
      </c>
      <c r="E2">
        <f>B2+C2</f>
        <v>38</v>
      </c>
      <c r="F2">
        <f>'RESUMEN TOTAL'!C1</f>
        <v>373</v>
      </c>
      <c r="G2" s="77">
        <f>E2/F2</f>
        <v>0.10187667560321716</v>
      </c>
    </row>
    <row r="3" spans="1:7" x14ac:dyDescent="0.25">
      <c r="A3" s="25">
        <f>'APAGADOS RADIO'!G3</f>
        <v>44653</v>
      </c>
      <c r="B3" s="25">
        <v>4</v>
      </c>
      <c r="C3" s="70">
        <v>30</v>
      </c>
      <c r="D3" s="70">
        <v>3</v>
      </c>
      <c r="E3" s="70">
        <v>34</v>
      </c>
      <c r="F3">
        <f>'RESUMEN TOTAL'!C1</f>
        <v>373</v>
      </c>
      <c r="G3" s="77">
        <f t="shared" ref="G3:G13" si="0">E3/F3</f>
        <v>9.1152815013404831E-2</v>
      </c>
    </row>
    <row r="4" spans="1:7" x14ac:dyDescent="0.25">
      <c r="A4" s="25">
        <f>'APAGADOS RADIO'!H3</f>
        <v>44654</v>
      </c>
      <c r="B4" s="25">
        <v>4</v>
      </c>
      <c r="C4" s="70">
        <v>30</v>
      </c>
      <c r="D4" s="70">
        <v>3</v>
      </c>
      <c r="E4" s="70">
        <v>34</v>
      </c>
      <c r="F4">
        <f>'RESUMEN TOTAL'!C1</f>
        <v>373</v>
      </c>
      <c r="G4" s="77">
        <f t="shared" si="0"/>
        <v>9.1152815013404831E-2</v>
      </c>
    </row>
    <row r="5" spans="1:7" x14ac:dyDescent="0.25">
      <c r="A5" s="25">
        <f>'APAGADOS RADIO'!I3</f>
        <v>44655</v>
      </c>
      <c r="B5" s="70">
        <f>'APAGADOS RADIO'!I2+D5</f>
        <v>7</v>
      </c>
      <c r="C5" s="70">
        <f>'APAGADOS FIBRA'!I2</f>
        <v>29</v>
      </c>
      <c r="D5" s="70">
        <f>'APAGADOS ANTENA'!I2</f>
        <v>3</v>
      </c>
      <c r="E5" s="70">
        <f t="shared" ref="E5:E6" si="1">B5+C5</f>
        <v>36</v>
      </c>
      <c r="F5">
        <f>'RESUMEN TOTAL'!C1</f>
        <v>373</v>
      </c>
      <c r="G5" s="77">
        <f t="shared" si="0"/>
        <v>9.6514745308310987E-2</v>
      </c>
    </row>
    <row r="6" spans="1:7" x14ac:dyDescent="0.25">
      <c r="A6" s="25">
        <f>'APAGADOS RADIO'!J3</f>
        <v>44656</v>
      </c>
      <c r="B6" s="70">
        <f>'APAGADOS RADIO'!J2+D6</f>
        <v>6</v>
      </c>
      <c r="C6" s="70">
        <f>'APAGADOS FIBRA'!J2</f>
        <v>26</v>
      </c>
      <c r="D6" s="70">
        <f>'APAGADOS ANTENA'!J2</f>
        <v>2</v>
      </c>
      <c r="E6" s="70">
        <f t="shared" si="1"/>
        <v>32</v>
      </c>
      <c r="F6">
        <f>'RESUMEN TOTAL'!C1</f>
        <v>373</v>
      </c>
      <c r="G6" s="77">
        <f t="shared" si="0"/>
        <v>8.5790884718498661E-2</v>
      </c>
    </row>
    <row r="7" spans="1:7" x14ac:dyDescent="0.25">
      <c r="A7" s="25">
        <f>'APAGADOS RADIO'!K3</f>
        <v>44657</v>
      </c>
      <c r="B7" s="70">
        <f>'APAGADOS RADIO'!K2+D7</f>
        <v>5</v>
      </c>
      <c r="C7" s="70">
        <f>'APAGADOS FIBRA'!K2</f>
        <v>20</v>
      </c>
      <c r="D7" s="70">
        <f>'APAGADOS ANTENA'!K2</f>
        <v>2</v>
      </c>
      <c r="E7" s="70">
        <f t="shared" ref="E7" si="2">B7+C7</f>
        <v>25</v>
      </c>
      <c r="F7">
        <f>'RESUMEN TOTAL'!C1</f>
        <v>373</v>
      </c>
      <c r="G7" s="77">
        <f t="shared" si="0"/>
        <v>6.7024128686327081E-2</v>
      </c>
    </row>
    <row r="8" spans="1:7" x14ac:dyDescent="0.25">
      <c r="A8" s="25">
        <f>'APAGADOS RADIO'!L3</f>
        <v>44658</v>
      </c>
      <c r="B8" s="70">
        <f>'APAGADOS RADIO'!L2+D8</f>
        <v>10</v>
      </c>
      <c r="C8" s="70">
        <f>'APAGADOS FIBRA'!L2</f>
        <v>24</v>
      </c>
      <c r="D8" s="70">
        <f>'APAGADOS ANTENA'!L2</f>
        <v>4</v>
      </c>
      <c r="E8" s="70">
        <f t="shared" ref="E8:E12" si="3">B8+C8</f>
        <v>34</v>
      </c>
      <c r="F8">
        <f>'RESUMEN TOTAL'!C1</f>
        <v>373</v>
      </c>
      <c r="G8" s="77">
        <f t="shared" si="0"/>
        <v>9.1152815013404831E-2</v>
      </c>
    </row>
    <row r="9" spans="1:7" x14ac:dyDescent="0.25">
      <c r="A9" s="25">
        <f>'APAGADOS RADIO'!M3</f>
        <v>44659</v>
      </c>
      <c r="B9" s="70">
        <f>'APAGADOS RADIO'!M2+D9</f>
        <v>7</v>
      </c>
      <c r="C9" s="70">
        <f>'APAGADOS FIBRA'!M2</f>
        <v>18</v>
      </c>
      <c r="D9" s="70">
        <f>'APAGADOS ANTENA'!M2</f>
        <v>3</v>
      </c>
      <c r="E9" s="70">
        <f t="shared" si="3"/>
        <v>25</v>
      </c>
      <c r="F9">
        <f>'RESUMEN TOTAL'!C1</f>
        <v>373</v>
      </c>
      <c r="G9" s="77">
        <f t="shared" si="0"/>
        <v>6.7024128686327081E-2</v>
      </c>
    </row>
    <row r="10" spans="1:7" x14ac:dyDescent="0.25">
      <c r="A10" s="25">
        <f>'APAGADOS RADIO'!N3</f>
        <v>44660</v>
      </c>
      <c r="B10" s="70">
        <f>'APAGADOS RADIO'!N2+D10</f>
        <v>9</v>
      </c>
      <c r="C10" s="70">
        <f>'APAGADOS FIBRA'!N2</f>
        <v>17</v>
      </c>
      <c r="D10" s="70">
        <f>'APAGADOS ANTENA'!N2</f>
        <v>3</v>
      </c>
      <c r="E10" s="70">
        <f t="shared" ref="E10:E11" si="4">B10+C10</f>
        <v>26</v>
      </c>
      <c r="F10">
        <f>'RESUMEN TOTAL'!C1</f>
        <v>373</v>
      </c>
      <c r="G10" s="77">
        <f t="shared" si="0"/>
        <v>6.9705093833780166E-2</v>
      </c>
    </row>
    <row r="11" spans="1:7" x14ac:dyDescent="0.25">
      <c r="A11" s="25">
        <f>'APAGADOS RADIO'!O3</f>
        <v>44661</v>
      </c>
      <c r="B11" s="70">
        <f>'APAGADOS RADIO'!O2+D11</f>
        <v>9</v>
      </c>
      <c r="C11" s="70">
        <f>'APAGADOS FIBRA'!O2</f>
        <v>17</v>
      </c>
      <c r="D11" s="70">
        <f>'APAGADOS ANTENA'!O2</f>
        <v>2</v>
      </c>
      <c r="E11" s="70">
        <f t="shared" si="4"/>
        <v>26</v>
      </c>
      <c r="F11">
        <f>'RESUMEN TOTAL'!C1</f>
        <v>373</v>
      </c>
      <c r="G11" s="77">
        <f t="shared" si="0"/>
        <v>6.9705093833780166E-2</v>
      </c>
    </row>
    <row r="12" spans="1:7" x14ac:dyDescent="0.25">
      <c r="A12" s="25">
        <f>'APAGADOS RADIO'!P3</f>
        <v>44662</v>
      </c>
      <c r="B12" s="70">
        <f>'APAGADOS RADIO'!P2+D12</f>
        <v>7</v>
      </c>
      <c r="C12" s="70">
        <f>'APAGADOS FIBRA'!P2</f>
        <v>36</v>
      </c>
      <c r="D12" s="70">
        <f>'APAGADOS ANTENA'!P2</f>
        <v>3</v>
      </c>
      <c r="E12" s="70">
        <f t="shared" si="3"/>
        <v>43</v>
      </c>
      <c r="F12">
        <f>'RESUMEN TOTAL'!C1</f>
        <v>373</v>
      </c>
      <c r="G12" s="77">
        <f t="shared" si="0"/>
        <v>0.11528150134048257</v>
      </c>
    </row>
    <row r="13" spans="1:7" x14ac:dyDescent="0.25">
      <c r="A13" s="25">
        <f>'APAGADOS RADIO'!Q3</f>
        <v>44663</v>
      </c>
      <c r="B13" s="70">
        <f>'APAGADOS RADIO'!Q2+D13</f>
        <v>5</v>
      </c>
      <c r="C13" s="70">
        <f>'APAGADOS FIBRA'!Q2</f>
        <v>17</v>
      </c>
      <c r="D13" s="70">
        <f>'APAGADOS ANTENA'!Q2</f>
        <v>1</v>
      </c>
      <c r="E13" s="70">
        <f t="shared" ref="E13" si="5">B13+C13</f>
        <v>22</v>
      </c>
      <c r="F13">
        <f>'RESUMEN TOTAL'!C1</f>
        <v>373</v>
      </c>
      <c r="G13" s="77">
        <f t="shared" si="0"/>
        <v>5.8981233243967826E-2</v>
      </c>
    </row>
    <row r="14" spans="1:7" x14ac:dyDescent="0.25">
      <c r="A14" s="25">
        <f>'APAGADOS RADIO'!R3</f>
        <v>44664</v>
      </c>
      <c r="C14" s="30"/>
      <c r="F14">
        <f>'RESUMEN TOTAL'!C1</f>
        <v>373</v>
      </c>
    </row>
    <row r="15" spans="1:7" x14ac:dyDescent="0.25">
      <c r="A15" s="25">
        <f>'APAGADOS RADIO'!S3</f>
        <v>44665</v>
      </c>
      <c r="C15" s="30"/>
      <c r="F15">
        <f>'RESUMEN TOTAL'!C1</f>
        <v>373</v>
      </c>
    </row>
    <row r="16" spans="1:7" x14ac:dyDescent="0.25">
      <c r="A16" s="25">
        <f>'APAGADOS RADIO'!T3</f>
        <v>44666</v>
      </c>
      <c r="C16" s="30"/>
      <c r="F16">
        <f>'RESUMEN TOTAL'!C1</f>
        <v>373</v>
      </c>
    </row>
    <row r="17" spans="1:6" x14ac:dyDescent="0.25">
      <c r="A17" s="25">
        <f>'APAGADOS RADIO'!U3</f>
        <v>44667</v>
      </c>
      <c r="C17" s="30"/>
      <c r="F17">
        <f>'RESUMEN TOTAL'!C1</f>
        <v>373</v>
      </c>
    </row>
    <row r="18" spans="1:6" x14ac:dyDescent="0.25">
      <c r="A18" s="25">
        <f>'APAGADOS RADIO'!V3</f>
        <v>44668</v>
      </c>
      <c r="C18" s="30"/>
      <c r="F18">
        <f>'RESUMEN TOTAL'!C1</f>
        <v>373</v>
      </c>
    </row>
    <row r="19" spans="1:6" x14ac:dyDescent="0.25">
      <c r="A19" s="25">
        <f>'APAGADOS RADIO'!W3</f>
        <v>44669</v>
      </c>
      <c r="C19" s="30"/>
      <c r="F19">
        <f>'RESUMEN TOTAL'!C1</f>
        <v>373</v>
      </c>
    </row>
    <row r="20" spans="1:6" x14ac:dyDescent="0.25">
      <c r="A20" s="25">
        <f>'APAGADOS RADIO'!X3</f>
        <v>44670</v>
      </c>
      <c r="C20" s="30"/>
      <c r="F20">
        <f>'RESUMEN TOTAL'!C1</f>
        <v>373</v>
      </c>
    </row>
    <row r="21" spans="1:6" x14ac:dyDescent="0.25">
      <c r="A21" s="25">
        <f>'APAGADOS RADIO'!Y3</f>
        <v>44671</v>
      </c>
      <c r="C21" s="30"/>
      <c r="F21">
        <f>'RESUMEN TOTAL'!C1</f>
        <v>373</v>
      </c>
    </row>
    <row r="22" spans="1:6" x14ac:dyDescent="0.25">
      <c r="A22" s="25">
        <f>'APAGADOS RADIO'!Z3</f>
        <v>44672</v>
      </c>
      <c r="C22" s="30"/>
      <c r="F22">
        <f>'RESUMEN TOTAL'!C1</f>
        <v>373</v>
      </c>
    </row>
    <row r="23" spans="1:6" x14ac:dyDescent="0.25">
      <c r="A23" s="25">
        <f>'APAGADOS RADIO'!AA3</f>
        <v>44673</v>
      </c>
      <c r="C23" s="30"/>
      <c r="F23">
        <f>'RESUMEN TOTAL'!C1</f>
        <v>373</v>
      </c>
    </row>
    <row r="24" spans="1:6" x14ac:dyDescent="0.25">
      <c r="A24" s="25">
        <f>'APAGADOS RADIO'!AB3</f>
        <v>44674</v>
      </c>
      <c r="C24" s="30"/>
      <c r="F24">
        <f>'RESUMEN TOTAL'!C1</f>
        <v>373</v>
      </c>
    </row>
    <row r="25" spans="1:6" x14ac:dyDescent="0.25">
      <c r="A25" s="25">
        <f>'APAGADOS RADIO'!AC3</f>
        <v>44675</v>
      </c>
      <c r="C25" s="30"/>
      <c r="F25">
        <f>'RESUMEN TOTAL'!C1</f>
        <v>373</v>
      </c>
    </row>
    <row r="26" spans="1:6" x14ac:dyDescent="0.25">
      <c r="A26" s="25">
        <f>'APAGADOS RADIO'!AD3</f>
        <v>44676</v>
      </c>
      <c r="C26" s="30"/>
      <c r="F26">
        <f>'RESUMEN TOTAL'!C1</f>
        <v>373</v>
      </c>
    </row>
    <row r="27" spans="1:6" x14ac:dyDescent="0.25">
      <c r="A27" s="25">
        <f>'APAGADOS RADIO'!AE3</f>
        <v>44677</v>
      </c>
      <c r="C27" s="30"/>
      <c r="F27">
        <f>'RESUMEN TOTAL'!C1</f>
        <v>373</v>
      </c>
    </row>
    <row r="28" spans="1:6" x14ac:dyDescent="0.25">
      <c r="A28" s="25">
        <f>'APAGADOS RADIO'!AF3</f>
        <v>44678</v>
      </c>
      <c r="C28" s="30"/>
      <c r="F28">
        <f>'RESUMEN TOTAL'!C1</f>
        <v>373</v>
      </c>
    </row>
    <row r="29" spans="1:6" x14ac:dyDescent="0.25">
      <c r="A29" s="25">
        <f>'APAGADOS RADIO'!AG3</f>
        <v>44679</v>
      </c>
      <c r="C29" s="30"/>
      <c r="F29">
        <f>'RESUMEN TOTAL'!C1</f>
        <v>373</v>
      </c>
    </row>
    <row r="30" spans="1:6" x14ac:dyDescent="0.25">
      <c r="A30" s="25">
        <f>'APAGADOS RADIO'!AH3</f>
        <v>44680</v>
      </c>
      <c r="C30" s="30"/>
      <c r="F30">
        <f>'RESUMEN TOTAL'!C1</f>
        <v>373</v>
      </c>
    </row>
    <row r="31" spans="1:6" x14ac:dyDescent="0.25">
      <c r="A31" s="25">
        <f>'APAGADOS RADIO'!AI3</f>
        <v>44681</v>
      </c>
      <c r="F31">
        <f>'RESUMEN TOTAL'!C1</f>
        <v>373</v>
      </c>
    </row>
    <row r="32" spans="1:6" x14ac:dyDescent="0.25">
      <c r="A32" s="25"/>
    </row>
    <row r="34" spans="1:30" x14ac:dyDescent="0.25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77"/>
    </row>
    <row r="36" spans="1:30" s="30" customFormat="1" x14ac:dyDescent="0.25">
      <c r="G36" s="77"/>
    </row>
    <row r="37" spans="1:30" s="20" customFormat="1" x14ac:dyDescent="0.25">
      <c r="G37" s="77"/>
    </row>
    <row r="40" spans="1:30" x14ac:dyDescent="0.25">
      <c r="A40" s="70" t="s">
        <v>938</v>
      </c>
      <c r="B40" s="70" t="s">
        <v>937</v>
      </c>
    </row>
    <row r="41" spans="1:30" x14ac:dyDescent="0.25">
      <c r="A41" s="70">
        <v>38</v>
      </c>
      <c r="B41" s="70">
        <v>373</v>
      </c>
      <c r="D41" s="25">
        <v>44652</v>
      </c>
      <c r="E41" s="77">
        <f t="shared" ref="E41:E60" si="6">A41/B41</f>
        <v>0.10187667560321716</v>
      </c>
    </row>
    <row r="42" spans="1:30" x14ac:dyDescent="0.25">
      <c r="A42" s="70">
        <v>34</v>
      </c>
      <c r="B42" s="70">
        <v>373</v>
      </c>
      <c r="D42" s="25">
        <v>44653</v>
      </c>
      <c r="E42" s="77">
        <f t="shared" si="6"/>
        <v>9.1152815013404831E-2</v>
      </c>
    </row>
    <row r="43" spans="1:30" x14ac:dyDescent="0.25">
      <c r="A43" s="70">
        <v>34</v>
      </c>
      <c r="B43" s="70">
        <v>373</v>
      </c>
      <c r="D43" s="25">
        <v>44654</v>
      </c>
      <c r="E43" s="77">
        <f t="shared" si="6"/>
        <v>9.1152815013404831E-2</v>
      </c>
    </row>
    <row r="44" spans="1:30" x14ac:dyDescent="0.25">
      <c r="A44" s="70">
        <v>36</v>
      </c>
      <c r="B44" s="70">
        <v>373</v>
      </c>
      <c r="D44" s="25">
        <v>44655</v>
      </c>
      <c r="E44" s="77">
        <f t="shared" si="6"/>
        <v>9.6514745308310987E-2</v>
      </c>
    </row>
    <row r="45" spans="1:30" x14ac:dyDescent="0.25">
      <c r="A45" s="70">
        <v>32</v>
      </c>
      <c r="B45" s="70">
        <v>373</v>
      </c>
      <c r="D45" s="25">
        <v>44656</v>
      </c>
      <c r="E45" s="77">
        <f t="shared" si="6"/>
        <v>8.5790884718498661E-2</v>
      </c>
    </row>
    <row r="46" spans="1:30" x14ac:dyDescent="0.25">
      <c r="A46" s="70">
        <v>25</v>
      </c>
      <c r="B46" s="70">
        <v>373</v>
      </c>
      <c r="D46" s="25">
        <v>44657</v>
      </c>
      <c r="E46" s="77">
        <f t="shared" si="6"/>
        <v>6.7024128686327081E-2</v>
      </c>
    </row>
    <row r="47" spans="1:30" x14ac:dyDescent="0.25">
      <c r="A47" s="70">
        <v>34</v>
      </c>
      <c r="B47" s="70">
        <v>373</v>
      </c>
      <c r="D47" s="25">
        <v>44658</v>
      </c>
      <c r="E47" s="77">
        <f t="shared" si="6"/>
        <v>9.1152815013404831E-2</v>
      </c>
    </row>
    <row r="48" spans="1:30" x14ac:dyDescent="0.25">
      <c r="A48" s="70">
        <v>25</v>
      </c>
      <c r="B48" s="70">
        <v>373</v>
      </c>
      <c r="D48" s="25">
        <v>44659</v>
      </c>
      <c r="E48" s="77">
        <f t="shared" si="6"/>
        <v>6.7024128686327081E-2</v>
      </c>
    </row>
    <row r="49" spans="1:5" x14ac:dyDescent="0.25">
      <c r="A49" s="70">
        <v>26</v>
      </c>
      <c r="B49" s="70">
        <v>373</v>
      </c>
      <c r="D49" s="25">
        <v>44660</v>
      </c>
      <c r="E49" s="77">
        <f t="shared" si="6"/>
        <v>6.9705093833780166E-2</v>
      </c>
    </row>
    <row r="50" spans="1:5" x14ac:dyDescent="0.25">
      <c r="A50" s="70">
        <v>26</v>
      </c>
      <c r="B50" s="70">
        <v>373</v>
      </c>
      <c r="D50" s="25">
        <v>44661</v>
      </c>
      <c r="E50" s="77">
        <f t="shared" si="6"/>
        <v>6.9705093833780166E-2</v>
      </c>
    </row>
    <row r="51" spans="1:5" x14ac:dyDescent="0.25">
      <c r="A51" s="70">
        <v>43</v>
      </c>
      <c r="B51" s="70">
        <v>373</v>
      </c>
      <c r="D51" s="25">
        <v>44662</v>
      </c>
      <c r="E51" s="77">
        <f t="shared" si="6"/>
        <v>0.11528150134048257</v>
      </c>
    </row>
    <row r="52" spans="1:5" x14ac:dyDescent="0.25">
      <c r="A52" s="70">
        <v>22</v>
      </c>
      <c r="B52" s="70">
        <v>373</v>
      </c>
      <c r="D52" s="25">
        <v>44663</v>
      </c>
      <c r="E52" s="77">
        <f t="shared" si="6"/>
        <v>5.8981233243967826E-2</v>
      </c>
    </row>
    <row r="53" spans="1:5" x14ac:dyDescent="0.25">
      <c r="A53" s="70"/>
      <c r="B53" s="70">
        <v>373</v>
      </c>
      <c r="D53" s="25">
        <v>44664</v>
      </c>
      <c r="E53" s="77">
        <f t="shared" si="6"/>
        <v>0</v>
      </c>
    </row>
    <row r="54" spans="1:5" x14ac:dyDescent="0.25">
      <c r="A54" s="70"/>
      <c r="B54" s="70">
        <v>373</v>
      </c>
      <c r="D54" s="25">
        <v>44665</v>
      </c>
      <c r="E54" s="77">
        <f t="shared" si="6"/>
        <v>0</v>
      </c>
    </row>
    <row r="55" spans="1:5" x14ac:dyDescent="0.25">
      <c r="A55" s="70"/>
      <c r="B55" s="70">
        <v>373</v>
      </c>
      <c r="D55" s="25">
        <v>44666</v>
      </c>
      <c r="E55" s="77">
        <f t="shared" si="6"/>
        <v>0</v>
      </c>
    </row>
    <row r="56" spans="1:5" x14ac:dyDescent="0.25">
      <c r="A56" s="70"/>
      <c r="B56" s="70">
        <v>373</v>
      </c>
      <c r="D56" s="25">
        <v>44667</v>
      </c>
      <c r="E56" s="77">
        <f t="shared" si="6"/>
        <v>0</v>
      </c>
    </row>
    <row r="57" spans="1:5" x14ac:dyDescent="0.25">
      <c r="A57" s="70"/>
      <c r="B57" s="70">
        <v>373</v>
      </c>
      <c r="D57" s="25">
        <v>44668</v>
      </c>
      <c r="E57" s="77">
        <f t="shared" si="6"/>
        <v>0</v>
      </c>
    </row>
    <row r="58" spans="1:5" x14ac:dyDescent="0.25">
      <c r="A58" s="70"/>
      <c r="B58" s="70">
        <v>373</v>
      </c>
      <c r="D58" s="25">
        <v>44669</v>
      </c>
      <c r="E58" s="77">
        <f t="shared" si="6"/>
        <v>0</v>
      </c>
    </row>
    <row r="59" spans="1:5" x14ac:dyDescent="0.25">
      <c r="A59" s="70"/>
      <c r="B59" s="70">
        <v>373</v>
      </c>
      <c r="D59" s="25">
        <v>44670</v>
      </c>
      <c r="E59" s="77">
        <f t="shared" si="6"/>
        <v>0</v>
      </c>
    </row>
    <row r="60" spans="1:5" x14ac:dyDescent="0.25">
      <c r="A60" s="70"/>
      <c r="B60" s="70">
        <v>373</v>
      </c>
      <c r="D60" s="25">
        <v>44671</v>
      </c>
      <c r="E60" s="77">
        <f t="shared" si="6"/>
        <v>0</v>
      </c>
    </row>
    <row r="61" spans="1:5" x14ac:dyDescent="0.25">
      <c r="A61" s="70"/>
      <c r="B61" s="70">
        <v>373</v>
      </c>
      <c r="D61" s="25">
        <v>44672</v>
      </c>
    </row>
    <row r="62" spans="1:5" x14ac:dyDescent="0.25">
      <c r="A62" s="70"/>
      <c r="B62" s="70">
        <v>373</v>
      </c>
      <c r="D62" s="25">
        <v>44673</v>
      </c>
    </row>
    <row r="63" spans="1:5" x14ac:dyDescent="0.25">
      <c r="A63" s="70"/>
      <c r="B63" s="70">
        <v>373</v>
      </c>
      <c r="D63" s="25">
        <v>44674</v>
      </c>
    </row>
    <row r="64" spans="1:5" x14ac:dyDescent="0.25">
      <c r="A64" s="70"/>
      <c r="B64" s="70">
        <v>373</v>
      </c>
      <c r="D64" s="25">
        <v>44675</v>
      </c>
    </row>
    <row r="65" spans="1:4" x14ac:dyDescent="0.25">
      <c r="A65" s="70"/>
      <c r="B65" s="70">
        <v>373</v>
      </c>
      <c r="D65" s="25">
        <v>44676</v>
      </c>
    </row>
    <row r="66" spans="1:4" x14ac:dyDescent="0.25">
      <c r="A66" s="70"/>
      <c r="B66" s="70">
        <v>373</v>
      </c>
      <c r="D66" s="25">
        <v>44677</v>
      </c>
    </row>
    <row r="67" spans="1:4" x14ac:dyDescent="0.25">
      <c r="A67" s="70"/>
      <c r="B67" s="70">
        <v>373</v>
      </c>
      <c r="D67" s="25">
        <v>44678</v>
      </c>
    </row>
    <row r="68" spans="1:4" x14ac:dyDescent="0.25">
      <c r="A68" s="70"/>
      <c r="B68" s="70">
        <v>373</v>
      </c>
      <c r="D68" s="25">
        <v>44679</v>
      </c>
    </row>
    <row r="69" spans="1:4" x14ac:dyDescent="0.25">
      <c r="A69" s="70"/>
      <c r="B69" s="70">
        <v>373</v>
      </c>
      <c r="D69" s="25">
        <v>44680</v>
      </c>
    </row>
    <row r="70" spans="1:4" x14ac:dyDescent="0.25">
      <c r="A70" s="70"/>
      <c r="B70" s="70">
        <v>373</v>
      </c>
      <c r="D70" s="25">
        <v>44681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GRAFICO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2022-04-18T10:20:45Z</dcterms:modified>
</cp:coreProperties>
</file>