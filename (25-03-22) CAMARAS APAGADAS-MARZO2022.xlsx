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C2C7C051-64B1-4A85-9633-3BB56DB1ED16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0" l="1"/>
  <c r="AB2" i="2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D367" i="9" s="1"/>
  <c r="AE366" i="8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C369" i="9" s="1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C370" i="9" s="1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E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AG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8" i="21"/>
  <c r="AB368" i="21"/>
  <c r="AC368" i="11"/>
  <c r="AD368" i="10"/>
  <c r="AE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A369" i="11" l="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D24" i="14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C2" i="14" s="1"/>
  <c r="O2" i="11"/>
  <c r="B11" i="14" s="1"/>
  <c r="D1" i="10"/>
  <c r="AE2" i="21"/>
  <c r="AF2" i="21"/>
  <c r="AB2" i="10"/>
  <c r="C24" i="14" s="1"/>
  <c r="C26" i="14"/>
  <c r="AC2" i="10"/>
  <c r="C25" i="14" s="1"/>
  <c r="AA2" i="10"/>
  <c r="C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5" i="14" l="1"/>
  <c r="E26" i="14"/>
  <c r="B24" i="14"/>
  <c r="E24" i="14" s="1"/>
  <c r="E23" i="14"/>
  <c r="E20" i="14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<sst xmlns="http://schemas.openxmlformats.org/spreadsheetml/2006/main" count="4161" uniqueCount="1333">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</sst>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2">
    <cellStyle name="Normal" xfId="0" builtinId="0"/>
    <cellStyle name="Porcentaje" xfId="1" builtinId="5"/>
  </cellStyles>
  <dxfs count="4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  <c:pt idx="22">
                  <c:v>4</c:v>
                </c:pt>
                <c:pt idx="23">
                  <c:v>14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  <c:pt idx="22">
                  <c:v>28</c:v>
                </c:pt>
                <c:pt idx="23">
                  <c:v>70</c:v>
                </c:pt>
                <c:pt idx="2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  <c:pt idx="22">
                  <c:v>32</c:v>
                </c:pt>
                <c:pt idx="23">
                  <c:v>84</c:v>
                </c:pt>
                <c:pt idx="2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0" zoomScaleNormal="80" workbookViewId="0">
      <pane xSplit="14" ySplit="4" topLeftCell="AM367" activePane="bottomRight" state="frozen"/>
      <selection pane="topRight" activeCell="M1" sqref="M1"/>
      <selection pane="bottomLeft" activeCell="A5" sqref="A5"/>
      <selection pane="bottomRight" activeCell="AM370" sqref="AM370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8.9673913043478257E-2</v>
      </c>
      <c r="AL1" s="4">
        <f t="shared" si="0"/>
        <v>0.2391304347826087</v>
      </c>
      <c r="AM1" s="4">
        <f t="shared" si="0"/>
        <v>0.14402173913043478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335</v>
      </c>
      <c r="AL2" s="10">
        <f t="shared" si="2"/>
        <v>280</v>
      </c>
      <c r="AM2" s="10">
        <f t="shared" si="2"/>
        <v>315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33</v>
      </c>
      <c r="AL3" s="14">
        <f t="shared" si="3"/>
        <v>88</v>
      </c>
      <c r="AM3" s="14">
        <f t="shared" si="3"/>
        <v>53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14</v>
      </c>
      <c r="M5" s="17">
        <f t="shared" ref="M5:M68" si="6">COUNTIF(O5:AP5,"APAGADO")</f>
        <v>14</v>
      </c>
      <c r="N5" s="18">
        <f t="shared" ref="N5:N68" si="7">(L5)/(M5+L5)</f>
        <v>0.5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 t="s">
        <v>939</v>
      </c>
      <c r="AL5" s="19" t="s">
        <v>939</v>
      </c>
      <c r="AM5" s="19" t="s">
        <v>939</v>
      </c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26</v>
      </c>
      <c r="M10" s="17">
        <f t="shared" si="6"/>
        <v>2</v>
      </c>
      <c r="N10" s="18">
        <f t="shared" si="7"/>
        <v>0.9285714285714286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 t="s">
        <v>939</v>
      </c>
      <c r="AM10" s="8" t="s">
        <v>939</v>
      </c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25</v>
      </c>
      <c r="M13" s="17">
        <f t="shared" si="6"/>
        <v>3</v>
      </c>
      <c r="N13" s="18">
        <f t="shared" si="7"/>
        <v>0.8928571428571429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 t="s">
        <v>939</v>
      </c>
      <c r="AM13" s="8" t="s">
        <v>939</v>
      </c>
      <c r="AN13" s="27"/>
      <c r="AO13" s="8"/>
      <c r="AP13" s="8"/>
      <c r="AQ13" s="27"/>
      <c r="AR13" s="27"/>
      <c r="AS13" s="27"/>
    </row>
    <row r="14" spans="1:45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23</v>
      </c>
      <c r="M14" s="17">
        <f t="shared" si="6"/>
        <v>5</v>
      </c>
      <c r="N14" s="18">
        <f t="shared" si="7"/>
        <v>0.8214285714285714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 t="s">
        <v>939</v>
      </c>
      <c r="AM14" s="8" t="s">
        <v>939</v>
      </c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25</v>
      </c>
      <c r="M17" s="17">
        <f t="shared" si="6"/>
        <v>3</v>
      </c>
      <c r="N17" s="18">
        <f t="shared" si="7"/>
        <v>0.8928571428571429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 t="s">
        <v>939</v>
      </c>
      <c r="AM17" s="8" t="s">
        <v>939</v>
      </c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25</v>
      </c>
      <c r="M18" s="17">
        <f t="shared" si="6"/>
        <v>3</v>
      </c>
      <c r="N18" s="18">
        <f t="shared" si="7"/>
        <v>0.8928571428571429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 t="s">
        <v>939</v>
      </c>
      <c r="AM18" s="8" t="s">
        <v>939</v>
      </c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 t="s">
        <v>939</v>
      </c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20</v>
      </c>
      <c r="M30" s="17">
        <f t="shared" si="6"/>
        <v>8</v>
      </c>
      <c r="N30" s="18">
        <f t="shared" si="7"/>
        <v>0.7142857142857143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 t="s">
        <v>939</v>
      </c>
      <c r="AL30" s="8" t="s">
        <v>939</v>
      </c>
      <c r="AM30" s="8" t="s">
        <v>939</v>
      </c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27</v>
      </c>
      <c r="M34" s="17">
        <f t="shared" si="6"/>
        <v>1</v>
      </c>
      <c r="N34" s="18">
        <f t="shared" si="7"/>
        <v>0.9642857142857143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 t="s">
        <v>939</v>
      </c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27</v>
      </c>
      <c r="M35" s="17">
        <f t="shared" si="6"/>
        <v>1</v>
      </c>
      <c r="N35" s="18">
        <f t="shared" si="7"/>
        <v>0.9642857142857143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 t="s">
        <v>939</v>
      </c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 t="s">
        <v>939</v>
      </c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26</v>
      </c>
      <c r="M51" s="17">
        <f t="shared" si="6"/>
        <v>2</v>
      </c>
      <c r="N51" s="18">
        <f t="shared" si="7"/>
        <v>0.9285714285714286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 t="s">
        <v>939</v>
      </c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17</v>
      </c>
      <c r="M70" s="17">
        <f t="shared" si="9"/>
        <v>11</v>
      </c>
      <c r="N70" s="18">
        <f t="shared" si="10"/>
        <v>0.6071428571428571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3</v>
      </c>
      <c r="M80" s="17">
        <f t="shared" si="9"/>
        <v>25</v>
      </c>
      <c r="N80" s="18">
        <f t="shared" si="10"/>
        <v>0.10714285714285714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 t="s">
        <v>939</v>
      </c>
      <c r="AL80" s="8" t="s">
        <v>939</v>
      </c>
      <c r="AM80" s="8" t="s">
        <v>939</v>
      </c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 t="s">
        <v>939</v>
      </c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9</v>
      </c>
      <c r="M90" s="17">
        <f t="shared" si="9"/>
        <v>19</v>
      </c>
      <c r="N90" s="18">
        <f t="shared" si="10"/>
        <v>0.32142857142857145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 t="s">
        <v>939</v>
      </c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3</v>
      </c>
      <c r="M91" s="17">
        <f t="shared" si="9"/>
        <v>25</v>
      </c>
      <c r="N91" s="18">
        <f t="shared" si="10"/>
        <v>0.10714285714285714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 t="s">
        <v>939</v>
      </c>
      <c r="AL91" s="8" t="s">
        <v>939</v>
      </c>
      <c r="AM91" s="8" t="s">
        <v>939</v>
      </c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3</v>
      </c>
      <c r="M92" s="17">
        <f t="shared" si="9"/>
        <v>25</v>
      </c>
      <c r="N92" s="18">
        <f t="shared" si="10"/>
        <v>0.10714285714285714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 t="s">
        <v>939</v>
      </c>
      <c r="AL92" s="8" t="s">
        <v>939</v>
      </c>
      <c r="AM92" s="8" t="s">
        <v>939</v>
      </c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27</v>
      </c>
      <c r="M93" s="17">
        <f t="shared" si="9"/>
        <v>1</v>
      </c>
      <c r="N93" s="18">
        <f t="shared" si="10"/>
        <v>0.9642857142857143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 t="s">
        <v>939</v>
      </c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27</v>
      </c>
      <c r="M95" s="17">
        <f t="shared" si="9"/>
        <v>1</v>
      </c>
      <c r="N95" s="18">
        <f t="shared" si="10"/>
        <v>0.9642857142857143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 t="s">
        <v>939</v>
      </c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20</v>
      </c>
      <c r="M106" s="17">
        <f t="shared" si="9"/>
        <v>8</v>
      </c>
      <c r="N106" s="18">
        <f t="shared" si="10"/>
        <v>0.7142857142857143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 t="s">
        <v>939</v>
      </c>
      <c r="AM106" s="8" t="s">
        <v>939</v>
      </c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20</v>
      </c>
      <c r="M107" s="17">
        <f t="shared" si="9"/>
        <v>8</v>
      </c>
      <c r="N107" s="18">
        <f t="shared" si="10"/>
        <v>0.7142857142857143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 t="s">
        <v>939</v>
      </c>
      <c r="AM107" s="8" t="s">
        <v>939</v>
      </c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20</v>
      </c>
      <c r="M108" s="17">
        <f t="shared" si="9"/>
        <v>8</v>
      </c>
      <c r="N108" s="18">
        <f t="shared" si="10"/>
        <v>0.7142857142857143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 t="s">
        <v>939</v>
      </c>
      <c r="AM108" s="8" t="s">
        <v>939</v>
      </c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20</v>
      </c>
      <c r="M109" s="17">
        <f t="shared" si="9"/>
        <v>8</v>
      </c>
      <c r="N109" s="18">
        <f t="shared" si="10"/>
        <v>0.7142857142857143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 t="s">
        <v>939</v>
      </c>
      <c r="AM109" s="8" t="s">
        <v>939</v>
      </c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24</v>
      </c>
      <c r="M112" s="17">
        <f t="shared" si="9"/>
        <v>4</v>
      </c>
      <c r="N112" s="18">
        <f t="shared" si="10"/>
        <v>0.8571428571428571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 t="s">
        <v>939</v>
      </c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10</v>
      </c>
      <c r="M115" s="17">
        <f t="shared" si="9"/>
        <v>18</v>
      </c>
      <c r="N115" s="18">
        <f t="shared" si="10"/>
        <v>0.35714285714285715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 t="s">
        <v>939</v>
      </c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10</v>
      </c>
      <c r="M116" s="17">
        <f t="shared" si="9"/>
        <v>18</v>
      </c>
      <c r="N116" s="18">
        <f t="shared" si="10"/>
        <v>0.35714285714285715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 t="s">
        <v>939</v>
      </c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19</v>
      </c>
      <c r="M122" s="17">
        <f t="shared" si="9"/>
        <v>9</v>
      </c>
      <c r="N122" s="18">
        <f t="shared" si="10"/>
        <v>0.6785714285714286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 t="s">
        <v>939</v>
      </c>
      <c r="AM122" s="8" t="s">
        <v>939</v>
      </c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19</v>
      </c>
      <c r="M123" s="17">
        <f t="shared" si="9"/>
        <v>9</v>
      </c>
      <c r="N123" s="18">
        <f t="shared" si="10"/>
        <v>0.6785714285714286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 t="s">
        <v>939</v>
      </c>
      <c r="AM123" s="8" t="s">
        <v>939</v>
      </c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3</v>
      </c>
      <c r="M133" s="17">
        <f t="shared" ref="M133:M196" si="12">COUNTIF(O133:AP133,"APAGADO")</f>
        <v>25</v>
      </c>
      <c r="N133" s="18">
        <f t="shared" ref="N133:N196" si="13">(L133)/(M133+L133)</f>
        <v>0.10714285714285714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 t="s">
        <v>939</v>
      </c>
      <c r="AL133" s="8" t="s">
        <v>939</v>
      </c>
      <c r="AM133" s="8" t="s">
        <v>939</v>
      </c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26</v>
      </c>
      <c r="M136" s="17">
        <f t="shared" si="12"/>
        <v>2</v>
      </c>
      <c r="N136" s="18">
        <f t="shared" si="13"/>
        <v>0.9285714285714286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 t="s">
        <v>939</v>
      </c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10</v>
      </c>
      <c r="M153" s="17">
        <f t="shared" si="12"/>
        <v>18</v>
      </c>
      <c r="N153" s="18">
        <f t="shared" si="13"/>
        <v>0.35714285714285715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 t="s">
        <v>939</v>
      </c>
      <c r="AL153" s="8" t="s">
        <v>939</v>
      </c>
      <c r="AM153" s="8" t="s">
        <v>939</v>
      </c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4</v>
      </c>
      <c r="M156" s="17">
        <f t="shared" si="12"/>
        <v>24</v>
      </c>
      <c r="N156" s="18">
        <f t="shared" si="13"/>
        <v>0.14285714285714285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 t="s">
        <v>939</v>
      </c>
      <c r="AL156" s="8" t="s">
        <v>939</v>
      </c>
      <c r="AM156" s="8" t="s">
        <v>939</v>
      </c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 t="s">
        <v>939</v>
      </c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7</v>
      </c>
      <c r="M159" s="17">
        <f t="shared" si="12"/>
        <v>21</v>
      </c>
      <c r="N159" s="18">
        <f t="shared" si="13"/>
        <v>0.25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 t="s">
        <v>939</v>
      </c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14</v>
      </c>
      <c r="M160" s="17">
        <f t="shared" si="12"/>
        <v>14</v>
      </c>
      <c r="N160" s="18">
        <f t="shared" si="13"/>
        <v>0.5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 t="s">
        <v>939</v>
      </c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18</v>
      </c>
      <c r="M169" s="17">
        <f t="shared" si="12"/>
        <v>10</v>
      </c>
      <c r="N169" s="18">
        <f t="shared" si="13"/>
        <v>0.6428571428571429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 t="s">
        <v>939</v>
      </c>
      <c r="AL169" s="8" t="s">
        <v>939</v>
      </c>
      <c r="AM169" s="8" t="s">
        <v>939</v>
      </c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10</v>
      </c>
      <c r="M171" s="17">
        <f t="shared" si="12"/>
        <v>18</v>
      </c>
      <c r="N171" s="18">
        <f t="shared" si="13"/>
        <v>0.35714285714285715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 t="s">
        <v>939</v>
      </c>
      <c r="AL171" s="8" t="s">
        <v>939</v>
      </c>
      <c r="AM171" s="8" t="s">
        <v>939</v>
      </c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24</v>
      </c>
      <c r="M173" s="17">
        <f t="shared" si="12"/>
        <v>4</v>
      </c>
      <c r="N173" s="18">
        <f t="shared" si="13"/>
        <v>0.8571428571428571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 t="s">
        <v>939</v>
      </c>
      <c r="AL173" s="8" t="s">
        <v>939</v>
      </c>
      <c r="AM173" s="8" t="s">
        <v>939</v>
      </c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14</v>
      </c>
      <c r="M174" s="17">
        <f t="shared" si="12"/>
        <v>14</v>
      </c>
      <c r="N174" s="18">
        <f t="shared" si="13"/>
        <v>0.5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 t="s">
        <v>939</v>
      </c>
      <c r="AL174" s="8" t="s">
        <v>939</v>
      </c>
      <c r="AM174" s="8" t="s">
        <v>939</v>
      </c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20</v>
      </c>
      <c r="M180" s="17">
        <f t="shared" si="12"/>
        <v>8</v>
      </c>
      <c r="N180" s="18">
        <f t="shared" si="13"/>
        <v>0.7142857142857143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 t="s">
        <v>939</v>
      </c>
      <c r="AL180" s="8" t="s">
        <v>939</v>
      </c>
      <c r="AM180" s="8" t="s">
        <v>939</v>
      </c>
      <c r="AN180" s="27"/>
      <c r="AO180" s="8"/>
      <c r="AP180" s="8"/>
      <c r="AQ180" s="27"/>
      <c r="AR180" s="27"/>
      <c r="AS180" s="27"/>
    </row>
    <row r="181" spans="1:45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3</v>
      </c>
      <c r="M191" s="17">
        <f t="shared" si="12"/>
        <v>25</v>
      </c>
      <c r="N191" s="18">
        <f t="shared" si="13"/>
        <v>0.10714285714285714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 t="s">
        <v>939</v>
      </c>
      <c r="AL191" s="8" t="s">
        <v>939</v>
      </c>
      <c r="AM191" s="8" t="s">
        <v>939</v>
      </c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3</v>
      </c>
      <c r="M192" s="17">
        <f t="shared" si="12"/>
        <v>25</v>
      </c>
      <c r="N192" s="18">
        <f t="shared" si="13"/>
        <v>0.10714285714285714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 t="s">
        <v>939</v>
      </c>
      <c r="AL192" s="8" t="s">
        <v>939</v>
      </c>
      <c r="AM192" s="8" t="s">
        <v>939</v>
      </c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9</v>
      </c>
      <c r="M193" s="17">
        <f t="shared" si="12"/>
        <v>19</v>
      </c>
      <c r="N193" s="18">
        <f t="shared" si="13"/>
        <v>0.32142857142857145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 t="s">
        <v>939</v>
      </c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10</v>
      </c>
      <c r="M194" s="17">
        <f t="shared" si="12"/>
        <v>18</v>
      </c>
      <c r="N194" s="18">
        <f t="shared" si="13"/>
        <v>0.35714285714285715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 t="s">
        <v>939</v>
      </c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15</v>
      </c>
      <c r="M197" s="17">
        <f t="shared" ref="M197:M262" si="15">COUNTIF(O197:AP197,"APAGADO")</f>
        <v>13</v>
      </c>
      <c r="N197" s="18">
        <f t="shared" ref="N197:N262" si="16">(L197)/(M197+L197)</f>
        <v>0.5357142857142857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 t="s">
        <v>939</v>
      </c>
      <c r="AM197" s="8" t="s">
        <v>939</v>
      </c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19</v>
      </c>
      <c r="M198" s="17">
        <f t="shared" si="15"/>
        <v>9</v>
      </c>
      <c r="N198" s="18">
        <f t="shared" si="16"/>
        <v>0.6785714285714286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 t="s">
        <v>939</v>
      </c>
      <c r="AM198" s="8" t="s">
        <v>939</v>
      </c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22</v>
      </c>
      <c r="M199" s="17">
        <f t="shared" si="15"/>
        <v>6</v>
      </c>
      <c r="N199" s="18">
        <f t="shared" si="16"/>
        <v>0.7857142857142857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 t="s">
        <v>939</v>
      </c>
      <c r="AM199" s="8" t="s">
        <v>939</v>
      </c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25</v>
      </c>
      <c r="M200" s="17">
        <f t="shared" si="15"/>
        <v>3</v>
      </c>
      <c r="N200" s="18">
        <f t="shared" si="16"/>
        <v>0.8928571428571429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 t="s">
        <v>939</v>
      </c>
      <c r="AM200" s="8" t="s">
        <v>939</v>
      </c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 t="s">
        <v>939</v>
      </c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 t="s">
        <v>939</v>
      </c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4</v>
      </c>
      <c r="M206" s="17">
        <f t="shared" si="15"/>
        <v>24</v>
      </c>
      <c r="N206" s="18">
        <f t="shared" si="16"/>
        <v>0.14285714285714285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 t="s">
        <v>939</v>
      </c>
      <c r="AL206" s="8" t="s">
        <v>939</v>
      </c>
      <c r="AM206" s="8" t="s">
        <v>939</v>
      </c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23</v>
      </c>
      <c r="M207" s="17">
        <f t="shared" si="15"/>
        <v>5</v>
      </c>
      <c r="N207" s="18">
        <f t="shared" si="16"/>
        <v>0.8214285714285714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 t="s">
        <v>939</v>
      </c>
      <c r="AL207" s="8" t="s">
        <v>939</v>
      </c>
      <c r="AM207" s="8" t="s">
        <v>939</v>
      </c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25</v>
      </c>
      <c r="M208" s="17">
        <f t="shared" si="15"/>
        <v>3</v>
      </c>
      <c r="N208" s="18">
        <f t="shared" si="16"/>
        <v>0.8928571428571429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 t="s">
        <v>939</v>
      </c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26</v>
      </c>
      <c r="M210" s="17">
        <f t="shared" si="15"/>
        <v>2</v>
      </c>
      <c r="N210" s="18">
        <f t="shared" si="16"/>
        <v>0.9285714285714286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 t="s">
        <v>939</v>
      </c>
      <c r="AM210" s="8" t="s">
        <v>939</v>
      </c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21</v>
      </c>
      <c r="M211" s="17">
        <f t="shared" si="15"/>
        <v>7</v>
      </c>
      <c r="N211" s="18">
        <f t="shared" si="16"/>
        <v>0.75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 t="s">
        <v>939</v>
      </c>
      <c r="AM211" s="8" t="s">
        <v>939</v>
      </c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21</v>
      </c>
      <c r="M212" s="17">
        <f t="shared" si="15"/>
        <v>7</v>
      </c>
      <c r="N212" s="18">
        <f t="shared" si="16"/>
        <v>0.75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 t="s">
        <v>939</v>
      </c>
      <c r="AM212" s="8" t="s">
        <v>939</v>
      </c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14</v>
      </c>
      <c r="M224" s="17">
        <f t="shared" si="15"/>
        <v>14</v>
      </c>
      <c r="N224" s="18">
        <f t="shared" si="16"/>
        <v>0.5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 t="s">
        <v>939</v>
      </c>
      <c r="AL224" s="8" t="s">
        <v>939</v>
      </c>
      <c r="AM224" s="8" t="s">
        <v>939</v>
      </c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23</v>
      </c>
      <c r="M230" s="17">
        <f t="shared" si="15"/>
        <v>5</v>
      </c>
      <c r="N230" s="18">
        <f t="shared" si="16"/>
        <v>0.8214285714285714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 t="s">
        <v>939</v>
      </c>
      <c r="AL230" s="8" t="s">
        <v>939</v>
      </c>
      <c r="AM230" s="8" t="s">
        <v>939</v>
      </c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22</v>
      </c>
      <c r="M235" s="17">
        <f t="shared" si="15"/>
        <v>6</v>
      </c>
      <c r="N235" s="18">
        <f t="shared" si="16"/>
        <v>0.7857142857142857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 t="s">
        <v>939</v>
      </c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22</v>
      </c>
      <c r="M236" s="17">
        <f t="shared" si="15"/>
        <v>6</v>
      </c>
      <c r="N236" s="18">
        <f t="shared" si="16"/>
        <v>0.7857142857142857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 t="s">
        <v>939</v>
      </c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21</v>
      </c>
      <c r="M237" s="17">
        <f t="shared" si="15"/>
        <v>7</v>
      </c>
      <c r="N237" s="18">
        <f t="shared" si="16"/>
        <v>0.75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 t="s">
        <v>939</v>
      </c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18</v>
      </c>
      <c r="M239" s="17">
        <f t="shared" si="15"/>
        <v>10</v>
      </c>
      <c r="N239" s="18">
        <f t="shared" si="16"/>
        <v>0.6428571428571429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 t="s">
        <v>939</v>
      </c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17</v>
      </c>
      <c r="M240" s="17">
        <f t="shared" si="15"/>
        <v>11</v>
      </c>
      <c r="N240" s="18">
        <f t="shared" si="16"/>
        <v>0.6071428571428571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 t="s">
        <v>939</v>
      </c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22</v>
      </c>
      <c r="M241" s="17">
        <f t="shared" si="15"/>
        <v>6</v>
      </c>
      <c r="N241" s="18">
        <f t="shared" si="16"/>
        <v>0.7857142857142857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 t="s">
        <v>939</v>
      </c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22</v>
      </c>
      <c r="M242" s="17">
        <f t="shared" si="15"/>
        <v>6</v>
      </c>
      <c r="N242" s="18">
        <f t="shared" si="16"/>
        <v>0.7857142857142857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 t="s">
        <v>939</v>
      </c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22</v>
      </c>
      <c r="M243" s="17">
        <f t="shared" si="15"/>
        <v>6</v>
      </c>
      <c r="N243" s="18">
        <f t="shared" si="16"/>
        <v>0.7857142857142857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 t="s">
        <v>939</v>
      </c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22</v>
      </c>
      <c r="M244" s="17">
        <f t="shared" si="15"/>
        <v>6</v>
      </c>
      <c r="N244" s="18">
        <f t="shared" si="16"/>
        <v>0.7857142857142857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 t="s">
        <v>939</v>
      </c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 t="s">
        <v>939</v>
      </c>
      <c r="AL245" s="27" t="s">
        <v>939</v>
      </c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 t="s">
        <v>939</v>
      </c>
      <c r="AL246" s="27" t="s">
        <v>939</v>
      </c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21</v>
      </c>
      <c r="M263" s="17">
        <f t="shared" ref="M263:M326" si="18">COUNTIF(O263:AP263,"APAGADO")</f>
        <v>7</v>
      </c>
      <c r="N263" s="18">
        <f t="shared" ref="N263:N326" si="19">(L263)/(M263+L263)</f>
        <v>0.75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 t="s">
        <v>939</v>
      </c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21</v>
      </c>
      <c r="M264" s="17">
        <f t="shared" si="18"/>
        <v>7</v>
      </c>
      <c r="N264" s="18">
        <f t="shared" si="19"/>
        <v>0.75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 t="s">
        <v>939</v>
      </c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14</v>
      </c>
      <c r="M265" s="17">
        <f t="shared" si="18"/>
        <v>14</v>
      </c>
      <c r="N265" s="18">
        <f t="shared" si="19"/>
        <v>0.5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 t="s">
        <v>939</v>
      </c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14</v>
      </c>
      <c r="M266" s="17">
        <f t="shared" si="18"/>
        <v>14</v>
      </c>
      <c r="N266" s="18">
        <f t="shared" si="19"/>
        <v>0.5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 t="s">
        <v>939</v>
      </c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23</v>
      </c>
      <c r="M279" s="17">
        <f t="shared" si="18"/>
        <v>5</v>
      </c>
      <c r="N279" s="18">
        <f t="shared" si="19"/>
        <v>0.8214285714285714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 t="s">
        <v>939</v>
      </c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10</v>
      </c>
      <c r="M281" s="17">
        <f t="shared" si="18"/>
        <v>18</v>
      </c>
      <c r="N281" s="18">
        <f t="shared" si="19"/>
        <v>0.35714285714285715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 t="s">
        <v>939</v>
      </c>
      <c r="AL281" s="8" t="s">
        <v>939</v>
      </c>
      <c r="AM281" s="8" t="s">
        <v>939</v>
      </c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6</v>
      </c>
      <c r="M282" s="17">
        <f t="shared" si="18"/>
        <v>22</v>
      </c>
      <c r="N282" s="18">
        <f t="shared" si="19"/>
        <v>0.21428571428571427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 t="s">
        <v>939</v>
      </c>
      <c r="AM282" s="8" t="s">
        <v>939</v>
      </c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21</v>
      </c>
      <c r="M284" s="17">
        <f t="shared" si="18"/>
        <v>7</v>
      </c>
      <c r="N284" s="18">
        <f t="shared" si="19"/>
        <v>0.75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 t="s">
        <v>939</v>
      </c>
      <c r="AM284" s="8" t="s">
        <v>939</v>
      </c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21</v>
      </c>
      <c r="M285" s="17">
        <f t="shared" si="18"/>
        <v>7</v>
      </c>
      <c r="N285" s="18">
        <f t="shared" si="19"/>
        <v>0.75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 t="s">
        <v>939</v>
      </c>
      <c r="AM285" s="8" t="s">
        <v>939</v>
      </c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 t="s">
        <v>939</v>
      </c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 t="s">
        <v>939</v>
      </c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26</v>
      </c>
      <c r="M291" s="17">
        <f t="shared" si="18"/>
        <v>2</v>
      </c>
      <c r="N291" s="18">
        <f t="shared" si="19"/>
        <v>0.9285714285714286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 t="s">
        <v>939</v>
      </c>
      <c r="AM291" s="8" t="s">
        <v>939</v>
      </c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 t="s">
        <v>939</v>
      </c>
      <c r="AM292" s="8" t="s">
        <v>939</v>
      </c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 t="s">
        <v>939</v>
      </c>
      <c r="AM293" s="8" t="s">
        <v>939</v>
      </c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 t="s">
        <v>939</v>
      </c>
      <c r="AM294" s="8" t="s">
        <v>939</v>
      </c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 t="s">
        <v>939</v>
      </c>
      <c r="AM295" s="8" t="s">
        <v>939</v>
      </c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22</v>
      </c>
      <c r="M297" s="17">
        <f t="shared" si="18"/>
        <v>6</v>
      </c>
      <c r="N297" s="18">
        <f t="shared" si="19"/>
        <v>0.7857142857142857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939</v>
      </c>
      <c r="AM297" s="8" t="s">
        <v>939</v>
      </c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26</v>
      </c>
      <c r="M303" s="17">
        <f t="shared" si="18"/>
        <v>2</v>
      </c>
      <c r="N303" s="18">
        <f t="shared" si="19"/>
        <v>0.9285714285714286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 t="s">
        <v>939</v>
      </c>
      <c r="AM303" s="8" t="s">
        <v>939</v>
      </c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15</v>
      </c>
      <c r="M305" s="17">
        <f t="shared" si="18"/>
        <v>13</v>
      </c>
      <c r="N305" s="18">
        <f t="shared" si="19"/>
        <v>0.5357142857142857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 t="s">
        <v>939</v>
      </c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 t="s">
        <v>939</v>
      </c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10</v>
      </c>
      <c r="M321" s="17">
        <f t="shared" si="18"/>
        <v>18</v>
      </c>
      <c r="N321" s="18">
        <f t="shared" si="19"/>
        <v>0.35714285714285715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 t="s">
        <v>939</v>
      </c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21</v>
      </c>
      <c r="M324" s="17">
        <f t="shared" si="18"/>
        <v>7</v>
      </c>
      <c r="N324" s="18">
        <f t="shared" si="19"/>
        <v>0.75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 t="s">
        <v>939</v>
      </c>
      <c r="AL324" s="8"/>
      <c r="AM324" s="8" t="s">
        <v>939</v>
      </c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 t="s">
        <v>939</v>
      </c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 t="s">
        <v>939</v>
      </c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 t="s">
        <v>939</v>
      </c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 t="s">
        <v>939</v>
      </c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9</v>
      </c>
      <c r="M349" s="17">
        <f t="shared" si="21"/>
        <v>19</v>
      </c>
      <c r="N349" s="18">
        <f t="shared" si="22"/>
        <v>0.32142857142857145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22</v>
      </c>
      <c r="M355" s="17">
        <f t="shared" si="21"/>
        <v>6</v>
      </c>
      <c r="N355" s="18">
        <f t="shared" si="22"/>
        <v>0.7857142857142857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 t="s">
        <v>939</v>
      </c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26</v>
      </c>
      <c r="M358" s="17">
        <f t="shared" si="21"/>
        <v>2</v>
      </c>
      <c r="N358" s="18">
        <f t="shared" si="22"/>
        <v>0.9285714285714286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939</v>
      </c>
      <c r="AM358" s="8" t="s">
        <v>939</v>
      </c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13</v>
      </c>
      <c r="M369" s="17">
        <f t="shared" si="21"/>
        <v>15</v>
      </c>
      <c r="N369" s="18">
        <f t="shared" si="22"/>
        <v>0.4642857142857143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 t="s">
        <v>939</v>
      </c>
      <c r="AL369" s="8" t="s">
        <v>939</v>
      </c>
      <c r="AM369" s="8" t="s">
        <v>939</v>
      </c>
      <c r="AN369" s="27"/>
      <c r="AO369" s="8"/>
      <c r="AP369" s="8"/>
      <c r="AQ369" s="27"/>
      <c r="AR369" s="27"/>
      <c r="AS369" s="27"/>
    </row>
    <row r="370" spans="1:45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27</v>
      </c>
      <c r="M371" s="17">
        <f t="shared" ref="M371:M372" si="24">COUNTIF(O371:AP371,"APAGADO")</f>
        <v>1</v>
      </c>
      <c r="N371" s="18">
        <f t="shared" ref="N371:N372" si="25">(L371)/(M371+L371)</f>
        <v>0.9642857142857143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 t="s">
        <v>939</v>
      </c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27</v>
      </c>
      <c r="M372" s="17">
        <f t="shared" si="24"/>
        <v>1</v>
      </c>
      <c r="N372" s="18">
        <f t="shared" si="25"/>
        <v>0.9642857142857143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 t="s">
        <v>939</v>
      </c>
      <c r="AM372" s="27"/>
      <c r="AN372" s="27"/>
      <c r="AO372" s="27"/>
      <c r="AP372" s="27"/>
      <c r="AQ372" s="27"/>
      <c r="AR372" s="27"/>
      <c r="AS372" s="27"/>
    </row>
    <row r="373" spans="1:45" x14ac:dyDescent="0.3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3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3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3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N247:N372 P236:U244 P247:U281 O95:O244 O247:O369 V96:X244 V247:X372 N245:X246 AK95:AS369 Y96:AJ372">
    <cfRule type="cellIs" dxfId="446" priority="1841" operator="lessThan">
      <formula>0.8</formula>
    </cfRule>
    <cfRule type="cellIs" dxfId="445" priority="1842" operator="greaterThan">
      <formula>0.8</formula>
    </cfRule>
  </conditionalFormatting>
  <conditionalFormatting sqref="E1:K3 E284:K334 E236:K236 E5:K32 E36:K91 E94:K230 E337:K364 E369:K372 E243:K281 E391:K1048576">
    <cfRule type="containsText" dxfId="444" priority="1840" operator="containsText" text="Radio">
      <formula>NOT(ISERROR(SEARCH("Radio",E1)))</formula>
    </cfRule>
  </conditionalFormatting>
  <conditionalFormatting sqref="P236:U244 P247:U281 O95:O244 O247:O372 V96:X244 V247:X372 O245:X246 AK95:AS372 Y96:AJ372 V391:AS1048576">
    <cfRule type="notContainsText" dxfId="443" priority="1836" operator="notContains" text="Caida">
      <formula>ISERROR(SEARCH("Caida",O95))</formula>
    </cfRule>
    <cfRule type="containsText" dxfId="442" priority="1837" operator="containsText" text="Caida">
      <formula>NOT(ISERROR(SEARCH("Caida",O95)))</formula>
    </cfRule>
  </conditionalFormatting>
  <conditionalFormatting sqref="E282:K282">
    <cfRule type="containsText" dxfId="441" priority="1809" operator="containsText" text="Radio">
      <formula>NOT(ISERROR(SEARCH("Radio",E282)))</formula>
    </cfRule>
  </conditionalFormatting>
  <conditionalFormatting sqref="E283:K283">
    <cfRule type="containsText" dxfId="440" priority="1784" operator="containsText" text="Radio">
      <formula>NOT(ISERROR(SEARCH("Radio",E283)))</formula>
    </cfRule>
  </conditionalFormatting>
  <conditionalFormatting sqref="E4:K4">
    <cfRule type="containsText" dxfId="439" priority="1759" operator="containsText" text="Radio">
      <formula>NOT(ISERROR(SEARCH("Radio",E4)))</formula>
    </cfRule>
  </conditionalFormatting>
  <conditionalFormatting sqref="E231:K231">
    <cfRule type="containsText" dxfId="438" priority="1758" operator="containsText" text="Radio">
      <formula>NOT(ISERROR(SEARCH("Radio",E231)))</formula>
    </cfRule>
  </conditionalFormatting>
  <conditionalFormatting sqref="E232:K232">
    <cfRule type="containsText" dxfId="437" priority="1733" operator="containsText" text="Radio">
      <formula>NOT(ISERROR(SEARCH("Radio",E232)))</formula>
    </cfRule>
  </conditionalFormatting>
  <conditionalFormatting sqref="E233:K233">
    <cfRule type="containsText" dxfId="436" priority="1708" operator="containsText" text="Radio">
      <formula>NOT(ISERROR(SEARCH("Radio",E233)))</formula>
    </cfRule>
  </conditionalFormatting>
  <conditionalFormatting sqref="E234:K234">
    <cfRule type="containsText" dxfId="435" priority="1683" operator="containsText" text="Radio">
      <formula>NOT(ISERROR(SEARCH("Radio",E234)))</formula>
    </cfRule>
  </conditionalFormatting>
  <conditionalFormatting sqref="E235:K235">
    <cfRule type="containsText" dxfId="434" priority="1658" operator="containsText" text="Radio">
      <formula>NOT(ISERROR(SEARCH("Radio",E235)))</formula>
    </cfRule>
  </conditionalFormatting>
  <conditionalFormatting sqref="E335:K335">
    <cfRule type="containsText" dxfId="433" priority="1609" operator="containsText" text="Radio">
      <formula>NOT(ISERROR(SEARCH("Radio",E335)))</formula>
    </cfRule>
  </conditionalFormatting>
  <conditionalFormatting sqref="E336:K336">
    <cfRule type="containsText" dxfId="432" priority="1584" operator="containsText" text="Radio">
      <formula>NOT(ISERROR(SEARCH("Radio",E336)))</formula>
    </cfRule>
  </conditionalFormatting>
  <conditionalFormatting sqref="E237:K237">
    <cfRule type="containsText" dxfId="431" priority="1559" operator="containsText" text="Radio">
      <formula>NOT(ISERROR(SEARCH("Radio",E237)))</formula>
    </cfRule>
  </conditionalFormatting>
  <conditionalFormatting sqref="E238:K238">
    <cfRule type="containsText" dxfId="430" priority="1534" operator="containsText" text="Radio">
      <formula>NOT(ISERROR(SEARCH("Radio",E238)))</formula>
    </cfRule>
  </conditionalFormatting>
  <conditionalFormatting sqref="E33:K35">
    <cfRule type="containsText" dxfId="429" priority="1509" operator="containsText" text="Radio">
      <formula>NOT(ISERROR(SEARCH("Radio",E33)))</formula>
    </cfRule>
  </conditionalFormatting>
  <conditionalFormatting sqref="E239:K239">
    <cfRule type="containsText" dxfId="428" priority="1484" operator="containsText" text="Radio">
      <formula>NOT(ISERROR(SEARCH("Radio",E239)))</formula>
    </cfRule>
  </conditionalFormatting>
  <conditionalFormatting sqref="E240:K240">
    <cfRule type="containsText" dxfId="427" priority="1459" operator="containsText" text="Radio">
      <formula>NOT(ISERROR(SEARCH("Radio",E240)))</formula>
    </cfRule>
  </conditionalFormatting>
  <conditionalFormatting sqref="E241:K241">
    <cfRule type="containsText" dxfId="426" priority="1434" operator="containsText" text="Radio">
      <formula>NOT(ISERROR(SEARCH("Radio",E241)))</formula>
    </cfRule>
  </conditionalFormatting>
  <conditionalFormatting sqref="E242:K242">
    <cfRule type="containsText" dxfId="425" priority="1409" operator="containsText" text="Radio">
      <formula>NOT(ISERROR(SEARCH("Radio",E242)))</formula>
    </cfRule>
  </conditionalFormatting>
  <conditionalFormatting sqref="P6:P92 P96:P230">
    <cfRule type="cellIs" dxfId="424" priority="1334" operator="lessThan">
      <formula>0.8</formula>
    </cfRule>
    <cfRule type="cellIs" dxfId="423" priority="1335" operator="greaterThan">
      <formula>0.8</formula>
    </cfRule>
  </conditionalFormatting>
  <conditionalFormatting sqref="P6:P92 P96:P230">
    <cfRule type="notContainsText" dxfId="422" priority="1332" operator="notContains" text="Caida">
      <formula>ISERROR(SEARCH("Caida",P6))</formula>
    </cfRule>
    <cfRule type="containsText" dxfId="421" priority="1333" operator="containsText" text="Caida">
      <formula>NOT(ISERROR(SEARCH("Caida",P6)))</formula>
    </cfRule>
  </conditionalFormatting>
  <conditionalFormatting sqref="P337:P366 P284:P334">
    <cfRule type="cellIs" dxfId="420" priority="1330" operator="lessThan">
      <formula>0.8</formula>
    </cfRule>
    <cfRule type="cellIs" dxfId="419" priority="1331" operator="greaterThan">
      <formula>0.8</formula>
    </cfRule>
  </conditionalFormatting>
  <conditionalFormatting sqref="P337:P366 P284:P334 P391:P1048576">
    <cfRule type="notContainsText" dxfId="418" priority="1328" operator="notContains" text="Caida">
      <formula>ISERROR(SEARCH("Caida",P284))</formula>
    </cfRule>
    <cfRule type="containsText" dxfId="417" priority="1329" operator="containsText" text="Caida">
      <formula>NOT(ISERROR(SEARCH("Caida",P284)))</formula>
    </cfRule>
  </conditionalFormatting>
  <conditionalFormatting sqref="O391:O1048576">
    <cfRule type="notContainsText" dxfId="416" priority="1377" operator="notContains" text="Caida">
      <formula>ISERROR(SEARCH("Caida",O391))</formula>
    </cfRule>
    <cfRule type="containsText" dxfId="415" priority="1378" operator="containsText" text="Caida">
      <formula>NOT(ISERROR(SEARCH("Caida",O391)))</formula>
    </cfRule>
  </conditionalFormatting>
  <conditionalFormatting sqref="P336">
    <cfRule type="cellIs" dxfId="414" priority="1289" operator="lessThan">
      <formula>0.8</formula>
    </cfRule>
    <cfRule type="cellIs" dxfId="413" priority="1290" operator="greaterThan">
      <formula>0.8</formula>
    </cfRule>
  </conditionalFormatting>
  <conditionalFormatting sqref="P336">
    <cfRule type="notContainsText" dxfId="412" priority="1287" operator="notContains" text="Caida">
      <formula>ISERROR(SEARCH("Caida",P336))</formula>
    </cfRule>
    <cfRule type="containsText" dxfId="411" priority="1288" operator="containsText" text="Caida">
      <formula>NOT(ISERROR(SEARCH("Caida",P336)))</formula>
    </cfRule>
  </conditionalFormatting>
  <conditionalFormatting sqref="P22">
    <cfRule type="containsText" dxfId="410" priority="1327" operator="containsText" text="Instaladas en Funcionamiento Caida">
      <formula>NOT(ISERROR(SEARCH("Instaladas en Funcionamiento Caida",P22)))</formula>
    </cfRule>
  </conditionalFormatting>
  <conditionalFormatting sqref="P282">
    <cfRule type="cellIs" dxfId="409" priority="1325" operator="lessThan">
      <formula>0.8</formula>
    </cfRule>
    <cfRule type="cellIs" dxfId="408" priority="1326" operator="greaterThan">
      <formula>0.8</formula>
    </cfRule>
  </conditionalFormatting>
  <conditionalFormatting sqref="P282">
    <cfRule type="notContainsText" dxfId="407" priority="1323" operator="notContains" text="Caida">
      <formula>ISERROR(SEARCH("Caida",P282))</formula>
    </cfRule>
    <cfRule type="containsText" dxfId="406" priority="1324" operator="containsText" text="Caida">
      <formula>NOT(ISERROR(SEARCH("Caida",P282)))</formula>
    </cfRule>
  </conditionalFormatting>
  <conditionalFormatting sqref="P283">
    <cfRule type="cellIs" dxfId="405" priority="1321" operator="lessThan">
      <formula>0.8</formula>
    </cfRule>
    <cfRule type="cellIs" dxfId="404" priority="1322" operator="greaterThan">
      <formula>0.8</formula>
    </cfRule>
  </conditionalFormatting>
  <conditionalFormatting sqref="P283">
    <cfRule type="notContainsText" dxfId="403" priority="1319" operator="notContains" text="Caida">
      <formula>ISERROR(SEARCH("Caida",P283))</formula>
    </cfRule>
    <cfRule type="containsText" dxfId="402" priority="1320" operator="containsText" text="Caida">
      <formula>NOT(ISERROR(SEARCH("Caida",P283)))</formula>
    </cfRule>
  </conditionalFormatting>
  <conditionalFormatting sqref="P5">
    <cfRule type="cellIs" dxfId="401" priority="1317" operator="lessThan">
      <formula>0.8</formula>
    </cfRule>
    <cfRule type="cellIs" dxfId="400" priority="1318" operator="greaterThan">
      <formula>0.8</formula>
    </cfRule>
  </conditionalFormatting>
  <conditionalFormatting sqref="P5">
    <cfRule type="notContainsText" dxfId="399" priority="1315" operator="notContains" text="Caida">
      <formula>ISERROR(SEARCH("Caida",P5))</formula>
    </cfRule>
    <cfRule type="containsText" dxfId="398" priority="1316" operator="containsText" text="Caida">
      <formula>NOT(ISERROR(SEARCH("Caida",P5)))</formula>
    </cfRule>
  </conditionalFormatting>
  <conditionalFormatting sqref="P231">
    <cfRule type="cellIs" dxfId="397" priority="1313" operator="lessThan">
      <formula>0.8</formula>
    </cfRule>
    <cfRule type="cellIs" dxfId="396" priority="1314" operator="greaterThan">
      <formula>0.8</formula>
    </cfRule>
  </conditionalFormatting>
  <conditionalFormatting sqref="P231">
    <cfRule type="notContainsText" dxfId="395" priority="1311" operator="notContains" text="Caida">
      <formula>ISERROR(SEARCH("Caida",P231))</formula>
    </cfRule>
    <cfRule type="containsText" dxfId="394" priority="1312" operator="containsText" text="Caida">
      <formula>NOT(ISERROR(SEARCH("Caida",P231)))</formula>
    </cfRule>
  </conditionalFormatting>
  <conditionalFormatting sqref="P232">
    <cfRule type="cellIs" dxfId="393" priority="1309" operator="lessThan">
      <formula>0.8</formula>
    </cfRule>
    <cfRule type="cellIs" dxfId="392" priority="1310" operator="greaterThan">
      <formula>0.8</formula>
    </cfRule>
  </conditionalFormatting>
  <conditionalFormatting sqref="P232">
    <cfRule type="notContainsText" dxfId="391" priority="1307" operator="notContains" text="Caida">
      <formula>ISERROR(SEARCH("Caida",P232))</formula>
    </cfRule>
    <cfRule type="containsText" dxfId="390" priority="1308" operator="containsText" text="Caida">
      <formula>NOT(ISERROR(SEARCH("Caida",P232)))</formula>
    </cfRule>
  </conditionalFormatting>
  <conditionalFormatting sqref="P233">
    <cfRule type="cellIs" dxfId="389" priority="1305" operator="lessThan">
      <formula>0.8</formula>
    </cfRule>
    <cfRule type="cellIs" dxfId="388" priority="1306" operator="greaterThan">
      <formula>0.8</formula>
    </cfRule>
  </conditionalFormatting>
  <conditionalFormatting sqref="P233">
    <cfRule type="notContainsText" dxfId="387" priority="1303" operator="notContains" text="Caida">
      <formula>ISERROR(SEARCH("Caida",P233))</formula>
    </cfRule>
    <cfRule type="containsText" dxfId="386" priority="1304" operator="containsText" text="Caida">
      <formula>NOT(ISERROR(SEARCH("Caida",P233)))</formula>
    </cfRule>
  </conditionalFormatting>
  <conditionalFormatting sqref="P234">
    <cfRule type="cellIs" dxfId="385" priority="1301" operator="lessThan">
      <formula>0.8</formula>
    </cfRule>
    <cfRule type="cellIs" dxfId="384" priority="1302" operator="greaterThan">
      <formula>0.8</formula>
    </cfRule>
  </conditionalFormatting>
  <conditionalFormatting sqref="P234">
    <cfRule type="notContainsText" dxfId="383" priority="1299" operator="notContains" text="Caida">
      <formula>ISERROR(SEARCH("Caida",P234))</formula>
    </cfRule>
    <cfRule type="containsText" dxfId="382" priority="1300" operator="containsText" text="Caida">
      <formula>NOT(ISERROR(SEARCH("Caida",P234)))</formula>
    </cfRule>
  </conditionalFormatting>
  <conditionalFormatting sqref="P235">
    <cfRule type="cellIs" dxfId="381" priority="1297" operator="lessThan">
      <formula>0.8</formula>
    </cfRule>
    <cfRule type="cellIs" dxfId="380" priority="1298" operator="greaterThan">
      <formula>0.8</formula>
    </cfRule>
  </conditionalFormatting>
  <conditionalFormatting sqref="P235">
    <cfRule type="notContainsText" dxfId="379" priority="1295" operator="notContains" text="Caida">
      <formula>ISERROR(SEARCH("Caida",P235))</formula>
    </cfRule>
    <cfRule type="containsText" dxfId="378" priority="1296" operator="containsText" text="Caida">
      <formula>NOT(ISERROR(SEARCH("Caida",P235)))</formula>
    </cfRule>
  </conditionalFormatting>
  <conditionalFormatting sqref="P335">
    <cfRule type="cellIs" dxfId="377" priority="1293" operator="lessThan">
      <formula>0.8</formula>
    </cfRule>
    <cfRule type="cellIs" dxfId="376" priority="1294" operator="greaterThan">
      <formula>0.8</formula>
    </cfRule>
  </conditionalFormatting>
  <conditionalFormatting sqref="P335">
    <cfRule type="notContainsText" dxfId="375" priority="1291" operator="notContains" text="Caida">
      <formula>ISERROR(SEARCH("Caida",P335))</formula>
    </cfRule>
    <cfRule type="containsText" dxfId="374" priority="1292" operator="containsText" text="Caida">
      <formula>NOT(ISERROR(SEARCH("Caida",P335)))</formula>
    </cfRule>
  </conditionalFormatting>
  <conditionalFormatting sqref="Q6:Q92 Q96:Q230">
    <cfRule type="cellIs" dxfId="373" priority="1285" operator="lessThan">
      <formula>0.8</formula>
    </cfRule>
    <cfRule type="cellIs" dxfId="372" priority="1286" operator="greaterThan">
      <formula>0.8</formula>
    </cfRule>
  </conditionalFormatting>
  <conditionalFormatting sqref="Q6:Q92 Q96:Q230">
    <cfRule type="notContainsText" dxfId="371" priority="1283" operator="notContains" text="Caida">
      <formula>ISERROR(SEARCH("Caida",Q6))</formula>
    </cfRule>
    <cfRule type="containsText" dxfId="370" priority="1284" operator="containsText" text="Caida">
      <formula>NOT(ISERROR(SEARCH("Caida",Q6)))</formula>
    </cfRule>
  </conditionalFormatting>
  <conditionalFormatting sqref="Q336">
    <cfRule type="cellIs" dxfId="369" priority="1240" operator="lessThan">
      <formula>0.8</formula>
    </cfRule>
    <cfRule type="cellIs" dxfId="368" priority="1241" operator="greaterThan">
      <formula>0.8</formula>
    </cfRule>
  </conditionalFormatting>
  <conditionalFormatting sqref="Q336">
    <cfRule type="notContainsText" dxfId="367" priority="1238" operator="notContains" text="Caida">
      <formula>ISERROR(SEARCH("Caida",Q336))</formula>
    </cfRule>
    <cfRule type="containsText" dxfId="366" priority="1239" operator="containsText" text="Caida">
      <formula>NOT(ISERROR(SEARCH("Caida",Q336)))</formula>
    </cfRule>
  </conditionalFormatting>
  <conditionalFormatting sqref="Q337:Q366 Q284:Q334">
    <cfRule type="cellIs" dxfId="365" priority="1281" operator="lessThan">
      <formula>0.8</formula>
    </cfRule>
    <cfRule type="cellIs" dxfId="364" priority="1282" operator="greaterThan">
      <formula>0.8</formula>
    </cfRule>
  </conditionalFormatting>
  <conditionalFormatting sqref="Q337:Q366 Q284:Q334 Q391:Q1048576">
    <cfRule type="notContainsText" dxfId="363" priority="1279" operator="notContains" text="Caida">
      <formula>ISERROR(SEARCH("Caida",Q284))</formula>
    </cfRule>
    <cfRule type="containsText" dxfId="362" priority="1280" operator="containsText" text="Caida">
      <formula>NOT(ISERROR(SEARCH("Caida",Q284)))</formula>
    </cfRule>
  </conditionalFormatting>
  <conditionalFormatting sqref="Q22">
    <cfRule type="containsText" dxfId="361" priority="1278" operator="containsText" text="Instaladas en Funcionamiento Caida">
      <formula>NOT(ISERROR(SEARCH("Instaladas en Funcionamiento Caida",Q22)))</formula>
    </cfRule>
  </conditionalFormatting>
  <conditionalFormatting sqref="Q282">
    <cfRule type="cellIs" dxfId="360" priority="1276" operator="lessThan">
      <formula>0.8</formula>
    </cfRule>
    <cfRule type="cellIs" dxfId="359" priority="1277" operator="greaterThan">
      <formula>0.8</formula>
    </cfRule>
  </conditionalFormatting>
  <conditionalFormatting sqref="Q282">
    <cfRule type="notContainsText" dxfId="358" priority="1274" operator="notContains" text="Caida">
      <formula>ISERROR(SEARCH("Caida",Q282))</formula>
    </cfRule>
    <cfRule type="containsText" dxfId="357" priority="1275" operator="containsText" text="Caida">
      <formula>NOT(ISERROR(SEARCH("Caida",Q282)))</formula>
    </cfRule>
  </conditionalFormatting>
  <conditionalFormatting sqref="Q283">
    <cfRule type="cellIs" dxfId="356" priority="1272" operator="lessThan">
      <formula>0.8</formula>
    </cfRule>
    <cfRule type="cellIs" dxfId="355" priority="1273" operator="greaterThan">
      <formula>0.8</formula>
    </cfRule>
  </conditionalFormatting>
  <conditionalFormatting sqref="Q283">
    <cfRule type="notContainsText" dxfId="354" priority="1270" operator="notContains" text="Caida">
      <formula>ISERROR(SEARCH("Caida",Q283))</formula>
    </cfRule>
    <cfRule type="containsText" dxfId="353" priority="1271" operator="containsText" text="Caida">
      <formula>NOT(ISERROR(SEARCH("Caida",Q283)))</formula>
    </cfRule>
  </conditionalFormatting>
  <conditionalFormatting sqref="Q5">
    <cfRule type="cellIs" dxfId="352" priority="1268" operator="lessThan">
      <formula>0.8</formula>
    </cfRule>
    <cfRule type="cellIs" dxfId="351" priority="1269" operator="greaterThan">
      <formula>0.8</formula>
    </cfRule>
  </conditionalFormatting>
  <conditionalFormatting sqref="Q5">
    <cfRule type="notContainsText" dxfId="350" priority="1266" operator="notContains" text="Caida">
      <formula>ISERROR(SEARCH("Caida",Q5))</formula>
    </cfRule>
    <cfRule type="containsText" dxfId="349" priority="1267" operator="containsText" text="Caida">
      <formula>NOT(ISERROR(SEARCH("Caida",Q5)))</formula>
    </cfRule>
  </conditionalFormatting>
  <conditionalFormatting sqref="Q231">
    <cfRule type="cellIs" dxfId="348" priority="1264" operator="lessThan">
      <formula>0.8</formula>
    </cfRule>
    <cfRule type="cellIs" dxfId="347" priority="1265" operator="greaterThan">
      <formula>0.8</formula>
    </cfRule>
  </conditionalFormatting>
  <conditionalFormatting sqref="Q231">
    <cfRule type="notContainsText" dxfId="346" priority="1262" operator="notContains" text="Caida">
      <formula>ISERROR(SEARCH("Caida",Q231))</formula>
    </cfRule>
    <cfRule type="containsText" dxfId="345" priority="1263" operator="containsText" text="Caida">
      <formula>NOT(ISERROR(SEARCH("Caida",Q231)))</formula>
    </cfRule>
  </conditionalFormatting>
  <conditionalFormatting sqref="Q232">
    <cfRule type="cellIs" dxfId="344" priority="1260" operator="lessThan">
      <formula>0.8</formula>
    </cfRule>
    <cfRule type="cellIs" dxfId="343" priority="1261" operator="greaterThan">
      <formula>0.8</formula>
    </cfRule>
  </conditionalFormatting>
  <conditionalFormatting sqref="Q232">
    <cfRule type="notContainsText" dxfId="342" priority="1258" operator="notContains" text="Caida">
      <formula>ISERROR(SEARCH("Caida",Q232))</formula>
    </cfRule>
    <cfRule type="containsText" dxfId="341" priority="1259" operator="containsText" text="Caida">
      <formula>NOT(ISERROR(SEARCH("Caida",Q232)))</formula>
    </cfRule>
  </conditionalFormatting>
  <conditionalFormatting sqref="Q233">
    <cfRule type="cellIs" dxfId="340" priority="1256" operator="lessThan">
      <formula>0.8</formula>
    </cfRule>
    <cfRule type="cellIs" dxfId="339" priority="1257" operator="greaterThan">
      <formula>0.8</formula>
    </cfRule>
  </conditionalFormatting>
  <conditionalFormatting sqref="Q233">
    <cfRule type="notContainsText" dxfId="338" priority="1254" operator="notContains" text="Caida">
      <formula>ISERROR(SEARCH("Caida",Q233))</formula>
    </cfRule>
    <cfRule type="containsText" dxfId="337" priority="1255" operator="containsText" text="Caida">
      <formula>NOT(ISERROR(SEARCH("Caida",Q233)))</formula>
    </cfRule>
  </conditionalFormatting>
  <conditionalFormatting sqref="Q234">
    <cfRule type="cellIs" dxfId="336" priority="1252" operator="lessThan">
      <formula>0.8</formula>
    </cfRule>
    <cfRule type="cellIs" dxfId="335" priority="1253" operator="greaterThan">
      <formula>0.8</formula>
    </cfRule>
  </conditionalFormatting>
  <conditionalFormatting sqref="Q234">
    <cfRule type="notContainsText" dxfId="334" priority="1250" operator="notContains" text="Caida">
      <formula>ISERROR(SEARCH("Caida",Q234))</formula>
    </cfRule>
    <cfRule type="containsText" dxfId="333" priority="1251" operator="containsText" text="Caida">
      <formula>NOT(ISERROR(SEARCH("Caida",Q234)))</formula>
    </cfRule>
  </conditionalFormatting>
  <conditionalFormatting sqref="Q235">
    <cfRule type="cellIs" dxfId="332" priority="1248" operator="lessThan">
      <formula>0.8</formula>
    </cfRule>
    <cfRule type="cellIs" dxfId="331" priority="1249" operator="greaterThan">
      <formula>0.8</formula>
    </cfRule>
  </conditionalFormatting>
  <conditionalFormatting sqref="Q235">
    <cfRule type="notContainsText" dxfId="330" priority="1246" operator="notContains" text="Caida">
      <formula>ISERROR(SEARCH("Caida",Q235))</formula>
    </cfRule>
    <cfRule type="containsText" dxfId="329" priority="1247" operator="containsText" text="Caida">
      <formula>NOT(ISERROR(SEARCH("Caida",Q235)))</formula>
    </cfRule>
  </conditionalFormatting>
  <conditionalFormatting sqref="Q335">
    <cfRule type="cellIs" dxfId="328" priority="1244" operator="lessThan">
      <formula>0.8</formula>
    </cfRule>
    <cfRule type="cellIs" dxfId="327" priority="1245" operator="greaterThan">
      <formula>0.8</formula>
    </cfRule>
  </conditionalFormatting>
  <conditionalFormatting sqref="Q335">
    <cfRule type="notContainsText" dxfId="326" priority="1242" operator="notContains" text="Caida">
      <formula>ISERROR(SEARCH("Caida",Q335))</formula>
    </cfRule>
    <cfRule type="containsText" dxfId="325" priority="1243" operator="containsText" text="Caida">
      <formula>NOT(ISERROR(SEARCH("Caida",Q335)))</formula>
    </cfRule>
  </conditionalFormatting>
  <conditionalFormatting sqref="R6:R92 R96:R230">
    <cfRule type="cellIs" dxfId="324" priority="1236" operator="lessThan">
      <formula>0.8</formula>
    </cfRule>
    <cfRule type="cellIs" dxfId="323" priority="1237" operator="greaterThan">
      <formula>0.8</formula>
    </cfRule>
  </conditionalFormatting>
  <conditionalFormatting sqref="R6:R92 R96:R230">
    <cfRule type="notContainsText" dxfId="322" priority="1234" operator="notContains" text="Caida">
      <formula>ISERROR(SEARCH("Caida",R6))</formula>
    </cfRule>
    <cfRule type="containsText" dxfId="321" priority="1235" operator="containsText" text="Caida">
      <formula>NOT(ISERROR(SEARCH("Caida",R6)))</formula>
    </cfRule>
  </conditionalFormatting>
  <conditionalFormatting sqref="R336:T336">
    <cfRule type="cellIs" dxfId="320" priority="1191" operator="lessThan">
      <formula>0.8</formula>
    </cfRule>
    <cfRule type="cellIs" dxfId="319" priority="1192" operator="greaterThan">
      <formula>0.8</formula>
    </cfRule>
  </conditionalFormatting>
  <conditionalFormatting sqref="R336:T336">
    <cfRule type="notContainsText" dxfId="318" priority="1189" operator="notContains" text="Caida">
      <formula>ISERROR(SEARCH("Caida",R336))</formula>
    </cfRule>
    <cfRule type="containsText" dxfId="317" priority="1190" operator="containsText" text="Caida">
      <formula>NOT(ISERROR(SEARCH("Caida",R336)))</formula>
    </cfRule>
  </conditionalFormatting>
  <conditionalFormatting sqref="R337:R366 R284:R334">
    <cfRule type="cellIs" dxfId="316" priority="1232" operator="lessThan">
      <formula>0.8</formula>
    </cfRule>
    <cfRule type="cellIs" dxfId="315" priority="1233" operator="greaterThan">
      <formula>0.8</formula>
    </cfRule>
  </conditionalFormatting>
  <conditionalFormatting sqref="R337:R366 R284:R334 R391:R1048576">
    <cfRule type="notContainsText" dxfId="314" priority="1230" operator="notContains" text="Caida">
      <formula>ISERROR(SEARCH("Caida",R284))</formula>
    </cfRule>
    <cfRule type="containsText" dxfId="313" priority="1231" operator="containsText" text="Caida">
      <formula>NOT(ISERROR(SEARCH("Caida",R284)))</formula>
    </cfRule>
  </conditionalFormatting>
  <conditionalFormatting sqref="R22:T22">
    <cfRule type="containsText" dxfId="312" priority="1229" operator="containsText" text="Instaladas en Funcionamiento Caida">
      <formula>NOT(ISERROR(SEARCH("Instaladas en Funcionamiento Caida",R22)))</formula>
    </cfRule>
  </conditionalFormatting>
  <conditionalFormatting sqref="R282:T282">
    <cfRule type="cellIs" dxfId="311" priority="1227" operator="lessThan">
      <formula>0.8</formula>
    </cfRule>
    <cfRule type="cellIs" dxfId="310" priority="1228" operator="greaterThan">
      <formula>0.8</formula>
    </cfRule>
  </conditionalFormatting>
  <conditionalFormatting sqref="R282:T282">
    <cfRule type="notContainsText" dxfId="309" priority="1225" operator="notContains" text="Caida">
      <formula>ISERROR(SEARCH("Caida",R282))</formula>
    </cfRule>
    <cfRule type="containsText" dxfId="308" priority="1226" operator="containsText" text="Caida">
      <formula>NOT(ISERROR(SEARCH("Caida",R282)))</formula>
    </cfRule>
  </conditionalFormatting>
  <conditionalFormatting sqref="R283:T283">
    <cfRule type="cellIs" dxfId="307" priority="1223" operator="lessThan">
      <formula>0.8</formula>
    </cfRule>
    <cfRule type="cellIs" dxfId="306" priority="1224" operator="greaterThan">
      <formula>0.8</formula>
    </cfRule>
  </conditionalFormatting>
  <conditionalFormatting sqref="R283:T283">
    <cfRule type="notContainsText" dxfId="305" priority="1221" operator="notContains" text="Caida">
      <formula>ISERROR(SEARCH("Caida",R283))</formula>
    </cfRule>
    <cfRule type="containsText" dxfId="304" priority="1222" operator="containsText" text="Caida">
      <formula>NOT(ISERROR(SEARCH("Caida",R283)))</formula>
    </cfRule>
  </conditionalFormatting>
  <conditionalFormatting sqref="R5:T5">
    <cfRule type="cellIs" dxfId="303" priority="1219" operator="lessThan">
      <formula>0.8</formula>
    </cfRule>
    <cfRule type="cellIs" dxfId="302" priority="1220" operator="greaterThan">
      <formula>0.8</formula>
    </cfRule>
  </conditionalFormatting>
  <conditionalFormatting sqref="R5:T5">
    <cfRule type="notContainsText" dxfId="301" priority="1217" operator="notContains" text="Caida">
      <formula>ISERROR(SEARCH("Caida",R5))</formula>
    </cfRule>
    <cfRule type="containsText" dxfId="300" priority="1218" operator="containsText" text="Caida">
      <formula>NOT(ISERROR(SEARCH("Caida",R5)))</formula>
    </cfRule>
  </conditionalFormatting>
  <conditionalFormatting sqref="R231:T231">
    <cfRule type="cellIs" dxfId="299" priority="1215" operator="lessThan">
      <formula>0.8</formula>
    </cfRule>
    <cfRule type="cellIs" dxfId="298" priority="1216" operator="greaterThan">
      <formula>0.8</formula>
    </cfRule>
  </conditionalFormatting>
  <conditionalFormatting sqref="R231:T231">
    <cfRule type="notContainsText" dxfId="297" priority="1213" operator="notContains" text="Caida">
      <formula>ISERROR(SEARCH("Caida",R231))</formula>
    </cfRule>
    <cfRule type="containsText" dxfId="296" priority="1214" operator="containsText" text="Caida">
      <formula>NOT(ISERROR(SEARCH("Caida",R231)))</formula>
    </cfRule>
  </conditionalFormatting>
  <conditionalFormatting sqref="R232:T232">
    <cfRule type="cellIs" dxfId="295" priority="1211" operator="lessThan">
      <formula>0.8</formula>
    </cfRule>
    <cfRule type="cellIs" dxfId="294" priority="1212" operator="greaterThan">
      <formula>0.8</formula>
    </cfRule>
  </conditionalFormatting>
  <conditionalFormatting sqref="R232:T232">
    <cfRule type="notContainsText" dxfId="293" priority="1209" operator="notContains" text="Caida">
      <formula>ISERROR(SEARCH("Caida",R232))</formula>
    </cfRule>
    <cfRule type="containsText" dxfId="292" priority="1210" operator="containsText" text="Caida">
      <formula>NOT(ISERROR(SEARCH("Caida",R232)))</formula>
    </cfRule>
  </conditionalFormatting>
  <conditionalFormatting sqref="R233:T233">
    <cfRule type="cellIs" dxfId="291" priority="1207" operator="lessThan">
      <formula>0.8</formula>
    </cfRule>
    <cfRule type="cellIs" dxfId="290" priority="1208" operator="greaterThan">
      <formula>0.8</formula>
    </cfRule>
  </conditionalFormatting>
  <conditionalFormatting sqref="R233:T233">
    <cfRule type="notContainsText" dxfId="289" priority="1205" operator="notContains" text="Caida">
      <formula>ISERROR(SEARCH("Caida",R233))</formula>
    </cfRule>
    <cfRule type="containsText" dxfId="288" priority="1206" operator="containsText" text="Caida">
      <formula>NOT(ISERROR(SEARCH("Caida",R233)))</formula>
    </cfRule>
  </conditionalFormatting>
  <conditionalFormatting sqref="R234:T234">
    <cfRule type="cellIs" dxfId="287" priority="1203" operator="lessThan">
      <formula>0.8</formula>
    </cfRule>
    <cfRule type="cellIs" dxfId="286" priority="1204" operator="greaterThan">
      <formula>0.8</formula>
    </cfRule>
  </conditionalFormatting>
  <conditionalFormatting sqref="R234:T234">
    <cfRule type="notContainsText" dxfId="285" priority="1201" operator="notContains" text="Caida">
      <formula>ISERROR(SEARCH("Caida",R234))</formula>
    </cfRule>
    <cfRule type="containsText" dxfId="284" priority="1202" operator="containsText" text="Caida">
      <formula>NOT(ISERROR(SEARCH("Caida",R234)))</formula>
    </cfRule>
  </conditionalFormatting>
  <conditionalFormatting sqref="R235:T235">
    <cfRule type="cellIs" dxfId="283" priority="1199" operator="lessThan">
      <formula>0.8</formula>
    </cfRule>
    <cfRule type="cellIs" dxfId="282" priority="1200" operator="greaterThan">
      <formula>0.8</formula>
    </cfRule>
  </conditionalFormatting>
  <conditionalFormatting sqref="R235:T235">
    <cfRule type="notContainsText" dxfId="281" priority="1197" operator="notContains" text="Caida">
      <formula>ISERROR(SEARCH("Caida",R235))</formula>
    </cfRule>
    <cfRule type="containsText" dxfId="280" priority="1198" operator="containsText" text="Caida">
      <formula>NOT(ISERROR(SEARCH("Caida",R235)))</formula>
    </cfRule>
  </conditionalFormatting>
  <conditionalFormatting sqref="R335:T335">
    <cfRule type="cellIs" dxfId="279" priority="1195" operator="lessThan">
      <formula>0.8</formula>
    </cfRule>
    <cfRule type="cellIs" dxfId="278" priority="1196" operator="greaterThan">
      <formula>0.8</formula>
    </cfRule>
  </conditionalFormatting>
  <conditionalFormatting sqref="R335:T335">
    <cfRule type="notContainsText" dxfId="277" priority="1193" operator="notContains" text="Caida">
      <formula>ISERROR(SEARCH("Caida",R335))</formula>
    </cfRule>
    <cfRule type="containsText" dxfId="276" priority="1194" operator="containsText" text="Caida">
      <formula>NOT(ISERROR(SEARCH("Caida",R335)))</formula>
    </cfRule>
  </conditionalFormatting>
  <conditionalFormatting sqref="S391:S1048576">
    <cfRule type="notContainsText" dxfId="275" priority="1181" operator="notContains" text="Caida">
      <formula>ISERROR(SEARCH("Caida",S391))</formula>
    </cfRule>
    <cfRule type="containsText" dxfId="274" priority="1182" operator="containsText" text="Caida">
      <formula>NOT(ISERROR(SEARCH("Caida",S391)))</formula>
    </cfRule>
  </conditionalFormatting>
  <conditionalFormatting sqref="T391:T1048576">
    <cfRule type="notContainsText" dxfId="273" priority="1132" operator="notContains" text="Caida">
      <formula>ISERROR(SEARCH("Caida",T391))</formula>
    </cfRule>
    <cfRule type="containsText" dxfId="272" priority="1133" operator="containsText" text="Caida">
      <formula>NOT(ISERROR(SEARCH("Caida",T391)))</formula>
    </cfRule>
  </conditionalFormatting>
  <conditionalFormatting sqref="E92:K93">
    <cfRule type="containsText" dxfId="271" priority="1088" operator="containsText" text="Radio">
      <formula>NOT(ISERROR(SEARCH("Radio",E92)))</formula>
    </cfRule>
  </conditionalFormatting>
  <conditionalFormatting sqref="P93:P95">
    <cfRule type="cellIs" dxfId="270" priority="1058" operator="lessThan">
      <formula>0.8</formula>
    </cfRule>
    <cfRule type="cellIs" dxfId="269" priority="1059" operator="greaterThan">
      <formula>0.8</formula>
    </cfRule>
  </conditionalFormatting>
  <conditionalFormatting sqref="P93:P95">
    <cfRule type="notContainsText" dxfId="268" priority="1056" operator="notContains" text="Caida">
      <formula>ISERROR(SEARCH("Caida",P93))</formula>
    </cfRule>
    <cfRule type="containsText" dxfId="267" priority="1057" operator="containsText" text="Caida">
      <formula>NOT(ISERROR(SEARCH("Caida",P93)))</formula>
    </cfRule>
  </conditionalFormatting>
  <conditionalFormatting sqref="Q93:Q95">
    <cfRule type="cellIs" dxfId="266" priority="1054" operator="lessThan">
      <formula>0.8</formula>
    </cfRule>
    <cfRule type="cellIs" dxfId="265" priority="1055" operator="greaterThan">
      <formula>0.8</formula>
    </cfRule>
  </conditionalFormatting>
  <conditionalFormatting sqref="Q93:Q95">
    <cfRule type="notContainsText" dxfId="264" priority="1052" operator="notContains" text="Caida">
      <formula>ISERROR(SEARCH("Caida",Q93))</formula>
    </cfRule>
    <cfRule type="containsText" dxfId="263" priority="1053" operator="containsText" text="Caida">
      <formula>NOT(ISERROR(SEARCH("Caida",Q93)))</formula>
    </cfRule>
  </conditionalFormatting>
  <conditionalFormatting sqref="R93:R95">
    <cfRule type="cellIs" dxfId="262" priority="1050" operator="lessThan">
      <formula>0.8</formula>
    </cfRule>
    <cfRule type="cellIs" dxfId="261" priority="1051" operator="greaterThan">
      <formula>0.8</formula>
    </cfRule>
  </conditionalFormatting>
  <conditionalFormatting sqref="R93:R95">
    <cfRule type="notContainsText" dxfId="260" priority="1048" operator="notContains" text="Caida">
      <formula>ISERROR(SEARCH("Caida",R93))</formula>
    </cfRule>
    <cfRule type="containsText" dxfId="259" priority="1049" operator="containsText" text="Caida">
      <formula>NOT(ISERROR(SEARCH("Caida",R93)))</formula>
    </cfRule>
  </conditionalFormatting>
  <conditionalFormatting sqref="E365:K365">
    <cfRule type="containsText" dxfId="258" priority="1037" operator="containsText" text="Radio">
      <formula>NOT(ISERROR(SEARCH("Radio",E365)))</formula>
    </cfRule>
  </conditionalFormatting>
  <conditionalFormatting sqref="P367">
    <cfRule type="cellIs" dxfId="257" priority="1019" operator="lessThan">
      <formula>0.8</formula>
    </cfRule>
    <cfRule type="cellIs" dxfId="256" priority="1020" operator="greaterThan">
      <formula>0.8</formula>
    </cfRule>
  </conditionalFormatting>
  <conditionalFormatting sqref="P367">
    <cfRule type="notContainsText" dxfId="255" priority="1017" operator="notContains" text="Caida">
      <formula>ISERROR(SEARCH("Caida",P367))</formula>
    </cfRule>
    <cfRule type="containsText" dxfId="254" priority="1018" operator="containsText" text="Caida">
      <formula>NOT(ISERROR(SEARCH("Caida",P367)))</formula>
    </cfRule>
  </conditionalFormatting>
  <conditionalFormatting sqref="Q367">
    <cfRule type="cellIs" dxfId="253" priority="1015" operator="lessThan">
      <formula>0.8</formula>
    </cfRule>
    <cfRule type="cellIs" dxfId="252" priority="1016" operator="greaterThan">
      <formula>0.8</formula>
    </cfRule>
  </conditionalFormatting>
  <conditionalFormatting sqref="Q367">
    <cfRule type="notContainsText" dxfId="251" priority="1013" operator="notContains" text="Caida">
      <formula>ISERROR(SEARCH("Caida",Q367))</formula>
    </cfRule>
    <cfRule type="containsText" dxfId="250" priority="1014" operator="containsText" text="Caida">
      <formula>NOT(ISERROR(SEARCH("Caida",Q367)))</formula>
    </cfRule>
  </conditionalFormatting>
  <conditionalFormatting sqref="R367:T367">
    <cfRule type="cellIs" dxfId="249" priority="1011" operator="lessThan">
      <formula>0.8</formula>
    </cfRule>
    <cfRule type="cellIs" dxfId="248" priority="1012" operator="greaterThan">
      <formula>0.8</formula>
    </cfRule>
  </conditionalFormatting>
  <conditionalFormatting sqref="R367:T367">
    <cfRule type="notContainsText" dxfId="247" priority="1009" operator="notContains" text="Caida">
      <formula>ISERROR(SEARCH("Caida",R367))</formula>
    </cfRule>
    <cfRule type="containsText" dxfId="246" priority="1010" operator="containsText" text="Caida">
      <formula>NOT(ISERROR(SEARCH("Caida",R367)))</formula>
    </cfRule>
  </conditionalFormatting>
  <conditionalFormatting sqref="E366:K366">
    <cfRule type="containsText" dxfId="245" priority="998" operator="containsText" text="Radio">
      <formula>NOT(ISERROR(SEARCH("Radio",E366)))</formula>
    </cfRule>
  </conditionalFormatting>
  <conditionalFormatting sqref="P368">
    <cfRule type="cellIs" dxfId="244" priority="980" operator="lessThan">
      <formula>0.8</formula>
    </cfRule>
    <cfRule type="cellIs" dxfId="243" priority="981" operator="greaterThan">
      <formula>0.8</formula>
    </cfRule>
  </conditionalFormatting>
  <conditionalFormatting sqref="P368">
    <cfRule type="notContainsText" dxfId="242" priority="978" operator="notContains" text="Caida">
      <formula>ISERROR(SEARCH("Caida",P368))</formula>
    </cfRule>
    <cfRule type="containsText" dxfId="241" priority="979" operator="containsText" text="Caida">
      <formula>NOT(ISERROR(SEARCH("Caida",P368)))</formula>
    </cfRule>
  </conditionalFormatting>
  <conditionalFormatting sqref="Q368">
    <cfRule type="cellIs" dxfId="240" priority="976" operator="lessThan">
      <formula>0.8</formula>
    </cfRule>
    <cfRule type="cellIs" dxfId="239" priority="977" operator="greaterThan">
      <formula>0.8</formula>
    </cfRule>
  </conditionalFormatting>
  <conditionalFormatting sqref="Q368">
    <cfRule type="notContainsText" dxfId="238" priority="974" operator="notContains" text="Caida">
      <formula>ISERROR(SEARCH("Caida",Q368))</formula>
    </cfRule>
    <cfRule type="containsText" dxfId="237" priority="975" operator="containsText" text="Caida">
      <formula>NOT(ISERROR(SEARCH("Caida",Q368)))</formula>
    </cfRule>
  </conditionalFormatting>
  <conditionalFormatting sqref="R368:T368">
    <cfRule type="cellIs" dxfId="236" priority="972" operator="lessThan">
      <formula>0.8</formula>
    </cfRule>
    <cfRule type="cellIs" dxfId="235" priority="973" operator="greaterThan">
      <formula>0.8</formula>
    </cfRule>
  </conditionalFormatting>
  <conditionalFormatting sqref="R368:T368">
    <cfRule type="notContainsText" dxfId="234" priority="970" operator="notContains" text="Caida">
      <formula>ISERROR(SEARCH("Caida",R368))</formula>
    </cfRule>
    <cfRule type="containsText" dxfId="233" priority="971" operator="containsText" text="Caida">
      <formula>NOT(ISERROR(SEARCH("Caida",R368)))</formula>
    </cfRule>
  </conditionalFormatting>
  <conditionalFormatting sqref="E367:K367">
    <cfRule type="containsText" dxfId="232" priority="959" operator="containsText" text="Radio">
      <formula>NOT(ISERROR(SEARCH("Radio",E367)))</formula>
    </cfRule>
  </conditionalFormatting>
  <conditionalFormatting sqref="P369">
    <cfRule type="cellIs" dxfId="231" priority="941" operator="lessThan">
      <formula>0.8</formula>
    </cfRule>
    <cfRule type="cellIs" dxfId="230" priority="942" operator="greaterThan">
      <formula>0.8</formula>
    </cfRule>
  </conditionalFormatting>
  <conditionalFormatting sqref="P369">
    <cfRule type="notContainsText" dxfId="229" priority="939" operator="notContains" text="Caida">
      <formula>ISERROR(SEARCH("Caida",P369))</formula>
    </cfRule>
    <cfRule type="containsText" dxfId="228" priority="940" operator="containsText" text="Caida">
      <formula>NOT(ISERROR(SEARCH("Caida",P369)))</formula>
    </cfRule>
  </conditionalFormatting>
  <conditionalFormatting sqref="Q369">
    <cfRule type="cellIs" dxfId="227" priority="937" operator="lessThan">
      <formula>0.8</formula>
    </cfRule>
    <cfRule type="cellIs" dxfId="226" priority="938" operator="greaterThan">
      <formula>0.8</formula>
    </cfRule>
  </conditionalFormatting>
  <conditionalFormatting sqref="Q369">
    <cfRule type="notContainsText" dxfId="225" priority="935" operator="notContains" text="Caida">
      <formula>ISERROR(SEARCH("Caida",Q369))</formula>
    </cfRule>
    <cfRule type="containsText" dxfId="224" priority="936" operator="containsText" text="Caida">
      <formula>NOT(ISERROR(SEARCH("Caida",Q369)))</formula>
    </cfRule>
  </conditionalFormatting>
  <conditionalFormatting sqref="R369:T369">
    <cfRule type="cellIs" dxfId="223" priority="933" operator="lessThan">
      <formula>0.8</formula>
    </cfRule>
    <cfRule type="cellIs" dxfId="222" priority="934" operator="greaterThan">
      <formula>0.8</formula>
    </cfRule>
  </conditionalFormatting>
  <conditionalFormatting sqref="R369:T369">
    <cfRule type="notContainsText" dxfId="221" priority="931" operator="notContains" text="Caida">
      <formula>ISERROR(SEARCH("Caida",R369))</formula>
    </cfRule>
    <cfRule type="containsText" dxfId="220" priority="932" operator="containsText" text="Caida">
      <formula>NOT(ISERROR(SEARCH("Caida",R369)))</formula>
    </cfRule>
  </conditionalFormatting>
  <conditionalFormatting sqref="E368:K368">
    <cfRule type="containsText" dxfId="219" priority="920" operator="containsText" text="Radio">
      <formula>NOT(ISERROR(SEARCH("Radio",E368)))</formula>
    </cfRule>
  </conditionalFormatting>
  <conditionalFormatting sqref="U231">
    <cfRule type="cellIs" dxfId="218" priority="861" operator="lessThan">
      <formula>0.8</formula>
    </cfRule>
    <cfRule type="cellIs" dxfId="217" priority="862" operator="greaterThan">
      <formula>0.8</formula>
    </cfRule>
  </conditionalFormatting>
  <conditionalFormatting sqref="U231">
    <cfRule type="notContainsText" dxfId="216" priority="859" operator="notContains" text="Caida">
      <formula>ISERROR(SEARCH("Caida",U231))</formula>
    </cfRule>
    <cfRule type="containsText" dxfId="215" priority="860" operator="containsText" text="Caida">
      <formula>NOT(ISERROR(SEARCH("Caida",U231)))</formula>
    </cfRule>
  </conditionalFormatting>
  <conditionalFormatting sqref="U232">
    <cfRule type="cellIs" dxfId="214" priority="857" operator="lessThan">
      <formula>0.8</formula>
    </cfRule>
    <cfRule type="cellIs" dxfId="213" priority="858" operator="greaterThan">
      <formula>0.8</formula>
    </cfRule>
  </conditionalFormatting>
  <conditionalFormatting sqref="U232">
    <cfRule type="notContainsText" dxfId="212" priority="855" operator="notContains" text="Caida">
      <formula>ISERROR(SEARCH("Caida",U232))</formula>
    </cfRule>
    <cfRule type="containsText" dxfId="211" priority="856" operator="containsText" text="Caida">
      <formula>NOT(ISERROR(SEARCH("Caida",U232)))</formula>
    </cfRule>
  </conditionalFormatting>
  <conditionalFormatting sqref="P370:P372">
    <cfRule type="cellIs" dxfId="210" priority="902" operator="lessThan">
      <formula>0.8</formula>
    </cfRule>
    <cfRule type="cellIs" dxfId="209" priority="903" operator="greaterThan">
      <formula>0.8</formula>
    </cfRule>
  </conditionalFormatting>
  <conditionalFormatting sqref="P370:P372">
    <cfRule type="notContainsText" dxfId="208" priority="900" operator="notContains" text="Caida">
      <formula>ISERROR(SEARCH("Caida",P370))</formula>
    </cfRule>
    <cfRule type="containsText" dxfId="207" priority="901" operator="containsText" text="Caida">
      <formula>NOT(ISERROR(SEARCH("Caida",P370)))</formula>
    </cfRule>
  </conditionalFormatting>
  <conditionalFormatting sqref="Q370:Q372">
    <cfRule type="cellIs" dxfId="206" priority="898" operator="lessThan">
      <formula>0.8</formula>
    </cfRule>
    <cfRule type="cellIs" dxfId="205" priority="899" operator="greaterThan">
      <formula>0.8</formula>
    </cfRule>
  </conditionalFormatting>
  <conditionalFormatting sqref="Q370:Q372">
    <cfRule type="notContainsText" dxfId="204" priority="896" operator="notContains" text="Caida">
      <formula>ISERROR(SEARCH("Caida",Q370))</formula>
    </cfRule>
    <cfRule type="containsText" dxfId="203" priority="897" operator="containsText" text="Caida">
      <formula>NOT(ISERROR(SEARCH("Caida",Q370)))</formula>
    </cfRule>
  </conditionalFormatting>
  <conditionalFormatting sqref="R370:T370">
    <cfRule type="cellIs" dxfId="202" priority="894" operator="lessThan">
      <formula>0.8</formula>
    </cfRule>
    <cfRule type="cellIs" dxfId="201" priority="895" operator="greaterThan">
      <formula>0.8</formula>
    </cfRule>
  </conditionalFormatting>
  <conditionalFormatting sqref="R370:T370">
    <cfRule type="notContainsText" dxfId="200" priority="892" operator="notContains" text="Caida">
      <formula>ISERROR(SEARCH("Caida",R370))</formula>
    </cfRule>
    <cfRule type="containsText" dxfId="199" priority="893" operator="containsText" text="Caida">
      <formula>NOT(ISERROR(SEARCH("Caida",R370)))</formula>
    </cfRule>
  </conditionalFormatting>
  <conditionalFormatting sqref="U368">
    <cfRule type="cellIs" dxfId="198" priority="825" operator="lessThan">
      <formula>0.8</formula>
    </cfRule>
    <cfRule type="cellIs" dxfId="197" priority="826" operator="greaterThan">
      <formula>0.8</formula>
    </cfRule>
  </conditionalFormatting>
  <conditionalFormatting sqref="U368">
    <cfRule type="notContainsText" dxfId="196" priority="823" operator="notContains" text="Caida">
      <formula>ISERROR(SEARCH("Caida",U368))</formula>
    </cfRule>
    <cfRule type="containsText" dxfId="195" priority="824" operator="containsText" text="Caida">
      <formula>NOT(ISERROR(SEARCH("Caida",U368)))</formula>
    </cfRule>
  </conditionalFormatting>
  <conditionalFormatting sqref="U369">
    <cfRule type="cellIs" dxfId="194" priority="821" operator="lessThan">
      <formula>0.8</formula>
    </cfRule>
    <cfRule type="cellIs" dxfId="193" priority="822" operator="greaterThan">
      <formula>0.8</formula>
    </cfRule>
  </conditionalFormatting>
  <conditionalFormatting sqref="U369">
    <cfRule type="notContainsText" dxfId="192" priority="819" operator="notContains" text="Caida">
      <formula>ISERROR(SEARCH("Caida",U369))</formula>
    </cfRule>
    <cfRule type="containsText" dxfId="191" priority="820" operator="containsText" text="Caida">
      <formula>NOT(ISERROR(SEARCH("Caida",U369)))</formula>
    </cfRule>
  </conditionalFormatting>
  <conditionalFormatting sqref="U370:U372">
    <cfRule type="cellIs" dxfId="190" priority="817" operator="lessThan">
      <formula>0.8</formula>
    </cfRule>
    <cfRule type="cellIs" dxfId="189" priority="818" operator="greaterThan">
      <formula>0.8</formula>
    </cfRule>
  </conditionalFormatting>
  <conditionalFormatting sqref="U370:U372">
    <cfRule type="notContainsText" dxfId="188" priority="815" operator="notContains" text="Caida">
      <formula>ISERROR(SEARCH("Caida",U370))</formula>
    </cfRule>
    <cfRule type="containsText" dxfId="187" priority="816" operator="containsText" text="Caida">
      <formula>NOT(ISERROR(SEARCH("Caida",U370)))</formula>
    </cfRule>
  </conditionalFormatting>
  <conditionalFormatting sqref="U6:U92 U96:U230">
    <cfRule type="cellIs" dxfId="186" priority="882" operator="lessThan">
      <formula>0.8</formula>
    </cfRule>
    <cfRule type="cellIs" dxfId="185" priority="883" operator="greaterThan">
      <formula>0.8</formula>
    </cfRule>
  </conditionalFormatting>
  <conditionalFormatting sqref="U6:U92 U96:U230">
    <cfRule type="notContainsText" dxfId="184" priority="880" operator="notContains" text="Caida">
      <formula>ISERROR(SEARCH("Caida",U6))</formula>
    </cfRule>
    <cfRule type="containsText" dxfId="183" priority="881" operator="containsText" text="Caida">
      <formula>NOT(ISERROR(SEARCH("Caida",U6)))</formula>
    </cfRule>
  </conditionalFormatting>
  <conditionalFormatting sqref="U336">
    <cfRule type="cellIs" dxfId="182" priority="837" operator="lessThan">
      <formula>0.8</formula>
    </cfRule>
    <cfRule type="cellIs" dxfId="181" priority="838" operator="greaterThan">
      <formula>0.8</formula>
    </cfRule>
  </conditionalFormatting>
  <conditionalFormatting sqref="U336">
    <cfRule type="notContainsText" dxfId="180" priority="835" operator="notContains" text="Caida">
      <formula>ISERROR(SEARCH("Caida",U336))</formula>
    </cfRule>
    <cfRule type="containsText" dxfId="179" priority="836" operator="containsText" text="Caida">
      <formula>NOT(ISERROR(SEARCH("Caida",U336)))</formula>
    </cfRule>
  </conditionalFormatting>
  <conditionalFormatting sqref="U337:U366 U284:U334">
    <cfRule type="cellIs" dxfId="178" priority="878" operator="lessThan">
      <formula>0.8</formula>
    </cfRule>
    <cfRule type="cellIs" dxfId="177" priority="879" operator="greaterThan">
      <formula>0.8</formula>
    </cfRule>
  </conditionalFormatting>
  <conditionalFormatting sqref="U337:U366 U284:U334 U391:U1048576">
    <cfRule type="notContainsText" dxfId="176" priority="876" operator="notContains" text="Caida">
      <formula>ISERROR(SEARCH("Caida",U284))</formula>
    </cfRule>
    <cfRule type="containsText" dxfId="175" priority="877" operator="containsText" text="Caida">
      <formula>NOT(ISERROR(SEARCH("Caida",U284)))</formula>
    </cfRule>
  </conditionalFormatting>
  <conditionalFormatting sqref="U22">
    <cfRule type="containsText" dxfId="174" priority="875" operator="containsText" text="Instaladas en Funcionamiento Caida">
      <formula>NOT(ISERROR(SEARCH("Instaladas en Funcionamiento Caida",U22)))</formula>
    </cfRule>
  </conditionalFormatting>
  <conditionalFormatting sqref="U282">
    <cfRule type="cellIs" dxfId="173" priority="873" operator="lessThan">
      <formula>0.8</formula>
    </cfRule>
    <cfRule type="cellIs" dxfId="172" priority="874" operator="greaterThan">
      <formula>0.8</formula>
    </cfRule>
  </conditionalFormatting>
  <conditionalFormatting sqref="U282">
    <cfRule type="notContainsText" dxfId="171" priority="871" operator="notContains" text="Caida">
      <formula>ISERROR(SEARCH("Caida",U282))</formula>
    </cfRule>
    <cfRule type="containsText" dxfId="170" priority="872" operator="containsText" text="Caida">
      <formula>NOT(ISERROR(SEARCH("Caida",U282)))</formula>
    </cfRule>
  </conditionalFormatting>
  <conditionalFormatting sqref="U283">
    <cfRule type="cellIs" dxfId="169" priority="869" operator="lessThan">
      <formula>0.8</formula>
    </cfRule>
    <cfRule type="cellIs" dxfId="168" priority="870" operator="greaterThan">
      <formula>0.8</formula>
    </cfRule>
  </conditionalFormatting>
  <conditionalFormatting sqref="U283">
    <cfRule type="notContainsText" dxfId="167" priority="867" operator="notContains" text="Caida">
      <formula>ISERROR(SEARCH("Caida",U283))</formula>
    </cfRule>
    <cfRule type="containsText" dxfId="166" priority="868" operator="containsText" text="Caida">
      <formula>NOT(ISERROR(SEARCH("Caida",U283)))</formula>
    </cfRule>
  </conditionalFormatting>
  <conditionalFormatting sqref="U5">
    <cfRule type="cellIs" dxfId="165" priority="865" operator="lessThan">
      <formula>0.8</formula>
    </cfRule>
    <cfRule type="cellIs" dxfId="164" priority="866" operator="greaterThan">
      <formula>0.8</formula>
    </cfRule>
  </conditionalFormatting>
  <conditionalFormatting sqref="U5">
    <cfRule type="notContainsText" dxfId="163" priority="863" operator="notContains" text="Caida">
      <formula>ISERROR(SEARCH("Caida",U5))</formula>
    </cfRule>
    <cfRule type="containsText" dxfId="162" priority="864" operator="containsText" text="Caida">
      <formula>NOT(ISERROR(SEARCH("Caida",U5)))</formula>
    </cfRule>
  </conditionalFormatting>
  <conditionalFormatting sqref="U233">
    <cfRule type="cellIs" dxfId="161" priority="853" operator="lessThan">
      <formula>0.8</formula>
    </cfRule>
    <cfRule type="cellIs" dxfId="160" priority="854" operator="greaterThan">
      <formula>0.8</formula>
    </cfRule>
  </conditionalFormatting>
  <conditionalFormatting sqref="U233">
    <cfRule type="notContainsText" dxfId="159" priority="851" operator="notContains" text="Caida">
      <formula>ISERROR(SEARCH("Caida",U233))</formula>
    </cfRule>
    <cfRule type="containsText" dxfId="158" priority="852" operator="containsText" text="Caida">
      <formula>NOT(ISERROR(SEARCH("Caida",U233)))</formula>
    </cfRule>
  </conditionalFormatting>
  <conditionalFormatting sqref="U234">
    <cfRule type="cellIs" dxfId="157" priority="849" operator="lessThan">
      <formula>0.8</formula>
    </cfRule>
    <cfRule type="cellIs" dxfId="156" priority="850" operator="greaterThan">
      <formula>0.8</formula>
    </cfRule>
  </conditionalFormatting>
  <conditionalFormatting sqref="U234">
    <cfRule type="notContainsText" dxfId="155" priority="847" operator="notContains" text="Caida">
      <formula>ISERROR(SEARCH("Caida",U234))</formula>
    </cfRule>
    <cfRule type="containsText" dxfId="154" priority="848" operator="containsText" text="Caida">
      <formula>NOT(ISERROR(SEARCH("Caida",U234)))</formula>
    </cfRule>
  </conditionalFormatting>
  <conditionalFormatting sqref="U235">
    <cfRule type="cellIs" dxfId="153" priority="845" operator="lessThan">
      <formula>0.8</formula>
    </cfRule>
    <cfRule type="cellIs" dxfId="152" priority="846" operator="greaterThan">
      <formula>0.8</formula>
    </cfRule>
  </conditionalFormatting>
  <conditionalFormatting sqref="U235">
    <cfRule type="notContainsText" dxfId="151" priority="843" operator="notContains" text="Caida">
      <formula>ISERROR(SEARCH("Caida",U235))</formula>
    </cfRule>
    <cfRule type="containsText" dxfId="150" priority="844" operator="containsText" text="Caida">
      <formula>NOT(ISERROR(SEARCH("Caida",U235)))</formula>
    </cfRule>
  </conditionalFormatting>
  <conditionalFormatting sqref="U335">
    <cfRule type="cellIs" dxfId="149" priority="841" operator="lessThan">
      <formula>0.8</formula>
    </cfRule>
    <cfRule type="cellIs" dxfId="148" priority="842" operator="greaterThan">
      <formula>0.8</formula>
    </cfRule>
  </conditionalFormatting>
  <conditionalFormatting sqref="U335">
    <cfRule type="notContainsText" dxfId="147" priority="839" operator="notContains" text="Caida">
      <formula>ISERROR(SEARCH("Caida",U335))</formula>
    </cfRule>
    <cfRule type="containsText" dxfId="146" priority="840" operator="containsText" text="Caida">
      <formula>NOT(ISERROR(SEARCH("Caida",U335)))</formula>
    </cfRule>
  </conditionalFormatting>
  <conditionalFormatting sqref="U93:U95">
    <cfRule type="cellIs" dxfId="145" priority="833" operator="lessThan">
      <formula>0.8</formula>
    </cfRule>
    <cfRule type="cellIs" dxfId="144" priority="834" operator="greaterThan">
      <formula>0.8</formula>
    </cfRule>
  </conditionalFormatting>
  <conditionalFormatting sqref="U93:U95">
    <cfRule type="notContainsText" dxfId="143" priority="831" operator="notContains" text="Caida">
      <formula>ISERROR(SEARCH("Caida",U93))</formula>
    </cfRule>
    <cfRule type="containsText" dxfId="142" priority="832" operator="containsText" text="Caida">
      <formula>NOT(ISERROR(SEARCH("Caida",U93)))</formula>
    </cfRule>
  </conditionalFormatting>
  <conditionalFormatting sqref="U367">
    <cfRule type="cellIs" dxfId="141" priority="829" operator="lessThan">
      <formula>0.8</formula>
    </cfRule>
    <cfRule type="cellIs" dxfId="140" priority="830" operator="greaterThan">
      <formula>0.8</formula>
    </cfRule>
  </conditionalFormatting>
  <conditionalFormatting sqref="U367">
    <cfRule type="notContainsText" dxfId="139" priority="827" operator="notContains" text="Caida">
      <formula>ISERROR(SEARCH("Caida",U367))</formula>
    </cfRule>
    <cfRule type="containsText" dxfId="138" priority="828" operator="containsText" text="Caida">
      <formula>NOT(ISERROR(SEARCH("Caida",U367)))</formula>
    </cfRule>
  </conditionalFormatting>
  <conditionalFormatting sqref="V6:X92">
    <cfRule type="cellIs" dxfId="137" priority="813" operator="lessThan">
      <formula>0.8</formula>
    </cfRule>
    <cfRule type="cellIs" dxfId="136" priority="814" operator="greaterThan">
      <formula>0.8</formula>
    </cfRule>
  </conditionalFormatting>
  <conditionalFormatting sqref="V6:X92">
    <cfRule type="notContainsText" dxfId="135" priority="811" operator="notContains" text="Caida">
      <formula>ISERROR(SEARCH("Caida",V6))</formula>
    </cfRule>
    <cfRule type="containsText" dxfId="134" priority="812" operator="containsText" text="Caida">
      <formula>NOT(ISERROR(SEARCH("Caida",V6)))</formula>
    </cfRule>
  </conditionalFormatting>
  <conditionalFormatting sqref="V22:AJ22">
    <cfRule type="containsText" dxfId="133" priority="810" operator="containsText" text="Instaladas en Funcionamiento Caida">
      <formula>NOT(ISERROR(SEARCH("Instaladas en Funcionamiento Caida",V22)))</formula>
    </cfRule>
  </conditionalFormatting>
  <conditionalFormatting sqref="V5:AJ5">
    <cfRule type="cellIs" dxfId="132" priority="808" operator="lessThan">
      <formula>0.8</formula>
    </cfRule>
    <cfRule type="cellIs" dxfId="131" priority="809" operator="greaterThan">
      <formula>0.8</formula>
    </cfRule>
  </conditionalFormatting>
  <conditionalFormatting sqref="V5:AJ5">
    <cfRule type="notContainsText" dxfId="130" priority="806" operator="notContains" text="Caida">
      <formula>ISERROR(SEARCH("Caida",V5))</formula>
    </cfRule>
    <cfRule type="containsText" dxfId="129" priority="807" operator="containsText" text="Caida">
      <formula>NOT(ISERROR(SEARCH("Caida",V5)))</formula>
    </cfRule>
  </conditionalFormatting>
  <conditionalFormatting sqref="V93:X95">
    <cfRule type="cellIs" dxfId="128" priority="804" operator="lessThan">
      <formula>0.8</formula>
    </cfRule>
    <cfRule type="cellIs" dxfId="127" priority="805" operator="greaterThan">
      <formula>0.8</formula>
    </cfRule>
  </conditionalFormatting>
  <conditionalFormatting sqref="V93:X95">
    <cfRule type="notContainsText" dxfId="126" priority="802" operator="notContains" text="Caida">
      <formula>ISERROR(SEARCH("Caida",V93))</formula>
    </cfRule>
    <cfRule type="containsText" dxfId="125" priority="803" operator="containsText" text="Caida">
      <formula>NOT(ISERROR(SEARCH("Caida",V93)))</formula>
    </cfRule>
  </conditionalFormatting>
  <conditionalFormatting sqref="E1:E372 E391:E1048576">
    <cfRule type="containsText" dxfId="124" priority="662" operator="containsText" text="fija">
      <formula>NOT(ISERROR(SEARCH("fija",E1)))</formula>
    </cfRule>
    <cfRule type="containsText" dxfId="123" priority="663" operator="containsText" text="domo">
      <formula>NOT(ISERROR(SEARCH("domo",E1)))</formula>
    </cfRule>
  </conditionalFormatting>
  <conditionalFormatting sqref="AK6:AP92">
    <cfRule type="cellIs" dxfId="122" priority="638" operator="lessThan">
      <formula>0.8</formula>
    </cfRule>
    <cfRule type="cellIs" dxfId="121" priority="639" operator="greaterThan">
      <formula>0.8</formula>
    </cfRule>
  </conditionalFormatting>
  <conditionalFormatting sqref="AK6:AP92">
    <cfRule type="notContainsText" dxfId="120" priority="636" operator="notContains" text="Caida">
      <formula>ISERROR(SEARCH("Caida",AK6))</formula>
    </cfRule>
    <cfRule type="containsText" dxfId="119" priority="637" operator="containsText" text="Caida">
      <formula>NOT(ISERROR(SEARCH("Caida",AK6)))</formula>
    </cfRule>
  </conditionalFormatting>
  <conditionalFormatting sqref="AK22:AS22">
    <cfRule type="containsText" dxfId="118" priority="635" operator="containsText" text="Instaladas en Funcionamiento Caida">
      <formula>NOT(ISERROR(SEARCH("Instaladas en Funcionamiento Caida",AK22)))</formula>
    </cfRule>
  </conditionalFormatting>
  <conditionalFormatting sqref="AK5:AS5">
    <cfRule type="cellIs" dxfId="117" priority="633" operator="lessThan">
      <formula>0.8</formula>
    </cfRule>
    <cfRule type="cellIs" dxfId="116" priority="634" operator="greaterThan">
      <formula>0.8</formula>
    </cfRule>
  </conditionalFormatting>
  <conditionalFormatting sqref="AK5:AS5">
    <cfRule type="notContainsText" dxfId="115" priority="631" operator="notContains" text="Caida">
      <formula>ISERROR(SEARCH("Caida",AK5))</formula>
    </cfRule>
    <cfRule type="containsText" dxfId="114" priority="632" operator="containsText" text="Caida">
      <formula>NOT(ISERROR(SEARCH("Caida",AK5)))</formula>
    </cfRule>
  </conditionalFormatting>
  <conditionalFormatting sqref="AK93:AP94">
    <cfRule type="cellIs" dxfId="113" priority="629" operator="lessThan">
      <formula>0.8</formula>
    </cfRule>
    <cfRule type="cellIs" dxfId="112" priority="630" operator="greaterThan">
      <formula>0.8</formula>
    </cfRule>
  </conditionalFormatting>
  <conditionalFormatting sqref="AK93:AP94">
    <cfRule type="notContainsText" dxfId="111" priority="627" operator="notContains" text="Caida">
      <formula>ISERROR(SEARCH("Caida",AK93))</formula>
    </cfRule>
    <cfRule type="containsText" dxfId="110" priority="628" operator="containsText" text="Caida">
      <formula>NOT(ISERROR(SEARCH("Caida",AK93)))</formula>
    </cfRule>
  </conditionalFormatting>
  <conditionalFormatting sqref="AK1:AS1 O247:O372 AK391:AS1048576 AK5:AS372 O5:AJ369">
    <cfRule type="cellIs" dxfId="109" priority="626" operator="equal">
      <formula>"APAGADO"</formula>
    </cfRule>
  </conditionalFormatting>
  <conditionalFormatting sqref="S6:S92 S96:S230">
    <cfRule type="cellIs" dxfId="108" priority="610" operator="lessThan">
      <formula>0.8</formula>
    </cfRule>
    <cfRule type="cellIs" dxfId="107" priority="611" operator="greaterThan">
      <formula>0.8</formula>
    </cfRule>
  </conditionalFormatting>
  <conditionalFormatting sqref="S6:S92 S96:S230">
    <cfRule type="notContainsText" dxfId="106" priority="608" operator="notContains" text="Caida">
      <formula>ISERROR(SEARCH("Caida",S6))</formula>
    </cfRule>
    <cfRule type="containsText" dxfId="105" priority="609" operator="containsText" text="Caida">
      <formula>NOT(ISERROR(SEARCH("Caida",S6)))</formula>
    </cfRule>
  </conditionalFormatting>
  <conditionalFormatting sqref="S337:S366 S284:S334">
    <cfRule type="cellIs" dxfId="104" priority="606" operator="lessThan">
      <formula>0.8</formula>
    </cfRule>
    <cfRule type="cellIs" dxfId="103" priority="607" operator="greaterThan">
      <formula>0.8</formula>
    </cfRule>
  </conditionalFormatting>
  <conditionalFormatting sqref="S337:S366 S284:S334">
    <cfRule type="notContainsText" dxfId="102" priority="604" operator="notContains" text="Caida">
      <formula>ISERROR(SEARCH("Caida",S284))</formula>
    </cfRule>
    <cfRule type="containsText" dxfId="101" priority="605" operator="containsText" text="Caida">
      <formula>NOT(ISERROR(SEARCH("Caida",S284)))</formula>
    </cfRule>
  </conditionalFormatting>
  <conditionalFormatting sqref="S93:S95">
    <cfRule type="cellIs" dxfId="100" priority="602" operator="lessThan">
      <formula>0.8</formula>
    </cfRule>
    <cfRule type="cellIs" dxfId="99" priority="603" operator="greaterThan">
      <formula>0.8</formula>
    </cfRule>
  </conditionalFormatting>
  <conditionalFormatting sqref="S93:S95">
    <cfRule type="notContainsText" dxfId="98" priority="600" operator="notContains" text="Caida">
      <formula>ISERROR(SEARCH("Caida",S93))</formula>
    </cfRule>
    <cfRule type="containsText" dxfId="97" priority="601" operator="containsText" text="Caida">
      <formula>NOT(ISERROR(SEARCH("Caida",S93)))</formula>
    </cfRule>
  </conditionalFormatting>
  <conditionalFormatting sqref="T6:T92 T96:T230">
    <cfRule type="cellIs" dxfId="96" priority="598" operator="lessThan">
      <formula>0.8</formula>
    </cfRule>
    <cfRule type="cellIs" dxfId="95" priority="599" operator="greaterThan">
      <formula>0.8</formula>
    </cfRule>
  </conditionalFormatting>
  <conditionalFormatting sqref="T6:T92 T96:T230">
    <cfRule type="notContainsText" dxfId="94" priority="596" operator="notContains" text="Caida">
      <formula>ISERROR(SEARCH("Caida",T6))</formula>
    </cfRule>
    <cfRule type="containsText" dxfId="93" priority="597" operator="containsText" text="Caida">
      <formula>NOT(ISERROR(SEARCH("Caida",T6)))</formula>
    </cfRule>
  </conditionalFormatting>
  <conditionalFormatting sqref="T337:T366 T284:T334">
    <cfRule type="cellIs" dxfId="92" priority="594" operator="lessThan">
      <formula>0.8</formula>
    </cfRule>
    <cfRule type="cellIs" dxfId="91" priority="595" operator="greaterThan">
      <formula>0.8</formula>
    </cfRule>
  </conditionalFormatting>
  <conditionalFormatting sqref="T337:T366 T284:T334">
    <cfRule type="notContainsText" dxfId="90" priority="592" operator="notContains" text="Caida">
      <formula>ISERROR(SEARCH("Caida",T284))</formula>
    </cfRule>
    <cfRule type="containsText" dxfId="89" priority="593" operator="containsText" text="Caida">
      <formula>NOT(ISERROR(SEARCH("Caida",T284)))</formula>
    </cfRule>
  </conditionalFormatting>
  <conditionalFormatting sqref="T93:T95">
    <cfRule type="cellIs" dxfId="88" priority="590" operator="lessThan">
      <formula>0.8</formula>
    </cfRule>
    <cfRule type="cellIs" dxfId="87" priority="591" operator="greaterThan">
      <formula>0.8</formula>
    </cfRule>
  </conditionalFormatting>
  <conditionalFormatting sqref="T93:T95">
    <cfRule type="notContainsText" dxfId="86" priority="588" operator="notContains" text="Caida">
      <formula>ISERROR(SEARCH("Caida",T93))</formula>
    </cfRule>
    <cfRule type="containsText" dxfId="85" priority="589" operator="containsText" text="Caida">
      <formula>NOT(ISERROR(SEARCH("Caida",T93)))</formula>
    </cfRule>
  </conditionalFormatting>
  <conditionalFormatting sqref="F1:F372 F391:F1048576">
    <cfRule type="cellIs" dxfId="84" priority="517" operator="equal">
      <formula>"PTP A FO"</formula>
    </cfRule>
  </conditionalFormatting>
  <conditionalFormatting sqref="R371:T372">
    <cfRule type="cellIs" dxfId="83" priority="146" operator="lessThan">
      <formula>0.8</formula>
    </cfRule>
    <cfRule type="cellIs" dxfId="82" priority="147" operator="greaterThan">
      <formula>0.8</formula>
    </cfRule>
  </conditionalFormatting>
  <conditionalFormatting sqref="R371:T372">
    <cfRule type="notContainsText" dxfId="81" priority="144" operator="notContains" text="Caida">
      <formula>ISERROR(SEARCH("Caida",R371))</formula>
    </cfRule>
    <cfRule type="containsText" dxfId="80" priority="145" operator="containsText" text="Caida">
      <formula>NOT(ISERROR(SEARCH("Caida",R371)))</formula>
    </cfRule>
  </conditionalFormatting>
  <conditionalFormatting sqref="O6:O92">
    <cfRule type="cellIs" dxfId="79" priority="134" operator="lessThan">
      <formula>0.8</formula>
    </cfRule>
    <cfRule type="cellIs" dxfId="78" priority="135" operator="greaterThan">
      <formula>0.8</formula>
    </cfRule>
  </conditionalFormatting>
  <conditionalFormatting sqref="O6:O92">
    <cfRule type="notContainsText" dxfId="77" priority="132" operator="notContains" text="Caida">
      <formula>ISERROR(SEARCH("Caida",O6))</formula>
    </cfRule>
    <cfRule type="containsText" dxfId="76" priority="133" operator="containsText" text="Caida">
      <formula>NOT(ISERROR(SEARCH("Caida",O6)))</formula>
    </cfRule>
  </conditionalFormatting>
  <conditionalFormatting sqref="O22">
    <cfRule type="containsText" dxfId="75" priority="131" operator="containsText" text="Instaladas en Funcionamiento Caida">
      <formula>NOT(ISERROR(SEARCH("Instaladas en Funcionamiento Caida",O22)))</formula>
    </cfRule>
  </conditionalFormatting>
  <conditionalFormatting sqref="O5">
    <cfRule type="cellIs" dxfId="74" priority="129" operator="lessThan">
      <formula>0.8</formula>
    </cfRule>
    <cfRule type="cellIs" dxfId="73" priority="130" operator="greaterThan">
      <formula>0.8</formula>
    </cfRule>
  </conditionalFormatting>
  <conditionalFormatting sqref="O5">
    <cfRule type="notContainsText" dxfId="72" priority="127" operator="notContains" text="Caida">
      <formula>ISERROR(SEARCH("Caida",O5))</formula>
    </cfRule>
    <cfRule type="containsText" dxfId="71" priority="128" operator="containsText" text="Caida">
      <formula>NOT(ISERROR(SEARCH("Caida",O5)))</formula>
    </cfRule>
  </conditionalFormatting>
  <conditionalFormatting sqref="O93:O94">
    <cfRule type="cellIs" dxfId="70" priority="125" operator="lessThan">
      <formula>0.8</formula>
    </cfRule>
    <cfRule type="cellIs" dxfId="69" priority="126" operator="greaterThan">
      <formula>0.8</formula>
    </cfRule>
  </conditionalFormatting>
  <conditionalFormatting sqref="O93:O94">
    <cfRule type="notContainsText" dxfId="68" priority="123" operator="notContains" text="Caida">
      <formula>ISERROR(SEARCH("Caida",O93))</formula>
    </cfRule>
    <cfRule type="containsText" dxfId="67" priority="124" operator="containsText" text="Caida">
      <formula>NOT(ISERROR(SEARCH("Caida",O93)))</formula>
    </cfRule>
  </conditionalFormatting>
  <conditionalFormatting sqref="AQ6:AS92">
    <cfRule type="cellIs" dxfId="66" priority="116" operator="lessThan">
      <formula>0.8</formula>
    </cfRule>
    <cfRule type="cellIs" dxfId="65" priority="117" operator="greaterThan">
      <formula>0.8</formula>
    </cfRule>
  </conditionalFormatting>
  <conditionalFormatting sqref="AQ6:AS92">
    <cfRule type="notContainsText" dxfId="64" priority="114" operator="notContains" text="Caida">
      <formula>ISERROR(SEARCH("Caida",AQ6))</formula>
    </cfRule>
    <cfRule type="containsText" dxfId="63" priority="115" operator="containsText" text="Caida">
      <formula>NOT(ISERROR(SEARCH("Caida",AQ6)))</formula>
    </cfRule>
  </conditionalFormatting>
  <conditionalFormatting sqref="AQ93:AS94">
    <cfRule type="cellIs" dxfId="62" priority="112" operator="lessThan">
      <formula>0.8</formula>
    </cfRule>
    <cfRule type="cellIs" dxfId="61" priority="113" operator="greaterThan">
      <formula>0.8</formula>
    </cfRule>
  </conditionalFormatting>
  <conditionalFormatting sqref="AQ93:AS94">
    <cfRule type="notContainsText" dxfId="60" priority="110" operator="notContains" text="Caida">
      <formula>ISERROR(SEARCH("Caida",AQ93))</formula>
    </cfRule>
    <cfRule type="containsText" dxfId="59" priority="111" operator="containsText" text="Caida">
      <formula>NOT(ISERROR(SEARCH("Caida",AQ93)))</formula>
    </cfRule>
  </conditionalFormatting>
  <conditionalFormatting sqref="Y6:AF92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Y6:AF92">
    <cfRule type="notContainsText" dxfId="56" priority="49" operator="notContains" text="Caida">
      <formula>ISERROR(SEARCH("Caida",Y6))</formula>
    </cfRule>
    <cfRule type="containsText" dxfId="55" priority="50" operator="containsText" text="Caida">
      <formula>NOT(ISERROR(SEARCH("Caida",Y6)))</formula>
    </cfRule>
  </conditionalFormatting>
  <conditionalFormatting sqref="Y93:AF9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Y93:AF95">
    <cfRule type="notContainsText" dxfId="52" priority="45" operator="notContains" text="Caida">
      <formula>ISERROR(SEARCH("Caida",Y93))</formula>
    </cfRule>
    <cfRule type="containsText" dxfId="51" priority="46" operator="containsText" text="Caida">
      <formula>NOT(ISERROR(SEARCH("Caida",Y93)))</formula>
    </cfRule>
  </conditionalFormatting>
  <conditionalFormatting sqref="AF1:AF1048576">
    <cfRule type="cellIs" dxfId="50" priority="44" operator="equal">
      <formula>"apagado"</formula>
    </cfRule>
  </conditionalFormatting>
  <conditionalFormatting sqref="AE1:AE1048576">
    <cfRule type="cellIs" dxfId="49" priority="43" operator="equal">
      <formula>"apagado"</formula>
    </cfRule>
  </conditionalFormatting>
  <conditionalFormatting sqref="AD1:AD1048576">
    <cfRule type="cellIs" dxfId="48" priority="42" operator="equal">
      <formula>"apagado"</formula>
    </cfRule>
  </conditionalFormatting>
  <conditionalFormatting sqref="AC1:AC1048576">
    <cfRule type="cellIs" dxfId="47" priority="41" operator="equal">
      <formula>"apagado"</formula>
    </cfRule>
  </conditionalFormatting>
  <conditionalFormatting sqref="AB1:AB1048576">
    <cfRule type="cellIs" dxfId="46" priority="40" operator="equal">
      <formula>"apagado"</formula>
    </cfRule>
  </conditionalFormatting>
  <conditionalFormatting sqref="AA1:AA1048576">
    <cfRule type="cellIs" dxfId="45" priority="39" operator="equal">
      <formula>"apagado"</formula>
    </cfRule>
  </conditionalFormatting>
  <conditionalFormatting sqref="Z1:Z1048576">
    <cfRule type="cellIs" dxfId="44" priority="38" operator="equal">
      <formula>"apagado"</formula>
    </cfRule>
  </conditionalFormatting>
  <conditionalFormatting sqref="Y1:Y1048576">
    <cfRule type="cellIs" dxfId="43" priority="37" operator="equal">
      <formula>"apagado"</formula>
    </cfRule>
  </conditionalFormatting>
  <conditionalFormatting sqref="AG6:AG92">
    <cfRule type="cellIs" dxfId="42" priority="35" operator="lessThan">
      <formula>0.8</formula>
    </cfRule>
    <cfRule type="cellIs" dxfId="41" priority="36" operator="greaterThan">
      <formula>0.8</formula>
    </cfRule>
  </conditionalFormatting>
  <conditionalFormatting sqref="AG6:AG92">
    <cfRule type="notContainsText" dxfId="40" priority="33" operator="notContains" text="Caida">
      <formula>ISERROR(SEARCH("Caida",AG6))</formula>
    </cfRule>
    <cfRule type="containsText" dxfId="39" priority="34" operator="containsText" text="Caida">
      <formula>NOT(ISERROR(SEARCH("Caida",AG6)))</formula>
    </cfRule>
  </conditionalFormatting>
  <conditionalFormatting sqref="AG93:AG95">
    <cfRule type="cellIs" dxfId="38" priority="31" operator="lessThan">
      <formula>0.8</formula>
    </cfRule>
    <cfRule type="cellIs" dxfId="37" priority="32" operator="greaterThan">
      <formula>0.8</formula>
    </cfRule>
  </conditionalFormatting>
  <conditionalFormatting sqref="AG93:AG95">
    <cfRule type="notContainsText" dxfId="36" priority="29" operator="notContains" text="Caida">
      <formula>ISERROR(SEARCH("Caida",AG93))</formula>
    </cfRule>
    <cfRule type="containsText" dxfId="35" priority="30" operator="containsText" text="Caida">
      <formula>NOT(ISERROR(SEARCH("Caida",AG93)))</formula>
    </cfRule>
  </conditionalFormatting>
  <conditionalFormatting sqref="AG1:AG1048576">
    <cfRule type="cellIs" dxfId="34" priority="28" operator="equal">
      <formula>"apagado"</formula>
    </cfRule>
  </conditionalFormatting>
  <conditionalFormatting sqref="AH6:AH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AH6:AH92">
    <cfRule type="notContainsText" dxfId="31" priority="24" operator="notContains" text="Caida">
      <formula>ISERROR(SEARCH("Caida",AH6))</formula>
    </cfRule>
    <cfRule type="containsText" dxfId="30" priority="25" operator="containsText" text="Caida">
      <formula>NOT(ISERROR(SEARCH("Caida",AH6)))</formula>
    </cfRule>
  </conditionalFormatting>
  <conditionalFormatting sqref="AH93:AH95">
    <cfRule type="cellIs" dxfId="29" priority="22" operator="lessThan">
      <formula>0.8</formula>
    </cfRule>
    <cfRule type="cellIs" dxfId="28" priority="23" operator="greaterThan">
      <formula>0.8</formula>
    </cfRule>
  </conditionalFormatting>
  <conditionalFormatting sqref="AH93:AH95">
    <cfRule type="notContainsText" dxfId="27" priority="20" operator="notContains" text="Caida">
      <formula>ISERROR(SEARCH("Caida",AH93))</formula>
    </cfRule>
    <cfRule type="containsText" dxfId="26" priority="21" operator="containsText" text="Caida">
      <formula>NOT(ISERROR(SEARCH("Caida",AH93)))</formula>
    </cfRule>
  </conditionalFormatting>
  <conditionalFormatting sqref="AH1:AH1048576">
    <cfRule type="cellIs" dxfId="25" priority="19" operator="equal">
      <formula>"apagado"</formula>
    </cfRule>
  </conditionalFormatting>
  <conditionalFormatting sqref="AI6:AI92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I6:AI92">
    <cfRule type="notContainsText" dxfId="22" priority="15" operator="notContains" text="Caida">
      <formula>ISERROR(SEARCH("Caida",AI6))</formula>
    </cfRule>
    <cfRule type="containsText" dxfId="21" priority="16" operator="containsText" text="Caida">
      <formula>NOT(ISERROR(SEARCH("Caida",AI6)))</formula>
    </cfRule>
  </conditionalFormatting>
  <conditionalFormatting sqref="AI93:AI95">
    <cfRule type="cellIs" dxfId="20" priority="13" operator="lessThan">
      <formula>0.8</formula>
    </cfRule>
    <cfRule type="cellIs" dxfId="19" priority="14" operator="greaterThan">
      <formula>0.8</formula>
    </cfRule>
  </conditionalFormatting>
  <conditionalFormatting sqref="AI93:AI95">
    <cfRule type="notContainsText" dxfId="18" priority="11" operator="notContains" text="Caida">
      <formula>ISERROR(SEARCH("Caida",AI93))</formula>
    </cfRule>
    <cfRule type="containsText" dxfId="17" priority="12" operator="containsText" text="Caida">
      <formula>NOT(ISERROR(SEARCH("Caida",AI93)))</formula>
    </cfRule>
  </conditionalFormatting>
  <conditionalFormatting sqref="AI1:AI1048576">
    <cfRule type="cellIs" dxfId="16" priority="10" operator="equal">
      <formula>"apagado"</formula>
    </cfRule>
  </conditionalFormatting>
  <conditionalFormatting sqref="AJ6:AJ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J6:AJ92">
    <cfRule type="notContainsText" dxfId="13" priority="6" operator="notContains" text="Caida">
      <formula>ISERROR(SEARCH("Caida",AJ6))</formula>
    </cfRule>
    <cfRule type="containsText" dxfId="12" priority="7" operator="containsText" text="Caida">
      <formula>NOT(ISERROR(SEARCH("Caida",AJ6)))</formula>
    </cfRule>
  </conditionalFormatting>
  <conditionalFormatting sqref="AJ93:AJ95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J93:AJ95">
    <cfRule type="notContainsText" dxfId="9" priority="2" operator="notContains" text="Caida">
      <formula>ISERROR(SEARCH("Caida",AJ93))</formula>
    </cfRule>
    <cfRule type="containsText" dxfId="8" priority="3" operator="containsText" text="Caida">
      <formula>NOT(ISERROR(SEARCH("Caida",AJ93)))</formula>
    </cfRule>
  </conditionalFormatting>
  <conditionalFormatting sqref="AJ1:AJ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1312</v>
      </c>
    </row>
    <row r="2" spans="1:1" ht="15" thickBot="1" x14ac:dyDescent="0.35"/>
    <row r="3" spans="1:1" ht="19.2" thickTop="1" thickBot="1" x14ac:dyDescent="0.35">
      <c r="A3" s="48">
        <v>44621</v>
      </c>
    </row>
    <row r="4" spans="1:1" ht="19.2" thickTop="1" thickBot="1" x14ac:dyDescent="0.35">
      <c r="A4" s="48">
        <v>44622</v>
      </c>
    </row>
    <row r="5" spans="1:1" ht="19.2" thickTop="1" thickBot="1" x14ac:dyDescent="0.35">
      <c r="A5" s="48">
        <v>44623</v>
      </c>
    </row>
    <row r="6" spans="1:1" ht="19.2" thickTop="1" thickBot="1" x14ac:dyDescent="0.35">
      <c r="A6" s="48">
        <v>44624</v>
      </c>
    </row>
    <row r="7" spans="1:1" ht="19.2" thickTop="1" thickBot="1" x14ac:dyDescent="0.35">
      <c r="A7" s="48">
        <v>44625</v>
      </c>
    </row>
    <row r="8" spans="1:1" ht="19.2" thickTop="1" thickBot="1" x14ac:dyDescent="0.35">
      <c r="A8" s="48">
        <v>44626</v>
      </c>
    </row>
    <row r="9" spans="1:1" ht="19.2" thickTop="1" thickBot="1" x14ac:dyDescent="0.35">
      <c r="A9" s="48">
        <v>44627</v>
      </c>
    </row>
    <row r="10" spans="1:1" ht="19.2" thickTop="1" thickBot="1" x14ac:dyDescent="0.35">
      <c r="A10" s="48">
        <v>44628</v>
      </c>
    </row>
    <row r="11" spans="1:1" ht="19.2" thickTop="1" thickBot="1" x14ac:dyDescent="0.35">
      <c r="A11" s="48">
        <v>44629</v>
      </c>
    </row>
    <row r="12" spans="1:1" ht="19.2" thickTop="1" thickBot="1" x14ac:dyDescent="0.35">
      <c r="A12" s="48">
        <v>44630</v>
      </c>
    </row>
    <row r="13" spans="1:1" ht="19.2" thickTop="1" thickBot="1" x14ac:dyDescent="0.35">
      <c r="A13" s="48">
        <v>44631</v>
      </c>
    </row>
    <row r="14" spans="1:1" ht="19.2" thickTop="1" thickBot="1" x14ac:dyDescent="0.35">
      <c r="A14" s="48">
        <v>44632</v>
      </c>
    </row>
    <row r="15" spans="1:1" ht="19.2" thickTop="1" thickBot="1" x14ac:dyDescent="0.35">
      <c r="A15" s="48">
        <v>44633</v>
      </c>
    </row>
    <row r="16" spans="1:1" ht="19.2" thickTop="1" thickBot="1" x14ac:dyDescent="0.35">
      <c r="A16" s="48">
        <v>44634</v>
      </c>
    </row>
    <row r="17" spans="1:2" ht="19.2" thickTop="1" thickBot="1" x14ac:dyDescent="0.35">
      <c r="A17" s="48">
        <v>44635</v>
      </c>
    </row>
    <row r="18" spans="1:2" ht="19.2" thickTop="1" thickBot="1" x14ac:dyDescent="0.35">
      <c r="A18" s="48">
        <v>44636</v>
      </c>
    </row>
    <row r="19" spans="1:2" ht="19.2" thickTop="1" thickBot="1" x14ac:dyDescent="0.35">
      <c r="A19" s="48">
        <v>44637</v>
      </c>
    </row>
    <row r="20" spans="1:2" ht="19.2" thickTop="1" thickBot="1" x14ac:dyDescent="0.35">
      <c r="A20" s="48">
        <v>44638</v>
      </c>
    </row>
    <row r="21" spans="1:2" ht="19.2" thickTop="1" thickBot="1" x14ac:dyDescent="0.35">
      <c r="A21" s="48">
        <v>44639</v>
      </c>
    </row>
    <row r="22" spans="1:2" ht="19.2" thickTop="1" thickBot="1" x14ac:dyDescent="0.35">
      <c r="A22" s="48">
        <v>44640</v>
      </c>
    </row>
    <row r="23" spans="1:2" ht="19.2" thickTop="1" thickBot="1" x14ac:dyDescent="0.35">
      <c r="A23" s="48">
        <v>44641</v>
      </c>
      <c r="B23" s="49"/>
    </row>
    <row r="24" spans="1:2" ht="19.2" thickTop="1" thickBot="1" x14ac:dyDescent="0.35">
      <c r="A24" s="48">
        <v>44642</v>
      </c>
      <c r="B24" s="50"/>
    </row>
    <row r="25" spans="1:2" ht="19.2" thickTop="1" thickBot="1" x14ac:dyDescent="0.35">
      <c r="A25" s="48">
        <v>44643</v>
      </c>
    </row>
    <row r="26" spans="1:2" ht="19.2" thickTop="1" thickBot="1" x14ac:dyDescent="0.35">
      <c r="A26" s="48">
        <v>44644</v>
      </c>
    </row>
    <row r="27" spans="1:2" ht="19.2" thickTop="1" thickBot="1" x14ac:dyDescent="0.35">
      <c r="A27" s="48">
        <v>44645</v>
      </c>
    </row>
    <row r="28" spans="1:2" ht="19.2" thickTop="1" thickBot="1" x14ac:dyDescent="0.35">
      <c r="A28" s="48">
        <v>44646</v>
      </c>
    </row>
    <row r="29" spans="1:2" ht="19.2" thickTop="1" thickBot="1" x14ac:dyDescent="0.35">
      <c r="A29" s="48">
        <v>44647</v>
      </c>
    </row>
    <row r="30" spans="1:2" ht="19.2" thickTop="1" thickBot="1" x14ac:dyDescent="0.35">
      <c r="A30" s="48">
        <v>44648</v>
      </c>
    </row>
    <row r="31" spans="1:2" ht="19.2" thickTop="1" thickBot="1" x14ac:dyDescent="0.35">
      <c r="A31" s="48">
        <v>44649</v>
      </c>
    </row>
    <row r="32" spans="1:2" ht="19.2" thickTop="1" thickBot="1" x14ac:dyDescent="0.35">
      <c r="A32" s="48">
        <v>44650</v>
      </c>
    </row>
    <row r="33" spans="1:1" ht="19.2" thickTop="1" thickBot="1" x14ac:dyDescent="0.35">
      <c r="A33" s="48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 t="str">
        <f>'RESUMEN TOTAL'!AK5</f>
        <v>APAGADO</v>
      </c>
      <c r="AC2" t="str">
        <f>'RESUMEN TOTAL'!AL5</f>
        <v>APAGADO</v>
      </c>
      <c r="AD2" t="str">
        <f>'RESUMEN TOTAL'!AM5</f>
        <v>APAGADO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 t="str">
        <f>'RESUMEN TOTAL'!AL10</f>
        <v>APAGADO</v>
      </c>
      <c r="AD7" t="str">
        <f>'RESUMEN TOTAL'!AM10</f>
        <v>APAGADO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 t="str">
        <f>'RESUMEN TOTAL'!AL13</f>
        <v>APAGADO</v>
      </c>
      <c r="AD10" t="str">
        <f>'RESUMEN TOTAL'!AM13</f>
        <v>APAGADO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 t="str">
        <f>'RESUMEN TOTAL'!AL14</f>
        <v>APAGADO</v>
      </c>
      <c r="AD11" t="str">
        <f>'RESUMEN TOTAL'!AM14</f>
        <v>APAGADO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 t="str">
        <f>'RESUMEN TOTAL'!AL17</f>
        <v>APAGADO</v>
      </c>
      <c r="AD14" t="str">
        <f>'RESUMEN TOTAL'!AM17</f>
        <v>APAGADO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 t="str">
        <f>'RESUMEN TOTAL'!AL18</f>
        <v>APAGADO</v>
      </c>
      <c r="AD15" t="str">
        <f>'RESUMEN TOTAL'!AM18</f>
        <v>APAGADO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 t="str">
        <f>'RESUMEN TOTAL'!AL20</f>
        <v>APAGADO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 t="str">
        <f>'RESUMEN TOTAL'!AM30</f>
        <v>APAGADO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 t="str">
        <f>'RESUMEN TOTAL'!AL34</f>
        <v>APAGADO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 t="str">
        <f>'RESUMEN TOTAL'!AL35</f>
        <v>APAGADO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 t="str">
        <f>'RESUMEN TOTAL'!AL36</f>
        <v>APAGADO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 t="str">
        <f>'RESUMEN TOTAL'!AL82</f>
        <v>APAGADO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 t="str">
        <f>'RESUMEN TOTAL'!AL90</f>
        <v>APAGADO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 t="str">
        <f>'RESUMEN TOTAL'!AK91</f>
        <v>APAGADO</v>
      </c>
      <c r="AC88" t="str">
        <f>'RESUMEN TOTAL'!AL91</f>
        <v>APAGADO</v>
      </c>
      <c r="AD88" t="str">
        <f>'RESUMEN TOTAL'!AM91</f>
        <v>APAGADO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 t="str">
        <f>'RESUMEN TOTAL'!AK92</f>
        <v>APAGADO</v>
      </c>
      <c r="AC89" t="str">
        <f>'RESUMEN TOTAL'!AL92</f>
        <v>APAGADO</v>
      </c>
      <c r="AD89" t="str">
        <f>'RESUMEN TOTAL'!AM92</f>
        <v>APAGADO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 t="str">
        <f>'RESUMEN TOTAL'!AL93</f>
        <v>APAGADO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 t="str">
        <f>'RESUMEN TOTAL'!AL95</f>
        <v>APAGADO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 t="str">
        <f>'RESUMEN TOTAL'!AL106</f>
        <v>APAGADO</v>
      </c>
      <c r="AD103" t="str">
        <f>'RESUMEN TOTAL'!AM106</f>
        <v>APAGADO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 t="str">
        <f>'RESUMEN TOTAL'!AL107</f>
        <v>APAGADO</v>
      </c>
      <c r="AD104" t="str">
        <f>'RESUMEN TOTAL'!AM107</f>
        <v>APAGADO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 t="str">
        <f>'RESUMEN TOTAL'!AL108</f>
        <v>APAGADO</v>
      </c>
      <c r="AD105" t="str">
        <f>'RESUMEN TOTAL'!AM108</f>
        <v>APAGADO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 t="str">
        <f>'RESUMEN TOTAL'!AL109</f>
        <v>APAGADO</v>
      </c>
      <c r="AD106" t="str">
        <f>'RESUMEN TOTAL'!AM109</f>
        <v>APAGADO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 t="str">
        <f>'RESUMEN TOTAL'!AL112</f>
        <v>APAGADO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 t="str">
        <f>'RESUMEN TOTAL'!AL122</f>
        <v>APAGADO</v>
      </c>
      <c r="AD119" t="str">
        <f>'RESUMEN TOTAL'!AM122</f>
        <v>APAGADO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 t="str">
        <f>'RESUMEN TOTAL'!AL123</f>
        <v>APAGADO</v>
      </c>
      <c r="AD120" t="str">
        <f>'RESUMEN TOTAL'!AM123</f>
        <v>APAGADO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 t="str">
        <f>'RESUMEN TOTAL'!AM136</f>
        <v>APAGADO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 t="str">
        <f>'RESUMEN TOTAL'!AK153</f>
        <v>APAGADO</v>
      </c>
      <c r="AC150" t="str">
        <f>'RESUMEN TOTAL'!AL153</f>
        <v>APAGADO</v>
      </c>
      <c r="AD150" t="str">
        <f>'RESUMEN TOTAL'!AM153</f>
        <v>APAGADO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 t="str">
        <f>'RESUMEN TOTAL'!AK156</f>
        <v>APAGADO</v>
      </c>
      <c r="AC153" t="str">
        <f>'RESUMEN TOTAL'!AL156</f>
        <v>APAGADO</v>
      </c>
      <c r="AD153" t="str">
        <f>'RESUMEN TOTAL'!AM156</f>
        <v>APAGADO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 t="str">
        <f>'RESUMEN TOTAL'!AL158</f>
        <v>APAGADO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 t="str">
        <f>'RESUMEN TOTAL'!AL159</f>
        <v>APAGADO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 t="str">
        <f>'RESUMEN TOTAL'!AL160</f>
        <v>APAGADO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 t="str">
        <f>'RESUMEN TOTAL'!AK169</f>
        <v>APAGADO</v>
      </c>
      <c r="AC166" t="str">
        <f>'RESUMEN TOTAL'!AL169</f>
        <v>APAGADO</v>
      </c>
      <c r="AD166" t="str">
        <f>'RESUMEN TOTAL'!AM169</f>
        <v>APAGADO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 t="str">
        <f>'RESUMEN TOTAL'!AK171</f>
        <v>APAGADO</v>
      </c>
      <c r="AC168" t="str">
        <f>'RESUMEN TOTAL'!AL171</f>
        <v>APAGADO</v>
      </c>
      <c r="AD168" t="str">
        <f>'RESUMEN TOTAL'!AM171</f>
        <v>APAGADO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 t="str">
        <f>'RESUMEN TOTAL'!AK173</f>
        <v>APAGADO</v>
      </c>
      <c r="AC170" t="str">
        <f>'RESUMEN TOTAL'!AL173</f>
        <v>APAGADO</v>
      </c>
      <c r="AD170" t="str">
        <f>'RESUMEN TOTAL'!AM173</f>
        <v>APAGADO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 t="str">
        <f>'RESUMEN TOTAL'!AK174</f>
        <v>APAGADO</v>
      </c>
      <c r="AC171" t="str">
        <f>'RESUMEN TOTAL'!AL174</f>
        <v>APAGADO</v>
      </c>
      <c r="AD171" t="str">
        <f>'RESUMEN TOTAL'!AM174</f>
        <v>APAGADO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 t="str">
        <f>'RESUMEN TOTAL'!AK180</f>
        <v>APAGADO</v>
      </c>
      <c r="AC177" t="str">
        <f>'RESUMEN TOTAL'!AL180</f>
        <v>APAGADO</v>
      </c>
      <c r="AD177" t="str">
        <f>'RESUMEN TOTAL'!AM180</f>
        <v>APAGADO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 t="str">
        <f>'RESUMEN TOTAL'!AK193</f>
        <v>APAGADO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 t="str">
        <f>'RESUMEN TOTAL'!AK194</f>
        <v>APAGADO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 t="str">
        <f>'RESUMEN TOTAL'!AL197</f>
        <v>APAGADO</v>
      </c>
      <c r="AD194" t="str">
        <f>'RESUMEN TOTAL'!AM197</f>
        <v>APAGADO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 t="str">
        <f>'RESUMEN TOTAL'!AL198</f>
        <v>APAGADO</v>
      </c>
      <c r="AD195" t="str">
        <f>'RESUMEN TOTAL'!AM198</f>
        <v>APAGADO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 t="str">
        <f>'RESUMEN TOTAL'!AL199</f>
        <v>APAGADO</v>
      </c>
      <c r="AD196" t="str">
        <f>'RESUMEN TOTAL'!AM199</f>
        <v>APAGADO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 t="str">
        <f>'RESUMEN TOTAL'!AL200</f>
        <v>APAGADO</v>
      </c>
      <c r="AD197" t="str">
        <f>'RESUMEN TOTAL'!AM200</f>
        <v>APAGADO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 t="str">
        <f>'RESUMEN TOTAL'!AL201</f>
        <v>APAGADO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 t="str">
        <f>'RESUMEN TOTAL'!AL202</f>
        <v>APAGADO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 t="str">
        <f>'RESUMEN TOTAL'!AL208</f>
        <v>APAGADO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 t="str">
        <f>'RESUMEN TOTAL'!AL210</f>
        <v>APAGADO</v>
      </c>
      <c r="AD207" t="str">
        <f>'RESUMEN TOTAL'!AM210</f>
        <v>APAGADO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 t="str">
        <f>'RESUMEN TOTAL'!AL211</f>
        <v>APAGADO</v>
      </c>
      <c r="AD208" t="str">
        <f>'RESUMEN TOTAL'!AM211</f>
        <v>APAGADO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 t="str">
        <f>'RESUMEN TOTAL'!AL212</f>
        <v>APAGADO</v>
      </c>
      <c r="AD209" t="str">
        <f>'RESUMEN TOTAL'!AM212</f>
        <v>APAGADO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 t="str">
        <f>'RESUMEN TOTAL'!AK224</f>
        <v>APAGADO</v>
      </c>
      <c r="AC221" t="str">
        <f>'RESUMEN TOTAL'!AL224</f>
        <v>APAGADO</v>
      </c>
      <c r="AD221" t="str">
        <f>'RESUMEN TOTAL'!AM224</f>
        <v>APAGADO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 t="str">
        <f>'RESUMEN TOTAL'!AK230</f>
        <v>APAGADO</v>
      </c>
      <c r="AC227" t="str">
        <f>'RESUMEN TOTAL'!AL230</f>
        <v>APAGADO</v>
      </c>
      <c r="AD227" t="str">
        <f>'RESUMEN TOTAL'!AM230</f>
        <v>APAGADO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 t="str">
        <f>'RESUMEN TOTAL'!AL235</f>
        <v>APAGADO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 t="str">
        <f>'RESUMEN TOTAL'!AL236</f>
        <v>APAGADO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 t="str">
        <f>'RESUMEN TOTAL'!AL237</f>
        <v>APAGADO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 t="str">
        <f>'RESUMEN TOTAL'!AL239</f>
        <v>APAGADO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 t="str">
        <f>'RESUMEN TOTAL'!AL240</f>
        <v>APAGADO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 t="str">
        <f>'RESUMEN TOTAL'!AL241</f>
        <v>APAGADO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 t="str">
        <f>'RESUMEN TOTAL'!AL242</f>
        <v>APAGADO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 t="str">
        <f>'RESUMEN TOTAL'!AL243</f>
        <v>APAGADO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 t="str">
        <f>'RESUMEN TOTAL'!AL244</f>
        <v>APAGADO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 t="str">
        <f>'RESUMEN TOTAL'!AK245</f>
        <v>APAGADO</v>
      </c>
      <c r="AC242" t="str">
        <f>'RESUMEN TOTAL'!AL245</f>
        <v>APAGADO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 t="str">
        <f>'RESUMEN TOTAL'!AL279</f>
        <v>APAGADO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 t="str">
        <f>'RESUMEN TOTAL'!AK281</f>
        <v>APAGADO</v>
      </c>
      <c r="AC278" t="str">
        <f>'RESUMEN TOTAL'!AL281</f>
        <v>APAGADO</v>
      </c>
      <c r="AD278" t="str">
        <f>'RESUMEN TOTAL'!AM281</f>
        <v>APAGADO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 t="str">
        <f>'RESUMEN TOTAL'!AL282</f>
        <v>APAGADO</v>
      </c>
      <c r="AD279" t="str">
        <f>'RESUMEN TOTAL'!AM282</f>
        <v>APAGADO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 t="str">
        <f>'RESUMEN TOTAL'!AL284</f>
        <v>APAGADO</v>
      </c>
      <c r="AD281" t="str">
        <f>'RESUMEN TOTAL'!AM284</f>
        <v>APAGADO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 t="str">
        <f>'RESUMEN TOTAL'!AL285</f>
        <v>APAGADO</v>
      </c>
      <c r="AD282" t="str">
        <f>'RESUMEN TOTAL'!AM285</f>
        <v>APAGADO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 t="str">
        <f>'RESUMEN TOTAL'!AL288</f>
        <v>APAGADO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 t="str">
        <f>'RESUMEN TOTAL'!AM290</f>
        <v>APAGADO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 t="str">
        <f>'RESUMEN TOTAL'!AL291</f>
        <v>APAGADO</v>
      </c>
      <c r="AD288" t="str">
        <f>'RESUMEN TOTAL'!AM291</f>
        <v>APAGADO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 t="str">
        <f>'RESUMEN TOTAL'!AL292</f>
        <v>APAGADO</v>
      </c>
      <c r="AD289" t="str">
        <f>'RESUMEN TOTAL'!AM292</f>
        <v>APAGADO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 t="str">
        <f>'RESUMEN TOTAL'!AL293</f>
        <v>APAGADO</v>
      </c>
      <c r="AD290" t="str">
        <f>'RESUMEN TOTAL'!AM293</f>
        <v>APAGADO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 t="str">
        <f>'RESUMEN TOTAL'!AL294</f>
        <v>APAGADO</v>
      </c>
      <c r="AD291" t="str">
        <f>'RESUMEN TOTAL'!AM294</f>
        <v>APAGADO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 t="str">
        <f>'RESUMEN TOTAL'!AL295</f>
        <v>APAGADO</v>
      </c>
      <c r="AD292" t="str">
        <f>'RESUMEN TOTAL'!AM295</f>
        <v>APAGADO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 t="str">
        <f>'RESUMEN TOTAL'!AM297</f>
        <v>APAGADO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 t="str">
        <f>'RESUMEN TOTAL'!AL303</f>
        <v>APAGADO</v>
      </c>
      <c r="AD300" t="str">
        <f>'RESUMEN TOTAL'!AM303</f>
        <v>APAGADO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 t="str">
        <f>'RESUMEN TOTAL'!AL305</f>
        <v>APAGADO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 t="str">
        <f>'RESUMEN TOTAL'!AL314</f>
        <v>APAGADO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 t="str">
        <f>'RESUMEN TOTAL'!AK321</f>
        <v>APAGADO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 t="str">
        <f>'RESUMEN TOTAL'!AK324</f>
        <v>APAGADO</v>
      </c>
      <c r="AC321">
        <f>'RESUMEN TOTAL'!AL324</f>
        <v>0</v>
      </c>
      <c r="AD321" t="str">
        <f>'RESUMEN TOTAL'!AM324</f>
        <v>APAGADO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 t="str">
        <f>'RESUMEN TOTAL'!AL332</f>
        <v>APAGADO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 t="str">
        <f>'RESUMEN TOTAL'!AL337</f>
        <v>APAGADO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 t="str">
        <f>'RESUMEN TOTAL'!AL338</f>
        <v>APAGADO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 t="str">
        <f>'RESUMEN TOTAL'!AL339</f>
        <v>APAGADO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 t="str">
        <f>'RESUMEN TOTAL'!AM358</f>
        <v>APAGADO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 t="str">
        <f>'RESUMEN TOTAL'!AK369</f>
        <v>APAGADO</v>
      </c>
      <c r="AC366" t="str">
        <f>'RESUMEN TOTAL'!AL369</f>
        <v>APAGADO</v>
      </c>
      <c r="AD366" t="str">
        <f>'RESUMEN TOTAL'!AM369</f>
        <v>APAGADO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 t="str">
        <f>'RESUMEN TOTAL'!AL371</f>
        <v>APAGADO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 t="str">
        <f>'RESUMEN TOTAL'!AL372</f>
        <v>APAGADO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3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3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3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3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32</v>
      </c>
      <c r="AC1" s="26">
        <f t="shared" si="0"/>
        <v>85</v>
      </c>
      <c r="AD1" s="26">
        <f>COUNTIF(AD3:AD366, "APAGADO")</f>
        <v>52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 t="str">
        <f>ESTADISTICA!AB2</f>
        <v>APAGADO</v>
      </c>
      <c r="AC3" t="str">
        <f>ESTADISTICA!AC2</f>
        <v>APAGADO</v>
      </c>
      <c r="AD3" t="str">
        <f>ESTADISTICA!AD2</f>
        <v>APAGADO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 t="str">
        <f>ESTADISTICA!AC14</f>
        <v>APAGADO</v>
      </c>
      <c r="AD15" t="str">
        <f>ESTADISTICA!AD14</f>
        <v>APAGADO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 t="str">
        <f>ESTADISTICA!AC15</f>
        <v>APAGADO</v>
      </c>
      <c r="AD16" t="str">
        <f>ESTADISTICA!AD15</f>
        <v>APAGADO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 t="str">
        <f>ESTADISTICA!AC31</f>
        <v>APAGADO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 t="str">
        <f>ESTADISTICA!AC33</f>
        <v>APAGADO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 t="str">
        <f>ESTADISTICA!AC79</f>
        <v>APAGADO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 t="str">
        <f>ESTADISTICA!AC87</f>
        <v>APAGADO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 t="str">
        <f>ESTADISTICA!AB89</f>
        <v>APAGADO</v>
      </c>
      <c r="AC90" t="str">
        <f>ESTADISTICA!AC89</f>
        <v>APAGADO</v>
      </c>
      <c r="AD90" t="str">
        <f>ESTADISTICA!AD89</f>
        <v>APAGADO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 t="str">
        <f>ESTADISTICA!AC90</f>
        <v>APAGADO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 t="str">
        <f>ESTADISTICA!AC104</f>
        <v>APAGADO</v>
      </c>
      <c r="AD105" t="str">
        <f>ESTADISTICA!AD104</f>
        <v>APAGADO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 t="str">
        <f>ESTADISTICA!AC106</f>
        <v>APAGADO</v>
      </c>
      <c r="AD107" t="str">
        <f>ESTADISTICA!AD106</f>
        <v>APAGADO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 t="str">
        <f>ESTADISTICA!AC109</f>
        <v>APAGADO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 t="str">
        <f>ESTADISTICA!AC119</f>
        <v>APAGADO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 t="str">
        <f>ESTADISTICA!AC120</f>
        <v>APAGADO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 t="str">
        <f>ESTADISTICA!AD133</f>
        <v>APAGADO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 t="str">
        <f>ESTADISTICA!AB150</f>
        <v>APAGADO</v>
      </c>
      <c r="AC151" t="str">
        <f>ESTADISTICA!AC150</f>
        <v>APAGADO</v>
      </c>
      <c r="AD151" t="str">
        <f>ESTADISTICA!AD150</f>
        <v>APAGADO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 t="str">
        <f>ESTADISTICA!AC155</f>
        <v>APAGADO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 t="str">
        <f>ESTADISTICA!AC156</f>
        <v>APAGADO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 t="str">
        <f>ESTADISTICA!AC157</f>
        <v>APAGADO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 t="str">
        <f>ESTADISTICA!AC168</f>
        <v>APAGADO</v>
      </c>
      <c r="AD169" t="str">
        <f>ESTADISTICA!AD168</f>
        <v>APAGADO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 t="str">
        <f>ESTADISTICA!AB170</f>
        <v>APAGADO</v>
      </c>
      <c r="AC171" t="str">
        <f>ESTADISTICA!AC170</f>
        <v>APAGADO</v>
      </c>
      <c r="AD171" t="str">
        <f>ESTADISTICA!AD170</f>
        <v>APAGADO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 t="str">
        <f>ESTADISTICA!AB190</f>
        <v>APAGADO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 t="str">
        <f>ESTADISTICA!AC194</f>
        <v>APAGADO</v>
      </c>
      <c r="AD195" t="str">
        <f>ESTADISTICA!AD194</f>
        <v>APAGADO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 t="str">
        <f>ESTADISTICA!AC195</f>
        <v>APAGADO</v>
      </c>
      <c r="AD196" t="str">
        <f>ESTADISTICA!AD195</f>
        <v>APAGADO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 t="str">
        <f>ESTADISTICA!AC196</f>
        <v>APAGADO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 t="str">
        <f>ESTADISTICA!AC197</f>
        <v>APAGADO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 t="str">
        <f>ESTADISTICA!AC198</f>
        <v>APAGADO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 t="str">
        <f>ESTADISTICA!AC199</f>
        <v>APAGADO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 t="str">
        <f>ESTADISTICA!AC207</f>
        <v>APAGADO</v>
      </c>
      <c r="AD208" t="str">
        <f>ESTADISTICA!AD207</f>
        <v>APAGADO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 t="str">
        <f>ESTADISTICA!AC208</f>
        <v>APAGADO</v>
      </c>
      <c r="AD209" t="str">
        <f>ESTADISTICA!AD208</f>
        <v>APAGADO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 t="str">
        <f>ESTADISTICA!AB221</f>
        <v>APAGADO</v>
      </c>
      <c r="AC222" t="str">
        <f>ESTADISTICA!AC221</f>
        <v>APAGADO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 t="str">
        <f>ESTADISTICA!AC232</f>
        <v>APAGADO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 t="str">
        <f>ESTADISTICA!AC233</f>
        <v>APAGADO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 t="str">
        <f>ESTADISTICA!AC236</f>
        <v>APAGADO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 t="str">
        <f>ESTADISTICA!AC237</f>
        <v>APAGADO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 t="str">
        <f>ESTADISTICA!AC238</f>
        <v>APAGADO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 t="str">
        <f>ESTADISTICA!AC276</f>
        <v>APAGADO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 t="str">
        <f>ESTADISTICA!AB278</f>
        <v>APAGADO</v>
      </c>
      <c r="AC279" t="str">
        <f>ESTADISTICA!AC278</f>
        <v>APAGADO</v>
      </c>
      <c r="AD279" t="str">
        <f>ESTADISTICA!AD278</f>
        <v>APAGADO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 t="str">
        <f>ESTADISTICA!AC279</f>
        <v>APAGADO</v>
      </c>
      <c r="AD280" t="str">
        <f>ESTADISTICA!AD279</f>
        <v>APAGADO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 t="str">
        <f>ESTADISTICA!AC281</f>
        <v>APAGADO</v>
      </c>
      <c r="AD282" t="str">
        <f>ESTADISTICA!AD281</f>
        <v>APAGADO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 t="str">
        <f>ESTADISTICA!AC285</f>
        <v>APAGADO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 t="str">
        <f>ESTADISTICA!AD287</f>
        <v>APAGADO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 t="str">
        <f>ESTADISTICA!AC289</f>
        <v>APAGADO</v>
      </c>
      <c r="AD290" t="str">
        <f>ESTADISTICA!AD289</f>
        <v>APAGADO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 t="str">
        <f>ESTADISTICA!AC290</f>
        <v>APAGADO</v>
      </c>
      <c r="AD291" t="str">
        <f>ESTADISTICA!AD290</f>
        <v>APAGADO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 t="str">
        <f>ESTADISTICA!AC291</f>
        <v>APAGADO</v>
      </c>
      <c r="AD292" t="str">
        <f>ESTADISTICA!AD291</f>
        <v>APAGADO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 t="str">
        <f>ESTADISTICA!AC292</f>
        <v>APAGADO</v>
      </c>
      <c r="AD293" t="str">
        <f>ESTADISTICA!AD292</f>
        <v>APAGADO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 t="str">
        <f>ESTADISTICA!AD294</f>
        <v>APAGADO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 t="str">
        <f>ESTADISTICA!AC300</f>
        <v>APAGADO</v>
      </c>
      <c r="AD301" t="str">
        <f>ESTADISTICA!AD300</f>
        <v>APAGADO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 t="str">
        <f>ESTADISTICA!AC302</f>
        <v>APAGADO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 t="str">
        <f>ESTADISTICA!AC311</f>
        <v>APAGADO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>
        <f>ESTADISTICA!AC321</f>
        <v>0</v>
      </c>
      <c r="AD322" t="str">
        <f>ESTADISTICA!AD321</f>
        <v>APAGADO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 t="str">
        <f>ESTADISTICA!AC329</f>
        <v>APAGADO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 t="str">
        <f>ESTADISTICA!AC334</f>
        <v>APAGADO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 t="str">
        <f>ESTADISTICA!AD355</f>
        <v>APAGADO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V9" activePane="bottomRight" state="frozen"/>
      <selection pane="topRight" activeCell="F1" sqref="F1"/>
      <selection pane="bottomLeft" activeCell="A8" sqref="A8"/>
      <selection pane="bottomRight" activeCell="AD3" sqref="AD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1323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28</v>
      </c>
      <c r="AC2" s="26">
        <f>COUNTIFS(AC4:AC367, "=APAGADO",E4:E367,"=Fibra Optica")</f>
        <v>70</v>
      </c>
      <c r="AD2" s="26">
        <f>COUNTIFS(AD4:AD367, "=APAGADO",E4:E367,"=Fibra Optica")</f>
        <v>43</v>
      </c>
      <c r="AE2" s="26">
        <f t="shared" ref="AE2" si="0">COUNTIFS(AE4:AE367, "=APAGADO",AC4:AC367,"=Fibra Optica")</f>
        <v>0</v>
      </c>
      <c r="AF2" s="26">
        <f t="shared" ref="AF2" si="1">COUNTIFS(AF4:AF367, "=APAGADO",AC4:AC367,"=Fibra Optica")</f>
        <v>0</v>
      </c>
      <c r="AG2" s="26">
        <f t="shared" ref="AG2" si="2">COUNTIFS(AG4:AG367, "=APAGADO",AC4:AC367,"=Fibra Optica")</f>
        <v>0</v>
      </c>
      <c r="AH2" s="26">
        <f t="shared" ref="AH2" si="3">COUNTIFS(AH4:AH367, "=APAGADO",AD4:AD367,"=Fibra Optica")</f>
        <v>0</v>
      </c>
      <c r="AI2" s="26">
        <f t="shared" ref="AI2" si="4">COUNTIFS(AI4:AI367, "=APAGADO",AE4:AE367,"=Fibra Optica")</f>
        <v>0</v>
      </c>
      <c r="AJ2" s="26">
        <f t="shared" ref="AJ2" si="5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9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1324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"=APAGADO",E4:E367,"=PTP A FO")</f>
        <v>2</v>
      </c>
      <c r="AC2" s="26">
        <f>COUNTIFS(AC4:AC367, "=APAGADO",E4:E367,"=PTP A FO")</f>
        <v>7</v>
      </c>
      <c r="AD2" s="26">
        <f>COUNTIFS(AD4:AD367, "=APAGADO",E4:E367,"=PTP A FO")</f>
        <v>4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 t="shared" ref="AH2:AJ2" si="0">COUNTIFS(AH4:AH367, "=APAGADO",F4:F367,"=PTP A FO")</f>
        <v>0</v>
      </c>
      <c r="AI2" s="26">
        <f t="shared" si="0"/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9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1325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2</v>
      </c>
      <c r="AC2" s="26">
        <f>COUNTIFS(AC4:AC367, "=APAGADO",E4:E367,"=radio")</f>
        <v>7</v>
      </c>
      <c r="AD2" s="26">
        <f>COUNTIFS(AD4:AD367, "=APAGADO",E4:E367,"=radio")</f>
        <v>5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 t="shared" ref="AH2:AJ2" si="0">COUNTIFS(AH4:AH367, "=APAGADO",F4:F367,"=radio")</f>
        <v>0</v>
      </c>
      <c r="AI2" s="26">
        <f t="shared" si="0"/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 t="str">
        <f>ESTADISTICA!AB2</f>
        <v>APAGADO</v>
      </c>
      <c r="AC4" t="str">
        <f>ESTADISTICA!AC2</f>
        <v>APAGADO</v>
      </c>
      <c r="AD4" t="str">
        <f>ESTADISTICA!AD2</f>
        <v>APAGADO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 t="str">
        <f>ESTADISTICA!AC7</f>
        <v>APAGADO</v>
      </c>
      <c r="AD9" t="str">
        <f>ESTADISTICA!AD7</f>
        <v>APAGADO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 t="str">
        <f>ESTADISTICA!AC10</f>
        <v>APAGADO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 t="str">
        <f>ESTADISTICA!AC11</f>
        <v>APAGADO</v>
      </c>
      <c r="AD13" t="str">
        <f>ESTADISTICA!AD11</f>
        <v>APAGADO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 t="str">
        <f>ESTADISTICA!AC14</f>
        <v>APAGADO</v>
      </c>
      <c r="AD16" t="str">
        <f>ESTADISTICA!AD14</f>
        <v>APAGADO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 t="str">
        <f>ESTADISTICA!AC15</f>
        <v>APAGADO</v>
      </c>
      <c r="AD17" t="str">
        <f>ESTADISTICA!AD15</f>
        <v>APAGADO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 t="str">
        <f>ESTADISTICA!AC17</f>
        <v>APAGADO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 t="str">
        <f>ESTADISTICA!AD27</f>
        <v>APAGADO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 t="str">
        <f>ESTADISTICA!AC31</f>
        <v>APAGADO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 t="str">
        <f>ESTADISTICA!AC33</f>
        <v>APAGADO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 t="str">
        <f>ESTADISTICA!AC79</f>
        <v>APAGADO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 t="str">
        <f>ESTADISTICA!AC87</f>
        <v>APAGADO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 t="str">
        <f>ESTADISTICA!AB88</f>
        <v>APAGADO</v>
      </c>
      <c r="AC90" t="str">
        <f>ESTADISTICA!AC88</f>
        <v>APAGADO</v>
      </c>
      <c r="AD90" t="str">
        <f>ESTADISTICA!AD88</f>
        <v>APAGADO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 t="str">
        <f>ESTADISTICA!AB89</f>
        <v>APAGADO</v>
      </c>
      <c r="AC91" t="str">
        <f>ESTADISTICA!AC89</f>
        <v>APAGADO</v>
      </c>
      <c r="AD91" t="str">
        <f>ESTADISTICA!AD89</f>
        <v>APAGADO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 t="str">
        <f>ESTADISTICA!AC90</f>
        <v>APAGADO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 t="str">
        <f>ESTADISTICA!AC104</f>
        <v>APAGADO</v>
      </c>
      <c r="AD106" t="str">
        <f>ESTADISTICA!AD104</f>
        <v>APAGADO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 t="str">
        <f>ESTADISTICA!AC106</f>
        <v>APAGADO</v>
      </c>
      <c r="AD108" t="str">
        <f>ESTADISTICA!AD106</f>
        <v>APAGADO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 t="str">
        <f>ESTADISTICA!AC109</f>
        <v>APAGADO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 t="str">
        <f>ESTADISTICA!AC119</f>
        <v>APAGADO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 t="str">
        <f>ESTADISTICA!AC120</f>
        <v>APAGADO</v>
      </c>
      <c r="AD122" t="str">
        <f>ESTADISTICA!AD120</f>
        <v>APAGADO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 t="str">
        <f>ESTADISTICA!AD133</f>
        <v>APAGADO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 t="str">
        <f>ESTADISTICA!AB150</f>
        <v>APAGADO</v>
      </c>
      <c r="AC152" t="str">
        <f>ESTADISTICA!AC150</f>
        <v>APAGADO</v>
      </c>
      <c r="AD152" t="str">
        <f>ESTADISTICA!AD150</f>
        <v>APAGADO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 t="str">
        <f>ESTADISTICA!AC155</f>
        <v>APAGADO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 t="str">
        <f>ESTADISTICA!AC156</f>
        <v>APAGADO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 t="str">
        <f>ESTADISTICA!AC157</f>
        <v>APAGADO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 t="str">
        <f>ESTADISTICA!AC168</f>
        <v>APAGADO</v>
      </c>
      <c r="AD170" t="str">
        <f>ESTADISTICA!AD168</f>
        <v>APAGADO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 t="str">
        <f>ESTADISTICA!AB170</f>
        <v>APAGADO</v>
      </c>
      <c r="AC172" t="str">
        <f>ESTADISTICA!AC170</f>
        <v>APAGADO</v>
      </c>
      <c r="AD172" t="str">
        <f>ESTADISTICA!AD170</f>
        <v>APAGADO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 t="str">
        <f>ESTADISTICA!AB190</f>
        <v>APAGADO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 t="str">
        <f>ESTADISTICA!AC195</f>
        <v>APAGADO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 t="str">
        <f>ESTADISTICA!AC197</f>
        <v>APAGADO</v>
      </c>
      <c r="AD199" t="str">
        <f>ESTADISTICA!AD197</f>
        <v>APAGADO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 t="str">
        <f>ESTADISTICA!AC198</f>
        <v>APAGADO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 t="str">
        <f>ESTADISTICA!AC205</f>
        <v>APAGADO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 t="str">
        <f>ESTADISTICA!AC207</f>
        <v>APAGADO</v>
      </c>
      <c r="AD209" t="str">
        <f>ESTADISTICA!AD207</f>
        <v>APAGADO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 t="str">
        <f>ESTADISTICA!AC208</f>
        <v>APAGADO</v>
      </c>
      <c r="AD210" t="str">
        <f>ESTADISTICA!AD208</f>
        <v>APAGADO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 t="str">
        <f>ESTADISTICA!AB221</f>
        <v>APAGADO</v>
      </c>
      <c r="AC223" t="str">
        <f>ESTADISTICA!AC221</f>
        <v>APAGADO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 t="str">
        <f>ESTADISTICA!AC232</f>
        <v>APAGADO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 t="str">
        <f>ESTADISTICA!AC233</f>
        <v>APAGADO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 t="str">
        <f>ESTADISTICA!AC236</f>
        <v>APAGADO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 t="str">
        <f>ESTADISTICA!AC237</f>
        <v>APAGADO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 t="str">
        <f>ESTADISTICA!AC238</f>
        <v>APAGADO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 t="str">
        <f>ESTADISTICA!AC240</f>
        <v>APAGADO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 t="str">
        <f>ESTADISTICA!AC241</f>
        <v>APAGADO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 t="str">
        <f>ESTADISTICA!AC276</f>
        <v>APAGADO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 t="str">
        <f>ESTADISTICA!AB278</f>
        <v>APAGADO</v>
      </c>
      <c r="AC280" t="str">
        <f>ESTADISTICA!AC278</f>
        <v>APAGADO</v>
      </c>
      <c r="AD280" t="str">
        <f>ESTADISTICA!AD278</f>
        <v>APAGADO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 t="str">
        <f>ESTADISTICA!AC279</f>
        <v>APAGADO</v>
      </c>
      <c r="AD281" t="str">
        <f>ESTADISTICA!AD279</f>
        <v>APAGADO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 t="str">
        <f>ESTADISTICA!AC281</f>
        <v>APAGADO</v>
      </c>
      <c r="AD283" t="str">
        <f>ESTADISTICA!AD281</f>
        <v>APAGADO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 t="str">
        <f>ESTADISTICA!AC282</f>
        <v>APAGADO</v>
      </c>
      <c r="AD284" t="str">
        <f>ESTADISTICA!AD282</f>
        <v>APAGADO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 t="str">
        <f>ESTADISTICA!AC285</f>
        <v>APAGADO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 t="str">
        <f>ESTADISTICA!AD287</f>
        <v>APAGADO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 t="str">
        <f>ESTADISTICA!AC288</f>
        <v>APAGADO</v>
      </c>
      <c r="AD290" t="str">
        <f>ESTADISTICA!AD288</f>
        <v>APAGADO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 t="str">
        <f>ESTADISTICA!AC289</f>
        <v>APAGADO</v>
      </c>
      <c r="AD291" t="str">
        <f>ESTADISTICA!AD289</f>
        <v>APAGADO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 t="str">
        <f>ESTADISTICA!AC290</f>
        <v>APAGADO</v>
      </c>
      <c r="AD292" t="str">
        <f>ESTADISTICA!AD290</f>
        <v>APAGADO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 t="str">
        <f>ESTADISTICA!AC291</f>
        <v>APAGADO</v>
      </c>
      <c r="AD293" t="str">
        <f>ESTADISTICA!AD291</f>
        <v>APAGADO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 t="str">
        <f>ESTADISTICA!AC292</f>
        <v>APAGADO</v>
      </c>
      <c r="AD294" t="str">
        <f>ESTADISTICA!AD292</f>
        <v>APAGADO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 t="str">
        <f>ESTADISTICA!AD294</f>
        <v>APAGADO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 t="str">
        <f>ESTADISTICA!AC300</f>
        <v>APAGADO</v>
      </c>
      <c r="AD302" t="str">
        <f>ESTADISTICA!AD300</f>
        <v>APAGADO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 t="str">
        <f>ESTADISTICA!AC302</f>
        <v>APAGADO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 t="str">
        <f>ESTADISTICA!AC311</f>
        <v>APAGADO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 t="str">
        <f>ESTADISTICA!AB318</f>
        <v>APAGADO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 t="str">
        <f>ESTADISTICA!AB321</f>
        <v>APAGADO</v>
      </c>
      <c r="AC323">
        <f>ESTADISTICA!AC321</f>
        <v>0</v>
      </c>
      <c r="AD323" t="str">
        <f>ESTADISTICA!AD321</f>
        <v>APAGADO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 t="str">
        <f>ESTADISTICA!AC329</f>
        <v>APAGADO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 t="str">
        <f>ESTADISTICA!AC334</f>
        <v>APAGADO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 t="str">
        <f>ESTADISTICA!AD355</f>
        <v>APAGADO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 t="str">
        <f>ESTADISTICA!AB366</f>
        <v>APAGADO</v>
      </c>
      <c r="AC368" t="str">
        <f>ESTADISTICA!AC366</f>
        <v>APAGADO</v>
      </c>
      <c r="AD368" t="str">
        <f>ESTADISTICA!AD366</f>
        <v>APAGADO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abSelected="1" topLeftCell="A3" zoomScaleNormal="100" workbookViewId="0">
      <selection activeCell="K32" sqref="K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7" workbookViewId="0">
      <selection activeCell="D27" sqref="D27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3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3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3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3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3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3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3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3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3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3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3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3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3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3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3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3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3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3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3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368</v>
      </c>
    </row>
    <row r="24" spans="1:6" x14ac:dyDescent="0.3">
      <c r="A24" s="25">
        <f>'APAGADOS RADIO'!AB3</f>
        <v>44643</v>
      </c>
      <c r="B24">
        <f>'APAGADOS RADIO'!AB2+D24</f>
        <v>4</v>
      </c>
      <c r="C24" s="30">
        <f>'APAGADOS FIBRA'!AB2</f>
        <v>28</v>
      </c>
      <c r="D24">
        <f>'APAGADOS ANTENA'!AB2</f>
        <v>2</v>
      </c>
      <c r="E24">
        <f t="shared" ref="E24" si="10">B24+C24</f>
        <v>32</v>
      </c>
      <c r="F24">
        <f>'RESUMEN TOTAL'!C1</f>
        <v>368</v>
      </c>
    </row>
    <row r="25" spans="1:6" x14ac:dyDescent="0.3">
      <c r="A25" s="25">
        <f>'APAGADOS RADIO'!AC3</f>
        <v>44644</v>
      </c>
      <c r="B25">
        <f>'APAGADOS RADIO'!AC2+D25</f>
        <v>14</v>
      </c>
      <c r="C25" s="30">
        <f>'APAGADOS FIBRA'!AC2</f>
        <v>70</v>
      </c>
      <c r="D25">
        <f>'APAGADOS ANTENA'!AC2</f>
        <v>7</v>
      </c>
      <c r="E25">
        <f t="shared" ref="E25" si="11">B25+C25</f>
        <v>84</v>
      </c>
      <c r="F25">
        <f>'RESUMEN TOTAL'!C1</f>
        <v>368</v>
      </c>
    </row>
    <row r="26" spans="1:6" x14ac:dyDescent="0.3">
      <c r="A26" s="25">
        <f>'APAGADOS RADIO'!AD3</f>
        <v>44645</v>
      </c>
      <c r="B26">
        <f>'APAGADOS RADIO'!AD2+D26</f>
        <v>9</v>
      </c>
      <c r="C26" s="30">
        <f>'APAGADOS FIBRA'!AD2</f>
        <v>43</v>
      </c>
      <c r="D26">
        <f>'APAGADOS ANTENA'!AD2</f>
        <v>4</v>
      </c>
      <c r="E26">
        <f t="shared" ref="E26" si="12">B26+C26</f>
        <v>52</v>
      </c>
      <c r="F26">
        <f>'RESUMEN TOTAL'!C1</f>
        <v>368</v>
      </c>
    </row>
    <row r="27" spans="1:6" x14ac:dyDescent="0.3">
      <c r="A27" s="25">
        <f>'APAGADOS RADIO'!AE3</f>
        <v>44646</v>
      </c>
      <c r="F27">
        <f>'RESUMEN TOTAL'!C1</f>
        <v>368</v>
      </c>
    </row>
    <row r="28" spans="1:6" x14ac:dyDescent="0.3">
      <c r="A28" s="25">
        <f>'APAGADOS RADIO'!AF3</f>
        <v>44647</v>
      </c>
      <c r="F28">
        <f>'RESUMEN TOTAL'!C1</f>
        <v>368</v>
      </c>
    </row>
    <row r="29" spans="1:6" x14ac:dyDescent="0.3">
      <c r="A29" s="25">
        <f>'APAGADOS RADIO'!AG3</f>
        <v>44648</v>
      </c>
      <c r="F29">
        <f>'RESUMEN TOTAL'!C1</f>
        <v>368</v>
      </c>
    </row>
    <row r="30" spans="1:6" x14ac:dyDescent="0.3">
      <c r="A30" s="25">
        <f>'APAGADOS RADIO'!AH3</f>
        <v>44649</v>
      </c>
      <c r="F30">
        <f>'RESUMEN TOTAL'!C1</f>
        <v>368</v>
      </c>
    </row>
    <row r="31" spans="1:6" x14ac:dyDescent="0.3">
      <c r="A31" s="25">
        <f>'APAGADOS RADIO'!AI3</f>
        <v>44650</v>
      </c>
      <c r="F31">
        <f>'RESUMEN TOTAL'!C1</f>
        <v>368</v>
      </c>
    </row>
    <row r="32" spans="1:6" x14ac:dyDescent="0.3">
      <c r="A32" s="25">
        <f>'APAGADOS RADIO'!AJ3</f>
        <v>44651</v>
      </c>
      <c r="F32">
        <f>'RESUMEN TOTAL'!C1</f>
        <v>368</v>
      </c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2022-03-25T13:29:55Z</dcterms:modified>
</cp:coreProperties>
</file>