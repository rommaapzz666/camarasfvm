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15B6F9C3-D02F-4461-8CE3-CF62489FBE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V5" i="25"/>
  <c r="V3" i="25"/>
  <c r="D38" i="24"/>
  <c r="C39" i="24"/>
  <c r="D39" i="24" s="1"/>
  <c r="D33" i="24"/>
  <c r="C34" i="24"/>
  <c r="D34" i="24" s="1"/>
  <c r="D28" i="24"/>
  <c r="C29" i="24"/>
  <c r="D29" i="24" s="1"/>
  <c r="M5" i="25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22" i="14" l="1"/>
  <c r="F23" i="14"/>
  <c r="F20" i="14"/>
  <c r="F21" i="14"/>
  <c r="C45" i="24"/>
  <c r="F19" i="14"/>
  <c r="C40" i="24"/>
  <c r="F16" i="14"/>
  <c r="F17" i="14"/>
  <c r="F18" i="14"/>
  <c r="C35" i="24"/>
  <c r="F12" i="14"/>
  <c r="F13" i="14"/>
  <c r="F14" i="14"/>
  <c r="F15" i="14"/>
  <c r="C30" i="24"/>
  <c r="F11" i="14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45" i="24" l="1"/>
  <c r="C46" i="24"/>
  <c r="D46" i="24" s="1"/>
  <c r="D40" i="24"/>
  <c r="C41" i="24"/>
  <c r="D41" i="24" s="1"/>
  <c r="D35" i="24"/>
  <c r="C36" i="24"/>
  <c r="D36" i="24" s="1"/>
  <c r="D30" i="24"/>
  <c r="C31" i="24"/>
  <c r="D31" i="24" s="1"/>
  <c r="D25" i="24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Y2" i="21" l="1"/>
  <c r="D21" i="14" s="1"/>
  <c r="AA2" i="21"/>
  <c r="D23" i="14" s="1"/>
  <c r="Z2" i="21"/>
  <c r="D22" i="14" s="1"/>
  <c r="W2" i="2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I2" i="21"/>
  <c r="AH2" i="21"/>
  <c r="AC2" i="21"/>
  <c r="AD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C19" i="14" s="1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2" i="10" s="1"/>
  <c r="C18" i="14" s="1"/>
  <c r="V3" i="9"/>
  <c r="N4" i="11"/>
  <c r="N4" i="10"/>
  <c r="N2" i="10" s="1"/>
  <c r="C10" i="14" s="1"/>
  <c r="N3" i="9"/>
  <c r="F4" i="11"/>
  <c r="F4" i="10"/>
  <c r="F2" i="10" s="1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U2" i="10" s="1"/>
  <c r="C17" i="14" s="1"/>
  <c r="M4" i="11"/>
  <c r="M3" i="9"/>
  <c r="M4" i="10"/>
  <c r="M2" i="10" s="1"/>
  <c r="C9" i="14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C16" i="14" s="1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C23" i="14" s="1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C22" i="14" s="1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C21" i="14" s="1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Y2" i="11" l="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W2" i="1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AE2" i="21"/>
  <c r="AE2" i="10"/>
  <c r="AE2" i="11"/>
  <c r="AF2" i="11"/>
  <c r="AG2" i="11"/>
  <c r="AH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AG1" i="9"/>
  <c r="U1" i="9"/>
  <c r="V1" i="9"/>
  <c r="G1" i="9"/>
  <c r="R1" i="9"/>
  <c r="K1" i="9"/>
  <c r="D1" i="10"/>
  <c r="Q1" i="9"/>
  <c r="AC2" i="10"/>
  <c r="F1" i="9"/>
  <c r="L1" i="9"/>
  <c r="D1" i="11"/>
  <c r="AC1" i="9"/>
  <c r="C2" i="14"/>
  <c r="AD1" i="9"/>
  <c r="O1" i="9"/>
  <c r="S1" i="9"/>
  <c r="AD2" i="10"/>
  <c r="Y1" i="9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Q2" i="11"/>
  <c r="B13" i="14" s="1"/>
  <c r="E13" i="14" s="1"/>
  <c r="G13" i="14" s="1"/>
  <c r="AC2" i="11"/>
  <c r="AD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H386" i="2"/>
  <c r="X383" i="8"/>
  <c r="X385" i="10" s="1"/>
  <c r="X2" i="10" s="1"/>
  <c r="C20" i="14" s="1"/>
  <c r="AC3" i="2"/>
  <c r="AC2" i="2" s="1"/>
  <c r="AC1" i="2" s="1"/>
  <c r="I386" i="2"/>
  <c r="X385" i="11" l="1"/>
  <c r="X2" i="11" s="1"/>
  <c r="X384" i="9"/>
  <c r="X1" i="9" s="1"/>
  <c r="J386" i="2"/>
  <c r="X385" i="21"/>
  <c r="X2" i="21" s="1"/>
  <c r="D20" i="14" s="1"/>
  <c r="B20" i="14" l="1"/>
  <c r="E20" i="14" s="1"/>
  <c r="G2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<sst xmlns="http://schemas.openxmlformats.org/spreadsheetml/2006/main" count="4296" uniqueCount="1294">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</sst>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22</c:v>
                </c:pt>
                <c:pt idx="14">
                  <c:v>25</c:v>
                </c:pt>
                <c:pt idx="15">
                  <c:v>28</c:v>
                </c:pt>
                <c:pt idx="16">
                  <c:v>27</c:v>
                </c:pt>
                <c:pt idx="17">
                  <c:v>31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26</c:v>
                </c:pt>
                <c:pt idx="22">
                  <c:v>36</c:v>
                </c:pt>
                <c:pt idx="23">
                  <c:v>29</c:v>
                </c:pt>
                <c:pt idx="24">
                  <c:v>34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19</c:v>
                </c:pt>
                <c:pt idx="14">
                  <c:v>16</c:v>
                </c:pt>
                <c:pt idx="15">
                  <c:v>14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17</c:v>
                </c:pt>
                <c:pt idx="23">
                  <c:v>12</c:v>
                </c:pt>
                <c:pt idx="24">
                  <c:v>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9.7777777777777783E-2</c:v>
                      </c:pt>
                      <c:pt idx="14">
                        <c:v>0.1111111111111111</c:v>
                      </c:pt>
                      <c:pt idx="15">
                        <c:v>0.12444444444444444</c:v>
                      </c:pt>
                      <c:pt idx="16">
                        <c:v>0.12</c:v>
                      </c:pt>
                      <c:pt idx="17">
                        <c:v>0.13777777777777778</c:v>
                      </c:pt>
                      <c:pt idx="18">
                        <c:v>0.1111111111111111</c:v>
                      </c:pt>
                      <c:pt idx="19">
                        <c:v>0.1111111111111111</c:v>
                      </c:pt>
                      <c:pt idx="20">
                        <c:v>0.10666666666666667</c:v>
                      </c:pt>
                      <c:pt idx="21">
                        <c:v>0.11555555555555555</c:v>
                      </c:pt>
                      <c:pt idx="22">
                        <c:v>0.16</c:v>
                      </c:pt>
                      <c:pt idx="23">
                        <c:v>0.12888888888888889</c:v>
                      </c:pt>
                      <c:pt idx="24">
                        <c:v>0.15111111111111111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9.2682926829268292E-2</c:v>
                      </c:pt>
                      <c:pt idx="14">
                        <c:v>7.8048780487804878E-2</c:v>
                      </c:pt>
                      <c:pt idx="15">
                        <c:v>6.8292682926829273E-2</c:v>
                      </c:pt>
                      <c:pt idx="16">
                        <c:v>8.2926829268292687E-2</c:v>
                      </c:pt>
                      <c:pt idx="17">
                        <c:v>7.8048780487804878E-2</c:v>
                      </c:pt>
                      <c:pt idx="18">
                        <c:v>9.7560975609756101E-2</c:v>
                      </c:pt>
                      <c:pt idx="19">
                        <c:v>5.8536585365853662E-2</c:v>
                      </c:pt>
                      <c:pt idx="20">
                        <c:v>5.8536585365853662E-2</c:v>
                      </c:pt>
                      <c:pt idx="21">
                        <c:v>5.8536585365853662E-2</c:v>
                      </c:pt>
                      <c:pt idx="22">
                        <c:v>8.2926829268292687E-2</c:v>
                      </c:pt>
                      <c:pt idx="23">
                        <c:v>5.8536585365853662E-2</c:v>
                      </c:pt>
                      <c:pt idx="24">
                        <c:v>0.10731707317073171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9.7777777777777783E-2</c:v>
                </c:pt>
                <c:pt idx="14">
                  <c:v>0.1111111111111111</c:v>
                </c:pt>
                <c:pt idx="15">
                  <c:v>0.12444444444444444</c:v>
                </c:pt>
                <c:pt idx="16">
                  <c:v>0.12</c:v>
                </c:pt>
                <c:pt idx="17">
                  <c:v>0.13777777777777778</c:v>
                </c:pt>
                <c:pt idx="18">
                  <c:v>0.1111111111111111</c:v>
                </c:pt>
                <c:pt idx="19">
                  <c:v>0.1111111111111111</c:v>
                </c:pt>
                <c:pt idx="20">
                  <c:v>0.10666666666666667</c:v>
                </c:pt>
                <c:pt idx="21">
                  <c:v>0.11555555555555555</c:v>
                </c:pt>
                <c:pt idx="22">
                  <c:v>0.16</c:v>
                </c:pt>
                <c:pt idx="23">
                  <c:v>0.12888888888888889</c:v>
                </c:pt>
                <c:pt idx="24">
                  <c:v>0.15111111111111111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9.2682926829268292E-2</c:v>
                </c:pt>
                <c:pt idx="14">
                  <c:v>7.8048780487804878E-2</c:v>
                </c:pt>
                <c:pt idx="15">
                  <c:v>6.8292682926829273E-2</c:v>
                </c:pt>
                <c:pt idx="16">
                  <c:v>8.2926829268292687E-2</c:v>
                </c:pt>
                <c:pt idx="17">
                  <c:v>7.8048780487804878E-2</c:v>
                </c:pt>
                <c:pt idx="18">
                  <c:v>9.7560975609756101E-2</c:v>
                </c:pt>
                <c:pt idx="19">
                  <c:v>5.8536585365853662E-2</c:v>
                </c:pt>
                <c:pt idx="20">
                  <c:v>5.8536585365853662E-2</c:v>
                </c:pt>
                <c:pt idx="21">
                  <c:v>5.8536585365853662E-2</c:v>
                </c:pt>
                <c:pt idx="22">
                  <c:v>8.2926829268292687E-2</c:v>
                </c:pt>
                <c:pt idx="23">
                  <c:v>5.8536585365853662E-2</c:v>
                </c:pt>
                <c:pt idx="24">
                  <c:v>0.10731707317073171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22</c:v>
                      </c:pt>
                      <c:pt idx="14">
                        <c:v>25</c:v>
                      </c:pt>
                      <c:pt idx="15">
                        <c:v>28</c:v>
                      </c:pt>
                      <c:pt idx="16">
                        <c:v>27</c:v>
                      </c:pt>
                      <c:pt idx="17">
                        <c:v>31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24</c:v>
                      </c:pt>
                      <c:pt idx="21">
                        <c:v>26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34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19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20</c:v>
                      </c:pt>
                      <c:pt idx="19">
                        <c:v>12</c:v>
                      </c:pt>
                      <c:pt idx="20">
                        <c:v>12</c:v>
                      </c:pt>
                      <c:pt idx="21">
                        <c:v>12</c:v>
                      </c:pt>
                      <c:pt idx="22">
                        <c:v>17</c:v>
                      </c:pt>
                      <c:pt idx="23">
                        <c:v>12</c:v>
                      </c:pt>
                      <c:pt idx="24">
                        <c:v>22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I198" activePane="bottomRight" state="frozen"/>
      <selection pane="topRight" activeCell="M1" sqref="M1"/>
      <selection pane="bottomLeft" activeCell="A5" sqref="A5"/>
      <selection pane="bottomRight" activeCell="K345" sqref="K345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9.5348837209302331E-2</v>
      </c>
      <c r="Y1" s="4">
        <f t="shared" si="0"/>
        <v>9.5348837209302331E-2</v>
      </c>
      <c r="Z1" s="4">
        <f t="shared" si="0"/>
        <v>0.10232558139534884</v>
      </c>
      <c r="AA1" s="4">
        <f t="shared" si="0"/>
        <v>0.10465116279069768</v>
      </c>
      <c r="AB1" s="4">
        <f t="shared" si="0"/>
        <v>0.10930232558139535</v>
      </c>
      <c r="AC1" s="4">
        <f t="shared" si="0"/>
        <v>0.10465116279069768</v>
      </c>
      <c r="AD1" s="4">
        <f t="shared" si="0"/>
        <v>8.6046511627906982E-2</v>
      </c>
      <c r="AE1" s="4">
        <f t="shared" si="0"/>
        <v>8.3720930232558138E-2</v>
      </c>
      <c r="AF1" s="4">
        <f t="shared" si="0"/>
        <v>8.8372093023255813E-2</v>
      </c>
      <c r="AG1" s="4">
        <f t="shared" si="0"/>
        <v>0.12325581395348838</v>
      </c>
      <c r="AH1" s="4">
        <f t="shared" si="0"/>
        <v>9.5348837209302331E-2</v>
      </c>
      <c r="AI1" s="4">
        <f t="shared" si="0"/>
        <v>0.13023255813953488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389</v>
      </c>
      <c r="Y2" s="127">
        <f t="shared" si="1"/>
        <v>389</v>
      </c>
      <c r="Z2" s="127">
        <f t="shared" si="1"/>
        <v>386</v>
      </c>
      <c r="AA2" s="127">
        <f t="shared" si="1"/>
        <v>385</v>
      </c>
      <c r="AB2" s="127">
        <f t="shared" si="1"/>
        <v>383</v>
      </c>
      <c r="AC2" s="127">
        <f t="shared" si="1"/>
        <v>385</v>
      </c>
      <c r="AD2" s="127">
        <f t="shared" si="1"/>
        <v>393</v>
      </c>
      <c r="AE2" s="127">
        <f t="shared" si="1"/>
        <v>394</v>
      </c>
      <c r="AF2" s="127">
        <f t="shared" si="1"/>
        <v>392</v>
      </c>
      <c r="AG2" s="127">
        <f t="shared" si="1"/>
        <v>377</v>
      </c>
      <c r="AH2" s="127">
        <f t="shared" si="1"/>
        <v>389</v>
      </c>
      <c r="AI2" s="127">
        <f t="shared" si="1"/>
        <v>374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41</v>
      </c>
      <c r="Y3" s="12">
        <f t="shared" si="2"/>
        <v>41</v>
      </c>
      <c r="Z3" s="12">
        <f t="shared" si="2"/>
        <v>44</v>
      </c>
      <c r="AA3" s="12">
        <f t="shared" si="2"/>
        <v>45</v>
      </c>
      <c r="AB3" s="12">
        <f t="shared" si="2"/>
        <v>47</v>
      </c>
      <c r="AC3" s="12">
        <f t="shared" si="2"/>
        <v>45</v>
      </c>
      <c r="AD3" s="12">
        <f t="shared" si="2"/>
        <v>37</v>
      </c>
      <c r="AE3" s="12">
        <f t="shared" si="2"/>
        <v>36</v>
      </c>
      <c r="AF3" s="12">
        <f t="shared" si="2"/>
        <v>38</v>
      </c>
      <c r="AG3" s="12">
        <f t="shared" si="2"/>
        <v>53</v>
      </c>
      <c r="AH3" s="12">
        <f t="shared" si="2"/>
        <v>41</v>
      </c>
      <c r="AI3" s="12">
        <f t="shared" si="2"/>
        <v>56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7</v>
      </c>
      <c r="I16" s="42">
        <f t="shared" si="3"/>
        <v>23</v>
      </c>
      <c r="J16" s="43">
        <f t="shared" si="4"/>
        <v>0.23333333333333334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 t="s">
        <v>1274</v>
      </c>
      <c r="Y16" s="20" t="s">
        <v>1274</v>
      </c>
      <c r="Z16" s="20"/>
      <c r="AA16" s="20" t="s">
        <v>1274</v>
      </c>
      <c r="AB16" s="20" t="s">
        <v>1274</v>
      </c>
      <c r="AC16" s="20" t="s">
        <v>1274</v>
      </c>
      <c r="AD16" s="20" t="s">
        <v>1274</v>
      </c>
      <c r="AE16" s="20" t="s">
        <v>1274</v>
      </c>
      <c r="AF16" s="20" t="s">
        <v>1274</v>
      </c>
      <c r="AG16" s="20" t="s">
        <v>1274</v>
      </c>
      <c r="AH16" s="20" t="s">
        <v>1274</v>
      </c>
      <c r="AI16" s="20" t="s">
        <v>1274</v>
      </c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26</v>
      </c>
      <c r="I17" s="42">
        <f>COUNTIF(K17:AL17,"APAGADO")</f>
        <v>4</v>
      </c>
      <c r="J17" s="43">
        <f>(H17)/(I17+H17)</f>
        <v>0.8666666666666667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 t="s">
        <v>1274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26</v>
      </c>
      <c r="I18" s="42">
        <f>COUNTIF(K18:AL18,"APAGADO")</f>
        <v>4</v>
      </c>
      <c r="J18" s="43">
        <f>(H18)/(I18+H18)</f>
        <v>0.8666666666666667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 t="s">
        <v>1274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26</v>
      </c>
      <c r="I19" s="42">
        <f t="shared" ref="I19:I22" si="7">COUNTIF(K19:AL19,"APAGADO")</f>
        <v>4</v>
      </c>
      <c r="J19" s="43">
        <f t="shared" ref="J19:J22" si="8">(H19)/(I19+H19)</f>
        <v>0.8666666666666667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 t="s">
        <v>1274</v>
      </c>
      <c r="AB19" s="20"/>
      <c r="AC19" s="20" t="s">
        <v>1274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28</v>
      </c>
      <c r="I20" s="42">
        <f t="shared" si="7"/>
        <v>2</v>
      </c>
      <c r="J20" s="43">
        <f t="shared" si="8"/>
        <v>0.93333333333333335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1274</v>
      </c>
      <c r="AB20" s="20"/>
      <c r="AC20" s="20" t="s">
        <v>1274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29</v>
      </c>
      <c r="I21" s="42">
        <f t="shared" si="7"/>
        <v>1</v>
      </c>
      <c r="J21" s="43">
        <f t="shared" si="8"/>
        <v>0.96666666666666667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 t="s">
        <v>1274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29</v>
      </c>
      <c r="I22" s="42">
        <f t="shared" si="7"/>
        <v>1</v>
      </c>
      <c r="J22" s="43">
        <f t="shared" si="8"/>
        <v>0.96666666666666667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 t="s">
        <v>1274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27</v>
      </c>
      <c r="I27" s="42">
        <f>COUNTIF(K27:AL27,"APAGADO")</f>
        <v>3</v>
      </c>
      <c r="J27" s="43">
        <f>(H27)/(I27+H27)</f>
        <v>0.9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 t="s">
        <v>1274</v>
      </c>
      <c r="AH27" s="20" t="s">
        <v>1274</v>
      </c>
      <c r="AI27" s="20" t="s">
        <v>1274</v>
      </c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6</v>
      </c>
      <c r="I34" s="42">
        <f>COUNTIF(K34:AL34,"APAGADO")</f>
        <v>24</v>
      </c>
      <c r="J34" s="43">
        <f>(H34)/(I34+H34)</f>
        <v>0.2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 t="s">
        <v>1274</v>
      </c>
      <c r="Y34" s="20" t="s">
        <v>1274</v>
      </c>
      <c r="Z34" s="20" t="s">
        <v>1274</v>
      </c>
      <c r="AA34" s="20" t="s">
        <v>1274</v>
      </c>
      <c r="AB34" s="20" t="s">
        <v>1274</v>
      </c>
      <c r="AC34" s="20"/>
      <c r="AD34" s="20" t="s">
        <v>1274</v>
      </c>
      <c r="AE34" s="20" t="s">
        <v>1274</v>
      </c>
      <c r="AF34" s="20" t="s">
        <v>1274</v>
      </c>
      <c r="AG34" s="20" t="s">
        <v>1274</v>
      </c>
      <c r="AH34" s="20" t="s">
        <v>1274</v>
      </c>
      <c r="AI34" s="20" t="s">
        <v>1274</v>
      </c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29</v>
      </c>
      <c r="I35" s="42">
        <f>COUNTIF(K35:AL35,"APAGADO")</f>
        <v>1</v>
      </c>
      <c r="J35" s="43">
        <f>(H35)/(I35+H35)</f>
        <v>0.96666666666666667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 t="s">
        <v>1274</v>
      </c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25</v>
      </c>
      <c r="I37" s="42">
        <f t="shared" si="3"/>
        <v>5</v>
      </c>
      <c r="J37" s="43">
        <f t="shared" si="4"/>
        <v>0.83333333333333337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1274</v>
      </c>
      <c r="AA37" s="20"/>
      <c r="AB37" s="20"/>
      <c r="AC37" s="20"/>
      <c r="AD37" s="20" t="s">
        <v>1274</v>
      </c>
      <c r="AE37" s="20"/>
      <c r="AF37" s="20" t="s">
        <v>1274</v>
      </c>
      <c r="AG37" s="20" t="s">
        <v>1274</v>
      </c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21</v>
      </c>
      <c r="I38" s="42">
        <f t="shared" si="3"/>
        <v>9</v>
      </c>
      <c r="J38" s="43">
        <f t="shared" si="4"/>
        <v>0.7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 t="s">
        <v>1274</v>
      </c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5</v>
      </c>
      <c r="I40" s="42">
        <f t="shared" si="3"/>
        <v>25</v>
      </c>
      <c r="J40" s="43">
        <f t="shared" si="4"/>
        <v>0.16666666666666666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 t="s">
        <v>1274</v>
      </c>
      <c r="Y40" s="20" t="s">
        <v>1274</v>
      </c>
      <c r="Z40" s="20" t="s">
        <v>1274</v>
      </c>
      <c r="AA40" s="20" t="s">
        <v>1274</v>
      </c>
      <c r="AB40" s="20" t="s">
        <v>1274</v>
      </c>
      <c r="AC40" s="20" t="s">
        <v>1274</v>
      </c>
      <c r="AD40" s="20" t="s">
        <v>1274</v>
      </c>
      <c r="AE40" s="20" t="s">
        <v>1274</v>
      </c>
      <c r="AF40" s="20" t="s">
        <v>1274</v>
      </c>
      <c r="AG40" s="20" t="s">
        <v>1274</v>
      </c>
      <c r="AH40" s="20" t="s">
        <v>1274</v>
      </c>
      <c r="AI40" s="20" t="s">
        <v>1274</v>
      </c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5</v>
      </c>
      <c r="I48" s="42">
        <f t="shared" si="3"/>
        <v>25</v>
      </c>
      <c r="J48" s="43">
        <f t="shared" si="4"/>
        <v>0.16666666666666666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 t="s">
        <v>1274</v>
      </c>
      <c r="Y48" s="20" t="s">
        <v>1274</v>
      </c>
      <c r="Z48" s="20" t="s">
        <v>1274</v>
      </c>
      <c r="AA48" s="20" t="s">
        <v>1274</v>
      </c>
      <c r="AB48" s="20" t="s">
        <v>1274</v>
      </c>
      <c r="AC48" s="20" t="s">
        <v>1274</v>
      </c>
      <c r="AD48" s="20" t="s">
        <v>1274</v>
      </c>
      <c r="AE48" s="20" t="s">
        <v>1274</v>
      </c>
      <c r="AF48" s="20" t="s">
        <v>1274</v>
      </c>
      <c r="AG48" s="20" t="s">
        <v>1274</v>
      </c>
      <c r="AH48" s="20" t="s">
        <v>1274</v>
      </c>
      <c r="AI48" s="20" t="s">
        <v>1274</v>
      </c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6</v>
      </c>
      <c r="I49" s="42">
        <f t="shared" si="3"/>
        <v>24</v>
      </c>
      <c r="J49" s="43">
        <f t="shared" si="4"/>
        <v>0.2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 t="s">
        <v>1274</v>
      </c>
      <c r="Y49" s="20" t="s">
        <v>1274</v>
      </c>
      <c r="Z49" s="20" t="s">
        <v>1274</v>
      </c>
      <c r="AA49" s="20" t="s">
        <v>1274</v>
      </c>
      <c r="AB49" s="20" t="s">
        <v>1274</v>
      </c>
      <c r="AC49" s="20" t="s">
        <v>1274</v>
      </c>
      <c r="AD49" s="20"/>
      <c r="AE49" s="20" t="s">
        <v>1274</v>
      </c>
      <c r="AF49" s="20" t="s">
        <v>1274</v>
      </c>
      <c r="AG49" s="20" t="s">
        <v>1274</v>
      </c>
      <c r="AH49" s="20" t="s">
        <v>1274</v>
      </c>
      <c r="AI49" s="20" t="s">
        <v>1274</v>
      </c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5</v>
      </c>
      <c r="I51" s="42">
        <f t="shared" si="3"/>
        <v>25</v>
      </c>
      <c r="J51" s="43">
        <f t="shared" si="4"/>
        <v>0.16666666666666666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 t="s">
        <v>1274</v>
      </c>
      <c r="Y51" s="20" t="s">
        <v>1274</v>
      </c>
      <c r="Z51" s="20" t="s">
        <v>1274</v>
      </c>
      <c r="AA51" s="20" t="s">
        <v>1274</v>
      </c>
      <c r="AB51" s="20" t="s">
        <v>1274</v>
      </c>
      <c r="AC51" s="20" t="s">
        <v>1274</v>
      </c>
      <c r="AD51" s="20" t="s">
        <v>1274</v>
      </c>
      <c r="AE51" s="20" t="s">
        <v>1274</v>
      </c>
      <c r="AF51" s="20" t="s">
        <v>1274</v>
      </c>
      <c r="AG51" s="20" t="s">
        <v>1274</v>
      </c>
      <c r="AH51" s="20" t="s">
        <v>1274</v>
      </c>
      <c r="AI51" s="20" t="s">
        <v>1274</v>
      </c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27</v>
      </c>
      <c r="I52" s="42">
        <f t="shared" si="3"/>
        <v>3</v>
      </c>
      <c r="J52" s="43">
        <f t="shared" si="4"/>
        <v>0.9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5</v>
      </c>
      <c r="I54" s="42">
        <f t="shared" si="3"/>
        <v>25</v>
      </c>
      <c r="J54" s="43">
        <f t="shared" si="4"/>
        <v>0.16666666666666666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 t="s">
        <v>1274</v>
      </c>
      <c r="Y54" s="20" t="s">
        <v>1274</v>
      </c>
      <c r="Z54" s="20" t="s">
        <v>1274</v>
      </c>
      <c r="AA54" s="20" t="s">
        <v>1274</v>
      </c>
      <c r="AB54" s="20" t="s">
        <v>1274</v>
      </c>
      <c r="AC54" s="20" t="s">
        <v>1274</v>
      </c>
      <c r="AD54" s="20" t="s">
        <v>1274</v>
      </c>
      <c r="AE54" s="20" t="s">
        <v>1274</v>
      </c>
      <c r="AF54" s="20" t="s">
        <v>1274</v>
      </c>
      <c r="AG54" s="20" t="s">
        <v>1274</v>
      </c>
      <c r="AH54" s="20" t="s">
        <v>1274</v>
      </c>
      <c r="AI54" s="20" t="s">
        <v>1274</v>
      </c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5</v>
      </c>
      <c r="I56" s="42">
        <f t="shared" si="3"/>
        <v>25</v>
      </c>
      <c r="J56" s="43">
        <f t="shared" si="4"/>
        <v>0.16666666666666666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 t="s">
        <v>1274</v>
      </c>
      <c r="Y56" s="20" t="s">
        <v>1274</v>
      </c>
      <c r="Z56" s="20" t="s">
        <v>1274</v>
      </c>
      <c r="AA56" s="20" t="s">
        <v>1274</v>
      </c>
      <c r="AB56" s="20" t="s">
        <v>1274</v>
      </c>
      <c r="AC56" s="20" t="s">
        <v>1274</v>
      </c>
      <c r="AD56" s="20" t="s">
        <v>1274</v>
      </c>
      <c r="AE56" s="20" t="s">
        <v>1274</v>
      </c>
      <c r="AF56" s="20" t="s">
        <v>1274</v>
      </c>
      <c r="AG56" s="20" t="s">
        <v>1274</v>
      </c>
      <c r="AH56" s="20" t="s">
        <v>1274</v>
      </c>
      <c r="AI56" s="20" t="s">
        <v>1274</v>
      </c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29</v>
      </c>
      <c r="I60" s="42">
        <f t="shared" si="3"/>
        <v>1</v>
      </c>
      <c r="J60" s="43">
        <f t="shared" si="4"/>
        <v>0.96666666666666667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1274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15</v>
      </c>
      <c r="I69" s="42">
        <f t="shared" si="3"/>
        <v>15</v>
      </c>
      <c r="J69" s="43">
        <f t="shared" si="4"/>
        <v>0.5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 t="s">
        <v>1274</v>
      </c>
      <c r="Y69" s="20" t="s">
        <v>1274</v>
      </c>
      <c r="Z69" s="20" t="s">
        <v>1274</v>
      </c>
      <c r="AA69" s="20" t="s">
        <v>1274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26</v>
      </c>
      <c r="I72" s="42">
        <f>COUNTIF(K72:AL72,"APAGADO")</f>
        <v>4</v>
      </c>
      <c r="J72" s="43">
        <f>(H72)/(I72+H72)</f>
        <v>0.8666666666666667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7</v>
      </c>
      <c r="I75" s="42">
        <f t="shared" si="3"/>
        <v>23</v>
      </c>
      <c r="J75" s="43">
        <f t="shared" si="4"/>
        <v>0.23333333333333334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 t="s">
        <v>1274</v>
      </c>
      <c r="Y75" s="20" t="s">
        <v>1274</v>
      </c>
      <c r="Z75" s="20" t="s">
        <v>1274</v>
      </c>
      <c r="AA75" s="20" t="s">
        <v>1274</v>
      </c>
      <c r="AB75" s="20" t="s">
        <v>1274</v>
      </c>
      <c r="AC75" s="20"/>
      <c r="AD75" s="20" t="s">
        <v>1274</v>
      </c>
      <c r="AE75" s="20" t="s">
        <v>1274</v>
      </c>
      <c r="AF75" s="20" t="s">
        <v>1274</v>
      </c>
      <c r="AG75" s="20" t="s">
        <v>1274</v>
      </c>
      <c r="AH75" s="20" t="s">
        <v>1274</v>
      </c>
      <c r="AI75" s="20" t="s">
        <v>1274</v>
      </c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25</v>
      </c>
      <c r="I77" s="42">
        <f t="shared" ref="I77:I140" si="10">COUNTIF(K77:AL77,"APAGADO")</f>
        <v>5</v>
      </c>
      <c r="J77" s="43">
        <f t="shared" ref="J77:J140" si="11">(H77)/(I77+H77)</f>
        <v>0.83333333333333337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 t="s">
        <v>1274</v>
      </c>
      <c r="AA77" s="20"/>
      <c r="AB77" s="20"/>
      <c r="AC77" s="20"/>
      <c r="AD77" s="20"/>
      <c r="AE77" s="20" t="s">
        <v>1274</v>
      </c>
      <c r="AF77" s="20"/>
      <c r="AG77" s="20" t="s">
        <v>1274</v>
      </c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28</v>
      </c>
      <c r="I85" s="42">
        <f t="shared" si="10"/>
        <v>2</v>
      </c>
      <c r="J85" s="43">
        <f t="shared" si="11"/>
        <v>0.93333333333333335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 t="s">
        <v>1274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16</v>
      </c>
      <c r="I87" s="42">
        <f>COUNTIF(K87:AL87,"APAGADO")</f>
        <v>14</v>
      </c>
      <c r="J87" s="43">
        <f>(H87)/(I87+H87)</f>
        <v>0.53333333333333333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 t="s">
        <v>1274</v>
      </c>
      <c r="AA87" s="20" t="s">
        <v>1274</v>
      </c>
      <c r="AB87" s="20" t="s">
        <v>1274</v>
      </c>
      <c r="AC87" s="20" t="s">
        <v>1274</v>
      </c>
      <c r="AD87" s="20" t="s">
        <v>1274</v>
      </c>
      <c r="AE87" s="20"/>
      <c r="AF87" s="20" t="s">
        <v>1274</v>
      </c>
      <c r="AG87" s="20" t="s">
        <v>1274</v>
      </c>
      <c r="AH87" s="20" t="s">
        <v>1274</v>
      </c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16</v>
      </c>
      <c r="I88" s="42">
        <f t="shared" si="10"/>
        <v>14</v>
      </c>
      <c r="J88" s="43">
        <f t="shared" si="11"/>
        <v>0.53333333333333333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 t="s">
        <v>1274</v>
      </c>
      <c r="AA88" s="20" t="s">
        <v>1274</v>
      </c>
      <c r="AB88" s="20" t="s">
        <v>1274</v>
      </c>
      <c r="AC88" s="20" t="s">
        <v>1274</v>
      </c>
      <c r="AD88" s="20" t="s">
        <v>1274</v>
      </c>
      <c r="AE88" s="20"/>
      <c r="AF88" s="20" t="s">
        <v>1274</v>
      </c>
      <c r="AG88" s="20" t="s">
        <v>1274</v>
      </c>
      <c r="AH88" s="20" t="s">
        <v>1274</v>
      </c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6</v>
      </c>
      <c r="I94" s="42">
        <f>COUNTIF(K94:AL94,"APAGADO")</f>
        <v>24</v>
      </c>
      <c r="J94" s="43">
        <f>(H94)/(I94+H94)</f>
        <v>0.2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 t="s">
        <v>1274</v>
      </c>
      <c r="Y94" s="20" t="s">
        <v>1274</v>
      </c>
      <c r="Z94" s="20" t="s">
        <v>1274</v>
      </c>
      <c r="AA94" s="20" t="s">
        <v>1274</v>
      </c>
      <c r="AB94" s="20" t="s">
        <v>1274</v>
      </c>
      <c r="AC94" s="20" t="s">
        <v>1274</v>
      </c>
      <c r="AD94" s="20" t="s">
        <v>1274</v>
      </c>
      <c r="AE94" s="20" t="s">
        <v>1274</v>
      </c>
      <c r="AF94" s="20" t="s">
        <v>1274</v>
      </c>
      <c r="AG94" s="20" t="s">
        <v>1274</v>
      </c>
      <c r="AH94" s="20" t="s">
        <v>1274</v>
      </c>
      <c r="AI94" s="20" t="s">
        <v>1274</v>
      </c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5</v>
      </c>
      <c r="I98" s="42">
        <f>COUNTIF(K98:AL98,"APAGADO")</f>
        <v>25</v>
      </c>
      <c r="J98" s="43">
        <f>(H98)/(I98+H98)</f>
        <v>0.16666666666666666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 t="s">
        <v>1274</v>
      </c>
      <c r="Y98" s="20" t="s">
        <v>1274</v>
      </c>
      <c r="Z98" s="20" t="s">
        <v>1274</v>
      </c>
      <c r="AA98" s="20" t="s">
        <v>1274</v>
      </c>
      <c r="AB98" s="20" t="s">
        <v>1274</v>
      </c>
      <c r="AC98" s="20" t="s">
        <v>1274</v>
      </c>
      <c r="AD98" s="20" t="s">
        <v>1274</v>
      </c>
      <c r="AE98" s="20" t="s">
        <v>1274</v>
      </c>
      <c r="AF98" s="20" t="s">
        <v>1274</v>
      </c>
      <c r="AG98" s="20" t="s">
        <v>1274</v>
      </c>
      <c r="AH98" s="20" t="s">
        <v>1274</v>
      </c>
      <c r="AI98" s="20" t="s">
        <v>1274</v>
      </c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6</v>
      </c>
      <c r="I101" s="42">
        <f t="shared" si="10"/>
        <v>24</v>
      </c>
      <c r="J101" s="43">
        <f t="shared" si="11"/>
        <v>0.2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 t="s">
        <v>1274</v>
      </c>
      <c r="Y101" s="20" t="s">
        <v>1274</v>
      </c>
      <c r="Z101" s="20" t="s">
        <v>1274</v>
      </c>
      <c r="AA101" s="20" t="s">
        <v>1274</v>
      </c>
      <c r="AB101" s="20" t="s">
        <v>1274</v>
      </c>
      <c r="AC101" s="20" t="s">
        <v>1274</v>
      </c>
      <c r="AD101" s="20" t="s">
        <v>1274</v>
      </c>
      <c r="AE101" s="20" t="s">
        <v>1274</v>
      </c>
      <c r="AF101" s="20" t="s">
        <v>1274</v>
      </c>
      <c r="AG101" s="20" t="s">
        <v>1274</v>
      </c>
      <c r="AH101" s="20" t="s">
        <v>1274</v>
      </c>
      <c r="AI101" s="20" t="s">
        <v>1274</v>
      </c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6</v>
      </c>
      <c r="I102" s="42">
        <f t="shared" si="10"/>
        <v>24</v>
      </c>
      <c r="J102" s="43">
        <f t="shared" si="11"/>
        <v>0.2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 t="s">
        <v>1274</v>
      </c>
      <c r="Z102" s="20" t="s">
        <v>1274</v>
      </c>
      <c r="AA102" s="20" t="s">
        <v>1274</v>
      </c>
      <c r="AB102" s="20" t="s">
        <v>1274</v>
      </c>
      <c r="AC102" s="20" t="s">
        <v>1274</v>
      </c>
      <c r="AD102" s="20" t="s">
        <v>1274</v>
      </c>
      <c r="AE102" s="20" t="s">
        <v>1274</v>
      </c>
      <c r="AF102" s="20" t="s">
        <v>1274</v>
      </c>
      <c r="AG102" s="20" t="s">
        <v>1274</v>
      </c>
      <c r="AH102" s="20" t="s">
        <v>1274</v>
      </c>
      <c r="AI102" s="20" t="s">
        <v>1274</v>
      </c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29</v>
      </c>
      <c r="I118" s="42">
        <f t="shared" si="10"/>
        <v>1</v>
      </c>
      <c r="J118" s="43">
        <f t="shared" si="11"/>
        <v>0.96666666666666667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 t="s">
        <v>1274</v>
      </c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29</v>
      </c>
      <c r="I119" s="42">
        <f t="shared" si="10"/>
        <v>1</v>
      </c>
      <c r="J119" s="43">
        <f t="shared" si="11"/>
        <v>0.96666666666666667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 t="s">
        <v>1274</v>
      </c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29</v>
      </c>
      <c r="I120" s="42">
        <f t="shared" si="10"/>
        <v>1</v>
      </c>
      <c r="J120" s="43">
        <f t="shared" si="11"/>
        <v>0.96666666666666667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 t="s">
        <v>1274</v>
      </c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29</v>
      </c>
      <c r="I121" s="42">
        <f t="shared" si="10"/>
        <v>1</v>
      </c>
      <c r="J121" s="43">
        <f t="shared" si="11"/>
        <v>0.96666666666666667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 t="s">
        <v>1274</v>
      </c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18</v>
      </c>
      <c r="I122" s="42">
        <f t="shared" si="10"/>
        <v>12</v>
      </c>
      <c r="J122" s="43">
        <f t="shared" si="11"/>
        <v>0.6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 t="s">
        <v>1274</v>
      </c>
      <c r="AB122" s="20" t="s">
        <v>1274</v>
      </c>
      <c r="AC122" s="20"/>
      <c r="AD122" s="20" t="s">
        <v>1274</v>
      </c>
      <c r="AE122" s="20" t="s">
        <v>1274</v>
      </c>
      <c r="AF122" s="20" t="s">
        <v>1274</v>
      </c>
      <c r="AG122" s="20" t="s">
        <v>1274</v>
      </c>
      <c r="AH122" s="20" t="s">
        <v>1274</v>
      </c>
      <c r="AI122" s="20" t="s">
        <v>1274</v>
      </c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26</v>
      </c>
      <c r="I124" s="42">
        <f t="shared" si="10"/>
        <v>4</v>
      </c>
      <c r="J124" s="43">
        <f t="shared" si="11"/>
        <v>0.8666666666666667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 t="s">
        <v>1274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17</v>
      </c>
      <c r="I125" s="42">
        <f t="shared" si="10"/>
        <v>13</v>
      </c>
      <c r="J125" s="43">
        <f t="shared" si="11"/>
        <v>0.56666666666666665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 t="s">
        <v>1274</v>
      </c>
      <c r="Y125" s="20" t="s">
        <v>1274</v>
      </c>
      <c r="Z125" s="20" t="s">
        <v>1274</v>
      </c>
      <c r="AA125" s="20" t="s">
        <v>1274</v>
      </c>
      <c r="AB125" s="20" t="s">
        <v>1274</v>
      </c>
      <c r="AC125" s="20" t="s">
        <v>1274</v>
      </c>
      <c r="AD125" s="20" t="s">
        <v>1274</v>
      </c>
      <c r="AE125" s="20" t="s">
        <v>1274</v>
      </c>
      <c r="AF125" s="20" t="s">
        <v>1274</v>
      </c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29</v>
      </c>
      <c r="I138" s="42">
        <f t="shared" si="10"/>
        <v>1</v>
      </c>
      <c r="J138" s="43">
        <f t="shared" si="11"/>
        <v>0.96666666666666667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 t="s">
        <v>1274</v>
      </c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28</v>
      </c>
      <c r="I139" s="42">
        <f t="shared" si="10"/>
        <v>2</v>
      </c>
      <c r="J139" s="43">
        <f t="shared" si="11"/>
        <v>0.93333333333333335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 t="s">
        <v>1274</v>
      </c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29</v>
      </c>
      <c r="I152" s="42">
        <f t="shared" si="16"/>
        <v>1</v>
      </c>
      <c r="J152" s="43">
        <f t="shared" si="17"/>
        <v>0.96666666666666667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 t="s">
        <v>1274</v>
      </c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26</v>
      </c>
      <c r="I160" s="42">
        <f t="shared" si="12"/>
        <v>4</v>
      </c>
      <c r="J160" s="43">
        <f t="shared" si="13"/>
        <v>0.8666666666666667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 t="s">
        <v>1274</v>
      </c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8</v>
      </c>
      <c r="I165" s="42">
        <f t="shared" si="12"/>
        <v>22</v>
      </c>
      <c r="J165" s="43">
        <f t="shared" si="13"/>
        <v>0.26666666666666666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 t="s">
        <v>1274</v>
      </c>
      <c r="Y165" s="20" t="s">
        <v>1274</v>
      </c>
      <c r="Z165" s="20" t="s">
        <v>1274</v>
      </c>
      <c r="AA165" s="20" t="s">
        <v>1274</v>
      </c>
      <c r="AB165" s="20" t="s">
        <v>1274</v>
      </c>
      <c r="AC165" s="20" t="s">
        <v>1274</v>
      </c>
      <c r="AD165" s="20" t="s">
        <v>1274</v>
      </c>
      <c r="AE165" s="20" t="s">
        <v>1274</v>
      </c>
      <c r="AF165" s="20" t="s">
        <v>1274</v>
      </c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9</v>
      </c>
      <c r="I166" s="42">
        <f t="shared" si="12"/>
        <v>21</v>
      </c>
      <c r="J166" s="43">
        <f t="shared" si="13"/>
        <v>0.3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 t="s">
        <v>1274</v>
      </c>
      <c r="Y166" s="20" t="s">
        <v>1274</v>
      </c>
      <c r="Z166" s="20" t="s">
        <v>1274</v>
      </c>
      <c r="AA166" s="20" t="s">
        <v>1274</v>
      </c>
      <c r="AB166" s="20" t="s">
        <v>1274</v>
      </c>
      <c r="AC166" s="20" t="s">
        <v>1274</v>
      </c>
      <c r="AD166" s="20" t="s">
        <v>1274</v>
      </c>
      <c r="AE166" s="20" t="s">
        <v>1274</v>
      </c>
      <c r="AF166" s="20" t="s">
        <v>1274</v>
      </c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6</v>
      </c>
      <c r="I175" s="42">
        <f t="shared" si="12"/>
        <v>24</v>
      </c>
      <c r="J175" s="43">
        <f t="shared" si="13"/>
        <v>0.2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 t="s">
        <v>1274</v>
      </c>
      <c r="Y175" s="20" t="s">
        <v>1274</v>
      </c>
      <c r="Z175" s="20" t="s">
        <v>1274</v>
      </c>
      <c r="AA175" s="20" t="s">
        <v>1274</v>
      </c>
      <c r="AB175" s="20" t="s">
        <v>1274</v>
      </c>
      <c r="AC175" s="20" t="s">
        <v>1274</v>
      </c>
      <c r="AD175" s="20" t="s">
        <v>1274</v>
      </c>
      <c r="AE175" s="20" t="s">
        <v>1274</v>
      </c>
      <c r="AF175" s="20" t="s">
        <v>1274</v>
      </c>
      <c r="AG175" s="20" t="s">
        <v>1274</v>
      </c>
      <c r="AH175" s="20"/>
      <c r="AI175" s="20" t="s">
        <v>1274</v>
      </c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29</v>
      </c>
      <c r="I176" s="42">
        <f t="shared" si="12"/>
        <v>1</v>
      </c>
      <c r="J176" s="43">
        <f t="shared" si="13"/>
        <v>0.96666666666666667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 t="s">
        <v>1274</v>
      </c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6</v>
      </c>
      <c r="I177" s="42">
        <f t="shared" si="12"/>
        <v>24</v>
      </c>
      <c r="J177" s="43">
        <f t="shared" si="13"/>
        <v>0.2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 t="s">
        <v>1274</v>
      </c>
      <c r="Y177" s="20" t="s">
        <v>1274</v>
      </c>
      <c r="Z177" s="20" t="s">
        <v>1274</v>
      </c>
      <c r="AA177" s="20" t="s">
        <v>1274</v>
      </c>
      <c r="AB177" s="20" t="s">
        <v>1274</v>
      </c>
      <c r="AC177" s="20" t="s">
        <v>1274</v>
      </c>
      <c r="AD177" s="20" t="s">
        <v>1274</v>
      </c>
      <c r="AE177" s="20" t="s">
        <v>1274</v>
      </c>
      <c r="AF177" s="20" t="s">
        <v>1274</v>
      </c>
      <c r="AG177" s="20" t="s">
        <v>1274</v>
      </c>
      <c r="AH177" s="20"/>
      <c r="AI177" s="20" t="s">
        <v>1274</v>
      </c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6</v>
      </c>
      <c r="I182" s="42">
        <f t="shared" si="12"/>
        <v>24</v>
      </c>
      <c r="J182" s="43">
        <f t="shared" si="13"/>
        <v>0.2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 t="s">
        <v>1274</v>
      </c>
      <c r="Y182" s="20" t="s">
        <v>1274</v>
      </c>
      <c r="Z182" s="20" t="s">
        <v>1274</v>
      </c>
      <c r="AA182" s="20" t="s">
        <v>1274</v>
      </c>
      <c r="AB182" s="20" t="s">
        <v>1274</v>
      </c>
      <c r="AC182" s="20" t="s">
        <v>1274</v>
      </c>
      <c r="AD182" s="20" t="s">
        <v>1274</v>
      </c>
      <c r="AE182" s="20" t="s">
        <v>1274</v>
      </c>
      <c r="AF182" s="20" t="s">
        <v>1274</v>
      </c>
      <c r="AG182" s="20" t="s">
        <v>1274</v>
      </c>
      <c r="AH182" s="20"/>
      <c r="AI182" s="20" t="s">
        <v>1274</v>
      </c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24</v>
      </c>
      <c r="I184" s="42">
        <f t="shared" si="12"/>
        <v>6</v>
      </c>
      <c r="J184" s="43">
        <f t="shared" si="13"/>
        <v>0.8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 t="s">
        <v>1274</v>
      </c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5</v>
      </c>
      <c r="I185" s="42">
        <f t="shared" si="12"/>
        <v>25</v>
      </c>
      <c r="J185" s="43">
        <f t="shared" si="13"/>
        <v>0.16666666666666666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 t="s">
        <v>1274</v>
      </c>
      <c r="Y185" s="20" t="s">
        <v>1274</v>
      </c>
      <c r="Z185" s="20" t="s">
        <v>1274</v>
      </c>
      <c r="AA185" s="20" t="s">
        <v>1274</v>
      </c>
      <c r="AB185" s="20" t="s">
        <v>1274</v>
      </c>
      <c r="AC185" s="20" t="s">
        <v>1274</v>
      </c>
      <c r="AD185" s="20" t="s">
        <v>1274</v>
      </c>
      <c r="AE185" s="20" t="s">
        <v>1274</v>
      </c>
      <c r="AF185" s="20" t="s">
        <v>1274</v>
      </c>
      <c r="AG185" s="20" t="s">
        <v>1274</v>
      </c>
      <c r="AH185" s="20" t="s">
        <v>1274</v>
      </c>
      <c r="AI185" s="20" t="s">
        <v>1274</v>
      </c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5</v>
      </c>
      <c r="I187" s="42">
        <f t="shared" si="12"/>
        <v>25</v>
      </c>
      <c r="J187" s="43">
        <f t="shared" si="13"/>
        <v>0.16666666666666666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 t="s">
        <v>1274</v>
      </c>
      <c r="Y187" s="20" t="s">
        <v>1274</v>
      </c>
      <c r="Z187" s="20" t="s">
        <v>1274</v>
      </c>
      <c r="AA187" s="20" t="s">
        <v>1274</v>
      </c>
      <c r="AB187" s="20" t="s">
        <v>1274</v>
      </c>
      <c r="AC187" s="20" t="s">
        <v>1274</v>
      </c>
      <c r="AD187" s="20" t="s">
        <v>1274</v>
      </c>
      <c r="AE187" s="20" t="s">
        <v>1274</v>
      </c>
      <c r="AF187" s="20" t="s">
        <v>1274</v>
      </c>
      <c r="AG187" s="20" t="s">
        <v>1274</v>
      </c>
      <c r="AH187" s="20" t="s">
        <v>1274</v>
      </c>
      <c r="AI187" s="20" t="s">
        <v>1274</v>
      </c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29</v>
      </c>
      <c r="I188" s="42">
        <f t="shared" si="12"/>
        <v>1</v>
      </c>
      <c r="J188" s="43">
        <f t="shared" si="13"/>
        <v>0.96666666666666667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 t="s">
        <v>1274</v>
      </c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29</v>
      </c>
      <c r="I189" s="42">
        <f t="shared" si="12"/>
        <v>1</v>
      </c>
      <c r="J189" s="43">
        <f t="shared" si="13"/>
        <v>0.96666666666666667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 t="s">
        <v>1274</v>
      </c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5</v>
      </c>
      <c r="I198" s="42">
        <f>COUNTIF(K198:AL198,"APAGADO")</f>
        <v>25</v>
      </c>
      <c r="J198" s="43">
        <f>(H198)/(I198+H198)</f>
        <v>0.16666666666666666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 t="s">
        <v>1274</v>
      </c>
      <c r="Y198" s="20" t="s">
        <v>1274</v>
      </c>
      <c r="Z198" s="20" t="s">
        <v>1274</v>
      </c>
      <c r="AA198" s="20" t="s">
        <v>1274</v>
      </c>
      <c r="AB198" s="20" t="s">
        <v>1274</v>
      </c>
      <c r="AC198" s="20" t="s">
        <v>1274</v>
      </c>
      <c r="AD198" s="20" t="s">
        <v>1274</v>
      </c>
      <c r="AE198" s="20" t="s">
        <v>1274</v>
      </c>
      <c r="AF198" s="20" t="s">
        <v>1274</v>
      </c>
      <c r="AG198" s="20" t="s">
        <v>1274</v>
      </c>
      <c r="AH198" s="20" t="s">
        <v>1274</v>
      </c>
      <c r="AI198" s="20" t="s">
        <v>1274</v>
      </c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25</v>
      </c>
      <c r="I204" s="42">
        <f t="shared" si="12"/>
        <v>5</v>
      </c>
      <c r="J204" s="43">
        <f t="shared" si="13"/>
        <v>0.83333333333333337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 t="s">
        <v>1274</v>
      </c>
      <c r="Y204" s="20"/>
      <c r="Z204" s="20"/>
      <c r="AA204" s="20" t="s">
        <v>1274</v>
      </c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25</v>
      </c>
      <c r="I211" s="42">
        <f>COUNTIF(K211:AL211,"APAGADO")</f>
        <v>5</v>
      </c>
      <c r="J211" s="43">
        <f>(H211)/(I211+H211)</f>
        <v>0.83333333333333337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 t="s">
        <v>1274</v>
      </c>
      <c r="AA211" s="20"/>
      <c r="AB211" s="20"/>
      <c r="AC211" s="20"/>
      <c r="AD211" s="20"/>
      <c r="AE211" s="20"/>
      <c r="AF211" s="20"/>
      <c r="AG211" s="20" t="s">
        <v>1274</v>
      </c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28</v>
      </c>
      <c r="I212" s="42">
        <f t="shared" si="12"/>
        <v>2</v>
      </c>
      <c r="J212" s="43">
        <f t="shared" si="13"/>
        <v>0.93333333333333335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 t="s">
        <v>1274</v>
      </c>
      <c r="AI212" s="20" t="s">
        <v>1274</v>
      </c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29</v>
      </c>
      <c r="I216" s="42">
        <f t="shared" si="12"/>
        <v>1</v>
      </c>
      <c r="J216" s="43">
        <f t="shared" si="13"/>
        <v>0.96666666666666667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 t="s">
        <v>1274</v>
      </c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29</v>
      </c>
      <c r="I217" s="42">
        <f t="shared" si="12"/>
        <v>1</v>
      </c>
      <c r="J217" s="43">
        <f t="shared" si="13"/>
        <v>0.96666666666666667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 t="s">
        <v>1274</v>
      </c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28</v>
      </c>
      <c r="I220" s="42">
        <f t="shared" si="12"/>
        <v>2</v>
      </c>
      <c r="J220" s="43">
        <f t="shared" si="13"/>
        <v>0.93333333333333335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 t="s">
        <v>1274</v>
      </c>
      <c r="AD220" s="20"/>
      <c r="AE220" s="20"/>
      <c r="AF220" s="20"/>
      <c r="AG220" s="20"/>
      <c r="AH220" s="20"/>
      <c r="AI220" s="20" t="s">
        <v>1274</v>
      </c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29</v>
      </c>
      <c r="I221" s="42">
        <f t="shared" si="12"/>
        <v>1</v>
      </c>
      <c r="J221" s="43">
        <f t="shared" si="13"/>
        <v>0.96666666666666667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 t="s">
        <v>1274</v>
      </c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29</v>
      </c>
      <c r="I222" s="42">
        <f t="shared" si="12"/>
        <v>1</v>
      </c>
      <c r="J222" s="43">
        <f t="shared" si="13"/>
        <v>0.96666666666666667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 t="s">
        <v>1274</v>
      </c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29</v>
      </c>
      <c r="I223" s="42">
        <f t="shared" si="12"/>
        <v>1</v>
      </c>
      <c r="J223" s="43">
        <f t="shared" si="13"/>
        <v>0.96666666666666667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 t="s">
        <v>1274</v>
      </c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6</v>
      </c>
      <c r="I229" s="42">
        <f t="shared" si="12"/>
        <v>24</v>
      </c>
      <c r="J229" s="43">
        <f t="shared" si="13"/>
        <v>0.2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 t="s">
        <v>1274</v>
      </c>
      <c r="Y229" s="20" t="s">
        <v>1274</v>
      </c>
      <c r="Z229" s="20" t="s">
        <v>1274</v>
      </c>
      <c r="AA229" s="20" t="s">
        <v>1274</v>
      </c>
      <c r="AB229" s="20" t="s">
        <v>1274</v>
      </c>
      <c r="AC229" s="20" t="s">
        <v>1274</v>
      </c>
      <c r="AD229" s="20" t="s">
        <v>1274</v>
      </c>
      <c r="AE229" s="20" t="s">
        <v>1274</v>
      </c>
      <c r="AF229" s="20" t="s">
        <v>1274</v>
      </c>
      <c r="AG229" s="20" t="s">
        <v>1274</v>
      </c>
      <c r="AH229" s="20" t="s">
        <v>1274</v>
      </c>
      <c r="AI229" s="20" t="s">
        <v>1274</v>
      </c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27</v>
      </c>
      <c r="I232" s="42">
        <f t="shared" si="12"/>
        <v>3</v>
      </c>
      <c r="J232" s="43">
        <f t="shared" si="13"/>
        <v>0.9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 t="s">
        <v>1274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29</v>
      </c>
      <c r="I233" s="42">
        <f t="shared" si="12"/>
        <v>1</v>
      </c>
      <c r="J233" s="43">
        <f t="shared" si="13"/>
        <v>0.96666666666666667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1274</v>
      </c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7</v>
      </c>
      <c r="I236" s="42">
        <f t="shared" si="19"/>
        <v>23</v>
      </c>
      <c r="J236" s="43">
        <f t="shared" si="20"/>
        <v>0.23333333333333334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 t="s">
        <v>1274</v>
      </c>
      <c r="Y236" s="20" t="s">
        <v>1274</v>
      </c>
      <c r="Z236" s="20" t="s">
        <v>1274</v>
      </c>
      <c r="AA236" s="20" t="s">
        <v>1274</v>
      </c>
      <c r="AB236" s="20"/>
      <c r="AC236" s="20"/>
      <c r="AD236" s="20" t="s">
        <v>1274</v>
      </c>
      <c r="AE236" s="20" t="s">
        <v>1274</v>
      </c>
      <c r="AF236" s="20" t="s">
        <v>1274</v>
      </c>
      <c r="AG236" s="20" t="s">
        <v>1274</v>
      </c>
      <c r="AH236" s="20" t="s">
        <v>1274</v>
      </c>
      <c r="AI236" s="20" t="s">
        <v>1274</v>
      </c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29</v>
      </c>
      <c r="I237" s="42">
        <f t="shared" si="19"/>
        <v>1</v>
      </c>
      <c r="J237" s="43">
        <f t="shared" si="20"/>
        <v>0.96666666666666667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 t="s">
        <v>1274</v>
      </c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29</v>
      </c>
      <c r="I238" s="42">
        <f t="shared" si="19"/>
        <v>1</v>
      </c>
      <c r="J238" s="43">
        <f t="shared" si="20"/>
        <v>0.96666666666666667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 t="s">
        <v>1274</v>
      </c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27</v>
      </c>
      <c r="I241" s="42">
        <f t="shared" si="19"/>
        <v>3</v>
      </c>
      <c r="J241" s="43">
        <f t="shared" si="20"/>
        <v>0.9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 t="s">
        <v>1274</v>
      </c>
      <c r="AH241" s="20" t="s">
        <v>1274</v>
      </c>
      <c r="AI241" s="20" t="s">
        <v>1274</v>
      </c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28</v>
      </c>
      <c r="I243" s="42">
        <f t="shared" si="19"/>
        <v>2</v>
      </c>
      <c r="J243" s="43">
        <f t="shared" si="20"/>
        <v>0.93333333333333335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 t="s">
        <v>1274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29</v>
      </c>
      <c r="I254" s="42">
        <f>COUNTIF(K254:AL254,"APAGADO")</f>
        <v>1</v>
      </c>
      <c r="J254" s="43">
        <f>(H254)/(I254+H254)</f>
        <v>0.96666666666666667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 t="s">
        <v>1274</v>
      </c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26</v>
      </c>
      <c r="I255" s="42">
        <f>COUNTIF(K255:AL255,"APAGADO")</f>
        <v>4</v>
      </c>
      <c r="J255" s="43">
        <f>(H255)/(I255+H255)</f>
        <v>0.8666666666666667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 t="s">
        <v>1274</v>
      </c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5</v>
      </c>
      <c r="I256" s="42">
        <f t="shared" si="19"/>
        <v>25</v>
      </c>
      <c r="J256" s="43">
        <f t="shared" si="20"/>
        <v>0.16666666666666666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 t="s">
        <v>1274</v>
      </c>
      <c r="Y256" s="20" t="s">
        <v>1274</v>
      </c>
      <c r="Z256" s="20" t="s">
        <v>1274</v>
      </c>
      <c r="AA256" s="20" t="s">
        <v>1274</v>
      </c>
      <c r="AB256" s="20" t="s">
        <v>1274</v>
      </c>
      <c r="AC256" s="20" t="s">
        <v>1274</v>
      </c>
      <c r="AD256" s="20" t="s">
        <v>1274</v>
      </c>
      <c r="AE256" s="20" t="s">
        <v>1274</v>
      </c>
      <c r="AF256" s="20" t="s">
        <v>1274</v>
      </c>
      <c r="AG256" s="20" t="s">
        <v>1274</v>
      </c>
      <c r="AH256" s="20" t="s">
        <v>1274</v>
      </c>
      <c r="AI256" s="20" t="s">
        <v>1274</v>
      </c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29</v>
      </c>
      <c r="I267" s="42">
        <f t="shared" si="19"/>
        <v>1</v>
      </c>
      <c r="J267" s="43">
        <f t="shared" si="20"/>
        <v>0.96666666666666667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 t="s">
        <v>1274</v>
      </c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29</v>
      </c>
      <c r="I268" s="42">
        <f t="shared" si="19"/>
        <v>1</v>
      </c>
      <c r="J268" s="43">
        <f t="shared" si="20"/>
        <v>0.96666666666666667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 t="s">
        <v>1274</v>
      </c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26</v>
      </c>
      <c r="I275" s="42">
        <f t="shared" si="19"/>
        <v>4</v>
      </c>
      <c r="J275" s="43">
        <f t="shared" si="20"/>
        <v>0.8666666666666667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 t="s">
        <v>1274</v>
      </c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28</v>
      </c>
      <c r="I283" s="42">
        <f>COUNTIF(K283:AL283,"APAGADO")</f>
        <v>2</v>
      </c>
      <c r="J283" s="43">
        <f>(H283)/(I283+H283)</f>
        <v>0.93333333333333335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 t="s">
        <v>1274</v>
      </c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29</v>
      </c>
      <c r="I288" s="42">
        <f t="shared" si="19"/>
        <v>1</v>
      </c>
      <c r="J288" s="43">
        <f t="shared" si="20"/>
        <v>0.96666666666666667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 t="s">
        <v>1274</v>
      </c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29</v>
      </c>
      <c r="I289" s="42">
        <f t="shared" si="19"/>
        <v>1</v>
      </c>
      <c r="J289" s="43">
        <f t="shared" si="20"/>
        <v>0.96666666666666667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 t="s">
        <v>1274</v>
      </c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29</v>
      </c>
      <c r="I294" s="42">
        <f>COUNTIF(K294:AL294,"APAGADO")</f>
        <v>1</v>
      </c>
      <c r="J294" s="43">
        <f>(H294)/(I294+H294)</f>
        <v>0.96666666666666667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 t="s">
        <v>1274</v>
      </c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26</v>
      </c>
      <c r="I296" s="42">
        <f>COUNTIF(K296:AL296,"APAGADO")</f>
        <v>4</v>
      </c>
      <c r="J296" s="43">
        <f>(H296)/(I296+H296)</f>
        <v>0.8666666666666667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 t="s">
        <v>1274</v>
      </c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21</v>
      </c>
      <c r="I302" s="42">
        <f t="shared" si="22"/>
        <v>9</v>
      </c>
      <c r="J302" s="43">
        <f t="shared" si="23"/>
        <v>0.7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 t="s">
        <v>1274</v>
      </c>
      <c r="AA302" s="20" t="s">
        <v>1274</v>
      </c>
      <c r="AB302" s="20" t="s">
        <v>1274</v>
      </c>
      <c r="AC302" s="20"/>
      <c r="AD302" s="20"/>
      <c r="AE302" s="20" t="s">
        <v>1274</v>
      </c>
      <c r="AF302" s="20" t="s">
        <v>1274</v>
      </c>
      <c r="AG302" s="20" t="s">
        <v>1274</v>
      </c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29</v>
      </c>
      <c r="I312" s="42">
        <f t="shared" si="22"/>
        <v>1</v>
      </c>
      <c r="J312" s="43">
        <f t="shared" si="23"/>
        <v>0.96666666666666667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 t="s">
        <v>1274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20</v>
      </c>
      <c r="I315" s="42">
        <f t="shared" si="22"/>
        <v>10</v>
      </c>
      <c r="J315" s="43">
        <f t="shared" si="23"/>
        <v>0.66666666666666663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 t="s">
        <v>1274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 t="s">
        <v>1274</v>
      </c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23</v>
      </c>
      <c r="I316" s="42">
        <f t="shared" si="22"/>
        <v>7</v>
      </c>
      <c r="J316" s="43">
        <f t="shared" si="23"/>
        <v>0.76666666666666672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 t="s">
        <v>1274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 t="s">
        <v>1274</v>
      </c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29</v>
      </c>
      <c r="I321" s="42">
        <f t="shared" si="22"/>
        <v>1</v>
      </c>
      <c r="J321" s="43">
        <f t="shared" si="23"/>
        <v>0.96666666666666667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 t="s">
        <v>1274</v>
      </c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28</v>
      </c>
      <c r="I323" s="42">
        <f t="shared" si="22"/>
        <v>2</v>
      </c>
      <c r="J323" s="43">
        <f t="shared" si="23"/>
        <v>0.93333333333333335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 t="s">
        <v>1274</v>
      </c>
      <c r="AH323" s="20" t="s">
        <v>1274</v>
      </c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23</v>
      </c>
      <c r="I325" s="42">
        <f t="shared" si="22"/>
        <v>7</v>
      </c>
      <c r="J325" s="43">
        <f t="shared" si="23"/>
        <v>0.76666666666666672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 t="s">
        <v>1274</v>
      </c>
      <c r="AA325" s="20" t="s">
        <v>1274</v>
      </c>
      <c r="AB325" s="20" t="s">
        <v>1274</v>
      </c>
      <c r="AC325" s="20"/>
      <c r="AD325" s="20"/>
      <c r="AE325" s="20" t="s">
        <v>1274</v>
      </c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29</v>
      </c>
      <c r="I335" s="42">
        <f t="shared" si="22"/>
        <v>1</v>
      </c>
      <c r="J335" s="43">
        <f t="shared" si="23"/>
        <v>0.96666666666666667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 t="s">
        <v>1274</v>
      </c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29</v>
      </c>
      <c r="I336" s="42">
        <f t="shared" si="22"/>
        <v>1</v>
      </c>
      <c r="J336" s="43">
        <f t="shared" si="23"/>
        <v>0.96666666666666667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 t="s">
        <v>1274</v>
      </c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29</v>
      </c>
      <c r="I337" s="42">
        <f t="shared" si="22"/>
        <v>1</v>
      </c>
      <c r="J337" s="43">
        <f t="shared" si="23"/>
        <v>0.96666666666666667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 t="s">
        <v>1274</v>
      </c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24</v>
      </c>
      <c r="I345" s="42">
        <f t="shared" si="22"/>
        <v>6</v>
      </c>
      <c r="J345" s="43">
        <f t="shared" si="23"/>
        <v>0.8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 t="s">
        <v>1274</v>
      </c>
      <c r="AH345" s="20" t="s">
        <v>1274</v>
      </c>
      <c r="AI345" s="20" t="s">
        <v>1274</v>
      </c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25</v>
      </c>
      <c r="I347" s="42">
        <f t="shared" si="22"/>
        <v>5</v>
      </c>
      <c r="J347" s="43">
        <f t="shared" si="23"/>
        <v>0.83333333333333337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 t="s">
        <v>1274</v>
      </c>
      <c r="AH347" s="20" t="s">
        <v>1274</v>
      </c>
      <c r="AI347" s="20" t="s">
        <v>1274</v>
      </c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27</v>
      </c>
      <c r="I348" s="42">
        <f t="shared" si="22"/>
        <v>3</v>
      </c>
      <c r="J348" s="43">
        <f t="shared" si="23"/>
        <v>0.9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 t="s">
        <v>1274</v>
      </c>
      <c r="AH348" s="20" t="s">
        <v>1274</v>
      </c>
      <c r="AI348" s="20" t="s">
        <v>1274</v>
      </c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27</v>
      </c>
      <c r="I349" s="42">
        <f t="shared" si="22"/>
        <v>3</v>
      </c>
      <c r="J349" s="43">
        <f t="shared" si="23"/>
        <v>0.9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 t="s">
        <v>1274</v>
      </c>
      <c r="AH349" s="20" t="s">
        <v>1274</v>
      </c>
      <c r="AI349" s="20" t="s">
        <v>1274</v>
      </c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27</v>
      </c>
      <c r="I350" s="42">
        <f t="shared" si="22"/>
        <v>3</v>
      </c>
      <c r="J350" s="43">
        <f t="shared" si="23"/>
        <v>0.9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 t="s">
        <v>1274</v>
      </c>
      <c r="AH350" s="20" t="s">
        <v>1274</v>
      </c>
      <c r="AI350" s="20" t="s">
        <v>1274</v>
      </c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27</v>
      </c>
      <c r="I351" s="42">
        <f t="shared" si="22"/>
        <v>3</v>
      </c>
      <c r="J351" s="43">
        <f t="shared" si="23"/>
        <v>0.9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 t="s">
        <v>1274</v>
      </c>
      <c r="AH351" s="20" t="s">
        <v>1274</v>
      </c>
      <c r="AI351" s="20" t="s">
        <v>1274</v>
      </c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29</v>
      </c>
      <c r="I352" s="42">
        <f t="shared" si="22"/>
        <v>1</v>
      </c>
      <c r="J352" s="43">
        <f t="shared" si="23"/>
        <v>0.96666666666666667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 t="s">
        <v>1274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29</v>
      </c>
      <c r="I353" s="42">
        <f t="shared" si="22"/>
        <v>1</v>
      </c>
      <c r="J353" s="43">
        <f t="shared" si="23"/>
        <v>0.96666666666666667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 t="s">
        <v>1274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29</v>
      </c>
      <c r="I358" s="42">
        <f t="shared" si="22"/>
        <v>1</v>
      </c>
      <c r="J358" s="43">
        <f t="shared" si="23"/>
        <v>0.96666666666666667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 t="s">
        <v>1274</v>
      </c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7</v>
      </c>
      <c r="I360" s="42">
        <f t="shared" si="22"/>
        <v>23</v>
      </c>
      <c r="J360" s="43">
        <f t="shared" si="23"/>
        <v>0.23333333333333334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 t="s">
        <v>1274</v>
      </c>
      <c r="Y360" s="20" t="s">
        <v>1274</v>
      </c>
      <c r="Z360" s="20" t="s">
        <v>1274</v>
      </c>
      <c r="AA360" s="20" t="s">
        <v>1274</v>
      </c>
      <c r="AB360" s="20" t="s">
        <v>1274</v>
      </c>
      <c r="AC360" s="20" t="s">
        <v>1274</v>
      </c>
      <c r="AD360" s="20" t="s">
        <v>1274</v>
      </c>
      <c r="AE360" s="20" t="s">
        <v>1274</v>
      </c>
      <c r="AF360" s="20" t="s">
        <v>1274</v>
      </c>
      <c r="AG360" s="20" t="s">
        <v>1274</v>
      </c>
      <c r="AH360" s="20" t="s">
        <v>1274</v>
      </c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16</v>
      </c>
      <c r="I371" s="42">
        <f t="shared" si="22"/>
        <v>14</v>
      </c>
      <c r="J371" s="43">
        <f t="shared" si="23"/>
        <v>0.53333333333333333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 t="s">
        <v>1274</v>
      </c>
      <c r="Y371" s="20" t="s">
        <v>1274</v>
      </c>
      <c r="Z371" s="20" t="s">
        <v>1274</v>
      </c>
      <c r="AA371" s="20" t="s">
        <v>1274</v>
      </c>
      <c r="AB371" s="20" t="s">
        <v>1274</v>
      </c>
      <c r="AC371" s="20" t="s">
        <v>1274</v>
      </c>
      <c r="AD371" s="20" t="s">
        <v>1274</v>
      </c>
      <c r="AE371" s="20" t="s">
        <v>1274</v>
      </c>
      <c r="AF371" s="20" t="s">
        <v>1274</v>
      </c>
      <c r="AG371" s="20" t="s">
        <v>1274</v>
      </c>
      <c r="AH371" s="20" t="s">
        <v>1274</v>
      </c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11</v>
      </c>
      <c r="I374" s="42">
        <f t="shared" si="22"/>
        <v>19</v>
      </c>
      <c r="J374" s="43">
        <f t="shared" si="23"/>
        <v>0.36666666666666664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 t="s">
        <v>1274</v>
      </c>
      <c r="Y374" s="20" t="s">
        <v>1274</v>
      </c>
      <c r="Z374" s="20" t="s">
        <v>1274</v>
      </c>
      <c r="AA374" s="20" t="s">
        <v>1274</v>
      </c>
      <c r="AB374" s="20" t="s">
        <v>1274</v>
      </c>
      <c r="AC374" s="20" t="s">
        <v>1274</v>
      </c>
      <c r="AD374" s="20" t="s">
        <v>1274</v>
      </c>
      <c r="AE374" s="20" t="s">
        <v>1274</v>
      </c>
      <c r="AF374" s="20" t="s">
        <v>1274</v>
      </c>
      <c r="AG374" s="20" t="s">
        <v>1274</v>
      </c>
      <c r="AH374" s="20" t="s">
        <v>1274</v>
      </c>
      <c r="AI374" s="20" t="s">
        <v>1274</v>
      </c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29</v>
      </c>
      <c r="I376" s="42">
        <f t="shared" si="28"/>
        <v>1</v>
      </c>
      <c r="J376" s="43">
        <f t="shared" si="29"/>
        <v>0.96666666666666667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 t="s">
        <v>1274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5</v>
      </c>
      <c r="I379" s="42">
        <f t="shared" si="28"/>
        <v>25</v>
      </c>
      <c r="J379" s="43">
        <f t="shared" si="29"/>
        <v>0.16666666666666666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 t="s">
        <v>1274</v>
      </c>
      <c r="Y379" s="20" t="s">
        <v>1274</v>
      </c>
      <c r="Z379" s="20" t="s">
        <v>1274</v>
      </c>
      <c r="AA379" s="20" t="s">
        <v>1274</v>
      </c>
      <c r="AB379" s="20" t="s">
        <v>1274</v>
      </c>
      <c r="AC379" s="20" t="s">
        <v>1274</v>
      </c>
      <c r="AD379" s="20" t="s">
        <v>1274</v>
      </c>
      <c r="AE379" s="20" t="s">
        <v>1274</v>
      </c>
      <c r="AF379" s="20" t="s">
        <v>1274</v>
      </c>
      <c r="AG379" s="20" t="s">
        <v>1274</v>
      </c>
      <c r="AH379" s="20" t="s">
        <v>1274</v>
      </c>
      <c r="AI379" s="20" t="s">
        <v>1274</v>
      </c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27</v>
      </c>
      <c r="I380" s="42">
        <f t="shared" si="28"/>
        <v>3</v>
      </c>
      <c r="J380" s="43">
        <f t="shared" si="29"/>
        <v>0.9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 t="s">
        <v>1274</v>
      </c>
      <c r="Y380" s="20" t="s">
        <v>1274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27</v>
      </c>
      <c r="I381" s="42">
        <f>COUNTIF(K381:AL381,"APAGADO")</f>
        <v>3</v>
      </c>
      <c r="J381" s="43">
        <f>(H381)/(I381+H381)</f>
        <v>0.9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1274</v>
      </c>
      <c r="Z381" s="20" t="s">
        <v>1274</v>
      </c>
      <c r="AA381" s="20" t="s">
        <v>1274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27</v>
      </c>
      <c r="I383" s="42">
        <f>COUNTIF(K383:AL383,"APAGADO")</f>
        <v>3</v>
      </c>
      <c r="J383" s="43">
        <f>(H383)/(I383+H383)</f>
        <v>0.9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 t="s">
        <v>1274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si="24"/>
        <v>30</v>
      </c>
      <c r="I386" s="42">
        <f t="shared" si="28"/>
        <v>0</v>
      </c>
      <c r="J386" s="43">
        <f t="shared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17</v>
      </c>
      <c r="I390" s="42">
        <f t="shared" si="28"/>
        <v>13</v>
      </c>
      <c r="J390" s="43">
        <f t="shared" si="29"/>
        <v>0.56666666666666665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 t="s">
        <v>1274</v>
      </c>
      <c r="AA390" s="20" t="s">
        <v>1274</v>
      </c>
      <c r="AB390" s="20" t="s">
        <v>1274</v>
      </c>
      <c r="AC390" s="20" t="s">
        <v>1274</v>
      </c>
      <c r="AD390" s="20" t="s">
        <v>1274</v>
      </c>
      <c r="AE390" s="20"/>
      <c r="AF390" s="20" t="s">
        <v>1274</v>
      </c>
      <c r="AG390" s="20" t="s">
        <v>1274</v>
      </c>
      <c r="AH390" s="20" t="s">
        <v>1274</v>
      </c>
      <c r="AI390" s="20" t="s">
        <v>1274</v>
      </c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17</v>
      </c>
      <c r="I391" s="42">
        <f t="shared" si="28"/>
        <v>13</v>
      </c>
      <c r="J391" s="43">
        <f t="shared" si="29"/>
        <v>0.56666666666666665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 t="s">
        <v>1274</v>
      </c>
      <c r="AA391" s="20" t="s">
        <v>1274</v>
      </c>
      <c r="AB391" s="20" t="s">
        <v>1274</v>
      </c>
      <c r="AC391" s="20" t="s">
        <v>1274</v>
      </c>
      <c r="AD391" s="20" t="s">
        <v>1274</v>
      </c>
      <c r="AE391" s="20"/>
      <c r="AF391" s="20" t="s">
        <v>1274</v>
      </c>
      <c r="AG391" s="20" t="s">
        <v>1274</v>
      </c>
      <c r="AH391" s="20" t="s">
        <v>1274</v>
      </c>
      <c r="AI391" s="20" t="s">
        <v>1274</v>
      </c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26</v>
      </c>
      <c r="I398" s="42">
        <f t="shared" si="28"/>
        <v>4</v>
      </c>
      <c r="J398" s="43">
        <f t="shared" si="29"/>
        <v>0.8666666666666667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 t="s">
        <v>1274</v>
      </c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26</v>
      </c>
      <c r="I399" s="42">
        <f t="shared" si="28"/>
        <v>4</v>
      </c>
      <c r="J399" s="43">
        <f t="shared" si="29"/>
        <v>0.8666666666666667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 t="s">
        <v>1274</v>
      </c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29</v>
      </c>
      <c r="I400" s="42">
        <f>COUNTIF(K400:AL400,"APAGADO")</f>
        <v>1</v>
      </c>
      <c r="J400" s="43">
        <f>(H400)/(I400+H400)</f>
        <v>0.96666666666666667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 t="s">
        <v>1274</v>
      </c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27</v>
      </c>
      <c r="I405" s="42">
        <f t="shared" si="28"/>
        <v>3</v>
      </c>
      <c r="J405" s="43">
        <f t="shared" si="29"/>
        <v>0.9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 t="s">
        <v>1274</v>
      </c>
      <c r="AH405" s="20" t="s">
        <v>1274</v>
      </c>
      <c r="AI405" s="20" t="s">
        <v>1274</v>
      </c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15</v>
      </c>
      <c r="I409" s="42">
        <f t="shared" si="28"/>
        <v>15</v>
      </c>
      <c r="J409" s="43">
        <f t="shared" si="29"/>
        <v>0.5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 t="s">
        <v>1274</v>
      </c>
      <c r="Y409" s="20" t="s">
        <v>1274</v>
      </c>
      <c r="Z409" s="20" t="s">
        <v>1274</v>
      </c>
      <c r="AA409" s="20" t="s">
        <v>1274</v>
      </c>
      <c r="AB409" s="20" t="s">
        <v>1274</v>
      </c>
      <c r="AC409" s="20"/>
      <c r="AD409" s="20" t="s">
        <v>1274</v>
      </c>
      <c r="AE409" s="20"/>
      <c r="AF409" s="20"/>
      <c r="AG409" s="20" t="s">
        <v>1274</v>
      </c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15</v>
      </c>
      <c r="I410" s="42">
        <f t="shared" si="28"/>
        <v>15</v>
      </c>
      <c r="J410" s="43">
        <f t="shared" si="29"/>
        <v>0.5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 t="s">
        <v>1274</v>
      </c>
      <c r="Y410" s="20" t="s">
        <v>1274</v>
      </c>
      <c r="Z410" s="20" t="s">
        <v>1274</v>
      </c>
      <c r="AA410" s="20" t="s">
        <v>1274</v>
      </c>
      <c r="AB410" s="20" t="s">
        <v>1274</v>
      </c>
      <c r="AC410" s="20"/>
      <c r="AD410" s="20" t="s">
        <v>1274</v>
      </c>
      <c r="AE410" s="20"/>
      <c r="AF410" s="20"/>
      <c r="AG410" s="20" t="s">
        <v>1274</v>
      </c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23</v>
      </c>
      <c r="I412" s="42">
        <f t="shared" si="28"/>
        <v>7</v>
      </c>
      <c r="J412" s="43">
        <f t="shared" si="29"/>
        <v>0.76666666666666672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 t="s">
        <v>1274</v>
      </c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5</v>
      </c>
      <c r="I420" s="42">
        <f t="shared" si="28"/>
        <v>25</v>
      </c>
      <c r="J420" s="43">
        <f t="shared" si="29"/>
        <v>0.16666666666666666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 t="s">
        <v>1274</v>
      </c>
      <c r="Y420" s="20" t="s">
        <v>1274</v>
      </c>
      <c r="Z420" s="20" t="s">
        <v>1274</v>
      </c>
      <c r="AA420" s="20" t="s">
        <v>1274</v>
      </c>
      <c r="AB420" s="20" t="s">
        <v>1274</v>
      </c>
      <c r="AC420" s="20" t="s">
        <v>1274</v>
      </c>
      <c r="AD420" s="20" t="s">
        <v>1274</v>
      </c>
      <c r="AE420" s="20" t="s">
        <v>1274</v>
      </c>
      <c r="AF420" s="20" t="s">
        <v>1274</v>
      </c>
      <c r="AG420" s="20" t="s">
        <v>1274</v>
      </c>
      <c r="AH420" s="20" t="s">
        <v>1274</v>
      </c>
      <c r="AI420" s="20" t="s">
        <v>1274</v>
      </c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28</v>
      </c>
      <c r="I428" s="42">
        <f t="shared" si="28"/>
        <v>2</v>
      </c>
      <c r="J428" s="43">
        <f t="shared" si="29"/>
        <v>0.93333333333333335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 t="s">
        <v>1274</v>
      </c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26</v>
      </c>
      <c r="I429" s="42">
        <f t="shared" si="28"/>
        <v>4</v>
      </c>
      <c r="J429" s="43">
        <f t="shared" si="29"/>
        <v>0.8666666666666667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 t="s">
        <v>1274</v>
      </c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27</v>
      </c>
      <c r="I432" s="42">
        <f t="shared" si="28"/>
        <v>3</v>
      </c>
      <c r="J432" s="43">
        <f t="shared" si="29"/>
        <v>0.9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 t="s">
        <v>1274</v>
      </c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 t="str">
        <f>'RESUMEN TOTAL'!X16</f>
        <v>APAGADO</v>
      </c>
      <c r="T13" s="23" t="str">
        <f>'RESUMEN TOTAL'!Y16</f>
        <v>APAGADO</v>
      </c>
      <c r="U13" s="23">
        <f>'RESUMEN TOTAL'!Z16</f>
        <v>0</v>
      </c>
      <c r="V13" s="23" t="str">
        <f>'RESUMEN TOTAL'!AA16</f>
        <v>APAGADO</v>
      </c>
      <c r="W13" s="23" t="str">
        <f>'RESUMEN TOTAL'!AB16</f>
        <v>APAGADO</v>
      </c>
      <c r="X13" s="23" t="str">
        <f>'RESUMEN TOTAL'!AC16</f>
        <v>APAGADO</v>
      </c>
      <c r="Y13" s="23" t="str">
        <f>'RESUMEN TOTAL'!AD16</f>
        <v>APAGADO</v>
      </c>
      <c r="Z13" s="23" t="str">
        <f>'RESUMEN TOTAL'!AE16</f>
        <v>APAGADO</v>
      </c>
      <c r="AA13" s="23" t="str">
        <f>'RESUMEN TOTAL'!AF16</f>
        <v>APAGADO</v>
      </c>
      <c r="AB13" s="23" t="str">
        <f>'RESUMEN TOTAL'!AG16</f>
        <v>APAGADO</v>
      </c>
      <c r="AC13" s="23" t="str">
        <f>'RESUMEN TOTAL'!AH16</f>
        <v>APAGADO</v>
      </c>
      <c r="AD13" s="23" t="str">
        <f>'RESUMEN TOTAL'!AI16</f>
        <v>APAGADO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 t="str">
        <f>'RESUMEN TOTAL'!AC17</f>
        <v>APAGADO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 t="str">
        <f>'RESUMEN TOTAL'!AC18</f>
        <v>APAGADO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 t="str">
        <f>'RESUMEN TOTAL'!AA19</f>
        <v>APAGADO</v>
      </c>
      <c r="W16" s="23">
        <f>'RESUMEN TOTAL'!AB19</f>
        <v>0</v>
      </c>
      <c r="X16" s="23" t="str">
        <f>'RESUMEN TOTAL'!AC19</f>
        <v>APAGADO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 t="str">
        <f>'RESUMEN TOTAL'!AA20</f>
        <v>APAGADO</v>
      </c>
      <c r="W17" s="23">
        <f>'RESUMEN TOTAL'!AB20</f>
        <v>0</v>
      </c>
      <c r="X17" s="23" t="str">
        <f>'RESUMEN TOTAL'!AC20</f>
        <v>APAGADO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 t="str">
        <f>'RESUMEN TOTAL'!AC21</f>
        <v>APAGADO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 t="str">
        <f>'RESUMEN TOTAL'!AC22</f>
        <v>APAGADO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 t="str">
        <f>'RESUMEN TOTAL'!AG27</f>
        <v>APAGADO</v>
      </c>
      <c r="AC25" s="23" t="str">
        <f>'RESUMEN TOTAL'!AH27</f>
        <v>APAGADO</v>
      </c>
      <c r="AD25" s="23" t="str">
        <f>'RESUMEN TOTAL'!AI27</f>
        <v>APAGADO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 t="str">
        <f>'RESUMEN TOTAL'!X34</f>
        <v>APAGADO</v>
      </c>
      <c r="T32" s="23" t="str">
        <f>'RESUMEN TOTAL'!Y34</f>
        <v>APAGADO</v>
      </c>
      <c r="U32" s="23" t="str">
        <f>'RESUMEN TOTAL'!Z34</f>
        <v>APAGADO</v>
      </c>
      <c r="V32" s="23" t="str">
        <f>'RESUMEN TOTAL'!AA34</f>
        <v>APAGADO</v>
      </c>
      <c r="W32" s="23" t="str">
        <f>'RESUMEN TOTAL'!AB34</f>
        <v>APAGADO</v>
      </c>
      <c r="X32" s="23">
        <f>'RESUMEN TOTAL'!AC34</f>
        <v>0</v>
      </c>
      <c r="Y32" s="23" t="str">
        <f>'RESUMEN TOTAL'!AD34</f>
        <v>APAGADO</v>
      </c>
      <c r="Z32" s="23" t="str">
        <f>'RESUMEN TOTAL'!AE34</f>
        <v>APAGADO</v>
      </c>
      <c r="AA32" s="23" t="str">
        <f>'RESUMEN TOTAL'!AF34</f>
        <v>APAGADO</v>
      </c>
      <c r="AB32" s="23" t="str">
        <f>'RESUMEN TOTAL'!AG34</f>
        <v>APAGADO</v>
      </c>
      <c r="AC32" s="23" t="str">
        <f>'RESUMEN TOTAL'!AH34</f>
        <v>APAGADO</v>
      </c>
      <c r="AD32" s="23" t="str">
        <f>'RESUMEN TOTAL'!AI34</f>
        <v>APAGADO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 t="str">
        <f>'RESUMEN TOTAL'!AG35</f>
        <v>APAGADO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 t="str">
        <f>'RESUMEN TOTAL'!Z37</f>
        <v>APAGADO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 t="str">
        <f>'RESUMEN TOTAL'!AD37</f>
        <v>APAGADO</v>
      </c>
      <c r="Z35" s="23">
        <f>'RESUMEN TOTAL'!AE37</f>
        <v>0</v>
      </c>
      <c r="AA35" s="23" t="str">
        <f>'RESUMEN TOTAL'!AF37</f>
        <v>APAGADO</v>
      </c>
      <c r="AB35" s="23" t="str">
        <f>'RESUMEN TOTAL'!AG37</f>
        <v>APAGADO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 t="str">
        <f>'RESUMEN TOTAL'!AE38</f>
        <v>APAGADO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 t="str">
        <f>'RESUMEN TOTAL'!X40</f>
        <v>APAGADO</v>
      </c>
      <c r="T38" s="23" t="str">
        <f>'RESUMEN TOTAL'!Y40</f>
        <v>APAGADO</v>
      </c>
      <c r="U38" s="23" t="str">
        <f>'RESUMEN TOTAL'!Z40</f>
        <v>APAGADO</v>
      </c>
      <c r="V38" s="23" t="str">
        <f>'RESUMEN TOTAL'!AA40</f>
        <v>APAGADO</v>
      </c>
      <c r="W38" s="23" t="str">
        <f>'RESUMEN TOTAL'!AB40</f>
        <v>APAGADO</v>
      </c>
      <c r="X38" s="23" t="str">
        <f>'RESUMEN TOTAL'!AC40</f>
        <v>APAGADO</v>
      </c>
      <c r="Y38" s="23" t="str">
        <f>'RESUMEN TOTAL'!AD40</f>
        <v>APAGADO</v>
      </c>
      <c r="Z38" s="23" t="str">
        <f>'RESUMEN TOTAL'!AE40</f>
        <v>APAGADO</v>
      </c>
      <c r="AA38" s="23" t="str">
        <f>'RESUMEN TOTAL'!AF40</f>
        <v>APAGADO</v>
      </c>
      <c r="AB38" s="23" t="str">
        <f>'RESUMEN TOTAL'!AG40</f>
        <v>APAGADO</v>
      </c>
      <c r="AC38" s="23" t="str">
        <f>'RESUMEN TOTAL'!AH40</f>
        <v>APAGADO</v>
      </c>
      <c r="AD38" s="23" t="str">
        <f>'RESUMEN TOTAL'!AI40</f>
        <v>APAGADO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 t="str">
        <f>'RESUMEN TOTAL'!X48</f>
        <v>APAGADO</v>
      </c>
      <c r="T46" s="23" t="str">
        <f>'RESUMEN TOTAL'!Y48</f>
        <v>APAGADO</v>
      </c>
      <c r="U46" s="23" t="str">
        <f>'RESUMEN TOTAL'!Z48</f>
        <v>APAGADO</v>
      </c>
      <c r="V46" s="23" t="str">
        <f>'RESUMEN TOTAL'!AA48</f>
        <v>APAGADO</v>
      </c>
      <c r="W46" s="23" t="str">
        <f>'RESUMEN TOTAL'!AB48</f>
        <v>APAGADO</v>
      </c>
      <c r="X46" s="23" t="str">
        <f>'RESUMEN TOTAL'!AC48</f>
        <v>APAGADO</v>
      </c>
      <c r="Y46" s="23" t="str">
        <f>'RESUMEN TOTAL'!AD48</f>
        <v>APAGADO</v>
      </c>
      <c r="Z46" s="23" t="str">
        <f>'RESUMEN TOTAL'!AE48</f>
        <v>APAGADO</v>
      </c>
      <c r="AA46" s="23" t="str">
        <f>'RESUMEN TOTAL'!AF48</f>
        <v>APAGADO</v>
      </c>
      <c r="AB46" s="23" t="str">
        <f>'RESUMEN TOTAL'!AG48</f>
        <v>APAGADO</v>
      </c>
      <c r="AC46" s="23" t="str">
        <f>'RESUMEN TOTAL'!AH48</f>
        <v>APAGADO</v>
      </c>
      <c r="AD46" s="23" t="str">
        <f>'RESUMEN TOTAL'!AI48</f>
        <v>APAGADO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 t="str">
        <f>'RESUMEN TOTAL'!X49</f>
        <v>APAGADO</v>
      </c>
      <c r="T47" s="23" t="str">
        <f>'RESUMEN TOTAL'!Y49</f>
        <v>APAGADO</v>
      </c>
      <c r="U47" s="23" t="str">
        <f>'RESUMEN TOTAL'!Z49</f>
        <v>APAGADO</v>
      </c>
      <c r="V47" s="23" t="str">
        <f>'RESUMEN TOTAL'!AA49</f>
        <v>APAGADO</v>
      </c>
      <c r="W47" s="23" t="str">
        <f>'RESUMEN TOTAL'!AB49</f>
        <v>APAGADO</v>
      </c>
      <c r="X47" s="23" t="str">
        <f>'RESUMEN TOTAL'!AC49</f>
        <v>APAGADO</v>
      </c>
      <c r="Y47" s="23">
        <f>'RESUMEN TOTAL'!AD49</f>
        <v>0</v>
      </c>
      <c r="Z47" s="23" t="str">
        <f>'RESUMEN TOTAL'!AE49</f>
        <v>APAGADO</v>
      </c>
      <c r="AA47" s="23" t="str">
        <f>'RESUMEN TOTAL'!AF49</f>
        <v>APAGADO</v>
      </c>
      <c r="AB47" s="23" t="str">
        <f>'RESUMEN TOTAL'!AG49</f>
        <v>APAGADO</v>
      </c>
      <c r="AC47" s="23" t="str">
        <f>'RESUMEN TOTAL'!AH49</f>
        <v>APAGADO</v>
      </c>
      <c r="AD47" s="23" t="str">
        <f>'RESUMEN TOTAL'!AI49</f>
        <v>APAGADO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 t="str">
        <f>'RESUMEN TOTAL'!X51</f>
        <v>APAGADO</v>
      </c>
      <c r="T49" s="23" t="str">
        <f>'RESUMEN TOTAL'!Y51</f>
        <v>APAGADO</v>
      </c>
      <c r="U49" s="23" t="str">
        <f>'RESUMEN TOTAL'!Z51</f>
        <v>APAGADO</v>
      </c>
      <c r="V49" s="23" t="str">
        <f>'RESUMEN TOTAL'!AA51</f>
        <v>APAGADO</v>
      </c>
      <c r="W49" s="23" t="str">
        <f>'RESUMEN TOTAL'!AB51</f>
        <v>APAGADO</v>
      </c>
      <c r="X49" s="23" t="str">
        <f>'RESUMEN TOTAL'!AC51</f>
        <v>APAGADO</v>
      </c>
      <c r="Y49" s="23" t="str">
        <f>'RESUMEN TOTAL'!AD51</f>
        <v>APAGADO</v>
      </c>
      <c r="Z49" s="23" t="str">
        <f>'RESUMEN TOTAL'!AE51</f>
        <v>APAGADO</v>
      </c>
      <c r="AA49" s="23" t="str">
        <f>'RESUMEN TOTAL'!AF51</f>
        <v>APAGADO</v>
      </c>
      <c r="AB49" s="23" t="str">
        <f>'RESUMEN TOTAL'!AG51</f>
        <v>APAGADO</v>
      </c>
      <c r="AC49" s="23" t="str">
        <f>'RESUMEN TOTAL'!AH51</f>
        <v>APAGADO</v>
      </c>
      <c r="AD49" s="23" t="str">
        <f>'RESUMEN TOTAL'!AI51</f>
        <v>APAGADO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 t="str">
        <f>'RESUMEN TOTAL'!X54</f>
        <v>APAGADO</v>
      </c>
      <c r="T52" s="23" t="str">
        <f>'RESUMEN TOTAL'!Y54</f>
        <v>APAGADO</v>
      </c>
      <c r="U52" s="23" t="str">
        <f>'RESUMEN TOTAL'!Z54</f>
        <v>APAGADO</v>
      </c>
      <c r="V52" s="23" t="str">
        <f>'RESUMEN TOTAL'!AA54</f>
        <v>APAGADO</v>
      </c>
      <c r="W52" s="23" t="str">
        <f>'RESUMEN TOTAL'!AB54</f>
        <v>APAGADO</v>
      </c>
      <c r="X52" s="23" t="str">
        <f>'RESUMEN TOTAL'!AC54</f>
        <v>APAGADO</v>
      </c>
      <c r="Y52" s="23" t="str">
        <f>'RESUMEN TOTAL'!AD54</f>
        <v>APAGADO</v>
      </c>
      <c r="Z52" s="23" t="str">
        <f>'RESUMEN TOTAL'!AE54</f>
        <v>APAGADO</v>
      </c>
      <c r="AA52" s="23" t="str">
        <f>'RESUMEN TOTAL'!AF54</f>
        <v>APAGADO</v>
      </c>
      <c r="AB52" s="23" t="str">
        <f>'RESUMEN TOTAL'!AG54</f>
        <v>APAGADO</v>
      </c>
      <c r="AC52" s="23" t="str">
        <f>'RESUMEN TOTAL'!AH54</f>
        <v>APAGADO</v>
      </c>
      <c r="AD52" s="23" t="str">
        <f>'RESUMEN TOTAL'!AI54</f>
        <v>APAGADO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 t="str">
        <f>'RESUMEN TOTAL'!X56</f>
        <v>APAGADO</v>
      </c>
      <c r="T54" s="23" t="str">
        <f>'RESUMEN TOTAL'!Y56</f>
        <v>APAGADO</v>
      </c>
      <c r="U54" s="23" t="str">
        <f>'RESUMEN TOTAL'!Z56</f>
        <v>APAGADO</v>
      </c>
      <c r="V54" s="23" t="str">
        <f>'RESUMEN TOTAL'!AA56</f>
        <v>APAGADO</v>
      </c>
      <c r="W54" s="23" t="str">
        <f>'RESUMEN TOTAL'!AB56</f>
        <v>APAGADO</v>
      </c>
      <c r="X54" s="23" t="str">
        <f>'RESUMEN TOTAL'!AC56</f>
        <v>APAGADO</v>
      </c>
      <c r="Y54" s="23" t="str">
        <f>'RESUMEN TOTAL'!AD56</f>
        <v>APAGADO</v>
      </c>
      <c r="Z54" s="23" t="str">
        <f>'RESUMEN TOTAL'!AE56</f>
        <v>APAGADO</v>
      </c>
      <c r="AA54" s="23" t="str">
        <f>'RESUMEN TOTAL'!AF56</f>
        <v>APAGADO</v>
      </c>
      <c r="AB54" s="23" t="str">
        <f>'RESUMEN TOTAL'!AG56</f>
        <v>APAGADO</v>
      </c>
      <c r="AC54" s="23" t="str">
        <f>'RESUMEN TOTAL'!AH56</f>
        <v>APAGADO</v>
      </c>
      <c r="AD54" s="23" t="str">
        <f>'RESUMEN TOTAL'!AI56</f>
        <v>APAGADO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 t="str">
        <f>'RESUMEN TOTAL'!Y60</f>
        <v>APAGADO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 t="str">
        <f>'RESUMEN TOTAL'!X69</f>
        <v>APAGADO</v>
      </c>
      <c r="T67" s="23" t="str">
        <f>'RESUMEN TOTAL'!Y69</f>
        <v>APAGADO</v>
      </c>
      <c r="U67" s="23" t="str">
        <f>'RESUMEN TOTAL'!Z69</f>
        <v>APAGADO</v>
      </c>
      <c r="V67" s="23" t="str">
        <f>'RESUMEN TOTAL'!AA69</f>
        <v>APAGADO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 t="str">
        <f>'RESUMEN TOTAL'!X75</f>
        <v>APAGADO</v>
      </c>
      <c r="T73" s="23" t="str">
        <f>'RESUMEN TOTAL'!Y75</f>
        <v>APAGADO</v>
      </c>
      <c r="U73" s="23" t="str">
        <f>'RESUMEN TOTAL'!Z75</f>
        <v>APAGADO</v>
      </c>
      <c r="V73" s="23" t="str">
        <f>'RESUMEN TOTAL'!AA75</f>
        <v>APAGADO</v>
      </c>
      <c r="W73" s="23" t="str">
        <f>'RESUMEN TOTAL'!AB75</f>
        <v>APAGADO</v>
      </c>
      <c r="X73" s="23">
        <f>'RESUMEN TOTAL'!AC75</f>
        <v>0</v>
      </c>
      <c r="Y73" s="23" t="str">
        <f>'RESUMEN TOTAL'!AD75</f>
        <v>APAGADO</v>
      </c>
      <c r="Z73" s="23" t="str">
        <f>'RESUMEN TOTAL'!AE75</f>
        <v>APAGADO</v>
      </c>
      <c r="AA73" s="23" t="str">
        <f>'RESUMEN TOTAL'!AF75</f>
        <v>APAGADO</v>
      </c>
      <c r="AB73" s="23" t="str">
        <f>'RESUMEN TOTAL'!AG75</f>
        <v>APAGADO</v>
      </c>
      <c r="AC73" s="23" t="str">
        <f>'RESUMEN TOTAL'!AH75</f>
        <v>APAGADO</v>
      </c>
      <c r="AD73" s="23" t="str">
        <f>'RESUMEN TOTAL'!AI75</f>
        <v>APAGADO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 t="str">
        <f>'RESUMEN TOTAL'!Z77</f>
        <v>APAGADO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 t="str">
        <f>'RESUMEN TOTAL'!AE77</f>
        <v>APAGADO</v>
      </c>
      <c r="AA75" s="23">
        <f>'RESUMEN TOTAL'!AF77</f>
        <v>0</v>
      </c>
      <c r="AB75" s="23" t="str">
        <f>'RESUMEN TOTAL'!AG77</f>
        <v>APAGADO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 t="str">
        <f>'RESUMEN TOTAL'!AC85</f>
        <v>APAGADO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 t="str">
        <f>'RESUMEN TOTAL'!Z87</f>
        <v>APAGADO</v>
      </c>
      <c r="V85" s="23" t="str">
        <f>'RESUMEN TOTAL'!AA87</f>
        <v>APAGADO</v>
      </c>
      <c r="W85" s="23" t="str">
        <f>'RESUMEN TOTAL'!AB87</f>
        <v>APAGADO</v>
      </c>
      <c r="X85" s="23" t="str">
        <f>'RESUMEN TOTAL'!AC87</f>
        <v>APAGADO</v>
      </c>
      <c r="Y85" s="23" t="str">
        <f>'RESUMEN TOTAL'!AD87</f>
        <v>APAGADO</v>
      </c>
      <c r="Z85" s="23">
        <f>'RESUMEN TOTAL'!AE87</f>
        <v>0</v>
      </c>
      <c r="AA85" s="23" t="str">
        <f>'RESUMEN TOTAL'!AF87</f>
        <v>APAGADO</v>
      </c>
      <c r="AB85" s="23" t="str">
        <f>'RESUMEN TOTAL'!AG87</f>
        <v>APAGADO</v>
      </c>
      <c r="AC85" s="23" t="str">
        <f>'RESUMEN TOTAL'!AH87</f>
        <v>APAGADO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 t="str">
        <f>'RESUMEN TOTAL'!Z88</f>
        <v>APAGADO</v>
      </c>
      <c r="V86" s="23" t="str">
        <f>'RESUMEN TOTAL'!AA88</f>
        <v>APAGADO</v>
      </c>
      <c r="W86" s="23" t="str">
        <f>'RESUMEN TOTAL'!AB88</f>
        <v>APAGADO</v>
      </c>
      <c r="X86" s="23" t="str">
        <f>'RESUMEN TOTAL'!AC88</f>
        <v>APAGADO</v>
      </c>
      <c r="Y86" s="23" t="str">
        <f>'RESUMEN TOTAL'!AD88</f>
        <v>APAGADO</v>
      </c>
      <c r="Z86" s="23">
        <f>'RESUMEN TOTAL'!AE88</f>
        <v>0</v>
      </c>
      <c r="AA86" s="23" t="str">
        <f>'RESUMEN TOTAL'!AF88</f>
        <v>APAGADO</v>
      </c>
      <c r="AB86" s="23" t="str">
        <f>'RESUMEN TOTAL'!AG88</f>
        <v>APAGADO</v>
      </c>
      <c r="AC86" s="23" t="str">
        <f>'RESUMEN TOTAL'!AH88</f>
        <v>APAGADO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 t="str">
        <f>'RESUMEN TOTAL'!X94</f>
        <v>APAGADO</v>
      </c>
      <c r="T92" s="23" t="str">
        <f>'RESUMEN TOTAL'!Y94</f>
        <v>APAGADO</v>
      </c>
      <c r="U92" s="23" t="str">
        <f>'RESUMEN TOTAL'!Z94</f>
        <v>APAGADO</v>
      </c>
      <c r="V92" s="23" t="str">
        <f>'RESUMEN TOTAL'!AA94</f>
        <v>APAGADO</v>
      </c>
      <c r="W92" s="23" t="str">
        <f>'RESUMEN TOTAL'!AB94</f>
        <v>APAGADO</v>
      </c>
      <c r="X92" s="23" t="str">
        <f>'RESUMEN TOTAL'!AC94</f>
        <v>APAGADO</v>
      </c>
      <c r="Y92" s="23" t="str">
        <f>'RESUMEN TOTAL'!AD94</f>
        <v>APAGADO</v>
      </c>
      <c r="Z92" s="23" t="str">
        <f>'RESUMEN TOTAL'!AE94</f>
        <v>APAGADO</v>
      </c>
      <c r="AA92" s="23" t="str">
        <f>'RESUMEN TOTAL'!AF94</f>
        <v>APAGADO</v>
      </c>
      <c r="AB92" s="23" t="str">
        <f>'RESUMEN TOTAL'!AG94</f>
        <v>APAGADO</v>
      </c>
      <c r="AC92" s="23" t="str">
        <f>'RESUMEN TOTAL'!AH94</f>
        <v>APAGADO</v>
      </c>
      <c r="AD92" s="23" t="str">
        <f>'RESUMEN TOTAL'!AI94</f>
        <v>APAGADO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 t="str">
        <f>'RESUMEN TOTAL'!X98</f>
        <v>APAGADO</v>
      </c>
      <c r="T96" s="23" t="str">
        <f>'RESUMEN TOTAL'!Y98</f>
        <v>APAGADO</v>
      </c>
      <c r="U96" s="23" t="str">
        <f>'RESUMEN TOTAL'!Z98</f>
        <v>APAGADO</v>
      </c>
      <c r="V96" s="23" t="str">
        <f>'RESUMEN TOTAL'!AA98</f>
        <v>APAGADO</v>
      </c>
      <c r="W96" s="23" t="str">
        <f>'RESUMEN TOTAL'!AB98</f>
        <v>APAGADO</v>
      </c>
      <c r="X96" s="23" t="str">
        <f>'RESUMEN TOTAL'!AC98</f>
        <v>APAGADO</v>
      </c>
      <c r="Y96" s="23" t="str">
        <f>'RESUMEN TOTAL'!AD98</f>
        <v>APAGADO</v>
      </c>
      <c r="Z96" s="23" t="str">
        <f>'RESUMEN TOTAL'!AE98</f>
        <v>APAGADO</v>
      </c>
      <c r="AA96" s="23" t="str">
        <f>'RESUMEN TOTAL'!AF98</f>
        <v>APAGADO</v>
      </c>
      <c r="AB96" s="23" t="str">
        <f>'RESUMEN TOTAL'!AG98</f>
        <v>APAGADO</v>
      </c>
      <c r="AC96" s="23" t="str">
        <f>'RESUMEN TOTAL'!AH98</f>
        <v>APAGADO</v>
      </c>
      <c r="AD96" s="23" t="str">
        <f>'RESUMEN TOTAL'!AI98</f>
        <v>APAGADO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 t="str">
        <f>'RESUMEN TOTAL'!X101</f>
        <v>APAGADO</v>
      </c>
      <c r="T99" s="23" t="str">
        <f>'RESUMEN TOTAL'!Y101</f>
        <v>APAGADO</v>
      </c>
      <c r="U99" s="23" t="str">
        <f>'RESUMEN TOTAL'!Z101</f>
        <v>APAGADO</v>
      </c>
      <c r="V99" s="23" t="str">
        <f>'RESUMEN TOTAL'!AA101</f>
        <v>APAGADO</v>
      </c>
      <c r="W99" s="23" t="str">
        <f>'RESUMEN TOTAL'!AB101</f>
        <v>APAGADO</v>
      </c>
      <c r="X99" s="23" t="str">
        <f>'RESUMEN TOTAL'!AC101</f>
        <v>APAGADO</v>
      </c>
      <c r="Y99" s="23" t="str">
        <f>'RESUMEN TOTAL'!AD101</f>
        <v>APAGADO</v>
      </c>
      <c r="Z99" s="23" t="str">
        <f>'RESUMEN TOTAL'!AE101</f>
        <v>APAGADO</v>
      </c>
      <c r="AA99" s="23" t="str">
        <f>'RESUMEN TOTAL'!AF101</f>
        <v>APAGADO</v>
      </c>
      <c r="AB99" s="23" t="str">
        <f>'RESUMEN TOTAL'!AG101</f>
        <v>APAGADO</v>
      </c>
      <c r="AC99" s="23" t="str">
        <f>'RESUMEN TOTAL'!AH101</f>
        <v>APAGADO</v>
      </c>
      <c r="AD99" s="23" t="str">
        <f>'RESUMEN TOTAL'!AI101</f>
        <v>APAGADO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 t="str">
        <f>'RESUMEN TOTAL'!Y102</f>
        <v>APAGADO</v>
      </c>
      <c r="U100" s="23" t="str">
        <f>'RESUMEN TOTAL'!Z102</f>
        <v>APAGADO</v>
      </c>
      <c r="V100" s="23" t="str">
        <f>'RESUMEN TOTAL'!AA102</f>
        <v>APAGADO</v>
      </c>
      <c r="W100" s="23" t="str">
        <f>'RESUMEN TOTAL'!AB102</f>
        <v>APAGADO</v>
      </c>
      <c r="X100" s="23" t="str">
        <f>'RESUMEN TOTAL'!AC102</f>
        <v>APAGADO</v>
      </c>
      <c r="Y100" s="23" t="str">
        <f>'RESUMEN TOTAL'!AD102</f>
        <v>APAGADO</v>
      </c>
      <c r="Z100" s="23" t="str">
        <f>'RESUMEN TOTAL'!AE102</f>
        <v>APAGADO</v>
      </c>
      <c r="AA100" s="23" t="str">
        <f>'RESUMEN TOTAL'!AF102</f>
        <v>APAGADO</v>
      </c>
      <c r="AB100" s="23" t="str">
        <f>'RESUMEN TOTAL'!AG102</f>
        <v>APAGADO</v>
      </c>
      <c r="AC100" s="23" t="str">
        <f>'RESUMEN TOTAL'!AH102</f>
        <v>APAGADO</v>
      </c>
      <c r="AD100" s="23" t="str">
        <f>'RESUMEN TOTAL'!AI102</f>
        <v>APAGADO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 t="str">
        <f>'RESUMEN TOTAL'!AI118</f>
        <v>APAGADO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 t="str">
        <f>'RESUMEN TOTAL'!AI119</f>
        <v>APAGADO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 t="str">
        <f>'RESUMEN TOTAL'!AI120</f>
        <v>APAGADO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 t="str">
        <f>'RESUMEN TOTAL'!AI121</f>
        <v>APAGADO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 t="str">
        <f>'RESUMEN TOTAL'!AA122</f>
        <v>APAGADO</v>
      </c>
      <c r="W121" s="23" t="str">
        <f>'RESUMEN TOTAL'!AB122</f>
        <v>APAGADO</v>
      </c>
      <c r="X121" s="23">
        <f>'RESUMEN TOTAL'!AC122</f>
        <v>0</v>
      </c>
      <c r="Y121" s="23" t="str">
        <f>'RESUMEN TOTAL'!AD122</f>
        <v>APAGADO</v>
      </c>
      <c r="Z121" s="23" t="str">
        <f>'RESUMEN TOTAL'!AE122</f>
        <v>APAGADO</v>
      </c>
      <c r="AA121" s="23" t="str">
        <f>'RESUMEN TOTAL'!AF122</f>
        <v>APAGADO</v>
      </c>
      <c r="AB121" s="23" t="str">
        <f>'RESUMEN TOTAL'!AG122</f>
        <v>APAGADO</v>
      </c>
      <c r="AC121" s="23" t="str">
        <f>'RESUMEN TOTAL'!AH122</f>
        <v>APAGADO</v>
      </c>
      <c r="AD121" s="23" t="str">
        <f>'RESUMEN TOTAL'!AI122</f>
        <v>APAGADO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 t="str">
        <f>'RESUMEN TOTAL'!X124</f>
        <v>APAGADO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 t="str">
        <f>'RESUMEN TOTAL'!X125</f>
        <v>APAGADO</v>
      </c>
      <c r="T124" s="23" t="str">
        <f>'RESUMEN TOTAL'!Y125</f>
        <v>APAGADO</v>
      </c>
      <c r="U124" s="23" t="str">
        <f>'RESUMEN TOTAL'!Z125</f>
        <v>APAGADO</v>
      </c>
      <c r="V124" s="23" t="str">
        <f>'RESUMEN TOTAL'!AA125</f>
        <v>APAGADO</v>
      </c>
      <c r="W124" s="23" t="str">
        <f>'RESUMEN TOTAL'!AB125</f>
        <v>APAGADO</v>
      </c>
      <c r="X124" s="23" t="str">
        <f>'RESUMEN TOTAL'!AC125</f>
        <v>APAGADO</v>
      </c>
      <c r="Y124" s="23" t="str">
        <f>'RESUMEN TOTAL'!AD125</f>
        <v>APAGADO</v>
      </c>
      <c r="Z124" s="23" t="str">
        <f>'RESUMEN TOTAL'!AE125</f>
        <v>APAGADO</v>
      </c>
      <c r="AA124" s="23" t="str">
        <f>'RESUMEN TOTAL'!AF125</f>
        <v>APAGADO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 t="str">
        <f>'RESUMEN TOTAL'!AI138</f>
        <v>APAGADO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 t="str">
        <f>'RESUMEN TOTAL'!AI139</f>
        <v>APAGADO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 t="str">
        <f>'RESUMEN TOTAL'!AC152</f>
        <v>APAGADO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 t="str">
        <f>'RESUMEN TOTAL'!AC160</f>
        <v>APAGADO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 t="str">
        <f>'RESUMEN TOTAL'!X165</f>
        <v>APAGADO</v>
      </c>
      <c r="T163" s="23" t="str">
        <f>'RESUMEN TOTAL'!Y165</f>
        <v>APAGADO</v>
      </c>
      <c r="U163" s="23" t="str">
        <f>'RESUMEN TOTAL'!Z165</f>
        <v>APAGADO</v>
      </c>
      <c r="V163" s="23" t="str">
        <f>'RESUMEN TOTAL'!AA165</f>
        <v>APAGADO</v>
      </c>
      <c r="W163" s="23" t="str">
        <f>'RESUMEN TOTAL'!AB165</f>
        <v>APAGADO</v>
      </c>
      <c r="X163" s="23" t="str">
        <f>'RESUMEN TOTAL'!AC165</f>
        <v>APAGADO</v>
      </c>
      <c r="Y163" s="23" t="str">
        <f>'RESUMEN TOTAL'!AD165</f>
        <v>APAGADO</v>
      </c>
      <c r="Z163" s="23" t="str">
        <f>'RESUMEN TOTAL'!AE165</f>
        <v>APAGADO</v>
      </c>
      <c r="AA163" s="23" t="str">
        <f>'RESUMEN TOTAL'!AF165</f>
        <v>APAGADO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 t="str">
        <f>'RESUMEN TOTAL'!X166</f>
        <v>APAGADO</v>
      </c>
      <c r="T164" s="23" t="str">
        <f>'RESUMEN TOTAL'!Y166</f>
        <v>APAGADO</v>
      </c>
      <c r="U164" s="23" t="str">
        <f>'RESUMEN TOTAL'!Z166</f>
        <v>APAGADO</v>
      </c>
      <c r="V164" s="23" t="str">
        <f>'RESUMEN TOTAL'!AA166</f>
        <v>APAGADO</v>
      </c>
      <c r="W164" s="23" t="str">
        <f>'RESUMEN TOTAL'!AB166</f>
        <v>APAGADO</v>
      </c>
      <c r="X164" s="23" t="str">
        <f>'RESUMEN TOTAL'!AC166</f>
        <v>APAGADO</v>
      </c>
      <c r="Y164" s="23" t="str">
        <f>'RESUMEN TOTAL'!AD166</f>
        <v>APAGADO</v>
      </c>
      <c r="Z164" s="23" t="str">
        <f>'RESUMEN TOTAL'!AE166</f>
        <v>APAGADO</v>
      </c>
      <c r="AA164" s="23" t="str">
        <f>'RESUMEN TOTAL'!AF166</f>
        <v>APAGADO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 t="str">
        <f>'RESUMEN TOTAL'!X175</f>
        <v>APAGADO</v>
      </c>
      <c r="T173" s="23" t="str">
        <f>'RESUMEN TOTAL'!Y175</f>
        <v>APAGADO</v>
      </c>
      <c r="U173" s="23" t="str">
        <f>'RESUMEN TOTAL'!Z175</f>
        <v>APAGADO</v>
      </c>
      <c r="V173" s="23" t="str">
        <f>'RESUMEN TOTAL'!AA175</f>
        <v>APAGADO</v>
      </c>
      <c r="W173" s="23" t="str">
        <f>'RESUMEN TOTAL'!AB175</f>
        <v>APAGADO</v>
      </c>
      <c r="X173" s="23" t="str">
        <f>'RESUMEN TOTAL'!AC175</f>
        <v>APAGADO</v>
      </c>
      <c r="Y173" s="23" t="str">
        <f>'RESUMEN TOTAL'!AD175</f>
        <v>APAGADO</v>
      </c>
      <c r="Z173" s="23" t="str">
        <f>'RESUMEN TOTAL'!AE175</f>
        <v>APAGADO</v>
      </c>
      <c r="AA173" s="23" t="str">
        <f>'RESUMEN TOTAL'!AF175</f>
        <v>APAGADO</v>
      </c>
      <c r="AB173" s="23" t="str">
        <f>'RESUMEN TOTAL'!AG175</f>
        <v>APAGADO</v>
      </c>
      <c r="AC173" s="23">
        <f>'RESUMEN TOTAL'!AH175</f>
        <v>0</v>
      </c>
      <c r="AD173" s="23" t="str">
        <f>'RESUMEN TOTAL'!AI175</f>
        <v>APAGADO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 t="str">
        <f>'RESUMEN TOTAL'!AI176</f>
        <v>APAGADO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 t="str">
        <f>'RESUMEN TOTAL'!X177</f>
        <v>APAGADO</v>
      </c>
      <c r="T175" s="23" t="str">
        <f>'RESUMEN TOTAL'!Y177</f>
        <v>APAGADO</v>
      </c>
      <c r="U175" s="23" t="str">
        <f>'RESUMEN TOTAL'!Z177</f>
        <v>APAGADO</v>
      </c>
      <c r="V175" s="23" t="str">
        <f>'RESUMEN TOTAL'!AA177</f>
        <v>APAGADO</v>
      </c>
      <c r="W175" s="23" t="str">
        <f>'RESUMEN TOTAL'!AB177</f>
        <v>APAGADO</v>
      </c>
      <c r="X175" s="23" t="str">
        <f>'RESUMEN TOTAL'!AC177</f>
        <v>APAGADO</v>
      </c>
      <c r="Y175" s="23" t="str">
        <f>'RESUMEN TOTAL'!AD177</f>
        <v>APAGADO</v>
      </c>
      <c r="Z175" s="23" t="str">
        <f>'RESUMEN TOTAL'!AE177</f>
        <v>APAGADO</v>
      </c>
      <c r="AA175" s="23" t="str">
        <f>'RESUMEN TOTAL'!AF177</f>
        <v>APAGADO</v>
      </c>
      <c r="AB175" s="23" t="str">
        <f>'RESUMEN TOTAL'!AG177</f>
        <v>APAGADO</v>
      </c>
      <c r="AC175" s="23">
        <f>'RESUMEN TOTAL'!AH177</f>
        <v>0</v>
      </c>
      <c r="AD175" s="23" t="str">
        <f>'RESUMEN TOTAL'!AI177</f>
        <v>APAGADO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 t="str">
        <f>'RESUMEN TOTAL'!X182</f>
        <v>APAGADO</v>
      </c>
      <c r="T180" s="23" t="str">
        <f>'RESUMEN TOTAL'!Y182</f>
        <v>APAGADO</v>
      </c>
      <c r="U180" s="23" t="str">
        <f>'RESUMEN TOTAL'!Z182</f>
        <v>APAGADO</v>
      </c>
      <c r="V180" s="23" t="str">
        <f>'RESUMEN TOTAL'!AA182</f>
        <v>APAGADO</v>
      </c>
      <c r="W180" s="23" t="str">
        <f>'RESUMEN TOTAL'!AB182</f>
        <v>APAGADO</v>
      </c>
      <c r="X180" s="23" t="str">
        <f>'RESUMEN TOTAL'!AC182</f>
        <v>APAGADO</v>
      </c>
      <c r="Y180" s="23" t="str">
        <f>'RESUMEN TOTAL'!AD182</f>
        <v>APAGADO</v>
      </c>
      <c r="Z180" s="23" t="str">
        <f>'RESUMEN TOTAL'!AE182</f>
        <v>APAGADO</v>
      </c>
      <c r="AA180" s="23" t="str">
        <f>'RESUMEN TOTAL'!AF182</f>
        <v>APAGADO</v>
      </c>
      <c r="AB180" s="23" t="str">
        <f>'RESUMEN TOTAL'!AG182</f>
        <v>APAGADO</v>
      </c>
      <c r="AC180" s="23">
        <f>'RESUMEN TOTAL'!AH182</f>
        <v>0</v>
      </c>
      <c r="AD180" s="23" t="str">
        <f>'RESUMEN TOTAL'!AI182</f>
        <v>APAGADO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 t="str">
        <f>'RESUMEN TOTAL'!AE184</f>
        <v>APAGADO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 t="str">
        <f>'RESUMEN TOTAL'!X185</f>
        <v>APAGADO</v>
      </c>
      <c r="T183" s="23" t="str">
        <f>'RESUMEN TOTAL'!Y185</f>
        <v>APAGADO</v>
      </c>
      <c r="U183" s="23" t="str">
        <f>'RESUMEN TOTAL'!Z185</f>
        <v>APAGADO</v>
      </c>
      <c r="V183" s="23" t="str">
        <f>'RESUMEN TOTAL'!AA185</f>
        <v>APAGADO</v>
      </c>
      <c r="W183" s="23" t="str">
        <f>'RESUMEN TOTAL'!AB185</f>
        <v>APAGADO</v>
      </c>
      <c r="X183" s="23" t="str">
        <f>'RESUMEN TOTAL'!AC185</f>
        <v>APAGADO</v>
      </c>
      <c r="Y183" s="23" t="str">
        <f>'RESUMEN TOTAL'!AD185</f>
        <v>APAGADO</v>
      </c>
      <c r="Z183" s="23" t="str">
        <f>'RESUMEN TOTAL'!AE185</f>
        <v>APAGADO</v>
      </c>
      <c r="AA183" s="23" t="str">
        <f>'RESUMEN TOTAL'!AF185</f>
        <v>APAGADO</v>
      </c>
      <c r="AB183" s="23" t="str">
        <f>'RESUMEN TOTAL'!AG185</f>
        <v>APAGADO</v>
      </c>
      <c r="AC183" s="23" t="str">
        <f>'RESUMEN TOTAL'!AH185</f>
        <v>APAGADO</v>
      </c>
      <c r="AD183" s="23" t="str">
        <f>'RESUMEN TOTAL'!AI185</f>
        <v>APAGADO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 t="str">
        <f>'RESUMEN TOTAL'!X187</f>
        <v>APAGADO</v>
      </c>
      <c r="T185" s="23" t="str">
        <f>'RESUMEN TOTAL'!Y187</f>
        <v>APAGADO</v>
      </c>
      <c r="U185" s="23" t="str">
        <f>'RESUMEN TOTAL'!Z187</f>
        <v>APAGADO</v>
      </c>
      <c r="V185" s="23" t="str">
        <f>'RESUMEN TOTAL'!AA187</f>
        <v>APAGADO</v>
      </c>
      <c r="W185" s="23" t="str">
        <f>'RESUMEN TOTAL'!AB187</f>
        <v>APAGADO</v>
      </c>
      <c r="X185" s="23" t="str">
        <f>'RESUMEN TOTAL'!AC187</f>
        <v>APAGADO</v>
      </c>
      <c r="Y185" s="23" t="str">
        <f>'RESUMEN TOTAL'!AD187</f>
        <v>APAGADO</v>
      </c>
      <c r="Z185" s="23" t="str">
        <f>'RESUMEN TOTAL'!AE187</f>
        <v>APAGADO</v>
      </c>
      <c r="AA185" s="23" t="str">
        <f>'RESUMEN TOTAL'!AF187</f>
        <v>APAGADO</v>
      </c>
      <c r="AB185" s="23" t="str">
        <f>'RESUMEN TOTAL'!AG187</f>
        <v>APAGADO</v>
      </c>
      <c r="AC185" s="23" t="str">
        <f>'RESUMEN TOTAL'!AH187</f>
        <v>APAGADO</v>
      </c>
      <c r="AD185" s="23" t="str">
        <f>'RESUMEN TOTAL'!AI187</f>
        <v>APAGADO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 t="str">
        <f>'RESUMEN TOTAL'!AC188</f>
        <v>APAGADO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 t="str">
        <f>'RESUMEN TOTAL'!AC189</f>
        <v>APAGADO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 t="str">
        <f>'RESUMEN TOTAL'!X198</f>
        <v>APAGADO</v>
      </c>
      <c r="T196" s="23" t="str">
        <f>'RESUMEN TOTAL'!Y198</f>
        <v>APAGADO</v>
      </c>
      <c r="U196" s="23" t="str">
        <f>'RESUMEN TOTAL'!Z198</f>
        <v>APAGADO</v>
      </c>
      <c r="V196" s="23" t="str">
        <f>'RESUMEN TOTAL'!AA198</f>
        <v>APAGADO</v>
      </c>
      <c r="W196" s="23" t="str">
        <f>'RESUMEN TOTAL'!AB198</f>
        <v>APAGADO</v>
      </c>
      <c r="X196" s="23" t="str">
        <f>'RESUMEN TOTAL'!AC198</f>
        <v>APAGADO</v>
      </c>
      <c r="Y196" s="23" t="str">
        <f>'RESUMEN TOTAL'!AD198</f>
        <v>APAGADO</v>
      </c>
      <c r="Z196" s="23" t="str">
        <f>'RESUMEN TOTAL'!AE198</f>
        <v>APAGADO</v>
      </c>
      <c r="AA196" s="23" t="str">
        <f>'RESUMEN TOTAL'!AF198</f>
        <v>APAGADO</v>
      </c>
      <c r="AB196" s="23" t="str">
        <f>'RESUMEN TOTAL'!AG198</f>
        <v>APAGADO</v>
      </c>
      <c r="AC196" s="23" t="str">
        <f>'RESUMEN TOTAL'!AH198</f>
        <v>APAGADO</v>
      </c>
      <c r="AD196" s="23" t="str">
        <f>'RESUMEN TOTAL'!AI198</f>
        <v>APAGADO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 t="str">
        <f>'RESUMEN TOTAL'!X204</f>
        <v>APAGADO</v>
      </c>
      <c r="T202" s="23">
        <f>'RESUMEN TOTAL'!Y204</f>
        <v>0</v>
      </c>
      <c r="U202" s="23">
        <f>'RESUMEN TOTAL'!Z204</f>
        <v>0</v>
      </c>
      <c r="V202" s="23" t="str">
        <f>'RESUMEN TOTAL'!AA204</f>
        <v>APAGADO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 t="str">
        <f>'RESUMEN TOTAL'!Z211</f>
        <v>APAGADO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 t="str">
        <f>'RESUMEN TOTAL'!AG211</f>
        <v>APAGADO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 t="str">
        <f>'RESUMEN TOTAL'!AH212</f>
        <v>APAGADO</v>
      </c>
      <c r="AD210" s="23" t="str">
        <f>'RESUMEN TOTAL'!AI212</f>
        <v>APAGADO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 t="str">
        <f>'RESUMEN TOTAL'!AG216</f>
        <v>APAGADO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 t="str">
        <f>'RESUMEN TOTAL'!AG217</f>
        <v>APAGADO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 t="str">
        <f>'RESUMEN TOTAL'!AC220</f>
        <v>APAGADO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 t="str">
        <f>'RESUMEN TOTAL'!AI220</f>
        <v>APAGADO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 t="str">
        <f>'RESUMEN TOTAL'!AI221</f>
        <v>APAGADO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 t="str">
        <f>'RESUMEN TOTAL'!AI222</f>
        <v>APAGADO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 t="str">
        <f>'RESUMEN TOTAL'!AI223</f>
        <v>APAGADO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 t="str">
        <f>'RESUMEN TOTAL'!X229</f>
        <v>APAGADO</v>
      </c>
      <c r="T227" s="23" t="str">
        <f>'RESUMEN TOTAL'!Y229</f>
        <v>APAGADO</v>
      </c>
      <c r="U227" s="23" t="str">
        <f>'RESUMEN TOTAL'!Z229</f>
        <v>APAGADO</v>
      </c>
      <c r="V227" s="23" t="str">
        <f>'RESUMEN TOTAL'!AA229</f>
        <v>APAGADO</v>
      </c>
      <c r="W227" s="23" t="str">
        <f>'RESUMEN TOTAL'!AB229</f>
        <v>APAGADO</v>
      </c>
      <c r="X227" s="23" t="str">
        <f>'RESUMEN TOTAL'!AC229</f>
        <v>APAGADO</v>
      </c>
      <c r="Y227" s="23" t="str">
        <f>'RESUMEN TOTAL'!AD229</f>
        <v>APAGADO</v>
      </c>
      <c r="Z227" s="23" t="str">
        <f>'RESUMEN TOTAL'!AE229</f>
        <v>APAGADO</v>
      </c>
      <c r="AA227" s="23" t="str">
        <f>'RESUMEN TOTAL'!AF229</f>
        <v>APAGADO</v>
      </c>
      <c r="AB227" s="23" t="str">
        <f>'RESUMEN TOTAL'!AG229</f>
        <v>APAGADO</v>
      </c>
      <c r="AC227" s="23" t="str">
        <f>'RESUMEN TOTAL'!AH229</f>
        <v>APAGADO</v>
      </c>
      <c r="AD227" s="23" t="str">
        <f>'RESUMEN TOTAL'!AI229</f>
        <v>APAGADO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 t="str">
        <f>'RESUMEN TOTAL'!X232</f>
        <v>APAGADO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 t="str">
        <f>'RESUMEN TOTAL'!X233</f>
        <v>APAGADO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 t="str">
        <f>'RESUMEN TOTAL'!X236</f>
        <v>APAGADO</v>
      </c>
      <c r="T234" s="23" t="str">
        <f>'RESUMEN TOTAL'!Y236</f>
        <v>APAGADO</v>
      </c>
      <c r="U234" s="23" t="str">
        <f>'RESUMEN TOTAL'!Z236</f>
        <v>APAGADO</v>
      </c>
      <c r="V234" s="23" t="str">
        <f>'RESUMEN TOTAL'!AA236</f>
        <v>APAGADO</v>
      </c>
      <c r="W234" s="23">
        <f>'RESUMEN TOTAL'!AB236</f>
        <v>0</v>
      </c>
      <c r="X234" s="23">
        <f>'RESUMEN TOTAL'!AC236</f>
        <v>0</v>
      </c>
      <c r="Y234" s="23" t="str">
        <f>'RESUMEN TOTAL'!AD236</f>
        <v>APAGADO</v>
      </c>
      <c r="Z234" s="23" t="str">
        <f>'RESUMEN TOTAL'!AE236</f>
        <v>APAGADO</v>
      </c>
      <c r="AA234" s="23" t="str">
        <f>'RESUMEN TOTAL'!AF236</f>
        <v>APAGADO</v>
      </c>
      <c r="AB234" s="23" t="str">
        <f>'RESUMEN TOTAL'!AG236</f>
        <v>APAGADO</v>
      </c>
      <c r="AC234" s="23" t="str">
        <f>'RESUMEN TOTAL'!AH236</f>
        <v>APAGADO</v>
      </c>
      <c r="AD234" s="23" t="str">
        <f>'RESUMEN TOTAL'!AI236</f>
        <v>APAGADO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 t="str">
        <f>'RESUMEN TOTAL'!AI237</f>
        <v>APAGADO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 t="str">
        <f>'RESUMEN TOTAL'!AI238</f>
        <v>APAGADO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 t="str">
        <f>'RESUMEN TOTAL'!AG241</f>
        <v>APAGADO</v>
      </c>
      <c r="AC239" s="23" t="str">
        <f>'RESUMEN TOTAL'!AH241</f>
        <v>APAGADO</v>
      </c>
      <c r="AD239" s="23" t="str">
        <f>'RESUMEN TOTAL'!AI241</f>
        <v>APAGADO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 t="str">
        <f>'RESUMEN TOTAL'!X243</f>
        <v>APAGADO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 t="str">
        <f>'RESUMEN TOTAL'!AB254</f>
        <v>APAGADO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 t="str">
        <f>'RESUMEN TOTAL'!AB255</f>
        <v>APAGADO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 t="str">
        <f>'RESUMEN TOTAL'!X256</f>
        <v>APAGADO</v>
      </c>
      <c r="T254" s="23" t="str">
        <f>'RESUMEN TOTAL'!Y256</f>
        <v>APAGADO</v>
      </c>
      <c r="U254" s="23" t="str">
        <f>'RESUMEN TOTAL'!Z256</f>
        <v>APAGADO</v>
      </c>
      <c r="V254" s="23" t="str">
        <f>'RESUMEN TOTAL'!AA256</f>
        <v>APAGADO</v>
      </c>
      <c r="W254" s="23" t="str">
        <f>'RESUMEN TOTAL'!AB256</f>
        <v>APAGADO</v>
      </c>
      <c r="X254" s="23" t="str">
        <f>'RESUMEN TOTAL'!AC256</f>
        <v>APAGADO</v>
      </c>
      <c r="Y254" s="23" t="str">
        <f>'RESUMEN TOTAL'!AD256</f>
        <v>APAGADO</v>
      </c>
      <c r="Z254" s="23" t="str">
        <f>'RESUMEN TOTAL'!AE256</f>
        <v>APAGADO</v>
      </c>
      <c r="AA254" s="23" t="str">
        <f>'RESUMEN TOTAL'!AF256</f>
        <v>APAGADO</v>
      </c>
      <c r="AB254" s="23" t="str">
        <f>'RESUMEN TOTAL'!AG256</f>
        <v>APAGADO</v>
      </c>
      <c r="AC254" s="23" t="str">
        <f>'RESUMEN TOTAL'!AH256</f>
        <v>APAGADO</v>
      </c>
      <c r="AD254" s="23" t="str">
        <f>'RESUMEN TOTAL'!AI256</f>
        <v>APAGADO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 t="str">
        <f>'RESUMEN TOTAL'!AI267</f>
        <v>APAGADO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 t="str">
        <f>'RESUMEN TOTAL'!AI268</f>
        <v>APAGADO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 t="str">
        <f>'RESUMEN TOTAL'!AI275</f>
        <v>APAGADO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 t="str">
        <f>'RESUMEN TOTAL'!AG283</f>
        <v>APAGADO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 t="str">
        <f>'RESUMEN TOTAL'!AB288</f>
        <v>APAGADO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 t="str">
        <f>'RESUMEN TOTAL'!AB289</f>
        <v>APAGADO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 t="str">
        <f>'RESUMEN TOTAL'!AB294</f>
        <v>APAGADO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 t="str">
        <f>'RESUMEN TOTAL'!AB296</f>
        <v>APAGADO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 t="str">
        <f>'RESUMEN TOTAL'!Z302</f>
        <v>APAGADO</v>
      </c>
      <c r="V299" s="23" t="str">
        <f>'RESUMEN TOTAL'!AA302</f>
        <v>APAGADO</v>
      </c>
      <c r="W299" s="23" t="str">
        <f>'RESUMEN TOTAL'!AB302</f>
        <v>APAGADO</v>
      </c>
      <c r="X299" s="23">
        <f>'RESUMEN TOTAL'!AC302</f>
        <v>0</v>
      </c>
      <c r="Y299" s="23">
        <f>'RESUMEN TOTAL'!AD302</f>
        <v>0</v>
      </c>
      <c r="Z299" s="23" t="str">
        <f>'RESUMEN TOTAL'!AE302</f>
        <v>APAGADO</v>
      </c>
      <c r="AA299" s="23" t="str">
        <f>'RESUMEN TOTAL'!AF302</f>
        <v>APAGADO</v>
      </c>
      <c r="AB299" s="23" t="str">
        <f>'RESUMEN TOTAL'!AG302</f>
        <v>APAGADO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 t="str">
        <f>'RESUMEN TOTAL'!Y312</f>
        <v>APAGADO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 t="str">
        <f>'RESUMEN TOTAL'!X315</f>
        <v>APAGADO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 t="str">
        <f>'RESUMEN TOTAL'!AI315</f>
        <v>APAGADO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 t="str">
        <f>'RESUMEN TOTAL'!X316</f>
        <v>APAGADO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 t="str">
        <f>'RESUMEN TOTAL'!AI316</f>
        <v>APAGADO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 t="str">
        <f>'RESUMEN TOTAL'!AF321</f>
        <v>APAGADO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 t="str">
        <f>'RESUMEN TOTAL'!AG323</f>
        <v>APAGADO</v>
      </c>
      <c r="AC320" s="23" t="str">
        <f>'RESUMEN TOTAL'!AH323</f>
        <v>APAGADO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 t="str">
        <f>'RESUMEN TOTAL'!Z325</f>
        <v>APAGADO</v>
      </c>
      <c r="V322" s="23" t="str">
        <f>'RESUMEN TOTAL'!AA325</f>
        <v>APAGADO</v>
      </c>
      <c r="W322" s="23" t="str">
        <f>'RESUMEN TOTAL'!AB325</f>
        <v>APAGADO</v>
      </c>
      <c r="X322" s="23">
        <f>'RESUMEN TOTAL'!AC325</f>
        <v>0</v>
      </c>
      <c r="Y322" s="23">
        <f>'RESUMEN TOTAL'!AD325</f>
        <v>0</v>
      </c>
      <c r="Z322" s="23" t="str">
        <f>'RESUMEN TOTAL'!AE325</f>
        <v>APAGADO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 t="str">
        <f>'RESUMEN TOTAL'!AH335</f>
        <v>APAGADO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 t="str">
        <f>'RESUMEN TOTAL'!AC336</f>
        <v>APAGADO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 t="str">
        <f>'RESUMEN TOTAL'!AC337</f>
        <v>APAGADO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 t="str">
        <f>'RESUMEN TOTAL'!AG345</f>
        <v>APAGADO</v>
      </c>
      <c r="AC342" s="23" t="str">
        <f>'RESUMEN TOTAL'!AH345</f>
        <v>APAGADO</v>
      </c>
      <c r="AD342" s="23" t="str">
        <f>'RESUMEN TOTAL'!AI345</f>
        <v>APAGADO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 t="str">
        <f>'RESUMEN TOTAL'!AG347</f>
        <v>APAGADO</v>
      </c>
      <c r="AC344" s="23" t="str">
        <f>'RESUMEN TOTAL'!AH347</f>
        <v>APAGADO</v>
      </c>
      <c r="AD344" s="23" t="str">
        <f>'RESUMEN TOTAL'!AI347</f>
        <v>APAGADO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 t="str">
        <f>'RESUMEN TOTAL'!AG348</f>
        <v>APAGADO</v>
      </c>
      <c r="AC345" s="23" t="str">
        <f>'RESUMEN TOTAL'!AH348</f>
        <v>APAGADO</v>
      </c>
      <c r="AD345" s="23" t="str">
        <f>'RESUMEN TOTAL'!AI348</f>
        <v>APAGADO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 t="str">
        <f>'RESUMEN TOTAL'!AG349</f>
        <v>APAGADO</v>
      </c>
      <c r="AC346" s="23" t="str">
        <f>'RESUMEN TOTAL'!AH349</f>
        <v>APAGADO</v>
      </c>
      <c r="AD346" s="23" t="str">
        <f>'RESUMEN TOTAL'!AI349</f>
        <v>APAGADO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 t="str">
        <f>'RESUMEN TOTAL'!AG350</f>
        <v>APAGADO</v>
      </c>
      <c r="AC347" s="23" t="str">
        <f>'RESUMEN TOTAL'!AH350</f>
        <v>APAGADO</v>
      </c>
      <c r="AD347" s="23" t="str">
        <f>'RESUMEN TOTAL'!AI350</f>
        <v>APAGADO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 t="str">
        <f>'RESUMEN TOTAL'!AG351</f>
        <v>APAGADO</v>
      </c>
      <c r="AC348" s="23" t="str">
        <f>'RESUMEN TOTAL'!AH351</f>
        <v>APAGADO</v>
      </c>
      <c r="AD348" s="23" t="str">
        <f>'RESUMEN TOTAL'!AI351</f>
        <v>APAGADO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 t="str">
        <f>'RESUMEN TOTAL'!Y352</f>
        <v>APAGADO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 t="str">
        <f>'RESUMEN TOTAL'!Y353</f>
        <v>APAGADO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 t="str">
        <f>'RESUMEN TOTAL'!AG358</f>
        <v>APAGADO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 t="str">
        <f>'RESUMEN TOTAL'!X360</f>
        <v>APAGADO</v>
      </c>
      <c r="T357" s="23" t="str">
        <f>'RESUMEN TOTAL'!Y360</f>
        <v>APAGADO</v>
      </c>
      <c r="U357" s="23" t="str">
        <f>'RESUMEN TOTAL'!Z360</f>
        <v>APAGADO</v>
      </c>
      <c r="V357" s="23" t="str">
        <f>'RESUMEN TOTAL'!AA360</f>
        <v>APAGADO</v>
      </c>
      <c r="W357" s="23" t="str">
        <f>'RESUMEN TOTAL'!AB360</f>
        <v>APAGADO</v>
      </c>
      <c r="X357" s="23" t="str">
        <f>'RESUMEN TOTAL'!AC360</f>
        <v>APAGADO</v>
      </c>
      <c r="Y357" s="23" t="str">
        <f>'RESUMEN TOTAL'!AD360</f>
        <v>APAGADO</v>
      </c>
      <c r="Z357" s="23" t="str">
        <f>'RESUMEN TOTAL'!AE360</f>
        <v>APAGADO</v>
      </c>
      <c r="AA357" s="23" t="str">
        <f>'RESUMEN TOTAL'!AF360</f>
        <v>APAGADO</v>
      </c>
      <c r="AB357" s="23" t="str">
        <f>'RESUMEN TOTAL'!AG360</f>
        <v>APAGADO</v>
      </c>
      <c r="AC357" s="23" t="str">
        <f>'RESUMEN TOTAL'!AH360</f>
        <v>APAGADO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 t="str">
        <f>'RESUMEN TOTAL'!X371</f>
        <v>APAGADO</v>
      </c>
      <c r="T368" s="23" t="str">
        <f>'RESUMEN TOTAL'!Y371</f>
        <v>APAGADO</v>
      </c>
      <c r="U368" s="23" t="str">
        <f>'RESUMEN TOTAL'!Z371</f>
        <v>APAGADO</v>
      </c>
      <c r="V368" s="23" t="str">
        <f>'RESUMEN TOTAL'!AA371</f>
        <v>APAGADO</v>
      </c>
      <c r="W368" s="23" t="str">
        <f>'RESUMEN TOTAL'!AB371</f>
        <v>APAGADO</v>
      </c>
      <c r="X368" s="23" t="str">
        <f>'RESUMEN TOTAL'!AC371</f>
        <v>APAGADO</v>
      </c>
      <c r="Y368" s="23" t="str">
        <f>'RESUMEN TOTAL'!AD371</f>
        <v>APAGADO</v>
      </c>
      <c r="Z368" s="23" t="str">
        <f>'RESUMEN TOTAL'!AE371</f>
        <v>APAGADO</v>
      </c>
      <c r="AA368" s="23" t="str">
        <f>'RESUMEN TOTAL'!AF371</f>
        <v>APAGADO</v>
      </c>
      <c r="AB368" s="23" t="str">
        <f>'RESUMEN TOTAL'!AG371</f>
        <v>APAGADO</v>
      </c>
      <c r="AC368" s="23" t="str">
        <f>'RESUMEN TOTAL'!AH371</f>
        <v>APAGADO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 t="str">
        <f>'RESUMEN TOTAL'!X374</f>
        <v>APAGADO</v>
      </c>
      <c r="T371" s="23" t="str">
        <f>'RESUMEN TOTAL'!Y374</f>
        <v>APAGADO</v>
      </c>
      <c r="U371" s="23" t="str">
        <f>'RESUMEN TOTAL'!Z374</f>
        <v>APAGADO</v>
      </c>
      <c r="V371" s="23" t="str">
        <f>'RESUMEN TOTAL'!AA374</f>
        <v>APAGADO</v>
      </c>
      <c r="W371" s="23" t="str">
        <f>'RESUMEN TOTAL'!AB374</f>
        <v>APAGADO</v>
      </c>
      <c r="X371" s="23" t="str">
        <f>'RESUMEN TOTAL'!AC374</f>
        <v>APAGADO</v>
      </c>
      <c r="Y371" s="23" t="str">
        <f>'RESUMEN TOTAL'!AD374</f>
        <v>APAGADO</v>
      </c>
      <c r="Z371" s="23" t="str">
        <f>'RESUMEN TOTAL'!AE374</f>
        <v>APAGADO</v>
      </c>
      <c r="AA371" s="23" t="str">
        <f>'RESUMEN TOTAL'!AF374</f>
        <v>APAGADO</v>
      </c>
      <c r="AB371" s="23" t="str">
        <f>'RESUMEN TOTAL'!AG374</f>
        <v>APAGADO</v>
      </c>
      <c r="AC371" s="23" t="str">
        <f>'RESUMEN TOTAL'!AH374</f>
        <v>APAGADO</v>
      </c>
      <c r="AD371" s="23" t="str">
        <f>'RESUMEN TOTAL'!AI374</f>
        <v>APAGADO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 t="str">
        <f>'RESUMEN TOTAL'!Y376</f>
        <v>APAGADO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 t="str">
        <f>'RESUMEN TOTAL'!X379</f>
        <v>APAGADO</v>
      </c>
      <c r="T376" s="23" t="str">
        <f>'RESUMEN TOTAL'!Y379</f>
        <v>APAGADO</v>
      </c>
      <c r="U376" s="23" t="str">
        <f>'RESUMEN TOTAL'!Z379</f>
        <v>APAGADO</v>
      </c>
      <c r="V376" s="23" t="str">
        <f>'RESUMEN TOTAL'!AA379</f>
        <v>APAGADO</v>
      </c>
      <c r="W376" s="23" t="str">
        <f>'RESUMEN TOTAL'!AB379</f>
        <v>APAGADO</v>
      </c>
      <c r="X376" s="23" t="str">
        <f>'RESUMEN TOTAL'!AC379</f>
        <v>APAGADO</v>
      </c>
      <c r="Y376" s="23" t="str">
        <f>'RESUMEN TOTAL'!AD379</f>
        <v>APAGADO</v>
      </c>
      <c r="Z376" s="23" t="str">
        <f>'RESUMEN TOTAL'!AE379</f>
        <v>APAGADO</v>
      </c>
      <c r="AA376" s="23" t="str">
        <f>'RESUMEN TOTAL'!AF379</f>
        <v>APAGADO</v>
      </c>
      <c r="AB376" s="23" t="str">
        <f>'RESUMEN TOTAL'!AG379</f>
        <v>APAGADO</v>
      </c>
      <c r="AC376" s="23" t="str">
        <f>'RESUMEN TOTAL'!AH379</f>
        <v>APAGADO</v>
      </c>
      <c r="AD376" s="23" t="str">
        <f>'RESUMEN TOTAL'!AI379</f>
        <v>APAGADO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 t="str">
        <f>'RESUMEN TOTAL'!X380</f>
        <v>APAGADO</v>
      </c>
      <c r="T377" s="23" t="str">
        <f>'RESUMEN TOTAL'!Y380</f>
        <v>APAGADO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 t="str">
        <f>'RESUMEN TOTAL'!Y381</f>
        <v>APAGADO</v>
      </c>
      <c r="U378" s="23" t="str">
        <f>'RESUMEN TOTAL'!Z381</f>
        <v>APAGADO</v>
      </c>
      <c r="V378" s="23" t="str">
        <f>'RESUMEN TOTAL'!AA381</f>
        <v>APAGADO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 t="str">
        <f>'RESUMEN TOTAL'!Y383</f>
        <v>APAGADO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 t="str">
        <f>'RESUMEN TOTAL'!Z390</f>
        <v>APAGADO</v>
      </c>
      <c r="V387" s="23" t="str">
        <f>'RESUMEN TOTAL'!AA390</f>
        <v>APAGADO</v>
      </c>
      <c r="W387" s="23" t="str">
        <f>'RESUMEN TOTAL'!AB390</f>
        <v>APAGADO</v>
      </c>
      <c r="X387" s="23" t="str">
        <f>'RESUMEN TOTAL'!AC390</f>
        <v>APAGADO</v>
      </c>
      <c r="Y387" s="23" t="str">
        <f>'RESUMEN TOTAL'!AD390</f>
        <v>APAGADO</v>
      </c>
      <c r="Z387" s="23">
        <f>'RESUMEN TOTAL'!AE390</f>
        <v>0</v>
      </c>
      <c r="AA387" s="23" t="str">
        <f>'RESUMEN TOTAL'!AF390</f>
        <v>APAGADO</v>
      </c>
      <c r="AB387" s="23" t="str">
        <f>'RESUMEN TOTAL'!AG390</f>
        <v>APAGADO</v>
      </c>
      <c r="AC387" s="23" t="str">
        <f>'RESUMEN TOTAL'!AH390</f>
        <v>APAGADO</v>
      </c>
      <c r="AD387" s="23" t="str">
        <f>'RESUMEN TOTAL'!AI390</f>
        <v>APAGADO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 t="str">
        <f>'RESUMEN TOTAL'!Z391</f>
        <v>APAGADO</v>
      </c>
      <c r="V388" s="23" t="str">
        <f>'RESUMEN TOTAL'!AA391</f>
        <v>APAGADO</v>
      </c>
      <c r="W388" s="23" t="str">
        <f>'RESUMEN TOTAL'!AB391</f>
        <v>APAGADO</v>
      </c>
      <c r="X388" s="23" t="str">
        <f>'RESUMEN TOTAL'!AC391</f>
        <v>APAGADO</v>
      </c>
      <c r="Y388" s="23" t="str">
        <f>'RESUMEN TOTAL'!AD391</f>
        <v>APAGADO</v>
      </c>
      <c r="Z388" s="23">
        <f>'RESUMEN TOTAL'!AE391</f>
        <v>0</v>
      </c>
      <c r="AA388" s="23" t="str">
        <f>'RESUMEN TOTAL'!AF391</f>
        <v>APAGADO</v>
      </c>
      <c r="AB388" s="23" t="str">
        <f>'RESUMEN TOTAL'!AG391</f>
        <v>APAGADO</v>
      </c>
      <c r="AC388" s="23" t="str">
        <f>'RESUMEN TOTAL'!AH391</f>
        <v>APAGADO</v>
      </c>
      <c r="AD388" s="23" t="str">
        <f>'RESUMEN TOTAL'!AI391</f>
        <v>APAGADO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 t="str">
        <f>'RESUMEN TOTAL'!AB398</f>
        <v>APAGADO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 t="str">
        <f>'RESUMEN TOTAL'!AB399</f>
        <v>APAGADO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 t="str">
        <f>'RESUMEN TOTAL'!AB400</f>
        <v>APAGADO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 t="str">
        <f>'RESUMEN TOTAL'!AG405</f>
        <v>APAGADO</v>
      </c>
      <c r="AC402" s="23" t="str">
        <f>'RESUMEN TOTAL'!AH405</f>
        <v>APAGADO</v>
      </c>
      <c r="AD402" s="23" t="str">
        <f>'RESUMEN TOTAL'!AI405</f>
        <v>APAGADO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 t="str">
        <f>'RESUMEN TOTAL'!X409</f>
        <v>APAGADO</v>
      </c>
      <c r="T406" s="23" t="str">
        <f>'RESUMEN TOTAL'!Y409</f>
        <v>APAGADO</v>
      </c>
      <c r="U406" s="23" t="str">
        <f>'RESUMEN TOTAL'!Z409</f>
        <v>APAGADO</v>
      </c>
      <c r="V406" s="23" t="str">
        <f>'RESUMEN TOTAL'!AA409</f>
        <v>APAGADO</v>
      </c>
      <c r="W406" s="23" t="str">
        <f>'RESUMEN TOTAL'!AB409</f>
        <v>APAGADO</v>
      </c>
      <c r="X406" s="23">
        <f>'RESUMEN TOTAL'!AC409</f>
        <v>0</v>
      </c>
      <c r="Y406" s="23" t="str">
        <f>'RESUMEN TOTAL'!AD409</f>
        <v>APAGADO</v>
      </c>
      <c r="Z406" s="23">
        <f>'RESUMEN TOTAL'!AE409</f>
        <v>0</v>
      </c>
      <c r="AA406" s="23">
        <f>'RESUMEN TOTAL'!AF409</f>
        <v>0</v>
      </c>
      <c r="AB406" s="23" t="str">
        <f>'RESUMEN TOTAL'!AG409</f>
        <v>APAGADO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 t="str">
        <f>'RESUMEN TOTAL'!X410</f>
        <v>APAGADO</v>
      </c>
      <c r="T407" s="23" t="str">
        <f>'RESUMEN TOTAL'!Y410</f>
        <v>APAGADO</v>
      </c>
      <c r="U407" s="23" t="str">
        <f>'RESUMEN TOTAL'!Z410</f>
        <v>APAGADO</v>
      </c>
      <c r="V407" s="23" t="str">
        <f>'RESUMEN TOTAL'!AA410</f>
        <v>APAGADO</v>
      </c>
      <c r="W407" s="23" t="str">
        <f>'RESUMEN TOTAL'!AB410</f>
        <v>APAGADO</v>
      </c>
      <c r="X407" s="23">
        <f>'RESUMEN TOTAL'!AC410</f>
        <v>0</v>
      </c>
      <c r="Y407" s="23" t="str">
        <f>'RESUMEN TOTAL'!AD410</f>
        <v>APAGADO</v>
      </c>
      <c r="Z407" s="23">
        <f>'RESUMEN TOTAL'!AE410</f>
        <v>0</v>
      </c>
      <c r="AA407" s="23">
        <f>'RESUMEN TOTAL'!AF410</f>
        <v>0</v>
      </c>
      <c r="AB407" s="23" t="str">
        <f>'RESUMEN TOTAL'!AG410</f>
        <v>APAGADO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 t="str">
        <f>'RESUMEN TOTAL'!X412</f>
        <v>APAGADO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 t="str">
        <f>'RESUMEN TOTAL'!X420</f>
        <v>APAGADO</v>
      </c>
      <c r="T417" s="23" t="str">
        <f>'RESUMEN TOTAL'!Y420</f>
        <v>APAGADO</v>
      </c>
      <c r="U417" s="23" t="str">
        <f>'RESUMEN TOTAL'!Z420</f>
        <v>APAGADO</v>
      </c>
      <c r="V417" s="23" t="str">
        <f>'RESUMEN TOTAL'!AA420</f>
        <v>APAGADO</v>
      </c>
      <c r="W417" s="23" t="str">
        <f>'RESUMEN TOTAL'!AB420</f>
        <v>APAGADO</v>
      </c>
      <c r="X417" s="23" t="str">
        <f>'RESUMEN TOTAL'!AC420</f>
        <v>APAGADO</v>
      </c>
      <c r="Y417" s="23" t="str">
        <f>'RESUMEN TOTAL'!AD420</f>
        <v>APAGADO</v>
      </c>
      <c r="Z417" s="23" t="str">
        <f>'RESUMEN TOTAL'!AE420</f>
        <v>APAGADO</v>
      </c>
      <c r="AA417" s="23" t="str">
        <f>'RESUMEN TOTAL'!AF420</f>
        <v>APAGADO</v>
      </c>
      <c r="AB417" s="23" t="str">
        <f>'RESUMEN TOTAL'!AG420</f>
        <v>APAGADO</v>
      </c>
      <c r="AC417" s="23" t="str">
        <f>'RESUMEN TOTAL'!AH420</f>
        <v>APAGADO</v>
      </c>
      <c r="AD417" s="23" t="str">
        <f>'RESUMEN TOTAL'!AI420</f>
        <v>APAGADO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 t="str">
        <f>'RESUMEN TOTAL'!Z428</f>
        <v>APAGADO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 t="str">
        <f>'RESUMEN TOTAL'!Z429</f>
        <v>APAGADO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 t="str">
        <f>'RESUMEN TOTAL'!AA432</f>
        <v>APAGADO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37</v>
      </c>
      <c r="T1" s="19">
        <f t="shared" si="0"/>
        <v>38</v>
      </c>
      <c r="U1" s="19">
        <f t="shared" si="0"/>
        <v>39</v>
      </c>
      <c r="V1" s="19">
        <f t="shared" si="0"/>
        <v>41</v>
      </c>
      <c r="W1" s="19">
        <f t="shared" si="0"/>
        <v>44</v>
      </c>
      <c r="X1" s="19">
        <f t="shared" si="0"/>
        <v>44</v>
      </c>
      <c r="Y1" s="19">
        <f t="shared" si="0"/>
        <v>34</v>
      </c>
      <c r="Z1" s="19">
        <f t="shared" si="0"/>
        <v>35</v>
      </c>
      <c r="AA1" s="19">
        <f t="shared" si="0"/>
        <v>37</v>
      </c>
      <c r="AB1" s="19">
        <f t="shared" si="0"/>
        <v>49</v>
      </c>
      <c r="AC1" s="19">
        <f t="shared" si="0"/>
        <v>39</v>
      </c>
      <c r="AD1" s="19">
        <f t="shared" si="0"/>
        <v>54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 t="str">
        <f>ESTADISTICA!X14</f>
        <v>APAGADO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>
        <f>ESTADISTICA!W17</f>
        <v>0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 t="str">
        <f>ESTADISTICA!AB25</f>
        <v>APAGADO</v>
      </c>
      <c r="AC26" t="str">
        <f>ESTADISTICA!AC25</f>
        <v>APAGADO</v>
      </c>
      <c r="AD26" t="str">
        <f>ESTADISTICA!AD25</f>
        <v>APAGADO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 t="str">
        <f>ESTADISTICA!W32</f>
        <v>APAGADO</v>
      </c>
      <c r="X33">
        <f>ESTADISTICA!X32</f>
        <v>0</v>
      </c>
      <c r="Y33" t="str">
        <f>ESTADISTICA!Y32</f>
        <v>APAGADO</v>
      </c>
      <c r="Z33" t="str">
        <f>ESTADISTICA!Z32</f>
        <v>APAGADO</v>
      </c>
      <c r="AA33" t="str">
        <f>ESTADISTICA!AA32</f>
        <v>APAGADO</v>
      </c>
      <c r="AB33" t="str">
        <f>ESTADISTICA!AB32</f>
        <v>APAGADO</v>
      </c>
      <c r="AC33" t="str">
        <f>ESTADISTICA!AC32</f>
        <v>APAGADO</v>
      </c>
      <c r="AD33" t="str">
        <f>ESTADISTICA!AD32</f>
        <v>APAGADO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 t="str">
        <f>ESTADISTICA!AB33</f>
        <v>APAGADO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 t="str">
        <f>ESTADISTICA!U35</f>
        <v>APAGADO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>
        <f>ESTADISTICA!Z35</f>
        <v>0</v>
      </c>
      <c r="AA36" t="str">
        <f>ESTADISTICA!AA35</f>
        <v>APAGADO</v>
      </c>
      <c r="AB36" t="str">
        <f>ESTADISTICA!AB35</f>
        <v>APAGADO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 t="str">
        <f>ESTADISTICA!AC46</f>
        <v>APAGADO</v>
      </c>
      <c r="AD47" t="str">
        <f>ESTADISTICA!AD46</f>
        <v>APAGADO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 t="str">
        <f>ESTADISTICA!V47</f>
        <v>APAGADO</v>
      </c>
      <c r="W48" t="str">
        <f>ESTADISTICA!W47</f>
        <v>APAGADO</v>
      </c>
      <c r="X48" t="str">
        <f>ESTADISTICA!X47</f>
        <v>APAGADO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 t="str">
        <f>ESTADISTICA!AC47</f>
        <v>APAGADO</v>
      </c>
      <c r="AD48" t="str">
        <f>ESTADISTICA!AD47</f>
        <v>APAGADO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 t="str">
        <f>ESTADISTICA!S52</f>
        <v>APAGADO</v>
      </c>
      <c r="T53" t="str">
        <f>ESTADISTICA!T52</f>
        <v>APAGADO</v>
      </c>
      <c r="U53" t="str">
        <f>ESTADISTICA!U52</f>
        <v>APAGADO</v>
      </c>
      <c r="V53" t="str">
        <f>ESTADISTICA!V52</f>
        <v>APAGADO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 t="str">
        <f>ESTADISTICA!Z52</f>
        <v>APAGADO</v>
      </c>
      <c r="AA53" t="str">
        <f>ESTADISTICA!AA52</f>
        <v>APAGADO</v>
      </c>
      <c r="AB53" t="str">
        <f>ESTADISTICA!AB52</f>
        <v>APAGADO</v>
      </c>
      <c r="AC53" t="str">
        <f>ESTADISTICA!AC52</f>
        <v>APAGADO</v>
      </c>
      <c r="AD53" t="str">
        <f>ESTADISTICA!AD52</f>
        <v>APAGADO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 t="str">
        <f>ESTADISTICA!T58</f>
        <v>APAGADO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>
        <f>ESTADISTICA!X73</f>
        <v>0</v>
      </c>
      <c r="Y74" t="str">
        <f>ESTADISTICA!Y73</f>
        <v>APAGADO</v>
      </c>
      <c r="Z74" t="str">
        <f>ESTADISTICA!Z73</f>
        <v>APAGADO</v>
      </c>
      <c r="AA74" t="str">
        <f>ESTADISTICA!AA73</f>
        <v>APAGADO</v>
      </c>
      <c r="AB74" t="str">
        <f>ESTADISTICA!AB73</f>
        <v>APAGADO</v>
      </c>
      <c r="AC74" t="str">
        <f>ESTADISTICA!AC73</f>
        <v>APAGADO</v>
      </c>
      <c r="AD74" t="str">
        <f>ESTADISTICA!AD73</f>
        <v>APAGADO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 t="str">
        <f>ESTADISTICA!U75</f>
        <v>APAGADO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 t="str">
        <f>ESTADISTICA!Z75</f>
        <v>APAGADO</v>
      </c>
      <c r="AA76">
        <f>ESTADISTICA!AA75</f>
        <v>0</v>
      </c>
      <c r="AB76" t="str">
        <f>ESTADISTICA!AB75</f>
        <v>APAGADO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 t="str">
        <f>ESTADISTICA!X83</f>
        <v>APAGADO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 t="str">
        <f>ESTADISTICA!AC85</f>
        <v>APAGADO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>
        <f>ESTADISTICA!Z86</f>
        <v>0</v>
      </c>
      <c r="AA87" t="str">
        <f>ESTADISTICA!AA86</f>
        <v>APAGADO</v>
      </c>
      <c r="AB87" t="str">
        <f>ESTADISTICA!AB86</f>
        <v>APAGADO</v>
      </c>
      <c r="AC87" t="str">
        <f>ESTADISTICA!AC86</f>
        <v>APAGADO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 t="str">
        <f>ESTADISTICA!V99</f>
        <v>APAGADO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 t="str">
        <f>ESTADISTICA!Z99</f>
        <v>APAGADO</v>
      </c>
      <c r="AA100" t="str">
        <f>ESTADISTICA!AA99</f>
        <v>APAGADO</v>
      </c>
      <c r="AB100" t="str">
        <f>ESTADISTICA!AB99</f>
        <v>APAGADO</v>
      </c>
      <c r="AC100" t="str">
        <f>ESTADISTICA!AC99</f>
        <v>APAGADO</v>
      </c>
      <c r="AD100" t="str">
        <f>ESTADISTICA!AD99</f>
        <v>APAGADO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 t="str">
        <f>ESTADISTICA!T100</f>
        <v>APAGADO</v>
      </c>
      <c r="U101" t="str">
        <f>ESTADISTICA!U100</f>
        <v>APAGADO</v>
      </c>
      <c r="V101" t="str">
        <f>ESTADISTICA!V100</f>
        <v>APAGADO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 t="str">
        <f>ESTADISTICA!Z100</f>
        <v>APAGADO</v>
      </c>
      <c r="AA101" t="str">
        <f>ESTADISTICA!AA100</f>
        <v>APAGADO</v>
      </c>
      <c r="AB101" t="str">
        <f>ESTADISTICA!AB100</f>
        <v>APAGADO</v>
      </c>
      <c r="AC101" t="str">
        <f>ESTADISTICA!AC100</f>
        <v>APAGADO</v>
      </c>
      <c r="AD101" t="str">
        <f>ESTADISTICA!AD100</f>
        <v>APAGADO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 t="str">
        <f>ESTADISTICA!AD116</f>
        <v>APAGADO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 t="str">
        <f>ESTADISTICA!AD117</f>
        <v>APAGADO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 t="str">
        <f>ESTADISTICA!AD118</f>
        <v>APAGADO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>
        <f>ESTADISTICA!X121</f>
        <v>0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 t="str">
        <f>ESTADISTICA!AB121</f>
        <v>APAGADO</v>
      </c>
      <c r="AC122" t="str">
        <f>ESTADISTICA!AC121</f>
        <v>APAGADO</v>
      </c>
      <c r="AD122" t="str">
        <f>ESTADISTICA!AD121</f>
        <v>APAGADO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 t="str">
        <f>ESTADISTICA!X158</f>
        <v>APAGADO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>
        <f>ESTADISTICA!AC173</f>
        <v>0</v>
      </c>
      <c r="AD174" t="str">
        <f>ESTADISTICA!AD173</f>
        <v>APAGADO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 t="str">
        <f>ESTADISTICA!AD174</f>
        <v>APAGADO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>
        <f>ESTADISTICA!AC175</f>
        <v>0</v>
      </c>
      <c r="AD176" t="str">
        <f>ESTADISTICA!AD175</f>
        <v>APAGADO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 t="str">
        <f>ESTADISTICA!Z180</f>
        <v>APAGADO</v>
      </c>
      <c r="AA181" t="str">
        <f>ESTADISTICA!AA180</f>
        <v>APAGADO</v>
      </c>
      <c r="AB181" t="str">
        <f>ESTADISTICA!AB180</f>
        <v>APAGADO</v>
      </c>
      <c r="AC181">
        <f>ESTADISTICA!AC180</f>
        <v>0</v>
      </c>
      <c r="AD181" t="str">
        <f>ESTADISTICA!AD180</f>
        <v>APAGADO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 t="str">
        <f>ESTADISTICA!Z182</f>
        <v>APAGADO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 t="str">
        <f>ESTADISTICA!AB185</f>
        <v>APAGADO</v>
      </c>
      <c r="AC186" t="str">
        <f>ESTADISTICA!AC185</f>
        <v>APAGADO</v>
      </c>
      <c r="AD186" t="str">
        <f>ESTADISTICA!AD185</f>
        <v>APAGADO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 t="str">
        <f>ESTADISTICA!X186</f>
        <v>APAGADO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 t="str">
        <f>ESTADISTICA!X187</f>
        <v>APAGADO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 t="str">
        <f>ESTADISTICA!AC210</f>
        <v>APAGADO</v>
      </c>
      <c r="AD211" t="str">
        <f>ESTADISTICA!AD210</f>
        <v>APAGADO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 t="str">
        <f>ESTADISTICA!AB214</f>
        <v>APAGADO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 t="str">
        <f>ESTADISTICA!AB215</f>
        <v>APAGADO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 t="str">
        <f>ESTADISTICA!AD218</f>
        <v>APAGADO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 t="str">
        <f>ESTADISTICA!AD219</f>
        <v>APAGADO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 t="str">
        <f>ESTADISTICA!AD220</f>
        <v>APAGADO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 t="str">
        <f>ESTADISTICA!AD221</f>
        <v>APAGADO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 t="str">
        <f>ESTADISTICA!AD227</f>
        <v>APAGADO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 t="str">
        <f>ESTADISTICA!AD235</f>
        <v>APAGADO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 t="str">
        <f>ESTADISTICA!AD236</f>
        <v>APAGADO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 t="str">
        <f>ESTADISTICA!AB239</f>
        <v>APAGADO</v>
      </c>
      <c r="AC240" t="str">
        <f>ESTADISTICA!AC239</f>
        <v>APAGADO</v>
      </c>
      <c r="AD240" t="str">
        <f>ESTADISTICA!AD239</f>
        <v>APAGADO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 t="str">
        <f>ESTADISTICA!W252</f>
        <v>APAGADO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 t="str">
        <f>ESTADISTICA!U254</f>
        <v>APAGADO</v>
      </c>
      <c r="V255" t="str">
        <f>ESTADISTICA!V254</f>
        <v>APAGADO</v>
      </c>
      <c r="W255" t="str">
        <f>ESTADISTICA!W254</f>
        <v>APAGADO</v>
      </c>
      <c r="X255" t="str">
        <f>ESTADISTICA!X254</f>
        <v>APAGADO</v>
      </c>
      <c r="Y255" t="str">
        <f>ESTADISTICA!Y254</f>
        <v>APAGADO</v>
      </c>
      <c r="Z255" t="str">
        <f>ESTADISTICA!Z254</f>
        <v>APAGADO</v>
      </c>
      <c r="AA255" t="str">
        <f>ESTADISTICA!AA254</f>
        <v>APAGADO</v>
      </c>
      <c r="AB255" t="str">
        <f>ESTADISTICA!AB254</f>
        <v>APAGADO</v>
      </c>
      <c r="AC255" t="str">
        <f>ESTADISTICA!AC254</f>
        <v>APAGADO</v>
      </c>
      <c r="AD255" t="str">
        <f>ESTADISTICA!AD254</f>
        <v>APAGADO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 t="str">
        <f>ESTADISTICA!AD264</f>
        <v>APAGADO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 t="str">
        <f>ESTADISTICA!AD265</f>
        <v>APAGADO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 t="str">
        <f>ESTADISTICA!AD272</f>
        <v>APAGADO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 t="str">
        <f>ESTADISTICA!AB280</f>
        <v>APAGADO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 t="str">
        <f>ESTADISTICA!W285</f>
        <v>APAGADO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 t="str">
        <f>ESTADISTICA!W286</f>
        <v>APAGADO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 t="str">
        <f>ESTADISTICA!W291</f>
        <v>APAGADO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 t="str">
        <f>ESTADISTICA!W293</f>
        <v>APAGADO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>
        <f>ESTADISTICA!X299</f>
        <v>0</v>
      </c>
      <c r="Y300">
        <f>ESTADISTICA!Y299</f>
        <v>0</v>
      </c>
      <c r="Z300" t="str">
        <f>ESTADISTICA!Z299</f>
        <v>APAGADO</v>
      </c>
      <c r="AA300" t="str">
        <f>ESTADISTICA!AA299</f>
        <v>APAGADO</v>
      </c>
      <c r="AB300" t="str">
        <f>ESTADISTICA!AB299</f>
        <v>APAGADO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 t="str">
        <f>ESTADISTICA!T309</f>
        <v>APAGADO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 t="str">
        <f>ESTADISTICA!AD312</f>
        <v>APAGADO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 t="str">
        <f>ESTADISTICA!AD313</f>
        <v>APAGADO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 t="str">
        <f>ESTADISTICA!AA318</f>
        <v>APAGADO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 t="str">
        <f>ESTADISTICA!AB320</f>
        <v>APAGADO</v>
      </c>
      <c r="AC321" t="str">
        <f>ESTADISTICA!AC320</f>
        <v>APAGADO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>
        <f>ESTADISTICA!X322</f>
        <v>0</v>
      </c>
      <c r="Y323">
        <f>ESTADISTICA!Y322</f>
        <v>0</v>
      </c>
      <c r="Z323" t="str">
        <f>ESTADISTICA!Z322</f>
        <v>APAGADO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 t="str">
        <f>ESTADISTICA!AC332</f>
        <v>APAGADO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 t="str">
        <f>ESTADISTICA!AB342</f>
        <v>APAGADO</v>
      </c>
      <c r="AC343" t="str">
        <f>ESTADISTICA!AC342</f>
        <v>APAGADO</v>
      </c>
      <c r="AD343" t="str">
        <f>ESTADISTICA!AD342</f>
        <v>APAGADO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 t="str">
        <f>ESTADISTICA!AB344</f>
        <v>APAGADO</v>
      </c>
      <c r="AC345" t="str">
        <f>ESTADISTICA!AC344</f>
        <v>APAGADO</v>
      </c>
      <c r="AD345" t="str">
        <f>ESTADISTICA!AD344</f>
        <v>APAGADO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 t="str">
        <f>ESTADISTICA!AB345</f>
        <v>APAGADO</v>
      </c>
      <c r="AC346" t="str">
        <f>ESTADISTICA!AC345</f>
        <v>APAGADO</v>
      </c>
      <c r="AD346" t="str">
        <f>ESTADISTICA!AD345</f>
        <v>APAGADO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 t="str">
        <f>ESTADISTICA!AB346</f>
        <v>APAGADO</v>
      </c>
      <c r="AC347" t="str">
        <f>ESTADISTICA!AC346</f>
        <v>APAGADO</v>
      </c>
      <c r="AD347" t="str">
        <f>ESTADISTICA!AD346</f>
        <v>APAGADO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 t="str">
        <f>ESTADISTICA!AB347</f>
        <v>APAGADO</v>
      </c>
      <c r="AC348" t="str">
        <f>ESTADISTICA!AC347</f>
        <v>APAGADO</v>
      </c>
      <c r="AD348" t="str">
        <f>ESTADISTICA!AD347</f>
        <v>APAGADO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 t="str">
        <f>ESTADISTICA!T350</f>
        <v>APAGADO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 t="str">
        <f>ESTADISTICA!AB355</f>
        <v>APAGADO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 t="str">
        <f>ESTADISTICA!U371</f>
        <v>APAGADO</v>
      </c>
      <c r="V372" t="str">
        <f>ESTADISTICA!V371</f>
        <v>APAGADO</v>
      </c>
      <c r="W372" t="str">
        <f>ESTADISTICA!W371</f>
        <v>APAGADO</v>
      </c>
      <c r="X372" t="str">
        <f>ESTADISTICA!X371</f>
        <v>APAGADO</v>
      </c>
      <c r="Y372" t="str">
        <f>ESTADISTICA!Y371</f>
        <v>APAGADO</v>
      </c>
      <c r="Z372" t="str">
        <f>ESTADISTICA!Z371</f>
        <v>APAGADO</v>
      </c>
      <c r="AA372" t="str">
        <f>ESTADISTICA!AA371</f>
        <v>APAGADO</v>
      </c>
      <c r="AB372" t="str">
        <f>ESTADISTICA!AB371</f>
        <v>APAGADO</v>
      </c>
      <c r="AC372" t="str">
        <f>ESTADISTICA!AC371</f>
        <v>APAGADO</v>
      </c>
      <c r="AD372" t="str">
        <f>ESTADISTICA!AD371</f>
        <v>APAGADO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 t="str">
        <f>ESTADISTICA!Z376</f>
        <v>APAGADO</v>
      </c>
      <c r="AA377" t="str">
        <f>ESTADISTICA!AA376</f>
        <v>APAGADO</v>
      </c>
      <c r="AB377" t="str">
        <f>ESTADISTICA!AB376</f>
        <v>APAGADO</v>
      </c>
      <c r="AC377" t="str">
        <f>ESTADISTICA!AC376</f>
        <v>APAGADO</v>
      </c>
      <c r="AD377" t="str">
        <f>ESTADISTICA!AD376</f>
        <v>APAGADO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 t="str">
        <f>ESTADISTICA!S377</f>
        <v>APAGADO</v>
      </c>
      <c r="T378" t="str">
        <f>ESTADISTICA!T377</f>
        <v>APAGADO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 t="str">
        <f>ESTADISTICA!U378</f>
        <v>APAGADO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 t="str">
        <f>ESTADISTICA!T380</f>
        <v>APAGADO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 t="str">
        <f>ESTADISTICA!U387</f>
        <v>APAGADO</v>
      </c>
      <c r="V388" s="40" t="str">
        <f>ESTADISTICA!V387</f>
        <v>APAGADO</v>
      </c>
      <c r="W388" s="40" t="str">
        <f>ESTADISTICA!W387</f>
        <v>APAGADO</v>
      </c>
      <c r="X388" s="40" t="str">
        <f>ESTADISTICA!X387</f>
        <v>APAGADO</v>
      </c>
      <c r="Y388" s="40" t="str">
        <f>ESTADISTICA!Y387</f>
        <v>APAGADO</v>
      </c>
      <c r="Z388" s="40">
        <f>ESTADISTICA!Z387</f>
        <v>0</v>
      </c>
      <c r="AA388" s="40" t="str">
        <f>ESTADISTICA!AA387</f>
        <v>APAGADO</v>
      </c>
      <c r="AB388" s="40" t="str">
        <f>ESTADISTICA!AB387</f>
        <v>APAGADO</v>
      </c>
      <c r="AC388" s="40" t="str">
        <f>ESTADISTICA!AC387</f>
        <v>APAGADO</v>
      </c>
      <c r="AD388" s="40" t="str">
        <f>ESTADISTICA!AD387</f>
        <v>APAGADO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 t="str">
        <f>ESTADISTICA!U388</f>
        <v>APAGADO</v>
      </c>
      <c r="V389" s="40" t="str">
        <f>ESTADISTICA!V388</f>
        <v>APAGADO</v>
      </c>
      <c r="W389" s="40" t="str">
        <f>ESTADISTICA!W388</f>
        <v>APAGADO</v>
      </c>
      <c r="X389" s="40" t="str">
        <f>ESTADISTICA!X388</f>
        <v>APAGADO</v>
      </c>
      <c r="Y389" s="40" t="str">
        <f>ESTADISTICA!Y388</f>
        <v>APAGADO</v>
      </c>
      <c r="Z389" s="40">
        <f>ESTADISTICA!Z388</f>
        <v>0</v>
      </c>
      <c r="AA389" s="40" t="str">
        <f>ESTADISTICA!AA388</f>
        <v>APAGADO</v>
      </c>
      <c r="AB389" s="40" t="str">
        <f>ESTADISTICA!AB388</f>
        <v>APAGADO</v>
      </c>
      <c r="AC389" s="40" t="str">
        <f>ESTADISTICA!AC388</f>
        <v>APAGADO</v>
      </c>
      <c r="AD389" s="40" t="str">
        <f>ESTADISTICA!AD388</f>
        <v>APAGADO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 t="str">
        <f>ESTADISTICA!W395</f>
        <v>APAGADO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 t="str">
        <f>ESTADISTICA!W396</f>
        <v>APAGADO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 t="str">
        <f>ESTADISTICA!W397</f>
        <v>APAGADO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 t="str">
        <f>ESTADISTICA!AB402</f>
        <v>APAGADO</v>
      </c>
      <c r="AC403" s="40" t="str">
        <f>ESTADISTICA!AC402</f>
        <v>APAGADO</v>
      </c>
      <c r="AD403" s="40" t="str">
        <f>ESTADISTICA!AD402</f>
        <v>APAGADO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 t="str">
        <f>ESTADISTICA!S406</f>
        <v>APAGADO</v>
      </c>
      <c r="T407" s="40" t="str">
        <f>ESTADISTICA!T406</f>
        <v>APAGADO</v>
      </c>
      <c r="U407" s="40" t="str">
        <f>ESTADISTICA!U406</f>
        <v>APAGADO</v>
      </c>
      <c r="V407" s="40" t="str">
        <f>ESTADISTICA!V406</f>
        <v>APAGADO</v>
      </c>
      <c r="W407" s="40" t="str">
        <f>ESTADISTICA!W406</f>
        <v>APAGADO</v>
      </c>
      <c r="X407" s="40">
        <f>ESTADISTICA!X406</f>
        <v>0</v>
      </c>
      <c r="Y407" s="40" t="str">
        <f>ESTADISTICA!Y406</f>
        <v>APAGADO</v>
      </c>
      <c r="Z407" s="40">
        <f>ESTADISTICA!Z406</f>
        <v>0</v>
      </c>
      <c r="AA407" s="40">
        <f>ESTADISTICA!AA406</f>
        <v>0</v>
      </c>
      <c r="AB407" s="40" t="str">
        <f>ESTADISTICA!AB406</f>
        <v>APAGADO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 t="str">
        <f>ESTADISTICA!S407</f>
        <v>APAGADO</v>
      </c>
      <c r="T408" s="40" t="str">
        <f>ESTADISTICA!T407</f>
        <v>APAGADO</v>
      </c>
      <c r="U408" s="40" t="str">
        <f>ESTADISTICA!U407</f>
        <v>APAGADO</v>
      </c>
      <c r="V408" s="40" t="str">
        <f>ESTADISTICA!V407</f>
        <v>APAGADO</v>
      </c>
      <c r="W408" s="40" t="str">
        <f>ESTADISTICA!W407</f>
        <v>APAGADO</v>
      </c>
      <c r="X408" s="40">
        <f>ESTADISTICA!X407</f>
        <v>0</v>
      </c>
      <c r="Y408" s="40" t="str">
        <f>ESTADISTICA!Y407</f>
        <v>APAGADO</v>
      </c>
      <c r="Z408" s="40">
        <f>ESTADISTICA!Z407</f>
        <v>0</v>
      </c>
      <c r="AA408" s="40">
        <f>ESTADISTICA!AA407</f>
        <v>0</v>
      </c>
      <c r="AB408" s="40" t="str">
        <f>ESTADISTICA!AB407</f>
        <v>APAGADO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 t="str">
        <f>ESTADISTICA!S409</f>
        <v>APAGADO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 t="str">
        <f>ESTADISTICA!S417</f>
        <v>APAGADO</v>
      </c>
      <c r="T418" s="40" t="str">
        <f>ESTADISTICA!T417</f>
        <v>APAGADO</v>
      </c>
      <c r="U418" s="40" t="str">
        <f>ESTADISTICA!U417</f>
        <v>APAGADO</v>
      </c>
      <c r="V418" s="40" t="str">
        <f>ESTADISTICA!V417</f>
        <v>APAGADO</v>
      </c>
      <c r="W418" s="40" t="str">
        <f>ESTADISTICA!W417</f>
        <v>APAGADO</v>
      </c>
      <c r="X418" s="40" t="str">
        <f>ESTADISTICA!X417</f>
        <v>APAGADO</v>
      </c>
      <c r="Y418" s="40" t="str">
        <f>ESTADISTICA!Y417</f>
        <v>APAGADO</v>
      </c>
      <c r="Z418" s="40" t="str">
        <f>ESTADISTICA!Z417</f>
        <v>APAGADO</v>
      </c>
      <c r="AA418" s="40" t="str">
        <f>ESTADISTICA!AA417</f>
        <v>APAGADO</v>
      </c>
      <c r="AB418" s="40" t="str">
        <f>ESTADISTICA!AB417</f>
        <v>APAGADO</v>
      </c>
      <c r="AC418" s="40" t="str">
        <f>ESTADISTICA!AC417</f>
        <v>APAGADO</v>
      </c>
      <c r="AD418" s="40" t="str">
        <f>ESTADISTICA!AD417</f>
        <v>APAGADO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 t="str">
        <f>ESTADISTICA!U425</f>
        <v>APAGADO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 t="str">
        <f>ESTADISTICA!U426</f>
        <v>APAGADO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 t="str">
        <f>ESTADISTICA!V429</f>
        <v>APAGADO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V198" activePane="bottomRight" state="frozen"/>
      <selection pane="topRight" activeCell="F1" sqref="F1"/>
      <selection pane="bottomLeft" activeCell="A8" sqref="A8"/>
      <selection pane="bottomRight" activeCell="AA3" sqref="AA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COUNTIFS(Q4:Q500, "=APAGADO",E4:E500,"=Fibra Optica")</f>
        <v>36</v>
      </c>
      <c r="R2" s="19">
        <f>COUNTIFS(R4:R500, "=APAGADO",E4:E500,"=Fibra Optica")</f>
        <v>61</v>
      </c>
      <c r="S2" s="19">
        <f>COUNTIFS(S4:S500, "=APAGADO",E4:E500,"=Fibra Optica")</f>
        <v>36</v>
      </c>
      <c r="T2" s="19">
        <f>COUNTIFS(T4:T500, "=APAGADO",E4:E500,"=Fibra Optica")</f>
        <v>35</v>
      </c>
      <c r="U2" s="19">
        <f>COUNTIFS(U4:U500, "=APAGADO",E4:E500,"=Fibra Optica")</f>
        <v>36</v>
      </c>
      <c r="V2" s="19">
        <f>COUNTIFS(V4:V500, "=APAGADO",E4:E500,"=Fibra Optica")</f>
        <v>36</v>
      </c>
      <c r="W2" s="19">
        <f>COUNTIFS(W4:W500, "=APAGADO",E4:E500,"=Fibra Optica")</f>
        <v>41</v>
      </c>
      <c r="X2" s="19">
        <f>COUNTIFS(X4:X500, "=APAGADO",E4:E500,"=Fibra Optica")</f>
        <v>34</v>
      </c>
      <c r="Y2" s="19">
        <f>COUNTIFS(Y4:Y500, "=APAGADO",E4:E500,"=Fibra Optica")</f>
        <v>33</v>
      </c>
      <c r="Z2" s="19">
        <f>COUNTIFS(Z4:Z500, "=APAGADO",E4:E500,"=Fibra Optica")</f>
        <v>28</v>
      </c>
      <c r="AA2" s="19">
        <f>COUNTIFS(AA4:AA500, "=APAGADO",E4:E500,"=Fibra Optica")</f>
        <v>32</v>
      </c>
      <c r="AB2" s="19">
        <f>COUNTIFS(AB4:AB400, "=APAGADO",E4:E400,"=Fibra Optica")</f>
        <v>38</v>
      </c>
      <c r="AC2" s="19">
        <f>COUNTIFS(AC4:AC400, "=APAGADO",E4:E400,"=Fibra Optica")</f>
        <v>32</v>
      </c>
      <c r="AD2" s="19">
        <f>COUNTIFS(AD4:AD400, "=APAGADO",E4:E400,"=Fibra Optica")</f>
        <v>49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 t="str">
        <f>ESTADISTICA!S13</f>
        <v>APAGADO</v>
      </c>
      <c r="T15" s="40" t="str">
        <f>ESTADISTICA!T13</f>
        <v>APAGADO</v>
      </c>
      <c r="U15" s="40">
        <f>ESTADISTICA!U13</f>
        <v>0</v>
      </c>
      <c r="V15" s="40" t="str">
        <f>ESTADISTICA!V13</f>
        <v>APAGADO</v>
      </c>
      <c r="W15" s="40" t="str">
        <f>ESTADISTICA!W13</f>
        <v>APAGADO</v>
      </c>
      <c r="X15" s="40" t="str">
        <f>ESTADISTICA!X13</f>
        <v>APAGADO</v>
      </c>
      <c r="Y15" s="40" t="str">
        <f>ESTADISTICA!Y13</f>
        <v>APAGADO</v>
      </c>
      <c r="Z15" s="40" t="str">
        <f>ESTADISTICA!Z13</f>
        <v>APAGADO</v>
      </c>
      <c r="AA15" s="40" t="str">
        <f>ESTADISTICA!AA13</f>
        <v>APAGADO</v>
      </c>
      <c r="AB15" s="40" t="str">
        <f>ESTADISTICA!AB13</f>
        <v>APAGADO</v>
      </c>
      <c r="AC15" s="40" t="str">
        <f>ESTADISTICA!AC13</f>
        <v>APAGADO</v>
      </c>
      <c r="AD15" s="40" t="str">
        <f>ESTADISTICA!AD13</f>
        <v>APAGADO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 t="str">
        <f>ESTADISTICA!X14</f>
        <v>APAGADO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 t="str">
        <f>ESTADISTICA!X15</f>
        <v>APAGADO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 t="str">
        <f>ESTADISTICA!V16</f>
        <v>APAGADO</v>
      </c>
      <c r="W18" s="40">
        <f>ESTADISTICA!W16</f>
        <v>0</v>
      </c>
      <c r="X18" s="40" t="str">
        <f>ESTADISTICA!X16</f>
        <v>APAGADO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 t="str">
        <f>ESTADISTICA!V17</f>
        <v>APAGADO</v>
      </c>
      <c r="W19" s="40">
        <f>ESTADISTICA!W17</f>
        <v>0</v>
      </c>
      <c r="X19" s="40" t="str">
        <f>ESTADISTICA!X17</f>
        <v>APAGADO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 t="str">
        <f>ESTADISTICA!X18</f>
        <v>APAGADO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 t="str">
        <f>ESTADISTICA!X19</f>
        <v>APAGADO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 t="str">
        <f>ESTADISTICA!AB25</f>
        <v>APAGADO</v>
      </c>
      <c r="AC27" s="40" t="str">
        <f>ESTADISTICA!AC25</f>
        <v>APAGADO</v>
      </c>
      <c r="AD27" s="40" t="str">
        <f>ESTADISTICA!AD25</f>
        <v>APAGADO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 t="str">
        <f>ESTADISTICA!S32</f>
        <v>APAGADO</v>
      </c>
      <c r="T34" s="40" t="str">
        <f>ESTADISTICA!T32</f>
        <v>APAGADO</v>
      </c>
      <c r="U34" s="40" t="str">
        <f>ESTADISTICA!U32</f>
        <v>APAGADO</v>
      </c>
      <c r="V34" s="40" t="str">
        <f>ESTADISTICA!V32</f>
        <v>APAGADO</v>
      </c>
      <c r="W34" s="40" t="str">
        <f>ESTADISTICA!W32</f>
        <v>APAGADO</v>
      </c>
      <c r="X34" s="40">
        <f>ESTADISTICA!X32</f>
        <v>0</v>
      </c>
      <c r="Y34" s="40" t="str">
        <f>ESTADISTICA!Y32</f>
        <v>APAGADO</v>
      </c>
      <c r="Z34" s="40" t="str">
        <f>ESTADISTICA!Z32</f>
        <v>APAGADO</v>
      </c>
      <c r="AA34" s="40" t="str">
        <f>ESTADISTICA!AA32</f>
        <v>APAGADO</v>
      </c>
      <c r="AB34" s="40" t="str">
        <f>ESTADISTICA!AB32</f>
        <v>APAGADO</v>
      </c>
      <c r="AC34" s="40" t="str">
        <f>ESTADISTICA!AC32</f>
        <v>APAGADO</v>
      </c>
      <c r="AD34" s="40" t="str">
        <f>ESTADISTICA!AD32</f>
        <v>APAGADO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 t="str">
        <f>ESTADISTICA!AB33</f>
        <v>APAGADO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 t="str">
        <f>ESTADISTICA!U35</f>
        <v>APAGADO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 t="str">
        <f>ESTADISTICA!Y35</f>
        <v>APAGADO</v>
      </c>
      <c r="Z37" s="40">
        <f>ESTADISTICA!Z35</f>
        <v>0</v>
      </c>
      <c r="AA37" s="40" t="str">
        <f>ESTADISTICA!AA35</f>
        <v>APAGADO</v>
      </c>
      <c r="AB37" s="40" t="str">
        <f>ESTADISTICA!AB35</f>
        <v>APAGADO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 t="str">
        <f>ESTADISTICA!Z36</f>
        <v>APAGADO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 t="str">
        <f>ESTADISTICA!S38</f>
        <v>APAGADO</v>
      </c>
      <c r="T40" s="40" t="str">
        <f>ESTADISTICA!T38</f>
        <v>APAGADO</v>
      </c>
      <c r="U40" s="40" t="str">
        <f>ESTADISTICA!U38</f>
        <v>APAGADO</v>
      </c>
      <c r="V40" s="40" t="str">
        <f>ESTADISTICA!V38</f>
        <v>APAGADO</v>
      </c>
      <c r="W40" s="40" t="str">
        <f>ESTADISTICA!W38</f>
        <v>APAGADO</v>
      </c>
      <c r="X40" s="40" t="str">
        <f>ESTADISTICA!X38</f>
        <v>APAGADO</v>
      </c>
      <c r="Y40" s="40" t="str">
        <f>ESTADISTICA!Y38</f>
        <v>APAGADO</v>
      </c>
      <c r="Z40" s="40" t="str">
        <f>ESTADISTICA!Z38</f>
        <v>APAGADO</v>
      </c>
      <c r="AA40" s="40" t="str">
        <f>ESTADISTICA!AA38</f>
        <v>APAGADO</v>
      </c>
      <c r="AB40" s="40" t="str">
        <f>ESTADISTICA!AB38</f>
        <v>APAGADO</v>
      </c>
      <c r="AC40" s="40" t="str">
        <f>ESTADISTICA!AC38</f>
        <v>APAGADO</v>
      </c>
      <c r="AD40" s="40" t="str">
        <f>ESTADISTICA!AD38</f>
        <v>APAGADO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 t="str">
        <f>ESTADISTICA!S46</f>
        <v>APAGADO</v>
      </c>
      <c r="T48" s="40" t="str">
        <f>ESTADISTICA!T46</f>
        <v>APAGADO</v>
      </c>
      <c r="U48" s="40" t="str">
        <f>ESTADISTICA!U46</f>
        <v>APAGADO</v>
      </c>
      <c r="V48" s="40" t="str">
        <f>ESTADISTICA!V46</f>
        <v>APAGADO</v>
      </c>
      <c r="W48" s="40" t="str">
        <f>ESTADISTICA!W46</f>
        <v>APAGADO</v>
      </c>
      <c r="X48" s="40" t="str">
        <f>ESTADISTICA!X46</f>
        <v>APAGADO</v>
      </c>
      <c r="Y48" s="40" t="str">
        <f>ESTADISTICA!Y46</f>
        <v>APAGADO</v>
      </c>
      <c r="Z48" s="40" t="str">
        <f>ESTADISTICA!Z46</f>
        <v>APAGADO</v>
      </c>
      <c r="AA48" s="40" t="str">
        <f>ESTADISTICA!AA46</f>
        <v>APAGADO</v>
      </c>
      <c r="AB48" s="40" t="str">
        <f>ESTADISTICA!AB46</f>
        <v>APAGADO</v>
      </c>
      <c r="AC48" s="40" t="str">
        <f>ESTADISTICA!AC46</f>
        <v>APAGADO</v>
      </c>
      <c r="AD48" s="40" t="str">
        <f>ESTADISTICA!AD46</f>
        <v>APAGADO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 t="str">
        <f>ESTADISTICA!S47</f>
        <v>APAGADO</v>
      </c>
      <c r="T49" s="40" t="str">
        <f>ESTADISTICA!T47</f>
        <v>APAGADO</v>
      </c>
      <c r="U49" s="40" t="str">
        <f>ESTADISTICA!U47</f>
        <v>APAGADO</v>
      </c>
      <c r="V49" s="40" t="str">
        <f>ESTADISTICA!V47</f>
        <v>APAGADO</v>
      </c>
      <c r="W49" s="40" t="str">
        <f>ESTADISTICA!W47</f>
        <v>APAGADO</v>
      </c>
      <c r="X49" s="40" t="str">
        <f>ESTADISTICA!X47</f>
        <v>APAGADO</v>
      </c>
      <c r="Y49" s="40">
        <f>ESTADISTICA!Y47</f>
        <v>0</v>
      </c>
      <c r="Z49" s="40" t="str">
        <f>ESTADISTICA!Z47</f>
        <v>APAGADO</v>
      </c>
      <c r="AA49" s="40" t="str">
        <f>ESTADISTICA!AA47</f>
        <v>APAGADO</v>
      </c>
      <c r="AB49" s="40" t="str">
        <f>ESTADISTICA!AB47</f>
        <v>APAGADO</v>
      </c>
      <c r="AC49" s="40" t="str">
        <f>ESTADISTICA!AC47</f>
        <v>APAGADO</v>
      </c>
      <c r="AD49" s="40" t="str">
        <f>ESTADISTICA!AD47</f>
        <v>APAGADO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 t="str">
        <f>ESTADISTICA!S49</f>
        <v>APAGADO</v>
      </c>
      <c r="T51" s="40" t="str">
        <f>ESTADISTICA!T49</f>
        <v>APAGADO</v>
      </c>
      <c r="U51" s="40" t="str">
        <f>ESTADISTICA!U49</f>
        <v>APAGADO</v>
      </c>
      <c r="V51" s="40" t="str">
        <f>ESTADISTICA!V49</f>
        <v>APAGADO</v>
      </c>
      <c r="W51" s="40" t="str">
        <f>ESTADISTICA!W49</f>
        <v>APAGADO</v>
      </c>
      <c r="X51" s="40" t="str">
        <f>ESTADISTICA!X49</f>
        <v>APAGADO</v>
      </c>
      <c r="Y51" s="40" t="str">
        <f>ESTADISTICA!Y49</f>
        <v>APAGADO</v>
      </c>
      <c r="Z51" s="40" t="str">
        <f>ESTADISTICA!Z49</f>
        <v>APAGADO</v>
      </c>
      <c r="AA51" s="40" t="str">
        <f>ESTADISTICA!AA49</f>
        <v>APAGADO</v>
      </c>
      <c r="AB51" s="40" t="str">
        <f>ESTADISTICA!AB49</f>
        <v>APAGADO</v>
      </c>
      <c r="AC51" s="40" t="str">
        <f>ESTADISTICA!AC49</f>
        <v>APAGADO</v>
      </c>
      <c r="AD51" s="40" t="str">
        <f>ESTADISTICA!AD49</f>
        <v>APAGADO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 t="str">
        <f>ESTADISTICA!S52</f>
        <v>APAGADO</v>
      </c>
      <c r="T54" s="40" t="str">
        <f>ESTADISTICA!T52</f>
        <v>APAGADO</v>
      </c>
      <c r="U54" s="40" t="str">
        <f>ESTADISTICA!U52</f>
        <v>APAGADO</v>
      </c>
      <c r="V54" s="40" t="str">
        <f>ESTADISTICA!V52</f>
        <v>APAGADO</v>
      </c>
      <c r="W54" s="40" t="str">
        <f>ESTADISTICA!W52</f>
        <v>APAGADO</v>
      </c>
      <c r="X54" s="40" t="str">
        <f>ESTADISTICA!X52</f>
        <v>APAGADO</v>
      </c>
      <c r="Y54" s="40" t="str">
        <f>ESTADISTICA!Y52</f>
        <v>APAGADO</v>
      </c>
      <c r="Z54" s="40" t="str">
        <f>ESTADISTICA!Z52</f>
        <v>APAGADO</v>
      </c>
      <c r="AA54" s="40" t="str">
        <f>ESTADISTICA!AA52</f>
        <v>APAGADO</v>
      </c>
      <c r="AB54" s="40" t="str">
        <f>ESTADISTICA!AB52</f>
        <v>APAGADO</v>
      </c>
      <c r="AC54" s="40" t="str">
        <f>ESTADISTICA!AC52</f>
        <v>APAGADO</v>
      </c>
      <c r="AD54" s="40" t="str">
        <f>ESTADISTICA!AD52</f>
        <v>APAGADO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 t="str">
        <f>ESTADISTICA!S54</f>
        <v>APAGADO</v>
      </c>
      <c r="T56" s="40" t="str">
        <f>ESTADISTICA!T54</f>
        <v>APAGADO</v>
      </c>
      <c r="U56" s="40" t="str">
        <f>ESTADISTICA!U54</f>
        <v>APAGADO</v>
      </c>
      <c r="V56" s="40" t="str">
        <f>ESTADISTICA!V54</f>
        <v>APAGADO</v>
      </c>
      <c r="W56" s="40" t="str">
        <f>ESTADISTICA!W54</f>
        <v>APAGADO</v>
      </c>
      <c r="X56" s="40" t="str">
        <f>ESTADISTICA!X54</f>
        <v>APAGADO</v>
      </c>
      <c r="Y56" s="40" t="str">
        <f>ESTADISTICA!Y54</f>
        <v>APAGADO</v>
      </c>
      <c r="Z56" s="40" t="str">
        <f>ESTADISTICA!Z54</f>
        <v>APAGADO</v>
      </c>
      <c r="AA56" s="40" t="str">
        <f>ESTADISTICA!AA54</f>
        <v>APAGADO</v>
      </c>
      <c r="AB56" s="40" t="str">
        <f>ESTADISTICA!AB54</f>
        <v>APAGADO</v>
      </c>
      <c r="AC56" s="40" t="str">
        <f>ESTADISTICA!AC54</f>
        <v>APAGADO</v>
      </c>
      <c r="AD56" s="40" t="str">
        <f>ESTADISTICA!AD54</f>
        <v>APAGADO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 t="str">
        <f>ESTADISTICA!T58</f>
        <v>APAGADO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 t="str">
        <f>ESTADISTICA!S67</f>
        <v>APAGADO</v>
      </c>
      <c r="T69" s="40" t="str">
        <f>ESTADISTICA!T67</f>
        <v>APAGADO</v>
      </c>
      <c r="U69" s="40" t="str">
        <f>ESTADISTICA!U67</f>
        <v>APAGADO</v>
      </c>
      <c r="V69" s="40" t="str">
        <f>ESTADISTICA!V67</f>
        <v>APAGADO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 t="str">
        <f>ESTADISTICA!S73</f>
        <v>APAGADO</v>
      </c>
      <c r="T75" s="40" t="str">
        <f>ESTADISTICA!T73</f>
        <v>APAGADO</v>
      </c>
      <c r="U75" s="40" t="str">
        <f>ESTADISTICA!U73</f>
        <v>APAGADO</v>
      </c>
      <c r="V75" s="40" t="str">
        <f>ESTADISTICA!V73</f>
        <v>APAGADO</v>
      </c>
      <c r="W75" s="40" t="str">
        <f>ESTADISTICA!W73</f>
        <v>APAGADO</v>
      </c>
      <c r="X75" s="40">
        <f>ESTADISTICA!X73</f>
        <v>0</v>
      </c>
      <c r="Y75" s="40" t="str">
        <f>ESTADISTICA!Y73</f>
        <v>APAGADO</v>
      </c>
      <c r="Z75" s="40" t="str">
        <f>ESTADISTICA!Z73</f>
        <v>APAGADO</v>
      </c>
      <c r="AA75" s="40" t="str">
        <f>ESTADISTICA!AA73</f>
        <v>APAGADO</v>
      </c>
      <c r="AB75" s="40" t="str">
        <f>ESTADISTICA!AB73</f>
        <v>APAGADO</v>
      </c>
      <c r="AC75" s="40" t="str">
        <f>ESTADISTICA!AC73</f>
        <v>APAGADO</v>
      </c>
      <c r="AD75" s="40" t="str">
        <f>ESTADISTICA!AD73</f>
        <v>APAGADO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 t="str">
        <f>ESTADISTICA!U75</f>
        <v>APAGADO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 t="str">
        <f>ESTADISTICA!Z75</f>
        <v>APAGADO</v>
      </c>
      <c r="AA77" s="40">
        <f>ESTADISTICA!AA75</f>
        <v>0</v>
      </c>
      <c r="AB77" s="40" t="str">
        <f>ESTADISTICA!AB75</f>
        <v>APAGADO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 t="str">
        <f>ESTADISTICA!X83</f>
        <v>APAGADO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 t="str">
        <f>ESTADISTICA!U85</f>
        <v>APAGADO</v>
      </c>
      <c r="V87" s="40" t="str">
        <f>ESTADISTICA!V85</f>
        <v>APAGADO</v>
      </c>
      <c r="W87" s="40" t="str">
        <f>ESTADISTICA!W85</f>
        <v>APAGADO</v>
      </c>
      <c r="X87" s="40" t="str">
        <f>ESTADISTICA!X85</f>
        <v>APAGADO</v>
      </c>
      <c r="Y87" s="40" t="str">
        <f>ESTADISTICA!Y85</f>
        <v>APAGADO</v>
      </c>
      <c r="Z87" s="40">
        <f>ESTADISTICA!Z85</f>
        <v>0</v>
      </c>
      <c r="AA87" s="40" t="str">
        <f>ESTADISTICA!AA85</f>
        <v>APAGADO</v>
      </c>
      <c r="AB87" s="40" t="str">
        <f>ESTADISTICA!AB85</f>
        <v>APAGADO</v>
      </c>
      <c r="AC87" s="40" t="str">
        <f>ESTADISTICA!AC85</f>
        <v>APAGADO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 t="str">
        <f>ESTADISTICA!U86</f>
        <v>APAGADO</v>
      </c>
      <c r="V88" s="40" t="str">
        <f>ESTADISTICA!V86</f>
        <v>APAGADO</v>
      </c>
      <c r="W88" s="40" t="str">
        <f>ESTADISTICA!W86</f>
        <v>APAGADO</v>
      </c>
      <c r="X88" s="40" t="str">
        <f>ESTADISTICA!X86</f>
        <v>APAGADO</v>
      </c>
      <c r="Y88" s="40" t="str">
        <f>ESTADISTICA!Y86</f>
        <v>APAGADO</v>
      </c>
      <c r="Z88" s="40">
        <f>ESTADISTICA!Z86</f>
        <v>0</v>
      </c>
      <c r="AA88" s="40" t="str">
        <f>ESTADISTICA!AA86</f>
        <v>APAGADO</v>
      </c>
      <c r="AB88" s="40" t="str">
        <f>ESTADISTICA!AB86</f>
        <v>APAGADO</v>
      </c>
      <c r="AC88" s="40" t="str">
        <f>ESTADISTICA!AC86</f>
        <v>APAGADO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 t="str">
        <f>ESTADISTICA!S92</f>
        <v>APAGADO</v>
      </c>
      <c r="T94" s="40" t="str">
        <f>ESTADISTICA!T92</f>
        <v>APAGADO</v>
      </c>
      <c r="U94" s="40" t="str">
        <f>ESTADISTICA!U92</f>
        <v>APAGADO</v>
      </c>
      <c r="V94" s="40" t="str">
        <f>ESTADISTICA!V92</f>
        <v>APAGADO</v>
      </c>
      <c r="W94" s="40" t="str">
        <f>ESTADISTICA!W92</f>
        <v>APAGADO</v>
      </c>
      <c r="X94" s="40" t="str">
        <f>ESTADISTICA!X92</f>
        <v>APAGADO</v>
      </c>
      <c r="Y94" s="40" t="str">
        <f>ESTADISTICA!Y92</f>
        <v>APAGADO</v>
      </c>
      <c r="Z94" s="40" t="str">
        <f>ESTADISTICA!Z92</f>
        <v>APAGADO</v>
      </c>
      <c r="AA94" s="40" t="str">
        <f>ESTADISTICA!AA92</f>
        <v>APAGADO</v>
      </c>
      <c r="AB94" s="40" t="str">
        <f>ESTADISTICA!AB92</f>
        <v>APAGADO</v>
      </c>
      <c r="AC94" s="40" t="str">
        <f>ESTADISTICA!AC92</f>
        <v>APAGADO</v>
      </c>
      <c r="AD94" s="40" t="str">
        <f>ESTADISTICA!AD92</f>
        <v>APAGADO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 t="str">
        <f>ESTADISTICA!S96</f>
        <v>APAGADO</v>
      </c>
      <c r="T98" s="40" t="str">
        <f>ESTADISTICA!T96</f>
        <v>APAGADO</v>
      </c>
      <c r="U98" s="40" t="str">
        <f>ESTADISTICA!U96</f>
        <v>APAGADO</v>
      </c>
      <c r="V98" s="40" t="str">
        <f>ESTADISTICA!V96</f>
        <v>APAGADO</v>
      </c>
      <c r="W98" s="40" t="str">
        <f>ESTADISTICA!W96</f>
        <v>APAGADO</v>
      </c>
      <c r="X98" s="40" t="str">
        <f>ESTADISTICA!X96</f>
        <v>APAGADO</v>
      </c>
      <c r="Y98" s="40" t="str">
        <f>ESTADISTICA!Y96</f>
        <v>APAGADO</v>
      </c>
      <c r="Z98" s="40" t="str">
        <f>ESTADISTICA!Z96</f>
        <v>APAGADO</v>
      </c>
      <c r="AA98" s="40" t="str">
        <f>ESTADISTICA!AA96</f>
        <v>APAGADO</v>
      </c>
      <c r="AB98" s="40" t="str">
        <f>ESTADISTICA!AB96</f>
        <v>APAGADO</v>
      </c>
      <c r="AC98" s="40" t="str">
        <f>ESTADISTICA!AC96</f>
        <v>APAGADO</v>
      </c>
      <c r="AD98" s="40" t="str">
        <f>ESTADISTICA!AD96</f>
        <v>APAGADO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 t="str">
        <f>ESTADISTICA!S99</f>
        <v>APAGADO</v>
      </c>
      <c r="T101" s="40" t="str">
        <f>ESTADISTICA!T99</f>
        <v>APAGADO</v>
      </c>
      <c r="U101" s="40" t="str">
        <f>ESTADISTICA!U99</f>
        <v>APAGADO</v>
      </c>
      <c r="V101" s="40" t="str">
        <f>ESTADISTICA!V99</f>
        <v>APAGADO</v>
      </c>
      <c r="W101" s="40" t="str">
        <f>ESTADISTICA!W99</f>
        <v>APAGADO</v>
      </c>
      <c r="X101" s="40" t="str">
        <f>ESTADISTICA!X99</f>
        <v>APAGADO</v>
      </c>
      <c r="Y101" s="40" t="str">
        <f>ESTADISTICA!Y99</f>
        <v>APAGADO</v>
      </c>
      <c r="Z101" s="40" t="str">
        <f>ESTADISTICA!Z99</f>
        <v>APAGADO</v>
      </c>
      <c r="AA101" s="40" t="str">
        <f>ESTADISTICA!AA99</f>
        <v>APAGADO</v>
      </c>
      <c r="AB101" s="40" t="str">
        <f>ESTADISTICA!AB99</f>
        <v>APAGADO</v>
      </c>
      <c r="AC101" s="40" t="str">
        <f>ESTADISTICA!AC99</f>
        <v>APAGADO</v>
      </c>
      <c r="AD101" s="40" t="str">
        <f>ESTADISTICA!AD99</f>
        <v>APAGADO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 t="str">
        <f>ESTADISTICA!T100</f>
        <v>APAGADO</v>
      </c>
      <c r="U102" s="40" t="str">
        <f>ESTADISTICA!U100</f>
        <v>APAGADO</v>
      </c>
      <c r="V102" s="40" t="str">
        <f>ESTADISTICA!V100</f>
        <v>APAGADO</v>
      </c>
      <c r="W102" s="40" t="str">
        <f>ESTADISTICA!W100</f>
        <v>APAGADO</v>
      </c>
      <c r="X102" s="40" t="str">
        <f>ESTADISTICA!X100</f>
        <v>APAGADO</v>
      </c>
      <c r="Y102" s="40" t="str">
        <f>ESTADISTICA!Y100</f>
        <v>APAGADO</v>
      </c>
      <c r="Z102" s="40" t="str">
        <f>ESTADISTICA!Z100</f>
        <v>APAGADO</v>
      </c>
      <c r="AA102" s="40" t="str">
        <f>ESTADISTICA!AA100</f>
        <v>APAGADO</v>
      </c>
      <c r="AB102" s="40" t="str">
        <f>ESTADISTICA!AB100</f>
        <v>APAGADO</v>
      </c>
      <c r="AC102" s="40" t="str">
        <f>ESTADISTICA!AC100</f>
        <v>APAGADO</v>
      </c>
      <c r="AD102" s="40" t="str">
        <f>ESTADISTICA!AD100</f>
        <v>APAGADO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 t="str">
        <f>ESTADISTICA!AD116</f>
        <v>APAGADO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 t="str">
        <f>ESTADISTICA!AD117</f>
        <v>APAGADO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 t="str">
        <f>ESTADISTICA!AD118</f>
        <v>APAGADO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 t="str">
        <f>ESTADISTICA!AD119</f>
        <v>APAGADO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 t="str">
        <f>ESTADISTICA!V121</f>
        <v>APAGADO</v>
      </c>
      <c r="W123" s="40" t="str">
        <f>ESTADISTICA!W121</f>
        <v>APAGADO</v>
      </c>
      <c r="X123" s="40">
        <f>ESTADISTICA!X121</f>
        <v>0</v>
      </c>
      <c r="Y123" s="40" t="str">
        <f>ESTADISTICA!Y121</f>
        <v>APAGADO</v>
      </c>
      <c r="Z123" s="40" t="str">
        <f>ESTADISTICA!Z121</f>
        <v>APAGADO</v>
      </c>
      <c r="AA123" s="40" t="str">
        <f>ESTADISTICA!AA121</f>
        <v>APAGADO</v>
      </c>
      <c r="AB123" s="40" t="str">
        <f>ESTADISTICA!AB121</f>
        <v>APAGADO</v>
      </c>
      <c r="AC123" s="40" t="str">
        <f>ESTADISTICA!AC121</f>
        <v>APAGADO</v>
      </c>
      <c r="AD123" s="40" t="str">
        <f>ESTADISTICA!AD121</f>
        <v>APAGADO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 t="str">
        <f>ESTADISTICA!S123</f>
        <v>APAGADO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 t="str">
        <f>ESTADISTICA!S124</f>
        <v>APAGADO</v>
      </c>
      <c r="T126" s="40" t="str">
        <f>ESTADISTICA!T124</f>
        <v>APAGADO</v>
      </c>
      <c r="U126" s="40" t="str">
        <f>ESTADISTICA!U124</f>
        <v>APAGADO</v>
      </c>
      <c r="V126" s="40" t="str">
        <f>ESTADISTICA!V124</f>
        <v>APAGADO</v>
      </c>
      <c r="W126" s="40" t="str">
        <f>ESTADISTICA!W124</f>
        <v>APAGADO</v>
      </c>
      <c r="X126" s="40" t="str">
        <f>ESTADISTICA!X124</f>
        <v>APAGADO</v>
      </c>
      <c r="Y126" s="40" t="str">
        <f>ESTADISTICA!Y124</f>
        <v>APAGADO</v>
      </c>
      <c r="Z126" s="40" t="str">
        <f>ESTADISTICA!Z124</f>
        <v>APAGADO</v>
      </c>
      <c r="AA126" s="40" t="str">
        <f>ESTADISTICA!AA124</f>
        <v>APAGADO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 t="str">
        <f>ESTADISTICA!AD136</f>
        <v>APAGADO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 t="str">
        <f>ESTADISTICA!AD137</f>
        <v>APAGADO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 t="str">
        <f>ESTADISTICA!X141</f>
        <v>APAGADO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 t="str">
        <f>ESTADISTICA!X158</f>
        <v>APAGADO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 t="str">
        <f>ESTADISTICA!S163</f>
        <v>APAGADO</v>
      </c>
      <c r="T165" s="40" t="str">
        <f>ESTADISTICA!T163</f>
        <v>APAGADO</v>
      </c>
      <c r="U165" s="40" t="str">
        <f>ESTADISTICA!U163</f>
        <v>APAGADO</v>
      </c>
      <c r="V165" s="40" t="str">
        <f>ESTADISTICA!V163</f>
        <v>APAGADO</v>
      </c>
      <c r="W165" s="40" t="str">
        <f>ESTADISTICA!W163</f>
        <v>APAGADO</v>
      </c>
      <c r="X165" s="40" t="str">
        <f>ESTADISTICA!X163</f>
        <v>APAGADO</v>
      </c>
      <c r="Y165" s="40" t="str">
        <f>ESTADISTICA!Y163</f>
        <v>APAGADO</v>
      </c>
      <c r="Z165" s="40" t="str">
        <f>ESTADISTICA!Z163</f>
        <v>APAGADO</v>
      </c>
      <c r="AA165" s="40" t="str">
        <f>ESTADISTICA!AA163</f>
        <v>APAGADO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 t="str">
        <f>ESTADISTICA!S164</f>
        <v>APAGADO</v>
      </c>
      <c r="T166" s="40" t="str">
        <f>ESTADISTICA!T164</f>
        <v>APAGADO</v>
      </c>
      <c r="U166" s="40" t="str">
        <f>ESTADISTICA!U164</f>
        <v>APAGADO</v>
      </c>
      <c r="V166" s="40" t="str">
        <f>ESTADISTICA!V164</f>
        <v>APAGADO</v>
      </c>
      <c r="W166" s="40" t="str">
        <f>ESTADISTICA!W164</f>
        <v>APAGADO</v>
      </c>
      <c r="X166" s="40" t="str">
        <f>ESTADISTICA!X164</f>
        <v>APAGADO</v>
      </c>
      <c r="Y166" s="40" t="str">
        <f>ESTADISTICA!Y164</f>
        <v>APAGADO</v>
      </c>
      <c r="Z166" s="40" t="str">
        <f>ESTADISTICA!Z164</f>
        <v>APAGADO</v>
      </c>
      <c r="AA166" s="40" t="str">
        <f>ESTADISTICA!AA164</f>
        <v>APAGADO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 t="str">
        <f>ESTADISTICA!S173</f>
        <v>APAGADO</v>
      </c>
      <c r="T175" s="40" t="str">
        <f>ESTADISTICA!T173</f>
        <v>APAGADO</v>
      </c>
      <c r="U175" s="40" t="str">
        <f>ESTADISTICA!U173</f>
        <v>APAGADO</v>
      </c>
      <c r="V175" s="40" t="str">
        <f>ESTADISTICA!V173</f>
        <v>APAGADO</v>
      </c>
      <c r="W175" s="40" t="str">
        <f>ESTADISTICA!W173</f>
        <v>APAGADO</v>
      </c>
      <c r="X175" s="40" t="str">
        <f>ESTADISTICA!X173</f>
        <v>APAGADO</v>
      </c>
      <c r="Y175" s="40" t="str">
        <f>ESTADISTICA!Y173</f>
        <v>APAGADO</v>
      </c>
      <c r="Z175" s="40" t="str">
        <f>ESTADISTICA!Z173</f>
        <v>APAGADO</v>
      </c>
      <c r="AA175" s="40" t="str">
        <f>ESTADISTICA!AA173</f>
        <v>APAGADO</v>
      </c>
      <c r="AB175" s="40" t="str">
        <f>ESTADISTICA!AB173</f>
        <v>APAGADO</v>
      </c>
      <c r="AC175" s="40">
        <f>ESTADISTICA!AC173</f>
        <v>0</v>
      </c>
      <c r="AD175" s="40" t="str">
        <f>ESTADISTICA!AD173</f>
        <v>APAGADO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 t="str">
        <f>ESTADISTICA!AD174</f>
        <v>APAGADO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 t="str">
        <f>ESTADISTICA!S175</f>
        <v>APAGADO</v>
      </c>
      <c r="T177" s="40" t="str">
        <f>ESTADISTICA!T175</f>
        <v>APAGADO</v>
      </c>
      <c r="U177" s="40" t="str">
        <f>ESTADISTICA!U175</f>
        <v>APAGADO</v>
      </c>
      <c r="V177" s="40" t="str">
        <f>ESTADISTICA!V175</f>
        <v>APAGADO</v>
      </c>
      <c r="W177" s="40" t="str">
        <f>ESTADISTICA!W175</f>
        <v>APAGADO</v>
      </c>
      <c r="X177" s="40" t="str">
        <f>ESTADISTICA!X175</f>
        <v>APAGADO</v>
      </c>
      <c r="Y177" s="40" t="str">
        <f>ESTADISTICA!Y175</f>
        <v>APAGADO</v>
      </c>
      <c r="Z177" s="40" t="str">
        <f>ESTADISTICA!Z175</f>
        <v>APAGADO</v>
      </c>
      <c r="AA177" s="40" t="str">
        <f>ESTADISTICA!AA175</f>
        <v>APAGADO</v>
      </c>
      <c r="AB177" s="40" t="str">
        <f>ESTADISTICA!AB175</f>
        <v>APAGADO</v>
      </c>
      <c r="AC177" s="40">
        <f>ESTADISTICA!AC175</f>
        <v>0</v>
      </c>
      <c r="AD177" s="40" t="str">
        <f>ESTADISTICA!AD175</f>
        <v>APAGADO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 t="str">
        <f>ESTADISTICA!S180</f>
        <v>APAGADO</v>
      </c>
      <c r="T182" s="40" t="str">
        <f>ESTADISTICA!T180</f>
        <v>APAGADO</v>
      </c>
      <c r="U182" s="40" t="str">
        <f>ESTADISTICA!U180</f>
        <v>APAGADO</v>
      </c>
      <c r="V182" s="40" t="str">
        <f>ESTADISTICA!V180</f>
        <v>APAGADO</v>
      </c>
      <c r="W182" s="40" t="str">
        <f>ESTADISTICA!W180</f>
        <v>APAGADO</v>
      </c>
      <c r="X182" s="40" t="str">
        <f>ESTADISTICA!X180</f>
        <v>APAGADO</v>
      </c>
      <c r="Y182" s="40" t="str">
        <f>ESTADISTICA!Y180</f>
        <v>APAGADO</v>
      </c>
      <c r="Z182" s="40" t="str">
        <f>ESTADISTICA!Z180</f>
        <v>APAGADO</v>
      </c>
      <c r="AA182" s="40" t="str">
        <f>ESTADISTICA!AA180</f>
        <v>APAGADO</v>
      </c>
      <c r="AB182" s="40" t="str">
        <f>ESTADISTICA!AB180</f>
        <v>APAGADO</v>
      </c>
      <c r="AC182" s="40">
        <f>ESTADISTICA!AC180</f>
        <v>0</v>
      </c>
      <c r="AD182" s="40" t="str">
        <f>ESTADISTICA!AD180</f>
        <v>APAGADO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 t="str">
        <f>ESTADISTICA!Z182</f>
        <v>APAGADO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 t="str">
        <f>ESTADISTICA!S183</f>
        <v>APAGADO</v>
      </c>
      <c r="T185" s="40" t="str">
        <f>ESTADISTICA!T183</f>
        <v>APAGADO</v>
      </c>
      <c r="U185" s="40" t="str">
        <f>ESTADISTICA!U183</f>
        <v>APAGADO</v>
      </c>
      <c r="V185" s="40" t="str">
        <f>ESTADISTICA!V183</f>
        <v>APAGADO</v>
      </c>
      <c r="W185" s="40" t="str">
        <f>ESTADISTICA!W183</f>
        <v>APAGADO</v>
      </c>
      <c r="X185" s="40" t="str">
        <f>ESTADISTICA!X183</f>
        <v>APAGADO</v>
      </c>
      <c r="Y185" s="40" t="str">
        <f>ESTADISTICA!Y183</f>
        <v>APAGADO</v>
      </c>
      <c r="Z185" s="40" t="str">
        <f>ESTADISTICA!Z183</f>
        <v>APAGADO</v>
      </c>
      <c r="AA185" s="40" t="str">
        <f>ESTADISTICA!AA183</f>
        <v>APAGADO</v>
      </c>
      <c r="AB185" s="40" t="str">
        <f>ESTADISTICA!AB183</f>
        <v>APAGADO</v>
      </c>
      <c r="AC185" s="40" t="str">
        <f>ESTADISTICA!AC183</f>
        <v>APAGADO</v>
      </c>
      <c r="AD185" s="40" t="str">
        <f>ESTADISTICA!AD183</f>
        <v>APAGADO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 t="str">
        <f>ESTADISTICA!S185</f>
        <v>APAGADO</v>
      </c>
      <c r="T187" s="40" t="str">
        <f>ESTADISTICA!T185</f>
        <v>APAGADO</v>
      </c>
      <c r="U187" s="40" t="str">
        <f>ESTADISTICA!U185</f>
        <v>APAGADO</v>
      </c>
      <c r="V187" s="40" t="str">
        <f>ESTADISTICA!V185</f>
        <v>APAGADO</v>
      </c>
      <c r="W187" s="40" t="str">
        <f>ESTADISTICA!W185</f>
        <v>APAGADO</v>
      </c>
      <c r="X187" s="40" t="str">
        <f>ESTADISTICA!X185</f>
        <v>APAGADO</v>
      </c>
      <c r="Y187" s="40" t="str">
        <f>ESTADISTICA!Y185</f>
        <v>APAGADO</v>
      </c>
      <c r="Z187" s="40" t="str">
        <f>ESTADISTICA!Z185</f>
        <v>APAGADO</v>
      </c>
      <c r="AA187" s="40" t="str">
        <f>ESTADISTICA!AA185</f>
        <v>APAGADO</v>
      </c>
      <c r="AB187" s="40" t="str">
        <f>ESTADISTICA!AB185</f>
        <v>APAGADO</v>
      </c>
      <c r="AC187" s="40" t="str">
        <f>ESTADISTICA!AC185</f>
        <v>APAGADO</v>
      </c>
      <c r="AD187" s="40" t="str">
        <f>ESTADISTICA!AD185</f>
        <v>APAGADO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 t="str">
        <f>ESTADISTICA!X186</f>
        <v>APAGADO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 t="str">
        <f>ESTADISTICA!X187</f>
        <v>APAGADO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 t="str">
        <f>ESTADISTICA!S196</f>
        <v>APAGADO</v>
      </c>
      <c r="T198" s="40" t="str">
        <f>ESTADISTICA!T196</f>
        <v>APAGADO</v>
      </c>
      <c r="U198" s="40" t="str">
        <f>ESTADISTICA!U196</f>
        <v>APAGADO</v>
      </c>
      <c r="V198" s="40" t="str">
        <f>ESTADISTICA!V196</f>
        <v>APAGADO</v>
      </c>
      <c r="W198" s="40" t="str">
        <f>ESTADISTICA!W196</f>
        <v>APAGADO</v>
      </c>
      <c r="X198" s="40" t="str">
        <f>ESTADISTICA!X196</f>
        <v>APAGADO</v>
      </c>
      <c r="Y198" s="40" t="str">
        <f>ESTADISTICA!Y196</f>
        <v>APAGADO</v>
      </c>
      <c r="Z198" s="40" t="str">
        <f>ESTADISTICA!Z196</f>
        <v>APAGADO</v>
      </c>
      <c r="AA198" s="40" t="str">
        <f>ESTADISTICA!AA196</f>
        <v>APAGADO</v>
      </c>
      <c r="AB198" s="40" t="str">
        <f>ESTADISTICA!AB196</f>
        <v>APAGADO</v>
      </c>
      <c r="AC198" s="40" t="str">
        <f>ESTADISTICA!AC196</f>
        <v>APAGADO</v>
      </c>
      <c r="AD198" s="40" t="str">
        <f>ESTADISTICA!AD196</f>
        <v>APAGADO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 t="str">
        <f>ESTADISTICA!S202</f>
        <v>APAGADO</v>
      </c>
      <c r="T204" s="40">
        <f>ESTADISTICA!T202</f>
        <v>0</v>
      </c>
      <c r="U204" s="40">
        <f>ESTADISTICA!U202</f>
        <v>0</v>
      </c>
      <c r="V204" s="40" t="str">
        <f>ESTADISTICA!V202</f>
        <v>APAGADO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 t="str">
        <f>ESTADISTICA!U209</f>
        <v>APAGADO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 t="str">
        <f>ESTADISTICA!AB209</f>
        <v>APAGADO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 t="str">
        <f>ESTADISTICA!AC210</f>
        <v>APAGADO</v>
      </c>
      <c r="AD212" s="40" t="str">
        <f>ESTADISTICA!AD210</f>
        <v>APAGADO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 t="str">
        <f>ESTADISTICA!AB214</f>
        <v>APAGADO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 t="str">
        <f>ESTADISTICA!AB215</f>
        <v>APAGADO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 t="str">
        <f>ESTADISTICA!X218</f>
        <v>APAGADO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 t="str">
        <f>ESTADISTICA!AD218</f>
        <v>APAGADO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 t="str">
        <f>ESTADISTICA!AD219</f>
        <v>APAGADO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 t="str">
        <f>ESTADISTICA!AD220</f>
        <v>APAGADO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 t="str">
        <f>ESTADISTICA!AD221</f>
        <v>APAGADO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 t="str">
        <f>ESTADISTICA!S227</f>
        <v>APAGADO</v>
      </c>
      <c r="T229" s="40" t="str">
        <f>ESTADISTICA!T227</f>
        <v>APAGADO</v>
      </c>
      <c r="U229" s="40" t="str">
        <f>ESTADISTICA!U227</f>
        <v>APAGADO</v>
      </c>
      <c r="V229" s="40" t="str">
        <f>ESTADISTICA!V227</f>
        <v>APAGADO</v>
      </c>
      <c r="W229" s="40" t="str">
        <f>ESTADISTICA!W227</f>
        <v>APAGADO</v>
      </c>
      <c r="X229" s="40" t="str">
        <f>ESTADISTICA!X227</f>
        <v>APAGADO</v>
      </c>
      <c r="Y229" s="40" t="str">
        <f>ESTADISTICA!Y227</f>
        <v>APAGADO</v>
      </c>
      <c r="Z229" s="40" t="str">
        <f>ESTADISTICA!Z227</f>
        <v>APAGADO</v>
      </c>
      <c r="AA229" s="40" t="str">
        <f>ESTADISTICA!AA227</f>
        <v>APAGADO</v>
      </c>
      <c r="AB229" s="40" t="str">
        <f>ESTADISTICA!AB227</f>
        <v>APAGADO</v>
      </c>
      <c r="AC229" s="40" t="str">
        <f>ESTADISTICA!AC227</f>
        <v>APAGADO</v>
      </c>
      <c r="AD229" s="40" t="str">
        <f>ESTADISTICA!AD227</f>
        <v>APAGADO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 t="str">
        <f>ESTADISTICA!S230</f>
        <v>APAGADO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 t="str">
        <f>ESTADISTICA!S231</f>
        <v>APAGADO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 t="str">
        <f>ESTADISTICA!S234</f>
        <v>APAGADO</v>
      </c>
      <c r="T236" s="40" t="str">
        <f>ESTADISTICA!T234</f>
        <v>APAGADO</v>
      </c>
      <c r="U236" s="40" t="str">
        <f>ESTADISTICA!U234</f>
        <v>APAGADO</v>
      </c>
      <c r="V236" s="40" t="str">
        <f>ESTADISTICA!V234</f>
        <v>APAGADO</v>
      </c>
      <c r="W236" s="40">
        <f>ESTADISTICA!W234</f>
        <v>0</v>
      </c>
      <c r="X236" s="40">
        <f>ESTADISTICA!X234</f>
        <v>0</v>
      </c>
      <c r="Y236" s="40" t="str">
        <f>ESTADISTICA!Y234</f>
        <v>APAGADO</v>
      </c>
      <c r="Z236" s="40" t="str">
        <f>ESTADISTICA!Z234</f>
        <v>APAGADO</v>
      </c>
      <c r="AA236" s="40" t="str">
        <f>ESTADISTICA!AA234</f>
        <v>APAGADO</v>
      </c>
      <c r="AB236" s="40" t="str">
        <f>ESTADISTICA!AB234</f>
        <v>APAGADO</v>
      </c>
      <c r="AC236" s="40" t="str">
        <f>ESTADISTICA!AC234</f>
        <v>APAGADO</v>
      </c>
      <c r="AD236" s="40" t="str">
        <f>ESTADISTICA!AD234</f>
        <v>APAGADO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 t="str">
        <f>ESTADISTICA!AD235</f>
        <v>APAGADO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 t="str">
        <f>ESTADISTICA!AD236</f>
        <v>APAGADO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 t="str">
        <f>ESTADISTICA!AB239</f>
        <v>APAGADO</v>
      </c>
      <c r="AC241" s="40" t="str">
        <f>ESTADISTICA!AC239</f>
        <v>APAGADO</v>
      </c>
      <c r="AD241" s="40" t="str">
        <f>ESTADISTICA!AD239</f>
        <v>APAGADO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 t="str">
        <f>ESTADISTICA!S241</f>
        <v>APAGADO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 t="str">
        <f>ESTADISTICA!W252</f>
        <v>APAGADO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 t="str">
        <f>ESTADISTICA!W253</f>
        <v>APAGADO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 t="str">
        <f>ESTADISTICA!S254</f>
        <v>APAGADO</v>
      </c>
      <c r="T256" s="40" t="str">
        <f>ESTADISTICA!T254</f>
        <v>APAGADO</v>
      </c>
      <c r="U256" s="40" t="str">
        <f>ESTADISTICA!U254</f>
        <v>APAGADO</v>
      </c>
      <c r="V256" s="40" t="str">
        <f>ESTADISTICA!V254</f>
        <v>APAGADO</v>
      </c>
      <c r="W256" s="40" t="str">
        <f>ESTADISTICA!W254</f>
        <v>APAGADO</v>
      </c>
      <c r="X256" s="40" t="str">
        <f>ESTADISTICA!X254</f>
        <v>APAGADO</v>
      </c>
      <c r="Y256" s="40" t="str">
        <f>ESTADISTICA!Y254</f>
        <v>APAGADO</v>
      </c>
      <c r="Z256" s="40" t="str">
        <f>ESTADISTICA!Z254</f>
        <v>APAGADO</v>
      </c>
      <c r="AA256" s="40" t="str">
        <f>ESTADISTICA!AA254</f>
        <v>APAGADO</v>
      </c>
      <c r="AB256" s="40" t="str">
        <f>ESTADISTICA!AB254</f>
        <v>APAGADO</v>
      </c>
      <c r="AC256" s="40" t="str">
        <f>ESTADISTICA!AC254</f>
        <v>APAGADO</v>
      </c>
      <c r="AD256" s="40" t="str">
        <f>ESTADISTICA!AD254</f>
        <v>APAGADO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 t="str">
        <f>ESTADISTICA!AD264</f>
        <v>APAGADO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 t="str">
        <f>ESTADISTICA!AD265</f>
        <v>APAGADO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 t="str">
        <f>ESTADISTICA!AD272</f>
        <v>APAGADO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 t="str">
        <f>ESTADISTICA!AB280</f>
        <v>APAGADO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 t="str">
        <f>ESTADISTICA!W285</f>
        <v>APAGADO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 t="str">
        <f>ESTADISTICA!W286</f>
        <v>APAGADO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 t="str">
        <f>ESTADISTICA!W291</f>
        <v>APAGADO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 t="str">
        <f>ESTADISTICA!W293</f>
        <v>APAGADO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 t="str">
        <f>ESTADISTICA!U299</f>
        <v>APAGADO</v>
      </c>
      <c r="V301" s="40" t="str">
        <f>ESTADISTICA!V299</f>
        <v>APAGADO</v>
      </c>
      <c r="W301" s="40" t="str">
        <f>ESTADISTICA!W299</f>
        <v>APAGADO</v>
      </c>
      <c r="X301" s="40">
        <f>ESTADISTICA!X299</f>
        <v>0</v>
      </c>
      <c r="Y301" s="40">
        <f>ESTADISTICA!Y299</f>
        <v>0</v>
      </c>
      <c r="Z301" s="40" t="str">
        <f>ESTADISTICA!Z299</f>
        <v>APAGADO</v>
      </c>
      <c r="AA301" s="40" t="str">
        <f>ESTADISTICA!AA299</f>
        <v>APAGADO</v>
      </c>
      <c r="AB301" s="40" t="str">
        <f>ESTADISTICA!AB299</f>
        <v>APAGADO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 t="str">
        <f>ESTADISTICA!T309</f>
        <v>APAGADO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 t="str">
        <f>ESTADISTICA!S312</f>
        <v>APAGADO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 t="str">
        <f>ESTADISTICA!AD312</f>
        <v>APAGADO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 t="str">
        <f>ESTADISTICA!S313</f>
        <v>APAGADO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 t="str">
        <f>ESTADISTICA!AD313</f>
        <v>APAGADO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 t="str">
        <f>ESTADISTICA!AA318</f>
        <v>APAGADO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 t="str">
        <f>ESTADISTICA!AB320</f>
        <v>APAGADO</v>
      </c>
      <c r="AC322" s="40" t="str">
        <f>ESTADISTICA!AC320</f>
        <v>APAGADO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 t="str">
        <f>ESTADISTICA!U322</f>
        <v>APAGADO</v>
      </c>
      <c r="V324" s="40" t="str">
        <f>ESTADISTICA!V322</f>
        <v>APAGADO</v>
      </c>
      <c r="W324" s="40" t="str">
        <f>ESTADISTICA!W322</f>
        <v>APAGADO</v>
      </c>
      <c r="X324" s="40">
        <f>ESTADISTICA!X322</f>
        <v>0</v>
      </c>
      <c r="Y324" s="40">
        <f>ESTADISTICA!Y322</f>
        <v>0</v>
      </c>
      <c r="Z324" s="40" t="str">
        <f>ESTADISTICA!Z322</f>
        <v>APAGADO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 t="str">
        <f>ESTADISTICA!AC332</f>
        <v>APAGADO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 t="str">
        <f>ESTADISTICA!X333</f>
        <v>APAGADO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 t="str">
        <f>ESTADISTICA!X334</f>
        <v>APAGADO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 t="str">
        <f>ESTADISTICA!AB342</f>
        <v>APAGADO</v>
      </c>
      <c r="AC344" s="40" t="str">
        <f>ESTADISTICA!AC342</f>
        <v>APAGADO</v>
      </c>
      <c r="AD344" s="40" t="str">
        <f>ESTADISTICA!AD342</f>
        <v>APAGADO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 t="str">
        <f>ESTADISTICA!AB344</f>
        <v>APAGADO</v>
      </c>
      <c r="AC346" s="40" t="str">
        <f>ESTADISTICA!AC344</f>
        <v>APAGADO</v>
      </c>
      <c r="AD346" s="40" t="str">
        <f>ESTADISTICA!AD344</f>
        <v>APAGADO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 t="str">
        <f>ESTADISTICA!AB345</f>
        <v>APAGADO</v>
      </c>
      <c r="AC347" s="40" t="str">
        <f>ESTADISTICA!AC345</f>
        <v>APAGADO</v>
      </c>
      <c r="AD347" s="40" t="str">
        <f>ESTADISTICA!AD345</f>
        <v>APAGADO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 t="str">
        <f>ESTADISTICA!AB346</f>
        <v>APAGADO</v>
      </c>
      <c r="AC348" s="40" t="str">
        <f>ESTADISTICA!AC346</f>
        <v>APAGADO</v>
      </c>
      <c r="AD348" s="40" t="str">
        <f>ESTADISTICA!AD346</f>
        <v>APAGADO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 t="str">
        <f>ESTADISTICA!AB347</f>
        <v>APAGADO</v>
      </c>
      <c r="AC349" s="40" t="str">
        <f>ESTADISTICA!AC347</f>
        <v>APAGADO</v>
      </c>
      <c r="AD349" s="40" t="str">
        <f>ESTADISTICA!AD347</f>
        <v>APAGADO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 t="str">
        <f>ESTADISTICA!AB348</f>
        <v>APAGADO</v>
      </c>
      <c r="AC350" s="40" t="str">
        <f>ESTADISTICA!AC348</f>
        <v>APAGADO</v>
      </c>
      <c r="AD350" s="40" t="str">
        <f>ESTADISTICA!AD348</f>
        <v>APAGADO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 t="str">
        <f>ESTADISTICA!T349</f>
        <v>APAGADO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 t="str">
        <f>ESTADISTICA!T350</f>
        <v>APAGADO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 t="str">
        <f>ESTADISTICA!AB355</f>
        <v>APAGADO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 t="str">
        <f>ESTADISTICA!S357</f>
        <v>APAGADO</v>
      </c>
      <c r="T359" s="40" t="str">
        <f>ESTADISTICA!T357</f>
        <v>APAGADO</v>
      </c>
      <c r="U359" s="40" t="str">
        <f>ESTADISTICA!U357</f>
        <v>APAGADO</v>
      </c>
      <c r="V359" s="40" t="str">
        <f>ESTADISTICA!V357</f>
        <v>APAGADO</v>
      </c>
      <c r="W359" s="40" t="str">
        <f>ESTADISTICA!W357</f>
        <v>APAGADO</v>
      </c>
      <c r="X359" s="40" t="str">
        <f>ESTADISTICA!X357</f>
        <v>APAGADO</v>
      </c>
      <c r="Y359" s="40" t="str">
        <f>ESTADISTICA!Y357</f>
        <v>APAGADO</v>
      </c>
      <c r="Z359" s="40" t="str">
        <f>ESTADISTICA!Z357</f>
        <v>APAGADO</v>
      </c>
      <c r="AA359" s="40" t="str">
        <f>ESTADISTICA!AA357</f>
        <v>APAGADO</v>
      </c>
      <c r="AB359" s="40" t="str">
        <f>ESTADISTICA!AB357</f>
        <v>APAGADO</v>
      </c>
      <c r="AC359" s="40" t="str">
        <f>ESTADISTICA!AC357</f>
        <v>APAGADO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U343" activePane="bottomRight" state="frozenSplit"/>
      <selection pane="topRight" activeCell="F1" sqref="F1"/>
      <selection pane="bottomLeft" activeCell="A3" sqref="A3"/>
      <selection pane="bottomRight" activeCell="AA3" sqref="AA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COUNTIFS(Q4:Q500, "=APAGADO",E4:E500,"=PTO A FO")</f>
        <v>2</v>
      </c>
      <c r="R2" s="19">
        <f>COUNTIFS(R4:R500, "=APAGADO",E4:E500,"=PTO A FO")</f>
        <v>10</v>
      </c>
      <c r="S2" s="19">
        <f>COUNTIFS(S4:S500, "=APAGADO",E4:E500,"=PTO A FO")</f>
        <v>4</v>
      </c>
      <c r="T2" s="19">
        <f>COUNTIFS(T4:T500, "=APAGADO",E4:E500,"=PTO A FO")</f>
        <v>5</v>
      </c>
      <c r="U2" s="19">
        <f>COUNTIFS(U4:U500, "=APAGADO",E4:E500,"=PTO A FO")</f>
        <v>2</v>
      </c>
      <c r="V2" s="19">
        <f>COUNTIFS(V4:V500, "=APAGADO",E4:E500,"=PTO A FO")</f>
        <v>2</v>
      </c>
      <c r="W2" s="19">
        <f>COUNTIFS(W4:W500, "=APAGADO",E4:E500,"=PTO A FO")</f>
        <v>2</v>
      </c>
      <c r="X2" s="19">
        <f>COUNTIFS(X4:X500, "=APAGADO",E4:E500,"=PTO A FO")</f>
        <v>4</v>
      </c>
      <c r="Y2" s="19">
        <f>COUNTIFS(Y4:Y500, "=APAGADO",E4:E500,"=PTO A FO")</f>
        <v>2</v>
      </c>
      <c r="Z2" s="19">
        <f>COUNTIFS(Z4:Z500, "=APAGADO",E4:E500,"=PTO A FO")</f>
        <v>2</v>
      </c>
      <c r="AA2" s="19">
        <f>COUNTIFS(AA4:AA500, "=APAGADO",E4:E500,"=PTO A FO")</f>
        <v>2</v>
      </c>
      <c r="AB2" s="19">
        <f>COUNTIFS(AB4:AB400, "=APAGADO",E4:E400,"=PTO A FO")</f>
        <v>3</v>
      </c>
      <c r="AC2" s="19">
        <f>COUNTIFS(AC4:AC400, "=APAGADO",E4:E400,"=PTO A FO")</f>
        <v>3</v>
      </c>
      <c r="AD2" s="19">
        <f>COUNTIFS(AD4:AD400, "=APAGADO",E4:E400,"=PTO A FO")</f>
        <v>3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 t="str">
        <f>ESTADISTICA!AB25</f>
        <v>APAGADO</v>
      </c>
      <c r="AC27" t="str">
        <f>ESTADISTICA!AC25</f>
        <v>APAGADO</v>
      </c>
      <c r="AD27" t="str">
        <f>ESTADISTICA!AD25</f>
        <v>APAGADO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 t="str">
        <f>ESTADISTICA!AB33</f>
        <v>APAGADO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 t="str">
        <f>ESTADISTICA!AB35</f>
        <v>APAGADO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 t="str">
        <f>ESTADISTICA!AC73</f>
        <v>APAGADO</v>
      </c>
      <c r="AD75" t="str">
        <f>ESTADISTICA!AD73</f>
        <v>APAGADO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 t="str">
        <f>ESTADISTICA!AB75</f>
        <v>APAGADO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 t="str">
        <f>ESTADISTICA!AD116</f>
        <v>APAGADO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 t="str">
        <f>ESTADISTICA!AB121</f>
        <v>APAGADO</v>
      </c>
      <c r="AC123" t="str">
        <f>ESTADISTICA!AC121</f>
        <v>APAGADO</v>
      </c>
      <c r="AD123" t="str">
        <f>ESTADISTICA!AD121</f>
        <v>APAGADO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>
        <f>ESTADISTICA!AC173</f>
        <v>0</v>
      </c>
      <c r="AD175" t="str">
        <f>ESTADISTICA!AD173</f>
        <v>APAGADO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 t="str">
        <f>ESTADISTICA!AD175</f>
        <v>APAGADO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 t="str">
        <f>ESTADISTICA!AB180</f>
        <v>APAGADO</v>
      </c>
      <c r="AC182">
        <f>ESTADISTICA!AC180</f>
        <v>0</v>
      </c>
      <c r="AD182" t="str">
        <f>ESTADISTICA!AD180</f>
        <v>APAGADO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 t="str">
        <f>ESTADISTICA!AB185</f>
        <v>APAGADO</v>
      </c>
      <c r="AC187" t="str">
        <f>ESTADISTICA!AC185</f>
        <v>APAGADO</v>
      </c>
      <c r="AD187" t="str">
        <f>ESTADISTICA!AD185</f>
        <v>APAGADO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 t="str">
        <f>ESTADISTICA!AC210</f>
        <v>APAGADO</v>
      </c>
      <c r="AD212" t="str">
        <f>ESTADISTICA!AD210</f>
        <v>APAGADO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 t="str">
        <f>ESTADISTICA!AD218</f>
        <v>APAGADO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 t="str">
        <f>ESTADISTICA!AD235</f>
        <v>APAGADO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 t="str">
        <f>ESTADISTICA!AD236</f>
        <v>APAGADO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 t="str">
        <f>ESTADISTICA!AB254</f>
        <v>APAGADO</v>
      </c>
      <c r="AC256" t="str">
        <f>ESTADISTICA!AC254</f>
        <v>APAGADO</v>
      </c>
      <c r="AD256" t="str">
        <f>ESTADISTICA!AD254</f>
        <v>APAGADO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 t="str">
        <f>ESTADISTICA!AD264</f>
        <v>APAGADO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 t="str">
        <f>ESTADISTICA!AD265</f>
        <v>APAGADO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 t="str">
        <f>ESTADISTICA!AD272</f>
        <v>APAGADO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 t="str">
        <f>ESTADISTICA!AB280</f>
        <v>APAGADO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 t="str">
        <f>ESTADISTICA!AD312</f>
        <v>APAGADO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 t="str">
        <f>ESTADISTICA!AD313</f>
        <v>APAGADO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 t="str">
        <f>ESTADISTICA!AB320</f>
        <v>APAGADO</v>
      </c>
      <c r="AC322" t="str">
        <f>ESTADISTICA!AC320</f>
        <v>APAGADO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A13" sqref="AA1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COUNTIFS(S4:S500, "=APAGADO",E4:E500,"=radio")</f>
        <v>1</v>
      </c>
      <c r="T2" s="19">
        <f>COUNTIFS(T4:T500, "=APAGADO",E4:E500,"=radio")</f>
        <v>1</v>
      </c>
      <c r="U2" s="19">
        <f>COUNTIFS(U4:U500, "=APAGADO",E4:E500,"=radio")</f>
        <v>6</v>
      </c>
      <c r="V2" s="19">
        <f>COUNTIFS(V4:V500, "=APAGADO",E4:E500,"=radio")</f>
        <v>7</v>
      </c>
      <c r="W2" s="19">
        <f>COUNTIFS(W4:W500, "=APAGADO",E4:E500,"=radio")</f>
        <v>4</v>
      </c>
      <c r="X2" s="19">
        <f>COUNTIFS(X4:X500, "=APAGADO",E4:E500,"=radio")</f>
        <v>7</v>
      </c>
      <c r="Y2" s="19">
        <f>COUNTIFS(Y4:Y500, "=APAGADO",E4:E500,"=radio")</f>
        <v>2</v>
      </c>
      <c r="Z2" s="19">
        <f>COUNTIFS(Z4:Z500, "=APAGADO",E4:E500,"=radio")</f>
        <v>6</v>
      </c>
      <c r="AA2" s="19">
        <f>COUNTIFS(AA4:AA500, "=APAGADO",E4:E500,"=radio")</f>
        <v>4</v>
      </c>
      <c r="AB2" s="19">
        <f>COUNTIFS(AB4:AB367, "=APAGADO",E4:E367,"=radio")</f>
        <v>8</v>
      </c>
      <c r="AC2" s="19">
        <f>COUNTIFS(AC4:AC367, "=APAGADO",E4:E367,"=radio")</f>
        <v>4</v>
      </c>
      <c r="AD2" s="19">
        <f>COUNTIFS(AD4:AD367, "=APAGADO",E4:E367,"=radio")</f>
        <v>2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 t="str">
        <f>ESTADISTICA!AB25</f>
        <v>APAGADO</v>
      </c>
      <c r="AC27" t="str">
        <f>ESTADISTICA!AC25</f>
        <v>APAGADO</v>
      </c>
      <c r="AD27" t="str">
        <f>ESTADISTICA!AD25</f>
        <v>APAGADO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 t="str">
        <f>ESTADISTICA!AD32</f>
        <v>APAGADO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 t="str">
        <f>ESTADISTICA!AB33</f>
        <v>APAGADO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 t="str">
        <f>ESTADISTICA!AB35</f>
        <v>APAGADO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 t="str">
        <f>ESTADISTICA!AD46</f>
        <v>APAGADO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 t="str">
        <f>ESTADISTICA!AD47</f>
        <v>APAGADO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 t="str">
        <f>ESTADISTICA!AD49</f>
        <v>APAGADO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 t="str">
        <f>ESTADISTICA!AD52</f>
        <v>APAGADO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 t="str">
        <f>ESTADISTICA!AD54</f>
        <v>APAGADO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 t="str">
        <f>ESTADISTICA!AC73</f>
        <v>APAGADO</v>
      </c>
      <c r="AD75" t="str">
        <f>ESTADISTICA!AD73</f>
        <v>APAGADO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 t="str">
        <f>ESTADISTICA!AB75</f>
        <v>APAGADO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 t="str">
        <f>ESTADISTICA!AD96</f>
        <v>APAGADO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 t="str">
        <f>ESTADISTICA!AD99</f>
        <v>APAGADO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 t="str">
        <f>ESTADISTICA!AD100</f>
        <v>APAGADO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 t="str">
        <f>ESTADISTICA!AD116</f>
        <v>APAGADO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 t="str">
        <f>ESTADISTICA!AD117</f>
        <v>APAGADO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 t="str">
        <f>ESTADISTICA!AD118</f>
        <v>APAGADO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 t="str">
        <f>ESTADISTICA!AD119</f>
        <v>APAGADO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 t="str">
        <f>ESTADISTICA!AB121</f>
        <v>APAGADO</v>
      </c>
      <c r="AC123" t="str">
        <f>ESTADISTICA!AC121</f>
        <v>APAGADO</v>
      </c>
      <c r="AD123" t="str">
        <f>ESTADISTICA!AD121</f>
        <v>APAGADO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>
        <f>ESTADISTICA!AC173</f>
        <v>0</v>
      </c>
      <c r="AD175" t="str">
        <f>ESTADISTICA!AD173</f>
        <v>APAGADO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 t="str">
        <f>ESTADISTICA!AD174</f>
        <v>APAGADO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 t="str">
        <f>ESTADISTICA!AD175</f>
        <v>APAGADO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 t="str">
        <f>ESTADISTICA!AB180</f>
        <v>APAGADO</v>
      </c>
      <c r="AC182">
        <f>ESTADISTICA!AC180</f>
        <v>0</v>
      </c>
      <c r="AD182" t="str">
        <f>ESTADISTICA!AD180</f>
        <v>APAGADO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 t="str">
        <f>ESTADISTICA!AB185</f>
        <v>APAGADO</v>
      </c>
      <c r="AC187" t="str">
        <f>ESTADISTICA!AC185</f>
        <v>APAGADO</v>
      </c>
      <c r="AD187" t="str">
        <f>ESTADISTICA!AD185</f>
        <v>APAGADO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 t="str">
        <f>ESTADISTICA!AC210</f>
        <v>APAGADO</v>
      </c>
      <c r="AD212" t="str">
        <f>ESTADISTICA!AD210</f>
        <v>APAGADO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 t="str">
        <f>ESTADISTICA!AD218</f>
        <v>APAGADO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 t="str">
        <f>ESTADISTICA!AD219</f>
        <v>APAGADO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 t="str">
        <f>ESTADISTICA!AD220</f>
        <v>APAGADO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 t="str">
        <f>ESTADISTICA!AD221</f>
        <v>APAGADO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 t="str">
        <f>ESTADISTICA!AD227</f>
        <v>APAGADO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 t="str">
        <f>ESTADISTICA!AB234</f>
        <v>APAGADO</v>
      </c>
      <c r="AC236" t="str">
        <f>ESTADISTICA!AC234</f>
        <v>APAGADO</v>
      </c>
      <c r="AD236" t="str">
        <f>ESTADISTICA!AD234</f>
        <v>APAGADO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 t="str">
        <f>ESTADISTICA!AD235</f>
        <v>APAGADO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 t="str">
        <f>ESTADISTICA!AD236</f>
        <v>APAGADO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 t="str">
        <f>ESTADISTICA!AB254</f>
        <v>APAGADO</v>
      </c>
      <c r="AC256" t="str">
        <f>ESTADISTICA!AC254</f>
        <v>APAGADO</v>
      </c>
      <c r="AD256" t="str">
        <f>ESTADISTICA!AD254</f>
        <v>APAGADO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 t="str">
        <f>ESTADISTICA!AD264</f>
        <v>APAGADO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 t="str">
        <f>ESTADISTICA!AD265</f>
        <v>APAGADO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 t="str">
        <f>ESTADISTICA!AD272</f>
        <v>APAGADO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 t="str">
        <f>ESTADISTICA!AB280</f>
        <v>APAGADO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 t="str">
        <f>ESTADISTICA!AD312</f>
        <v>APAGADO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 t="str">
        <f>ESTADISTICA!AD313</f>
        <v>APAGADO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 t="str">
        <f>ESTADISTICA!AB320</f>
        <v>APAGADO</v>
      </c>
      <c r="AC322" t="str">
        <f>ESTADISTICA!AC320</f>
        <v>APAGADO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 t="str">
        <f>ESTADISTICA!AB342</f>
        <v>APAGADO</v>
      </c>
      <c r="AC344" t="str">
        <f>ESTADISTICA!AC342</f>
        <v>APAGADO</v>
      </c>
      <c r="AD344" t="str">
        <f>ESTADISTICA!AD342</f>
        <v>APAGADO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 t="str">
        <f>ESTADISTICA!AB344</f>
        <v>APAGADO</v>
      </c>
      <c r="AC346" t="str">
        <f>ESTADISTICA!AC344</f>
        <v>APAGADO</v>
      </c>
      <c r="AD346" t="str">
        <f>ESTADISTICA!AD344</f>
        <v>APAGADO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 t="str">
        <f>ESTADISTICA!AB345</f>
        <v>APAGADO</v>
      </c>
      <c r="AC347" t="str">
        <f>ESTADISTICA!AC345</f>
        <v>APAGADO</v>
      </c>
      <c r="AD347" t="str">
        <f>ESTADISTICA!AD345</f>
        <v>APAGADO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 t="str">
        <f>ESTADISTICA!AB346</f>
        <v>APAGADO</v>
      </c>
      <c r="AC348" t="str">
        <f>ESTADISTICA!AC346</f>
        <v>APAGADO</v>
      </c>
      <c r="AD348" t="str">
        <f>ESTADISTICA!AD346</f>
        <v>APAGADO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 t="str">
        <f>ESTADISTICA!AB347</f>
        <v>APAGADO</v>
      </c>
      <c r="AC349" t="str">
        <f>ESTADISTICA!AC347</f>
        <v>APAGADO</v>
      </c>
      <c r="AD349" t="str">
        <f>ESTADISTICA!AD347</f>
        <v>APAGADO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 t="str">
        <f>ESTADISTICA!AB348</f>
        <v>APAGADO</v>
      </c>
      <c r="AC350" t="str">
        <f>ESTADISTICA!AC348</f>
        <v>APAGADO</v>
      </c>
      <c r="AD350" t="str">
        <f>ESTADISTICA!AD348</f>
        <v>APAGADO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 t="str">
        <f>ESTADISTICA!AD371</f>
        <v>APAGADO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 t="str">
        <f>ESTADISTICA!AD376</f>
        <v>APAGADO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 t="str">
        <f>ESTADISTICA!AD387</f>
        <v>APAGADO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 t="str">
        <f>ESTADISTICA!AD388</f>
        <v>APAGADO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 t="str">
        <f>ESTADISTICA!AD402</f>
        <v>APAGADO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 t="str">
        <f>ESTADISTICA!AD417</f>
        <v>APAGADO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25" workbookViewId="0">
      <selection activeCell="B45" sqref="B45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41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42"/>
      <c r="G3" s="83"/>
      <c r="H3" s="84"/>
      <c r="I3" s="84"/>
      <c r="J3" s="84"/>
      <c r="K3" s="85"/>
      <c r="L3" s="86"/>
      <c r="M3" s="138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42"/>
      <c r="G4" s="87"/>
      <c r="H4" s="88"/>
      <c r="I4" s="88"/>
      <c r="J4" s="88"/>
      <c r="K4" s="89"/>
      <c r="L4" s="90"/>
      <c r="M4" s="139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42"/>
      <c r="G5" s="87"/>
      <c r="H5" s="88"/>
      <c r="I5" s="88"/>
      <c r="J5" s="88"/>
      <c r="K5" s="89"/>
      <c r="L5" s="90"/>
      <c r="M5" s="139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43"/>
      <c r="G6" s="87"/>
      <c r="H6" s="88"/>
      <c r="I6" s="88"/>
      <c r="J6" s="88"/>
      <c r="K6" s="89"/>
      <c r="L6" s="90"/>
      <c r="M6" s="139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41">
        <v>44868</v>
      </c>
      <c r="G7" s="87"/>
      <c r="H7" s="88"/>
      <c r="I7" s="88"/>
      <c r="J7" s="88"/>
      <c r="K7" s="89"/>
      <c r="L7" s="90"/>
      <c r="M7" s="139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42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42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42"/>
      <c r="G10" s="103"/>
      <c r="H10" s="104"/>
      <c r="I10" s="104"/>
      <c r="J10" s="104"/>
      <c r="K10" s="105"/>
      <c r="L10" s="106"/>
      <c r="M10" s="138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43"/>
      <c r="G11" s="107"/>
      <c r="H11" s="100"/>
      <c r="I11" s="100"/>
      <c r="J11" s="100"/>
      <c r="K11" s="101"/>
      <c r="L11" s="108"/>
      <c r="M11" s="139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41">
        <v>44869</v>
      </c>
      <c r="G12" s="107"/>
      <c r="H12" s="100"/>
      <c r="I12" s="100"/>
      <c r="J12" s="100"/>
      <c r="K12" s="101"/>
      <c r="L12" s="108"/>
      <c r="M12" s="139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42"/>
      <c r="G13" s="107"/>
      <c r="H13" s="100"/>
      <c r="I13" s="100"/>
      <c r="J13" s="100"/>
      <c r="K13" s="101"/>
      <c r="L13" s="108"/>
      <c r="M13" s="139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42"/>
      <c r="G14" s="107"/>
      <c r="H14" s="100"/>
      <c r="I14" s="100"/>
      <c r="J14" s="100"/>
      <c r="K14" s="101"/>
      <c r="L14" s="108"/>
      <c r="M14" s="139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42"/>
      <c r="G15" s="109"/>
      <c r="H15" s="110"/>
      <c r="I15" s="110"/>
      <c r="J15" s="110"/>
      <c r="K15" s="110"/>
      <c r="L15" s="111"/>
      <c r="M15" s="140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43"/>
      <c r="G16" s="112"/>
      <c r="H16" s="113"/>
      <c r="I16" s="113"/>
      <c r="J16" s="113"/>
      <c r="K16" s="114"/>
      <c r="L16" s="115"/>
      <c r="M16" s="138"/>
    </row>
    <row r="17" spans="1:14" ht="15.75" thickTop="1" x14ac:dyDescent="0.25">
      <c r="A17" s="75" t="s">
        <v>999</v>
      </c>
      <c r="B17" s="76">
        <v>430</v>
      </c>
      <c r="C17" s="77"/>
      <c r="D17" s="78"/>
      <c r="E17" s="141">
        <v>44874</v>
      </c>
      <c r="G17" s="116"/>
      <c r="H17" s="100"/>
      <c r="I17" s="100"/>
      <c r="J17" s="100"/>
      <c r="K17" s="101"/>
      <c r="L17" s="117"/>
      <c r="M17" s="139"/>
    </row>
    <row r="18" spans="1:14" x14ac:dyDescent="0.25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42"/>
      <c r="G18" s="116"/>
      <c r="H18" s="100"/>
      <c r="I18" s="100"/>
      <c r="J18" s="100"/>
      <c r="K18" s="101"/>
      <c r="L18" s="117"/>
      <c r="M18" s="139"/>
    </row>
    <row r="19" spans="1:14" x14ac:dyDescent="0.25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42"/>
      <c r="G19" s="116"/>
      <c r="H19" s="100"/>
      <c r="I19" s="100"/>
      <c r="J19" s="100"/>
      <c r="K19" s="101"/>
      <c r="L19" s="117"/>
      <c r="M19" s="139"/>
    </row>
    <row r="20" spans="1:14" x14ac:dyDescent="0.25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42"/>
      <c r="G20" s="116"/>
      <c r="H20" s="100"/>
      <c r="I20" s="100"/>
      <c r="J20" s="100"/>
      <c r="K20" s="101"/>
      <c r="L20" s="117"/>
      <c r="M20" s="139"/>
    </row>
    <row r="21" spans="1:14" ht="15.75" thickBot="1" x14ac:dyDescent="0.3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43"/>
      <c r="G21" s="109"/>
      <c r="H21" s="110"/>
      <c r="I21" s="110"/>
      <c r="J21" s="110"/>
      <c r="K21" s="110"/>
      <c r="L21" s="111"/>
      <c r="M21" s="140"/>
    </row>
    <row r="22" spans="1:14" ht="15.75" thickTop="1" x14ac:dyDescent="0.25">
      <c r="A22" s="75" t="s">
        <v>999</v>
      </c>
      <c r="B22" s="76">
        <v>430</v>
      </c>
      <c r="C22" s="77"/>
      <c r="D22" s="78"/>
      <c r="E22" s="141">
        <v>44875</v>
      </c>
    </row>
    <row r="23" spans="1:14" ht="15.75" thickBot="1" x14ac:dyDescent="0.3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42"/>
    </row>
    <row r="24" spans="1:14" ht="15.75" thickTop="1" x14ac:dyDescent="0.25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42"/>
      <c r="G24" s="103"/>
      <c r="H24" s="104"/>
      <c r="I24" s="104"/>
      <c r="J24" s="104"/>
      <c r="K24" s="105"/>
      <c r="L24" s="106"/>
      <c r="M24" s="138"/>
    </row>
    <row r="25" spans="1:14" x14ac:dyDescent="0.25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42"/>
      <c r="G25" s="107"/>
      <c r="H25" s="100"/>
      <c r="I25" s="100"/>
      <c r="J25" s="100"/>
      <c r="K25" s="101"/>
      <c r="L25" s="108"/>
      <c r="M25" s="139"/>
    </row>
    <row r="26" spans="1:14" ht="15.75" thickBot="1" x14ac:dyDescent="0.3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43"/>
      <c r="G26" s="107"/>
      <c r="H26" s="100"/>
      <c r="I26" s="100"/>
      <c r="J26" s="100"/>
      <c r="K26" s="101"/>
      <c r="L26" s="108"/>
      <c r="M26" s="139"/>
    </row>
    <row r="27" spans="1:14" ht="15.75" thickTop="1" x14ac:dyDescent="0.25">
      <c r="A27" s="75" t="s">
        <v>999</v>
      </c>
      <c r="B27" s="76">
        <v>430</v>
      </c>
      <c r="C27" s="77"/>
      <c r="D27" s="78"/>
      <c r="E27" s="141">
        <v>44879</v>
      </c>
      <c r="G27" s="107"/>
      <c r="H27" s="100"/>
      <c r="I27" s="100"/>
      <c r="J27" s="100"/>
      <c r="K27" s="101"/>
      <c r="L27" s="108"/>
      <c r="M27" s="139"/>
    </row>
    <row r="28" spans="1:14" x14ac:dyDescent="0.25">
      <c r="A28" s="79" t="s">
        <v>6</v>
      </c>
      <c r="B28" s="80">
        <v>41</v>
      </c>
      <c r="C28" s="81">
        <v>41</v>
      </c>
      <c r="D28" s="82">
        <f>C28/B27</f>
        <v>9.5348837209302331E-2</v>
      </c>
      <c r="E28" s="142"/>
      <c r="G28" s="107"/>
      <c r="H28" s="100"/>
      <c r="I28" s="100"/>
      <c r="J28" s="100"/>
      <c r="K28" s="101"/>
      <c r="L28" s="108"/>
      <c r="M28" s="139"/>
    </row>
    <row r="29" spans="1:14" ht="15.75" thickBot="1" x14ac:dyDescent="0.3">
      <c r="A29" s="79" t="s">
        <v>1001</v>
      </c>
      <c r="B29" s="80">
        <v>5</v>
      </c>
      <c r="C29" s="81">
        <f>C28-B29</f>
        <v>36</v>
      </c>
      <c r="D29" s="82">
        <f>C29/B27</f>
        <v>8.3720930232558138E-2</v>
      </c>
      <c r="E29" s="142"/>
      <c r="G29" s="109"/>
      <c r="H29" s="110"/>
      <c r="I29" s="110"/>
      <c r="J29" s="110"/>
      <c r="K29" s="110"/>
      <c r="L29" s="111"/>
      <c r="M29" s="140"/>
    </row>
    <row r="30" spans="1:14" ht="16.5" thickTop="1" thickBot="1" x14ac:dyDescent="0.3">
      <c r="A30" s="79" t="s">
        <v>1000</v>
      </c>
      <c r="B30" s="80">
        <v>1</v>
      </c>
      <c r="C30" s="81">
        <f>C29-B30</f>
        <v>35</v>
      </c>
      <c r="D30" s="82">
        <f>C30/B27</f>
        <v>8.1395348837209308E-2</v>
      </c>
      <c r="E30" s="142"/>
    </row>
    <row r="31" spans="1:14" ht="16.5" thickTop="1" thickBot="1" x14ac:dyDescent="0.3">
      <c r="A31" s="91" t="s">
        <v>16</v>
      </c>
      <c r="B31" s="92">
        <v>1</v>
      </c>
      <c r="C31" s="93">
        <f>C30-B31</f>
        <v>34</v>
      </c>
      <c r="D31" s="82">
        <f>C31/B27</f>
        <v>7.9069767441860464E-2</v>
      </c>
      <c r="E31" s="143"/>
      <c r="G31" s="112"/>
      <c r="H31" s="118"/>
      <c r="I31" s="113"/>
      <c r="J31" s="113"/>
      <c r="K31" s="113"/>
      <c r="L31" s="114"/>
      <c r="M31" s="115"/>
      <c r="N31" s="136"/>
    </row>
    <row r="32" spans="1:14" ht="15.75" thickTop="1" x14ac:dyDescent="0.25">
      <c r="A32" s="75" t="s">
        <v>999</v>
      </c>
      <c r="B32" s="76">
        <v>431</v>
      </c>
      <c r="C32" s="77"/>
      <c r="D32" s="78"/>
      <c r="E32" s="141">
        <v>44882</v>
      </c>
      <c r="G32" s="116"/>
      <c r="H32" s="99"/>
      <c r="I32" s="100"/>
      <c r="J32" s="100"/>
      <c r="K32" s="100"/>
      <c r="L32" s="101"/>
      <c r="M32" s="117"/>
      <c r="N32" s="137"/>
    </row>
    <row r="33" spans="1:14" ht="15.75" thickBot="1" x14ac:dyDescent="0.3">
      <c r="A33" s="79" t="s">
        <v>6</v>
      </c>
      <c r="B33" s="80">
        <v>45</v>
      </c>
      <c r="C33" s="81">
        <v>45</v>
      </c>
      <c r="D33" s="82">
        <f>C33/B32</f>
        <v>0.10440835266821345</v>
      </c>
      <c r="E33" s="142"/>
      <c r="G33" s="119"/>
      <c r="H33" s="120"/>
      <c r="I33" s="110"/>
      <c r="J33" s="110"/>
      <c r="K33" s="110"/>
      <c r="L33" s="121"/>
      <c r="M33" s="111"/>
      <c r="N33" s="137"/>
    </row>
    <row r="34" spans="1:14" ht="15.75" thickTop="1" x14ac:dyDescent="0.25">
      <c r="A34" s="79" t="s">
        <v>1001</v>
      </c>
      <c r="B34" s="80">
        <v>6</v>
      </c>
      <c r="C34" s="81">
        <f>C33-B34</f>
        <v>39</v>
      </c>
      <c r="D34" s="82">
        <f>C34/B32</f>
        <v>9.0487238979118326E-2</v>
      </c>
      <c r="E34" s="142"/>
      <c r="G34" s="122"/>
      <c r="K34" s="123"/>
    </row>
    <row r="35" spans="1:14" x14ac:dyDescent="0.25">
      <c r="A35" s="79" t="s">
        <v>1000</v>
      </c>
      <c r="B35" s="80">
        <v>1</v>
      </c>
      <c r="C35" s="81">
        <f>C34-B35</f>
        <v>38</v>
      </c>
      <c r="D35" s="82">
        <f>C35/B32</f>
        <v>8.8167053364269138E-2</v>
      </c>
      <c r="E35" s="142"/>
      <c r="G35" s="122"/>
      <c r="K35" s="123"/>
    </row>
    <row r="36" spans="1:14" ht="15.75" thickBot="1" x14ac:dyDescent="0.3">
      <c r="A36" s="91" t="s">
        <v>16</v>
      </c>
      <c r="B36" s="92">
        <v>7</v>
      </c>
      <c r="C36" s="93">
        <f>C35-B36</f>
        <v>31</v>
      </c>
      <c r="D36" s="82">
        <f>C36/B32</f>
        <v>7.1925754060324823E-2</v>
      </c>
      <c r="E36" s="143"/>
      <c r="G36" s="122"/>
      <c r="K36" s="123"/>
    </row>
    <row r="37" spans="1:14" ht="15.75" thickTop="1" x14ac:dyDescent="0.25">
      <c r="A37" s="75" t="s">
        <v>999</v>
      </c>
      <c r="B37" s="76">
        <v>433</v>
      </c>
      <c r="C37" s="77"/>
      <c r="D37" s="78"/>
      <c r="E37" s="141">
        <v>44610</v>
      </c>
      <c r="G37" s="122"/>
      <c r="K37" s="123"/>
    </row>
    <row r="38" spans="1:14" x14ac:dyDescent="0.25">
      <c r="A38" s="79" t="s">
        <v>6</v>
      </c>
      <c r="B38" s="80">
        <v>47</v>
      </c>
      <c r="C38" s="81">
        <v>47</v>
      </c>
      <c r="D38" s="82">
        <f>C38/B37</f>
        <v>0.10854503464203233</v>
      </c>
      <c r="E38" s="142"/>
      <c r="G38" s="122"/>
      <c r="K38" s="123"/>
      <c r="L38" s="124"/>
    </row>
    <row r="39" spans="1:14" ht="15.75" thickBot="1" x14ac:dyDescent="0.3">
      <c r="A39" s="79" t="s">
        <v>1001</v>
      </c>
      <c r="B39" s="80">
        <v>8</v>
      </c>
      <c r="C39" s="81">
        <f>C38-B39</f>
        <v>39</v>
      </c>
      <c r="D39" s="82">
        <f>C39/B37</f>
        <v>9.0069284064665134E-2</v>
      </c>
      <c r="E39" s="142"/>
    </row>
    <row r="40" spans="1:14" ht="15.75" thickTop="1" x14ac:dyDescent="0.25">
      <c r="A40" s="79" t="s">
        <v>1000</v>
      </c>
      <c r="B40" s="80">
        <v>1</v>
      </c>
      <c r="C40" s="81">
        <f>C39-B40</f>
        <v>38</v>
      </c>
      <c r="D40" s="82">
        <f>C40/B37</f>
        <v>8.7759815242494224E-2</v>
      </c>
      <c r="E40" s="142"/>
      <c r="G40" s="103"/>
      <c r="H40" s="104"/>
      <c r="I40" s="104"/>
      <c r="J40" s="104"/>
      <c r="K40" s="105"/>
      <c r="L40" s="106"/>
      <c r="M40" s="138"/>
    </row>
    <row r="41" spans="1:14" ht="15.75" thickBot="1" x14ac:dyDescent="0.3">
      <c r="A41" s="91" t="s">
        <v>16</v>
      </c>
      <c r="B41" s="92">
        <v>4</v>
      </c>
      <c r="C41" s="93">
        <f>C40-B41</f>
        <v>34</v>
      </c>
      <c r="D41" s="82">
        <f>C41/B37</f>
        <v>7.8521939953810627E-2</v>
      </c>
      <c r="E41" s="143"/>
      <c r="G41" s="107"/>
      <c r="H41" s="100"/>
      <c r="I41" s="100"/>
      <c r="J41" s="100"/>
      <c r="K41" s="101"/>
      <c r="L41" s="108"/>
      <c r="M41" s="139"/>
    </row>
    <row r="42" spans="1:14" ht="15" customHeight="1" thickTop="1" x14ac:dyDescent="0.25">
      <c r="A42" s="75" t="s">
        <v>999</v>
      </c>
      <c r="B42" s="76">
        <v>433</v>
      </c>
      <c r="C42" s="77"/>
      <c r="D42" s="78"/>
      <c r="E42" s="141">
        <v>44887</v>
      </c>
      <c r="G42" s="107"/>
      <c r="H42" s="100"/>
      <c r="I42" s="100"/>
      <c r="J42" s="100"/>
      <c r="K42" s="101"/>
      <c r="L42" s="108"/>
      <c r="M42" s="139"/>
    </row>
    <row r="43" spans="1:14" x14ac:dyDescent="0.25">
      <c r="A43" s="79" t="s">
        <v>6</v>
      </c>
      <c r="B43" s="80">
        <v>38</v>
      </c>
      <c r="C43" s="81">
        <v>38</v>
      </c>
      <c r="D43" s="82">
        <f>C43/B42</f>
        <v>8.7759815242494224E-2</v>
      </c>
      <c r="E43" s="142"/>
      <c r="G43" s="107"/>
      <c r="H43" s="100"/>
      <c r="I43" s="100"/>
      <c r="J43" s="100"/>
      <c r="K43" s="101"/>
      <c r="L43" s="108"/>
      <c r="M43" s="139"/>
    </row>
    <row r="44" spans="1:14" x14ac:dyDescent="0.25">
      <c r="A44" s="79" t="s">
        <v>1001</v>
      </c>
      <c r="B44" s="80">
        <v>9</v>
      </c>
      <c r="C44" s="81">
        <f>C43-B44</f>
        <v>29</v>
      </c>
      <c r="D44" s="82">
        <f>C44/B42</f>
        <v>6.6974595842956119E-2</v>
      </c>
      <c r="E44" s="142"/>
      <c r="G44" s="107"/>
      <c r="H44" s="100"/>
      <c r="I44" s="100"/>
      <c r="J44" s="100"/>
      <c r="K44" s="101"/>
      <c r="L44" s="108"/>
      <c r="M44" s="139"/>
    </row>
    <row r="45" spans="1:14" ht="15.75" thickBot="1" x14ac:dyDescent="0.3">
      <c r="A45" s="79" t="s">
        <v>1000</v>
      </c>
      <c r="B45" s="80">
        <v>1</v>
      </c>
      <c r="C45" s="81">
        <f>C44-B45</f>
        <v>28</v>
      </c>
      <c r="D45" s="82">
        <f>C45/B42</f>
        <v>6.4665127020785224E-2</v>
      </c>
      <c r="E45" s="142"/>
      <c r="G45" s="109"/>
      <c r="H45" s="110"/>
      <c r="I45" s="110"/>
      <c r="J45" s="110"/>
      <c r="K45" s="110"/>
      <c r="L45" s="111"/>
      <c r="M45" s="140"/>
    </row>
    <row r="46" spans="1:14" ht="16.5" thickTop="1" thickBot="1" x14ac:dyDescent="0.3">
      <c r="A46" s="91" t="s">
        <v>16</v>
      </c>
      <c r="B46" s="92">
        <v>4</v>
      </c>
      <c r="C46" s="93">
        <f>C45-B46</f>
        <v>24</v>
      </c>
      <c r="D46" s="82">
        <f>C46/B42</f>
        <v>5.5427251732101619E-2</v>
      </c>
      <c r="E46" s="143"/>
    </row>
    <row r="47" spans="1:14" ht="15.75" thickTop="1" x14ac:dyDescent="0.25">
      <c r="A47" s="75" t="s">
        <v>999</v>
      </c>
      <c r="B47" s="76"/>
      <c r="C47" s="77"/>
      <c r="D47" s="78"/>
      <c r="E47" s="141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42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42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42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43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41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42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42"/>
    </row>
    <row r="55" spans="1:11" x14ac:dyDescent="0.25">
      <c r="A55" s="79" t="s">
        <v>1000</v>
      </c>
      <c r="B55" s="80"/>
      <c r="C55" s="81"/>
      <c r="D55" s="82"/>
      <c r="E55" s="142"/>
    </row>
    <row r="56" spans="1:11" ht="15.75" thickBot="1" x14ac:dyDescent="0.3">
      <c r="A56" s="91" t="s">
        <v>16</v>
      </c>
      <c r="B56" s="92"/>
      <c r="C56" s="93"/>
      <c r="D56" s="94"/>
      <c r="E56" s="143"/>
    </row>
    <row r="57" spans="1:11" ht="15.75" thickTop="1" x14ac:dyDescent="0.25">
      <c r="A57" s="75" t="s">
        <v>999</v>
      </c>
      <c r="B57" s="76"/>
      <c r="C57" s="77"/>
      <c r="D57" s="78"/>
      <c r="E57" s="141"/>
    </row>
    <row r="58" spans="1:11" x14ac:dyDescent="0.25">
      <c r="A58" s="79" t="s">
        <v>6</v>
      </c>
      <c r="B58" s="80"/>
      <c r="C58" s="81"/>
      <c r="D58" s="82"/>
      <c r="E58" s="142"/>
    </row>
    <row r="59" spans="1:11" x14ac:dyDescent="0.25">
      <c r="A59" s="79" t="s">
        <v>1001</v>
      </c>
      <c r="B59" s="80"/>
      <c r="C59" s="81"/>
      <c r="D59" s="82"/>
      <c r="E59" s="142"/>
    </row>
    <row r="60" spans="1:11" x14ac:dyDescent="0.25">
      <c r="A60" s="79" t="s">
        <v>1000</v>
      </c>
      <c r="B60" s="80"/>
      <c r="C60" s="81"/>
      <c r="D60" s="82"/>
      <c r="E60" s="142"/>
    </row>
    <row r="61" spans="1:11" ht="15.75" thickBot="1" x14ac:dyDescent="0.3">
      <c r="A61" s="91" t="s">
        <v>16</v>
      </c>
      <c r="B61" s="92"/>
      <c r="C61" s="93"/>
      <c r="D61" s="94"/>
      <c r="E61" s="143"/>
    </row>
    <row r="62" spans="1:11" ht="15.75" thickTop="1" x14ac:dyDescent="0.25">
      <c r="A62" s="75" t="s">
        <v>999</v>
      </c>
      <c r="B62" s="76"/>
      <c r="C62" s="77"/>
      <c r="D62" s="78"/>
      <c r="E62" s="141"/>
    </row>
    <row r="63" spans="1:11" x14ac:dyDescent="0.25">
      <c r="A63" s="79" t="s">
        <v>6</v>
      </c>
      <c r="B63" s="80"/>
      <c r="C63" s="81"/>
      <c r="D63" s="82"/>
      <c r="E63" s="142"/>
    </row>
    <row r="64" spans="1:11" x14ac:dyDescent="0.25">
      <c r="A64" s="79" t="s">
        <v>1001</v>
      </c>
      <c r="B64" s="80"/>
      <c r="C64" s="81"/>
      <c r="D64" s="82"/>
      <c r="E64" s="142"/>
    </row>
    <row r="65" spans="1:5" x14ac:dyDescent="0.25">
      <c r="A65" s="79" t="s">
        <v>1000</v>
      </c>
      <c r="B65" s="80"/>
      <c r="C65" s="81"/>
      <c r="D65" s="82"/>
      <c r="E65" s="142"/>
    </row>
    <row r="66" spans="1:5" ht="15.75" thickBot="1" x14ac:dyDescent="0.3">
      <c r="A66" s="91" t="s">
        <v>16</v>
      </c>
      <c r="B66" s="92"/>
      <c r="C66" s="93"/>
      <c r="D66" s="94"/>
      <c r="E66" s="143"/>
    </row>
    <row r="67" spans="1:5" ht="15.75" thickTop="1" x14ac:dyDescent="0.25">
      <c r="A67" s="75" t="s">
        <v>999</v>
      </c>
      <c r="B67" s="76"/>
      <c r="C67" s="77"/>
      <c r="D67" s="78"/>
      <c r="E67" s="141"/>
    </row>
    <row r="68" spans="1:5" x14ac:dyDescent="0.25">
      <c r="A68" s="79" t="s">
        <v>6</v>
      </c>
      <c r="B68" s="80"/>
      <c r="C68" s="81"/>
      <c r="D68" s="82"/>
      <c r="E68" s="142"/>
    </row>
    <row r="69" spans="1:5" x14ac:dyDescent="0.25">
      <c r="A69" s="79" t="s">
        <v>1001</v>
      </c>
      <c r="B69" s="80"/>
      <c r="C69" s="81"/>
      <c r="D69" s="82"/>
      <c r="E69" s="142"/>
    </row>
    <row r="70" spans="1:5" x14ac:dyDescent="0.25">
      <c r="A70" s="79" t="s">
        <v>1000</v>
      </c>
      <c r="B70" s="80"/>
      <c r="C70" s="81"/>
      <c r="D70" s="82"/>
      <c r="E70" s="142"/>
    </row>
    <row r="71" spans="1:5" ht="15.75" thickBot="1" x14ac:dyDescent="0.3">
      <c r="A71" s="91" t="s">
        <v>16</v>
      </c>
      <c r="B71" s="92"/>
      <c r="C71" s="93"/>
      <c r="D71" s="94"/>
      <c r="E71" s="143"/>
    </row>
    <row r="72" spans="1:5" ht="15.75" thickTop="1" x14ac:dyDescent="0.25">
      <c r="A72" s="75" t="s">
        <v>999</v>
      </c>
      <c r="B72" s="76"/>
      <c r="C72" s="77"/>
      <c r="D72" s="78"/>
      <c r="E72" s="141"/>
    </row>
    <row r="73" spans="1:5" x14ac:dyDescent="0.25">
      <c r="A73" s="79" t="s">
        <v>6</v>
      </c>
      <c r="B73" s="80"/>
      <c r="C73" s="81"/>
      <c r="D73" s="82"/>
      <c r="E73" s="142"/>
    </row>
    <row r="74" spans="1:5" x14ac:dyDescent="0.25">
      <c r="A74" s="79" t="s">
        <v>1001</v>
      </c>
      <c r="B74" s="80"/>
      <c r="C74" s="81"/>
      <c r="D74" s="82"/>
      <c r="E74" s="142"/>
    </row>
    <row r="75" spans="1:5" x14ac:dyDescent="0.25">
      <c r="A75" s="79" t="s">
        <v>1000</v>
      </c>
      <c r="B75" s="80"/>
      <c r="C75" s="81"/>
      <c r="D75" s="82"/>
      <c r="E75" s="142"/>
    </row>
    <row r="76" spans="1:5" ht="15.75" thickBot="1" x14ac:dyDescent="0.3">
      <c r="A76" s="91" t="s">
        <v>16</v>
      </c>
      <c r="B76" s="92"/>
      <c r="C76" s="93"/>
      <c r="D76" s="94"/>
      <c r="E76" s="143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44883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31</v>
      </c>
    </row>
    <row r="5" spans="2:4" ht="15.75" thickBot="1" x14ac:dyDescent="0.3">
      <c r="B5" s="58"/>
      <c r="C5" s="59"/>
      <c r="D5" s="71">
        <v>0.13777777777777778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16</v>
      </c>
    </row>
    <row r="7" spans="2:4" ht="15.75" thickBot="1" x14ac:dyDescent="0.3">
      <c r="B7" s="58"/>
      <c r="C7" s="59"/>
      <c r="D7" s="52">
        <v>7.8048780487804878E-2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G28" sqref="G28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25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25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25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25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25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25">
      <c r="A12" s="18">
        <f>'APAGADOS RADIO'!P3</f>
        <v>44876</v>
      </c>
      <c r="B12" s="40">
        <f>'APAGADOS RADIO'!P2+D12</f>
        <v>34</v>
      </c>
      <c r="C12" s="40">
        <f>'APAGADOS FIBRA'!P2</f>
        <v>63</v>
      </c>
      <c r="D12" s="40">
        <f>'APAGADOS ANTENA'!P2</f>
        <v>9</v>
      </c>
      <c r="E12" s="40">
        <f t="shared" ref="E12:E15" si="10">B12+C12</f>
        <v>97</v>
      </c>
      <c r="F12" s="40">
        <f>'RESUMEN TOTAL'!B1</f>
        <v>430</v>
      </c>
      <c r="G12" s="44">
        <f t="shared" ref="G12:G15" si="11">E12/F12</f>
        <v>0.2255813953488372</v>
      </c>
    </row>
    <row r="13" spans="1:7" x14ac:dyDescent="0.25">
      <c r="A13" s="18">
        <f>'APAGADOS RADIO'!Q3</f>
        <v>44877</v>
      </c>
      <c r="B13" s="40">
        <f>'APAGADOS RADIO'!Q2+D13</f>
        <v>7</v>
      </c>
      <c r="C13" s="40">
        <f>'APAGADOS FIBRA'!Q2</f>
        <v>36</v>
      </c>
      <c r="D13" s="40">
        <f>'APAGADOS ANTENA'!Q2</f>
        <v>2</v>
      </c>
      <c r="E13" s="40">
        <f t="shared" si="10"/>
        <v>43</v>
      </c>
      <c r="F13" s="40">
        <f>'RESUMEN TOTAL'!B1</f>
        <v>430</v>
      </c>
      <c r="G13" s="44">
        <f t="shared" si="11"/>
        <v>0.1</v>
      </c>
    </row>
    <row r="14" spans="1:7" x14ac:dyDescent="0.25">
      <c r="A14" s="18">
        <f>'APAGADOS RADIO'!R3</f>
        <v>44878</v>
      </c>
      <c r="B14" s="40">
        <f>'APAGADOS RADIO'!R2+D14</f>
        <v>35</v>
      </c>
      <c r="C14" s="40">
        <f>'APAGADOS FIBRA'!R2</f>
        <v>61</v>
      </c>
      <c r="D14" s="40">
        <f>'APAGADOS ANTENA'!R2</f>
        <v>10</v>
      </c>
      <c r="E14" s="40">
        <f t="shared" si="10"/>
        <v>96</v>
      </c>
      <c r="F14" s="40">
        <f>'RESUMEN TOTAL'!B1</f>
        <v>430</v>
      </c>
      <c r="G14" s="44">
        <f t="shared" si="11"/>
        <v>0.22325581395348837</v>
      </c>
    </row>
    <row r="15" spans="1:7" x14ac:dyDescent="0.25">
      <c r="A15" s="18">
        <f>'APAGADOS RADIO'!S3</f>
        <v>44879</v>
      </c>
      <c r="B15" s="40">
        <f>'APAGADOS RADIO'!S2+D15</f>
        <v>5</v>
      </c>
      <c r="C15" s="40">
        <f>'APAGADOS FIBRA'!S2</f>
        <v>36</v>
      </c>
      <c r="D15" s="40">
        <f>'APAGADOS ANTENA'!S2</f>
        <v>4</v>
      </c>
      <c r="E15" s="40">
        <f t="shared" si="10"/>
        <v>41</v>
      </c>
      <c r="F15" s="40">
        <f>'RESUMEN TOTAL'!B1</f>
        <v>430</v>
      </c>
      <c r="G15" s="44">
        <f t="shared" si="11"/>
        <v>9.5348837209302331E-2</v>
      </c>
    </row>
    <row r="16" spans="1:7" x14ac:dyDescent="0.25">
      <c r="A16" s="18">
        <f>'APAGADOS RADIO'!T3</f>
        <v>44880</v>
      </c>
      <c r="B16" s="40">
        <f>'APAGADOS RADIO'!T2+D16</f>
        <v>6</v>
      </c>
      <c r="C16" s="40">
        <f>'APAGADOS FIBRA'!T2</f>
        <v>35</v>
      </c>
      <c r="D16" s="40">
        <f>'APAGADOS ANTENA'!T2</f>
        <v>5</v>
      </c>
      <c r="E16" s="40">
        <f t="shared" ref="E16:E18" si="12">B16+C16</f>
        <v>41</v>
      </c>
      <c r="F16" s="40">
        <f>'RESUMEN TOTAL'!B1</f>
        <v>430</v>
      </c>
      <c r="G16" s="44">
        <f t="shared" ref="G16:G18" si="13">E16/F16</f>
        <v>9.5348837209302331E-2</v>
      </c>
    </row>
    <row r="17" spans="1:7" x14ac:dyDescent="0.25">
      <c r="A17" s="18">
        <f>'APAGADOS RADIO'!U3</f>
        <v>44881</v>
      </c>
      <c r="B17" s="40">
        <f>'APAGADOS RADIO'!U2+D17</f>
        <v>8</v>
      </c>
      <c r="C17" s="40">
        <f>'APAGADOS FIBRA'!U2</f>
        <v>36</v>
      </c>
      <c r="D17" s="40">
        <f>'APAGADOS ANTENA'!U2</f>
        <v>2</v>
      </c>
      <c r="E17" s="40">
        <f t="shared" si="12"/>
        <v>44</v>
      </c>
      <c r="F17" s="40">
        <f>'RESUMEN TOTAL'!B1</f>
        <v>430</v>
      </c>
      <c r="G17" s="44">
        <f t="shared" si="13"/>
        <v>0.10232558139534884</v>
      </c>
    </row>
    <row r="18" spans="1:7" x14ac:dyDescent="0.25">
      <c r="A18" s="18">
        <f>'APAGADOS RADIO'!V3</f>
        <v>44882</v>
      </c>
      <c r="B18" s="40">
        <f>'APAGADOS RADIO'!V2+D18</f>
        <v>9</v>
      </c>
      <c r="C18" s="40">
        <f>'APAGADOS FIBRA'!V2</f>
        <v>36</v>
      </c>
      <c r="D18" s="40">
        <f>'APAGADOS ANTENA'!V2</f>
        <v>2</v>
      </c>
      <c r="E18" s="40">
        <f t="shared" si="12"/>
        <v>45</v>
      </c>
      <c r="F18" s="40">
        <f>'RESUMEN TOTAL'!B1</f>
        <v>430</v>
      </c>
      <c r="G18" s="44">
        <f t="shared" si="13"/>
        <v>0.10465116279069768</v>
      </c>
    </row>
    <row r="19" spans="1:7" x14ac:dyDescent="0.25">
      <c r="A19" s="18">
        <f>'APAGADOS RADIO'!W3</f>
        <v>44883</v>
      </c>
      <c r="B19" s="40">
        <f>'APAGADOS RADIO'!W2+D19</f>
        <v>6</v>
      </c>
      <c r="C19" s="40">
        <f>'APAGADOS FIBRA'!W2</f>
        <v>41</v>
      </c>
      <c r="D19" s="40">
        <f>'APAGADOS ANTENA'!W2</f>
        <v>2</v>
      </c>
      <c r="E19" s="40">
        <f t="shared" ref="E19" si="14">B19+C19</f>
        <v>47</v>
      </c>
      <c r="F19" s="40">
        <f>'RESUMEN TOTAL'!B1</f>
        <v>430</v>
      </c>
      <c r="G19" s="44">
        <f t="shared" ref="G19" si="15">E19/F19</f>
        <v>0.10930232558139535</v>
      </c>
    </row>
    <row r="20" spans="1:7" x14ac:dyDescent="0.25">
      <c r="A20" s="18">
        <f>'APAGADOS RADIO'!X3</f>
        <v>44884</v>
      </c>
      <c r="B20" s="40">
        <f>'APAGADOS RADIO'!X2+D20</f>
        <v>11</v>
      </c>
      <c r="C20" s="40">
        <f>'APAGADOS FIBRA'!X2</f>
        <v>34</v>
      </c>
      <c r="D20" s="40">
        <f>'APAGADOS ANTENA'!X2</f>
        <v>4</v>
      </c>
      <c r="E20" s="40">
        <f t="shared" ref="E20:E23" si="16">B20+C20</f>
        <v>45</v>
      </c>
      <c r="F20" s="40">
        <f>'RESUMEN TOTAL'!B1</f>
        <v>430</v>
      </c>
      <c r="G20" s="44">
        <f t="shared" ref="G20:G23" si="17">E20/F20</f>
        <v>0.10465116279069768</v>
      </c>
    </row>
    <row r="21" spans="1:7" x14ac:dyDescent="0.25">
      <c r="A21" s="18">
        <f>'APAGADOS RADIO'!Y3</f>
        <v>44885</v>
      </c>
      <c r="B21" s="40">
        <f>'APAGADOS RADIO'!Y2+D21</f>
        <v>4</v>
      </c>
      <c r="C21" s="40">
        <f>'APAGADOS FIBRA'!Y2</f>
        <v>33</v>
      </c>
      <c r="D21" s="40">
        <f>'APAGADOS ANTENA'!Y2</f>
        <v>2</v>
      </c>
      <c r="E21" s="40">
        <f t="shared" si="16"/>
        <v>37</v>
      </c>
      <c r="F21" s="40">
        <f>'RESUMEN TOTAL'!B1</f>
        <v>430</v>
      </c>
      <c r="G21" s="44">
        <f t="shared" si="17"/>
        <v>8.6046511627906982E-2</v>
      </c>
    </row>
    <row r="22" spans="1:7" x14ac:dyDescent="0.25">
      <c r="A22" s="18">
        <f>'APAGADOS RADIO'!Z3</f>
        <v>44886</v>
      </c>
      <c r="B22" s="40">
        <f>'APAGADOS RADIO'!Z2+D22</f>
        <v>8</v>
      </c>
      <c r="C22" s="40">
        <f>'APAGADOS FIBRA'!Z2</f>
        <v>28</v>
      </c>
      <c r="D22" s="40">
        <f>'APAGADOS ANTENA'!Z2</f>
        <v>2</v>
      </c>
      <c r="E22" s="40">
        <f t="shared" si="16"/>
        <v>36</v>
      </c>
      <c r="F22" s="40">
        <f>'RESUMEN TOTAL'!B1</f>
        <v>430</v>
      </c>
      <c r="G22" s="44">
        <f t="shared" si="17"/>
        <v>8.3720930232558138E-2</v>
      </c>
    </row>
    <row r="23" spans="1:7" x14ac:dyDescent="0.25">
      <c r="A23" s="18">
        <f>'APAGADOS RADIO'!AA3</f>
        <v>44887</v>
      </c>
      <c r="B23" s="40">
        <f>'APAGADOS RADIO'!AA2+D23</f>
        <v>6</v>
      </c>
      <c r="C23" s="40">
        <f>'APAGADOS FIBRA'!AA2</f>
        <v>32</v>
      </c>
      <c r="D23" s="40">
        <f>'APAGADOS ANTENA'!AA2</f>
        <v>2</v>
      </c>
      <c r="E23" s="40">
        <f t="shared" si="16"/>
        <v>38</v>
      </c>
      <c r="F23" s="40">
        <f>'RESUMEN TOTAL'!B1</f>
        <v>430</v>
      </c>
      <c r="G23" s="44">
        <f t="shared" si="17"/>
        <v>8.8372093023255813E-2</v>
      </c>
    </row>
    <row r="24" spans="1:7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7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7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7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7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7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7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7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7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W2" sqref="W2:W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22</v>
      </c>
      <c r="T3" s="64">
        <f>COUNTIFS('RESUMEN TOTAL'!C7:C501, "=BONOMO",'RESUMEN TOTAL'!Y7:Y501,"=APAGADO")</f>
        <v>25</v>
      </c>
      <c r="U3" s="64">
        <f>COUNTIFS('RESUMEN TOTAL'!C7:C501, "=BONOMO",'RESUMEN TOTAL'!Z7:Z501,"=APAGADO")</f>
        <v>28</v>
      </c>
      <c r="V3" s="64">
        <f>COUNTIFS('RESUMEN TOTAL'!C7:C501, "=BONOMO",'RESUMEN TOTAL'!AA7:AA501,"=APAGADO")</f>
        <v>27</v>
      </c>
      <c r="W3" s="64">
        <f>COUNTIFS('RESUMEN TOTAL'!C7:C501, "=BONOMO",'RESUMEN TOTAL'!AB7:AB501,"=APAGADO")</f>
        <v>31</v>
      </c>
      <c r="X3" s="64">
        <f>COUNTIFS('RESUMEN TOTAL'!C7:C501, "=BONOMO",'RESUMEN TOTAL'!AC7:AC501,"=APAGADO")</f>
        <v>25</v>
      </c>
      <c r="Y3" s="64">
        <f>COUNTIFS('RESUMEN TOTAL'!C7:C501, "=BONOMO",'RESUMEN TOTAL'!AD7:AD501,"=APAGADO")</f>
        <v>25</v>
      </c>
      <c r="Z3" s="64">
        <f>COUNTIFS('RESUMEN TOTAL'!C7:C501, "=BONOMO",'RESUMEN TOTAL'!AE7:AE501,"=APAGADO")</f>
        <v>24</v>
      </c>
      <c r="AA3" s="64">
        <f>COUNTIFS('RESUMEN TOTAL'!C7:C501, "=BONOMO",'RESUMEN TOTAL'!AF7:AF501,"=APAGADO")</f>
        <v>26</v>
      </c>
      <c r="AB3" s="64">
        <f>COUNTIFS('RESUMEN TOTAL'!C7:C501, "=BONOMO",'RESUMEN TOTAL'!AG7:AG501,"=APAGADO")</f>
        <v>36</v>
      </c>
      <c r="AC3" s="64">
        <f>COUNTIFS('RESUMEN TOTAL'!C7:C501, "=BONOMO",'RESUMEN TOTAL'!AH7:AH501,"=APAGADO")</f>
        <v>29</v>
      </c>
      <c r="AD3" s="64">
        <f>COUNTIFS('RESUMEN TOTAL'!C7:C501, "=BONOMO",'RESUMEN TOTAL'!AI7:AI501,"=APAGADO")</f>
        <v>34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9.7777777777777783E-2</v>
      </c>
      <c r="T4" s="71">
        <f t="shared" si="0"/>
        <v>0.1111111111111111</v>
      </c>
      <c r="U4" s="71">
        <f t="shared" si="0"/>
        <v>0.12444444444444444</v>
      </c>
      <c r="V4" s="71">
        <f t="shared" ref="V4" si="4">V3/BONOMOcam</f>
        <v>0.12</v>
      </c>
      <c r="W4" s="71">
        <f t="shared" si="0"/>
        <v>0.13777777777777778</v>
      </c>
      <c r="X4" s="71">
        <f t="shared" si="0"/>
        <v>0.1111111111111111</v>
      </c>
      <c r="Y4" s="71">
        <f t="shared" si="0"/>
        <v>0.1111111111111111</v>
      </c>
      <c r="Z4" s="71">
        <f t="shared" si="0"/>
        <v>0.10666666666666667</v>
      </c>
      <c r="AA4" s="71">
        <f t="shared" si="0"/>
        <v>0.11555555555555555</v>
      </c>
      <c r="AB4" s="71">
        <f t="shared" si="0"/>
        <v>0.16</v>
      </c>
      <c r="AC4" s="71">
        <f t="shared" si="0"/>
        <v>0.12888888888888889</v>
      </c>
      <c r="AD4" s="71">
        <f t="shared" si="0"/>
        <v>0.15111111111111111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19</v>
      </c>
      <c r="T5" s="66">
        <f>COUNTIFS('RESUMEN TOTAL'!C10:C421, "=COSEIDI",'RESUMEN TOTAL'!Y10:Y421,"=APAGADO")</f>
        <v>16</v>
      </c>
      <c r="U5" s="66">
        <f>COUNTIFS('RESUMEN TOTAL'!C10:C421, "=COSEIDI",'RESUMEN TOTAL'!Z10:Z421,"=APAGADO")</f>
        <v>14</v>
      </c>
      <c r="V5" s="66">
        <f>COUNTIFS('RESUMEN TOTAL'!C10:C421, "=COSEIDI",'RESUMEN TOTAL'!AA10:AA421,"=APAGADO")</f>
        <v>17</v>
      </c>
      <c r="W5" s="66">
        <f>COUNTIFS('RESUMEN TOTAL'!C10:C421, "=COSEIDI",'RESUMEN TOTAL'!AB10:AB421,"=APAGADO")</f>
        <v>16</v>
      </c>
      <c r="X5" s="66">
        <f>COUNTIFS('RESUMEN TOTAL'!C10:C421, "=COSEIDI",'RESUMEN TOTAL'!AC10:AC421,"=APAGADO")</f>
        <v>20</v>
      </c>
      <c r="Y5" s="66">
        <f>COUNTIFS('RESUMEN TOTAL'!C10:C421, "=COSEIDI",'RESUMEN TOTAL'!AD10:AD421,"=APAGADO")</f>
        <v>12</v>
      </c>
      <c r="Z5" s="66">
        <f>COUNTIFS('RESUMEN TOTAL'!C10:C421, "=COSEIDI",'RESUMEN TOTAL'!AE10:AE421,"=APAGADO")</f>
        <v>12</v>
      </c>
      <c r="AA5" s="66">
        <f>COUNTIFS('RESUMEN TOTAL'!C10:C421, "=COSEIDI",'RESUMEN TOTAL'!AF10:AF421,"=APAGADO")</f>
        <v>12</v>
      </c>
      <c r="AB5" s="66">
        <f>COUNTIFS('RESUMEN TOTAL'!C10:C421, "=COSEIDI",'RESUMEN TOTAL'!AG10:AG421,"=APAGADO")</f>
        <v>17</v>
      </c>
      <c r="AC5" s="66">
        <f>COUNTIFS('RESUMEN TOTAL'!C10:C421, "=COSEIDI",'RESUMEN TOTAL'!AH10:AH421,"=APAGADO")</f>
        <v>12</v>
      </c>
      <c r="AD5" s="66">
        <f>COUNTIFS('RESUMEN TOTAL'!C10:C421, "=COSEIDI",'RESUMEN TOTAL'!AI10:AI421,"=APAGADO")</f>
        <v>22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9.2682926829268292E-2</v>
      </c>
      <c r="T6" s="70">
        <f t="shared" si="5"/>
        <v>7.8048780487804878E-2</v>
      </c>
      <c r="U6" s="70">
        <f t="shared" si="5"/>
        <v>6.8292682926829273E-2</v>
      </c>
      <c r="V6" s="70">
        <f t="shared" ref="V6" si="9">V5/COSEIDIcam</f>
        <v>8.2926829268292687E-2</v>
      </c>
      <c r="W6" s="70">
        <f t="shared" si="5"/>
        <v>7.8048780487804878E-2</v>
      </c>
      <c r="X6" s="70">
        <f t="shared" si="5"/>
        <v>9.7560975609756101E-2</v>
      </c>
      <c r="Y6" s="70">
        <f t="shared" si="5"/>
        <v>5.8536585365853662E-2</v>
      </c>
      <c r="Z6" s="70">
        <f t="shared" si="5"/>
        <v>5.8536585365853662E-2</v>
      </c>
      <c r="AA6" s="70">
        <f t="shared" si="5"/>
        <v>5.8536585365853662E-2</v>
      </c>
      <c r="AB6" s="70">
        <f t="shared" si="5"/>
        <v>8.2926829268292687E-2</v>
      </c>
      <c r="AC6" s="70">
        <f t="shared" si="5"/>
        <v>5.8536585365853662E-2</v>
      </c>
      <c r="AD6" s="70">
        <f t="shared" si="5"/>
        <v>0.10731707317073171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2022-11-25T12:48:54Z</dcterms:modified>
</cp:coreProperties>
</file>