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FB55B16F-4515-42CF-BD59-2C972B2C0E8C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45" i="24" l="1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45" i="24" l="1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6" i="14" s="1"/>
  <c r="F24" i="14" l="1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B24" i="14" s="1"/>
  <c r="E24" i="14" s="1"/>
  <c r="G24" i="14" s="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B25" i="14" s="1"/>
  <c r="E25" i="14" s="1"/>
  <c r="G25" i="14" s="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26" i="14" l="1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<sst xmlns="http://schemas.openxmlformats.org/spreadsheetml/2006/main" count="3972" uniqueCount="1208">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</sst>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0.11792452830188679</c:v>
                      </c:pt>
                      <c:pt idx="26">
                        <c:v>0.11792452830188679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4.4444444444444446E-2</c:v>
                      </c:pt>
                      <c:pt idx="24">
                        <c:v>3.888888888888889E-2</c:v>
                      </c:pt>
                      <c:pt idx="25">
                        <c:v>4.4444444444444446E-2</c:v>
                      </c:pt>
                      <c:pt idx="26" formatCode="0.00%">
                        <c:v>9.4444444444444442E-2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0.11792452830188679</c:v>
                </c:pt>
                <c:pt idx="26">
                  <c:v>0.11792452830188679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4.4444444444444446E-2</c:v>
                </c:pt>
                <c:pt idx="24">
                  <c:v>3.888888888888889E-2</c:v>
                </c:pt>
                <c:pt idx="25">
                  <c:v>4.4444444444444446E-2</c:v>
                </c:pt>
                <c:pt idx="26" formatCode="0.00%">
                  <c:v>9.4444444444444442E-2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17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K210" activePane="bottomRight" state="frozen"/>
      <selection pane="topRight" activeCell="M1" sqref="M1"/>
      <selection pane="bottomLeft" activeCell="A5" sqref="A5"/>
      <selection pane="bottomRight" activeCell="AK224" sqref="AK224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0.08</v>
      </c>
      <c r="AI1" s="4">
        <f t="shared" si="0"/>
        <v>0.08</v>
      </c>
      <c r="AJ1" s="4">
        <f t="shared" si="0"/>
        <v>8.7999999999999995E-2</v>
      </c>
      <c r="AK1" s="4">
        <f t="shared" si="0"/>
        <v>0.11081794195250659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345</v>
      </c>
      <c r="AI2" s="10">
        <f t="shared" ref="AI2:AM2" si="4">COUNTIF(AI5:AI379, "")</f>
        <v>345</v>
      </c>
      <c r="AJ2" s="10">
        <f t="shared" si="4"/>
        <v>342</v>
      </c>
      <c r="AK2" s="10">
        <f t="shared" si="4"/>
        <v>337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30</v>
      </c>
      <c r="AJ3" s="14">
        <f t="shared" si="5"/>
        <v>33</v>
      </c>
      <c r="AK3" s="14">
        <f t="shared" si="5"/>
        <v>42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1170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1171</v>
      </c>
      <c r="D5" s="51" t="s">
        <v>33</v>
      </c>
      <c r="E5" s="51" t="s">
        <v>19</v>
      </c>
      <c r="F5" s="51" t="s">
        <v>1163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1171</v>
      </c>
      <c r="D6" s="51" t="s">
        <v>34</v>
      </c>
      <c r="E6" s="51" t="s">
        <v>19</v>
      </c>
      <c r="F6" s="51" t="s">
        <v>1163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1171</v>
      </c>
      <c r="D7" s="51" t="s">
        <v>27</v>
      </c>
      <c r="E7" s="51" t="s">
        <v>19</v>
      </c>
      <c r="F7" s="51" t="s">
        <v>1164</v>
      </c>
      <c r="G7" s="51" t="s">
        <v>635</v>
      </c>
      <c r="H7" s="53">
        <f t="shared" si="10"/>
        <v>19</v>
      </c>
      <c r="I7" s="17">
        <f t="shared" si="8"/>
        <v>11</v>
      </c>
      <c r="J7" s="18">
        <f t="shared" si="9"/>
        <v>0.6333333333333333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 t="s">
        <v>1010</v>
      </c>
      <c r="AK7" s="8" t="s">
        <v>1010</v>
      </c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1171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1171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1171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22</v>
      </c>
      <c r="I10" s="17">
        <f t="shared" si="8"/>
        <v>8</v>
      </c>
      <c r="J10" s="18">
        <f t="shared" si="9"/>
        <v>0.73333333333333328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 t="s">
        <v>1010</v>
      </c>
      <c r="AK10" s="8" t="s">
        <v>1010</v>
      </c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1171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1171</v>
      </c>
      <c r="D12" s="51" t="s">
        <v>32</v>
      </c>
      <c r="E12" s="51" t="s">
        <v>19</v>
      </c>
      <c r="F12" s="51" t="s">
        <v>1164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1171</v>
      </c>
      <c r="D13" s="51" t="s">
        <v>36</v>
      </c>
      <c r="E13" s="51" t="s">
        <v>19</v>
      </c>
      <c r="F13" s="51" t="s">
        <v>1164</v>
      </c>
      <c r="G13" s="51" t="s">
        <v>633</v>
      </c>
      <c r="H13" s="53">
        <f t="shared" si="10"/>
        <v>22</v>
      </c>
      <c r="I13" s="17">
        <f t="shared" si="8"/>
        <v>8</v>
      </c>
      <c r="J13" s="18">
        <f t="shared" si="9"/>
        <v>0.73333333333333328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 t="s">
        <v>1010</v>
      </c>
      <c r="AK13" s="8" t="s">
        <v>1010</v>
      </c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1171</v>
      </c>
      <c r="D14" s="51" t="s">
        <v>38</v>
      </c>
      <c r="E14" s="51" t="s">
        <v>15</v>
      </c>
      <c r="F14" s="51" t="s">
        <v>1164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1172</v>
      </c>
      <c r="D15" s="51" t="s">
        <v>42</v>
      </c>
      <c r="E15" s="51" t="s">
        <v>19</v>
      </c>
      <c r="F15" s="51" t="s">
        <v>1163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1171</v>
      </c>
      <c r="D16" s="51" t="s">
        <v>44</v>
      </c>
      <c r="E16" s="51" t="s">
        <v>15</v>
      </c>
      <c r="F16" s="51" t="s">
        <v>1163</v>
      </c>
      <c r="G16" s="51" t="s">
        <v>641</v>
      </c>
      <c r="H16" s="53">
        <f t="shared" si="10"/>
        <v>24</v>
      </c>
      <c r="I16" s="17">
        <f t="shared" si="8"/>
        <v>6</v>
      </c>
      <c r="J16" s="18">
        <f t="shared" si="9"/>
        <v>0.8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 t="s">
        <v>1010</v>
      </c>
      <c r="AK16" s="8" t="s">
        <v>1010</v>
      </c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1171</v>
      </c>
      <c r="D17" s="51" t="s">
        <v>1194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1025</v>
      </c>
      <c r="C18" s="51" t="s">
        <v>1171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1026</v>
      </c>
      <c r="C19" s="51" t="s">
        <v>1171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1027</v>
      </c>
      <c r="C20" s="51" t="s">
        <v>1171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1028</v>
      </c>
      <c r="C21" s="51" t="s">
        <v>1171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1029</v>
      </c>
      <c r="C22" s="51" t="s">
        <v>1171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1030</v>
      </c>
      <c r="C23" s="51" t="s">
        <v>1171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1171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1171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1171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1171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1171</v>
      </c>
      <c r="D28" s="51" t="s">
        <v>58</v>
      </c>
      <c r="E28" s="51" t="s">
        <v>15</v>
      </c>
      <c r="F28" s="51" t="s">
        <v>1163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1171</v>
      </c>
      <c r="D29" s="51" t="s">
        <v>61</v>
      </c>
      <c r="E29" s="51" t="s">
        <v>15</v>
      </c>
      <c r="F29" s="51" t="s">
        <v>1164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1171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1031</v>
      </c>
      <c r="C31" s="51" t="s">
        <v>1171</v>
      </c>
      <c r="D31" s="51" t="s">
        <v>157</v>
      </c>
      <c r="E31" s="51" t="s">
        <v>46</v>
      </c>
      <c r="F31" s="51" t="s">
        <v>28</v>
      </c>
      <c r="G31" s="51" t="s">
        <v>1167</v>
      </c>
      <c r="H31" s="53">
        <f t="shared" si="10"/>
        <v>14</v>
      </c>
      <c r="I31" s="17">
        <f t="shared" si="8"/>
        <v>16</v>
      </c>
      <c r="J31" s="18">
        <f t="shared" si="9"/>
        <v>0.46666666666666667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1171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1171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1171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3</v>
      </c>
      <c r="I34" s="17">
        <f t="shared" si="8"/>
        <v>27</v>
      </c>
      <c r="J34" s="18">
        <f t="shared" si="9"/>
        <v>0.1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 t="s">
        <v>1010</v>
      </c>
      <c r="AK34" s="8" t="s">
        <v>1010</v>
      </c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1032</v>
      </c>
      <c r="C35" s="51" t="s">
        <v>1171</v>
      </c>
      <c r="D35" s="51" t="s">
        <v>1033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1034</v>
      </c>
      <c r="C36" s="51" t="s">
        <v>1171</v>
      </c>
      <c r="D36" s="51" t="s">
        <v>1191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1171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1171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1171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1171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1171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1171</v>
      </c>
      <c r="D42" s="51" t="s">
        <v>1190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1171</v>
      </c>
      <c r="D43" s="51" t="s">
        <v>1189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1171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1171</v>
      </c>
      <c r="D45" s="51" t="s">
        <v>1188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1171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1171</v>
      </c>
      <c r="D47" s="51" t="s">
        <v>1192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1171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1171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1171</v>
      </c>
      <c r="D50" s="51" t="s">
        <v>97</v>
      </c>
      <c r="E50" s="51" t="s">
        <v>19</v>
      </c>
      <c r="F50" s="51" t="s">
        <v>1164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1171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1171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1171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1171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1171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1171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1171</v>
      </c>
      <c r="D57" s="51" t="s">
        <v>1193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1171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1171</v>
      </c>
      <c r="D59" s="51" t="s">
        <v>1195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1171</v>
      </c>
      <c r="D60" s="51" t="s">
        <v>1196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1171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1171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1171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1171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1171</v>
      </c>
      <c r="D65" s="51" t="s">
        <v>1197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1171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1171</v>
      </c>
      <c r="D67" s="51" t="s">
        <v>1177</v>
      </c>
      <c r="E67" s="51" t="s">
        <v>19</v>
      </c>
      <c r="F67" s="51" t="s">
        <v>28</v>
      </c>
      <c r="G67" s="51" t="s">
        <v>674</v>
      </c>
      <c r="H67" s="53">
        <f t="shared" si="10"/>
        <v>3</v>
      </c>
      <c r="I67" s="17">
        <f t="shared" si="8"/>
        <v>27</v>
      </c>
      <c r="J67" s="18">
        <f t="shared" si="9"/>
        <v>0.1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 t="s">
        <v>1010</v>
      </c>
      <c r="AK67" s="8" t="s">
        <v>1010</v>
      </c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1171</v>
      </c>
      <c r="D68" s="51" t="s">
        <v>1178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1171</v>
      </c>
      <c r="D69" s="51" t="s">
        <v>1179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1171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1171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1171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1171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1171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1171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1171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1171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1171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1171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23</v>
      </c>
      <c r="I79" s="17">
        <f t="shared" si="11"/>
        <v>7</v>
      </c>
      <c r="J79" s="18">
        <f t="shared" si="12"/>
        <v>0.76666666666666672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1171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1171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1171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1035</v>
      </c>
      <c r="C83" s="51" t="s">
        <v>1171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1036</v>
      </c>
      <c r="C84" s="51" t="s">
        <v>1171</v>
      </c>
      <c r="D84" s="51" t="s">
        <v>1198</v>
      </c>
      <c r="E84" s="51" t="s">
        <v>15</v>
      </c>
      <c r="F84" s="51" t="s">
        <v>1164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1037</v>
      </c>
      <c r="C85" s="51" t="s">
        <v>1171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1171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1171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14</v>
      </c>
      <c r="I87" s="17">
        <f t="shared" si="11"/>
        <v>16</v>
      </c>
      <c r="J87" s="18">
        <f t="shared" si="12"/>
        <v>0.46666666666666667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1171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1171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1171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1171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1171</v>
      </c>
      <c r="D92" s="51" t="s">
        <v>167</v>
      </c>
      <c r="E92" s="51" t="s">
        <v>19</v>
      </c>
      <c r="F92" s="51" t="s">
        <v>1163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1171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1171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1171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1171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11</v>
      </c>
      <c r="I96" s="17">
        <f t="shared" si="11"/>
        <v>19</v>
      </c>
      <c r="J96" s="18">
        <f t="shared" si="12"/>
        <v>0.36666666666666664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 t="s">
        <v>1010</v>
      </c>
      <c r="AK96" s="8" t="s">
        <v>1010</v>
      </c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1038</v>
      </c>
      <c r="C97" s="51" t="s">
        <v>1172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1172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1172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1039</v>
      </c>
      <c r="C100" s="51" t="s">
        <v>1171</v>
      </c>
      <c r="D100" s="51" t="s">
        <v>188</v>
      </c>
      <c r="E100" s="51" t="s">
        <v>73</v>
      </c>
      <c r="F100" s="51" t="s">
        <v>1164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1040</v>
      </c>
      <c r="C101" s="51" t="s">
        <v>1171</v>
      </c>
      <c r="D101" s="51" t="s">
        <v>188</v>
      </c>
      <c r="E101" s="51" t="s">
        <v>73</v>
      </c>
      <c r="F101" s="51" t="s">
        <v>1164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1041</v>
      </c>
      <c r="C102" s="51" t="s">
        <v>1171</v>
      </c>
      <c r="D102" s="51" t="s">
        <v>1042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1043</v>
      </c>
      <c r="C103" s="51" t="s">
        <v>1171</v>
      </c>
      <c r="D103" s="51" t="s">
        <v>1042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1171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1044</v>
      </c>
      <c r="C105" s="51" t="s">
        <v>1172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1045</v>
      </c>
      <c r="C106" s="51" t="s">
        <v>1172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1046</v>
      </c>
      <c r="C107" s="51" t="s">
        <v>1172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28</v>
      </c>
      <c r="I107" s="17">
        <f t="shared" si="11"/>
        <v>2</v>
      </c>
      <c r="J107" s="18">
        <f t="shared" si="12"/>
        <v>0.93333333333333335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 t="s">
        <v>1010</v>
      </c>
      <c r="AK107" s="8" t="s">
        <v>1010</v>
      </c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1047</v>
      </c>
      <c r="C108" s="51" t="s">
        <v>1172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1172</v>
      </c>
      <c r="D109" s="51" t="s">
        <v>1048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1172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1172</v>
      </c>
      <c r="D111" s="51" t="s">
        <v>201</v>
      </c>
      <c r="E111" s="51" t="s">
        <v>19</v>
      </c>
      <c r="F111" s="51" t="s">
        <v>1164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1172</v>
      </c>
      <c r="D112" s="51" t="s">
        <v>204</v>
      </c>
      <c r="E112" s="51" t="s">
        <v>15</v>
      </c>
      <c r="F112" s="51" t="s">
        <v>1164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1172</v>
      </c>
      <c r="D113" s="51" t="s">
        <v>206</v>
      </c>
      <c r="E113" s="51" t="s">
        <v>19</v>
      </c>
      <c r="F113" s="51" t="s">
        <v>1163</v>
      </c>
      <c r="G113" s="51" t="s">
        <v>734</v>
      </c>
      <c r="H113" s="53">
        <f t="shared" si="13"/>
        <v>26</v>
      </c>
      <c r="I113" s="17">
        <f t="shared" si="11"/>
        <v>4</v>
      </c>
      <c r="J113" s="18">
        <f t="shared" si="12"/>
        <v>0.8666666666666667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 t="s">
        <v>1010</v>
      </c>
      <c r="AK113" s="8" t="s">
        <v>1010</v>
      </c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1172</v>
      </c>
      <c r="D114" s="51" t="s">
        <v>208</v>
      </c>
      <c r="E114" s="51" t="s">
        <v>19</v>
      </c>
      <c r="F114" s="51" t="s">
        <v>1163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1172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1049</v>
      </c>
      <c r="C116" s="51" t="s">
        <v>1172</v>
      </c>
      <c r="D116" s="51" t="s">
        <v>195</v>
      </c>
      <c r="E116" s="51" t="s">
        <v>15</v>
      </c>
      <c r="F116" s="51" t="s">
        <v>1164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1172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1172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1172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1172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1050</v>
      </c>
      <c r="C121" s="51" t="s">
        <v>1172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1051</v>
      </c>
      <c r="C122" s="51" t="s">
        <v>1172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1052</v>
      </c>
      <c r="C123" s="51" t="s">
        <v>1172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1171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1171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1171</v>
      </c>
      <c r="D126" s="51" t="s">
        <v>230</v>
      </c>
      <c r="E126" s="51" t="s">
        <v>73</v>
      </c>
      <c r="F126" s="51" t="s">
        <v>1164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1171</v>
      </c>
      <c r="D127" s="51" t="s">
        <v>230</v>
      </c>
      <c r="E127" s="51" t="s">
        <v>73</v>
      </c>
      <c r="F127" s="51" t="s">
        <v>1164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1053</v>
      </c>
      <c r="C128" s="51" t="s">
        <v>1171</v>
      </c>
      <c r="D128" s="51" t="s">
        <v>247</v>
      </c>
      <c r="E128" s="51" t="s">
        <v>73</v>
      </c>
      <c r="F128" s="51" t="s">
        <v>1164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1054</v>
      </c>
      <c r="C129" s="51" t="s">
        <v>1171</v>
      </c>
      <c r="D129" s="51" t="s">
        <v>247</v>
      </c>
      <c r="E129" s="51" t="s">
        <v>73</v>
      </c>
      <c r="F129" s="51" t="s">
        <v>1164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1055</v>
      </c>
      <c r="C130" s="51" t="s">
        <v>1171</v>
      </c>
      <c r="D130" s="51" t="s">
        <v>248</v>
      </c>
      <c r="E130" s="51" t="s">
        <v>73</v>
      </c>
      <c r="F130" s="51" t="s">
        <v>1164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1056</v>
      </c>
      <c r="C131" s="51" t="s">
        <v>1171</v>
      </c>
      <c r="D131" s="51" t="s">
        <v>248</v>
      </c>
      <c r="E131" s="51" t="s">
        <v>73</v>
      </c>
      <c r="F131" s="51" t="s">
        <v>1164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1171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1171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1171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3</v>
      </c>
      <c r="I134" s="17">
        <f t="shared" si="14"/>
        <v>27</v>
      </c>
      <c r="J134" s="18">
        <f t="shared" si="15"/>
        <v>0.1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 t="s">
        <v>1010</v>
      </c>
      <c r="AK134" s="8" t="s">
        <v>1010</v>
      </c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1171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1171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1171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28</v>
      </c>
      <c r="I137" s="17">
        <f t="shared" si="14"/>
        <v>2</v>
      </c>
      <c r="J137" s="18">
        <f t="shared" si="15"/>
        <v>0.93333333333333335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 t="s">
        <v>1010</v>
      </c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1057</v>
      </c>
      <c r="C138" s="51" t="s">
        <v>1171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1058</v>
      </c>
      <c r="C139" s="51" t="s">
        <v>1171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1171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1171</v>
      </c>
      <c r="D141" s="51" t="s">
        <v>250</v>
      </c>
      <c r="E141" s="51" t="s">
        <v>15</v>
      </c>
      <c r="F141" s="51" t="s">
        <v>1164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1171</v>
      </c>
      <c r="D142" s="51" t="s">
        <v>252</v>
      </c>
      <c r="E142" s="51" t="s">
        <v>15</v>
      </c>
      <c r="F142" s="51" t="s">
        <v>1164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1171</v>
      </c>
      <c r="D143" s="51" t="s">
        <v>254</v>
      </c>
      <c r="E143" s="51" t="s">
        <v>15</v>
      </c>
      <c r="F143" s="51" t="s">
        <v>1164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1059</v>
      </c>
      <c r="C144" s="51" t="s">
        <v>1171</v>
      </c>
      <c r="D144" s="51" t="s">
        <v>1199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1171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1171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1171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1060</v>
      </c>
      <c r="C148" s="51" t="s">
        <v>1172</v>
      </c>
      <c r="D148" s="51" t="s">
        <v>262</v>
      </c>
      <c r="E148" s="51" t="s">
        <v>15</v>
      </c>
      <c r="F148" s="51" t="s">
        <v>1163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1172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1172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1061</v>
      </c>
      <c r="C151" s="51" t="s">
        <v>1171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1062</v>
      </c>
      <c r="C152" s="51" t="s">
        <v>1171</v>
      </c>
      <c r="D152" s="51" t="s">
        <v>1200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1063</v>
      </c>
      <c r="C153" s="51" t="s">
        <v>1171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1064</v>
      </c>
      <c r="C154" s="51" t="s">
        <v>1171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1065</v>
      </c>
      <c r="C155" s="51" t="s">
        <v>1171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1066</v>
      </c>
      <c r="C156" s="51" t="s">
        <v>1171</v>
      </c>
      <c r="D156" s="51" t="s">
        <v>267</v>
      </c>
      <c r="E156" s="51" t="s">
        <v>46</v>
      </c>
      <c r="F156" s="51" t="s">
        <v>1163</v>
      </c>
      <c r="G156" s="51" t="s">
        <v>770</v>
      </c>
      <c r="H156" s="53">
        <f t="shared" si="16"/>
        <v>3</v>
      </c>
      <c r="I156" s="17">
        <f t="shared" si="14"/>
        <v>27</v>
      </c>
      <c r="J156" s="18">
        <f t="shared" si="15"/>
        <v>0.1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 t="s">
        <v>1010</v>
      </c>
      <c r="AK156" s="8" t="s">
        <v>1010</v>
      </c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1171</v>
      </c>
      <c r="D157" s="51" t="s">
        <v>270</v>
      </c>
      <c r="E157" s="51" t="s">
        <v>19</v>
      </c>
      <c r="F157" s="51" t="s">
        <v>1163</v>
      </c>
      <c r="G157" s="51" t="s">
        <v>771</v>
      </c>
      <c r="H157" s="53">
        <f t="shared" si="16"/>
        <v>12</v>
      </c>
      <c r="I157" s="17">
        <f t="shared" si="14"/>
        <v>18</v>
      </c>
      <c r="J157" s="18">
        <f t="shared" si="15"/>
        <v>0.4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 t="s">
        <v>1010</v>
      </c>
      <c r="AK157" s="8" t="s">
        <v>1010</v>
      </c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1171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4</v>
      </c>
      <c r="I158" s="17">
        <f t="shared" si="14"/>
        <v>26</v>
      </c>
      <c r="J158" s="18">
        <f t="shared" si="15"/>
        <v>0.13333333333333333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 t="s">
        <v>1010</v>
      </c>
      <c r="AK158" s="8" t="s">
        <v>1010</v>
      </c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1171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1171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1171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1171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25</v>
      </c>
      <c r="I162" s="17">
        <f t="shared" si="14"/>
        <v>5</v>
      </c>
      <c r="J162" s="18">
        <f t="shared" si="15"/>
        <v>0.83333333333333337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 t="s">
        <v>1010</v>
      </c>
      <c r="AK162" s="8" t="s">
        <v>1010</v>
      </c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1171</v>
      </c>
      <c r="D163" s="51" t="s">
        <v>285</v>
      </c>
      <c r="E163" s="51" t="s">
        <v>19</v>
      </c>
      <c r="F163" s="51" t="s">
        <v>1163</v>
      </c>
      <c r="G163" s="51" t="s">
        <v>780</v>
      </c>
      <c r="H163" s="53">
        <f t="shared" si="16"/>
        <v>4</v>
      </c>
      <c r="I163" s="17">
        <f t="shared" si="14"/>
        <v>26</v>
      </c>
      <c r="J163" s="18">
        <f t="shared" si="15"/>
        <v>0.13333333333333333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 t="s">
        <v>1010</v>
      </c>
      <c r="AK163" s="8" t="s">
        <v>1010</v>
      </c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1171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1067</v>
      </c>
      <c r="C165" s="51" t="s">
        <v>1171</v>
      </c>
      <c r="D165" s="51" t="s">
        <v>1201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1172</v>
      </c>
      <c r="D166" s="51" t="s">
        <v>290</v>
      </c>
      <c r="E166" s="51" t="s">
        <v>15</v>
      </c>
      <c r="F166" s="51" t="s">
        <v>28</v>
      </c>
      <c r="G166" s="51" t="s">
        <v>1176</v>
      </c>
      <c r="H166" s="53">
        <f t="shared" si="16"/>
        <v>5</v>
      </c>
      <c r="I166" s="17">
        <f t="shared" si="14"/>
        <v>25</v>
      </c>
      <c r="J166" s="18">
        <f t="shared" si="15"/>
        <v>0.16666666666666666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 t="s">
        <v>1010</v>
      </c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1172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1172</v>
      </c>
      <c r="D168" s="51" t="s">
        <v>14</v>
      </c>
      <c r="E168" s="51" t="s">
        <v>15</v>
      </c>
      <c r="F168" s="51" t="s">
        <v>1163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1068</v>
      </c>
      <c r="C169" s="51" t="s">
        <v>1172</v>
      </c>
      <c r="D169" s="51" t="s">
        <v>1069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1070</v>
      </c>
      <c r="B170" s="51" t="s">
        <v>1071</v>
      </c>
      <c r="C170" s="51" t="s">
        <v>1172</v>
      </c>
      <c r="D170" s="51" t="s">
        <v>1069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1172</v>
      </c>
      <c r="D171" s="51" t="s">
        <v>1202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1172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1172</v>
      </c>
      <c r="D173" s="51" t="s">
        <v>621</v>
      </c>
      <c r="E173" s="51" t="s">
        <v>15</v>
      </c>
      <c r="F173" s="51" t="s">
        <v>1164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1172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1072</v>
      </c>
      <c r="C175" s="51" t="s">
        <v>1171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1073</v>
      </c>
      <c r="C176" s="51" t="s">
        <v>1171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1074</v>
      </c>
      <c r="C177" s="51" t="s">
        <v>1171</v>
      </c>
      <c r="D177" s="51" t="s">
        <v>302</v>
      </c>
      <c r="E177" s="51" t="s">
        <v>19</v>
      </c>
      <c r="F177" s="51" t="s">
        <v>1163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1171</v>
      </c>
      <c r="D178" s="51" t="s">
        <v>297</v>
      </c>
      <c r="E178" s="51" t="s">
        <v>73</v>
      </c>
      <c r="F178" s="51" t="s">
        <v>28</v>
      </c>
      <c r="G178" s="51" t="s">
        <v>1168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1171</v>
      </c>
      <c r="D179" s="51" t="s">
        <v>301</v>
      </c>
      <c r="E179" s="51" t="s">
        <v>19</v>
      </c>
      <c r="F179" s="51" t="s">
        <v>1163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1171</v>
      </c>
      <c r="D180" s="51" t="s">
        <v>304</v>
      </c>
      <c r="E180" s="51" t="s">
        <v>15</v>
      </c>
      <c r="F180" s="51" t="s">
        <v>1163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1171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1171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1171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1171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1075</v>
      </c>
      <c r="C185" s="51" t="s">
        <v>1171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1171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1171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1171</v>
      </c>
      <c r="D188" s="51" t="s">
        <v>321</v>
      </c>
      <c r="E188" s="51" t="s">
        <v>19</v>
      </c>
      <c r="F188" s="51" t="s">
        <v>1164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1171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1171</v>
      </c>
      <c r="D190" s="51" t="s">
        <v>326</v>
      </c>
      <c r="E190" s="51" t="s">
        <v>19</v>
      </c>
      <c r="F190" s="51" t="s">
        <v>20</v>
      </c>
      <c r="G190" s="51" t="s">
        <v>1169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1171</v>
      </c>
      <c r="D191" s="51" t="s">
        <v>328</v>
      </c>
      <c r="E191" s="51" t="s">
        <v>19</v>
      </c>
      <c r="F191" s="51" t="s">
        <v>1163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1171</v>
      </c>
      <c r="D192" s="51" t="s">
        <v>330</v>
      </c>
      <c r="E192" s="51" t="s">
        <v>19</v>
      </c>
      <c r="F192" s="51" t="s">
        <v>1163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1171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1172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1172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1172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1172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1172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1172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1172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1172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1172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1172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1172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1076</v>
      </c>
      <c r="C205" s="51" t="s">
        <v>1172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1172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1171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1172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1172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1077</v>
      </c>
      <c r="C210" s="51" t="s">
        <v>1172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3</v>
      </c>
      <c r="I210" s="17">
        <f t="shared" si="17"/>
        <v>27</v>
      </c>
      <c r="J210" s="18">
        <f t="shared" si="18"/>
        <v>0.1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 t="s">
        <v>1010</v>
      </c>
      <c r="AK210" s="8" t="s">
        <v>1010</v>
      </c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1172</v>
      </c>
      <c r="D211" s="51" t="s">
        <v>363</v>
      </c>
      <c r="E211" s="51" t="s">
        <v>15</v>
      </c>
      <c r="F211" s="51" t="s">
        <v>1164</v>
      </c>
      <c r="G211" s="51" t="s">
        <v>825</v>
      </c>
      <c r="H211" s="53">
        <f t="shared" si="19"/>
        <v>29</v>
      </c>
      <c r="I211" s="17">
        <f t="shared" si="17"/>
        <v>1</v>
      </c>
      <c r="J211" s="18">
        <f t="shared" si="18"/>
        <v>0.96666666666666667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 t="s">
        <v>1010</v>
      </c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1172</v>
      </c>
      <c r="D212" s="51" t="s">
        <v>363</v>
      </c>
      <c r="E212" s="51" t="s">
        <v>73</v>
      </c>
      <c r="F212" s="51" t="s">
        <v>1164</v>
      </c>
      <c r="G212" s="51" t="s">
        <v>826</v>
      </c>
      <c r="H212" s="53">
        <f t="shared" si="19"/>
        <v>29</v>
      </c>
      <c r="I212" s="17">
        <f t="shared" si="17"/>
        <v>1</v>
      </c>
      <c r="J212" s="18">
        <f t="shared" si="18"/>
        <v>0.96666666666666667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 t="s">
        <v>1010</v>
      </c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1172</v>
      </c>
      <c r="D213" s="51" t="s">
        <v>1078</v>
      </c>
      <c r="E213" s="51" t="s">
        <v>15</v>
      </c>
      <c r="F213" s="51" t="s">
        <v>28</v>
      </c>
      <c r="G213" s="51" t="s">
        <v>831</v>
      </c>
      <c r="H213" s="53">
        <f t="shared" si="19"/>
        <v>9</v>
      </c>
      <c r="I213" s="17">
        <f t="shared" si="17"/>
        <v>21</v>
      </c>
      <c r="J213" s="18">
        <f t="shared" si="18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1172</v>
      </c>
      <c r="D214" s="51" t="s">
        <v>1078</v>
      </c>
      <c r="E214" s="51" t="s">
        <v>73</v>
      </c>
      <c r="F214" s="51" t="s">
        <v>28</v>
      </c>
      <c r="G214" s="51" t="s">
        <v>832</v>
      </c>
      <c r="H214" s="53">
        <f t="shared" si="19"/>
        <v>9</v>
      </c>
      <c r="I214" s="17">
        <f t="shared" si="17"/>
        <v>21</v>
      </c>
      <c r="J214" s="18">
        <f t="shared" si="18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1172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5</v>
      </c>
      <c r="I215" s="17">
        <f t="shared" si="17"/>
        <v>25</v>
      </c>
      <c r="J215" s="18">
        <f t="shared" si="18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1172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3</v>
      </c>
      <c r="I216" s="17">
        <f t="shared" si="17"/>
        <v>27</v>
      </c>
      <c r="J216" s="18">
        <f t="shared" si="18"/>
        <v>0.1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 t="s">
        <v>1010</v>
      </c>
      <c r="AK216" s="8" t="s">
        <v>1010</v>
      </c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1079</v>
      </c>
      <c r="C217" s="51" t="s">
        <v>1171</v>
      </c>
      <c r="D217" s="51" t="s">
        <v>1080</v>
      </c>
      <c r="E217" s="51" t="s">
        <v>73</v>
      </c>
      <c r="F217" s="51" t="s">
        <v>28</v>
      </c>
      <c r="G217" s="51"/>
      <c r="H217" s="53">
        <f t="shared" si="19"/>
        <v>6</v>
      </c>
      <c r="I217" s="17">
        <f t="shared" si="17"/>
        <v>24</v>
      </c>
      <c r="J217" s="18">
        <f t="shared" si="18"/>
        <v>0.2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 t="s">
        <v>1010</v>
      </c>
      <c r="AK217" s="8" t="s">
        <v>1010</v>
      </c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1081</v>
      </c>
      <c r="C218" s="51" t="s">
        <v>1172</v>
      </c>
      <c r="D218" s="51" t="s">
        <v>1082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1083</v>
      </c>
      <c r="C219" s="51" t="s">
        <v>1172</v>
      </c>
      <c r="D219" s="51" t="s">
        <v>1084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1172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1085</v>
      </c>
      <c r="C221" s="51" t="s">
        <v>1172</v>
      </c>
      <c r="D221" s="51" t="s">
        <v>1086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1087</v>
      </c>
      <c r="C222" s="51" t="s">
        <v>1172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1088</v>
      </c>
      <c r="C223" s="51" t="s">
        <v>1172</v>
      </c>
      <c r="D223" s="51" t="s">
        <v>1089</v>
      </c>
      <c r="E223" s="51" t="s">
        <v>73</v>
      </c>
      <c r="F223" s="51" t="s">
        <v>28</v>
      </c>
      <c r="G223" s="51"/>
      <c r="H223" s="53">
        <f t="shared" si="19"/>
        <v>29</v>
      </c>
      <c r="I223" s="17">
        <f t="shared" si="17"/>
        <v>1</v>
      </c>
      <c r="J223" s="18">
        <f t="shared" si="18"/>
        <v>0.96666666666666667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 t="s">
        <v>1010</v>
      </c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1090</v>
      </c>
      <c r="C224" s="51" t="s">
        <v>1172</v>
      </c>
      <c r="D224" s="51" t="s">
        <v>1091</v>
      </c>
      <c r="E224" s="51" t="s">
        <v>19</v>
      </c>
      <c r="F224" s="51" t="s">
        <v>28</v>
      </c>
      <c r="G224" s="51"/>
      <c r="H224" s="53">
        <f t="shared" si="19"/>
        <v>11</v>
      </c>
      <c r="I224" s="17">
        <f t="shared" si="17"/>
        <v>19</v>
      </c>
      <c r="J224" s="18">
        <f t="shared" si="18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1092</v>
      </c>
      <c r="C225" s="51" t="s">
        <v>1172</v>
      </c>
      <c r="D225" s="51" t="s">
        <v>1093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1094</v>
      </c>
      <c r="C226" s="51" t="s">
        <v>1172</v>
      </c>
      <c r="D226" s="51" t="s">
        <v>1095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1172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1096</v>
      </c>
      <c r="C228" s="51" t="s">
        <v>1172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1172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1172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1172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1172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1097</v>
      </c>
      <c r="C233" s="51" t="s">
        <v>1172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1098</v>
      </c>
      <c r="C234" s="51" t="s">
        <v>1172</v>
      </c>
      <c r="D234" s="51" t="s">
        <v>1099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1100</v>
      </c>
      <c r="C235" s="51" t="s">
        <v>1172</v>
      </c>
      <c r="D235" s="51" t="s">
        <v>1101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1102</v>
      </c>
      <c r="C236" s="51" t="s">
        <v>1172</v>
      </c>
      <c r="D236" s="51" t="s">
        <v>1103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1104</v>
      </c>
      <c r="C237" s="51" t="s">
        <v>1172</v>
      </c>
      <c r="D237" s="51" t="s">
        <v>1105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1106</v>
      </c>
      <c r="C238" s="51" t="s">
        <v>1172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1107</v>
      </c>
      <c r="C239" s="51" t="s">
        <v>1172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1172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1172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1108</v>
      </c>
      <c r="C242" s="51" t="s">
        <v>1172</v>
      </c>
      <c r="D242" s="51" t="s">
        <v>1109</v>
      </c>
      <c r="E242" s="51" t="s">
        <v>1165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1172</v>
      </c>
      <c r="D243" s="51" t="s">
        <v>1109</v>
      </c>
      <c r="E243" s="51" t="s">
        <v>1166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1110</v>
      </c>
      <c r="C244" s="51" t="s">
        <v>1171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14</v>
      </c>
      <c r="I244" s="17">
        <f t="shared" si="17"/>
        <v>16</v>
      </c>
      <c r="J244" s="18">
        <f t="shared" si="18"/>
        <v>0.46666666666666667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 t="s">
        <v>1010</v>
      </c>
      <c r="AK244" s="8" t="s">
        <v>1010</v>
      </c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1111</v>
      </c>
      <c r="C245" s="51" t="s">
        <v>1171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14</v>
      </c>
      <c r="I245" s="17">
        <f t="shared" si="17"/>
        <v>16</v>
      </c>
      <c r="J245" s="18">
        <f t="shared" si="18"/>
        <v>0.46666666666666667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 t="s">
        <v>1010</v>
      </c>
      <c r="AK245" s="27" t="s">
        <v>1010</v>
      </c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1112</v>
      </c>
      <c r="C246" s="51" t="s">
        <v>1171</v>
      </c>
      <c r="D246" s="51" t="s">
        <v>1113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1114</v>
      </c>
      <c r="C247" s="51" t="s">
        <v>1171</v>
      </c>
      <c r="D247" s="51" t="s">
        <v>1115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1171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1171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1171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1171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1116</v>
      </c>
      <c r="C252" s="51" t="s">
        <v>1171</v>
      </c>
      <c r="D252" s="51" t="s">
        <v>401</v>
      </c>
      <c r="E252" s="51" t="s">
        <v>19</v>
      </c>
      <c r="F252" s="51" t="s">
        <v>1163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1171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1171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3</v>
      </c>
      <c r="I254" s="17">
        <f t="shared" si="17"/>
        <v>27</v>
      </c>
      <c r="J254" s="18">
        <f t="shared" si="18"/>
        <v>0.1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 t="s">
        <v>1010</v>
      </c>
      <c r="AK254" s="8" t="s">
        <v>1010</v>
      </c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1171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3</v>
      </c>
      <c r="I255" s="17">
        <f t="shared" si="17"/>
        <v>27</v>
      </c>
      <c r="J255" s="18">
        <f t="shared" si="18"/>
        <v>0.1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 t="s">
        <v>1010</v>
      </c>
      <c r="AK255" s="8" t="s">
        <v>1010</v>
      </c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1171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1171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1171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1171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1171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1171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1171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1117</v>
      </c>
      <c r="C263" s="51" t="s">
        <v>1171</v>
      </c>
      <c r="D263" s="51" t="s">
        <v>1118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1171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1171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1171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1171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1171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1171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1171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1172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1172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1119</v>
      </c>
      <c r="C273" s="51" t="s">
        <v>1172</v>
      </c>
      <c r="D273" s="51" t="s">
        <v>1120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1121</v>
      </c>
      <c r="C274" s="51" t="s">
        <v>1172</v>
      </c>
      <c r="D274" s="51" t="s">
        <v>1120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1172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1172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1172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29</v>
      </c>
      <c r="I277" s="17">
        <f t="shared" si="21"/>
        <v>1</v>
      </c>
      <c r="J277" s="18">
        <f t="shared" si="22"/>
        <v>0.96666666666666667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 t="s">
        <v>1010</v>
      </c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1172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29</v>
      </c>
      <c r="I278" s="17">
        <f t="shared" si="21"/>
        <v>1</v>
      </c>
      <c r="J278" s="18">
        <f t="shared" si="22"/>
        <v>0.96666666666666667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 t="s">
        <v>1010</v>
      </c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1172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29</v>
      </c>
      <c r="I279" s="17">
        <f t="shared" si="21"/>
        <v>1</v>
      </c>
      <c r="J279" s="18">
        <f t="shared" si="22"/>
        <v>0.96666666666666667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 t="s">
        <v>1010</v>
      </c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1172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29</v>
      </c>
      <c r="I280" s="17">
        <f t="shared" si="21"/>
        <v>1</v>
      </c>
      <c r="J280" s="18">
        <f t="shared" si="22"/>
        <v>0.96666666666666667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 t="s">
        <v>1010</v>
      </c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1172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1172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1172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1172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1172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1172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1172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1172</v>
      </c>
      <c r="D288" s="51" t="s">
        <v>457</v>
      </c>
      <c r="E288" s="51" t="s">
        <v>15</v>
      </c>
      <c r="F288" s="51" t="s">
        <v>1164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1122</v>
      </c>
      <c r="C289" s="51" t="s">
        <v>1171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9</v>
      </c>
      <c r="I289" s="17">
        <f t="shared" si="21"/>
        <v>21</v>
      </c>
      <c r="J289" s="18">
        <f t="shared" si="22"/>
        <v>0.3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 t="s">
        <v>1010</v>
      </c>
      <c r="AK289" s="8" t="s">
        <v>1010</v>
      </c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1123</v>
      </c>
      <c r="C290" s="51" t="s">
        <v>1171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9</v>
      </c>
      <c r="I290" s="17">
        <f t="shared" si="21"/>
        <v>21</v>
      </c>
      <c r="J290" s="18">
        <f t="shared" si="22"/>
        <v>0.3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 t="s">
        <v>1010</v>
      </c>
      <c r="AK290" s="8" t="s">
        <v>1010</v>
      </c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1171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9</v>
      </c>
      <c r="I291" s="17">
        <f t="shared" si="21"/>
        <v>21</v>
      </c>
      <c r="J291" s="18">
        <f t="shared" si="22"/>
        <v>0.3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 t="s">
        <v>1010</v>
      </c>
      <c r="AK291" s="8" t="s">
        <v>1010</v>
      </c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1171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9</v>
      </c>
      <c r="I292" s="17">
        <f t="shared" si="21"/>
        <v>21</v>
      </c>
      <c r="J292" s="18">
        <f t="shared" si="22"/>
        <v>0.3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 t="s">
        <v>1010</v>
      </c>
      <c r="AK292" s="8" t="s">
        <v>1010</v>
      </c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1124</v>
      </c>
      <c r="C293" s="51" t="s">
        <v>1172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1172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1125</v>
      </c>
      <c r="C295" s="51" t="s">
        <v>1172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1126</v>
      </c>
      <c r="C296" s="51" t="s">
        <v>1172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29</v>
      </c>
      <c r="I296" s="17">
        <f t="shared" si="21"/>
        <v>1</v>
      </c>
      <c r="J296" s="18">
        <f t="shared" si="22"/>
        <v>0.96666666666666667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 t="s">
        <v>1010</v>
      </c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1127</v>
      </c>
      <c r="C297" s="51" t="s">
        <v>1172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28</v>
      </c>
      <c r="I297" s="17">
        <f t="shared" si="21"/>
        <v>2</v>
      </c>
      <c r="J297" s="18">
        <f t="shared" si="22"/>
        <v>0.93333333333333335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 t="s">
        <v>1010</v>
      </c>
      <c r="AK297" s="8" t="s">
        <v>1010</v>
      </c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1128</v>
      </c>
      <c r="C298" s="51" t="s">
        <v>1172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1129</v>
      </c>
      <c r="C299" s="51" t="s">
        <v>1172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1172</v>
      </c>
      <c r="D300" s="51" t="s">
        <v>1130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1172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1172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1131</v>
      </c>
      <c r="C303" s="51" t="s">
        <v>1172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1132</v>
      </c>
      <c r="C304" s="51" t="s">
        <v>1172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1133</v>
      </c>
      <c r="C305" s="51" t="s">
        <v>1172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1134</v>
      </c>
      <c r="C306" s="51" t="s">
        <v>1172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1135</v>
      </c>
      <c r="C307" s="51" t="s">
        <v>1172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1172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1172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1136</v>
      </c>
      <c r="C310" s="51" t="s">
        <v>1172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1137</v>
      </c>
      <c r="C311" s="51" t="s">
        <v>1172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1172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1172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1138</v>
      </c>
      <c r="C314" s="51" t="s">
        <v>1171</v>
      </c>
      <c r="D314" s="51" t="s">
        <v>505</v>
      </c>
      <c r="E314" s="51" t="s">
        <v>19</v>
      </c>
      <c r="F314" s="51" t="s">
        <v>1164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1171</v>
      </c>
      <c r="D315" s="51" t="s">
        <v>489</v>
      </c>
      <c r="E315" s="51" t="s">
        <v>19</v>
      </c>
      <c r="F315" s="51" t="s">
        <v>1164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1171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1171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1171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1171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1171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1171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1171</v>
      </c>
      <c r="D322" s="51" t="s">
        <v>504</v>
      </c>
      <c r="E322" s="51" t="s">
        <v>19</v>
      </c>
      <c r="F322" s="51" t="s">
        <v>1164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1172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1172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1139</v>
      </c>
      <c r="C325" s="51" t="s">
        <v>1172</v>
      </c>
      <c r="D325" s="51" t="s">
        <v>518</v>
      </c>
      <c r="E325" s="51" t="s">
        <v>73</v>
      </c>
      <c r="F325" s="51" t="s">
        <v>1163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1140</v>
      </c>
      <c r="C326" s="51" t="s">
        <v>1172</v>
      </c>
      <c r="D326" s="51" t="s">
        <v>518</v>
      </c>
      <c r="E326" s="51" t="s">
        <v>73</v>
      </c>
      <c r="F326" s="51" t="s">
        <v>1163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1172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4</v>
      </c>
      <c r="I327" s="17">
        <f t="shared" ref="I327:I372" si="24">COUNTIF(K327:AL327,"APAGADO")</f>
        <v>26</v>
      </c>
      <c r="J327" s="18">
        <f t="shared" ref="J327:J372" si="25">(H327)/(I327+H327)</f>
        <v>0.13333333333333333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 t="s">
        <v>1010</v>
      </c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1172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4</v>
      </c>
      <c r="I328" s="17">
        <f t="shared" si="24"/>
        <v>26</v>
      </c>
      <c r="J328" s="18">
        <f t="shared" si="25"/>
        <v>0.13333333333333333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 t="s">
        <v>1010</v>
      </c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1172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1172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1172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1172</v>
      </c>
      <c r="D332" s="51" t="s">
        <v>520</v>
      </c>
      <c r="E332" s="51" t="s">
        <v>73</v>
      </c>
      <c r="F332" s="51" t="s">
        <v>1163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1172</v>
      </c>
      <c r="D333" s="51" t="s">
        <v>520</v>
      </c>
      <c r="E333" s="51" t="s">
        <v>73</v>
      </c>
      <c r="F333" s="51" t="s">
        <v>1163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1141</v>
      </c>
      <c r="C334" s="51" t="s">
        <v>1172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1142</v>
      </c>
      <c r="C335" s="51" t="s">
        <v>1172</v>
      </c>
      <c r="D335" s="51" t="s">
        <v>553</v>
      </c>
      <c r="E335" s="51" t="s">
        <v>15</v>
      </c>
      <c r="F335" s="51" t="s">
        <v>1163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1172</v>
      </c>
      <c r="D336" s="51" t="s">
        <v>527</v>
      </c>
      <c r="E336" s="51" t="s">
        <v>15</v>
      </c>
      <c r="F336" s="51" t="s">
        <v>1164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1172</v>
      </c>
      <c r="D337" s="51" t="s">
        <v>530</v>
      </c>
      <c r="E337" s="51" t="s">
        <v>15</v>
      </c>
      <c r="F337" s="51" t="s">
        <v>1164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1172</v>
      </c>
      <c r="D338" s="51" t="s">
        <v>1203</v>
      </c>
      <c r="E338" s="51" t="s">
        <v>15</v>
      </c>
      <c r="F338" s="51" t="s">
        <v>1164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1172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1143</v>
      </c>
      <c r="C340" s="51" t="s">
        <v>1172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1144</v>
      </c>
      <c r="C341" s="51" t="s">
        <v>1172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1172</v>
      </c>
      <c r="D342" s="51" t="s">
        <v>1145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1172</v>
      </c>
      <c r="D343" s="51" t="s">
        <v>1204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1172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1172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1172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1172</v>
      </c>
      <c r="D347" s="51" t="s">
        <v>1181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1171</v>
      </c>
      <c r="D348" s="51" t="s">
        <v>1180</v>
      </c>
      <c r="E348" s="51"/>
      <c r="F348" s="51" t="s">
        <v>1164</v>
      </c>
      <c r="G348" s="51" t="s">
        <v>931</v>
      </c>
      <c r="H348" s="53">
        <f t="shared" si="23"/>
        <v>14</v>
      </c>
      <c r="I348" s="17">
        <f t="shared" si="24"/>
        <v>16</v>
      </c>
      <c r="J348" s="18">
        <f t="shared" si="25"/>
        <v>0.46666666666666667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1172</v>
      </c>
      <c r="D349" s="51" t="s">
        <v>547</v>
      </c>
      <c r="E349" s="51" t="s">
        <v>19</v>
      </c>
      <c r="F349" s="51" t="s">
        <v>1163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1172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1172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1146</v>
      </c>
      <c r="C352" s="51" t="s">
        <v>1172</v>
      </c>
      <c r="D352" s="51" t="s">
        <v>523</v>
      </c>
      <c r="E352" s="51" t="s">
        <v>15</v>
      </c>
      <c r="F352" s="51" t="s">
        <v>1164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1147</v>
      </c>
      <c r="C353" s="51" t="s">
        <v>1172</v>
      </c>
      <c r="D353" s="51" t="s">
        <v>525</v>
      </c>
      <c r="E353" s="51" t="s">
        <v>19</v>
      </c>
      <c r="F353" s="51" t="s">
        <v>1164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1148</v>
      </c>
      <c r="C354" s="51" t="s">
        <v>1172</v>
      </c>
      <c r="D354" s="51" t="s">
        <v>532</v>
      </c>
      <c r="E354" s="51" t="s">
        <v>15</v>
      </c>
      <c r="F354" s="51" t="s">
        <v>1164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1149</v>
      </c>
      <c r="C355" s="51" t="s">
        <v>1172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1171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14</v>
      </c>
      <c r="I356" s="17">
        <f t="shared" si="24"/>
        <v>16</v>
      </c>
      <c r="J356" s="18">
        <f t="shared" si="25"/>
        <v>0.46666666666666667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1171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14</v>
      </c>
      <c r="I357" s="17">
        <f t="shared" si="24"/>
        <v>16</v>
      </c>
      <c r="J357" s="18">
        <f t="shared" si="25"/>
        <v>0.46666666666666667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1150</v>
      </c>
      <c r="C358" s="51" t="s">
        <v>1171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1151</v>
      </c>
      <c r="C359" s="51" t="s">
        <v>1171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1171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28</v>
      </c>
      <c r="I360" s="17">
        <f t="shared" si="24"/>
        <v>2</v>
      </c>
      <c r="J360" s="18">
        <f t="shared" si="25"/>
        <v>0.93333333333333335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 t="s">
        <v>1010</v>
      </c>
      <c r="AJ360" s="27" t="s">
        <v>1010</v>
      </c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1171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4</v>
      </c>
      <c r="I361" s="17">
        <f t="shared" si="24"/>
        <v>26</v>
      </c>
      <c r="J361" s="18">
        <f t="shared" si="25"/>
        <v>0.13333333333333333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 t="s">
        <v>1010</v>
      </c>
      <c r="AI361" s="8" t="s">
        <v>1010</v>
      </c>
      <c r="AJ361" s="27" t="s">
        <v>1010</v>
      </c>
      <c r="AK361" s="8" t="s">
        <v>1010</v>
      </c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1171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4</v>
      </c>
      <c r="I362" s="17">
        <f t="shared" si="24"/>
        <v>26</v>
      </c>
      <c r="J362" s="18">
        <f t="shared" si="25"/>
        <v>0.13333333333333333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 t="s">
        <v>1010</v>
      </c>
      <c r="AI362" s="8" t="s">
        <v>1010</v>
      </c>
      <c r="AJ362" s="27" t="s">
        <v>1010</v>
      </c>
      <c r="AK362" s="8" t="s">
        <v>1010</v>
      </c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1171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1171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1171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1171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1171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1171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1171</v>
      </c>
      <c r="D369" s="51" t="s">
        <v>578</v>
      </c>
      <c r="E369" s="51" t="s">
        <v>19</v>
      </c>
      <c r="F369" s="51" t="s">
        <v>1164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1171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1172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1172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1152</v>
      </c>
      <c r="C373" s="51" t="s">
        <v>1172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1153</v>
      </c>
      <c r="C374" s="51" t="s">
        <v>1172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1154</v>
      </c>
      <c r="C375" s="51" t="s">
        <v>1172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1155</v>
      </c>
      <c r="C376" s="51" t="s">
        <v>1172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1172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1172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1172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1172</v>
      </c>
      <c r="D380" s="51" t="s">
        <v>1205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1156</v>
      </c>
      <c r="C381" s="51" t="s">
        <v>1172</v>
      </c>
      <c r="D381" s="51" t="s">
        <v>1206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1157</v>
      </c>
      <c r="C382" s="51" t="s">
        <v>1172</v>
      </c>
      <c r="D382" s="51" t="s">
        <v>1206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1158</v>
      </c>
      <c r="C383" s="51" t="s">
        <v>1172</v>
      </c>
      <c r="D383" s="51" t="s">
        <v>1159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1172</v>
      </c>
      <c r="D384" s="51" t="s">
        <v>1207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1160</v>
      </c>
      <c r="C385" s="51" t="s">
        <v>1172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19</v>
      </c>
      <c r="I385" s="53">
        <f t="shared" si="29"/>
        <v>11</v>
      </c>
      <c r="J385" s="54">
        <f t="shared" si="30"/>
        <v>0.6333333333333333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 t="s">
        <v>1010</v>
      </c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1161</v>
      </c>
      <c r="C386" s="51" t="s">
        <v>1172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19</v>
      </c>
      <c r="I386" s="53">
        <f t="shared" si="29"/>
        <v>11</v>
      </c>
      <c r="J386" s="54">
        <f t="shared" si="30"/>
        <v>0.6333333333333333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 t="s">
        <v>1010</v>
      </c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1172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19</v>
      </c>
      <c r="I387" s="53">
        <f t="shared" si="29"/>
        <v>11</v>
      </c>
      <c r="J387" s="54">
        <f t="shared" si="30"/>
        <v>0.6333333333333333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 t="s">
        <v>1010</v>
      </c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1172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19</v>
      </c>
      <c r="I388" s="53">
        <f t="shared" si="29"/>
        <v>11</v>
      </c>
      <c r="J388" s="54">
        <f t="shared" si="30"/>
        <v>0.6333333333333333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 t="s">
        <v>1010</v>
      </c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1172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1172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1172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1162</v>
      </c>
      <c r="C392" s="51" t="s">
        <v>1172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1172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1172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1172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1172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 t="str">
        <f>'RESUMEN TOTAL'!AJ7</f>
        <v>APAGADO</v>
      </c>
      <c r="AF4" t="str">
        <f>'RESUMEN TOTAL'!AK7</f>
        <v>APAGADO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 t="str">
        <f>'RESUMEN TOTAL'!AJ10</f>
        <v>APAGADO</v>
      </c>
      <c r="AF7" t="str">
        <f>'RESUMEN TOTAL'!AK10</f>
        <v>APAGADO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 t="str">
        <f>'RESUMEN TOTAL'!AJ13</f>
        <v>APAGADO</v>
      </c>
      <c r="AF10" t="str">
        <f>'RESUMEN TOTAL'!AK13</f>
        <v>APAGADO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 t="str">
        <f>'RESUMEN TOTAL'!AJ16</f>
        <v>APAGADO</v>
      </c>
      <c r="AF13" t="str">
        <f>'RESUMEN TOTAL'!AK16</f>
        <v>APAGADO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 t="str">
        <f>'RESUMEN TOTAL'!AJ34</f>
        <v>APAGADO</v>
      </c>
      <c r="AF31" t="str">
        <f>'RESUMEN TOTAL'!AK34</f>
        <v>APAGADO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 t="str">
        <f>'RESUMEN TOTAL'!AJ67</f>
        <v>APAGADO</v>
      </c>
      <c r="AF64" t="str">
        <f>'RESUMEN TOTAL'!AK67</f>
        <v>APAGADO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 t="str">
        <f>'RESUMEN TOTAL'!AJ96</f>
        <v>APAGADO</v>
      </c>
      <c r="AF93" t="str">
        <f>'RESUMEN TOTAL'!AK96</f>
        <v>APAGADO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 t="str">
        <f>'RESUMEN TOTAL'!AK107</f>
        <v>APAGADO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 t="str">
        <f>'RESUMEN TOTAL'!AJ113</f>
        <v>APAGADO</v>
      </c>
      <c r="AF110" t="str">
        <f>'RESUMEN TOTAL'!AK113</f>
        <v>APAGADO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 t="str">
        <f>'RESUMEN TOTAL'!AJ134</f>
        <v>APAGADO</v>
      </c>
      <c r="AF131" t="str">
        <f>'RESUMEN TOTAL'!AK134</f>
        <v>APAGADO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 t="str">
        <f>'RESUMEN TOTAL'!AK137</f>
        <v>APAGADO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 t="str">
        <f>'RESUMEN TOTAL'!AJ156</f>
        <v>APAGADO</v>
      </c>
      <c r="AF153" t="str">
        <f>'RESUMEN TOTAL'!AK156</f>
        <v>APAGADO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 t="str">
        <f>'RESUMEN TOTAL'!AJ157</f>
        <v>APAGADO</v>
      </c>
      <c r="AF154" t="str">
        <f>'RESUMEN TOTAL'!AK157</f>
        <v>APAGADO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 t="str">
        <f>'RESUMEN TOTAL'!AJ158</f>
        <v>APAGADO</v>
      </c>
      <c r="AF155" t="str">
        <f>'RESUMEN TOTAL'!AK158</f>
        <v>APAGADO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 t="str">
        <f>'RESUMEN TOTAL'!AJ162</f>
        <v>APAGADO</v>
      </c>
      <c r="AF159" t="str">
        <f>'RESUMEN TOTAL'!AK162</f>
        <v>APAGADO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 t="str">
        <f>'RESUMEN TOTAL'!AJ163</f>
        <v>APAGADO</v>
      </c>
      <c r="AF160" t="str">
        <f>'RESUMEN TOTAL'!AK163</f>
        <v>APAGADO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 t="str">
        <f>'RESUMEN TOTAL'!AK166</f>
        <v>APAGADO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 t="str">
        <f>'RESUMEN TOTAL'!AK211</f>
        <v>APAGADO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 t="str">
        <f>'RESUMEN TOTAL'!AK212</f>
        <v>APAGADO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 t="str">
        <f>'RESUMEN TOTAL'!AJ216</f>
        <v>APAGADO</v>
      </c>
      <c r="AF213" t="str">
        <f>'RESUMEN TOTAL'!AK216</f>
        <v>APAGADO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 t="str">
        <f>'RESUMEN TOTAL'!AJ217</f>
        <v>APAGADO</v>
      </c>
      <c r="AF214" t="str">
        <f>'RESUMEN TOTAL'!AK217</f>
        <v>APAGADO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 t="str">
        <f>'RESUMEN TOTAL'!AK223</f>
        <v>APAGADO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 t="str">
        <f>'RESUMEN TOTAL'!AJ244</f>
        <v>APAGADO</v>
      </c>
      <c r="AF241" t="str">
        <f>'RESUMEN TOTAL'!AK244</f>
        <v>APAGADO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 t="str">
        <f>'RESUMEN TOTAL'!AJ245</f>
        <v>APAGADO</v>
      </c>
      <c r="AF242" t="str">
        <f>'RESUMEN TOTAL'!AK245</f>
        <v>APAGADO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 t="str">
        <f>'RESUMEN TOTAL'!AJ254</f>
        <v>APAGADO</v>
      </c>
      <c r="AF251" t="str">
        <f>'RESUMEN TOTAL'!AK254</f>
        <v>APAGADO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 t="str">
        <f>'RESUMEN TOTAL'!AJ255</f>
        <v>APAGADO</v>
      </c>
      <c r="AF252" t="str">
        <f>'RESUMEN TOTAL'!AK255</f>
        <v>APAGADO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 t="str">
        <f>'RESUMEN TOTAL'!AK277</f>
        <v>APAGADO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 t="str">
        <f>'RESUMEN TOTAL'!AK278</f>
        <v>APAGADO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 t="str">
        <f>'RESUMEN TOTAL'!AK279</f>
        <v>APAGADO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 t="str">
        <f>'RESUMEN TOTAL'!AK280</f>
        <v>APAGADO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 t="str">
        <f>'RESUMEN TOTAL'!AJ289</f>
        <v>APAGADO</v>
      </c>
      <c r="AF286" t="str">
        <f>'RESUMEN TOTAL'!AK289</f>
        <v>APAGADO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 t="str">
        <f>'RESUMEN TOTAL'!AJ290</f>
        <v>APAGADO</v>
      </c>
      <c r="AF287" t="str">
        <f>'RESUMEN TOTAL'!AK290</f>
        <v>APAGADO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 t="str">
        <f>'RESUMEN TOTAL'!AJ291</f>
        <v>APAGADO</v>
      </c>
      <c r="AF288" t="str">
        <f>'RESUMEN TOTAL'!AK291</f>
        <v>APAGADO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 t="str">
        <f>'RESUMEN TOTAL'!AJ292</f>
        <v>APAGADO</v>
      </c>
      <c r="AF289" t="str">
        <f>'RESUMEN TOTAL'!AK292</f>
        <v>APAGADO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 t="str">
        <f>'RESUMEN TOTAL'!AJ296</f>
        <v>APAGADO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 t="str">
        <f>'RESUMEN TOTAL'!AJ297</f>
        <v>APAGADO</v>
      </c>
      <c r="AF294" t="str">
        <f>'RESUMEN TOTAL'!AK297</f>
        <v>APAGADO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 t="str">
        <f>'RESUMEN TOTAL'!AJ327</f>
        <v>APAGADO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 t="str">
        <f>'RESUMEN TOTAL'!AJ328</f>
        <v>APAGADO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CHAÑAR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 t="str">
        <f>'RESUMEN TOTAL'!AI360</f>
        <v>APAGADO</v>
      </c>
      <c r="AE357" t="str">
        <f>'RESUMEN TOTAL'!AJ360</f>
        <v>APAGADO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 t="str">
        <f>'RESUMEN TOTAL'!AH361</f>
        <v>APAGADO</v>
      </c>
      <c r="AD358" t="str">
        <f>'RESUMEN TOTAL'!AI361</f>
        <v>APAGADO</v>
      </c>
      <c r="AE358" t="str">
        <f>'RESUMEN TOTAL'!AJ361</f>
        <v>APAGADO</v>
      </c>
      <c r="AF358" t="str">
        <f>'RESUMEN TOTAL'!AK361</f>
        <v>APAGADO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 t="str">
        <f>'RESUMEN TOTAL'!AH362</f>
        <v>APAGADO</v>
      </c>
      <c r="AD359" t="str">
        <f>'RESUMEN TOTAL'!AI362</f>
        <v>APAGADO</v>
      </c>
      <c r="AE359" t="str">
        <f>'RESUMEN TOTAL'!AJ362</f>
        <v>APAGADO</v>
      </c>
      <c r="AF359" t="str">
        <f>'RESUMEN TOTAL'!AK362</f>
        <v>APAGADO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Rio Carapachay y Oroño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OROÑO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OROÑO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 t="str">
        <f>'RESUMEN TOTAL'!AK385</f>
        <v>APAGADO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 t="str">
        <f>'RESUMEN TOTAL'!AK386</f>
        <v>APAGADO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 t="str">
        <f>'RESUMEN TOTAL'!AK387</f>
        <v>APAGADO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 t="str">
        <f>'RESUMEN TOTAL'!AK388</f>
        <v>APAGADO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33</v>
      </c>
      <c r="AF1" s="26">
        <f t="shared" si="0"/>
        <v>42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 t="str">
        <f>ESTADISTICA!AE110</f>
        <v>APAGADO</v>
      </c>
      <c r="AF111" t="str">
        <f>ESTADISTICA!AF110</f>
        <v>APAGADO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 t="str">
        <f>ESTADISTICA!AF163</f>
        <v>APAGADO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 t="str">
        <f>ESTADISTICA!AE294</f>
        <v>APAGADO</v>
      </c>
      <c r="AF295" t="str">
        <f>ESTADISTICA!AF294</f>
        <v>APAGADO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OROÑO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 t="str">
        <f>ESTADISTICA!AF382</f>
        <v>APAGADO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 t="str">
        <f>ESTADISTICA!AF383</f>
        <v>APAGADO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 t="str">
        <f>ESTADISTICA!AF384</f>
        <v>APAGADO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 t="str">
        <f>ESTADISTICA!AF385</f>
        <v>APAGADO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25</v>
      </c>
      <c r="AF2" s="26">
        <f>COUNTIFS(AF4:AF400, "=APAGADO",E4:E400,"=Fibra Optica")</f>
        <v>34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1173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2</v>
      </c>
      <c r="AF2" s="26">
        <f>COUNTIFS(AF4:AF400, "=APAGADO",E4:E400,"=PTO A FO")</f>
        <v>4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6</v>
      </c>
      <c r="AF2" s="26">
        <f>COUNTIFS(AF4:AF367, "=APAGADO",E4:E367,"=radio")</f>
        <v>4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28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1174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1175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25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6.5" thickTop="1" thickBot="1" x14ac:dyDescent="0.3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1172</v>
      </c>
      <c r="I31" s="104" t="s">
        <v>1180</v>
      </c>
      <c r="J31" s="104" t="s">
        <v>15</v>
      </c>
      <c r="K31" s="104" t="s">
        <v>629</v>
      </c>
      <c r="L31" s="105" t="s">
        <v>931</v>
      </c>
      <c r="M31" s="106" t="s">
        <v>1187</v>
      </c>
      <c r="N31" s="138">
        <v>44790</v>
      </c>
    </row>
    <row r="32" spans="1:14" ht="15.75" thickTop="1" x14ac:dyDescent="0.25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1172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1172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25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 t="s">
        <v>1004</v>
      </c>
      <c r="B37" s="69">
        <v>392</v>
      </c>
      <c r="C37" s="65"/>
      <c r="D37" s="62"/>
      <c r="E37" s="143">
        <v>44797</v>
      </c>
      <c r="G37" s="52"/>
      <c r="H37" s="51"/>
      <c r="I37" s="51"/>
      <c r="J37" s="51"/>
      <c r="K37" s="16"/>
      <c r="L37" s="83"/>
    </row>
    <row r="38" spans="1:14" x14ac:dyDescent="0.25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4"/>
    </row>
    <row r="40" spans="1:14" ht="15.75" thickTop="1" x14ac:dyDescent="0.25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 t="s">
        <v>1004</v>
      </c>
      <c r="B42" s="69">
        <v>392</v>
      </c>
      <c r="C42" s="65"/>
      <c r="D42" s="62"/>
      <c r="E42" s="143">
        <v>44798</v>
      </c>
      <c r="G42" s="76"/>
      <c r="H42" s="77"/>
      <c r="I42" s="77"/>
      <c r="J42" s="77"/>
      <c r="K42" s="78"/>
      <c r="L42" s="79"/>
      <c r="M42" s="141"/>
    </row>
    <row r="43" spans="1:14" x14ac:dyDescent="0.25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27" sqref="F27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25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25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25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25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25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392</v>
      </c>
      <c r="G25" s="55">
        <f t="shared" ref="G25" si="30">E25/F25</f>
        <v>7.6530612244897961E-2</v>
      </c>
    </row>
    <row r="26" spans="1:7" x14ac:dyDescent="0.25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392</v>
      </c>
      <c r="G26" s="55">
        <f t="shared" ref="G26" si="32">E26/F26</f>
        <v>7.6530612244897961E-2</v>
      </c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E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1182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1171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1171</v>
      </c>
      <c r="E3" s="122" t="s">
        <v>1183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22</v>
      </c>
      <c r="AD3" s="125">
        <f>COUNTIFS('RESUMEN TOTAL'!C5:C396, "=BONOMO",'RESUMEN TOTAL'!AI5:AI396,"=APAGADO")</f>
        <v>23</v>
      </c>
      <c r="AE3" s="125">
        <f>COUNTIFS('RESUMEN TOTAL'!C5:C396, "=BONOMO",'RESUMEN TOTAL'!AJ5:AJ396,"=APAGADO")</f>
        <v>25</v>
      </c>
      <c r="AF3" s="125">
        <f>COUNTIFS('RESUMEN TOTAL'!C5:C396, "=BONOMO",'RESUMEN TOTAL'!AK5:AK396,"=APAGADO")</f>
        <v>25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1172</v>
      </c>
      <c r="B4" s="118">
        <f>COUNTIFS('RESUMEN TOTAL'!C5:C396,"=COSEIDI")</f>
        <v>180</v>
      </c>
      <c r="D4" s="116"/>
      <c r="E4" s="114" t="s">
        <v>1185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0.11792452830188679</v>
      </c>
      <c r="AF4" s="132">
        <f t="shared" si="0"/>
        <v>0.11792452830188679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1172</v>
      </c>
      <c r="E5" s="126" t="s">
        <v>1184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8</v>
      </c>
      <c r="AF5" s="127">
        <f>COUNTIFS('RESUMEN TOTAL'!C7:C398, "=COSEIDI",'RESUMEN TOTAL'!AK7:AK398,"=APAGADO")</f>
        <v>17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1186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4.4444444444444446E-2</v>
      </c>
      <c r="AD6" s="131">
        <f t="shared" si="2"/>
        <v>3.888888888888889E-2</v>
      </c>
      <c r="AE6" s="131">
        <f t="shared" si="2"/>
        <v>4.4444444444444446E-2</v>
      </c>
      <c r="AF6" s="113">
        <f t="shared" si="2"/>
        <v>9.4444444444444442E-2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2022-08-29T10:30:53Z</dcterms:modified>
</cp:coreProperties>
</file>