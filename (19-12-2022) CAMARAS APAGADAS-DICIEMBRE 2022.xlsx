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DICIEMBRE\"/>
    </mc:Choice>
  </mc:AlternateContent>
  <xr:revisionPtr revIDLastSave="0" documentId="13_ncr:1_{D876413F-D6B8-4DD3-8487-C54FE71587D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SUMEN TOTAL" sheetId="2" r:id="rId1"/>
    <sheet name="Hoja4" sheetId="28" r:id="rId2"/>
    <sheet name="Hoja5" sheetId="29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BARRAS" sheetId="18" r:id="rId9"/>
    <sheet name="PORCENTAJE" sheetId="15" r:id="rId10"/>
    <sheet name="informe" sheetId="24" r:id="rId11"/>
    <sheet name="Hoja2" sheetId="26" r:id="rId12"/>
    <sheet name="GRAFICO2" sheetId="16" r:id="rId13"/>
    <sheet name="AUXILIAR" sheetId="14" r:id="rId14"/>
    <sheet name="Hoja1" sheetId="25" r:id="rId15"/>
    <sheet name="Hoja3" sheetId="27" r:id="rId16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4" hidden="1">APAGADOS!$A$2:$AI$2</definedName>
    <definedName name="_xlnm._FilterDatabase" localSheetId="6" hidden="1">'APAGADOS ANTENA'!$A$3:$AI$454</definedName>
    <definedName name="_xlnm._FilterDatabase" localSheetId="5" hidden="1">'APAGADOS FIBRA'!$A$3:$AI$435</definedName>
    <definedName name="_xlnm._FilterDatabase" localSheetId="7" hidden="1">'APAGADOS RADIO'!$A$3:$AI$437</definedName>
    <definedName name="_xlnm._FilterDatabase" localSheetId="3" hidden="1">ESTADISTICA!$A$1:$AG$442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5" i="25" l="1"/>
  <c r="D28" i="24"/>
  <c r="C29" i="24"/>
  <c r="C30" i="24" s="1"/>
  <c r="D23" i="24"/>
  <c r="C24" i="24"/>
  <c r="C25" i="24" s="1"/>
  <c r="D25" i="24" s="1"/>
  <c r="AJ3" i="25"/>
  <c r="AJ5" i="25"/>
  <c r="D18" i="24"/>
  <c r="C19" i="24"/>
  <c r="C20" i="24" s="1"/>
  <c r="C31" i="24" l="1"/>
  <c r="D31" i="24" s="1"/>
  <c r="D30" i="24"/>
  <c r="D29" i="24"/>
  <c r="D24" i="24"/>
  <c r="C26" i="24"/>
  <c r="D26" i="24" s="1"/>
  <c r="C21" i="24"/>
  <c r="D21" i="24" s="1"/>
  <c r="D20" i="24"/>
  <c r="D19" i="24"/>
  <c r="D13" i="24"/>
  <c r="C14" i="24"/>
  <c r="D14" i="24" s="1"/>
  <c r="D8" i="24"/>
  <c r="C9" i="24"/>
  <c r="D9" i="24" s="1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I150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D3" i="24"/>
  <c r="C4" i="24"/>
  <c r="D4" i="24" s="1"/>
  <c r="F17" i="14" l="1"/>
  <c r="F20" i="14"/>
  <c r="F15" i="14"/>
  <c r="F19" i="14"/>
  <c r="F18" i="14"/>
  <c r="F16" i="14"/>
  <c r="F14" i="14"/>
  <c r="F10" i="14"/>
  <c r="F13" i="14"/>
  <c r="F9" i="14"/>
  <c r="F12" i="14"/>
  <c r="F8" i="14"/>
  <c r="F11" i="14"/>
  <c r="F3" i="14"/>
  <c r="F7" i="14"/>
  <c r="F6" i="14"/>
  <c r="C15" i="24"/>
  <c r="D15" i="24" s="1"/>
  <c r="F4" i="14"/>
  <c r="F5" i="14"/>
  <c r="C10" i="24"/>
  <c r="J434" i="2"/>
  <c r="J396" i="2"/>
  <c r="J439" i="2"/>
  <c r="J104" i="2"/>
  <c r="J105" i="2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53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78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B2" i="25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M4" i="25" l="1"/>
  <c r="AJ4" i="25"/>
  <c r="M6" i="25"/>
  <c r="AJ6" i="25"/>
  <c r="C16" i="24"/>
  <c r="D16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2" i="10" s="1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H2" i="21" l="1"/>
  <c r="AI2" i="21"/>
  <c r="AH2" i="11"/>
  <c r="AI2" i="1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D2" i="21" l="1"/>
  <c r="AC2" i="21"/>
  <c r="Y2" i="21"/>
  <c r="AA2" i="21"/>
  <c r="Z2" i="21"/>
  <c r="W2" i="21"/>
  <c r="D19" i="14" s="1"/>
  <c r="V2" i="21"/>
  <c r="D18" i="14" s="1"/>
  <c r="U2" i="21"/>
  <c r="D17" i="14" s="1"/>
  <c r="T2" i="21"/>
  <c r="D16" i="14" s="1"/>
  <c r="Q2" i="21"/>
  <c r="D13" i="14" s="1"/>
  <c r="S2" i="21"/>
  <c r="D15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C19" i="14" s="1"/>
  <c r="W3" i="9"/>
  <c r="O4" i="11"/>
  <c r="O4" i="10"/>
  <c r="O3" i="9"/>
  <c r="G4" i="11"/>
  <c r="G4" i="10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2" i="10" s="1"/>
  <c r="AD3" i="9"/>
  <c r="V4" i="11"/>
  <c r="V4" i="10"/>
  <c r="V2" i="10" s="1"/>
  <c r="C18" i="14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AC2" i="10" s="1"/>
  <c r="U4" i="11"/>
  <c r="U3" i="9"/>
  <c r="U4" i="10"/>
  <c r="U2" i="10" s="1"/>
  <c r="C17" i="14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2" i="10" s="1"/>
  <c r="Z3" i="9"/>
  <c r="R4" i="11"/>
  <c r="R4" i="10"/>
  <c r="R2" i="10" s="1"/>
  <c r="C14" i="14" s="1"/>
  <c r="R3" i="9"/>
  <c r="J4" i="11"/>
  <c r="J4" i="10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Y2" i="10" s="1"/>
  <c r="Q4" i="11"/>
  <c r="Q3" i="9"/>
  <c r="Q4" i="10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C12" i="14" s="1"/>
  <c r="H4" i="11"/>
  <c r="H3" i="9"/>
  <c r="H4" i="10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Q2" i="10" l="1"/>
  <c r="C13" i="14" s="1"/>
  <c r="T2" i="10"/>
  <c r="C16" i="14" s="1"/>
  <c r="S2" i="10"/>
  <c r="C15" i="14" s="1"/>
  <c r="R2" i="11"/>
  <c r="B14" i="14" s="1"/>
  <c r="E14" i="14" s="1"/>
  <c r="G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W2" i="11"/>
  <c r="B19" i="14" s="1"/>
  <c r="E19" i="14" s="1"/>
  <c r="G19" i="14" s="1"/>
  <c r="V2" i="11"/>
  <c r="B18" i="14" s="1"/>
  <c r="E18" i="14" s="1"/>
  <c r="G18" i="14" s="1"/>
  <c r="T2" i="11"/>
  <c r="B16" i="14" s="1"/>
  <c r="E16" i="14" s="1"/>
  <c r="G16" i="14" s="1"/>
  <c r="U2" i="11"/>
  <c r="B17" i="14" s="1"/>
  <c r="E17" i="14" s="1"/>
  <c r="G17" i="14" s="1"/>
  <c r="S2" i="11"/>
  <c r="B15" i="14" s="1"/>
  <c r="E15" i="14" s="1"/>
  <c r="G15" i="14" s="1"/>
  <c r="H1" i="9"/>
  <c r="AG2" i="21"/>
  <c r="AF2" i="21"/>
  <c r="AE2" i="21"/>
  <c r="AE2" i="10"/>
  <c r="AE2" i="11"/>
  <c r="AF2" i="11"/>
  <c r="AG2" i="11"/>
  <c r="P2" i="11"/>
  <c r="B12" i="14" s="1"/>
  <c r="E12" i="14" s="1"/>
  <c r="G12" i="14" s="1"/>
  <c r="O2" i="11"/>
  <c r="B11" i="14" s="1"/>
  <c r="K2" i="11"/>
  <c r="B7" i="14" s="1"/>
  <c r="E7" i="14" s="1"/>
  <c r="G7" i="14" s="1"/>
  <c r="G2" i="11"/>
  <c r="B3" i="14" s="1"/>
  <c r="L2" i="11"/>
  <c r="B8" i="14" s="1"/>
  <c r="E8" i="14" s="1"/>
  <c r="G8" i="14" s="1"/>
  <c r="F2" i="11"/>
  <c r="M2" i="11"/>
  <c r="B9" i="14" s="1"/>
  <c r="H2" i="11"/>
  <c r="B4" i="14" s="1"/>
  <c r="N2" i="11"/>
  <c r="B10" i="14" s="1"/>
  <c r="E10" i="14" s="1"/>
  <c r="G10" i="14" s="1"/>
  <c r="I2" i="11"/>
  <c r="B5" i="14" s="1"/>
  <c r="E5" i="14" s="1"/>
  <c r="G5" i="14" s="1"/>
  <c r="J2" i="11"/>
  <c r="B6" i="14" s="1"/>
  <c r="E6" i="14" s="1"/>
  <c r="G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S1" i="9"/>
  <c r="Y1" i="9"/>
  <c r="M1" i="9"/>
  <c r="N1" i="9"/>
  <c r="AE1" i="9"/>
  <c r="J1" i="9"/>
  <c r="T1" i="9"/>
  <c r="W1" i="9"/>
  <c r="AF1" i="9"/>
  <c r="D2" i="14"/>
  <c r="Q2" i="11"/>
  <c r="B13" i="14" s="1"/>
  <c r="E13" i="14" s="1"/>
  <c r="G13" i="14" s="1"/>
  <c r="E9" i="14" l="1"/>
  <c r="G9" i="14" s="1"/>
  <c r="E11" i="14"/>
  <c r="G11" i="14" s="1"/>
  <c r="E4" i="14"/>
  <c r="G4" i="14" s="1"/>
  <c r="E3" i="14"/>
  <c r="G3" i="14" s="1"/>
  <c r="B2" i="14"/>
  <c r="E2" i="14" s="1"/>
  <c r="G2" i="14" s="1"/>
  <c r="AB19" i="8"/>
  <c r="AB21" i="11" s="1"/>
  <c r="AB2" i="11" s="1"/>
  <c r="AB5" i="25"/>
  <c r="AB6" i="25" s="1"/>
  <c r="AG3" i="2"/>
  <c r="AG2" i="2" s="1"/>
  <c r="I22" i="2"/>
  <c r="J22" i="2" l="1"/>
  <c r="AG1" i="2"/>
  <c r="AB20" i="9"/>
  <c r="AB1" i="9" s="1"/>
  <c r="AB21" i="21"/>
  <c r="AB2" i="21" s="1"/>
  <c r="AB21" i="10"/>
  <c r="AB2" i="10" s="1"/>
  <c r="X6" i="25"/>
  <c r="X383" i="8"/>
  <c r="X385" i="10" s="1"/>
  <c r="X2" i="10" s="1"/>
  <c r="C20" i="14" s="1"/>
  <c r="AC3" i="2"/>
  <c r="AC2" i="2" s="1"/>
  <c r="AC1" i="2" s="1"/>
  <c r="I388" i="2"/>
  <c r="X385" i="11" l="1"/>
  <c r="X2" i="11" s="1"/>
  <c r="X384" i="9"/>
  <c r="X1" i="9" s="1"/>
  <c r="J388" i="2"/>
  <c r="X385" i="21"/>
  <c r="X2" i="21" s="1"/>
  <c r="D20" i="14" s="1"/>
  <c r="B20" i="14" l="1"/>
  <c r="E20" i="14" s="1"/>
  <c r="G20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<sst xmlns="http://schemas.openxmlformats.org/spreadsheetml/2006/main" count="5303" uniqueCount="1310">
  <si>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</si>
  <si>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</si>
  <si>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</si>
  <si>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</si>
  <si>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</si>
  <si>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</si>
  <si>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</si>
  <si>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</si>
  <si>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</si>
  <si>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</si>
  <si>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</si>
  <si>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</si>
  <si>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</si>
  <si>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</si>
  <si>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</si>
  <si>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</si>
  <si>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</si>
  <si>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</si>
  <si>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</si>
  <si>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</si>
  <si>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</si>
  <si>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</si>
  <si>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</si>
  <si>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</si>
  <si>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</si>
  <si>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</si>
  <si>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</si>
  <si>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</si>
  <si>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</si>
  <si>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</si>
  <si>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</si>
  <si>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</si>
  <si>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</si>
  <si>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</si>
  <si>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</si>
  <si>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</si>
  <si>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</si>
  <si>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</si>
  <si>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</si>
  <si>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</si>
  <si>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</si>
  <si>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</si>
  <si>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</si>
  <si>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</si>
  <si>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</si>
  <si>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</si>
  <si>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</si>
  <si>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</si>
  <si>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</si>
  <si>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</si>
  <si>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</si>
  <si>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</si>
  <si>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</si>
  <si>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</si>
  <si>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</si>
  <si>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</si>
  <si>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</si>
  <si>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</si>
  <si>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</si>
  <si>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</si>
  <si>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</si>
  <si>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</si>
  <si>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</si>
  <si>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</si>
  <si>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</si>
  <si>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</si>
  <si>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</si>
  <si>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</si>
  <si>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</si>
  <si>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</si>
  <si>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</si>
  <si>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</si>
  <si>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</si>
  <si>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</si>
  <si>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</si>
  <si>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</si>
  <si>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</si>
  <si>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</si>
  <si>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</si>
  <si>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</si>
  <si>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</si>
  <si>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</si>
  <si>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</si>
  <si>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</si>
  <si>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</si>
  <si>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</si>
  <si>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</si>
  <si>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</si>
  <si>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</si>
  <si>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</si>
  <si>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</si>
  <si>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</si>
  <si>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</si>
  <si>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</si>
  <si>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</si>
  <si>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</si>
  <si>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</si>
  <si>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</si>
  <si>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</si>
  <si>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</si>
  <si>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</si>
  <si>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</si>
  <si>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</si>
  <si>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</si>
  <si>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</si>
  <si>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</si>
  <si>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</si>
  <si>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</si>
  <si>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</si>
  <si>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</si>
  <si>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</si>
  <si>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</si>
  <si>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</si>
  <si>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</si>
  <si>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</si>
  <si>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</si>
  <si>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</si>
  <si>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</si>
  <si>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</si>
  <si>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</si>
  <si>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</si>
  <si>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</si>
  <si>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</si>
  <si>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</si>
  <si>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</si>
  <si>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</si>
  <si>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</si>
  <si>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</si>
  <si>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</si>
  <si>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</si>
  <si>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</si>
  <si>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</si>
  <si>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</si>
  <si>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</si>
  <si>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</si>
  <si>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</si>
  <si>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</si>
  <si>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</si>
  <si>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</si>
  <si>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</si>
  <si>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</si>
  <si>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</si>
  <si>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</si>
  <si>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</si>
  <si>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</si>
  <si>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</si>
  <si>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</si>
  <si>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</si>
  <si>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</si>
  <si>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</si>
  <si>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</si>
  <si>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</si>
  <si>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</si>
  <si>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</si>
  <si>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</si>
  <si>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</si>
  <si>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</si>
  <si>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</si>
  <si>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</si>
  <si>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</si>
  <si>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</si>
  <si>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</si>
  <si>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</si>
  <si>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</si>
  <si>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</si>
  <si>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</si>
  <si>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</si>
  <si>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</si>
  <si>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</si>
  <si>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</si>
  <si>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</si>
  <si>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</si>
  <si>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</si>
  <si>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</si>
  <si>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</si>
  <si>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</si>
  <si>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</si>
  <si>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</si>
  <si>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</si>
  <si>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</si>
  <si>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</si>
  <si>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</si>
  <si>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</si>
  <si>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</si>
  <si>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</si>
  <si>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</si>
  <si>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</si>
  <si>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</si>
  <si>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</si>
  <si>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</si>
  <si>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</si>
  <si>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</si>
  <si>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</si>
  <si>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</si>
  <si>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</si>
  <si>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</si>
  <si>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</si>
  <si>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</si>
  <si>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</si>
  <si>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</si>
  <si>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</si>
  <si>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</si>
  <si>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</si>
  <si>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</si>
  <si>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</si>
  <si>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</si>
  <si>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</si>
  <si>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</si>
  <si>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</si>
  <si>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</si>
  <si>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</si>
  <si>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</si>
  <si>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</si>
  <si>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</si>
  <si>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</si>
  <si>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</si>
  <si>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</si>
  <si>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</si>
  <si>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</si>
  <si>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</si>
  <si>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</si>
  <si>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</si>
  <si>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</si>
  <si>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</si>
  <si>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</si>
  <si>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</si>
  <si>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</si>
  <si>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</si>
  <si>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</si>
  <si>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</si>
  <si>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</si>
  <si>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</si>
  <si>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</si>
  <si>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</si>
  <si>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</si>
  <si>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</si>
  <si>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</si>
  <si>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</si>
  <si>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</si>
  <si>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</si>
  <si>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</si>
  <si>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</si>
  <si>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</si>
  <si>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</si>
  <si>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</si>
  <si>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</si>
  <si>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</si>
  <si>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</si>
  <si>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</si>
  <si>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</si>
  <si>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</si>
  <si>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</si>
  <si>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</si>
  <si>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</si>
  <si>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</si>
  <si>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</si>
  <si>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</si>
  <si>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</si>
  <si>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</si>
  <si>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</si>
  <si>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</si>
  <si>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</si>
  <si>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</si>
  <si>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</si>
  <si>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</si>
  <si>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</si>
  <si>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</si>
  <si>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</si>
  <si>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</si>
  <si>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</si>
  <si>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</si>
  <si>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</si>
  <si>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</si>
  <si>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</si>
  <si>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</si>
  <si>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</si>
  <si>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</si>
  <si>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</si>
  <si>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</si>
  <si>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</si>
  <si>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</si>
  <si>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</si>
  <si>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</si>
  <si>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</si>
  <si>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</si>
  <si>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</si>
  <si>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</si>
  <si>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</si>
  <si>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</si>
  <si>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</si>
  <si>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</si>
  <si>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</si>
  <si>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</si>
  <si>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</si>
  <si>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</si>
  <si>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</si>
  <si>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</si>
  <si>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</si>
  <si>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</si>
  <si>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</si>
  <si>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</si>
  <si>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</si>
  <si>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</si>
  <si>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</si>
  <si>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</si>
  <si>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</si>
  <si>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</si>
  <si>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</si>
  <si>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</si>
  <si>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</si>
  <si>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</si>
  <si>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</si>
  <si>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</si>
  <si>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</si>
  <si>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</si>
  <si>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</si>
  <si>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</si>
  <si>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</si>
  <si>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</si>
  <si>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</si>
  <si>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</si>
  <si>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</si>
  <si>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</si>
  <si>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</si>
  <si>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</si>
  <si>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</si>
  <si>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</si>
  <si>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</si>
  <si>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</si>
  <si>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</si>
  <si>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</si>
  <si>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</si>
  <si>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</si>
  <si>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</si>
  <si>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</si>
  <si>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</si>
  <si>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</si>
  <si>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</si>
  <si>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</si>
  <si>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</si>
  <si>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</si>
  <si>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</si>
  <si>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</si>
  <si>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</si>
  <si>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</si>
  <si>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</si>
  <si>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</si>
  <si>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</si>
  <si>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</si>
  <si>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</si>
  <si>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</si>
  <si>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</si>
  <si>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</si>
  <si>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</si>
  <si>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</si>
  <si>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</si>
  <si>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</si>
  <si>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</si>
  <si>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</si>
  <si>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</si>
  <si>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</si>
  <si>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</si>
  <si>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</si>
  <si>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</si>
  <si>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</si>
  <si>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</si>
  <si>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</si>
  <si>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</si>
  <si>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</si>
  <si>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</si>
  <si>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</si>
  <si>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</si>
  <si>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</si>
  <si>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</si>
  <si>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</si>
  <si>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</si>
  <si>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</si>
  <si>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</si>
  <si>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</si>
  <si>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</si>
  <si>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</si>
  <si>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</si>
  <si>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</si>
  <si>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</si>
  <si>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</si>
  <si>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</si>
  <si>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</si>
  <si>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</si>
  <si>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</si>
  <si>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</si>
  <si>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</si>
  <si>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</si>
  <si>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</si>
  <si>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</si>
  <si>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</si>
  <si>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</si>
  <si>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</si>
  <si>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</si>
  <si>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</si>
  <si>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</si>
  <si>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</si>
  <si>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</si>
  <si>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</si>
  <si>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</si>
  <si>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</si>
  <si>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</si>
  <si>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</si>
  <si>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</si>
  <si>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</si>
  <si>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</si>
  <si>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</si>
  <si>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</si>
  <si>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</si>
  <si>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</si>
  <si>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</si>
  <si>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</si>
  <si>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</si>
  <si>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</si>
  <si>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</si>
  <si>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</si>
  <si>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</si>
  <si>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</si>
  <si>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</si>
  <si>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</si>
  <si>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</si>
  <si>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</si>
  <si>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</si>
  <si>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</si>
  <si>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</si>
  <si>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</si>
  <si>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</si>
  <si>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</si>
  <si>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</si>
  <si>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</si>
  <si>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</si>
  <si>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</si>
  <si>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</si>
  <si>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</si>
  <si>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</si>
  <si>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</si>
  <si>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</si>
  <si>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</si>
  <si>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</si>
  <si>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</si>
  <si>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</si>
  <si>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</si>
  <si>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</si>
  <si>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</si>
  <si>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</si>
  <si>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</si>
  <si>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</si>
  <si>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</si>
  <si>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</si>
  <si>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</si>
  <si>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</si>
  <si>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</si>
  <si>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</si>
  <si>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</si>
  <si>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</si>
  <si>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</si>
  <si>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</si>
  <si>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</si>
  <si>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</si>
  <si>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</si>
  <si>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</si>
  <si>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</si>
  <si>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</si>
  <si>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</si>
  <si>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</si>
  <si>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</si>
  <si>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</si>
  <si>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</si>
  <si>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</si>
  <si>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</si>
  <si>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</si>
  <si>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</si>
  <si>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</si>
  <si>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</si>
  <si>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</si>
  <si>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</si>
  <si>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</si>
  <si>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</si>
  <si>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</si>
  <si>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</si>
  <si>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</si>
  <si>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</si>
  <si>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</si>
  <si>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</si>
  <si>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</si>
  <si>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</si>
  <si>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</si>
  <si>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</si>
  <si>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</si>
  <si>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</si>
  <si>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</si>
  <si>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</si>
  <si>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</si>
  <si>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</si>
  <si>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</si>
  <si>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</si>
  <si>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</si>
  <si>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</si>
  <si>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</si>
  <si>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</si>
  <si>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</si>
  <si>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</si>
  <si>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</si>
  <si>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</si>
  <si>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</si>
  <si>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</si>
  <si>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</si>
  <si>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</si>
  <si>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</si>
  <si>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</si>
  <si>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</si>
  <si>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</si>
  <si>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</si>
  <si>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</si>
  <si>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</si>
  <si>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</si>
  <si>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</si>
  <si>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</si>
  <si>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</si>
  <si>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</si>
  <si>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</si>
  <si>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</si>
  <si>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</si>
  <si>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</si>
  <si>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</si>
  <si>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</si>
  <si>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</si>
  <si>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</si>
  <si>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</si>
  <si>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</si>
  <si>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</si>
  <si>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</si>
  <si>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</si>
  <si>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</si>
  <si>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</si>
  <si>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</si>
  <si>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</si>
  <si>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</si>
  <si>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</si>
  <si>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</si>
  <si>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</si>
  <si>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</si>
  <si>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</si>
  <si>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</si>
  <si>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</si>
  <si>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</si>
  <si>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</si>
  <si>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</si>
  <si>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</si>
  <si>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</si>
  <si>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</si>
  <si>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</si>
  <si>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</si>
  <si>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</si>
  <si>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</si>
  <si>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</si>
  <si>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</si>
  <si>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</si>
  <si>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</si>
  <si>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</si>
  <si>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</si>
  <si>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</si>
  <si>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</si>
  <si>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</si>
  <si>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</si>
  <si>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</si>
  <si>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</si>
  <si>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</si>
  <si>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</si>
  <si>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</si>
  <si>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</si>
  <si>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</si>
  <si>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</si>
  <si>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</si>
  <si>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</si>
  <si>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</si>
  <si>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</si>
  <si>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</si>
  <si>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</si>
  <si>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</si>
  <si>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</si>
  <si>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</si>
  <si>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</si>
  <si>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</si>
  <si>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</si>
  <si>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</si>
  <si>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</si>
  <si>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</si>
  <si>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</si>
  <si>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</si>
  <si>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</si>
  <si>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</si>
  <si>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</si>
  <si>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</si>
  <si>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</si>
  <si>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</si>
  <si>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</si>
  <si>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</si>
  <si>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</si>
  <si>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</si>
  <si>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</si>
  <si>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</si>
  <si>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</si>
  <si>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</si>
  <si>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</si>
  <si>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</si>
  <si>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</si>
  <si>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</si>
  <si>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</si>
  <si>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</si>
  <si>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</si>
  <si>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</si>
  <si>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</si>
  <si>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</si>
  <si>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</si>
  <si>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</si>
  <si>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</si>
  <si>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</si>
  <si>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</si>
  <si>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</si>
  <si>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</si>
  <si>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</si>
  <si>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</si>
  <si>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</si>
  <si>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</si>
  <si>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</si>
  <si>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</si>
  <si>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</si>
  <si>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</si>
  <si>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</si>
  <si>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</si>
  <si>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</si>
  <si>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</si>
  <si>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</si>
  <si>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</si>
  <si>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</si>
  <si>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</si>
  <si>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</si>
  <si>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</si>
  <si>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</si>
  <si>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</si>
  <si>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</si>
  <si>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</si>
  <si>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</si>
  <si>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</si>
  <si>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</si>
  <si>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</si>
  <si>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</si>
  <si>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</si>
  <si>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</si>
  <si>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</si>
  <si>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</si>
  <si>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</si>
  <si>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</si>
  <si>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</si>
  <si>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</si>
  <si>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</si>
  <si>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</si>
  <si>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</si>
  <si>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</si>
  <si>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</si>
  <si>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</si>
  <si>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</si>
  <si>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</si>
  <si>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</si>
  <si>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</si>
  <si>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</si>
  <si>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</si>
  <si>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</si>
  <si>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</si>
  <si>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</si>
  <si>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</si>
  <si>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</si>
  <si>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</si>
  <si>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</si>
  <si>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</si>
  <si>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</si>
  <si>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</si>
  <si>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</si>
  <si>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</si>
  <si>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</si>
  <si>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</si>
  <si>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</si>
  <si>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</si>
  <si>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</si>
  <si>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</si>
  <si>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</si>
  <si>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</si>
  <si>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</si>
  <si>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</si>
  <si>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</si>
  <si>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</si>
  <si>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</si>
  <si>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</si>
  <si>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</si>
  <si>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</si>
  <si>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</si>
  <si>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</si>
  <si>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</si>
  <si>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</si>
  <si>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</si>
  <si>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</si>
  <si>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</si>
  <si>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</si>
  <si>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</si>
  <si>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</si>
  <si>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</si>
  <si>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</si>
  <si>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</si>
  <si>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</si>
  <si>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</si>
  <si>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</si>
  <si>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</si>
  <si>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</si>
  <si>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</si>
  <si>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</si>
  <si>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</si>
  <si>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</si>
  <si>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</si>
  <si>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</si>
  <si>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</si>
  <si>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</si>
  <si>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</si>
  <si>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</si>
  <si>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</si>
  <si>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</si>
  <si>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</si>
  <si>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</si>
  <si>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</si>
  <si>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</si>
  <si>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</si>
  <si>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</si>
  <si>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</si>
  <si>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</si>
  <si>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</si>
  <si>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</si>
  <si>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</si>
  <si>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</si>
  <si>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</si>
  <si>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</si>
  <si>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</si>
  <si>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</si>
  <si>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</si>
  <si>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</si>
  <si>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</si>
  <si>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</si>
  <si>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</si>
  <si>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</si>
  <si>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</si>
  <si>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</si>
  <si>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</si>
  <si>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</si>
  <si>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</si>
  <si>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</si>
  <si>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</si>
  <si>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</si>
  <si>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</si>
  <si>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</si>
  <si>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</si>
  <si>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</si>
  <si>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</si>
  <si>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</si>
  <si>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</si>
  <si>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</si>
  <si>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</si>
  <si>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</si>
  <si>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</si>
  <si>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</si>
  <si>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</si>
  <si>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</si>
  <si>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</si>
  <si>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</si>
  <si>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</si>
  <si>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</si>
  <si>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</si>
  <si>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</si>
  <si>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</si>
  <si>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</si>
  <si>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</si>
  <si>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</si>
  <si>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</si>
  <si>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</si>
  <si>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</si>
  <si>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</si>
  <si>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</si>
  <si>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</si>
  <si>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</si>
  <si>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</si>
  <si>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</si>
  <si>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</si>
  <si>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</si>
  <si>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</si>
  <si>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</si>
  <si>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</si>
  <si>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</si>
  <si>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</si>
  <si>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</si>
  <si>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</si>
  <si>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</si>
  <si>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</si>
  <si>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</si>
  <si>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</si>
  <si>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</si>
  <si>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</si>
  <si>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</si>
  <si>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</si>
  <si>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</si>
  <si>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</si>
  <si>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</si>
  <si>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</si>
  <si>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</si>
  <si>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</si>
  <si>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</si>
  <si>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</si>
  <si>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</si>
  <si>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</si>
  <si>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</si>
  <si>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</si>
  <si>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</si>
  <si>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</si>
  <si>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</si>
  <si>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</si>
  <si>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</si>
  <si>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</si>
  <si>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</si>
  <si>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</si>
  <si>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</si>
  <si>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</si>
  <si>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</si>
  <si>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</si>
  <si>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</si>
  <si>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</si>
  <si>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</si>
  <si>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</si>
  <si>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</si>
  <si>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</si>
  <si>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</si>
  <si>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</si>
  <si>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</si>
  <si>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</si>
  <si>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</si>
  <si>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</si>
  <si>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</si>
  <si>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</si>
  <si>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</si>
  <si>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</si>
  <si>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</si>
  <si>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</si>
  <si>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</si>
  <si>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</si>
  <si>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</si>
  <si>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</si>
  <si>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</si>
  <si>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</si>
  <si>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</si>
  <si>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</si>
  <si>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</si>
  <si>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</si>
  <si>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</si>
  <si>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</si>
  <si>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</si>
  <si>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</si>
  <si>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</si>
  <si>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</si>
  <si>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</si>
  <si>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</si>
  <si>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</si>
  <si>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</si>
  <si>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</si>
  <si>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</si>
  <si>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</si>
  <si>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</si>
  <si>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</si>
  <si>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</si>
  <si>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</si>
  <si>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</si>
  <si>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</si>
  <si>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</si>
  <si>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</si>
  <si>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</si>
  <si>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</si>
  <si>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</si>
  <si>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</si>
  <si>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</si>
  <si>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</si>
  <si>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</si>
  <si>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</si>
  <si>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</si>
  <si>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</si>
  <si>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</si>
  <si>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</si>
  <si>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</si>
  <si>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</si>
  <si>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</si>
  <si>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</si>
  <si>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</si>
  <si>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</si>
  <si>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</si>
  <si>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</si>
  <si>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</si>
  <si>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</si>
  <si>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</si>
  <si>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</si>
  <si>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</si>
  <si>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</si>
  <si>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</si>
  <si>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</si>
  <si>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</si>
  <si>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</si>
  <si>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</si>
  <si>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</si>
  <si>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</si>
  <si>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</si>
  <si>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</si>
  <si>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</si>
  <si>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</si>
  <si>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</si>
  <si>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</si>
  <si>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</si>
  <si>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</si>
  <si>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</si>
  <si>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</si>
  <si>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</si>
  <si>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</si>
  <si>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</si>
  <si>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</si>
  <si>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</si>
  <si>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</si>
  <si>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</si>
  <si>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</si>
  <si>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</si>
  <si>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</si>
  <si>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</si>
  <si>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</si>
  <si>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</si>
  <si>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</si>
  <si>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</si>
  <si>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</si>
  <si>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</si>
  <si>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</si>
  <si>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</si>
  <si>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</si>
  <si>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</si>
  <si>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</si>
  <si>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</si>
  <si>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</si>
  <si>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</si>
  <si>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</si>
  <si>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</si>
  <si>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</si>
  <si>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</si>
  <si>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</si>
  <si>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</si>
  <si>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</si>
  <si>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</si>
  <si>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</si>
  <si>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</si>
  <si>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</si>
  <si>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</si>
  <si>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</si>
  <si>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</si>
  <si>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</si>
  <si>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</si>
  <si>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</si>
  <si>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</si>
  <si>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</si>
  <si>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</si>
  <si>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</si>
  <si>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</si>
  <si>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</si>
  <si>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</si>
  <si>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</si>
  <si>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</si>
  <si>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</si>
  <si>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</si>
  <si>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</si>
  <si>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</si>
  <si>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</si>
  <si>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</si>
  <si>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</si>
  <si>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</si>
  <si>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</si>
  <si>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</si>
  <si>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</si>
  <si>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</si>
  <si>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</si>
  <si>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</si>
  <si>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</si>
  <si>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</si>
  <si>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</si>
  <si>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</si>
  <si>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</si>
  <si>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</si>
  <si>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</si>
  <si>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</si>
  <si>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</si>
  <si>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</si>
  <si>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</si>
  <si>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</si>
  <si>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</si>
  <si>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</si>
  <si>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</si>
  <si>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</si>
  <si>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</si>
  <si>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</si>
  <si>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</si>
  <si>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</si>
  <si>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</si>
  <si>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</si>
  <si>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</si>
  <si>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</si>
  <si>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</si>
  <si>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</si>
  <si>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</si>
  <si>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</si>
  <si>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</si>
  <si>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</si>
  <si>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</si>
  <si>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</si>
  <si>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</si>
  <si>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</si>
  <si>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</si>
  <si>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</si>
  <si>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</si>
  <si>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</si>
  <si>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</si>
  <si>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</si>
  <si>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</si>
  <si>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</si>
  <si>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</si>
  <si>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</si>
  <si>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</si>
  <si>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</si>
  <si>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</si>
  <si>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</si>
  <si>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</si>
  <si>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</si>
  <si>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</si>
  <si>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</si>
  <si>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</si>
  <si>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</si>
  <si>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</si>
  <si>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</si>
  <si>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</si>
  <si>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</si>
  <si>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</si>
  <si>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</si>
  <si>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</si>
  <si>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</si>
  <si>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</si>
  <si>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</si>
  <si>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</si>
  <si>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</si>
  <si>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</si>
  <si>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</si>
  <si>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</si>
  <si>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</si>
  <si>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</si>
  <si>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</si>
  <si>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</si>
  <si>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</si>
  <si>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</si>
  <si>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</si>
  <si>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</si>
  <si>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</si>
  <si>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</si>
  <si>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</si>
  <si>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</si>
  <si>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</si>
  <si>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</si>
  <si>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</si>
  <si>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</si>
  <si>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</si>
  <si>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</si>
  <si>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</si>
  <si>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</si>
  <si>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</si>
  <si>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</si>
  <si>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</si>
  <si>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</si>
  <si>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</si>
  <si>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</si>
  <si>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</si>
  <si>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</si>
  <si>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</si>
  <si>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</si>
  <si>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</si>
  <si>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</si>
  <si>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</si>
  <si>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</si>
  <si>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</si>
  <si>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</si>
  <si>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</si>
  <si>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</si>
  <si>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</si>
  <si>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</si>
  <si>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</si>
  <si>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</si>
  <si>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</si>
  <si>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</si>
  <si>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</si>
  <si>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</si>
  <si>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</si>
  <si>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</si>
  <si>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</si>
  <si>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</si>
  <si>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</si>
  <si>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</si>
  <si>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</si>
  <si>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</si>
  <si>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</si>
  <si>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</si>
  <si>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</si>
  <si>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</si>
  <si>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</si>
  <si>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</si>
  <si>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</si>
  <si>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</si>
  <si>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</si>
  <si>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</si>
  <si>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</si>
  <si>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</si>
  <si>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</si>
  <si>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</si>
  <si>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</si>
  <si>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</si>
  <si>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</si>
  <si>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</si>
  <si>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</si>
  <si>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</si>
  <si>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</si>
  <si>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</si>
  <si>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</si>
  <si>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</si>
  <si>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</si>
  <si>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</si>
  <si>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</si>
  <si>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</si>
  <si>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</si>
  <si>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</si>
  <si>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</si>
  <si>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</si>
  <si>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</si>
  <si>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</si>
  <si>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</si>
  <si>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</si>
  <si>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</si>
  <si>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</si>
  <si>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</si>
  <si>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</si>
  <si>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</si>
  <si>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</si>
  <si>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</si>
  <si>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</si>
  <si>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</si>
  <si>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</si>
  <si>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</si>
  <si>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</si>
  <si>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</si>
  <si>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</si>
  <si>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</si>
  <si>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</si>
  <si>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</si>
  <si>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</si>
  <si>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</si>
  <si>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</si>
  <si>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</si>
  <si>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</si>
  <si>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</si>
  <si>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</si>
  <si>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</si>
  <si>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</si>
  <si>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</si>
  <si>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</si>
  <si>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</si>
  <si>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</si>
  <si>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</si>
  <si>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</si>
  <si>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</si>
  <si>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</si>
  <si>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</si>
  <si>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</si>
  <si>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</si>
  <si>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</si>
  <si>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</si>
  <si>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</si>
  <si>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</si>
  <si>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</si>
  <si>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</si>
  <si>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</si>
  <si>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</si>
  <si>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</si>
  <si>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</si>
  <si>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</si>
  <si>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</si>
  <si>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</si>
  <si>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</si>
  <si>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</si>
  <si>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</si>
  <si>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</si>
  <si>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</si>
  <si>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</si>
  <si>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</si>
  <si>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</si>
  <si>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</si>
  <si>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</si>
  <si>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</si>
  <si>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</si>
  <si>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</si>
  <si>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</si>
  <si>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</si>
  <si>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</si>
  <si>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</si>
  <si>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</si>
  <si>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</si>
  <si>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</si>
  <si>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</si>
  <si>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</si>
  <si>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</si>
  <si>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</si>
  <si>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</si>
  <si>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</si>
  <si>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</si>
  <si>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</si>
  <si>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</si>
  <si>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</si>
  <si>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</si>
  <si>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</si>
  <si>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</si>
  <si>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</si>
  <si>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</si>
  <si>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</si>
  <si>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</si>
  <si>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</si>
  <si>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</si>
  <si>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</si>
  <si>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</si>
  <si>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</si>
  <si>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</si>
  <si>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</si>
  <si>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</si>
  <si>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</si>
  <si>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</si>
  <si>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</si>
  <si>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</si>
  <si>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</si>
  <si>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</si>
  <si>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</si>
  <si>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</si>
  <si>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</si>
  <si>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</si>
  <si>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</si>
  <si>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</si>
  <si>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</si>
  <si>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</si>
  <si>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</si>
  <si>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</si>
  <si>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</si>
  <si>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</si>
  <si>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</si>
  <si>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</si>
  <si>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</si>
  <si>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</si>
  <si>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</si>
  <si>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</si>
  <si>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</si>
  <si>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</si>
  <si>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</si>
  <si>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</si>
  <si>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</si>
  <si>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</si>
  <si>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</si>
  <si>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</si>
  <si>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</si>
  <si>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</si>
  <si>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</si>
  <si>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</si>
  <si>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</si>
  <si>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</si>
  <si>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</si>
  <si>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</si>
  <si>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</si>
  <si>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</si>
  <si>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</si>
  <si>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</si>
  <si>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</si>
  <si>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</si>
  <si>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</si>
  <si>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</si>
  <si>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</si>
  <si>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</si>
  <si>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</si>
  <si>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</si>
  <si>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</si>
  <si>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</si>
  <si>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</si>
  <si>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</si>
  <si>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</si>
  <si>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</si>
  <si>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</si>
  <si>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</si>
  <si>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</si>
  <si>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</si>
  <si>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</si>
  <si>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tormenta con granizo el 30-11, hoy lluvioso</t>
  </si>
  <si>
    <t>PUNTO SEGURO- SAN RUDECINDO (domo)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</si>
</sst>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2" fillId="0" borderId="0" xfId="0" applyFont="1" applyAlignment="1">
      <alignment horizontal="center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38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82</c:v>
                </c:pt>
                <c:pt idx="14">
                  <c:v>75</c:v>
                </c:pt>
                <c:pt idx="15">
                  <c:v>51</c:v>
                </c:pt>
                <c:pt idx="16">
                  <c:v>81</c:v>
                </c:pt>
                <c:pt idx="17">
                  <c:v>45</c:v>
                </c:pt>
                <c:pt idx="18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  <c:pt idx="6">
                  <c:v>0.18850574712643678</c:v>
                </c:pt>
                <c:pt idx="7">
                  <c:v>0.18850574712643678</c:v>
                </c:pt>
                <c:pt idx="8">
                  <c:v>0.21149425287356322</c:v>
                </c:pt>
                <c:pt idx="9">
                  <c:v>0.22758620689655173</c:v>
                </c:pt>
                <c:pt idx="10">
                  <c:v>0.20919540229885059</c:v>
                </c:pt>
                <c:pt idx="11">
                  <c:v>0.17241379310344829</c:v>
                </c:pt>
                <c:pt idx="12">
                  <c:v>0.1793103448275862</c:v>
                </c:pt>
                <c:pt idx="13">
                  <c:v>0.18850574712643678</c:v>
                </c:pt>
                <c:pt idx="14">
                  <c:v>0.17241379310344829</c:v>
                </c:pt>
                <c:pt idx="15">
                  <c:v>0.11724137931034483</c:v>
                </c:pt>
                <c:pt idx="16">
                  <c:v>0.18620689655172415</c:v>
                </c:pt>
                <c:pt idx="17">
                  <c:v>0.10344827586206896</c:v>
                </c:pt>
                <c:pt idx="18">
                  <c:v>8.7356321839080459E-2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82</c:v>
                </c:pt>
                <c:pt idx="14">
                  <c:v>75</c:v>
                </c:pt>
                <c:pt idx="15">
                  <c:v>51</c:v>
                </c:pt>
                <c:pt idx="16">
                  <c:v>81</c:v>
                </c:pt>
                <c:pt idx="17">
                  <c:v>45</c:v>
                </c:pt>
                <c:pt idx="18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82</c:v>
                </c:pt>
                <c:pt idx="14">
                  <c:v>75</c:v>
                </c:pt>
                <c:pt idx="15">
                  <c:v>51</c:v>
                </c:pt>
                <c:pt idx="16">
                  <c:v>81</c:v>
                </c:pt>
                <c:pt idx="17">
                  <c:v>45</c:v>
                </c:pt>
                <c:pt idx="18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82</c:v>
                </c:pt>
                <c:pt idx="14">
                  <c:v>75</c:v>
                </c:pt>
                <c:pt idx="15">
                  <c:v>51</c:v>
                </c:pt>
                <c:pt idx="16">
                  <c:v>81</c:v>
                </c:pt>
                <c:pt idx="17">
                  <c:v>45</c:v>
                </c:pt>
                <c:pt idx="18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  <c:pt idx="6">
                  <c:v>0.18850574712643678</c:v>
                </c:pt>
                <c:pt idx="7">
                  <c:v>0.18850574712643678</c:v>
                </c:pt>
                <c:pt idx="8">
                  <c:v>0.21149425287356322</c:v>
                </c:pt>
                <c:pt idx="9">
                  <c:v>0.22758620689655173</c:v>
                </c:pt>
                <c:pt idx="10">
                  <c:v>0.20919540229885059</c:v>
                </c:pt>
                <c:pt idx="11">
                  <c:v>0.17241379310344829</c:v>
                </c:pt>
                <c:pt idx="12">
                  <c:v>0.1793103448275862</c:v>
                </c:pt>
                <c:pt idx="13">
                  <c:v>0.18850574712643678</c:v>
                </c:pt>
                <c:pt idx="14">
                  <c:v>0.17241379310344829</c:v>
                </c:pt>
                <c:pt idx="15">
                  <c:v>0.11724137931034483</c:v>
                </c:pt>
                <c:pt idx="16">
                  <c:v>0.18620689655172415</c:v>
                </c:pt>
                <c:pt idx="17">
                  <c:v>0.10344827586206896</c:v>
                </c:pt>
                <c:pt idx="18">
                  <c:v>8.7356321839080459E-2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69</c:v>
                </c:pt>
                <c:pt idx="1">
                  <c:v>72</c:v>
                </c:pt>
                <c:pt idx="2">
                  <c:v>59</c:v>
                </c:pt>
                <c:pt idx="3">
                  <c:v>56</c:v>
                </c:pt>
                <c:pt idx="4">
                  <c:v>63</c:v>
                </c:pt>
                <c:pt idx="5">
                  <c:v>64</c:v>
                </c:pt>
                <c:pt idx="6">
                  <c:v>65</c:v>
                </c:pt>
                <c:pt idx="7">
                  <c:v>64</c:v>
                </c:pt>
                <c:pt idx="8">
                  <c:v>70</c:v>
                </c:pt>
                <c:pt idx="9">
                  <c:v>73</c:v>
                </c:pt>
                <c:pt idx="10">
                  <c:v>66</c:v>
                </c:pt>
                <c:pt idx="11">
                  <c:v>56</c:v>
                </c:pt>
                <c:pt idx="12">
                  <c:v>58</c:v>
                </c:pt>
                <c:pt idx="13">
                  <c:v>61</c:v>
                </c:pt>
                <c:pt idx="14">
                  <c:v>46</c:v>
                </c:pt>
                <c:pt idx="15">
                  <c:v>27</c:v>
                </c:pt>
                <c:pt idx="16">
                  <c:v>32</c:v>
                </c:pt>
                <c:pt idx="17">
                  <c:v>30</c:v>
                </c:pt>
                <c:pt idx="18">
                  <c:v>23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64</c:v>
                </c:pt>
                <c:pt idx="1">
                  <c:v>39</c:v>
                </c:pt>
                <c:pt idx="2">
                  <c:v>35</c:v>
                </c:pt>
                <c:pt idx="3">
                  <c:v>36</c:v>
                </c:pt>
                <c:pt idx="4">
                  <c:v>33</c:v>
                </c:pt>
                <c:pt idx="5">
                  <c:v>14</c:v>
                </c:pt>
                <c:pt idx="6">
                  <c:v>13</c:v>
                </c:pt>
                <c:pt idx="7">
                  <c:v>15</c:v>
                </c:pt>
                <c:pt idx="8">
                  <c:v>19</c:v>
                </c:pt>
                <c:pt idx="9">
                  <c:v>23</c:v>
                </c:pt>
                <c:pt idx="10">
                  <c:v>22</c:v>
                </c:pt>
                <c:pt idx="11">
                  <c:v>17</c:v>
                </c:pt>
                <c:pt idx="12">
                  <c:v>17</c:v>
                </c:pt>
                <c:pt idx="13">
                  <c:v>18</c:v>
                </c:pt>
                <c:pt idx="14">
                  <c:v>26</c:v>
                </c:pt>
                <c:pt idx="15">
                  <c:v>23</c:v>
                </c:pt>
                <c:pt idx="16">
                  <c:v>47</c:v>
                </c:pt>
                <c:pt idx="17">
                  <c:v>14</c:v>
                </c:pt>
                <c:pt idx="18">
                  <c:v>15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0.30263157894736842</c:v>
                      </c:pt>
                      <c:pt idx="1">
                        <c:v>0.31578947368421051</c:v>
                      </c:pt>
                      <c:pt idx="2">
                        <c:v>0.25877192982456143</c:v>
                      </c:pt>
                      <c:pt idx="3">
                        <c:v>0.24561403508771928</c:v>
                      </c:pt>
                      <c:pt idx="4">
                        <c:v>0.27631578947368424</c:v>
                      </c:pt>
                      <c:pt idx="5">
                        <c:v>0.2807017543859649</c:v>
                      </c:pt>
                      <c:pt idx="6">
                        <c:v>0.28508771929824561</c:v>
                      </c:pt>
                      <c:pt idx="7">
                        <c:v>0.2807017543859649</c:v>
                      </c:pt>
                      <c:pt idx="8">
                        <c:v>0.30701754385964913</c:v>
                      </c:pt>
                      <c:pt idx="9">
                        <c:v>0.32017543859649122</c:v>
                      </c:pt>
                      <c:pt idx="10">
                        <c:v>0.28947368421052633</c:v>
                      </c:pt>
                      <c:pt idx="11">
                        <c:v>0.24561403508771928</c:v>
                      </c:pt>
                      <c:pt idx="12">
                        <c:v>0.25438596491228072</c:v>
                      </c:pt>
                      <c:pt idx="13">
                        <c:v>0.26754385964912281</c:v>
                      </c:pt>
                      <c:pt idx="14">
                        <c:v>0.20175438596491227</c:v>
                      </c:pt>
                      <c:pt idx="15">
                        <c:v>0.11842105263157894</c:v>
                      </c:pt>
                      <c:pt idx="16">
                        <c:v>0.14035087719298245</c:v>
                      </c:pt>
                      <c:pt idx="17">
                        <c:v>0.13157894736842105</c:v>
                      </c:pt>
                      <c:pt idx="18">
                        <c:v>0.10087719298245613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0.30917874396135264</c:v>
                      </c:pt>
                      <c:pt idx="1">
                        <c:v>0.18840579710144928</c:v>
                      </c:pt>
                      <c:pt idx="2">
                        <c:v>0.16908212560386474</c:v>
                      </c:pt>
                      <c:pt idx="3">
                        <c:v>0.17391304347826086</c:v>
                      </c:pt>
                      <c:pt idx="4">
                        <c:v>0.15942028985507245</c:v>
                      </c:pt>
                      <c:pt idx="5">
                        <c:v>6.7632850241545889E-2</c:v>
                      </c:pt>
                      <c:pt idx="6">
                        <c:v>6.280193236714976E-2</c:v>
                      </c:pt>
                      <c:pt idx="7">
                        <c:v>7.2463768115942032E-2</c:v>
                      </c:pt>
                      <c:pt idx="8">
                        <c:v>9.1787439613526575E-2</c:v>
                      </c:pt>
                      <c:pt idx="9">
                        <c:v>0.1111111111111111</c:v>
                      </c:pt>
                      <c:pt idx="10">
                        <c:v>0.10628019323671498</c:v>
                      </c:pt>
                      <c:pt idx="11">
                        <c:v>8.2125603864734303E-2</c:v>
                      </c:pt>
                      <c:pt idx="12">
                        <c:v>8.2125603864734303E-2</c:v>
                      </c:pt>
                      <c:pt idx="13">
                        <c:v>8.6956521739130432E-2</c:v>
                      </c:pt>
                      <c:pt idx="14">
                        <c:v>0.12560386473429952</c:v>
                      </c:pt>
                      <c:pt idx="15">
                        <c:v>0.1111111111111111</c:v>
                      </c:pt>
                      <c:pt idx="16">
                        <c:v>0.22705314009661837</c:v>
                      </c:pt>
                      <c:pt idx="17">
                        <c:v>6.7632850241545889E-2</c:v>
                      </c:pt>
                      <c:pt idx="18">
                        <c:v>7.2463768115942032E-2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0.30263157894736842</c:v>
                </c:pt>
                <c:pt idx="1">
                  <c:v>0.31578947368421051</c:v>
                </c:pt>
                <c:pt idx="2">
                  <c:v>0.25877192982456143</c:v>
                </c:pt>
                <c:pt idx="3">
                  <c:v>0.24561403508771928</c:v>
                </c:pt>
                <c:pt idx="4">
                  <c:v>0.27631578947368424</c:v>
                </c:pt>
                <c:pt idx="5">
                  <c:v>0.2807017543859649</c:v>
                </c:pt>
                <c:pt idx="6">
                  <c:v>0.28508771929824561</c:v>
                </c:pt>
                <c:pt idx="7">
                  <c:v>0.2807017543859649</c:v>
                </c:pt>
                <c:pt idx="8">
                  <c:v>0.30701754385964913</c:v>
                </c:pt>
                <c:pt idx="9">
                  <c:v>0.32017543859649122</c:v>
                </c:pt>
                <c:pt idx="10">
                  <c:v>0.28947368421052633</c:v>
                </c:pt>
                <c:pt idx="11">
                  <c:v>0.24561403508771928</c:v>
                </c:pt>
                <c:pt idx="12">
                  <c:v>0.25438596491228072</c:v>
                </c:pt>
                <c:pt idx="13">
                  <c:v>0.26754385964912281</c:v>
                </c:pt>
                <c:pt idx="14">
                  <c:v>0.20175438596491227</c:v>
                </c:pt>
                <c:pt idx="15">
                  <c:v>0.11842105263157894</c:v>
                </c:pt>
                <c:pt idx="16">
                  <c:v>0.14035087719298245</c:v>
                </c:pt>
                <c:pt idx="17">
                  <c:v>0.13157894736842105</c:v>
                </c:pt>
                <c:pt idx="18">
                  <c:v>0.10087719298245613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0.30917874396135264</c:v>
                </c:pt>
                <c:pt idx="1">
                  <c:v>0.18840579710144928</c:v>
                </c:pt>
                <c:pt idx="2">
                  <c:v>0.16908212560386474</c:v>
                </c:pt>
                <c:pt idx="3">
                  <c:v>0.17391304347826086</c:v>
                </c:pt>
                <c:pt idx="4">
                  <c:v>0.15942028985507245</c:v>
                </c:pt>
                <c:pt idx="5">
                  <c:v>6.7632850241545889E-2</c:v>
                </c:pt>
                <c:pt idx="6">
                  <c:v>6.280193236714976E-2</c:v>
                </c:pt>
                <c:pt idx="7">
                  <c:v>7.2463768115942032E-2</c:v>
                </c:pt>
                <c:pt idx="8">
                  <c:v>9.1787439613526575E-2</c:v>
                </c:pt>
                <c:pt idx="9">
                  <c:v>0.1111111111111111</c:v>
                </c:pt>
                <c:pt idx="10">
                  <c:v>0.10628019323671498</c:v>
                </c:pt>
                <c:pt idx="11">
                  <c:v>8.2125603864734303E-2</c:v>
                </c:pt>
                <c:pt idx="12">
                  <c:v>8.2125603864734303E-2</c:v>
                </c:pt>
                <c:pt idx="13">
                  <c:v>8.6956521739130432E-2</c:v>
                </c:pt>
                <c:pt idx="14">
                  <c:v>0.12560386473429952</c:v>
                </c:pt>
                <c:pt idx="15">
                  <c:v>0.1111111111111111</c:v>
                </c:pt>
                <c:pt idx="16">
                  <c:v>0.22705314009661837</c:v>
                </c:pt>
                <c:pt idx="17">
                  <c:v>6.7632850241545889E-2</c:v>
                </c:pt>
                <c:pt idx="18">
                  <c:v>7.2463768115942032E-2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69</c:v>
                      </c:pt>
                      <c:pt idx="1">
                        <c:v>72</c:v>
                      </c:pt>
                      <c:pt idx="2">
                        <c:v>59</c:v>
                      </c:pt>
                      <c:pt idx="3">
                        <c:v>56</c:v>
                      </c:pt>
                      <c:pt idx="4">
                        <c:v>63</c:v>
                      </c:pt>
                      <c:pt idx="5">
                        <c:v>64</c:v>
                      </c:pt>
                      <c:pt idx="6">
                        <c:v>65</c:v>
                      </c:pt>
                      <c:pt idx="7">
                        <c:v>64</c:v>
                      </c:pt>
                      <c:pt idx="8">
                        <c:v>70</c:v>
                      </c:pt>
                      <c:pt idx="9">
                        <c:v>73</c:v>
                      </c:pt>
                      <c:pt idx="10">
                        <c:v>66</c:v>
                      </c:pt>
                      <c:pt idx="11">
                        <c:v>56</c:v>
                      </c:pt>
                      <c:pt idx="12">
                        <c:v>58</c:v>
                      </c:pt>
                      <c:pt idx="13">
                        <c:v>61</c:v>
                      </c:pt>
                      <c:pt idx="14">
                        <c:v>46</c:v>
                      </c:pt>
                      <c:pt idx="15">
                        <c:v>27</c:v>
                      </c:pt>
                      <c:pt idx="16">
                        <c:v>32</c:v>
                      </c:pt>
                      <c:pt idx="17">
                        <c:v>30</c:v>
                      </c:pt>
                      <c:pt idx="18">
                        <c:v>23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64</c:v>
                      </c:pt>
                      <c:pt idx="1">
                        <c:v>39</c:v>
                      </c:pt>
                      <c:pt idx="2">
                        <c:v>35</c:v>
                      </c:pt>
                      <c:pt idx="3">
                        <c:v>36</c:v>
                      </c:pt>
                      <c:pt idx="4">
                        <c:v>33</c:v>
                      </c:pt>
                      <c:pt idx="5">
                        <c:v>14</c:v>
                      </c:pt>
                      <c:pt idx="6">
                        <c:v>13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23</c:v>
                      </c:pt>
                      <c:pt idx="10">
                        <c:v>22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18</c:v>
                      </c:pt>
                      <c:pt idx="14">
                        <c:v>26</c:v>
                      </c:pt>
                      <c:pt idx="15">
                        <c:v>23</c:v>
                      </c:pt>
                      <c:pt idx="16">
                        <c:v>47</c:v>
                      </c:pt>
                      <c:pt idx="17">
                        <c:v>14</c:v>
                      </c:pt>
                      <c:pt idx="18">
                        <c:v>15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682"/>
  <sheetViews>
    <sheetView tabSelected="1" zoomScale="80" zoomScaleNormal="80" workbookViewId="0">
      <pane xSplit="10" ySplit="4" topLeftCell="AA5" activePane="bottomRight" state="frozen"/>
      <selection pane="topRight" activeCell="M1" sqref="M1"/>
      <selection pane="bottomLeft" activeCell="A5" sqref="A5"/>
      <selection pane="bottomRight" activeCell="A40" sqref="A40:XFD40"/>
    </sheetView>
  </sheetViews>
  <sheetFormatPr baseColWidth="10" defaultColWidth="11.5546875" defaultRowHeight="14.4" x14ac:dyDescent="0.3"/>
  <cols>
    <col min="1" max="1" width="26.6640625" bestFit="1" customWidth="1"/>
    <col min="2" max="2" width="32.88671875" style="39" customWidth="1"/>
    <col min="3" max="3" width="16.33203125" style="39" customWidth="1"/>
    <col min="4" max="4" width="42.5546875" customWidth="1"/>
    <col min="5" max="5" width="15.6640625" style="121" customWidth="1"/>
    <col min="6" max="6" width="17.44140625" style="125" customWidth="1"/>
    <col min="7" max="7" width="13.6640625" style="17" customWidth="1"/>
    <col min="8" max="8" width="14.6640625" customWidth="1"/>
    <col min="9" max="9" width="6.6640625" customWidth="1"/>
    <col min="10" max="10" width="11.5546875" style="5" customWidth="1"/>
    <col min="11" max="13" width="12.44140625" style="16" bestFit="1" customWidth="1"/>
    <col min="14" max="19" width="8.6640625" style="16" customWidth="1"/>
    <col min="20" max="41" width="14.109375" style="16" bestFit="1" customWidth="1"/>
  </cols>
  <sheetData>
    <row r="1" spans="1:41" s="5" customFormat="1" ht="27.75" customHeight="1" thickTop="1" x14ac:dyDescent="0.3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0.31034482758620691</v>
      </c>
      <c r="L1" s="4">
        <f t="shared" si="0"/>
        <v>0.25977011494252872</v>
      </c>
      <c r="M1" s="4">
        <f t="shared" si="0"/>
        <v>0.22298850574712645</v>
      </c>
      <c r="N1" s="4">
        <f t="shared" si="0"/>
        <v>0.21839080459770116</v>
      </c>
      <c r="O1" s="4">
        <f t="shared" si="0"/>
        <v>0.22528735632183908</v>
      </c>
      <c r="P1" s="4">
        <f t="shared" si="0"/>
        <v>0.18620689655172415</v>
      </c>
      <c r="Q1" s="4">
        <f t="shared" si="0"/>
        <v>0.18850574712643678</v>
      </c>
      <c r="R1" s="4">
        <f t="shared" si="0"/>
        <v>0.18850574712643678</v>
      </c>
      <c r="S1" s="4">
        <f t="shared" si="0"/>
        <v>0.21149425287356322</v>
      </c>
      <c r="T1" s="4">
        <f t="shared" si="0"/>
        <v>0.22758620689655173</v>
      </c>
      <c r="U1" s="4">
        <f t="shared" si="0"/>
        <v>0.20919540229885059</v>
      </c>
      <c r="V1" s="4">
        <f t="shared" si="0"/>
        <v>0.17471264367816092</v>
      </c>
      <c r="W1" s="4">
        <f t="shared" si="0"/>
        <v>0.1793103448275862</v>
      </c>
      <c r="X1" s="4">
        <f t="shared" si="0"/>
        <v>0.18850574712643678</v>
      </c>
      <c r="Y1" s="4">
        <f t="shared" si="0"/>
        <v>0.17241379310344829</v>
      </c>
      <c r="Z1" s="4">
        <f t="shared" si="0"/>
        <v>0.11724137931034483</v>
      </c>
      <c r="AA1" s="4">
        <f t="shared" si="0"/>
        <v>0.18620689655172415</v>
      </c>
      <c r="AB1" s="4">
        <f t="shared" si="0"/>
        <v>0.10344827586206896</v>
      </c>
      <c r="AC1" s="4">
        <f t="shared" si="0"/>
        <v>8.7356321839080459E-2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3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300</v>
      </c>
      <c r="L2" s="117">
        <f t="shared" ref="L2:AN2" si="1">CANTIDAD_DE_CAMARAS-L3</f>
        <v>322</v>
      </c>
      <c r="M2" s="117">
        <f t="shared" si="1"/>
        <v>338</v>
      </c>
      <c r="N2" s="117">
        <f t="shared" si="1"/>
        <v>340</v>
      </c>
      <c r="O2" s="117">
        <f t="shared" si="1"/>
        <v>337</v>
      </c>
      <c r="P2" s="117">
        <f t="shared" si="1"/>
        <v>354</v>
      </c>
      <c r="Q2" s="117">
        <f t="shared" si="1"/>
        <v>353</v>
      </c>
      <c r="R2" s="117">
        <f t="shared" si="1"/>
        <v>353</v>
      </c>
      <c r="S2" s="117">
        <f t="shared" si="1"/>
        <v>343</v>
      </c>
      <c r="T2" s="117">
        <f t="shared" si="1"/>
        <v>336</v>
      </c>
      <c r="U2" s="117">
        <f t="shared" si="1"/>
        <v>344</v>
      </c>
      <c r="V2" s="117">
        <f t="shared" si="1"/>
        <v>359</v>
      </c>
      <c r="W2" s="117">
        <f t="shared" si="1"/>
        <v>357</v>
      </c>
      <c r="X2" s="117">
        <f t="shared" si="1"/>
        <v>353</v>
      </c>
      <c r="Y2" s="117">
        <f t="shared" si="1"/>
        <v>360</v>
      </c>
      <c r="Z2" s="117">
        <f t="shared" si="1"/>
        <v>384</v>
      </c>
      <c r="AA2" s="117">
        <f t="shared" si="1"/>
        <v>354</v>
      </c>
      <c r="AB2" s="117">
        <f t="shared" si="1"/>
        <v>390</v>
      </c>
      <c r="AC2" s="117">
        <f t="shared" si="1"/>
        <v>397</v>
      </c>
      <c r="AD2" s="117">
        <f t="shared" si="1"/>
        <v>435</v>
      </c>
      <c r="AE2" s="117">
        <f t="shared" si="1"/>
        <v>435</v>
      </c>
      <c r="AF2" s="117">
        <f t="shared" si="1"/>
        <v>435</v>
      </c>
      <c r="AG2" s="117">
        <f t="shared" si="1"/>
        <v>435</v>
      </c>
      <c r="AH2" s="117">
        <f t="shared" si="1"/>
        <v>435</v>
      </c>
      <c r="AI2" s="117">
        <f t="shared" si="1"/>
        <v>435</v>
      </c>
      <c r="AJ2" s="117">
        <f t="shared" si="1"/>
        <v>435</v>
      </c>
      <c r="AK2" s="117">
        <f t="shared" si="1"/>
        <v>435</v>
      </c>
      <c r="AL2" s="117">
        <f t="shared" si="1"/>
        <v>435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" thickBot="1" x14ac:dyDescent="0.35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135</v>
      </c>
      <c r="L3" s="12">
        <f t="shared" si="2"/>
        <v>113</v>
      </c>
      <c r="M3" s="12">
        <f t="shared" si="2"/>
        <v>97</v>
      </c>
      <c r="N3" s="12">
        <f t="shared" si="2"/>
        <v>95</v>
      </c>
      <c r="O3" s="12">
        <f t="shared" si="2"/>
        <v>98</v>
      </c>
      <c r="P3" s="12">
        <f t="shared" si="2"/>
        <v>81</v>
      </c>
      <c r="Q3" s="12">
        <f t="shared" si="2"/>
        <v>82</v>
      </c>
      <c r="R3" s="12">
        <f t="shared" si="2"/>
        <v>82</v>
      </c>
      <c r="S3" s="12">
        <f t="shared" si="2"/>
        <v>92</v>
      </c>
      <c r="T3" s="12">
        <f t="shared" si="2"/>
        <v>99</v>
      </c>
      <c r="U3" s="12">
        <f t="shared" si="2"/>
        <v>91</v>
      </c>
      <c r="V3" s="12">
        <f t="shared" si="2"/>
        <v>76</v>
      </c>
      <c r="W3" s="12">
        <f t="shared" si="2"/>
        <v>78</v>
      </c>
      <c r="X3" s="12">
        <f t="shared" si="2"/>
        <v>82</v>
      </c>
      <c r="Y3" s="12">
        <f t="shared" si="2"/>
        <v>75</v>
      </c>
      <c r="Z3" s="12">
        <f t="shared" si="2"/>
        <v>51</v>
      </c>
      <c r="AA3" s="12">
        <f t="shared" si="2"/>
        <v>81</v>
      </c>
      <c r="AB3" s="12">
        <f t="shared" si="2"/>
        <v>45</v>
      </c>
      <c r="AC3" s="12">
        <f t="shared" si="2"/>
        <v>38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0.6" thickTop="1" thickBot="1" x14ac:dyDescent="0.4">
      <c r="A4" t="s">
        <v>7</v>
      </c>
      <c r="B4" s="39" t="s">
        <v>8</v>
      </c>
      <c r="C4" s="47" t="s">
        <v>1157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44896</v>
      </c>
      <c r="L4" s="13">
        <v>44897</v>
      </c>
      <c r="M4" s="13">
        <v>44898</v>
      </c>
      <c r="N4" s="13">
        <v>44899</v>
      </c>
      <c r="O4" s="13">
        <v>44900</v>
      </c>
      <c r="P4" s="13">
        <v>44901</v>
      </c>
      <c r="Q4" s="13">
        <v>44902</v>
      </c>
      <c r="R4" s="13">
        <v>44903</v>
      </c>
      <c r="S4" s="13">
        <v>44904</v>
      </c>
      <c r="T4" s="13">
        <v>44905</v>
      </c>
      <c r="U4" s="13">
        <v>44906</v>
      </c>
      <c r="V4" s="13">
        <v>44907</v>
      </c>
      <c r="W4" s="13">
        <v>44908</v>
      </c>
      <c r="X4" s="13">
        <v>44909</v>
      </c>
      <c r="Y4" s="13">
        <v>44910</v>
      </c>
      <c r="Z4" s="13">
        <v>44911</v>
      </c>
      <c r="AA4" s="13">
        <v>44912</v>
      </c>
      <c r="AB4" s="13">
        <v>44913</v>
      </c>
      <c r="AC4" s="13">
        <v>44914</v>
      </c>
      <c r="AD4" s="13">
        <v>44915</v>
      </c>
      <c r="AE4" s="13">
        <v>44916</v>
      </c>
      <c r="AF4" s="13">
        <v>44917</v>
      </c>
      <c r="AG4" s="13">
        <v>44918</v>
      </c>
      <c r="AH4" s="13">
        <v>44919</v>
      </c>
      <c r="AI4" s="13">
        <v>44920</v>
      </c>
      <c r="AJ4" s="13">
        <v>44921</v>
      </c>
      <c r="AK4" s="13">
        <v>44922</v>
      </c>
      <c r="AL4" s="13">
        <v>44923</v>
      </c>
      <c r="AM4" s="13">
        <v>44924</v>
      </c>
      <c r="AN4" s="13">
        <v>44925</v>
      </c>
      <c r="AO4" s="13">
        <v>44926</v>
      </c>
    </row>
    <row r="5" spans="1:41" ht="15" hidden="1" thickBot="1" x14ac:dyDescent="0.35">
      <c r="A5" t="s">
        <v>26</v>
      </c>
      <c r="B5" t="s">
        <v>29</v>
      </c>
      <c r="C5" t="s">
        <v>1158</v>
      </c>
      <c r="D5" t="s">
        <v>30</v>
      </c>
      <c r="E5" s="39" t="s">
        <v>19</v>
      </c>
      <c r="F5" s="39" t="s">
        <v>28</v>
      </c>
      <c r="G5" t="s">
        <v>624</v>
      </c>
      <c r="H5" s="40">
        <f>COUNTIF(K5:AO5,"")</f>
        <v>16</v>
      </c>
      <c r="I5" s="40">
        <f>COUNTIF(K5:AL5,"APAGADO")</f>
        <v>15</v>
      </c>
      <c r="J5" s="41">
        <f>(H5)/(I5+H5)</f>
        <v>0.5161290322580645</v>
      </c>
      <c r="K5" s="20" t="s">
        <v>1307</v>
      </c>
      <c r="L5" s="20" t="s">
        <v>1307</v>
      </c>
      <c r="M5" s="20" t="s">
        <v>1307</v>
      </c>
      <c r="N5" s="20" t="s">
        <v>1307</v>
      </c>
      <c r="O5" s="20" t="s">
        <v>1307</v>
      </c>
      <c r="P5" s="20" t="s">
        <v>1307</v>
      </c>
      <c r="Q5" s="20" t="s">
        <v>1307</v>
      </c>
      <c r="R5" s="20" t="s">
        <v>1307</v>
      </c>
      <c r="S5" s="20" t="s">
        <v>1307</v>
      </c>
      <c r="T5" s="20" t="s">
        <v>1307</v>
      </c>
      <c r="U5" s="20" t="s">
        <v>1307</v>
      </c>
      <c r="V5" s="20" t="s">
        <v>1307</v>
      </c>
      <c r="W5" s="20" t="s">
        <v>1307</v>
      </c>
      <c r="X5" s="20" t="s">
        <v>1307</v>
      </c>
      <c r="Y5" s="20" t="s">
        <v>1307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" hidden="1" thickBot="1" x14ac:dyDescent="0.35">
      <c r="A6" t="s">
        <v>26</v>
      </c>
      <c r="B6" t="s">
        <v>31</v>
      </c>
      <c r="C6" t="s">
        <v>1158</v>
      </c>
      <c r="D6" t="s">
        <v>32</v>
      </c>
      <c r="E6" s="39" t="s">
        <v>19</v>
      </c>
      <c r="F6" s="39" t="s">
        <v>1151</v>
      </c>
      <c r="G6" t="s">
        <v>625</v>
      </c>
      <c r="H6" s="40">
        <f t="shared" ref="H6:H69" si="3">COUNTIF(K6:AO6,"")</f>
        <v>16</v>
      </c>
      <c r="I6" s="40">
        <f>COUNTIF(K6:AL6,"APAGADO")</f>
        <v>15</v>
      </c>
      <c r="J6" s="41">
        <f>(H6)/(I6+H6)</f>
        <v>0.5161290322580645</v>
      </c>
      <c r="K6" s="20" t="s">
        <v>1307</v>
      </c>
      <c r="L6" s="20" t="s">
        <v>1307</v>
      </c>
      <c r="M6" s="20" t="s">
        <v>1307</v>
      </c>
      <c r="N6" s="20" t="s">
        <v>1307</v>
      </c>
      <c r="O6" s="20" t="s">
        <v>1307</v>
      </c>
      <c r="P6" s="20" t="s">
        <v>1307</v>
      </c>
      <c r="Q6" s="20" t="s">
        <v>1307</v>
      </c>
      <c r="R6" s="20" t="s">
        <v>1307</v>
      </c>
      <c r="S6" s="20" t="s">
        <v>1307</v>
      </c>
      <c r="T6" s="20" t="s">
        <v>1307</v>
      </c>
      <c r="U6" s="20" t="s">
        <v>1307</v>
      </c>
      <c r="V6" s="20" t="s">
        <v>1307</v>
      </c>
      <c r="W6" s="20" t="s">
        <v>1307</v>
      </c>
      <c r="X6" s="20" t="s">
        <v>1307</v>
      </c>
      <c r="Y6" s="20" t="s">
        <v>1307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5.6" hidden="1" thickTop="1" thickBot="1" x14ac:dyDescent="0.35">
      <c r="A7" t="s">
        <v>26</v>
      </c>
      <c r="B7" t="s">
        <v>1003</v>
      </c>
      <c r="C7" t="s">
        <v>1158</v>
      </c>
      <c r="D7" t="s">
        <v>33</v>
      </c>
      <c r="E7" s="39" t="s">
        <v>19</v>
      </c>
      <c r="F7" s="39" t="s">
        <v>1150</v>
      </c>
      <c r="G7" t="s">
        <v>626</v>
      </c>
      <c r="H7" s="40">
        <f t="shared" si="3"/>
        <v>16</v>
      </c>
      <c r="I7" s="40">
        <f t="shared" ref="I7:I76" si="4">COUNTIF(K7:AL7,"APAGADO")</f>
        <v>15</v>
      </c>
      <c r="J7" s="41">
        <f t="shared" ref="J7:J76" si="5">(H7)/(I7+H7)</f>
        <v>0.5161290322580645</v>
      </c>
      <c r="K7" s="22" t="s">
        <v>1307</v>
      </c>
      <c r="L7" s="22" t="s">
        <v>1307</v>
      </c>
      <c r="M7" s="22" t="s">
        <v>1307</v>
      </c>
      <c r="N7" s="22" t="s">
        <v>1307</v>
      </c>
      <c r="O7" s="22" t="s">
        <v>1307</v>
      </c>
      <c r="P7" s="22" t="s">
        <v>1307</v>
      </c>
      <c r="Q7" s="22" t="s">
        <v>1307</v>
      </c>
      <c r="R7" s="22" t="s">
        <v>1307</v>
      </c>
      <c r="S7" s="22" t="s">
        <v>1307</v>
      </c>
      <c r="T7" s="22" t="s">
        <v>1307</v>
      </c>
      <c r="U7" s="22" t="s">
        <v>1307</v>
      </c>
      <c r="V7" s="22" t="s">
        <v>1307</v>
      </c>
      <c r="W7" s="22" t="s">
        <v>1307</v>
      </c>
      <c r="X7" s="22" t="s">
        <v>1307</v>
      </c>
      <c r="Y7" s="22" t="s">
        <v>1307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" hidden="1" thickBot="1" x14ac:dyDescent="0.35">
      <c r="A8" t="s">
        <v>26</v>
      </c>
      <c r="B8" t="s">
        <v>1004</v>
      </c>
      <c r="C8" t="s">
        <v>1158</v>
      </c>
      <c r="D8" t="s">
        <v>34</v>
      </c>
      <c r="E8" s="39" t="s">
        <v>19</v>
      </c>
      <c r="F8" s="39" t="s">
        <v>1150</v>
      </c>
      <c r="G8" t="s">
        <v>627</v>
      </c>
      <c r="H8" s="40">
        <f t="shared" si="3"/>
        <v>16</v>
      </c>
      <c r="I8" s="40">
        <f t="shared" si="4"/>
        <v>15</v>
      </c>
      <c r="J8" s="41">
        <f t="shared" si="5"/>
        <v>0.5161290322580645</v>
      </c>
      <c r="K8" s="20" t="s">
        <v>1307</v>
      </c>
      <c r="L8" s="20" t="s">
        <v>1307</v>
      </c>
      <c r="M8" s="20" t="s">
        <v>1307</v>
      </c>
      <c r="N8" s="20" t="s">
        <v>1307</v>
      </c>
      <c r="O8" s="20" t="s">
        <v>1307</v>
      </c>
      <c r="P8" s="20" t="s">
        <v>1307</v>
      </c>
      <c r="Q8" s="20" t="s">
        <v>1307</v>
      </c>
      <c r="R8" s="20" t="s">
        <v>1307</v>
      </c>
      <c r="S8" s="20" t="s">
        <v>1307</v>
      </c>
      <c r="T8" s="20" t="s">
        <v>1307</v>
      </c>
      <c r="U8" s="20" t="s">
        <v>1307</v>
      </c>
      <c r="V8" s="20" t="s">
        <v>1307</v>
      </c>
      <c r="W8" s="20" t="s">
        <v>1307</v>
      </c>
      <c r="X8" s="20" t="s">
        <v>1307</v>
      </c>
      <c r="Y8" s="20" t="s">
        <v>1307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" hidden="1" thickBot="1" x14ac:dyDescent="0.35">
      <c r="A9" t="s">
        <v>26</v>
      </c>
      <c r="B9" t="s">
        <v>35</v>
      </c>
      <c r="C9" t="s">
        <v>1158</v>
      </c>
      <c r="D9" t="s">
        <v>36</v>
      </c>
      <c r="E9" s="39" t="s">
        <v>19</v>
      </c>
      <c r="F9" s="39" t="s">
        <v>1151</v>
      </c>
      <c r="G9" t="s">
        <v>628</v>
      </c>
      <c r="H9" s="40">
        <f t="shared" si="3"/>
        <v>16</v>
      </c>
      <c r="I9" s="40">
        <f>COUNTIF(K9:AL9,"APAGADO")</f>
        <v>15</v>
      </c>
      <c r="J9" s="41">
        <f>(H9)/(I9+H9)</f>
        <v>0.5161290322580645</v>
      </c>
      <c r="K9" s="20" t="s">
        <v>1307</v>
      </c>
      <c r="L9" s="20" t="s">
        <v>1307</v>
      </c>
      <c r="M9" s="20" t="s">
        <v>1307</v>
      </c>
      <c r="N9" s="20" t="s">
        <v>1307</v>
      </c>
      <c r="O9" s="20" t="s">
        <v>1307</v>
      </c>
      <c r="P9" s="20" t="s">
        <v>1307</v>
      </c>
      <c r="Q9" s="20" t="s">
        <v>1307</v>
      </c>
      <c r="R9" s="20" t="s">
        <v>1307</v>
      </c>
      <c r="S9" s="20" t="s">
        <v>1307</v>
      </c>
      <c r="T9" s="20" t="s">
        <v>1307</v>
      </c>
      <c r="U9" s="20" t="s">
        <v>1307</v>
      </c>
      <c r="V9" s="20" t="s">
        <v>1307</v>
      </c>
      <c r="W9" s="20" t="s">
        <v>1307</v>
      </c>
      <c r="X9" s="20" t="s">
        <v>1307</v>
      </c>
      <c r="Y9" s="20" t="s">
        <v>1307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" hidden="1" thickBot="1" x14ac:dyDescent="0.35">
      <c r="A10" t="s">
        <v>26</v>
      </c>
      <c r="B10" t="s">
        <v>1005</v>
      </c>
      <c r="C10" t="s">
        <v>1158</v>
      </c>
      <c r="D10" t="s">
        <v>27</v>
      </c>
      <c r="E10" s="39" t="s">
        <v>19</v>
      </c>
      <c r="F10" s="39" t="s">
        <v>1151</v>
      </c>
      <c r="G10" t="s">
        <v>629</v>
      </c>
      <c r="H10" s="40">
        <f t="shared" si="3"/>
        <v>16</v>
      </c>
      <c r="I10" s="40">
        <f t="shared" si="4"/>
        <v>15</v>
      </c>
      <c r="J10" s="41">
        <f t="shared" si="5"/>
        <v>0.5161290322580645</v>
      </c>
      <c r="K10" s="20" t="s">
        <v>1307</v>
      </c>
      <c r="L10" s="20" t="s">
        <v>1307</v>
      </c>
      <c r="M10" s="20" t="s">
        <v>1307</v>
      </c>
      <c r="N10" s="20" t="s">
        <v>1307</v>
      </c>
      <c r="O10" s="20" t="s">
        <v>1307</v>
      </c>
      <c r="P10" s="20" t="s">
        <v>1307</v>
      </c>
      <c r="Q10" s="20" t="s">
        <v>1307</v>
      </c>
      <c r="R10" s="20" t="s">
        <v>1307</v>
      </c>
      <c r="S10" s="20" t="s">
        <v>1307</v>
      </c>
      <c r="T10" s="20" t="s">
        <v>1307</v>
      </c>
      <c r="U10" s="20" t="s">
        <v>1307</v>
      </c>
      <c r="V10" s="20" t="s">
        <v>1307</v>
      </c>
      <c r="W10" s="20" t="s">
        <v>1307</v>
      </c>
      <c r="X10" s="20" t="s">
        <v>1307</v>
      </c>
      <c r="Y10" s="20" t="s">
        <v>1307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" hidden="1" thickBot="1" x14ac:dyDescent="0.35">
      <c r="A11" t="s">
        <v>26</v>
      </c>
      <c r="B11" t="s">
        <v>37</v>
      </c>
      <c r="C11" t="s">
        <v>1158</v>
      </c>
      <c r="D11" t="s">
        <v>38</v>
      </c>
      <c r="E11" s="39" t="s">
        <v>15</v>
      </c>
      <c r="F11" s="39" t="s">
        <v>1151</v>
      </c>
      <c r="G11" t="s">
        <v>631</v>
      </c>
      <c r="H11" s="40">
        <f t="shared" si="3"/>
        <v>16</v>
      </c>
      <c r="I11" s="40">
        <f>COUNTIF(K11:AL11,"APAGADO")</f>
        <v>15</v>
      </c>
      <c r="J11" s="41">
        <f>(H11)/(I11+H11)</f>
        <v>0.5161290322580645</v>
      </c>
      <c r="K11" s="20" t="s">
        <v>1307</v>
      </c>
      <c r="L11" s="20" t="s">
        <v>1307</v>
      </c>
      <c r="M11" s="20" t="s">
        <v>1307</v>
      </c>
      <c r="N11" s="20" t="s">
        <v>1307</v>
      </c>
      <c r="O11" s="20" t="s">
        <v>1307</v>
      </c>
      <c r="P11" s="20" t="s">
        <v>1307</v>
      </c>
      <c r="Q11" s="20" t="s">
        <v>1307</v>
      </c>
      <c r="R11" s="20" t="s">
        <v>1307</v>
      </c>
      <c r="S11" s="20" t="s">
        <v>1307</v>
      </c>
      <c r="T11" s="20" t="s">
        <v>1307</v>
      </c>
      <c r="U11" s="20" t="s">
        <v>1307</v>
      </c>
      <c r="V11" s="20" t="s">
        <v>1307</v>
      </c>
      <c r="W11" s="20" t="s">
        <v>1307</v>
      </c>
      <c r="X11" s="20" t="s">
        <v>1307</v>
      </c>
      <c r="Y11" s="20" t="s">
        <v>1307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" hidden="1" thickBot="1" x14ac:dyDescent="0.35">
      <c r="A12" t="s">
        <v>26</v>
      </c>
      <c r="B12" t="s">
        <v>1006</v>
      </c>
      <c r="C12" t="s">
        <v>1158</v>
      </c>
      <c r="D12" t="s">
        <v>39</v>
      </c>
      <c r="E12" s="39" t="s">
        <v>15</v>
      </c>
      <c r="F12" s="39" t="s">
        <v>28</v>
      </c>
      <c r="G12" t="s">
        <v>632</v>
      </c>
      <c r="H12" s="40">
        <f t="shared" si="3"/>
        <v>16</v>
      </c>
      <c r="I12" s="40">
        <f t="shared" si="4"/>
        <v>15</v>
      </c>
      <c r="J12" s="41">
        <f t="shared" si="5"/>
        <v>0.5161290322580645</v>
      </c>
      <c r="K12" s="20" t="s">
        <v>1307</v>
      </c>
      <c r="L12" s="20" t="s">
        <v>1307</v>
      </c>
      <c r="M12" s="20" t="s">
        <v>1307</v>
      </c>
      <c r="N12" s="20" t="s">
        <v>1307</v>
      </c>
      <c r="O12" s="20" t="s">
        <v>1307</v>
      </c>
      <c r="P12" s="20" t="s">
        <v>1307</v>
      </c>
      <c r="Q12" s="20" t="s">
        <v>1307</v>
      </c>
      <c r="R12" s="20" t="s">
        <v>1307</v>
      </c>
      <c r="S12" s="20" t="s">
        <v>1307</v>
      </c>
      <c r="T12" s="20" t="s">
        <v>1307</v>
      </c>
      <c r="U12" s="20" t="s">
        <v>1307</v>
      </c>
      <c r="V12" s="20" t="s">
        <v>1307</v>
      </c>
      <c r="W12" s="20" t="s">
        <v>1307</v>
      </c>
      <c r="X12" s="20" t="s">
        <v>1307</v>
      </c>
      <c r="Y12" s="20" t="s">
        <v>1307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" hidden="1" thickBot="1" x14ac:dyDescent="0.35">
      <c r="A13" t="s">
        <v>26</v>
      </c>
      <c r="B13" t="s">
        <v>1007</v>
      </c>
      <c r="C13" t="s">
        <v>1158</v>
      </c>
      <c r="D13" t="s">
        <v>40</v>
      </c>
      <c r="E13" s="39" t="s">
        <v>15</v>
      </c>
      <c r="F13" s="39" t="s">
        <v>28</v>
      </c>
      <c r="G13" t="s">
        <v>633</v>
      </c>
      <c r="H13" s="40">
        <f t="shared" si="3"/>
        <v>16</v>
      </c>
      <c r="I13" s="40">
        <f t="shared" si="4"/>
        <v>15</v>
      </c>
      <c r="J13" s="41">
        <f t="shared" si="5"/>
        <v>0.5161290322580645</v>
      </c>
      <c r="K13" s="20" t="s">
        <v>1307</v>
      </c>
      <c r="L13" s="20" t="s">
        <v>1307</v>
      </c>
      <c r="M13" s="20" t="s">
        <v>1307</v>
      </c>
      <c r="N13" s="20" t="s">
        <v>1307</v>
      </c>
      <c r="O13" s="20" t="s">
        <v>1307</v>
      </c>
      <c r="P13" s="20" t="s">
        <v>1307</v>
      </c>
      <c r="Q13" s="20" t="s">
        <v>1307</v>
      </c>
      <c r="R13" s="20" t="s">
        <v>1307</v>
      </c>
      <c r="S13" s="20" t="s">
        <v>1307</v>
      </c>
      <c r="T13" s="20" t="s">
        <v>1307</v>
      </c>
      <c r="U13" s="20" t="s">
        <v>1307</v>
      </c>
      <c r="V13" s="20" t="s">
        <v>1307</v>
      </c>
      <c r="W13" s="20" t="s">
        <v>1307</v>
      </c>
      <c r="X13" s="20" t="s">
        <v>1307</v>
      </c>
      <c r="Y13" s="20" t="s">
        <v>1307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" hidden="1" thickBot="1" x14ac:dyDescent="0.35">
      <c r="A14" t="s">
        <v>26</v>
      </c>
      <c r="B14" t="s">
        <v>1008</v>
      </c>
      <c r="C14" t="s">
        <v>1158</v>
      </c>
      <c r="D14" t="s">
        <v>1009</v>
      </c>
      <c r="E14" s="39" t="s">
        <v>19</v>
      </c>
      <c r="F14" s="39" t="s">
        <v>20</v>
      </c>
      <c r="G14"/>
      <c r="H14" s="40">
        <f t="shared" si="3"/>
        <v>16</v>
      </c>
      <c r="I14" s="40">
        <f t="shared" si="4"/>
        <v>15</v>
      </c>
      <c r="J14" s="41">
        <f t="shared" si="5"/>
        <v>0.5161290322580645</v>
      </c>
      <c r="K14" s="20" t="s">
        <v>1307</v>
      </c>
      <c r="L14" s="20" t="s">
        <v>1307</v>
      </c>
      <c r="M14" s="20" t="s">
        <v>1307</v>
      </c>
      <c r="N14" s="20" t="s">
        <v>1307</v>
      </c>
      <c r="O14" s="20" t="s">
        <v>1307</v>
      </c>
      <c r="P14" s="20" t="s">
        <v>1307</v>
      </c>
      <c r="Q14" s="20" t="s">
        <v>1307</v>
      </c>
      <c r="R14" s="20" t="s">
        <v>1307</v>
      </c>
      <c r="S14" s="20" t="s">
        <v>1307</v>
      </c>
      <c r="T14" s="20" t="s">
        <v>1307</v>
      </c>
      <c r="U14" s="20" t="s">
        <v>1307</v>
      </c>
      <c r="V14" s="20" t="s">
        <v>1307</v>
      </c>
      <c r="W14" s="20" t="s">
        <v>1307</v>
      </c>
      <c r="X14" s="20" t="s">
        <v>1307</v>
      </c>
      <c r="Y14" s="20" t="s">
        <v>1307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" hidden="1" thickBot="1" x14ac:dyDescent="0.35">
      <c r="A15" t="s">
        <v>41</v>
      </c>
      <c r="B15" t="s">
        <v>1010</v>
      </c>
      <c r="C15" t="s">
        <v>1159</v>
      </c>
      <c r="D15" t="s">
        <v>42</v>
      </c>
      <c r="E15" s="39" t="s">
        <v>19</v>
      </c>
      <c r="F15" s="39" t="s">
        <v>1150</v>
      </c>
      <c r="G15" t="s">
        <v>634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" thickBot="1" x14ac:dyDescent="0.35">
      <c r="A16" t="s">
        <v>43</v>
      </c>
      <c r="B16" t="s">
        <v>1011</v>
      </c>
      <c r="C16" t="s">
        <v>1158</v>
      </c>
      <c r="D16" t="s">
        <v>44</v>
      </c>
      <c r="E16" s="39" t="s">
        <v>15</v>
      </c>
      <c r="F16" s="39" t="s">
        <v>1150</v>
      </c>
      <c r="G16" t="s">
        <v>635</v>
      </c>
      <c r="H16" s="40">
        <f t="shared" si="3"/>
        <v>13</v>
      </c>
      <c r="I16" s="40">
        <f t="shared" si="4"/>
        <v>17</v>
      </c>
      <c r="J16" s="41">
        <f t="shared" si="5"/>
        <v>0.43333333333333335</v>
      </c>
      <c r="K16" s="20" t="s">
        <v>1307</v>
      </c>
      <c r="L16" s="20" t="s">
        <v>1307</v>
      </c>
      <c r="M16" s="20" t="s">
        <v>1307</v>
      </c>
      <c r="N16" s="20"/>
      <c r="O16" s="20" t="s">
        <v>1307</v>
      </c>
      <c r="P16" s="20" t="s">
        <v>1307</v>
      </c>
      <c r="Q16" s="20" t="s">
        <v>1307</v>
      </c>
      <c r="R16" s="20" t="s">
        <v>1307</v>
      </c>
      <c r="S16" s="20" t="s">
        <v>1307</v>
      </c>
      <c r="T16" s="20" t="s">
        <v>1307</v>
      </c>
      <c r="U16" s="20" t="s">
        <v>1307</v>
      </c>
      <c r="V16" s="20" t="s">
        <v>1305</v>
      </c>
      <c r="W16" s="20" t="s">
        <v>1307</v>
      </c>
      <c r="X16" s="20" t="s">
        <v>1307</v>
      </c>
      <c r="Y16" s="20" t="s">
        <v>1307</v>
      </c>
      <c r="Z16" s="20" t="s">
        <v>1307</v>
      </c>
      <c r="AA16" s="20" t="s">
        <v>1307</v>
      </c>
      <c r="AB16" s="20" t="s">
        <v>1307</v>
      </c>
      <c r="AC16" s="20" t="s">
        <v>1307</v>
      </c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" hidden="1" thickBot="1" x14ac:dyDescent="0.35">
      <c r="A17" t="s">
        <v>1291</v>
      </c>
      <c r="B17" s="39" t="s">
        <v>1275</v>
      </c>
      <c r="C17" s="39" t="s">
        <v>1159</v>
      </c>
      <c r="D17" t="s">
        <v>1259</v>
      </c>
      <c r="E17" s="39" t="s">
        <v>73</v>
      </c>
      <c r="F17" s="39" t="s">
        <v>20</v>
      </c>
      <c r="G17" s="21" t="s">
        <v>1262</v>
      </c>
      <c r="H17" s="40">
        <f t="shared" si="3"/>
        <v>23</v>
      </c>
      <c r="I17" s="40">
        <f>COUNTIF(K17:AL17,"APAGADO")</f>
        <v>8</v>
      </c>
      <c r="J17" s="41">
        <f>(H17)/(I17+H17)</f>
        <v>0.74193548387096775</v>
      </c>
      <c r="K17" s="20" t="s">
        <v>1307</v>
      </c>
      <c r="L17" s="20" t="s">
        <v>1307</v>
      </c>
      <c r="M17" s="20" t="s">
        <v>1307</v>
      </c>
      <c r="N17" s="20" t="s">
        <v>1307</v>
      </c>
      <c r="O17" s="20" t="s">
        <v>1307</v>
      </c>
      <c r="P17" s="20"/>
      <c r="Q17" s="20"/>
      <c r="R17" s="20"/>
      <c r="S17" s="20"/>
      <c r="T17" s="20"/>
      <c r="U17" s="20"/>
      <c r="V17" s="20"/>
      <c r="W17" s="20"/>
      <c r="X17" s="20"/>
      <c r="Y17" s="20" t="s">
        <v>1307</v>
      </c>
      <c r="Z17" s="20" t="s">
        <v>1307</v>
      </c>
      <c r="AA17" s="20" t="s">
        <v>1307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" hidden="1" thickBot="1" x14ac:dyDescent="0.35">
      <c r="A18" t="s">
        <v>1291</v>
      </c>
      <c r="B18" s="39" t="s">
        <v>1276</v>
      </c>
      <c r="C18" s="39" t="s">
        <v>1159</v>
      </c>
      <c r="D18" t="s">
        <v>1259</v>
      </c>
      <c r="E18" s="39" t="s">
        <v>73</v>
      </c>
      <c r="F18" s="39" t="s">
        <v>20</v>
      </c>
      <c r="G18" s="21" t="s">
        <v>1263</v>
      </c>
      <c r="H18" s="40">
        <f t="shared" si="3"/>
        <v>23</v>
      </c>
      <c r="I18" s="40">
        <f>COUNTIF(K18:AL18,"APAGADO")</f>
        <v>8</v>
      </c>
      <c r="J18" s="41">
        <f>(H18)/(I18+H18)</f>
        <v>0.74193548387096775</v>
      </c>
      <c r="K18" s="20" t="s">
        <v>1307</v>
      </c>
      <c r="L18" s="20" t="s">
        <v>1307</v>
      </c>
      <c r="M18" s="20" t="s">
        <v>1307</v>
      </c>
      <c r="N18" s="20" t="s">
        <v>1307</v>
      </c>
      <c r="O18" s="20" t="s">
        <v>1307</v>
      </c>
      <c r="P18" s="20"/>
      <c r="Q18" s="20"/>
      <c r="R18" s="20"/>
      <c r="S18" s="20"/>
      <c r="T18" s="20"/>
      <c r="U18" s="20"/>
      <c r="V18" s="20"/>
      <c r="W18" s="20"/>
      <c r="X18" s="20"/>
      <c r="Y18" s="20" t="s">
        <v>1307</v>
      </c>
      <c r="Z18" s="20" t="s">
        <v>1307</v>
      </c>
      <c r="AA18" s="20" t="s">
        <v>1307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" hidden="1" thickBot="1" x14ac:dyDescent="0.35">
      <c r="A19" t="s">
        <v>1291</v>
      </c>
      <c r="B19" s="39" t="s">
        <v>1274</v>
      </c>
      <c r="C19" s="39" t="s">
        <v>1159</v>
      </c>
      <c r="D19" t="s">
        <v>1258</v>
      </c>
      <c r="E19" s="39" t="s">
        <v>73</v>
      </c>
      <c r="F19" s="39" t="s">
        <v>20</v>
      </c>
      <c r="G19" s="21" t="s">
        <v>1261</v>
      </c>
      <c r="H19" s="40">
        <f t="shared" si="3"/>
        <v>23</v>
      </c>
      <c r="I19" s="40">
        <f t="shared" ref="I19:I22" si="6">COUNTIF(K19:AL19,"APAGADO")</f>
        <v>8</v>
      </c>
      <c r="J19" s="41">
        <f t="shared" ref="J19:J22" si="7">(H19)/(I19+H19)</f>
        <v>0.74193548387096775</v>
      </c>
      <c r="K19" s="20" t="s">
        <v>1307</v>
      </c>
      <c r="L19" s="20" t="s">
        <v>1307</v>
      </c>
      <c r="M19" s="20" t="s">
        <v>1307</v>
      </c>
      <c r="N19" s="20" t="s">
        <v>1307</v>
      </c>
      <c r="O19" s="20" t="s">
        <v>1307</v>
      </c>
      <c r="P19" s="20"/>
      <c r="Q19" s="20"/>
      <c r="R19" s="20"/>
      <c r="S19" s="20"/>
      <c r="T19" s="20"/>
      <c r="U19" s="20"/>
      <c r="V19" s="20"/>
      <c r="W19" s="20"/>
      <c r="X19" s="20"/>
      <c r="Y19" s="20" t="s">
        <v>1307</v>
      </c>
      <c r="Z19" s="20" t="s">
        <v>1307</v>
      </c>
      <c r="AA19" s="20" t="s">
        <v>1307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" hidden="1" thickBot="1" x14ac:dyDescent="0.35">
      <c r="A20" t="s">
        <v>1291</v>
      </c>
      <c r="B20" s="39" t="s">
        <v>1273</v>
      </c>
      <c r="C20" s="39" t="s">
        <v>1159</v>
      </c>
      <c r="D20" t="s">
        <v>1258</v>
      </c>
      <c r="E20" s="39" t="s">
        <v>73</v>
      </c>
      <c r="F20" s="39" t="s">
        <v>20</v>
      </c>
      <c r="G20" s="21" t="s">
        <v>1268</v>
      </c>
      <c r="H20" s="40">
        <f t="shared" si="3"/>
        <v>23</v>
      </c>
      <c r="I20" s="40">
        <f t="shared" si="6"/>
        <v>8</v>
      </c>
      <c r="J20" s="41">
        <f t="shared" si="7"/>
        <v>0.74193548387096775</v>
      </c>
      <c r="K20" s="20" t="s">
        <v>1307</v>
      </c>
      <c r="L20" s="20" t="s">
        <v>1307</v>
      </c>
      <c r="M20" s="20" t="s">
        <v>1307</v>
      </c>
      <c r="N20" s="20" t="s">
        <v>1307</v>
      </c>
      <c r="O20" s="20" t="s">
        <v>1307</v>
      </c>
      <c r="P20" s="20"/>
      <c r="Q20" s="20"/>
      <c r="R20" s="20"/>
      <c r="S20" s="20"/>
      <c r="T20" s="20"/>
      <c r="U20" s="20"/>
      <c r="V20" s="20"/>
      <c r="W20" s="20"/>
      <c r="X20" s="20"/>
      <c r="Y20" s="20" t="s">
        <v>1307</v>
      </c>
      <c r="Z20" s="20" t="s">
        <v>1307</v>
      </c>
      <c r="AA20" s="20" t="s">
        <v>1307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" hidden="1" thickBot="1" x14ac:dyDescent="0.35">
      <c r="A21" t="s">
        <v>1291</v>
      </c>
      <c r="B21" s="39" t="s">
        <v>1277</v>
      </c>
      <c r="C21" s="39" t="s">
        <v>1159</v>
      </c>
      <c r="D21" t="s">
        <v>1260</v>
      </c>
      <c r="E21" s="39" t="s">
        <v>73</v>
      </c>
      <c r="F21" s="39" t="s">
        <v>20</v>
      </c>
      <c r="G21" s="21" t="s">
        <v>1264</v>
      </c>
      <c r="H21" s="40">
        <f t="shared" si="3"/>
        <v>25</v>
      </c>
      <c r="I21" s="40">
        <f t="shared" si="6"/>
        <v>6</v>
      </c>
      <c r="J21" s="41">
        <f t="shared" si="7"/>
        <v>0.80645161290322576</v>
      </c>
      <c r="K21" s="20" t="s">
        <v>1307</v>
      </c>
      <c r="L21" s="20" t="s">
        <v>1307</v>
      </c>
      <c r="M21" s="20" t="s">
        <v>1307</v>
      </c>
      <c r="N21" s="20" t="s">
        <v>1307</v>
      </c>
      <c r="O21" s="20" t="s">
        <v>1307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 t="s">
        <v>1307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" hidden="1" thickBot="1" x14ac:dyDescent="0.35">
      <c r="A22" t="s">
        <v>1291</v>
      </c>
      <c r="B22" s="39" t="s">
        <v>1278</v>
      </c>
      <c r="C22" s="39" t="s">
        <v>1159</v>
      </c>
      <c r="D22" t="s">
        <v>1260</v>
      </c>
      <c r="E22" s="39" t="s">
        <v>73</v>
      </c>
      <c r="F22" s="39" t="s">
        <v>20</v>
      </c>
      <c r="G22" s="21" t="s">
        <v>1265</v>
      </c>
      <c r="H22" s="40">
        <f t="shared" si="3"/>
        <v>25</v>
      </c>
      <c r="I22" s="40">
        <f t="shared" si="6"/>
        <v>6</v>
      </c>
      <c r="J22" s="41">
        <f t="shared" si="7"/>
        <v>0.80645161290322576</v>
      </c>
      <c r="K22" s="20" t="s">
        <v>1307</v>
      </c>
      <c r="L22" s="20" t="s">
        <v>1307</v>
      </c>
      <c r="M22" s="20" t="s">
        <v>1307</v>
      </c>
      <c r="N22" s="20" t="s">
        <v>1307</v>
      </c>
      <c r="O22" s="20" t="s">
        <v>1307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 t="s">
        <v>1307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" hidden="1" thickBot="1" x14ac:dyDescent="0.35">
      <c r="A23" t="s">
        <v>52</v>
      </c>
      <c r="B23" t="s">
        <v>71</v>
      </c>
      <c r="C23" t="s">
        <v>1158</v>
      </c>
      <c r="D23" t="s">
        <v>72</v>
      </c>
      <c r="E23" s="39" t="s">
        <v>73</v>
      </c>
      <c r="F23" s="39" t="s">
        <v>28</v>
      </c>
      <c r="G23" t="s">
        <v>636</v>
      </c>
      <c r="H23" s="40">
        <f t="shared" si="3"/>
        <v>30</v>
      </c>
      <c r="I23" s="40">
        <f t="shared" si="4"/>
        <v>1</v>
      </c>
      <c r="J23" s="41">
        <f t="shared" si="5"/>
        <v>0.967741935483871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 t="s">
        <v>1307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" hidden="1" thickBot="1" x14ac:dyDescent="0.35">
      <c r="A24" t="s">
        <v>52</v>
      </c>
      <c r="B24" t="s">
        <v>74</v>
      </c>
      <c r="C24" t="s">
        <v>1158</v>
      </c>
      <c r="D24" t="s">
        <v>75</v>
      </c>
      <c r="E24" s="39" t="s">
        <v>73</v>
      </c>
      <c r="F24" s="39" t="s">
        <v>28</v>
      </c>
      <c r="G24" t="s">
        <v>630</v>
      </c>
      <c r="H24" s="40">
        <f t="shared" si="3"/>
        <v>29</v>
      </c>
      <c r="I24" s="40">
        <f t="shared" si="4"/>
        <v>2</v>
      </c>
      <c r="J24" s="41">
        <f t="shared" si="5"/>
        <v>0.93548387096774188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 t="s">
        <v>1307</v>
      </c>
      <c r="Z24" s="20" t="s">
        <v>1307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" hidden="1" thickBot="1" x14ac:dyDescent="0.35">
      <c r="A25" t="s">
        <v>52</v>
      </c>
      <c r="B25" t="s">
        <v>76</v>
      </c>
      <c r="C25" t="s">
        <v>1158</v>
      </c>
      <c r="D25" t="s">
        <v>77</v>
      </c>
      <c r="E25" s="39" t="s">
        <v>19</v>
      </c>
      <c r="F25" s="39" t="s">
        <v>28</v>
      </c>
      <c r="G25" t="s">
        <v>637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" hidden="1" thickBot="1" x14ac:dyDescent="0.35">
      <c r="A26" t="s">
        <v>52</v>
      </c>
      <c r="B26" t="s">
        <v>78</v>
      </c>
      <c r="C26" t="s">
        <v>1158</v>
      </c>
      <c r="D26" t="s">
        <v>79</v>
      </c>
      <c r="E26" s="39" t="s">
        <v>19</v>
      </c>
      <c r="F26" s="39" t="s">
        <v>28</v>
      </c>
      <c r="G26" t="s">
        <v>638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" hidden="1" thickBot="1" x14ac:dyDescent="0.35">
      <c r="A27" t="s">
        <v>52</v>
      </c>
      <c r="B27" t="s">
        <v>1012</v>
      </c>
      <c r="C27" t="s">
        <v>1158</v>
      </c>
      <c r="D27" t="s">
        <v>1178</v>
      </c>
      <c r="E27" s="39" t="s">
        <v>15</v>
      </c>
      <c r="F27" s="39" t="s">
        <v>28</v>
      </c>
      <c r="G27" t="s">
        <v>639</v>
      </c>
      <c r="H27" s="40">
        <f t="shared" si="3"/>
        <v>29</v>
      </c>
      <c r="I27" s="40">
        <f>COUNTIF(K27:AL27,"APAGADO")</f>
        <v>2</v>
      </c>
      <c r="J27" s="41">
        <f>(H27)/(I27+H27)</f>
        <v>0.93548387096774188</v>
      </c>
      <c r="K27" s="20" t="s">
        <v>1307</v>
      </c>
      <c r="L27" s="20" t="s">
        <v>1307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" hidden="1" thickBot="1" x14ac:dyDescent="0.35">
      <c r="A28" t="s">
        <v>52</v>
      </c>
      <c r="B28" t="s">
        <v>80</v>
      </c>
      <c r="C28" t="s">
        <v>1158</v>
      </c>
      <c r="D28" t="s">
        <v>81</v>
      </c>
      <c r="E28" s="39" t="s">
        <v>73</v>
      </c>
      <c r="F28" s="39" t="s">
        <v>28</v>
      </c>
      <c r="G28" t="s">
        <v>640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" hidden="1" thickBot="1" x14ac:dyDescent="0.35">
      <c r="A29" t="s">
        <v>52</v>
      </c>
      <c r="B29" t="s">
        <v>82</v>
      </c>
      <c r="C29" t="s">
        <v>1158</v>
      </c>
      <c r="D29" t="s">
        <v>1174</v>
      </c>
      <c r="E29" s="39" t="s">
        <v>15</v>
      </c>
      <c r="F29" s="39" t="s">
        <v>28</v>
      </c>
      <c r="G29" t="s">
        <v>641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" hidden="1" thickBot="1" x14ac:dyDescent="0.35">
      <c r="A30" t="s">
        <v>52</v>
      </c>
      <c r="B30" t="s">
        <v>83</v>
      </c>
      <c r="C30" t="s">
        <v>1158</v>
      </c>
      <c r="D30" t="s">
        <v>1173</v>
      </c>
      <c r="E30" s="39" t="s">
        <v>19</v>
      </c>
      <c r="F30" s="39" t="s">
        <v>28</v>
      </c>
      <c r="G30" t="s">
        <v>642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" hidden="1" thickBot="1" x14ac:dyDescent="0.35">
      <c r="A31" t="s">
        <v>52</v>
      </c>
      <c r="B31" t="s">
        <v>84</v>
      </c>
      <c r="C31" t="s">
        <v>1158</v>
      </c>
      <c r="D31" t="s">
        <v>85</v>
      </c>
      <c r="E31" s="39" t="s">
        <v>19</v>
      </c>
      <c r="F31" s="39" t="s">
        <v>28</v>
      </c>
      <c r="G31" t="s">
        <v>643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" hidden="1" thickBot="1" x14ac:dyDescent="0.35">
      <c r="A32" t="s">
        <v>52</v>
      </c>
      <c r="B32" t="s">
        <v>86</v>
      </c>
      <c r="C32" t="s">
        <v>1158</v>
      </c>
      <c r="D32" t="s">
        <v>1172</v>
      </c>
      <c r="E32" s="39" t="s">
        <v>19</v>
      </c>
      <c r="F32" s="39" t="s">
        <v>28</v>
      </c>
      <c r="G32" t="s">
        <v>644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" hidden="1" thickBot="1" x14ac:dyDescent="0.35">
      <c r="A33" t="s">
        <v>52</v>
      </c>
      <c r="B33" t="s">
        <v>87</v>
      </c>
      <c r="C33" t="s">
        <v>1158</v>
      </c>
      <c r="D33" t="s">
        <v>88</v>
      </c>
      <c r="E33" s="39" t="s">
        <v>19</v>
      </c>
      <c r="F33" s="39" t="s">
        <v>28</v>
      </c>
      <c r="G33" t="s">
        <v>645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" hidden="1" thickBot="1" x14ac:dyDescent="0.35">
      <c r="A34" t="s">
        <v>52</v>
      </c>
      <c r="B34" t="s">
        <v>1013</v>
      </c>
      <c r="C34" t="s">
        <v>1158</v>
      </c>
      <c r="D34" t="s">
        <v>89</v>
      </c>
      <c r="E34" s="39" t="s">
        <v>19</v>
      </c>
      <c r="F34" s="39" t="s">
        <v>28</v>
      </c>
      <c r="G34" t="s">
        <v>646</v>
      </c>
      <c r="H34" s="40">
        <f t="shared" si="3"/>
        <v>14</v>
      </c>
      <c r="I34" s="40">
        <f>COUNTIF(K34:AL34,"APAGADO")</f>
        <v>17</v>
      </c>
      <c r="J34" s="41">
        <f>(H34)/(I34+H34)</f>
        <v>0.45161290322580644</v>
      </c>
      <c r="K34" s="20" t="s">
        <v>1307</v>
      </c>
      <c r="L34" s="20" t="s">
        <v>1307</v>
      </c>
      <c r="M34" s="20" t="s">
        <v>1307</v>
      </c>
      <c r="N34" s="20" t="s">
        <v>1307</v>
      </c>
      <c r="O34" s="20" t="s">
        <v>1307</v>
      </c>
      <c r="P34" s="20" t="s">
        <v>1307</v>
      </c>
      <c r="Q34" s="20" t="s">
        <v>1307</v>
      </c>
      <c r="R34" s="20" t="s">
        <v>1307</v>
      </c>
      <c r="S34" s="20" t="s">
        <v>1307</v>
      </c>
      <c r="T34" s="20" t="s">
        <v>1307</v>
      </c>
      <c r="U34" s="20" t="s">
        <v>1307</v>
      </c>
      <c r="V34" s="20" t="s">
        <v>1307</v>
      </c>
      <c r="W34" s="20" t="s">
        <v>1307</v>
      </c>
      <c r="X34" s="20" t="s">
        <v>1307</v>
      </c>
      <c r="Y34" s="20" t="s">
        <v>1307</v>
      </c>
      <c r="Z34" s="20" t="s">
        <v>1307</v>
      </c>
      <c r="AA34" s="20" t="s">
        <v>1307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" hidden="1" thickBot="1" x14ac:dyDescent="0.35">
      <c r="A35" t="s">
        <v>52</v>
      </c>
      <c r="B35" t="s">
        <v>1014</v>
      </c>
      <c r="C35" t="s">
        <v>1158</v>
      </c>
      <c r="D35" t="s">
        <v>90</v>
      </c>
      <c r="E35" s="39" t="s">
        <v>15</v>
      </c>
      <c r="F35" s="39" t="s">
        <v>28</v>
      </c>
      <c r="G35" t="s">
        <v>647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" hidden="1" thickBot="1" x14ac:dyDescent="0.35">
      <c r="A36" t="s">
        <v>52</v>
      </c>
      <c r="B36" t="s">
        <v>91</v>
      </c>
      <c r="C36" t="s">
        <v>1158</v>
      </c>
      <c r="D36" t="s">
        <v>1176</v>
      </c>
      <c r="E36" s="39" t="s">
        <v>19</v>
      </c>
      <c r="F36" s="39" t="s">
        <v>28</v>
      </c>
      <c r="G36" t="s">
        <v>648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" hidden="1" thickBot="1" x14ac:dyDescent="0.35">
      <c r="A37" t="s">
        <v>52</v>
      </c>
      <c r="B37" t="s">
        <v>92</v>
      </c>
      <c r="C37" t="s">
        <v>1158</v>
      </c>
      <c r="D37" t="s">
        <v>93</v>
      </c>
      <c r="E37" s="39" t="s">
        <v>19</v>
      </c>
      <c r="F37" s="39" t="s">
        <v>28</v>
      </c>
      <c r="G37" t="s">
        <v>649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" hidden="1" thickBot="1" x14ac:dyDescent="0.35">
      <c r="A38" t="s">
        <v>52</v>
      </c>
      <c r="B38" t="s">
        <v>94</v>
      </c>
      <c r="C38" t="s">
        <v>1158</v>
      </c>
      <c r="D38" t="s">
        <v>95</v>
      </c>
      <c r="E38" s="39" t="s">
        <v>73</v>
      </c>
      <c r="F38" s="39" t="s">
        <v>28</v>
      </c>
      <c r="G38" t="s">
        <v>650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" hidden="1" thickBot="1" x14ac:dyDescent="0.35">
      <c r="A39" t="s">
        <v>52</v>
      </c>
      <c r="B39" t="s">
        <v>96</v>
      </c>
      <c r="C39" t="s">
        <v>1158</v>
      </c>
      <c r="D39" t="s">
        <v>97</v>
      </c>
      <c r="E39" s="39" t="s">
        <v>19</v>
      </c>
      <c r="F39" s="39" t="s">
        <v>1151</v>
      </c>
      <c r="G39" t="s">
        <v>651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" thickBot="1" x14ac:dyDescent="0.35">
      <c r="A40" t="s">
        <v>52</v>
      </c>
      <c r="B40" t="s">
        <v>98</v>
      </c>
      <c r="C40" t="s">
        <v>1158</v>
      </c>
      <c r="D40" t="s">
        <v>99</v>
      </c>
      <c r="E40" s="39" t="s">
        <v>73</v>
      </c>
      <c r="F40" s="39" t="s">
        <v>28</v>
      </c>
      <c r="G40" t="s">
        <v>652</v>
      </c>
      <c r="H40" s="40">
        <f t="shared" si="3"/>
        <v>12</v>
      </c>
      <c r="I40" s="40">
        <f t="shared" si="4"/>
        <v>19</v>
      </c>
      <c r="J40" s="41">
        <f t="shared" si="5"/>
        <v>0.38709677419354838</v>
      </c>
      <c r="K40" s="20" t="s">
        <v>1307</v>
      </c>
      <c r="L40" s="20" t="s">
        <v>1307</v>
      </c>
      <c r="M40" s="20" t="s">
        <v>1307</v>
      </c>
      <c r="N40" s="20" t="s">
        <v>1307</v>
      </c>
      <c r="O40" s="20" t="s">
        <v>1307</v>
      </c>
      <c r="P40" s="20" t="s">
        <v>1307</v>
      </c>
      <c r="Q40" s="20" t="s">
        <v>1307</v>
      </c>
      <c r="R40" s="20" t="s">
        <v>1307</v>
      </c>
      <c r="S40" s="20" t="s">
        <v>1307</v>
      </c>
      <c r="T40" s="20" t="s">
        <v>1307</v>
      </c>
      <c r="U40" s="20" t="s">
        <v>1307</v>
      </c>
      <c r="V40" s="20" t="s">
        <v>1307</v>
      </c>
      <c r="W40" s="20" t="s">
        <v>1307</v>
      </c>
      <c r="X40" s="20" t="s">
        <v>1307</v>
      </c>
      <c r="Y40" s="20" t="s">
        <v>1307</v>
      </c>
      <c r="Z40" s="20" t="s">
        <v>1307</v>
      </c>
      <c r="AA40" s="20" t="s">
        <v>1307</v>
      </c>
      <c r="AB40" s="20" t="s">
        <v>1307</v>
      </c>
      <c r="AC40" s="20" t="s">
        <v>1307</v>
      </c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" hidden="1" thickBot="1" x14ac:dyDescent="0.35">
      <c r="A41" t="s">
        <v>52</v>
      </c>
      <c r="B41" t="s">
        <v>100</v>
      </c>
      <c r="C41" t="s">
        <v>1158</v>
      </c>
      <c r="D41" t="s">
        <v>85</v>
      </c>
      <c r="E41" s="39" t="s">
        <v>73</v>
      </c>
      <c r="F41" s="39" t="s">
        <v>28</v>
      </c>
      <c r="G41" t="s">
        <v>653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" hidden="1" thickBot="1" x14ac:dyDescent="0.35">
      <c r="A42" t="s">
        <v>101</v>
      </c>
      <c r="B42" t="s">
        <v>102</v>
      </c>
      <c r="C42" t="s">
        <v>1158</v>
      </c>
      <c r="D42" t="s">
        <v>103</v>
      </c>
      <c r="E42" s="39" t="s">
        <v>19</v>
      </c>
      <c r="F42" s="39" t="s">
        <v>28</v>
      </c>
      <c r="G42" t="s">
        <v>654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" hidden="1" thickBot="1" x14ac:dyDescent="0.35">
      <c r="A43" t="s">
        <v>52</v>
      </c>
      <c r="B43" t="s">
        <v>104</v>
      </c>
      <c r="C43" t="s">
        <v>1158</v>
      </c>
      <c r="D43" t="s">
        <v>105</v>
      </c>
      <c r="E43" s="39" t="s">
        <v>73</v>
      </c>
      <c r="F43" s="39" t="s">
        <v>20</v>
      </c>
      <c r="G43" t="s">
        <v>655</v>
      </c>
      <c r="H43" s="40">
        <f t="shared" si="3"/>
        <v>31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" hidden="1" thickBot="1" x14ac:dyDescent="0.35">
      <c r="A44" t="s">
        <v>52</v>
      </c>
      <c r="B44" t="s">
        <v>106</v>
      </c>
      <c r="C44" t="s">
        <v>1158</v>
      </c>
      <c r="D44" t="s">
        <v>107</v>
      </c>
      <c r="E44" s="39" t="s">
        <v>19</v>
      </c>
      <c r="F44" s="39" t="s">
        <v>20</v>
      </c>
      <c r="G44" t="s">
        <v>656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" hidden="1" thickBot="1" x14ac:dyDescent="0.35">
      <c r="A45" t="s">
        <v>52</v>
      </c>
      <c r="B45" t="s">
        <v>108</v>
      </c>
      <c r="C45" t="s">
        <v>1158</v>
      </c>
      <c r="D45" t="s">
        <v>109</v>
      </c>
      <c r="E45" s="39" t="s">
        <v>19</v>
      </c>
      <c r="F45" s="39" t="s">
        <v>28</v>
      </c>
      <c r="G45" t="s">
        <v>657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" hidden="1" thickBot="1" x14ac:dyDescent="0.35">
      <c r="A46" t="s">
        <v>52</v>
      </c>
      <c r="B46" t="s">
        <v>110</v>
      </c>
      <c r="C46" t="s">
        <v>1158</v>
      </c>
      <c r="D46" t="s">
        <v>1177</v>
      </c>
      <c r="E46" s="39" t="s">
        <v>19</v>
      </c>
      <c r="F46" s="39" t="s">
        <v>28</v>
      </c>
      <c r="G46" t="s">
        <v>658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" hidden="1" thickBot="1" x14ac:dyDescent="0.35">
      <c r="A47" t="s">
        <v>52</v>
      </c>
      <c r="B47" t="s">
        <v>111</v>
      </c>
      <c r="C47" t="s">
        <v>1158</v>
      </c>
      <c r="D47" t="s">
        <v>112</v>
      </c>
      <c r="E47" s="39" t="s">
        <v>19</v>
      </c>
      <c r="F47" s="39" t="s">
        <v>28</v>
      </c>
      <c r="G47" t="s">
        <v>659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" thickBot="1" x14ac:dyDescent="0.35">
      <c r="A48" t="s">
        <v>52</v>
      </c>
      <c r="B48" t="s">
        <v>113</v>
      </c>
      <c r="C48" t="s">
        <v>1158</v>
      </c>
      <c r="D48" t="s">
        <v>1179</v>
      </c>
      <c r="E48" s="39" t="s">
        <v>19</v>
      </c>
      <c r="F48" s="39" t="s">
        <v>28</v>
      </c>
      <c r="G48" t="s">
        <v>660</v>
      </c>
      <c r="H48" s="40">
        <f t="shared" si="3"/>
        <v>12</v>
      </c>
      <c r="I48" s="40">
        <f t="shared" si="4"/>
        <v>19</v>
      </c>
      <c r="J48" s="41">
        <f t="shared" si="5"/>
        <v>0.38709677419354838</v>
      </c>
      <c r="K48" s="20" t="s">
        <v>1307</v>
      </c>
      <c r="L48" s="20" t="s">
        <v>1307</v>
      </c>
      <c r="M48" s="20" t="s">
        <v>1307</v>
      </c>
      <c r="N48" s="20" t="s">
        <v>1307</v>
      </c>
      <c r="O48" s="20" t="s">
        <v>1307</v>
      </c>
      <c r="P48" s="20" t="s">
        <v>1307</v>
      </c>
      <c r="Q48" s="20" t="s">
        <v>1307</v>
      </c>
      <c r="R48" s="20" t="s">
        <v>1307</v>
      </c>
      <c r="S48" s="20" t="s">
        <v>1307</v>
      </c>
      <c r="T48" s="20" t="s">
        <v>1307</v>
      </c>
      <c r="U48" s="20" t="s">
        <v>1307</v>
      </c>
      <c r="V48" s="20" t="s">
        <v>1307</v>
      </c>
      <c r="W48" s="20" t="s">
        <v>1307</v>
      </c>
      <c r="X48" s="20" t="s">
        <v>1307</v>
      </c>
      <c r="Y48" s="20" t="s">
        <v>1307</v>
      </c>
      <c r="Z48" s="20" t="s">
        <v>1307</v>
      </c>
      <c r="AA48" s="20" t="s">
        <v>1307</v>
      </c>
      <c r="AB48" s="20" t="s">
        <v>1307</v>
      </c>
      <c r="AC48" s="20" t="s">
        <v>1307</v>
      </c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" hidden="1" thickBot="1" x14ac:dyDescent="0.35">
      <c r="A49" t="s">
        <v>52</v>
      </c>
      <c r="B49" t="s">
        <v>114</v>
      </c>
      <c r="C49" t="s">
        <v>1158</v>
      </c>
      <c r="D49" t="s">
        <v>1180</v>
      </c>
      <c r="E49" s="39" t="s">
        <v>19</v>
      </c>
      <c r="F49" s="39" t="s">
        <v>28</v>
      </c>
      <c r="G49" t="s">
        <v>661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" hidden="1" thickBot="1" x14ac:dyDescent="0.35">
      <c r="A50" t="s">
        <v>52</v>
      </c>
      <c r="B50" t="s">
        <v>115</v>
      </c>
      <c r="C50" t="s">
        <v>1158</v>
      </c>
      <c r="D50" t="s">
        <v>116</v>
      </c>
      <c r="E50" s="39" t="s">
        <v>19</v>
      </c>
      <c r="F50" s="39" t="s">
        <v>28</v>
      </c>
      <c r="G50" t="s">
        <v>662</v>
      </c>
      <c r="H50" s="40">
        <f t="shared" si="3"/>
        <v>15</v>
      </c>
      <c r="I50" s="40">
        <f t="shared" si="4"/>
        <v>16</v>
      </c>
      <c r="J50" s="41">
        <f t="shared" si="5"/>
        <v>0.4838709677419355</v>
      </c>
      <c r="K50" s="20" t="s">
        <v>1307</v>
      </c>
      <c r="L50" s="20" t="s">
        <v>1307</v>
      </c>
      <c r="M50" s="20" t="s">
        <v>1307</v>
      </c>
      <c r="N50" s="20" t="s">
        <v>1307</v>
      </c>
      <c r="O50" s="20" t="s">
        <v>1307</v>
      </c>
      <c r="P50" s="20" t="s">
        <v>1307</v>
      </c>
      <c r="Q50" s="20" t="s">
        <v>1307</v>
      </c>
      <c r="R50" s="20" t="s">
        <v>1307</v>
      </c>
      <c r="S50" s="20" t="s">
        <v>1307</v>
      </c>
      <c r="T50" s="20" t="s">
        <v>1307</v>
      </c>
      <c r="U50" s="20" t="s">
        <v>1307</v>
      </c>
      <c r="V50" s="20"/>
      <c r="W50" s="20" t="s">
        <v>1307</v>
      </c>
      <c r="X50" s="20" t="s">
        <v>1307</v>
      </c>
      <c r="Y50" s="20" t="s">
        <v>1307</v>
      </c>
      <c r="Z50" s="20" t="s">
        <v>1307</v>
      </c>
      <c r="AA50" s="20" t="s">
        <v>1307</v>
      </c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" hidden="1" thickBot="1" x14ac:dyDescent="0.35">
      <c r="A51" t="s">
        <v>52</v>
      </c>
      <c r="B51" t="s">
        <v>117</v>
      </c>
      <c r="C51" t="s">
        <v>1158</v>
      </c>
      <c r="D51" t="s">
        <v>118</v>
      </c>
      <c r="E51" s="39" t="s">
        <v>19</v>
      </c>
      <c r="F51" s="39" t="s">
        <v>28</v>
      </c>
      <c r="G51" t="s">
        <v>663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" hidden="1" thickBot="1" x14ac:dyDescent="0.35">
      <c r="A52" t="s">
        <v>52</v>
      </c>
      <c r="B52" t="s">
        <v>119</v>
      </c>
      <c r="C52" t="s">
        <v>1158</v>
      </c>
      <c r="D52" t="s">
        <v>120</v>
      </c>
      <c r="E52" s="39" t="s">
        <v>19</v>
      </c>
      <c r="F52" s="39" t="s">
        <v>28</v>
      </c>
      <c r="G52" t="s">
        <v>664</v>
      </c>
      <c r="H52" s="40">
        <f t="shared" si="3"/>
        <v>14</v>
      </c>
      <c r="I52" s="40">
        <f t="shared" si="4"/>
        <v>17</v>
      </c>
      <c r="J52" s="41">
        <f t="shared" si="5"/>
        <v>0.45161290322580644</v>
      </c>
      <c r="K52" s="20" t="s">
        <v>1307</v>
      </c>
      <c r="L52" s="20" t="s">
        <v>1307</v>
      </c>
      <c r="M52" s="20" t="s">
        <v>1307</v>
      </c>
      <c r="N52" s="20" t="s">
        <v>1307</v>
      </c>
      <c r="O52" s="20" t="s">
        <v>1307</v>
      </c>
      <c r="P52" s="20" t="s">
        <v>1307</v>
      </c>
      <c r="Q52" s="20" t="s">
        <v>1307</v>
      </c>
      <c r="R52" s="20" t="s">
        <v>1307</v>
      </c>
      <c r="S52" s="20" t="s">
        <v>1307</v>
      </c>
      <c r="T52" s="20" t="s">
        <v>1307</v>
      </c>
      <c r="U52" s="20" t="s">
        <v>1307</v>
      </c>
      <c r="V52" s="20" t="s">
        <v>1307</v>
      </c>
      <c r="W52" s="20" t="s">
        <v>1307</v>
      </c>
      <c r="X52" s="20" t="s">
        <v>1307</v>
      </c>
      <c r="Y52" s="20" t="s">
        <v>1307</v>
      </c>
      <c r="Z52" s="20" t="s">
        <v>1307</v>
      </c>
      <c r="AA52" s="20" t="s">
        <v>1307</v>
      </c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" hidden="1" thickBot="1" x14ac:dyDescent="0.35">
      <c r="A53" t="s">
        <v>52</v>
      </c>
      <c r="B53" t="s">
        <v>121</v>
      </c>
      <c r="C53" t="s">
        <v>1158</v>
      </c>
      <c r="D53" t="s">
        <v>122</v>
      </c>
      <c r="E53" s="39" t="s">
        <v>19</v>
      </c>
      <c r="F53" s="39" t="s">
        <v>28</v>
      </c>
      <c r="G53" t="s">
        <v>665</v>
      </c>
      <c r="H53" s="40">
        <f t="shared" si="3"/>
        <v>14</v>
      </c>
      <c r="I53" s="40">
        <f t="shared" si="4"/>
        <v>17</v>
      </c>
      <c r="J53" s="41">
        <f t="shared" si="5"/>
        <v>0.45161290322580644</v>
      </c>
      <c r="K53" s="20" t="s">
        <v>1307</v>
      </c>
      <c r="L53" s="20" t="s">
        <v>1307</v>
      </c>
      <c r="M53" s="20" t="s">
        <v>1307</v>
      </c>
      <c r="N53" s="20" t="s">
        <v>1307</v>
      </c>
      <c r="O53" s="20" t="s">
        <v>1307</v>
      </c>
      <c r="P53" s="20" t="s">
        <v>1307</v>
      </c>
      <c r="Q53" s="20" t="s">
        <v>1307</v>
      </c>
      <c r="R53" s="20" t="s">
        <v>1307</v>
      </c>
      <c r="S53" s="20" t="s">
        <v>1307</v>
      </c>
      <c r="T53" s="20" t="s">
        <v>1307</v>
      </c>
      <c r="U53" s="20" t="s">
        <v>1307</v>
      </c>
      <c r="V53" s="20" t="s">
        <v>1307</v>
      </c>
      <c r="W53" s="20" t="s">
        <v>1307</v>
      </c>
      <c r="X53" s="20" t="s">
        <v>1307</v>
      </c>
      <c r="Y53" s="20" t="s">
        <v>1307</v>
      </c>
      <c r="Z53" s="20" t="s">
        <v>1307</v>
      </c>
      <c r="AA53" s="20" t="s">
        <v>1307</v>
      </c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" hidden="1" thickBot="1" x14ac:dyDescent="0.35">
      <c r="A54" t="s">
        <v>52</v>
      </c>
      <c r="B54" t="s">
        <v>123</v>
      </c>
      <c r="C54" t="s">
        <v>1158</v>
      </c>
      <c r="D54" t="s">
        <v>1181</v>
      </c>
      <c r="E54" s="39" t="s">
        <v>19</v>
      </c>
      <c r="F54" s="39" t="s">
        <v>28</v>
      </c>
      <c r="G54" t="s">
        <v>666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" hidden="1" thickBot="1" x14ac:dyDescent="0.35">
      <c r="A55" t="s">
        <v>52</v>
      </c>
      <c r="B55" t="s">
        <v>124</v>
      </c>
      <c r="C55" t="s">
        <v>1158</v>
      </c>
      <c r="D55" t="s">
        <v>125</v>
      </c>
      <c r="E55" s="39" t="s">
        <v>19</v>
      </c>
      <c r="F55" s="39" t="s">
        <v>28</v>
      </c>
      <c r="G55" t="s">
        <v>667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" hidden="1" thickBot="1" x14ac:dyDescent="0.35">
      <c r="A56" t="s">
        <v>52</v>
      </c>
      <c r="B56" t="s">
        <v>126</v>
      </c>
      <c r="C56" t="s">
        <v>1158</v>
      </c>
      <c r="D56" t="s">
        <v>1162</v>
      </c>
      <c r="E56" s="39" t="s">
        <v>19</v>
      </c>
      <c r="F56" s="39" t="s">
        <v>28</v>
      </c>
      <c r="G56" t="s">
        <v>668</v>
      </c>
      <c r="H56" s="40">
        <f t="shared" si="3"/>
        <v>20</v>
      </c>
      <c r="I56" s="40">
        <f t="shared" si="4"/>
        <v>11</v>
      </c>
      <c r="J56" s="41">
        <f t="shared" si="5"/>
        <v>0.64516129032258063</v>
      </c>
      <c r="K56" s="20" t="s">
        <v>1307</v>
      </c>
      <c r="L56" s="20" t="s">
        <v>1307</v>
      </c>
      <c r="M56" s="20" t="s">
        <v>1307</v>
      </c>
      <c r="N56" s="20" t="s">
        <v>1307</v>
      </c>
      <c r="O56" s="20" t="s">
        <v>1307</v>
      </c>
      <c r="P56" s="20" t="s">
        <v>1307</v>
      </c>
      <c r="Q56" s="20" t="s">
        <v>1307</v>
      </c>
      <c r="R56" s="20" t="s">
        <v>1307</v>
      </c>
      <c r="S56" s="20" t="s">
        <v>1307</v>
      </c>
      <c r="T56" s="20" t="s">
        <v>1307</v>
      </c>
      <c r="U56" s="20" t="s">
        <v>1307</v>
      </c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" hidden="1" thickBot="1" x14ac:dyDescent="0.35">
      <c r="A57" t="s">
        <v>52</v>
      </c>
      <c r="B57" t="s">
        <v>127</v>
      </c>
      <c r="C57" t="s">
        <v>1158</v>
      </c>
      <c r="D57" t="s">
        <v>1163</v>
      </c>
      <c r="E57" s="39" t="s">
        <v>19</v>
      </c>
      <c r="F57" s="39" t="s">
        <v>28</v>
      </c>
      <c r="G57" t="s">
        <v>669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" hidden="1" thickBot="1" x14ac:dyDescent="0.35">
      <c r="A58" t="s">
        <v>52</v>
      </c>
      <c r="B58" t="s">
        <v>128</v>
      </c>
      <c r="C58" t="s">
        <v>1158</v>
      </c>
      <c r="D58" t="s">
        <v>1164</v>
      </c>
      <c r="E58" s="39" t="s">
        <v>19</v>
      </c>
      <c r="F58" s="39" t="s">
        <v>28</v>
      </c>
      <c r="G58" t="s">
        <v>670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" hidden="1" thickBot="1" x14ac:dyDescent="0.35">
      <c r="A59" t="s">
        <v>52</v>
      </c>
      <c r="B59" t="s">
        <v>1015</v>
      </c>
      <c r="C59" t="s">
        <v>1158</v>
      </c>
      <c r="D59" t="s">
        <v>129</v>
      </c>
      <c r="E59" s="39" t="s">
        <v>19</v>
      </c>
      <c r="F59" s="39" t="s">
        <v>28</v>
      </c>
      <c r="G59" t="s">
        <v>671</v>
      </c>
      <c r="H59" s="40">
        <f t="shared" si="3"/>
        <v>31</v>
      </c>
      <c r="I59" s="40">
        <f>COUNTIF(K59:AL59,"APAGADO")</f>
        <v>0</v>
      </c>
      <c r="J59" s="41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" hidden="1" thickBot="1" x14ac:dyDescent="0.35">
      <c r="A60" t="s">
        <v>52</v>
      </c>
      <c r="B60" t="s">
        <v>130</v>
      </c>
      <c r="C60" t="s">
        <v>1158</v>
      </c>
      <c r="D60" t="s">
        <v>131</v>
      </c>
      <c r="E60" s="39" t="s">
        <v>19</v>
      </c>
      <c r="F60" s="39" t="s">
        <v>28</v>
      </c>
      <c r="G60" t="s">
        <v>672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/>
      <c r="O60" s="20"/>
      <c r="P60" s="20"/>
      <c r="Q60" s="20"/>
      <c r="R60" s="20"/>
      <c r="S60" s="20"/>
      <c r="T60" s="20" t="s">
        <v>1307</v>
      </c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" hidden="1" thickBot="1" x14ac:dyDescent="0.35">
      <c r="A61" t="s">
        <v>52</v>
      </c>
      <c r="B61" t="s">
        <v>132</v>
      </c>
      <c r="C61" t="s">
        <v>1158</v>
      </c>
      <c r="D61" t="s">
        <v>133</v>
      </c>
      <c r="E61" s="39" t="s">
        <v>19</v>
      </c>
      <c r="F61" s="39" t="s">
        <v>28</v>
      </c>
      <c r="G61" t="s">
        <v>673</v>
      </c>
      <c r="H61" s="40">
        <f t="shared" si="3"/>
        <v>16</v>
      </c>
      <c r="I61" s="40">
        <f t="shared" si="4"/>
        <v>15</v>
      </c>
      <c r="J61" s="41">
        <f t="shared" si="5"/>
        <v>0.5161290322580645</v>
      </c>
      <c r="K61" s="20" t="s">
        <v>1307</v>
      </c>
      <c r="L61" s="20" t="s">
        <v>1307</v>
      </c>
      <c r="M61" s="20" t="s">
        <v>1307</v>
      </c>
      <c r="N61" s="20" t="s">
        <v>1307</v>
      </c>
      <c r="O61" s="20" t="s">
        <v>1307</v>
      </c>
      <c r="P61" s="20" t="s">
        <v>1307</v>
      </c>
      <c r="Q61" s="20" t="s">
        <v>1307</v>
      </c>
      <c r="R61" s="20" t="s">
        <v>1307</v>
      </c>
      <c r="S61" s="20" t="s">
        <v>1307</v>
      </c>
      <c r="T61" s="20" t="s">
        <v>1307</v>
      </c>
      <c r="U61" s="20" t="s">
        <v>1307</v>
      </c>
      <c r="V61" s="20" t="s">
        <v>1307</v>
      </c>
      <c r="W61" s="20" t="s">
        <v>1307</v>
      </c>
      <c r="X61" s="20" t="s">
        <v>1307</v>
      </c>
      <c r="Y61" s="20" t="s">
        <v>1307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" hidden="1" thickBot="1" x14ac:dyDescent="0.35">
      <c r="A62" t="s">
        <v>52</v>
      </c>
      <c r="B62" t="s">
        <v>134</v>
      </c>
      <c r="C62" t="s">
        <v>1158</v>
      </c>
      <c r="D62" t="s">
        <v>135</v>
      </c>
      <c r="E62" s="39" t="s">
        <v>19</v>
      </c>
      <c r="F62" s="39" t="s">
        <v>28</v>
      </c>
      <c r="G62" t="s">
        <v>674</v>
      </c>
      <c r="H62" s="40">
        <f t="shared" si="3"/>
        <v>30</v>
      </c>
      <c r="I62" s="40">
        <f t="shared" si="4"/>
        <v>1</v>
      </c>
      <c r="J62" s="41">
        <f t="shared" si="5"/>
        <v>0.967741935483871</v>
      </c>
      <c r="K62" s="20"/>
      <c r="L62" s="20"/>
      <c r="M62" s="20"/>
      <c r="N62" s="20"/>
      <c r="O62" s="20"/>
      <c r="P62" s="20"/>
      <c r="Q62" s="20"/>
      <c r="R62" s="20"/>
      <c r="S62" s="20" t="s">
        <v>1307</v>
      </c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" hidden="1" thickBot="1" x14ac:dyDescent="0.35">
      <c r="A63" t="s">
        <v>52</v>
      </c>
      <c r="B63" t="s">
        <v>136</v>
      </c>
      <c r="C63" t="s">
        <v>1158</v>
      </c>
      <c r="D63" t="s">
        <v>137</v>
      </c>
      <c r="E63" s="39" t="s">
        <v>19</v>
      </c>
      <c r="F63" s="39" t="s">
        <v>28</v>
      </c>
      <c r="G63" t="s">
        <v>675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" hidden="1" thickBot="1" x14ac:dyDescent="0.35">
      <c r="A64" t="s">
        <v>52</v>
      </c>
      <c r="B64" t="s">
        <v>138</v>
      </c>
      <c r="C64" t="s">
        <v>1158</v>
      </c>
      <c r="D64" t="s">
        <v>139</v>
      </c>
      <c r="E64" s="39" t="s">
        <v>19</v>
      </c>
      <c r="F64" s="39" t="s">
        <v>28</v>
      </c>
      <c r="G64" t="s">
        <v>676</v>
      </c>
      <c r="H64" s="40">
        <f t="shared" si="3"/>
        <v>29</v>
      </c>
      <c r="I64" s="40">
        <f t="shared" si="4"/>
        <v>2</v>
      </c>
      <c r="J64" s="41">
        <f t="shared" si="5"/>
        <v>0.93548387096774188</v>
      </c>
      <c r="K64" s="20"/>
      <c r="L64" s="20"/>
      <c r="M64" s="20"/>
      <c r="N64" s="20"/>
      <c r="O64" s="20"/>
      <c r="P64" s="20"/>
      <c r="Q64" s="20"/>
      <c r="R64" s="20"/>
      <c r="S64" s="20" t="s">
        <v>1307</v>
      </c>
      <c r="T64" s="20" t="s">
        <v>1307</v>
      </c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" hidden="1" thickBot="1" x14ac:dyDescent="0.35">
      <c r="A65" t="s">
        <v>52</v>
      </c>
      <c r="B65" t="s">
        <v>140</v>
      </c>
      <c r="C65" t="s">
        <v>1158</v>
      </c>
      <c r="D65" t="s">
        <v>141</v>
      </c>
      <c r="E65" s="39" t="s">
        <v>19</v>
      </c>
      <c r="F65" s="39" t="s">
        <v>28</v>
      </c>
      <c r="G65" t="s">
        <v>677</v>
      </c>
      <c r="H65" s="40">
        <f t="shared" si="3"/>
        <v>30</v>
      </c>
      <c r="I65" s="40">
        <f t="shared" si="4"/>
        <v>1</v>
      </c>
      <c r="J65" s="41">
        <f t="shared" si="5"/>
        <v>0.967741935483871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 t="s">
        <v>1307</v>
      </c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" hidden="1" thickBot="1" x14ac:dyDescent="0.35">
      <c r="A66" t="s">
        <v>52</v>
      </c>
      <c r="B66" t="s">
        <v>142</v>
      </c>
      <c r="C66" t="s">
        <v>1158</v>
      </c>
      <c r="D66" t="s">
        <v>143</v>
      </c>
      <c r="E66" s="39" t="s">
        <v>19</v>
      </c>
      <c r="F66" s="39" t="s">
        <v>28</v>
      </c>
      <c r="G66" t="s">
        <v>678</v>
      </c>
      <c r="H66" s="40">
        <f t="shared" si="3"/>
        <v>30</v>
      </c>
      <c r="I66" s="40">
        <f t="shared" si="4"/>
        <v>1</v>
      </c>
      <c r="J66" s="41">
        <f t="shared" si="5"/>
        <v>0.967741935483871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 t="s">
        <v>1307</v>
      </c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" hidden="1" thickBot="1" x14ac:dyDescent="0.35">
      <c r="A67" t="s">
        <v>52</v>
      </c>
      <c r="B67" t="s">
        <v>144</v>
      </c>
      <c r="C67" t="s">
        <v>1158</v>
      </c>
      <c r="D67" t="s">
        <v>58</v>
      </c>
      <c r="E67" s="39" t="s">
        <v>73</v>
      </c>
      <c r="F67" s="39" t="s">
        <v>28</v>
      </c>
      <c r="G67" t="s">
        <v>679</v>
      </c>
      <c r="H67" s="40">
        <f t="shared" si="3"/>
        <v>30</v>
      </c>
      <c r="I67" s="40">
        <f t="shared" si="4"/>
        <v>1</v>
      </c>
      <c r="J67" s="41">
        <f t="shared" si="5"/>
        <v>0.967741935483871</v>
      </c>
      <c r="K67" s="20"/>
      <c r="L67" s="20"/>
      <c r="M67" s="20"/>
      <c r="N67" s="20"/>
      <c r="O67" s="20"/>
      <c r="P67" s="20"/>
      <c r="Q67" s="20"/>
      <c r="R67" s="20" t="s">
        <v>1307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" hidden="1" thickBot="1" x14ac:dyDescent="0.35">
      <c r="A68" t="s">
        <v>52</v>
      </c>
      <c r="B68" t="s">
        <v>145</v>
      </c>
      <c r="C68" t="s">
        <v>1158</v>
      </c>
      <c r="D68" t="s">
        <v>58</v>
      </c>
      <c r="E68" s="39" t="s">
        <v>73</v>
      </c>
      <c r="F68" s="39" t="s">
        <v>28</v>
      </c>
      <c r="G68" t="s">
        <v>680</v>
      </c>
      <c r="H68" s="40">
        <f t="shared" si="3"/>
        <v>30</v>
      </c>
      <c r="I68" s="40">
        <f t="shared" si="4"/>
        <v>1</v>
      </c>
      <c r="J68" s="41">
        <f t="shared" si="5"/>
        <v>0.967741935483871</v>
      </c>
      <c r="K68" s="20"/>
      <c r="L68" s="20"/>
      <c r="M68" s="20"/>
      <c r="N68" s="20"/>
      <c r="O68" s="20"/>
      <c r="P68" s="20"/>
      <c r="Q68" s="20"/>
      <c r="R68" s="20" t="s">
        <v>1307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" hidden="1" thickBot="1" x14ac:dyDescent="0.35">
      <c r="A69" t="s">
        <v>52</v>
      </c>
      <c r="B69" t="s">
        <v>146</v>
      </c>
      <c r="C69" t="s">
        <v>1158</v>
      </c>
      <c r="D69" t="s">
        <v>147</v>
      </c>
      <c r="E69" s="39" t="s">
        <v>19</v>
      </c>
      <c r="F69" s="39" t="s">
        <v>28</v>
      </c>
      <c r="G69" t="s">
        <v>681</v>
      </c>
      <c r="H69" s="40">
        <f t="shared" si="3"/>
        <v>30</v>
      </c>
      <c r="I69" s="40">
        <f t="shared" si="4"/>
        <v>1</v>
      </c>
      <c r="J69" s="41">
        <f t="shared" si="5"/>
        <v>0.967741935483871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 t="s">
        <v>1307</v>
      </c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" hidden="1" thickBot="1" x14ac:dyDescent="0.35">
      <c r="A70" t="s">
        <v>52</v>
      </c>
      <c r="B70" t="s">
        <v>148</v>
      </c>
      <c r="C70" t="s">
        <v>1158</v>
      </c>
      <c r="D70" t="s">
        <v>149</v>
      </c>
      <c r="E70" s="39" t="s">
        <v>19</v>
      </c>
      <c r="F70" s="39" t="s">
        <v>20</v>
      </c>
      <c r="G70" t="s">
        <v>682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" hidden="1" thickBot="1" x14ac:dyDescent="0.35">
      <c r="A71" t="s">
        <v>52</v>
      </c>
      <c r="B71" t="s">
        <v>150</v>
      </c>
      <c r="C71" t="s">
        <v>1158</v>
      </c>
      <c r="D71" t="s">
        <v>151</v>
      </c>
      <c r="E71" s="39" t="s">
        <v>19</v>
      </c>
      <c r="F71" s="39" t="s">
        <v>20</v>
      </c>
      <c r="G71" t="s">
        <v>683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" hidden="1" thickBot="1" x14ac:dyDescent="0.35">
      <c r="A72" t="s">
        <v>52</v>
      </c>
      <c r="B72" t="s">
        <v>1016</v>
      </c>
      <c r="C72" t="s">
        <v>1158</v>
      </c>
      <c r="D72" t="s">
        <v>152</v>
      </c>
      <c r="E72" s="39" t="s">
        <v>19</v>
      </c>
      <c r="F72" s="39" t="s">
        <v>20</v>
      </c>
      <c r="G72" t="s">
        <v>684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1307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" hidden="1" thickBot="1" x14ac:dyDescent="0.35">
      <c r="A73" t="s">
        <v>52</v>
      </c>
      <c r="B73" t="s">
        <v>1017</v>
      </c>
      <c r="C73" t="s">
        <v>1158</v>
      </c>
      <c r="D73" t="s">
        <v>45</v>
      </c>
      <c r="E73" s="39" t="s">
        <v>46</v>
      </c>
      <c r="F73" s="39" t="s">
        <v>28</v>
      </c>
      <c r="G73" t="s">
        <v>685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" hidden="1" thickBot="1" x14ac:dyDescent="0.35">
      <c r="A74" t="s">
        <v>52</v>
      </c>
      <c r="B74" t="s">
        <v>153</v>
      </c>
      <c r="C74" t="s">
        <v>1158</v>
      </c>
      <c r="D74" t="s">
        <v>154</v>
      </c>
      <c r="E74" s="39" t="s">
        <v>15</v>
      </c>
      <c r="F74" s="39" t="s">
        <v>20</v>
      </c>
      <c r="G74" t="s">
        <v>686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" thickBot="1" x14ac:dyDescent="0.35">
      <c r="A75" t="s">
        <v>52</v>
      </c>
      <c r="B75" t="s">
        <v>1018</v>
      </c>
      <c r="C75" t="s">
        <v>1158</v>
      </c>
      <c r="D75" t="s">
        <v>47</v>
      </c>
      <c r="E75" s="39" t="s">
        <v>19</v>
      </c>
      <c r="F75" s="39" t="s">
        <v>20</v>
      </c>
      <c r="G75" t="s">
        <v>687</v>
      </c>
      <c r="H75" s="40">
        <f t="shared" si="8"/>
        <v>12</v>
      </c>
      <c r="I75" s="40">
        <f t="shared" si="4"/>
        <v>19</v>
      </c>
      <c r="J75" s="41">
        <f t="shared" si="5"/>
        <v>0.38709677419354838</v>
      </c>
      <c r="K75" s="20" t="s">
        <v>1307</v>
      </c>
      <c r="L75" s="20" t="s">
        <v>1307</v>
      </c>
      <c r="M75" s="20" t="s">
        <v>1307</v>
      </c>
      <c r="N75" s="20" t="s">
        <v>1307</v>
      </c>
      <c r="O75" s="20" t="s">
        <v>1307</v>
      </c>
      <c r="P75" s="20" t="s">
        <v>1307</v>
      </c>
      <c r="Q75" s="20" t="s">
        <v>1307</v>
      </c>
      <c r="R75" s="20" t="s">
        <v>1307</v>
      </c>
      <c r="S75" s="20" t="s">
        <v>1307</v>
      </c>
      <c r="T75" s="20" t="s">
        <v>1307</v>
      </c>
      <c r="U75" s="20" t="s">
        <v>1307</v>
      </c>
      <c r="V75" s="20" t="s">
        <v>1307</v>
      </c>
      <c r="W75" s="20" t="s">
        <v>1307</v>
      </c>
      <c r="X75" s="20" t="s">
        <v>1307</v>
      </c>
      <c r="Y75" s="20" t="s">
        <v>1307</v>
      </c>
      <c r="Z75" s="20" t="s">
        <v>1307</v>
      </c>
      <c r="AA75" s="20" t="s">
        <v>1307</v>
      </c>
      <c r="AB75" s="20" t="s">
        <v>1307</v>
      </c>
      <c r="AC75" s="20" t="s">
        <v>1307</v>
      </c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" hidden="1" thickBot="1" x14ac:dyDescent="0.35">
      <c r="A76" t="s">
        <v>52</v>
      </c>
      <c r="B76" t="s">
        <v>48</v>
      </c>
      <c r="C76" t="s">
        <v>1158</v>
      </c>
      <c r="D76" t="s">
        <v>49</v>
      </c>
      <c r="E76" s="39" t="s">
        <v>19</v>
      </c>
      <c r="F76" s="39" t="s">
        <v>20</v>
      </c>
      <c r="G76" t="s">
        <v>688</v>
      </c>
      <c r="H76" s="40">
        <f t="shared" si="8"/>
        <v>30</v>
      </c>
      <c r="I76" s="40">
        <f t="shared" si="4"/>
        <v>1</v>
      </c>
      <c r="J76" s="41">
        <f t="shared" si="5"/>
        <v>0.967741935483871</v>
      </c>
      <c r="K76" s="20" t="s">
        <v>1307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" hidden="1" thickBot="1" x14ac:dyDescent="0.35">
      <c r="A77" t="s">
        <v>52</v>
      </c>
      <c r="B77" t="s">
        <v>50</v>
      </c>
      <c r="C77" t="s">
        <v>1158</v>
      </c>
      <c r="D77" t="s">
        <v>51</v>
      </c>
      <c r="E77" s="39" t="s">
        <v>19</v>
      </c>
      <c r="F77" s="39" t="s">
        <v>20</v>
      </c>
      <c r="G77" t="s">
        <v>689</v>
      </c>
      <c r="H77" s="40">
        <f t="shared" si="8"/>
        <v>16</v>
      </c>
      <c r="I77" s="40">
        <f t="shared" ref="I77:I142" si="9">COUNTIF(K77:AL77,"APAGADO")</f>
        <v>15</v>
      </c>
      <c r="J77" s="41">
        <f t="shared" ref="J77:J142" si="10">(H77)/(I77+H77)</f>
        <v>0.5161290322580645</v>
      </c>
      <c r="K77" s="20" t="s">
        <v>1307</v>
      </c>
      <c r="L77" s="20" t="s">
        <v>1307</v>
      </c>
      <c r="M77" s="20" t="s">
        <v>1307</v>
      </c>
      <c r="N77" s="20" t="s">
        <v>1307</v>
      </c>
      <c r="O77" s="20" t="s">
        <v>1307</v>
      </c>
      <c r="P77" s="20" t="s">
        <v>1307</v>
      </c>
      <c r="Q77" s="20" t="s">
        <v>1307</v>
      </c>
      <c r="R77" s="20" t="s">
        <v>1307</v>
      </c>
      <c r="S77" s="20" t="s">
        <v>1307</v>
      </c>
      <c r="T77" s="20" t="s">
        <v>1307</v>
      </c>
      <c r="U77" s="20" t="s">
        <v>1307</v>
      </c>
      <c r="V77" s="20" t="s">
        <v>1307</v>
      </c>
      <c r="W77" s="20" t="s">
        <v>1307</v>
      </c>
      <c r="X77" s="20" t="s">
        <v>1307</v>
      </c>
      <c r="Y77" s="20" t="s">
        <v>1307</v>
      </c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" hidden="1" thickBot="1" x14ac:dyDescent="0.35">
      <c r="A78" t="s">
        <v>52</v>
      </c>
      <c r="B78" t="s">
        <v>53</v>
      </c>
      <c r="C78" t="s">
        <v>1158</v>
      </c>
      <c r="D78" t="s">
        <v>54</v>
      </c>
      <c r="E78" s="39" t="s">
        <v>15</v>
      </c>
      <c r="F78" s="39" t="s">
        <v>20</v>
      </c>
      <c r="G78" t="s">
        <v>690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" hidden="1" thickBot="1" x14ac:dyDescent="0.35">
      <c r="A79" t="s">
        <v>52</v>
      </c>
      <c r="B79" t="s">
        <v>55</v>
      </c>
      <c r="C79" t="s">
        <v>1158</v>
      </c>
      <c r="D79" t="s">
        <v>56</v>
      </c>
      <c r="E79" s="39" t="s">
        <v>15</v>
      </c>
      <c r="F79" s="39" t="s">
        <v>20</v>
      </c>
      <c r="G79" t="s">
        <v>691</v>
      </c>
      <c r="H79" s="40">
        <f t="shared" si="8"/>
        <v>31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" hidden="1" thickBot="1" x14ac:dyDescent="0.35">
      <c r="A80" t="s">
        <v>52</v>
      </c>
      <c r="B80" t="s">
        <v>57</v>
      </c>
      <c r="C80" t="s">
        <v>1158</v>
      </c>
      <c r="D80" t="s">
        <v>58</v>
      </c>
      <c r="E80" s="39" t="s">
        <v>15</v>
      </c>
      <c r="F80" s="39" t="s">
        <v>1150</v>
      </c>
      <c r="G80" t="s">
        <v>692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" hidden="1" thickBot="1" x14ac:dyDescent="0.35">
      <c r="A81" t="s">
        <v>52</v>
      </c>
      <c r="B81" t="s">
        <v>1023</v>
      </c>
      <c r="C81" t="s">
        <v>1158</v>
      </c>
      <c r="D81" t="s">
        <v>59</v>
      </c>
      <c r="E81" s="39" t="s">
        <v>15</v>
      </c>
      <c r="F81" s="39" t="s">
        <v>20</v>
      </c>
      <c r="G81" t="s">
        <v>693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" hidden="1" thickBot="1" x14ac:dyDescent="0.35">
      <c r="A82" t="s">
        <v>52</v>
      </c>
      <c r="B82" t="s">
        <v>60</v>
      </c>
      <c r="C82" t="s">
        <v>1158</v>
      </c>
      <c r="D82" t="s">
        <v>61</v>
      </c>
      <c r="E82" s="39" t="s">
        <v>15</v>
      </c>
      <c r="F82" s="39" t="s">
        <v>1151</v>
      </c>
      <c r="G82" t="s">
        <v>694</v>
      </c>
      <c r="H82" s="40">
        <f t="shared" si="8"/>
        <v>31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" hidden="1" thickBot="1" x14ac:dyDescent="0.35">
      <c r="A83" t="s">
        <v>52</v>
      </c>
      <c r="B83" t="s">
        <v>62</v>
      </c>
      <c r="C83" t="s">
        <v>1158</v>
      </c>
      <c r="D83" t="s">
        <v>63</v>
      </c>
      <c r="E83" s="39" t="s">
        <v>15</v>
      </c>
      <c r="F83" s="39" t="s">
        <v>20</v>
      </c>
      <c r="G83" t="s">
        <v>695</v>
      </c>
      <c r="H83" s="40">
        <f t="shared" si="8"/>
        <v>15</v>
      </c>
      <c r="I83" s="40">
        <f>COUNTIF(K83:AL83,"APAGADO")</f>
        <v>16</v>
      </c>
      <c r="J83" s="41">
        <f>(H83)/(I83+H83)</f>
        <v>0.4838709677419355</v>
      </c>
      <c r="K83" s="20" t="s">
        <v>1307</v>
      </c>
      <c r="L83" s="20" t="s">
        <v>1307</v>
      </c>
      <c r="M83" s="20" t="s">
        <v>1307</v>
      </c>
      <c r="N83" s="20" t="s">
        <v>1307</v>
      </c>
      <c r="O83" s="20" t="s">
        <v>1307</v>
      </c>
      <c r="P83" s="20" t="s">
        <v>1307</v>
      </c>
      <c r="Q83" s="20" t="s">
        <v>1307</v>
      </c>
      <c r="R83" s="20" t="s">
        <v>1307</v>
      </c>
      <c r="S83" s="20" t="s">
        <v>1307</v>
      </c>
      <c r="T83" s="20" t="s">
        <v>1307</v>
      </c>
      <c r="U83" s="20" t="s">
        <v>1307</v>
      </c>
      <c r="V83" s="20" t="s">
        <v>1307</v>
      </c>
      <c r="W83" s="20" t="s">
        <v>1307</v>
      </c>
      <c r="X83" s="20" t="s">
        <v>1307</v>
      </c>
      <c r="Y83" s="20" t="s">
        <v>1307</v>
      </c>
      <c r="Z83" s="20" t="s">
        <v>1307</v>
      </c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" hidden="1" thickBot="1" x14ac:dyDescent="0.35">
      <c r="A84" t="s">
        <v>52</v>
      </c>
      <c r="B84" t="s">
        <v>1024</v>
      </c>
      <c r="C84" t="s">
        <v>1158</v>
      </c>
      <c r="D84" t="s">
        <v>1182</v>
      </c>
      <c r="E84" s="39" t="s">
        <v>15</v>
      </c>
      <c r="F84" s="39" t="s">
        <v>1151</v>
      </c>
      <c r="G84" t="s">
        <v>696</v>
      </c>
      <c r="H84" s="40">
        <f t="shared" si="8"/>
        <v>15</v>
      </c>
      <c r="I84" s="40">
        <f t="shared" si="9"/>
        <v>16</v>
      </c>
      <c r="J84" s="41">
        <f t="shared" si="10"/>
        <v>0.4838709677419355</v>
      </c>
      <c r="K84" s="20" t="s">
        <v>1307</v>
      </c>
      <c r="L84" s="20" t="s">
        <v>1307</v>
      </c>
      <c r="M84" s="20" t="s">
        <v>1307</v>
      </c>
      <c r="N84" s="20" t="s">
        <v>1307</v>
      </c>
      <c r="O84" s="20" t="s">
        <v>1307</v>
      </c>
      <c r="P84" s="20" t="s">
        <v>1307</v>
      </c>
      <c r="Q84" s="20" t="s">
        <v>1307</v>
      </c>
      <c r="R84" s="20" t="s">
        <v>1307</v>
      </c>
      <c r="S84" s="20" t="s">
        <v>1307</v>
      </c>
      <c r="T84" s="20" t="s">
        <v>1307</v>
      </c>
      <c r="U84" s="20" t="s">
        <v>1307</v>
      </c>
      <c r="V84" s="20" t="s">
        <v>1307</v>
      </c>
      <c r="W84" s="20" t="s">
        <v>1307</v>
      </c>
      <c r="X84" s="20" t="s">
        <v>1307</v>
      </c>
      <c r="Y84" s="20" t="s">
        <v>1307</v>
      </c>
      <c r="Z84" s="20"/>
      <c r="AA84" s="20" t="s">
        <v>1307</v>
      </c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" hidden="1" thickBot="1" x14ac:dyDescent="0.35">
      <c r="A85" t="s">
        <v>52</v>
      </c>
      <c r="B85" t="s">
        <v>1025</v>
      </c>
      <c r="C85" t="s">
        <v>1158</v>
      </c>
      <c r="D85" t="s">
        <v>64</v>
      </c>
      <c r="E85" s="39" t="s">
        <v>15</v>
      </c>
      <c r="F85" s="39" t="s">
        <v>28</v>
      </c>
      <c r="G85" t="s">
        <v>697</v>
      </c>
      <c r="H85" s="40">
        <f t="shared" si="8"/>
        <v>30</v>
      </c>
      <c r="I85" s="40">
        <f t="shared" si="9"/>
        <v>1</v>
      </c>
      <c r="J85" s="41">
        <f t="shared" si="10"/>
        <v>0.967741935483871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 t="s">
        <v>1307</v>
      </c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" hidden="1" thickBot="1" x14ac:dyDescent="0.35">
      <c r="A86" t="s">
        <v>52</v>
      </c>
      <c r="B86" t="s">
        <v>155</v>
      </c>
      <c r="C86" t="s">
        <v>1158</v>
      </c>
      <c r="D86" t="s">
        <v>156</v>
      </c>
      <c r="E86" s="39" t="s">
        <v>46</v>
      </c>
      <c r="F86" s="39" t="s">
        <v>28</v>
      </c>
      <c r="G86" t="s">
        <v>698</v>
      </c>
      <c r="H86" s="40">
        <f t="shared" si="8"/>
        <v>27</v>
      </c>
      <c r="I86" s="40">
        <f t="shared" si="9"/>
        <v>4</v>
      </c>
      <c r="J86" s="41">
        <f t="shared" si="10"/>
        <v>0.87096774193548387</v>
      </c>
      <c r="K86" s="20" t="s">
        <v>1307</v>
      </c>
      <c r="L86" s="20" t="s">
        <v>1307</v>
      </c>
      <c r="M86" s="20"/>
      <c r="N86" s="20"/>
      <c r="O86" s="20" t="s">
        <v>1307</v>
      </c>
      <c r="P86" s="20" t="s">
        <v>1307</v>
      </c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" hidden="1" thickBot="1" x14ac:dyDescent="0.35">
      <c r="A87" t="s">
        <v>52</v>
      </c>
      <c r="B87" t="s">
        <v>1019</v>
      </c>
      <c r="C87" t="s">
        <v>1158</v>
      </c>
      <c r="D87" t="s">
        <v>157</v>
      </c>
      <c r="E87" s="39" t="s">
        <v>46</v>
      </c>
      <c r="F87" s="39" t="s">
        <v>28</v>
      </c>
      <c r="G87" t="s">
        <v>1154</v>
      </c>
      <c r="H87" s="40">
        <f t="shared" si="8"/>
        <v>23</v>
      </c>
      <c r="I87" s="40">
        <f>COUNTIF(K87:AL87,"APAGADO")</f>
        <v>8</v>
      </c>
      <c r="J87" s="41">
        <f>(H87)/(I87+H87)</f>
        <v>0.74193548387096775</v>
      </c>
      <c r="K87" s="20"/>
      <c r="L87" s="20"/>
      <c r="M87" s="20"/>
      <c r="N87" s="20"/>
      <c r="O87" s="20" t="s">
        <v>1307</v>
      </c>
      <c r="P87" s="20" t="s">
        <v>1307</v>
      </c>
      <c r="Q87" s="20" t="s">
        <v>1307</v>
      </c>
      <c r="R87" s="20"/>
      <c r="S87" s="20" t="s">
        <v>1307</v>
      </c>
      <c r="T87" s="20"/>
      <c r="U87" s="20" t="s">
        <v>1307</v>
      </c>
      <c r="V87" s="20"/>
      <c r="W87" s="20"/>
      <c r="X87" s="20" t="s">
        <v>1307</v>
      </c>
      <c r="Y87" s="20"/>
      <c r="Z87" s="20"/>
      <c r="AA87" s="20" t="s">
        <v>1307</v>
      </c>
      <c r="AB87" s="20" t="s">
        <v>1307</v>
      </c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" hidden="1" thickBot="1" x14ac:dyDescent="0.35">
      <c r="A88" t="s">
        <v>52</v>
      </c>
      <c r="B88" t="s">
        <v>158</v>
      </c>
      <c r="C88" t="s">
        <v>1158</v>
      </c>
      <c r="D88" t="s">
        <v>157</v>
      </c>
      <c r="E88" s="39" t="s">
        <v>46</v>
      </c>
      <c r="F88" s="39" t="s">
        <v>28</v>
      </c>
      <c r="G88" t="s">
        <v>699</v>
      </c>
      <c r="H88" s="40">
        <f t="shared" si="8"/>
        <v>25</v>
      </c>
      <c r="I88" s="40">
        <f t="shared" si="9"/>
        <v>6</v>
      </c>
      <c r="J88" s="41">
        <f t="shared" si="10"/>
        <v>0.80645161290322576</v>
      </c>
      <c r="K88" s="20"/>
      <c r="L88" s="20"/>
      <c r="M88" s="20"/>
      <c r="N88" s="20"/>
      <c r="O88" s="20"/>
      <c r="P88" s="20"/>
      <c r="Q88" s="20" t="s">
        <v>1307</v>
      </c>
      <c r="R88" s="20"/>
      <c r="S88" s="20" t="s">
        <v>1307</v>
      </c>
      <c r="T88" s="20"/>
      <c r="U88" s="20" t="s">
        <v>1307</v>
      </c>
      <c r="V88" s="20"/>
      <c r="W88" s="20"/>
      <c r="X88" s="20" t="s">
        <v>1307</v>
      </c>
      <c r="Y88" s="20"/>
      <c r="Z88" s="20"/>
      <c r="AA88" s="20" t="s">
        <v>1307</v>
      </c>
      <c r="AB88" s="20" t="s">
        <v>1307</v>
      </c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" hidden="1" thickBot="1" x14ac:dyDescent="0.35">
      <c r="A89" t="s">
        <v>52</v>
      </c>
      <c r="B89" t="s">
        <v>159</v>
      </c>
      <c r="C89" t="s">
        <v>1158</v>
      </c>
      <c r="D89" t="s">
        <v>160</v>
      </c>
      <c r="E89" s="39" t="s">
        <v>73</v>
      </c>
      <c r="F89" s="39" t="s">
        <v>28</v>
      </c>
      <c r="G89" t="s">
        <v>703</v>
      </c>
      <c r="H89" s="40">
        <f t="shared" si="8"/>
        <v>29</v>
      </c>
      <c r="I89" s="40">
        <f t="shared" si="9"/>
        <v>2</v>
      </c>
      <c r="J89" s="41">
        <f t="shared" si="10"/>
        <v>0.93548387096774188</v>
      </c>
      <c r="K89" s="20"/>
      <c r="L89" s="20"/>
      <c r="M89" s="20"/>
      <c r="N89" s="20"/>
      <c r="O89" s="20"/>
      <c r="P89" s="20"/>
      <c r="Q89" s="20"/>
      <c r="R89" s="20"/>
      <c r="S89" s="20" t="s">
        <v>1307</v>
      </c>
      <c r="T89" s="20" t="s">
        <v>1307</v>
      </c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" hidden="1" thickBot="1" x14ac:dyDescent="0.35">
      <c r="A90" t="s">
        <v>52</v>
      </c>
      <c r="B90" t="s">
        <v>161</v>
      </c>
      <c r="C90" t="s">
        <v>1158</v>
      </c>
      <c r="D90" t="s">
        <v>160</v>
      </c>
      <c r="E90" s="39" t="s">
        <v>73</v>
      </c>
      <c r="F90" s="39" t="s">
        <v>28</v>
      </c>
      <c r="G90" t="s">
        <v>704</v>
      </c>
      <c r="H90" s="40">
        <f t="shared" si="8"/>
        <v>29</v>
      </c>
      <c r="I90" s="40">
        <f t="shared" si="9"/>
        <v>2</v>
      </c>
      <c r="J90" s="41">
        <f t="shared" si="10"/>
        <v>0.93548387096774188</v>
      </c>
      <c r="K90" s="20"/>
      <c r="L90" s="20"/>
      <c r="M90" s="20"/>
      <c r="N90" s="20"/>
      <c r="O90" s="20"/>
      <c r="P90" s="20"/>
      <c r="Q90" s="20"/>
      <c r="R90" s="20"/>
      <c r="S90" s="20" t="s">
        <v>1307</v>
      </c>
      <c r="T90" s="20" t="s">
        <v>1307</v>
      </c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" hidden="1" thickBot="1" x14ac:dyDescent="0.35">
      <c r="A91" t="s">
        <v>52</v>
      </c>
      <c r="B91" t="s">
        <v>162</v>
      </c>
      <c r="C91" t="s">
        <v>1158</v>
      </c>
      <c r="D91" t="s">
        <v>163</v>
      </c>
      <c r="E91" s="39" t="s">
        <v>15</v>
      </c>
      <c r="F91" s="39" t="s">
        <v>28</v>
      </c>
      <c r="G91" t="s">
        <v>705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" hidden="1" thickBot="1" x14ac:dyDescent="0.35">
      <c r="A92" t="s">
        <v>52</v>
      </c>
      <c r="B92" t="s">
        <v>65</v>
      </c>
      <c r="C92" t="s">
        <v>1158</v>
      </c>
      <c r="D92" t="s">
        <v>66</v>
      </c>
      <c r="E92" s="39" t="s">
        <v>19</v>
      </c>
      <c r="F92" s="39" t="s">
        <v>28</v>
      </c>
      <c r="G92" t="s">
        <v>706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" hidden="1" thickBot="1" x14ac:dyDescent="0.35">
      <c r="A93" t="s">
        <v>52</v>
      </c>
      <c r="B93" t="s">
        <v>67</v>
      </c>
      <c r="C93" t="s">
        <v>1158</v>
      </c>
      <c r="D93" t="s">
        <v>68</v>
      </c>
      <c r="E93" s="39" t="s">
        <v>19</v>
      </c>
      <c r="F93" s="39" t="s">
        <v>28</v>
      </c>
      <c r="G93" t="s">
        <v>707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" thickBot="1" x14ac:dyDescent="0.35">
      <c r="A94" t="s">
        <v>52</v>
      </c>
      <c r="B94" t="s">
        <v>69</v>
      </c>
      <c r="C94" t="s">
        <v>1158</v>
      </c>
      <c r="D94" t="s">
        <v>70</v>
      </c>
      <c r="E94" s="39" t="s">
        <v>19</v>
      </c>
      <c r="F94" s="39" t="s">
        <v>28</v>
      </c>
      <c r="G94" t="s">
        <v>708</v>
      </c>
      <c r="H94" s="40">
        <f t="shared" si="8"/>
        <v>12</v>
      </c>
      <c r="I94" s="40">
        <f>COUNTIF(K94:AL94,"APAGADO")</f>
        <v>19</v>
      </c>
      <c r="J94" s="41">
        <f>(H94)/(I94+H94)</f>
        <v>0.38709677419354838</v>
      </c>
      <c r="K94" s="20" t="s">
        <v>1307</v>
      </c>
      <c r="L94" s="20" t="s">
        <v>1307</v>
      </c>
      <c r="M94" s="20" t="s">
        <v>1307</v>
      </c>
      <c r="N94" s="20" t="s">
        <v>1307</v>
      </c>
      <c r="O94" s="20" t="s">
        <v>1307</v>
      </c>
      <c r="P94" s="20" t="s">
        <v>1307</v>
      </c>
      <c r="Q94" s="20" t="s">
        <v>1307</v>
      </c>
      <c r="R94" s="20" t="s">
        <v>1307</v>
      </c>
      <c r="S94" s="20" t="s">
        <v>1307</v>
      </c>
      <c r="T94" s="20" t="s">
        <v>1307</v>
      </c>
      <c r="U94" s="20" t="s">
        <v>1307</v>
      </c>
      <c r="V94" s="20" t="s">
        <v>1307</v>
      </c>
      <c r="W94" s="20" t="s">
        <v>1307</v>
      </c>
      <c r="X94" s="20" t="s">
        <v>1307</v>
      </c>
      <c r="Y94" s="20" t="s">
        <v>1307</v>
      </c>
      <c r="Z94" s="20" t="s">
        <v>1307</v>
      </c>
      <c r="AA94" s="20" t="s">
        <v>1307</v>
      </c>
      <c r="AB94" s="20" t="s">
        <v>1307</v>
      </c>
      <c r="AC94" s="20" t="s">
        <v>1307</v>
      </c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5" hidden="1" customHeight="1" thickBot="1" x14ac:dyDescent="0.35">
      <c r="A95" t="s">
        <v>52</v>
      </c>
      <c r="B95" t="s">
        <v>164</v>
      </c>
      <c r="C95" t="s">
        <v>1158</v>
      </c>
      <c r="D95" t="s">
        <v>165</v>
      </c>
      <c r="E95" s="39" t="s">
        <v>15</v>
      </c>
      <c r="F95" s="39" t="s">
        <v>28</v>
      </c>
      <c r="G95" t="s">
        <v>709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" hidden="1" thickBot="1" x14ac:dyDescent="0.35">
      <c r="A96" t="s">
        <v>52</v>
      </c>
      <c r="B96" t="s">
        <v>166</v>
      </c>
      <c r="C96" t="s">
        <v>1158</v>
      </c>
      <c r="D96" t="s">
        <v>167</v>
      </c>
      <c r="E96" s="39" t="s">
        <v>19</v>
      </c>
      <c r="F96" s="39" t="s">
        <v>1150</v>
      </c>
      <c r="G96" t="s">
        <v>710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" hidden="1" thickBot="1" x14ac:dyDescent="0.35">
      <c r="A97" t="s">
        <v>52</v>
      </c>
      <c r="B97" t="s">
        <v>1020</v>
      </c>
      <c r="C97" t="s">
        <v>1158</v>
      </c>
      <c r="D97" t="s">
        <v>1021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" hidden="1" thickBot="1" x14ac:dyDescent="0.35">
      <c r="A98" t="s">
        <v>52</v>
      </c>
      <c r="B98" t="s">
        <v>1022</v>
      </c>
      <c r="C98" t="s">
        <v>1158</v>
      </c>
      <c r="D98" t="s">
        <v>1175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" hidden="1" thickBot="1" x14ac:dyDescent="0.35">
      <c r="A99" t="s">
        <v>52</v>
      </c>
      <c r="B99" t="s">
        <v>1206</v>
      </c>
      <c r="C99" t="s">
        <v>1158</v>
      </c>
      <c r="D99" t="s">
        <v>1205</v>
      </c>
      <c r="E99" s="39" t="s">
        <v>73</v>
      </c>
      <c r="F99" s="39" t="s">
        <v>28</v>
      </c>
      <c r="G99" t="s">
        <v>1207</v>
      </c>
      <c r="H99" s="40">
        <f t="shared" si="8"/>
        <v>31</v>
      </c>
      <c r="I99" s="40">
        <f t="shared" si="9"/>
        <v>0</v>
      </c>
      <c r="J99" s="41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" hidden="1" thickBot="1" x14ac:dyDescent="0.35">
      <c r="A100" t="s">
        <v>52</v>
      </c>
      <c r="B100" s="39" t="s">
        <v>1215</v>
      </c>
      <c r="C100" s="39" t="s">
        <v>1158</v>
      </c>
      <c r="D100" t="s">
        <v>122</v>
      </c>
      <c r="E100" s="39" t="s">
        <v>73</v>
      </c>
      <c r="F100" s="39" t="s">
        <v>28</v>
      </c>
      <c r="G100" t="s">
        <v>1216</v>
      </c>
      <c r="H100" s="40">
        <f t="shared" si="8"/>
        <v>14</v>
      </c>
      <c r="I100" s="40">
        <f t="shared" si="9"/>
        <v>17</v>
      </c>
      <c r="J100" s="41">
        <f t="shared" si="10"/>
        <v>0.45161290322580644</v>
      </c>
      <c r="K100" s="20" t="s">
        <v>1307</v>
      </c>
      <c r="L100" s="20" t="s">
        <v>1307</v>
      </c>
      <c r="M100" s="20" t="s">
        <v>1307</v>
      </c>
      <c r="N100" s="20" t="s">
        <v>1307</v>
      </c>
      <c r="O100" s="20" t="s">
        <v>1307</v>
      </c>
      <c r="P100" s="20" t="s">
        <v>1307</v>
      </c>
      <c r="Q100" s="20" t="s">
        <v>1307</v>
      </c>
      <c r="R100" s="20" t="s">
        <v>1307</v>
      </c>
      <c r="S100" s="20" t="s">
        <v>1307</v>
      </c>
      <c r="T100" s="20" t="s">
        <v>1307</v>
      </c>
      <c r="U100" s="20" t="s">
        <v>1307</v>
      </c>
      <c r="V100" s="20" t="s">
        <v>1307</v>
      </c>
      <c r="W100" s="20" t="s">
        <v>1307</v>
      </c>
      <c r="X100" s="20" t="s">
        <v>1307</v>
      </c>
      <c r="Y100" s="20" t="s">
        <v>1307</v>
      </c>
      <c r="Z100" s="20" t="s">
        <v>1307</v>
      </c>
      <c r="AA100" s="20" t="s">
        <v>1307</v>
      </c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" hidden="1" thickBot="1" x14ac:dyDescent="0.35">
      <c r="A101" t="s">
        <v>52</v>
      </c>
      <c r="B101" s="39" t="s">
        <v>1208</v>
      </c>
      <c r="C101" s="39" t="s">
        <v>1158</v>
      </c>
      <c r="D101" t="s">
        <v>1210</v>
      </c>
      <c r="E101" s="39" t="s">
        <v>73</v>
      </c>
      <c r="F101" s="39" t="s">
        <v>28</v>
      </c>
      <c r="G101" t="s">
        <v>1217</v>
      </c>
      <c r="H101" s="40">
        <f t="shared" si="8"/>
        <v>26</v>
      </c>
      <c r="I101" s="40">
        <f t="shared" si="9"/>
        <v>5</v>
      </c>
      <c r="J101" s="41">
        <f t="shared" si="10"/>
        <v>0.83870967741935487</v>
      </c>
      <c r="K101" s="20" t="s">
        <v>1307</v>
      </c>
      <c r="L101" s="20" t="s">
        <v>1307</v>
      </c>
      <c r="M101" s="20"/>
      <c r="N101" s="20"/>
      <c r="O101" s="20"/>
      <c r="P101" s="20"/>
      <c r="Q101" s="20"/>
      <c r="R101" s="20"/>
      <c r="S101" s="20" t="s">
        <v>1307</v>
      </c>
      <c r="T101" s="20" t="s">
        <v>1307</v>
      </c>
      <c r="U101" s="20" t="s">
        <v>1307</v>
      </c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" hidden="1" thickBot="1" x14ac:dyDescent="0.35">
      <c r="A102" t="s">
        <v>52</v>
      </c>
      <c r="B102" s="39" t="s">
        <v>1209</v>
      </c>
      <c r="C102" s="39" t="s">
        <v>1158</v>
      </c>
      <c r="D102" t="s">
        <v>1210</v>
      </c>
      <c r="E102" s="39" t="s">
        <v>73</v>
      </c>
      <c r="F102" s="39" t="s">
        <v>28</v>
      </c>
      <c r="G102" t="s">
        <v>1218</v>
      </c>
      <c r="H102" s="40">
        <f t="shared" si="8"/>
        <v>27</v>
      </c>
      <c r="I102" s="40">
        <f t="shared" si="9"/>
        <v>4</v>
      </c>
      <c r="J102" s="41">
        <f t="shared" si="10"/>
        <v>0.87096774193548387</v>
      </c>
      <c r="K102" s="20" t="s">
        <v>1307</v>
      </c>
      <c r="L102" s="20" t="s">
        <v>1307</v>
      </c>
      <c r="M102" s="20"/>
      <c r="N102" s="20"/>
      <c r="O102" s="20"/>
      <c r="P102" s="20"/>
      <c r="Q102" s="20"/>
      <c r="R102" s="20"/>
      <c r="S102" s="20" t="s">
        <v>1307</v>
      </c>
      <c r="T102" s="20" t="s">
        <v>1307</v>
      </c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" hidden="1" thickBot="1" x14ac:dyDescent="0.35">
      <c r="A103" t="s">
        <v>52</v>
      </c>
      <c r="B103" s="39" t="s">
        <v>1279</v>
      </c>
      <c r="C103" s="39" t="s">
        <v>1158</v>
      </c>
      <c r="D103" t="s">
        <v>93</v>
      </c>
      <c r="E103" s="39" t="s">
        <v>73</v>
      </c>
      <c r="F103" s="39" t="s">
        <v>28</v>
      </c>
      <c r="G103" t="s">
        <v>1280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" hidden="1" thickBot="1" x14ac:dyDescent="0.35">
      <c r="A104" t="s">
        <v>52</v>
      </c>
      <c r="B104" s="39" t="s">
        <v>1295</v>
      </c>
      <c r="C104" s="39" t="s">
        <v>1158</v>
      </c>
      <c r="D104" t="s">
        <v>1296</v>
      </c>
      <c r="E104" s="39" t="s">
        <v>19</v>
      </c>
      <c r="F104" s="39" t="s">
        <v>28</v>
      </c>
      <c r="G104" t="s">
        <v>1297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" hidden="1" thickBot="1" x14ac:dyDescent="0.35">
      <c r="A105" t="s">
        <v>52</v>
      </c>
      <c r="B105" s="39" t="s">
        <v>1292</v>
      </c>
      <c r="C105" s="39" t="s">
        <v>1158</v>
      </c>
      <c r="D105" t="s">
        <v>1293</v>
      </c>
      <c r="E105" s="39" t="s">
        <v>19</v>
      </c>
      <c r="F105" s="39" t="s">
        <v>20</v>
      </c>
      <c r="G105" t="s">
        <v>1294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" hidden="1" thickBot="1" x14ac:dyDescent="0.35">
      <c r="A106" t="s">
        <v>168</v>
      </c>
      <c r="B106" t="s">
        <v>169</v>
      </c>
      <c r="C106" t="s">
        <v>1158</v>
      </c>
      <c r="D106" t="s">
        <v>170</v>
      </c>
      <c r="E106" s="39" t="s">
        <v>19</v>
      </c>
      <c r="F106" s="39" t="s">
        <v>20</v>
      </c>
      <c r="G106" t="s">
        <v>711</v>
      </c>
      <c r="H106" s="40">
        <f t="shared" si="8"/>
        <v>27</v>
      </c>
      <c r="I106" s="40">
        <f t="shared" si="9"/>
        <v>4</v>
      </c>
      <c r="J106" s="41">
        <f t="shared" si="10"/>
        <v>0.87096774193548387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 t="s">
        <v>1307</v>
      </c>
      <c r="X106" s="20" t="s">
        <v>1307</v>
      </c>
      <c r="Y106" s="20" t="s">
        <v>1307</v>
      </c>
      <c r="Z106" s="20" t="s">
        <v>1307</v>
      </c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" thickBot="1" x14ac:dyDescent="0.35">
      <c r="A107" t="s">
        <v>171</v>
      </c>
      <c r="B107" t="s">
        <v>172</v>
      </c>
      <c r="C107" t="s">
        <v>1158</v>
      </c>
      <c r="D107" t="s">
        <v>173</v>
      </c>
      <c r="E107" s="39" t="s">
        <v>19</v>
      </c>
      <c r="F107" s="39" t="s">
        <v>20</v>
      </c>
      <c r="G107" t="s">
        <v>712</v>
      </c>
      <c r="H107" s="40">
        <f t="shared" si="8"/>
        <v>16</v>
      </c>
      <c r="I107" s="40">
        <f t="shared" si="9"/>
        <v>15</v>
      </c>
      <c r="J107" s="41">
        <f t="shared" si="10"/>
        <v>0.5161290322580645</v>
      </c>
      <c r="K107" s="20"/>
      <c r="L107" s="20"/>
      <c r="M107" s="20" t="s">
        <v>1307</v>
      </c>
      <c r="N107" s="20" t="s">
        <v>1307</v>
      </c>
      <c r="O107" s="20" t="s">
        <v>1307</v>
      </c>
      <c r="P107" s="20" t="s">
        <v>1307</v>
      </c>
      <c r="Q107" s="20" t="s">
        <v>1307</v>
      </c>
      <c r="R107" s="20"/>
      <c r="S107" s="20"/>
      <c r="T107" s="20" t="s">
        <v>1307</v>
      </c>
      <c r="U107" s="20" t="s">
        <v>1307</v>
      </c>
      <c r="V107" s="20" t="s">
        <v>1307</v>
      </c>
      <c r="W107" s="20" t="s">
        <v>1307</v>
      </c>
      <c r="X107" s="20" t="s">
        <v>1307</v>
      </c>
      <c r="Y107" s="20" t="s">
        <v>1307</v>
      </c>
      <c r="Z107" s="20" t="s">
        <v>1307</v>
      </c>
      <c r="AA107" s="20" t="s">
        <v>1307</v>
      </c>
      <c r="AB107" s="20" t="s">
        <v>1307</v>
      </c>
      <c r="AC107" s="20" t="s">
        <v>1307</v>
      </c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" hidden="1" thickBot="1" x14ac:dyDescent="0.35">
      <c r="A108" t="s">
        <v>171</v>
      </c>
      <c r="B108" t="s">
        <v>174</v>
      </c>
      <c r="C108" t="s">
        <v>1158</v>
      </c>
      <c r="D108" t="s">
        <v>175</v>
      </c>
      <c r="E108" s="39" t="s">
        <v>15</v>
      </c>
      <c r="F108" s="39" t="s">
        <v>28</v>
      </c>
      <c r="G108" t="s">
        <v>713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" hidden="1" thickBot="1" x14ac:dyDescent="0.35">
      <c r="A109" t="s">
        <v>171</v>
      </c>
      <c r="B109" t="s">
        <v>176</v>
      </c>
      <c r="C109" t="s">
        <v>1158</v>
      </c>
      <c r="D109" t="s">
        <v>177</v>
      </c>
      <c r="E109" s="39" t="s">
        <v>15</v>
      </c>
      <c r="F109" s="39" t="s">
        <v>28</v>
      </c>
      <c r="G109" t="s">
        <v>714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" hidden="1" thickBot="1" x14ac:dyDescent="0.35">
      <c r="A110" t="s">
        <v>181</v>
      </c>
      <c r="B110" t="s">
        <v>1026</v>
      </c>
      <c r="C110" t="s">
        <v>1159</v>
      </c>
      <c r="D110" t="s">
        <v>184</v>
      </c>
      <c r="E110" s="39" t="s">
        <v>15</v>
      </c>
      <c r="F110" s="39" t="s">
        <v>20</v>
      </c>
      <c r="G110" t="s">
        <v>717</v>
      </c>
      <c r="H110" s="40">
        <f t="shared" si="8"/>
        <v>31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" hidden="1" thickBot="1" x14ac:dyDescent="0.35">
      <c r="A111" t="s">
        <v>178</v>
      </c>
      <c r="B111" t="s">
        <v>179</v>
      </c>
      <c r="C111" t="s">
        <v>1159</v>
      </c>
      <c r="D111" t="s">
        <v>180</v>
      </c>
      <c r="E111" s="39" t="s">
        <v>19</v>
      </c>
      <c r="F111" s="39" t="s">
        <v>20</v>
      </c>
      <c r="G111" t="s">
        <v>715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" hidden="1" thickBot="1" x14ac:dyDescent="0.35">
      <c r="A112" t="s">
        <v>181</v>
      </c>
      <c r="B112" t="s">
        <v>182</v>
      </c>
      <c r="C112" t="s">
        <v>1159</v>
      </c>
      <c r="D112" t="s">
        <v>183</v>
      </c>
      <c r="E112" s="39" t="s">
        <v>19</v>
      </c>
      <c r="F112" s="39" t="s">
        <v>20</v>
      </c>
      <c r="G112" t="s">
        <v>716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" hidden="1" thickBot="1" x14ac:dyDescent="0.35">
      <c r="A113" t="s">
        <v>187</v>
      </c>
      <c r="B113" t="s">
        <v>185</v>
      </c>
      <c r="C113" t="s">
        <v>1158</v>
      </c>
      <c r="D113" t="s">
        <v>186</v>
      </c>
      <c r="E113" s="39" t="s">
        <v>19</v>
      </c>
      <c r="F113" s="39" t="s">
        <v>16</v>
      </c>
      <c r="G113" t="s">
        <v>718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" hidden="1" thickBot="1" x14ac:dyDescent="0.35">
      <c r="A114" t="s">
        <v>187</v>
      </c>
      <c r="B114" t="s">
        <v>1027</v>
      </c>
      <c r="C114" t="s">
        <v>1158</v>
      </c>
      <c r="D114" t="s">
        <v>188</v>
      </c>
      <c r="E114" s="39" t="s">
        <v>73</v>
      </c>
      <c r="F114" s="39" t="s">
        <v>1151</v>
      </c>
      <c r="G114" t="s">
        <v>719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" hidden="1" thickBot="1" x14ac:dyDescent="0.35">
      <c r="A115" t="s">
        <v>187</v>
      </c>
      <c r="B115" t="s">
        <v>1028</v>
      </c>
      <c r="C115" t="s">
        <v>1158</v>
      </c>
      <c r="D115" t="s">
        <v>188</v>
      </c>
      <c r="E115" s="39" t="s">
        <v>73</v>
      </c>
      <c r="F115" s="39" t="s">
        <v>1151</v>
      </c>
      <c r="G115" t="s">
        <v>720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" thickBot="1" x14ac:dyDescent="0.35">
      <c r="A116" t="s">
        <v>187</v>
      </c>
      <c r="B116" t="s">
        <v>1029</v>
      </c>
      <c r="C116" t="s">
        <v>1158</v>
      </c>
      <c r="D116" t="s">
        <v>1030</v>
      </c>
      <c r="E116" s="39" t="s">
        <v>73</v>
      </c>
      <c r="F116" s="39" t="s">
        <v>20</v>
      </c>
      <c r="G116"/>
      <c r="H116" s="40">
        <f t="shared" si="8"/>
        <v>24</v>
      </c>
      <c r="I116" s="40">
        <f t="shared" si="9"/>
        <v>7</v>
      </c>
      <c r="J116" s="41">
        <f t="shared" si="10"/>
        <v>0.77419354838709675</v>
      </c>
      <c r="K116" s="20" t="s">
        <v>1307</v>
      </c>
      <c r="L116" s="20" t="s">
        <v>1307</v>
      </c>
      <c r="M116" s="20"/>
      <c r="N116" s="20"/>
      <c r="O116" s="20"/>
      <c r="P116" s="20"/>
      <c r="Q116" s="20"/>
      <c r="R116" s="20"/>
      <c r="S116" s="20"/>
      <c r="T116" s="20" t="s">
        <v>1307</v>
      </c>
      <c r="U116" s="20" t="s">
        <v>1307</v>
      </c>
      <c r="V116" s="20"/>
      <c r="W116" s="20"/>
      <c r="X116" s="20"/>
      <c r="Y116" s="20"/>
      <c r="Z116" s="20"/>
      <c r="AA116" s="20" t="s">
        <v>1307</v>
      </c>
      <c r="AB116" s="20" t="s">
        <v>1307</v>
      </c>
      <c r="AC116" s="20" t="s">
        <v>1307</v>
      </c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" thickBot="1" x14ac:dyDescent="0.35">
      <c r="A117" t="s">
        <v>187</v>
      </c>
      <c r="B117" t="s">
        <v>1031</v>
      </c>
      <c r="C117" t="s">
        <v>1158</v>
      </c>
      <c r="D117" t="s">
        <v>1030</v>
      </c>
      <c r="E117" s="39" t="s">
        <v>73</v>
      </c>
      <c r="F117" s="39" t="s">
        <v>20</v>
      </c>
      <c r="G117"/>
      <c r="H117" s="40">
        <f t="shared" si="8"/>
        <v>23</v>
      </c>
      <c r="I117" s="40">
        <f t="shared" si="9"/>
        <v>8</v>
      </c>
      <c r="J117" s="41">
        <f t="shared" si="10"/>
        <v>0.74193548387096775</v>
      </c>
      <c r="K117" s="20" t="s">
        <v>1307</v>
      </c>
      <c r="L117" s="20" t="s">
        <v>1307</v>
      </c>
      <c r="M117" s="20" t="s">
        <v>1307</v>
      </c>
      <c r="N117" s="20"/>
      <c r="O117" s="20"/>
      <c r="P117" s="20"/>
      <c r="Q117" s="20"/>
      <c r="R117" s="20"/>
      <c r="S117" s="20"/>
      <c r="T117" s="20" t="s">
        <v>1307</v>
      </c>
      <c r="U117" s="20" t="s">
        <v>1307</v>
      </c>
      <c r="V117" s="20"/>
      <c r="W117" s="20"/>
      <c r="X117" s="20"/>
      <c r="Y117" s="20"/>
      <c r="Z117" s="20"/>
      <c r="AA117" s="20" t="s">
        <v>1307</v>
      </c>
      <c r="AB117" s="20" t="s">
        <v>1307</v>
      </c>
      <c r="AC117" s="20" t="s">
        <v>1307</v>
      </c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" hidden="1" thickBot="1" x14ac:dyDescent="0.35">
      <c r="A118" t="s">
        <v>187</v>
      </c>
      <c r="B118" t="s">
        <v>1231</v>
      </c>
      <c r="C118" t="s">
        <v>1158</v>
      </c>
      <c r="D118" t="s">
        <v>1226</v>
      </c>
      <c r="E118" s="39" t="s">
        <v>73</v>
      </c>
      <c r="F118" s="39" t="s">
        <v>20</v>
      </c>
      <c r="G118" t="s">
        <v>1239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" hidden="1" thickBot="1" x14ac:dyDescent="0.35">
      <c r="A119" t="s">
        <v>187</v>
      </c>
      <c r="B119" t="s">
        <v>1232</v>
      </c>
      <c r="C119" t="s">
        <v>1158</v>
      </c>
      <c r="D119" t="s">
        <v>1226</v>
      </c>
      <c r="E119" s="39" t="s">
        <v>73</v>
      </c>
      <c r="F119" s="39" t="s">
        <v>20</v>
      </c>
      <c r="G119" t="s">
        <v>1240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2" hidden="1" customHeight="1" thickBot="1" x14ac:dyDescent="0.35">
      <c r="A120" t="s">
        <v>189</v>
      </c>
      <c r="B120" t="s">
        <v>1032</v>
      </c>
      <c r="C120" t="s">
        <v>1159</v>
      </c>
      <c r="D120" t="s">
        <v>190</v>
      </c>
      <c r="E120" s="39" t="s">
        <v>15</v>
      </c>
      <c r="F120" s="39" t="s">
        <v>28</v>
      </c>
      <c r="G120" t="s">
        <v>721</v>
      </c>
      <c r="H120" s="40">
        <f t="shared" si="8"/>
        <v>30</v>
      </c>
      <c r="I120" s="40">
        <f t="shared" si="9"/>
        <v>1</v>
      </c>
      <c r="J120" s="41">
        <f t="shared" si="10"/>
        <v>0.967741935483871</v>
      </c>
      <c r="K120" s="20" t="s">
        <v>1307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" hidden="1" thickBot="1" x14ac:dyDescent="0.35">
      <c r="A121" t="s">
        <v>189</v>
      </c>
      <c r="B121" t="s">
        <v>1033</v>
      </c>
      <c r="C121" t="s">
        <v>1159</v>
      </c>
      <c r="D121" t="s">
        <v>191</v>
      </c>
      <c r="E121" s="39" t="s">
        <v>15</v>
      </c>
      <c r="F121" s="39" t="s">
        <v>28</v>
      </c>
      <c r="G121" t="s">
        <v>722</v>
      </c>
      <c r="H121" s="40">
        <f t="shared" si="8"/>
        <v>30</v>
      </c>
      <c r="I121" s="40">
        <f t="shared" si="9"/>
        <v>1</v>
      </c>
      <c r="J121" s="41">
        <f t="shared" si="10"/>
        <v>0.967741935483871</v>
      </c>
      <c r="K121" s="20" t="s">
        <v>1307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" hidden="1" thickBot="1" x14ac:dyDescent="0.35">
      <c r="A122" t="s">
        <v>189</v>
      </c>
      <c r="B122" t="s">
        <v>1034</v>
      </c>
      <c r="C122" t="s">
        <v>1159</v>
      </c>
      <c r="D122" t="s">
        <v>192</v>
      </c>
      <c r="E122" s="39" t="s">
        <v>19</v>
      </c>
      <c r="F122" s="39" t="s">
        <v>28</v>
      </c>
      <c r="G122" t="s">
        <v>723</v>
      </c>
      <c r="H122" s="40">
        <f t="shared" si="8"/>
        <v>29</v>
      </c>
      <c r="I122" s="40">
        <f t="shared" si="9"/>
        <v>2</v>
      </c>
      <c r="J122" s="41">
        <f t="shared" si="10"/>
        <v>0.93548387096774188</v>
      </c>
      <c r="K122" s="20" t="s">
        <v>1307</v>
      </c>
      <c r="L122" s="20" t="s">
        <v>1307</v>
      </c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" hidden="1" thickBot="1" x14ac:dyDescent="0.35">
      <c r="A123" t="s">
        <v>189</v>
      </c>
      <c r="B123" t="s">
        <v>1035</v>
      </c>
      <c r="C123" t="s">
        <v>1159</v>
      </c>
      <c r="D123" t="s">
        <v>193</v>
      </c>
      <c r="E123" s="39" t="s">
        <v>15</v>
      </c>
      <c r="F123" s="39" t="s">
        <v>28</v>
      </c>
      <c r="G123" t="s">
        <v>724</v>
      </c>
      <c r="H123" s="40">
        <f t="shared" si="8"/>
        <v>30</v>
      </c>
      <c r="I123" s="40">
        <f t="shared" si="9"/>
        <v>1</v>
      </c>
      <c r="J123" s="41">
        <f t="shared" si="10"/>
        <v>0.967741935483871</v>
      </c>
      <c r="K123" s="20" t="s">
        <v>1307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" thickBot="1" x14ac:dyDescent="0.35">
      <c r="A124" t="s">
        <v>194</v>
      </c>
      <c r="B124" t="s">
        <v>197</v>
      </c>
      <c r="C124" t="s">
        <v>1159</v>
      </c>
      <c r="D124" t="s">
        <v>198</v>
      </c>
      <c r="E124" s="39" t="s">
        <v>19</v>
      </c>
      <c r="F124" s="39" t="s">
        <v>20</v>
      </c>
      <c r="G124" t="s">
        <v>725</v>
      </c>
      <c r="H124" s="40">
        <f t="shared" si="8"/>
        <v>13</v>
      </c>
      <c r="I124" s="40">
        <f t="shared" si="9"/>
        <v>18</v>
      </c>
      <c r="J124" s="41">
        <f t="shared" si="10"/>
        <v>0.41935483870967744</v>
      </c>
      <c r="K124" s="20" t="s">
        <v>1307</v>
      </c>
      <c r="L124" s="20" t="s">
        <v>1307</v>
      </c>
      <c r="M124" s="20" t="s">
        <v>1307</v>
      </c>
      <c r="N124" s="20" t="s">
        <v>1307</v>
      </c>
      <c r="O124" s="20" t="s">
        <v>1307</v>
      </c>
      <c r="P124" s="20" t="s">
        <v>1307</v>
      </c>
      <c r="Q124" s="20" t="s">
        <v>1307</v>
      </c>
      <c r="R124" s="20" t="s">
        <v>1307</v>
      </c>
      <c r="S124" s="20" t="s">
        <v>1307</v>
      </c>
      <c r="T124" s="20" t="s">
        <v>1307</v>
      </c>
      <c r="U124" s="20" t="s">
        <v>1307</v>
      </c>
      <c r="V124" s="20" t="s">
        <v>1307</v>
      </c>
      <c r="W124" s="20"/>
      <c r="X124" s="20" t="s">
        <v>1307</v>
      </c>
      <c r="Y124" s="20" t="s">
        <v>1307</v>
      </c>
      <c r="Z124" s="20" t="s">
        <v>1307</v>
      </c>
      <c r="AA124" s="20" t="s">
        <v>1307</v>
      </c>
      <c r="AB124" s="20" t="s">
        <v>1307</v>
      </c>
      <c r="AC124" s="20" t="s">
        <v>1307</v>
      </c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" hidden="1" thickBot="1" x14ac:dyDescent="0.35">
      <c r="A125" t="s">
        <v>199</v>
      </c>
      <c r="B125" t="s">
        <v>200</v>
      </c>
      <c r="C125" t="s">
        <v>1159</v>
      </c>
      <c r="D125" t="s">
        <v>201</v>
      </c>
      <c r="E125" s="39" t="s">
        <v>19</v>
      </c>
      <c r="F125" s="39" t="s">
        <v>1151</v>
      </c>
      <c r="G125" t="s">
        <v>726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" hidden="1" thickBot="1" x14ac:dyDescent="0.35">
      <c r="A126" t="s">
        <v>202</v>
      </c>
      <c r="B126" t="s">
        <v>203</v>
      </c>
      <c r="C126" t="s">
        <v>1159</v>
      </c>
      <c r="D126" t="s">
        <v>204</v>
      </c>
      <c r="E126" s="39" t="s">
        <v>15</v>
      </c>
      <c r="F126" s="39" t="s">
        <v>1151</v>
      </c>
      <c r="G126" t="s">
        <v>727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" hidden="1" thickBot="1" x14ac:dyDescent="0.35">
      <c r="A127" t="s">
        <v>194</v>
      </c>
      <c r="B127" t="s">
        <v>205</v>
      </c>
      <c r="C127" t="s">
        <v>1159</v>
      </c>
      <c r="D127" t="s">
        <v>206</v>
      </c>
      <c r="E127" s="39" t="s">
        <v>19</v>
      </c>
      <c r="F127" s="39" t="s">
        <v>1150</v>
      </c>
      <c r="G127" t="s">
        <v>728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" hidden="1" thickBot="1" x14ac:dyDescent="0.35">
      <c r="A128" t="s">
        <v>194</v>
      </c>
      <c r="B128" t="s">
        <v>207</v>
      </c>
      <c r="C128" t="s">
        <v>1159</v>
      </c>
      <c r="D128" t="s">
        <v>208</v>
      </c>
      <c r="E128" s="39" t="s">
        <v>19</v>
      </c>
      <c r="F128" s="39" t="s">
        <v>1150</v>
      </c>
      <c r="G128" t="s">
        <v>729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" hidden="1" thickBot="1" x14ac:dyDescent="0.35">
      <c r="A129" t="s">
        <v>194</v>
      </c>
      <c r="B129" t="s">
        <v>209</v>
      </c>
      <c r="C129" t="s">
        <v>1159</v>
      </c>
      <c r="D129" t="s">
        <v>210</v>
      </c>
      <c r="E129" s="39" t="s">
        <v>19</v>
      </c>
      <c r="F129" s="39" t="s">
        <v>20</v>
      </c>
      <c r="G129" t="s">
        <v>730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" hidden="1" thickBot="1" x14ac:dyDescent="0.35">
      <c r="A130" t="s">
        <v>194</v>
      </c>
      <c r="B130" t="s">
        <v>1037</v>
      </c>
      <c r="C130" t="s">
        <v>1159</v>
      </c>
      <c r="D130" t="s">
        <v>195</v>
      </c>
      <c r="E130" s="39" t="s">
        <v>15</v>
      </c>
      <c r="F130" s="39" t="s">
        <v>1151</v>
      </c>
      <c r="G130" t="s">
        <v>731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" hidden="1" thickBot="1" x14ac:dyDescent="0.35">
      <c r="A131" t="s">
        <v>194</v>
      </c>
      <c r="B131" t="s">
        <v>196</v>
      </c>
      <c r="C131" t="s">
        <v>1159</v>
      </c>
      <c r="D131" t="s">
        <v>1036</v>
      </c>
      <c r="E131" s="39" t="s">
        <v>46</v>
      </c>
      <c r="F131" s="39" t="s">
        <v>20</v>
      </c>
      <c r="G131" t="s">
        <v>732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" hidden="1" thickBot="1" x14ac:dyDescent="0.35">
      <c r="A132" t="s">
        <v>194</v>
      </c>
      <c r="B132" t="s">
        <v>211</v>
      </c>
      <c r="C132" t="s">
        <v>1159</v>
      </c>
      <c r="D132" t="s">
        <v>212</v>
      </c>
      <c r="E132" s="39" t="s">
        <v>73</v>
      </c>
      <c r="F132" s="39" t="s">
        <v>28</v>
      </c>
      <c r="G132" t="s">
        <v>733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" hidden="1" thickBot="1" x14ac:dyDescent="0.35">
      <c r="A133" t="s">
        <v>194</v>
      </c>
      <c r="B133" t="s">
        <v>213</v>
      </c>
      <c r="C133" t="s">
        <v>1159</v>
      </c>
      <c r="D133" t="s">
        <v>212</v>
      </c>
      <c r="E133" s="39" t="s">
        <v>73</v>
      </c>
      <c r="F133" s="39" t="s">
        <v>28</v>
      </c>
      <c r="G133" t="s">
        <v>734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" hidden="1" thickBot="1" x14ac:dyDescent="0.35">
      <c r="A134" t="s">
        <v>194</v>
      </c>
      <c r="B134" t="s">
        <v>214</v>
      </c>
      <c r="C134" t="s">
        <v>1159</v>
      </c>
      <c r="D134" t="s">
        <v>215</v>
      </c>
      <c r="E134" s="39" t="s">
        <v>73</v>
      </c>
      <c r="F134" s="39" t="s">
        <v>28</v>
      </c>
      <c r="G134" t="s">
        <v>701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/>
      <c r="N134" s="20"/>
      <c r="O134" s="20"/>
      <c r="P134" s="20"/>
      <c r="Q134" s="20" t="s">
        <v>1307</v>
      </c>
      <c r="R134" s="20"/>
      <c r="S134" s="20" t="s">
        <v>1307</v>
      </c>
      <c r="T134" s="20" t="s">
        <v>1307</v>
      </c>
      <c r="U134" s="20" t="s">
        <v>1307</v>
      </c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" hidden="1" thickBot="1" x14ac:dyDescent="0.35">
      <c r="A135" t="s">
        <v>194</v>
      </c>
      <c r="B135" t="s">
        <v>216</v>
      </c>
      <c r="C135" t="s">
        <v>1159</v>
      </c>
      <c r="D135" t="s">
        <v>215</v>
      </c>
      <c r="E135" s="39" t="s">
        <v>73</v>
      </c>
      <c r="F135" s="39" t="s">
        <v>28</v>
      </c>
      <c r="G135" t="s">
        <v>702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/>
      <c r="N135" s="20"/>
      <c r="O135" s="20"/>
      <c r="P135" s="20"/>
      <c r="Q135" s="20" t="s">
        <v>1307</v>
      </c>
      <c r="R135" s="20"/>
      <c r="S135" s="20" t="s">
        <v>1307</v>
      </c>
      <c r="T135" s="44" t="s">
        <v>1307</v>
      </c>
      <c r="U135" s="20" t="s">
        <v>1307</v>
      </c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" hidden="1" thickBot="1" x14ac:dyDescent="0.35">
      <c r="A136" t="s">
        <v>194</v>
      </c>
      <c r="B136" s="39" t="s">
        <v>1267</v>
      </c>
      <c r="C136" s="39" t="s">
        <v>1159</v>
      </c>
      <c r="D136" t="s">
        <v>1250</v>
      </c>
      <c r="E136" s="39" t="s">
        <v>1211</v>
      </c>
      <c r="F136" s="39" t="s">
        <v>28</v>
      </c>
      <c r="G136" s="21" t="s">
        <v>1251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/>
      <c r="N136" s="20"/>
      <c r="O136" s="20"/>
      <c r="P136" s="20"/>
      <c r="Q136" s="20" t="s">
        <v>1307</v>
      </c>
      <c r="R136" s="20"/>
      <c r="S136" s="20" t="s">
        <v>1307</v>
      </c>
      <c r="T136" s="20" t="s">
        <v>1307</v>
      </c>
      <c r="U136" s="20" t="s">
        <v>1307</v>
      </c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" hidden="1" thickBot="1" x14ac:dyDescent="0.35">
      <c r="A137" t="s">
        <v>194</v>
      </c>
      <c r="B137" s="39" t="s">
        <v>1266</v>
      </c>
      <c r="C137" s="39" t="s">
        <v>1159</v>
      </c>
      <c r="D137" t="s">
        <v>1250</v>
      </c>
      <c r="E137" s="39" t="s">
        <v>1211</v>
      </c>
      <c r="F137" s="39" t="s">
        <v>28</v>
      </c>
      <c r="G137" s="21" t="s">
        <v>1252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/>
      <c r="N137" s="20"/>
      <c r="O137" s="20"/>
      <c r="P137" s="20"/>
      <c r="Q137" s="20" t="s">
        <v>1307</v>
      </c>
      <c r="R137" s="20"/>
      <c r="S137" s="20" t="s">
        <v>1307</v>
      </c>
      <c r="T137" s="20" t="s">
        <v>1307</v>
      </c>
      <c r="U137" s="20" t="s">
        <v>1307</v>
      </c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" hidden="1" thickBot="1" x14ac:dyDescent="0.35">
      <c r="A138" t="s">
        <v>194</v>
      </c>
      <c r="B138" s="39" t="s">
        <v>1269</v>
      </c>
      <c r="C138" s="39" t="s">
        <v>1159</v>
      </c>
      <c r="D138" t="s">
        <v>1247</v>
      </c>
      <c r="E138" s="39" t="s">
        <v>73</v>
      </c>
      <c r="F138" s="39" t="s">
        <v>28</v>
      </c>
      <c r="G138" s="21" t="s">
        <v>1248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" hidden="1" thickBot="1" x14ac:dyDescent="0.35">
      <c r="A139" t="s">
        <v>194</v>
      </c>
      <c r="B139" s="39" t="s">
        <v>1270</v>
      </c>
      <c r="C139" s="39" t="s">
        <v>1159</v>
      </c>
      <c r="D139" t="s">
        <v>1247</v>
      </c>
      <c r="E139" s="39" t="s">
        <v>73</v>
      </c>
      <c r="F139" s="39" t="s">
        <v>28</v>
      </c>
      <c r="G139" s="21" t="s">
        <v>1249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" hidden="1" thickBot="1" x14ac:dyDescent="0.35">
      <c r="A140" t="s">
        <v>217</v>
      </c>
      <c r="B140" t="s">
        <v>1038</v>
      </c>
      <c r="C140" t="s">
        <v>1159</v>
      </c>
      <c r="D140" t="s">
        <v>218</v>
      </c>
      <c r="E140" s="39" t="s">
        <v>15</v>
      </c>
      <c r="F140" s="39" t="s">
        <v>28</v>
      </c>
      <c r="G140" t="s">
        <v>736</v>
      </c>
      <c r="H140" s="40">
        <f t="shared" si="17"/>
        <v>30</v>
      </c>
      <c r="I140" s="40">
        <f t="shared" si="9"/>
        <v>1</v>
      </c>
      <c r="J140" s="41">
        <f t="shared" si="10"/>
        <v>0.967741935483871</v>
      </c>
      <c r="K140" s="20" t="s">
        <v>1307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" hidden="1" thickBot="1" x14ac:dyDescent="0.35">
      <c r="A141" t="s">
        <v>217</v>
      </c>
      <c r="B141" t="s">
        <v>1039</v>
      </c>
      <c r="C141" t="s">
        <v>1159</v>
      </c>
      <c r="D141" t="s">
        <v>219</v>
      </c>
      <c r="E141" s="39" t="s">
        <v>15</v>
      </c>
      <c r="F141" s="39" t="s">
        <v>28</v>
      </c>
      <c r="G141" t="s">
        <v>737</v>
      </c>
      <c r="H141" s="40">
        <f t="shared" si="17"/>
        <v>30</v>
      </c>
      <c r="I141" s="40">
        <f t="shared" si="9"/>
        <v>1</v>
      </c>
      <c r="J141" s="41">
        <f t="shared" si="10"/>
        <v>0.967741935483871</v>
      </c>
      <c r="K141" s="20" t="s">
        <v>1307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" hidden="1" thickBot="1" x14ac:dyDescent="0.35">
      <c r="A142" t="s">
        <v>220</v>
      </c>
      <c r="B142" t="s">
        <v>1040</v>
      </c>
      <c r="C142" t="s">
        <v>1159</v>
      </c>
      <c r="D142" t="s">
        <v>221</v>
      </c>
      <c r="E142" s="39"/>
      <c r="F142" s="39" t="s">
        <v>28</v>
      </c>
      <c r="G142" t="s">
        <v>738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" hidden="1" thickBot="1" x14ac:dyDescent="0.35">
      <c r="A143" t="s">
        <v>232</v>
      </c>
      <c r="B143" t="s">
        <v>233</v>
      </c>
      <c r="C143" t="s">
        <v>1158</v>
      </c>
      <c r="D143" t="s">
        <v>234</v>
      </c>
      <c r="E143" s="39" t="s">
        <v>15</v>
      </c>
      <c r="F143" s="39" t="s">
        <v>20</v>
      </c>
      <c r="G143" t="s">
        <v>739</v>
      </c>
      <c r="H143" s="40">
        <f t="shared" si="17"/>
        <v>29</v>
      </c>
      <c r="I143" s="40">
        <f t="shared" ref="I143:I236" si="18">COUNTIF(K143:AL143,"APAGADO")</f>
        <v>2</v>
      </c>
      <c r="J143" s="41">
        <f t="shared" ref="J143:J236" si="19">(H143)/(I143+H143)</f>
        <v>0.93548387096774188</v>
      </c>
      <c r="K143" s="20" t="s">
        <v>1307</v>
      </c>
      <c r="L143" s="20" t="s">
        <v>1307</v>
      </c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" hidden="1" thickBot="1" x14ac:dyDescent="0.35">
      <c r="A144" t="s">
        <v>171</v>
      </c>
      <c r="B144" t="s">
        <v>235</v>
      </c>
      <c r="C144" t="s">
        <v>1158</v>
      </c>
      <c r="D144" t="s">
        <v>236</v>
      </c>
      <c r="E144" s="39" t="s">
        <v>19</v>
      </c>
      <c r="F144" s="39" t="s">
        <v>20</v>
      </c>
      <c r="G144" t="s">
        <v>740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" hidden="1" thickBot="1" x14ac:dyDescent="0.35">
      <c r="A145" t="s">
        <v>222</v>
      </c>
      <c r="B145" t="s">
        <v>237</v>
      </c>
      <c r="C145" t="s">
        <v>1158</v>
      </c>
      <c r="D145" t="s">
        <v>238</v>
      </c>
      <c r="E145" s="39" t="s">
        <v>19</v>
      </c>
      <c r="F145" s="39" t="s">
        <v>20</v>
      </c>
      <c r="G145" t="s">
        <v>741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" hidden="1" thickBot="1" x14ac:dyDescent="0.35">
      <c r="A146" t="s">
        <v>222</v>
      </c>
      <c r="B146" t="s">
        <v>239</v>
      </c>
      <c r="C146" t="s">
        <v>1158</v>
      </c>
      <c r="D146" t="s">
        <v>240</v>
      </c>
      <c r="E146" s="39" t="s">
        <v>19</v>
      </c>
      <c r="F146" s="39" t="s">
        <v>20</v>
      </c>
      <c r="G146" t="s">
        <v>742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" hidden="1" thickBot="1" x14ac:dyDescent="0.35">
      <c r="A147" t="s">
        <v>222</v>
      </c>
      <c r="B147" t="s">
        <v>241</v>
      </c>
      <c r="C147" t="s">
        <v>1158</v>
      </c>
      <c r="D147" t="s">
        <v>242</v>
      </c>
      <c r="E147" s="39" t="s">
        <v>19</v>
      </c>
      <c r="F147" s="39" t="s">
        <v>20</v>
      </c>
      <c r="G147" t="s">
        <v>743</v>
      </c>
      <c r="H147" s="40">
        <f t="shared" si="17"/>
        <v>31</v>
      </c>
      <c r="I147" s="40">
        <f t="shared" si="18"/>
        <v>0</v>
      </c>
      <c r="J147" s="41">
        <f t="shared" si="19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" hidden="1" thickBot="1" x14ac:dyDescent="0.35">
      <c r="A148" t="s">
        <v>222</v>
      </c>
      <c r="B148" t="s">
        <v>243</v>
      </c>
      <c r="C148" t="s">
        <v>1158</v>
      </c>
      <c r="D148" t="s">
        <v>244</v>
      </c>
      <c r="E148" s="39" t="s">
        <v>15</v>
      </c>
      <c r="F148" s="39" t="s">
        <v>20</v>
      </c>
      <c r="G148" t="s">
        <v>744</v>
      </c>
      <c r="H148" s="40">
        <f t="shared" si="17"/>
        <v>31</v>
      </c>
      <c r="I148" s="40">
        <f t="shared" si="18"/>
        <v>0</v>
      </c>
      <c r="J148" s="41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" hidden="1" thickBot="1" x14ac:dyDescent="0.35">
      <c r="A149" t="s">
        <v>222</v>
      </c>
      <c r="B149" t="s">
        <v>223</v>
      </c>
      <c r="C149" t="s">
        <v>1158</v>
      </c>
      <c r="D149" t="s">
        <v>224</v>
      </c>
      <c r="E149" s="39" t="s">
        <v>15</v>
      </c>
      <c r="F149" s="39" t="s">
        <v>20</v>
      </c>
      <c r="G149" t="s">
        <v>745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" hidden="1" thickBot="1" x14ac:dyDescent="0.35">
      <c r="A150" t="s">
        <v>222</v>
      </c>
      <c r="B150" t="s">
        <v>1045</v>
      </c>
      <c r="C150" t="s">
        <v>1158</v>
      </c>
      <c r="D150" t="s">
        <v>225</v>
      </c>
      <c r="E150" s="39" t="s">
        <v>15</v>
      </c>
      <c r="F150" s="39" t="s">
        <v>20</v>
      </c>
      <c r="G150" t="s">
        <v>746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" hidden="1" thickBot="1" x14ac:dyDescent="0.35">
      <c r="A151" t="s">
        <v>222</v>
      </c>
      <c r="B151" t="s">
        <v>1046</v>
      </c>
      <c r="C151" t="s">
        <v>1158</v>
      </c>
      <c r="D151" t="s">
        <v>226</v>
      </c>
      <c r="E151" s="39" t="s">
        <v>15</v>
      </c>
      <c r="F151" s="39" t="s">
        <v>20</v>
      </c>
      <c r="G151" t="s">
        <v>733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" hidden="1" thickBot="1" x14ac:dyDescent="0.35">
      <c r="A152" t="s">
        <v>222</v>
      </c>
      <c r="B152" t="s">
        <v>227</v>
      </c>
      <c r="C152" t="s">
        <v>1158</v>
      </c>
      <c r="D152" t="s">
        <v>228</v>
      </c>
      <c r="E152" s="39" t="s">
        <v>15</v>
      </c>
      <c r="F152" s="39" t="s">
        <v>20</v>
      </c>
      <c r="G152" t="s">
        <v>747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" hidden="1" thickBot="1" x14ac:dyDescent="0.35">
      <c r="A153" t="s">
        <v>222</v>
      </c>
      <c r="B153" t="s">
        <v>245</v>
      </c>
      <c r="C153" t="s">
        <v>1158</v>
      </c>
      <c r="D153" t="s">
        <v>246</v>
      </c>
      <c r="E153" s="39" t="s">
        <v>15</v>
      </c>
      <c r="F153" s="39" t="s">
        <v>28</v>
      </c>
      <c r="G153" t="s">
        <v>748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" hidden="1" thickBot="1" x14ac:dyDescent="0.35">
      <c r="A154" t="s">
        <v>222</v>
      </c>
      <c r="B154" t="s">
        <v>229</v>
      </c>
      <c r="C154" t="s">
        <v>1158</v>
      </c>
      <c r="D154" t="s">
        <v>230</v>
      </c>
      <c r="E154" s="39" t="s">
        <v>73</v>
      </c>
      <c r="F154" s="39" t="s">
        <v>1151</v>
      </c>
      <c r="G154" t="s">
        <v>749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" hidden="1" thickBot="1" x14ac:dyDescent="0.35">
      <c r="A155" t="s">
        <v>222</v>
      </c>
      <c r="B155" t="s">
        <v>231</v>
      </c>
      <c r="C155" t="s">
        <v>1158</v>
      </c>
      <c r="D155" t="s">
        <v>230</v>
      </c>
      <c r="E155" s="39" t="s">
        <v>73</v>
      </c>
      <c r="F155" s="39" t="s">
        <v>1151</v>
      </c>
      <c r="G155" t="s">
        <v>750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" hidden="1" thickBot="1" x14ac:dyDescent="0.35">
      <c r="A156" t="s">
        <v>222</v>
      </c>
      <c r="B156" t="s">
        <v>1041</v>
      </c>
      <c r="C156" t="s">
        <v>1158</v>
      </c>
      <c r="D156" t="s">
        <v>247</v>
      </c>
      <c r="E156" s="39" t="s">
        <v>73</v>
      </c>
      <c r="F156" s="39" t="s">
        <v>1151</v>
      </c>
      <c r="G156" t="s">
        <v>751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" hidden="1" thickBot="1" x14ac:dyDescent="0.35">
      <c r="A157" t="s">
        <v>222</v>
      </c>
      <c r="B157" t="s">
        <v>1042</v>
      </c>
      <c r="C157" t="s">
        <v>1158</v>
      </c>
      <c r="D157" t="s">
        <v>247</v>
      </c>
      <c r="E157" s="39" t="s">
        <v>73</v>
      </c>
      <c r="F157" s="39" t="s">
        <v>1151</v>
      </c>
      <c r="G157" t="s">
        <v>752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" hidden="1" thickBot="1" x14ac:dyDescent="0.35">
      <c r="A158" t="s">
        <v>222</v>
      </c>
      <c r="B158" t="s">
        <v>1043</v>
      </c>
      <c r="C158" t="s">
        <v>1158</v>
      </c>
      <c r="D158" t="s">
        <v>248</v>
      </c>
      <c r="E158" s="39" t="s">
        <v>73</v>
      </c>
      <c r="F158" s="39" t="s">
        <v>1151</v>
      </c>
      <c r="G158" t="s">
        <v>753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" hidden="1" thickBot="1" x14ac:dyDescent="0.35">
      <c r="A159" t="s">
        <v>222</v>
      </c>
      <c r="B159" t="s">
        <v>1044</v>
      </c>
      <c r="C159" t="s">
        <v>1158</v>
      </c>
      <c r="D159" t="s">
        <v>248</v>
      </c>
      <c r="E159" s="39" t="s">
        <v>73</v>
      </c>
      <c r="F159" s="39" t="s">
        <v>1151</v>
      </c>
      <c r="G159" t="s">
        <v>754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" hidden="1" thickBot="1" x14ac:dyDescent="0.35">
      <c r="A160" t="s">
        <v>101</v>
      </c>
      <c r="B160" t="s">
        <v>249</v>
      </c>
      <c r="C160" t="s">
        <v>1158</v>
      </c>
      <c r="D160" t="s">
        <v>250</v>
      </c>
      <c r="E160" s="39" t="s">
        <v>15</v>
      </c>
      <c r="F160" s="39" t="s">
        <v>1151</v>
      </c>
      <c r="G160" t="s">
        <v>755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" hidden="1" thickBot="1" x14ac:dyDescent="0.35">
      <c r="A161" t="s">
        <v>101</v>
      </c>
      <c r="B161" t="s">
        <v>251</v>
      </c>
      <c r="C161" t="s">
        <v>1158</v>
      </c>
      <c r="D161" t="s">
        <v>252</v>
      </c>
      <c r="E161" s="39" t="s">
        <v>15</v>
      </c>
      <c r="F161" s="39" t="s">
        <v>1151</v>
      </c>
      <c r="G161" t="s">
        <v>756</v>
      </c>
      <c r="H161" s="40">
        <f t="shared" si="17"/>
        <v>26</v>
      </c>
      <c r="I161" s="40">
        <f t="shared" si="18"/>
        <v>5</v>
      </c>
      <c r="J161" s="41">
        <f t="shared" si="19"/>
        <v>0.83870967741935487</v>
      </c>
      <c r="K161" s="20"/>
      <c r="L161" s="20" t="s">
        <v>1307</v>
      </c>
      <c r="M161" s="20" t="s">
        <v>1307</v>
      </c>
      <c r="N161" s="20" t="s">
        <v>1307</v>
      </c>
      <c r="O161" s="20" t="s">
        <v>1307</v>
      </c>
      <c r="P161" s="20"/>
      <c r="Q161" s="20" t="s">
        <v>1307</v>
      </c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" hidden="1" thickBot="1" x14ac:dyDescent="0.35">
      <c r="A162" t="s">
        <v>101</v>
      </c>
      <c r="B162" t="s">
        <v>253</v>
      </c>
      <c r="C162" t="s">
        <v>1158</v>
      </c>
      <c r="D162" t="s">
        <v>254</v>
      </c>
      <c r="E162" s="39" t="s">
        <v>15</v>
      </c>
      <c r="F162" s="39" t="s">
        <v>1151</v>
      </c>
      <c r="G162" t="s">
        <v>757</v>
      </c>
      <c r="H162" s="40">
        <f t="shared" si="17"/>
        <v>29</v>
      </c>
      <c r="I162" s="40">
        <f t="shared" si="18"/>
        <v>2</v>
      </c>
      <c r="J162" s="41">
        <f t="shared" si="19"/>
        <v>0.93548387096774188</v>
      </c>
      <c r="K162" s="20" t="s">
        <v>1307</v>
      </c>
      <c r="L162" s="20"/>
      <c r="M162" s="20"/>
      <c r="N162" s="20"/>
      <c r="O162" s="20"/>
      <c r="P162" s="20"/>
      <c r="Q162" s="20" t="s">
        <v>1307</v>
      </c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" hidden="1" thickBot="1" x14ac:dyDescent="0.35">
      <c r="A163" t="s">
        <v>202</v>
      </c>
      <c r="B163" t="s">
        <v>1281</v>
      </c>
      <c r="C163" t="s">
        <v>1159</v>
      </c>
      <c r="D163" t="s">
        <v>1282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" hidden="1" thickBot="1" x14ac:dyDescent="0.35">
      <c r="A164" t="s">
        <v>202</v>
      </c>
      <c r="B164" t="s">
        <v>1283</v>
      </c>
      <c r="C164" t="s">
        <v>1159</v>
      </c>
      <c r="D164" t="s">
        <v>1284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" hidden="1" thickBot="1" x14ac:dyDescent="0.35">
      <c r="A165" t="s">
        <v>171</v>
      </c>
      <c r="B165" t="s">
        <v>1047</v>
      </c>
      <c r="C165" t="s">
        <v>1158</v>
      </c>
      <c r="D165" t="s">
        <v>1183</v>
      </c>
      <c r="E165" s="39" t="s">
        <v>19</v>
      </c>
      <c r="F165" s="39" t="s">
        <v>20</v>
      </c>
      <c r="G165" t="s">
        <v>758</v>
      </c>
      <c r="H165" s="40">
        <f t="shared" si="17"/>
        <v>30</v>
      </c>
      <c r="I165" s="40">
        <f t="shared" si="18"/>
        <v>1</v>
      </c>
      <c r="J165" s="41">
        <f t="shared" si="19"/>
        <v>0.967741935483871</v>
      </c>
      <c r="K165" s="20"/>
      <c r="L165" s="20"/>
      <c r="M165" s="20"/>
      <c r="N165" s="20"/>
      <c r="O165" s="20"/>
      <c r="P165" s="20"/>
      <c r="Q165" s="20"/>
      <c r="R165" s="20" t="s">
        <v>1307</v>
      </c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" hidden="1" thickBot="1" x14ac:dyDescent="0.35">
      <c r="A166" t="s">
        <v>171</v>
      </c>
      <c r="B166" t="s">
        <v>255</v>
      </c>
      <c r="C166" t="s">
        <v>1158</v>
      </c>
      <c r="D166" t="s">
        <v>256</v>
      </c>
      <c r="E166" s="39" t="s">
        <v>19</v>
      </c>
      <c r="F166" s="39" t="s">
        <v>20</v>
      </c>
      <c r="G166" t="s">
        <v>759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" hidden="1" thickBot="1" x14ac:dyDescent="0.35">
      <c r="A167" t="s">
        <v>257</v>
      </c>
      <c r="B167" t="s">
        <v>258</v>
      </c>
      <c r="C167" t="s">
        <v>1158</v>
      </c>
      <c r="D167" t="s">
        <v>259</v>
      </c>
      <c r="E167" s="39" t="s">
        <v>73</v>
      </c>
      <c r="F167" s="39" t="s">
        <v>28</v>
      </c>
      <c r="G167" t="s">
        <v>760</v>
      </c>
      <c r="H167" s="40">
        <f t="shared" si="17"/>
        <v>30</v>
      </c>
      <c r="I167" s="40">
        <f t="shared" si="18"/>
        <v>1</v>
      </c>
      <c r="J167" s="41">
        <f t="shared" si="19"/>
        <v>0.967741935483871</v>
      </c>
      <c r="K167" s="20"/>
      <c r="L167" s="20"/>
      <c r="M167" s="20"/>
      <c r="N167" s="20"/>
      <c r="O167" s="20"/>
      <c r="P167" s="20"/>
      <c r="Q167" s="20"/>
      <c r="R167" s="20" t="s">
        <v>1307</v>
      </c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" hidden="1" thickBot="1" x14ac:dyDescent="0.35">
      <c r="A168" t="s">
        <v>257</v>
      </c>
      <c r="B168" t="s">
        <v>260</v>
      </c>
      <c r="C168" t="s">
        <v>1158</v>
      </c>
      <c r="D168" t="s">
        <v>259</v>
      </c>
      <c r="E168" s="39" t="s">
        <v>46</v>
      </c>
      <c r="F168" s="39" t="s">
        <v>28</v>
      </c>
      <c r="G168" t="s">
        <v>735</v>
      </c>
      <c r="H168" s="40">
        <f t="shared" si="17"/>
        <v>30</v>
      </c>
      <c r="I168" s="40">
        <f t="shared" si="18"/>
        <v>1</v>
      </c>
      <c r="J168" s="41">
        <f t="shared" si="19"/>
        <v>0.967741935483871</v>
      </c>
      <c r="K168" s="20"/>
      <c r="L168" s="20"/>
      <c r="M168" s="20"/>
      <c r="N168" s="20"/>
      <c r="O168" s="20"/>
      <c r="P168" s="20"/>
      <c r="Q168" s="20"/>
      <c r="R168" s="20" t="s">
        <v>1307</v>
      </c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" hidden="1" thickBot="1" x14ac:dyDescent="0.35">
      <c r="A169" t="s">
        <v>261</v>
      </c>
      <c r="B169" t="s">
        <v>1048</v>
      </c>
      <c r="C169" t="s">
        <v>1159</v>
      </c>
      <c r="D169" t="s">
        <v>262</v>
      </c>
      <c r="E169" s="39" t="s">
        <v>15</v>
      </c>
      <c r="F169" s="39" t="s">
        <v>1150</v>
      </c>
      <c r="G169" t="s">
        <v>761</v>
      </c>
      <c r="H169" s="40">
        <f t="shared" si="17"/>
        <v>29</v>
      </c>
      <c r="I169" s="40">
        <f t="shared" si="18"/>
        <v>2</v>
      </c>
      <c r="J169" s="41">
        <f t="shared" si="19"/>
        <v>0.93548387096774188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 t="s">
        <v>1307</v>
      </c>
      <c r="U169" s="20" t="s">
        <v>1307</v>
      </c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" hidden="1" thickBot="1" x14ac:dyDescent="0.35">
      <c r="A170" t="s">
        <v>261</v>
      </c>
      <c r="B170" t="s">
        <v>263</v>
      </c>
      <c r="C170" t="s">
        <v>1159</v>
      </c>
      <c r="D170" t="s">
        <v>264</v>
      </c>
      <c r="E170" s="39" t="s">
        <v>73</v>
      </c>
      <c r="F170" s="39" t="s">
        <v>28</v>
      </c>
      <c r="G170" t="s">
        <v>762</v>
      </c>
      <c r="H170" s="40">
        <f t="shared" si="17"/>
        <v>31</v>
      </c>
      <c r="I170" s="40">
        <f t="shared" si="18"/>
        <v>0</v>
      </c>
      <c r="J170" s="41">
        <f t="shared" si="19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" hidden="1" thickBot="1" x14ac:dyDescent="0.35">
      <c r="A171" t="s">
        <v>261</v>
      </c>
      <c r="B171" t="s">
        <v>265</v>
      </c>
      <c r="C171" t="s">
        <v>1159</v>
      </c>
      <c r="D171" t="s">
        <v>264</v>
      </c>
      <c r="E171" s="39" t="s">
        <v>73</v>
      </c>
      <c r="F171" s="39" t="s">
        <v>28</v>
      </c>
      <c r="G171" t="s">
        <v>763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" hidden="1" thickBot="1" x14ac:dyDescent="0.35">
      <c r="A172" t="s">
        <v>270</v>
      </c>
      <c r="B172" t="s">
        <v>1049</v>
      </c>
      <c r="C172" t="s">
        <v>1158</v>
      </c>
      <c r="D172" t="s">
        <v>275</v>
      </c>
      <c r="E172" s="39" t="s">
        <v>73</v>
      </c>
      <c r="F172" s="39" t="s">
        <v>28</v>
      </c>
      <c r="G172" t="s">
        <v>768</v>
      </c>
      <c r="H172" s="40">
        <f t="shared" si="17"/>
        <v>17</v>
      </c>
      <c r="I172" s="40">
        <f t="shared" si="18"/>
        <v>14</v>
      </c>
      <c r="J172" s="41">
        <f t="shared" si="19"/>
        <v>0.54838709677419351</v>
      </c>
      <c r="K172" s="20" t="s">
        <v>1307</v>
      </c>
      <c r="L172" s="20" t="s">
        <v>1307</v>
      </c>
      <c r="M172" s="20" t="s">
        <v>1307</v>
      </c>
      <c r="N172" s="20" t="s">
        <v>1307</v>
      </c>
      <c r="O172" s="20" t="s">
        <v>1307</v>
      </c>
      <c r="P172" s="20" t="s">
        <v>1307</v>
      </c>
      <c r="Q172" s="20" t="s">
        <v>1307</v>
      </c>
      <c r="R172" s="20" t="s">
        <v>1307</v>
      </c>
      <c r="S172" s="20" t="s">
        <v>1307</v>
      </c>
      <c r="T172" s="20" t="s">
        <v>1307</v>
      </c>
      <c r="U172" s="20" t="s">
        <v>1307</v>
      </c>
      <c r="V172" s="20" t="s">
        <v>1307</v>
      </c>
      <c r="W172" s="20" t="s">
        <v>1307</v>
      </c>
      <c r="X172" s="20" t="s">
        <v>1307</v>
      </c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" hidden="1" thickBot="1" x14ac:dyDescent="0.35">
      <c r="A173" t="s">
        <v>270</v>
      </c>
      <c r="B173" t="s">
        <v>1050</v>
      </c>
      <c r="C173" t="s">
        <v>1158</v>
      </c>
      <c r="D173" t="s">
        <v>1184</v>
      </c>
      <c r="E173" s="39" t="s">
        <v>19</v>
      </c>
      <c r="F173" s="39" t="s">
        <v>28</v>
      </c>
      <c r="G173" t="s">
        <v>772</v>
      </c>
      <c r="H173" s="40">
        <f t="shared" si="17"/>
        <v>17</v>
      </c>
      <c r="I173" s="40">
        <f t="shared" si="18"/>
        <v>14</v>
      </c>
      <c r="J173" s="41">
        <f t="shared" si="19"/>
        <v>0.54838709677419351</v>
      </c>
      <c r="K173" s="20" t="s">
        <v>1307</v>
      </c>
      <c r="L173" s="20" t="s">
        <v>1307</v>
      </c>
      <c r="M173" s="20" t="s">
        <v>1307</v>
      </c>
      <c r="N173" s="20" t="s">
        <v>1307</v>
      </c>
      <c r="O173" s="20" t="s">
        <v>1307</v>
      </c>
      <c r="P173" s="20" t="s">
        <v>1307</v>
      </c>
      <c r="Q173" s="20" t="s">
        <v>1307</v>
      </c>
      <c r="R173" s="20" t="s">
        <v>1307</v>
      </c>
      <c r="S173" s="20" t="s">
        <v>1307</v>
      </c>
      <c r="T173" s="20" t="s">
        <v>1307</v>
      </c>
      <c r="U173" s="20" t="s">
        <v>1307</v>
      </c>
      <c r="V173" s="20" t="s">
        <v>1307</v>
      </c>
      <c r="W173" s="20" t="s">
        <v>1307</v>
      </c>
      <c r="X173" s="20" t="s">
        <v>1307</v>
      </c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" hidden="1" thickBot="1" x14ac:dyDescent="0.35">
      <c r="A174" t="s">
        <v>270</v>
      </c>
      <c r="B174" t="s">
        <v>1051</v>
      </c>
      <c r="C174" t="s">
        <v>1158</v>
      </c>
      <c r="D174" t="s">
        <v>282</v>
      </c>
      <c r="E174" s="39" t="s">
        <v>19</v>
      </c>
      <c r="F174" s="39" t="s">
        <v>28</v>
      </c>
      <c r="G174" t="s">
        <v>773</v>
      </c>
      <c r="H174" s="40">
        <f t="shared" si="17"/>
        <v>16</v>
      </c>
      <c r="I174" s="40">
        <f t="shared" si="18"/>
        <v>15</v>
      </c>
      <c r="J174" s="41">
        <f t="shared" si="19"/>
        <v>0.5161290322580645</v>
      </c>
      <c r="K174" s="20" t="s">
        <v>1307</v>
      </c>
      <c r="L174" s="20" t="s">
        <v>1307</v>
      </c>
      <c r="M174" s="20" t="s">
        <v>1307</v>
      </c>
      <c r="N174" s="20" t="s">
        <v>1307</v>
      </c>
      <c r="O174" s="20" t="s">
        <v>1307</v>
      </c>
      <c r="P174" s="20" t="s">
        <v>1307</v>
      </c>
      <c r="Q174" s="20" t="s">
        <v>1307</v>
      </c>
      <c r="R174" s="20" t="s">
        <v>1307</v>
      </c>
      <c r="S174" s="20" t="s">
        <v>1307</v>
      </c>
      <c r="T174" s="20" t="s">
        <v>1307</v>
      </c>
      <c r="U174" s="20" t="s">
        <v>1307</v>
      </c>
      <c r="V174" s="20" t="s">
        <v>1307</v>
      </c>
      <c r="W174" s="20" t="s">
        <v>1307</v>
      </c>
      <c r="X174" s="20" t="s">
        <v>1307</v>
      </c>
      <c r="Y174" s="20" t="s">
        <v>1307</v>
      </c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" hidden="1" thickBot="1" x14ac:dyDescent="0.35">
      <c r="A175" t="s">
        <v>270</v>
      </c>
      <c r="B175" t="s">
        <v>1052</v>
      </c>
      <c r="C175" t="s">
        <v>1158</v>
      </c>
      <c r="D175" t="s">
        <v>285</v>
      </c>
      <c r="E175" s="39" t="s">
        <v>73</v>
      </c>
      <c r="F175" s="39" t="s">
        <v>28</v>
      </c>
      <c r="G175" t="s">
        <v>775</v>
      </c>
      <c r="H175" s="40">
        <f t="shared" si="17"/>
        <v>17</v>
      </c>
      <c r="I175" s="40">
        <f t="shared" si="18"/>
        <v>14</v>
      </c>
      <c r="J175" s="41">
        <f t="shared" si="19"/>
        <v>0.54838709677419351</v>
      </c>
      <c r="K175" s="20" t="s">
        <v>1307</v>
      </c>
      <c r="L175" s="20" t="s">
        <v>1307</v>
      </c>
      <c r="M175" s="20" t="s">
        <v>1307</v>
      </c>
      <c r="N175" s="20" t="s">
        <v>1307</v>
      </c>
      <c r="O175" s="20" t="s">
        <v>1307</v>
      </c>
      <c r="P175" s="20" t="s">
        <v>1307</v>
      </c>
      <c r="Q175" s="20" t="s">
        <v>1307</v>
      </c>
      <c r="R175" s="20" t="s">
        <v>1307</v>
      </c>
      <c r="S175" s="20" t="s">
        <v>1307</v>
      </c>
      <c r="T175" s="20" t="s">
        <v>1307</v>
      </c>
      <c r="U175" s="20" t="s">
        <v>1307</v>
      </c>
      <c r="V175" s="20" t="s">
        <v>1307</v>
      </c>
      <c r="W175" s="20" t="s">
        <v>1307</v>
      </c>
      <c r="X175" s="20" t="s">
        <v>1307</v>
      </c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" hidden="1" thickBot="1" x14ac:dyDescent="0.35">
      <c r="A176" t="s">
        <v>270</v>
      </c>
      <c r="B176" t="s">
        <v>1053</v>
      </c>
      <c r="C176" t="s">
        <v>1158</v>
      </c>
      <c r="D176" t="s">
        <v>285</v>
      </c>
      <c r="E176" s="39" t="s">
        <v>73</v>
      </c>
      <c r="F176" s="39" t="s">
        <v>28</v>
      </c>
      <c r="G176" t="s">
        <v>776</v>
      </c>
      <c r="H176" s="40">
        <f t="shared" si="17"/>
        <v>17</v>
      </c>
      <c r="I176" s="40">
        <f t="shared" si="18"/>
        <v>14</v>
      </c>
      <c r="J176" s="41">
        <f t="shared" si="19"/>
        <v>0.54838709677419351</v>
      </c>
      <c r="K176" s="20" t="s">
        <v>1307</v>
      </c>
      <c r="L176" s="20" t="s">
        <v>1307</v>
      </c>
      <c r="M176" s="20" t="s">
        <v>1307</v>
      </c>
      <c r="N176" s="20" t="s">
        <v>1307</v>
      </c>
      <c r="O176" s="20" t="s">
        <v>1307</v>
      </c>
      <c r="P176" s="20" t="s">
        <v>1307</v>
      </c>
      <c r="Q176" s="20" t="s">
        <v>1307</v>
      </c>
      <c r="R176" s="20" t="s">
        <v>1307</v>
      </c>
      <c r="S176" s="20" t="s">
        <v>1307</v>
      </c>
      <c r="T176" s="20" t="s">
        <v>1307</v>
      </c>
      <c r="U176" s="20" t="s">
        <v>1307</v>
      </c>
      <c r="V176" s="20" t="s">
        <v>1307</v>
      </c>
      <c r="W176" s="20" t="s">
        <v>1307</v>
      </c>
      <c r="X176" s="20" t="s">
        <v>1307</v>
      </c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" thickBot="1" x14ac:dyDescent="0.35">
      <c r="A177" t="s">
        <v>270</v>
      </c>
      <c r="B177" t="s">
        <v>1054</v>
      </c>
      <c r="C177" t="s">
        <v>1158</v>
      </c>
      <c r="D177" t="s">
        <v>266</v>
      </c>
      <c r="E177" s="39" t="s">
        <v>46</v>
      </c>
      <c r="F177" s="39" t="s">
        <v>1150</v>
      </c>
      <c r="G177" t="s">
        <v>764</v>
      </c>
      <c r="H177" s="40">
        <f t="shared" si="17"/>
        <v>13</v>
      </c>
      <c r="I177" s="40">
        <f t="shared" si="18"/>
        <v>18</v>
      </c>
      <c r="J177" s="41">
        <f t="shared" si="19"/>
        <v>0.41935483870967744</v>
      </c>
      <c r="K177" s="20" t="s">
        <v>1307</v>
      </c>
      <c r="L177" s="20" t="s">
        <v>1307</v>
      </c>
      <c r="M177" s="20"/>
      <c r="N177" s="20" t="s">
        <v>1307</v>
      </c>
      <c r="O177" s="20" t="s">
        <v>1307</v>
      </c>
      <c r="P177" s="20" t="s">
        <v>1307</v>
      </c>
      <c r="Q177" s="20" t="s">
        <v>1307</v>
      </c>
      <c r="R177" s="20" t="s">
        <v>1307</v>
      </c>
      <c r="S177" s="20" t="s">
        <v>1307</v>
      </c>
      <c r="T177" s="20" t="s">
        <v>1307</v>
      </c>
      <c r="U177" s="20" t="s">
        <v>1307</v>
      </c>
      <c r="V177" s="20" t="s">
        <v>1307</v>
      </c>
      <c r="W177" s="20" t="s">
        <v>1307</v>
      </c>
      <c r="X177" s="20" t="s">
        <v>1307</v>
      </c>
      <c r="Y177" s="20" t="s">
        <v>1307</v>
      </c>
      <c r="Z177" s="20" t="s">
        <v>1307</v>
      </c>
      <c r="AA177" s="20" t="s">
        <v>1307</v>
      </c>
      <c r="AB177" s="20" t="s">
        <v>1307</v>
      </c>
      <c r="AC177" s="20" t="s">
        <v>1307</v>
      </c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" hidden="1" thickBot="1" x14ac:dyDescent="0.35">
      <c r="A178" t="s">
        <v>267</v>
      </c>
      <c r="B178" t="s">
        <v>268</v>
      </c>
      <c r="C178" t="s">
        <v>1158</v>
      </c>
      <c r="D178" t="s">
        <v>269</v>
      </c>
      <c r="E178" s="39" t="s">
        <v>19</v>
      </c>
      <c r="F178" s="39" t="s">
        <v>1150</v>
      </c>
      <c r="G178" t="s">
        <v>765</v>
      </c>
      <c r="H178" s="40">
        <f t="shared" si="17"/>
        <v>18</v>
      </c>
      <c r="I178" s="40">
        <f t="shared" si="18"/>
        <v>13</v>
      </c>
      <c r="J178" s="41">
        <f t="shared" si="19"/>
        <v>0.58064516129032262</v>
      </c>
      <c r="K178" s="20" t="s">
        <v>1307</v>
      </c>
      <c r="L178" s="20" t="s">
        <v>1307</v>
      </c>
      <c r="M178" s="20"/>
      <c r="N178" s="20"/>
      <c r="O178" s="20"/>
      <c r="P178" s="20"/>
      <c r="Q178" s="20"/>
      <c r="R178" s="20" t="s">
        <v>1307</v>
      </c>
      <c r="S178" s="20" t="s">
        <v>1307</v>
      </c>
      <c r="T178" s="20" t="s">
        <v>1307</v>
      </c>
      <c r="U178" s="20" t="s">
        <v>1307</v>
      </c>
      <c r="V178" s="20" t="s">
        <v>1307</v>
      </c>
      <c r="W178" s="20" t="s">
        <v>1307</v>
      </c>
      <c r="X178" s="20" t="s">
        <v>1307</v>
      </c>
      <c r="Y178" s="20" t="s">
        <v>1307</v>
      </c>
      <c r="Z178" s="20" t="s">
        <v>1307</v>
      </c>
      <c r="AA178" s="20" t="s">
        <v>1307</v>
      </c>
      <c r="AB178" s="20" t="s">
        <v>1307</v>
      </c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" thickBot="1" x14ac:dyDescent="0.35">
      <c r="A179" t="s">
        <v>270</v>
      </c>
      <c r="B179" t="s">
        <v>271</v>
      </c>
      <c r="C179" t="s">
        <v>1158</v>
      </c>
      <c r="D179" t="s">
        <v>272</v>
      </c>
      <c r="E179" s="39" t="s">
        <v>73</v>
      </c>
      <c r="F179" s="39" t="s">
        <v>28</v>
      </c>
      <c r="G179" t="s">
        <v>766</v>
      </c>
      <c r="H179" s="40">
        <f t="shared" si="17"/>
        <v>14</v>
      </c>
      <c r="I179" s="40">
        <f t="shared" si="18"/>
        <v>17</v>
      </c>
      <c r="J179" s="41">
        <f t="shared" si="19"/>
        <v>0.45161290322580644</v>
      </c>
      <c r="K179" s="20" t="s">
        <v>1307</v>
      </c>
      <c r="L179" s="20" t="s">
        <v>1307</v>
      </c>
      <c r="M179" s="20"/>
      <c r="N179" s="20"/>
      <c r="O179" s="20" t="s">
        <v>1307</v>
      </c>
      <c r="P179" s="20" t="s">
        <v>1307</v>
      </c>
      <c r="Q179" s="20" t="s">
        <v>1307</v>
      </c>
      <c r="R179" s="20" t="s">
        <v>1307</v>
      </c>
      <c r="S179" s="20" t="s">
        <v>1307</v>
      </c>
      <c r="T179" s="20" t="s">
        <v>1307</v>
      </c>
      <c r="U179" s="20" t="s">
        <v>1307</v>
      </c>
      <c r="V179" s="20" t="s">
        <v>1307</v>
      </c>
      <c r="W179" s="20" t="s">
        <v>1307</v>
      </c>
      <c r="X179" s="20" t="s">
        <v>1307</v>
      </c>
      <c r="Y179" s="20" t="s">
        <v>1307</v>
      </c>
      <c r="Z179" s="20" t="s">
        <v>1307</v>
      </c>
      <c r="AA179" s="20" t="s">
        <v>1307</v>
      </c>
      <c r="AB179" s="20" t="s">
        <v>1307</v>
      </c>
      <c r="AC179" s="20" t="s">
        <v>1307</v>
      </c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" hidden="1" thickBot="1" x14ac:dyDescent="0.35">
      <c r="A180" t="s">
        <v>270</v>
      </c>
      <c r="B180" t="s">
        <v>273</v>
      </c>
      <c r="C180" t="s">
        <v>1158</v>
      </c>
      <c r="D180" t="s">
        <v>274</v>
      </c>
      <c r="E180" s="39" t="s">
        <v>46</v>
      </c>
      <c r="F180" s="39" t="s">
        <v>28</v>
      </c>
      <c r="G180" t="s">
        <v>767</v>
      </c>
      <c r="H180" s="40">
        <f t="shared" si="17"/>
        <v>29</v>
      </c>
      <c r="I180" s="40">
        <f t="shared" si="18"/>
        <v>2</v>
      </c>
      <c r="J180" s="41">
        <f t="shared" si="19"/>
        <v>0.93548387096774188</v>
      </c>
      <c r="K180" s="20"/>
      <c r="L180" s="20"/>
      <c r="M180" s="20"/>
      <c r="N180" s="20"/>
      <c r="O180" s="20"/>
      <c r="P180" s="20"/>
      <c r="Q180" s="20"/>
      <c r="R180" s="20" t="s">
        <v>1307</v>
      </c>
      <c r="S180" s="20"/>
      <c r="T180" s="20" t="s">
        <v>1307</v>
      </c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" hidden="1" thickBot="1" x14ac:dyDescent="0.35">
      <c r="A181" t="s">
        <v>267</v>
      </c>
      <c r="B181" t="s">
        <v>276</v>
      </c>
      <c r="C181" t="s">
        <v>1158</v>
      </c>
      <c r="D181" t="s">
        <v>277</v>
      </c>
      <c r="E181" s="39" t="s">
        <v>19</v>
      </c>
      <c r="F181" s="39" t="s">
        <v>28</v>
      </c>
      <c r="G181" t="s">
        <v>769</v>
      </c>
      <c r="H181" s="40">
        <f t="shared" si="17"/>
        <v>16</v>
      </c>
      <c r="I181" s="40">
        <f t="shared" si="18"/>
        <v>15</v>
      </c>
      <c r="J181" s="41">
        <f t="shared" si="19"/>
        <v>0.5161290322580645</v>
      </c>
      <c r="K181" s="20" t="s">
        <v>1307</v>
      </c>
      <c r="L181" s="20" t="s">
        <v>1307</v>
      </c>
      <c r="M181" s="20" t="s">
        <v>1307</v>
      </c>
      <c r="N181" s="20" t="s">
        <v>1307</v>
      </c>
      <c r="O181" s="20" t="s">
        <v>1307</v>
      </c>
      <c r="P181" s="20" t="s">
        <v>1307</v>
      </c>
      <c r="Q181" s="20" t="s">
        <v>1307</v>
      </c>
      <c r="R181" s="20" t="s">
        <v>1307</v>
      </c>
      <c r="S181" s="20" t="s">
        <v>1307</v>
      </c>
      <c r="T181" s="20" t="s">
        <v>1307</v>
      </c>
      <c r="U181" s="20" t="s">
        <v>1307</v>
      </c>
      <c r="V181" s="20" t="s">
        <v>1307</v>
      </c>
      <c r="W181" s="20" t="s">
        <v>1307</v>
      </c>
      <c r="X181" s="20" t="s">
        <v>1307</v>
      </c>
      <c r="Y181" s="20" t="s">
        <v>1307</v>
      </c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" hidden="1" thickBot="1" x14ac:dyDescent="0.35">
      <c r="A182" t="s">
        <v>270</v>
      </c>
      <c r="B182" t="s">
        <v>278</v>
      </c>
      <c r="C182" t="s">
        <v>1158</v>
      </c>
      <c r="D182" t="s">
        <v>279</v>
      </c>
      <c r="E182" s="39" t="s">
        <v>19</v>
      </c>
      <c r="F182" s="39" t="s">
        <v>28</v>
      </c>
      <c r="G182" t="s">
        <v>770</v>
      </c>
      <c r="H182" s="40">
        <f t="shared" si="17"/>
        <v>17</v>
      </c>
      <c r="I182" s="40">
        <f t="shared" si="18"/>
        <v>14</v>
      </c>
      <c r="J182" s="41">
        <f t="shared" si="19"/>
        <v>0.54838709677419351</v>
      </c>
      <c r="K182" s="20" t="s">
        <v>1307</v>
      </c>
      <c r="L182" s="20" t="s">
        <v>1307</v>
      </c>
      <c r="M182" s="20" t="s">
        <v>1307</v>
      </c>
      <c r="N182" s="20" t="s">
        <v>1307</v>
      </c>
      <c r="O182" s="20" t="s">
        <v>1307</v>
      </c>
      <c r="P182" s="20" t="s">
        <v>1307</v>
      </c>
      <c r="Q182" s="20" t="s">
        <v>1307</v>
      </c>
      <c r="R182" s="20" t="s">
        <v>1307</v>
      </c>
      <c r="S182" s="20" t="s">
        <v>1307</v>
      </c>
      <c r="T182" s="20" t="s">
        <v>1307</v>
      </c>
      <c r="U182" s="20" t="s">
        <v>1307</v>
      </c>
      <c r="V182" s="20" t="s">
        <v>1307</v>
      </c>
      <c r="W182" s="20" t="s">
        <v>1307</v>
      </c>
      <c r="X182" s="20" t="s">
        <v>1307</v>
      </c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" hidden="1" thickBot="1" x14ac:dyDescent="0.35">
      <c r="A183" t="s">
        <v>270</v>
      </c>
      <c r="B183" t="s">
        <v>280</v>
      </c>
      <c r="C183" t="s">
        <v>1158</v>
      </c>
      <c r="D183" t="s">
        <v>281</v>
      </c>
      <c r="E183" s="39" t="s">
        <v>19</v>
      </c>
      <c r="F183" s="39" t="s">
        <v>28</v>
      </c>
      <c r="G183" t="s">
        <v>771</v>
      </c>
      <c r="H183" s="40">
        <f t="shared" si="17"/>
        <v>17</v>
      </c>
      <c r="I183" s="40">
        <f t="shared" si="18"/>
        <v>14</v>
      </c>
      <c r="J183" s="41">
        <f t="shared" si="19"/>
        <v>0.54838709677419351</v>
      </c>
      <c r="K183" s="20" t="s">
        <v>1307</v>
      </c>
      <c r="L183" s="20" t="s">
        <v>1307</v>
      </c>
      <c r="M183" s="20" t="s">
        <v>1307</v>
      </c>
      <c r="N183" s="20" t="s">
        <v>1307</v>
      </c>
      <c r="O183" s="20" t="s">
        <v>1307</v>
      </c>
      <c r="P183" s="20" t="s">
        <v>1307</v>
      </c>
      <c r="Q183" s="20" t="s">
        <v>1307</v>
      </c>
      <c r="R183" s="20" t="s">
        <v>1307</v>
      </c>
      <c r="S183" s="20" t="s">
        <v>1307</v>
      </c>
      <c r="T183" s="20" t="s">
        <v>1307</v>
      </c>
      <c r="U183" s="20" t="s">
        <v>1307</v>
      </c>
      <c r="V183" s="20" t="s">
        <v>1307</v>
      </c>
      <c r="W183" s="20" t="s">
        <v>1307</v>
      </c>
      <c r="X183" s="20" t="s">
        <v>1307</v>
      </c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" thickBot="1" x14ac:dyDescent="0.35">
      <c r="A184" t="s">
        <v>270</v>
      </c>
      <c r="B184" t="s">
        <v>283</v>
      </c>
      <c r="C184" t="s">
        <v>1158</v>
      </c>
      <c r="D184" t="s">
        <v>284</v>
      </c>
      <c r="E184" s="21"/>
      <c r="F184" s="39" t="s">
        <v>1150</v>
      </c>
      <c r="G184" t="s">
        <v>774</v>
      </c>
      <c r="H184" s="40">
        <f t="shared" si="17"/>
        <v>12</v>
      </c>
      <c r="I184" s="40">
        <f t="shared" si="18"/>
        <v>19</v>
      </c>
      <c r="J184" s="41">
        <f t="shared" si="19"/>
        <v>0.38709677419354838</v>
      </c>
      <c r="K184" s="20" t="s">
        <v>1307</v>
      </c>
      <c r="L184" s="20" t="s">
        <v>1307</v>
      </c>
      <c r="M184" s="20" t="s">
        <v>1307</v>
      </c>
      <c r="N184" s="20" t="s">
        <v>1307</v>
      </c>
      <c r="O184" s="20" t="s">
        <v>1307</v>
      </c>
      <c r="P184" s="20" t="s">
        <v>1307</v>
      </c>
      <c r="Q184" s="20" t="s">
        <v>1307</v>
      </c>
      <c r="R184" s="20" t="s">
        <v>1307</v>
      </c>
      <c r="S184" s="20" t="s">
        <v>1307</v>
      </c>
      <c r="T184" s="20" t="s">
        <v>1307</v>
      </c>
      <c r="U184" s="20" t="s">
        <v>1307</v>
      </c>
      <c r="V184" s="20" t="s">
        <v>1307</v>
      </c>
      <c r="W184" s="20" t="s">
        <v>1307</v>
      </c>
      <c r="X184" s="20" t="s">
        <v>1307</v>
      </c>
      <c r="Y184" s="20" t="s">
        <v>1307</v>
      </c>
      <c r="Z184" s="20" t="s">
        <v>1307</v>
      </c>
      <c r="AA184" s="20" t="s">
        <v>1307</v>
      </c>
      <c r="AB184" s="20" t="s">
        <v>1307</v>
      </c>
      <c r="AC184" s="20" t="s">
        <v>1307</v>
      </c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" hidden="1" thickBot="1" x14ac:dyDescent="0.35">
      <c r="A185" t="s">
        <v>270</v>
      </c>
      <c r="B185" t="s">
        <v>286</v>
      </c>
      <c r="C185" t="s">
        <v>1158</v>
      </c>
      <c r="D185" t="s">
        <v>287</v>
      </c>
      <c r="E185" s="39" t="s">
        <v>15</v>
      </c>
      <c r="F185" s="39" t="s">
        <v>28</v>
      </c>
      <c r="G185" t="s">
        <v>777</v>
      </c>
      <c r="H185" s="40">
        <f t="shared" si="17"/>
        <v>18</v>
      </c>
      <c r="I185" s="40">
        <f t="shared" si="18"/>
        <v>13</v>
      </c>
      <c r="J185" s="41">
        <f t="shared" si="19"/>
        <v>0.58064516129032262</v>
      </c>
      <c r="K185" s="20" t="s">
        <v>1307</v>
      </c>
      <c r="L185" s="20"/>
      <c r="M185" s="20" t="s">
        <v>1307</v>
      </c>
      <c r="N185" s="20" t="s">
        <v>1307</v>
      </c>
      <c r="O185" s="20" t="s">
        <v>1307</v>
      </c>
      <c r="P185" s="20" t="s">
        <v>1307</v>
      </c>
      <c r="Q185" s="20" t="s">
        <v>1307</v>
      </c>
      <c r="R185" s="20" t="s">
        <v>1307</v>
      </c>
      <c r="S185" s="20" t="s">
        <v>1307</v>
      </c>
      <c r="T185" s="20" t="s">
        <v>1307</v>
      </c>
      <c r="U185" s="20" t="s">
        <v>1307</v>
      </c>
      <c r="V185" s="20" t="s">
        <v>1307</v>
      </c>
      <c r="W185" s="20" t="s">
        <v>1307</v>
      </c>
      <c r="X185" s="20" t="s">
        <v>1307</v>
      </c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" hidden="1" thickBot="1" x14ac:dyDescent="0.35">
      <c r="A186" t="s">
        <v>290</v>
      </c>
      <c r="B186" t="s">
        <v>1055</v>
      </c>
      <c r="C186" t="s">
        <v>1158</v>
      </c>
      <c r="D186" t="s">
        <v>1185</v>
      </c>
      <c r="E186" s="39" t="s">
        <v>19</v>
      </c>
      <c r="F186" s="39" t="s">
        <v>20</v>
      </c>
      <c r="G186" t="s">
        <v>778</v>
      </c>
      <c r="H186" s="40">
        <f t="shared" si="17"/>
        <v>23</v>
      </c>
      <c r="I186" s="40">
        <f t="shared" si="18"/>
        <v>8</v>
      </c>
      <c r="J186" s="41">
        <f t="shared" si="19"/>
        <v>0.74193548387096775</v>
      </c>
      <c r="K186" s="20" t="s">
        <v>1307</v>
      </c>
      <c r="L186" s="20"/>
      <c r="M186" s="20" t="s">
        <v>1307</v>
      </c>
      <c r="N186" s="20" t="s">
        <v>1307</v>
      </c>
      <c r="O186" s="20" t="s">
        <v>1307</v>
      </c>
      <c r="P186" s="20" t="s">
        <v>1307</v>
      </c>
      <c r="Q186" s="20" t="s">
        <v>1307</v>
      </c>
      <c r="R186" s="20" t="s">
        <v>1307</v>
      </c>
      <c r="S186" s="20" t="s">
        <v>1307</v>
      </c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" thickBot="1" x14ac:dyDescent="0.35">
      <c r="A187" t="s">
        <v>232</v>
      </c>
      <c r="B187" t="s">
        <v>288</v>
      </c>
      <c r="C187" t="s">
        <v>1159</v>
      </c>
      <c r="D187" t="s">
        <v>289</v>
      </c>
      <c r="E187" s="39" t="s">
        <v>15</v>
      </c>
      <c r="F187" s="39" t="s">
        <v>28</v>
      </c>
      <c r="G187" t="s">
        <v>1161</v>
      </c>
      <c r="H187" s="40">
        <f t="shared" si="17"/>
        <v>12</v>
      </c>
      <c r="I187" s="40">
        <f t="shared" si="18"/>
        <v>19</v>
      </c>
      <c r="J187" s="41">
        <f t="shared" si="19"/>
        <v>0.38709677419354838</v>
      </c>
      <c r="K187" s="20" t="s">
        <v>1307</v>
      </c>
      <c r="L187" s="20" t="s">
        <v>1307</v>
      </c>
      <c r="M187" s="20" t="s">
        <v>1307</v>
      </c>
      <c r="N187" s="20" t="s">
        <v>1307</v>
      </c>
      <c r="O187" s="20" t="s">
        <v>1307</v>
      </c>
      <c r="P187" s="20" t="s">
        <v>1307</v>
      </c>
      <c r="Q187" s="20" t="s">
        <v>1307</v>
      </c>
      <c r="R187" s="20" t="s">
        <v>1307</v>
      </c>
      <c r="S187" s="20" t="s">
        <v>1307</v>
      </c>
      <c r="T187" s="20" t="s">
        <v>1307</v>
      </c>
      <c r="U187" s="20" t="s">
        <v>1307</v>
      </c>
      <c r="V187" s="20" t="s">
        <v>1307</v>
      </c>
      <c r="W187" s="20" t="s">
        <v>1307</v>
      </c>
      <c r="X187" s="20" t="s">
        <v>1307</v>
      </c>
      <c r="Y187" s="20" t="s">
        <v>1307</v>
      </c>
      <c r="Z187" s="20" t="s">
        <v>1307</v>
      </c>
      <c r="AA187" s="20" t="s">
        <v>1307</v>
      </c>
      <c r="AB187" s="20" t="s">
        <v>1307</v>
      </c>
      <c r="AC187" s="20" t="s">
        <v>1307</v>
      </c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" hidden="1" thickBot="1" x14ac:dyDescent="0.35">
      <c r="A188" t="s">
        <v>290</v>
      </c>
      <c r="B188" t="s">
        <v>291</v>
      </c>
      <c r="C188" t="s">
        <v>1159</v>
      </c>
      <c r="D188" t="s">
        <v>292</v>
      </c>
      <c r="E188" s="39" t="s">
        <v>15</v>
      </c>
      <c r="F188" s="39" t="s">
        <v>28</v>
      </c>
      <c r="G188" t="s">
        <v>779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" thickBot="1" x14ac:dyDescent="0.35">
      <c r="A189" t="s">
        <v>12</v>
      </c>
      <c r="B189" s="45" t="s">
        <v>13</v>
      </c>
      <c r="C189" t="s">
        <v>1159</v>
      </c>
      <c r="D189" t="s">
        <v>14</v>
      </c>
      <c r="E189" s="39" t="s">
        <v>15</v>
      </c>
      <c r="F189" s="39" t="s">
        <v>1150</v>
      </c>
      <c r="G189" t="s">
        <v>780</v>
      </c>
      <c r="H189" s="40">
        <f t="shared" si="17"/>
        <v>12</v>
      </c>
      <c r="I189" s="40">
        <f t="shared" si="18"/>
        <v>19</v>
      </c>
      <c r="J189" s="41">
        <f t="shared" si="19"/>
        <v>0.38709677419354838</v>
      </c>
      <c r="K189" s="20" t="s">
        <v>1307</v>
      </c>
      <c r="L189" s="20" t="s">
        <v>1307</v>
      </c>
      <c r="M189" s="20" t="s">
        <v>1307</v>
      </c>
      <c r="N189" s="20" t="s">
        <v>1307</v>
      </c>
      <c r="O189" s="20" t="s">
        <v>1307</v>
      </c>
      <c r="P189" s="20" t="s">
        <v>1307</v>
      </c>
      <c r="Q189" s="20" t="s">
        <v>1307</v>
      </c>
      <c r="R189" s="20" t="s">
        <v>1307</v>
      </c>
      <c r="S189" s="20" t="s">
        <v>1307</v>
      </c>
      <c r="T189" s="20" t="s">
        <v>1307</v>
      </c>
      <c r="U189" s="20" t="s">
        <v>1307</v>
      </c>
      <c r="V189" s="20" t="s">
        <v>1307</v>
      </c>
      <c r="W189" s="20" t="s">
        <v>1307</v>
      </c>
      <c r="X189" s="20" t="s">
        <v>1307</v>
      </c>
      <c r="Y189" s="20" t="s">
        <v>1307</v>
      </c>
      <c r="Z189" s="20" t="s">
        <v>1307</v>
      </c>
      <c r="AA189" s="20" t="s">
        <v>1307</v>
      </c>
      <c r="AB189" s="20" t="s">
        <v>1307</v>
      </c>
      <c r="AC189" s="20" t="s">
        <v>1307</v>
      </c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" hidden="1" thickBot="1" x14ac:dyDescent="0.35">
      <c r="A190" t="s">
        <v>380</v>
      </c>
      <c r="B190" t="s">
        <v>1056</v>
      </c>
      <c r="C190" t="s">
        <v>1159</v>
      </c>
      <c r="D190" t="s">
        <v>1057</v>
      </c>
      <c r="E190" s="39" t="s">
        <v>73</v>
      </c>
      <c r="F190" s="39" t="s">
        <v>28</v>
      </c>
      <c r="G190"/>
      <c r="H190" s="40">
        <f t="shared" si="17"/>
        <v>25</v>
      </c>
      <c r="I190" s="40">
        <f t="shared" si="18"/>
        <v>6</v>
      </c>
      <c r="J190" s="41">
        <f t="shared" si="19"/>
        <v>0.80645161290322576</v>
      </c>
      <c r="K190" s="20" t="s">
        <v>1307</v>
      </c>
      <c r="L190" s="20" t="s">
        <v>1307</v>
      </c>
      <c r="M190" s="20" t="s">
        <v>1307</v>
      </c>
      <c r="N190" s="20" t="s">
        <v>1307</v>
      </c>
      <c r="O190" s="20" t="s">
        <v>1307</v>
      </c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 t="s">
        <v>1307</v>
      </c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" hidden="1" thickBot="1" x14ac:dyDescent="0.35">
      <c r="A191" t="s">
        <v>1058</v>
      </c>
      <c r="B191" t="s">
        <v>1059</v>
      </c>
      <c r="C191" t="s">
        <v>1159</v>
      </c>
      <c r="D191" t="s">
        <v>1057</v>
      </c>
      <c r="E191" s="39" t="s">
        <v>73</v>
      </c>
      <c r="F191" s="39" t="s">
        <v>28</v>
      </c>
      <c r="G191"/>
      <c r="H191" s="40">
        <f t="shared" si="17"/>
        <v>25</v>
      </c>
      <c r="I191" s="40">
        <f t="shared" si="18"/>
        <v>6</v>
      </c>
      <c r="J191" s="41">
        <f t="shared" si="19"/>
        <v>0.80645161290322576</v>
      </c>
      <c r="K191" s="20" t="s">
        <v>1307</v>
      </c>
      <c r="L191" s="20" t="s">
        <v>1307</v>
      </c>
      <c r="M191" s="20" t="s">
        <v>1307</v>
      </c>
      <c r="N191" s="20" t="s">
        <v>1307</v>
      </c>
      <c r="O191" s="20" t="s">
        <v>1307</v>
      </c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 t="s">
        <v>1307</v>
      </c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" hidden="1" thickBot="1" x14ac:dyDescent="0.35">
      <c r="A192" t="s">
        <v>17</v>
      </c>
      <c r="B192" s="45" t="s">
        <v>18</v>
      </c>
      <c r="C192" t="s">
        <v>1159</v>
      </c>
      <c r="D192" t="s">
        <v>1186</v>
      </c>
      <c r="E192" s="39" t="s">
        <v>19</v>
      </c>
      <c r="F192" s="39" t="s">
        <v>20</v>
      </c>
      <c r="G192" t="s">
        <v>781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" hidden="1" thickBot="1" x14ac:dyDescent="0.35">
      <c r="A193" t="s">
        <v>17</v>
      </c>
      <c r="B193" s="45" t="s">
        <v>21</v>
      </c>
      <c r="C193" t="s">
        <v>1159</v>
      </c>
      <c r="D193" t="s">
        <v>22</v>
      </c>
      <c r="E193" s="39" t="s">
        <v>19</v>
      </c>
      <c r="F193" s="39" t="s">
        <v>20</v>
      </c>
      <c r="G193" t="s">
        <v>730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" hidden="1" thickBot="1" x14ac:dyDescent="0.35">
      <c r="A194" t="s">
        <v>17</v>
      </c>
      <c r="B194" s="45" t="s">
        <v>23</v>
      </c>
      <c r="C194" t="s">
        <v>1159</v>
      </c>
      <c r="D194" t="s">
        <v>617</v>
      </c>
      <c r="E194" s="39" t="s">
        <v>15</v>
      </c>
      <c r="F194" s="39" t="s">
        <v>1151</v>
      </c>
      <c r="G194" t="s">
        <v>782</v>
      </c>
      <c r="H194" s="40">
        <f t="shared" si="17"/>
        <v>30</v>
      </c>
      <c r="I194" s="40">
        <f t="shared" si="18"/>
        <v>1</v>
      </c>
      <c r="J194" s="41">
        <f t="shared" si="19"/>
        <v>0.967741935483871</v>
      </c>
      <c r="K194" s="20" t="s">
        <v>1307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" thickBot="1" x14ac:dyDescent="0.35">
      <c r="A195" t="s">
        <v>17</v>
      </c>
      <c r="B195" s="45" t="s">
        <v>24</v>
      </c>
      <c r="C195" t="s">
        <v>1159</v>
      </c>
      <c r="D195" t="s">
        <v>25</v>
      </c>
      <c r="E195" s="39" t="s">
        <v>15</v>
      </c>
      <c r="F195" s="39" t="s">
        <v>20</v>
      </c>
      <c r="G195" t="s">
        <v>783</v>
      </c>
      <c r="H195" s="40">
        <f t="shared" si="17"/>
        <v>12</v>
      </c>
      <c r="I195" s="40">
        <f t="shared" si="18"/>
        <v>19</v>
      </c>
      <c r="J195" s="41">
        <f t="shared" si="19"/>
        <v>0.38709677419354838</v>
      </c>
      <c r="K195" s="20" t="s">
        <v>1307</v>
      </c>
      <c r="L195" s="20" t="s">
        <v>1307</v>
      </c>
      <c r="M195" s="20" t="s">
        <v>1307</v>
      </c>
      <c r="N195" s="20" t="s">
        <v>1307</v>
      </c>
      <c r="O195" s="20" t="s">
        <v>1307</v>
      </c>
      <c r="P195" s="20" t="s">
        <v>1307</v>
      </c>
      <c r="Q195" s="20" t="s">
        <v>1307</v>
      </c>
      <c r="R195" s="20" t="s">
        <v>1307</v>
      </c>
      <c r="S195" s="20" t="s">
        <v>1307</v>
      </c>
      <c r="T195" s="20" t="s">
        <v>1307</v>
      </c>
      <c r="U195" s="20" t="s">
        <v>1307</v>
      </c>
      <c r="V195" s="20" t="s">
        <v>1307</v>
      </c>
      <c r="W195" s="20" t="s">
        <v>1307</v>
      </c>
      <c r="X195" s="20" t="s">
        <v>1307</v>
      </c>
      <c r="Y195" s="20" t="s">
        <v>1307</v>
      </c>
      <c r="Z195" s="20" t="s">
        <v>1307</v>
      </c>
      <c r="AA195" s="20" t="s">
        <v>1307</v>
      </c>
      <c r="AB195" s="20" t="s">
        <v>1307</v>
      </c>
      <c r="AC195" s="20" t="s">
        <v>1307</v>
      </c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" hidden="1" thickBot="1" x14ac:dyDescent="0.35">
      <c r="A196" t="s">
        <v>293</v>
      </c>
      <c r="B196" t="s">
        <v>1060</v>
      </c>
      <c r="C196" t="s">
        <v>1158</v>
      </c>
      <c r="D196" t="s">
        <v>294</v>
      </c>
      <c r="E196" s="39" t="s">
        <v>73</v>
      </c>
      <c r="F196" s="39" t="s">
        <v>28</v>
      </c>
      <c r="G196" t="s">
        <v>784</v>
      </c>
      <c r="H196" s="40">
        <f t="shared" si="17"/>
        <v>16</v>
      </c>
      <c r="I196" s="40">
        <f t="shared" si="18"/>
        <v>15</v>
      </c>
      <c r="J196" s="41">
        <f t="shared" si="19"/>
        <v>0.5161290322580645</v>
      </c>
      <c r="K196" s="20" t="s">
        <v>1307</v>
      </c>
      <c r="L196" s="20" t="s">
        <v>1307</v>
      </c>
      <c r="M196" s="20" t="s">
        <v>1307</v>
      </c>
      <c r="N196" s="20" t="s">
        <v>1307</v>
      </c>
      <c r="O196" s="20" t="s">
        <v>1307</v>
      </c>
      <c r="P196" s="20" t="s">
        <v>1307</v>
      </c>
      <c r="Q196" s="20" t="s">
        <v>1307</v>
      </c>
      <c r="R196" s="20" t="s">
        <v>1307</v>
      </c>
      <c r="S196" s="20" t="s">
        <v>1307</v>
      </c>
      <c r="T196" s="20" t="s">
        <v>1307</v>
      </c>
      <c r="U196" s="20" t="s">
        <v>1307</v>
      </c>
      <c r="V196" s="20" t="s">
        <v>1307</v>
      </c>
      <c r="W196" s="20" t="s">
        <v>1307</v>
      </c>
      <c r="X196" s="20" t="s">
        <v>1307</v>
      </c>
      <c r="Y196" s="20" t="s">
        <v>1307</v>
      </c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" hidden="1" thickBot="1" x14ac:dyDescent="0.35">
      <c r="A197" t="s">
        <v>270</v>
      </c>
      <c r="B197" t="s">
        <v>295</v>
      </c>
      <c r="C197" t="s">
        <v>1158</v>
      </c>
      <c r="D197" t="s">
        <v>296</v>
      </c>
      <c r="E197" s="39" t="s">
        <v>73</v>
      </c>
      <c r="F197" s="39" t="s">
        <v>28</v>
      </c>
      <c r="G197" t="s">
        <v>1155</v>
      </c>
      <c r="H197" s="40">
        <f t="shared" si="17"/>
        <v>16</v>
      </c>
      <c r="I197" s="40">
        <f t="shared" si="18"/>
        <v>15</v>
      </c>
      <c r="J197" s="41">
        <f t="shared" si="19"/>
        <v>0.5161290322580645</v>
      </c>
      <c r="K197" s="20" t="s">
        <v>1307</v>
      </c>
      <c r="L197" s="20" t="s">
        <v>1307</v>
      </c>
      <c r="M197" s="20" t="s">
        <v>1307</v>
      </c>
      <c r="N197" s="20" t="s">
        <v>1307</v>
      </c>
      <c r="O197" s="20" t="s">
        <v>1307</v>
      </c>
      <c r="P197" s="20" t="s">
        <v>1307</v>
      </c>
      <c r="Q197" s="20" t="s">
        <v>1307</v>
      </c>
      <c r="R197" s="20" t="s">
        <v>1307</v>
      </c>
      <c r="S197" s="20" t="s">
        <v>1307</v>
      </c>
      <c r="T197" s="20" t="s">
        <v>1307</v>
      </c>
      <c r="U197" s="20" t="s">
        <v>1307</v>
      </c>
      <c r="V197" s="20" t="s">
        <v>1307</v>
      </c>
      <c r="W197" s="20" t="s">
        <v>1307</v>
      </c>
      <c r="X197" s="20" t="s">
        <v>1307</v>
      </c>
      <c r="Y197" s="20" t="s">
        <v>1307</v>
      </c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" hidden="1" thickBot="1" x14ac:dyDescent="0.35">
      <c r="A198" t="s">
        <v>297</v>
      </c>
      <c r="B198" t="s">
        <v>1061</v>
      </c>
      <c r="C198" t="s">
        <v>1158</v>
      </c>
      <c r="D198" t="s">
        <v>298</v>
      </c>
      <c r="E198" s="39" t="s">
        <v>19</v>
      </c>
      <c r="F198" s="39" t="s">
        <v>28</v>
      </c>
      <c r="G198" t="s">
        <v>785</v>
      </c>
      <c r="H198" s="40">
        <f t="shared" si="17"/>
        <v>16</v>
      </c>
      <c r="I198" s="40">
        <f>COUNTIF(K198:AL198,"APAGADO")</f>
        <v>15</v>
      </c>
      <c r="J198" s="41">
        <f>(H198)/(I198+H198)</f>
        <v>0.5161290322580645</v>
      </c>
      <c r="K198" s="20" t="s">
        <v>1307</v>
      </c>
      <c r="L198" s="20" t="s">
        <v>1307</v>
      </c>
      <c r="M198" s="20" t="s">
        <v>1307</v>
      </c>
      <c r="N198" s="20" t="s">
        <v>1307</v>
      </c>
      <c r="O198" s="20" t="s">
        <v>1307</v>
      </c>
      <c r="P198" s="20" t="s">
        <v>1307</v>
      </c>
      <c r="Q198" s="20" t="s">
        <v>1307</v>
      </c>
      <c r="R198" s="20" t="s">
        <v>1307</v>
      </c>
      <c r="S198" s="20" t="s">
        <v>1307</v>
      </c>
      <c r="T198" s="20" t="s">
        <v>1307</v>
      </c>
      <c r="U198" s="20" t="s">
        <v>1307</v>
      </c>
      <c r="V198" s="20" t="s">
        <v>1307</v>
      </c>
      <c r="W198" s="20" t="s">
        <v>1307</v>
      </c>
      <c r="X198" s="20" t="s">
        <v>1307</v>
      </c>
      <c r="Y198" s="20" t="s">
        <v>1307</v>
      </c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" hidden="1" thickBot="1" x14ac:dyDescent="0.35">
      <c r="A199" t="s">
        <v>293</v>
      </c>
      <c r="B199" t="s">
        <v>299</v>
      </c>
      <c r="C199" t="s">
        <v>1158</v>
      </c>
      <c r="D199" t="s">
        <v>300</v>
      </c>
      <c r="E199" s="39" t="s">
        <v>19</v>
      </c>
      <c r="F199" s="39" t="s">
        <v>1150</v>
      </c>
      <c r="G199" t="s">
        <v>786</v>
      </c>
      <c r="H199" s="40">
        <f t="shared" si="17"/>
        <v>16</v>
      </c>
      <c r="I199" s="40">
        <f t="shared" si="18"/>
        <v>15</v>
      </c>
      <c r="J199" s="41">
        <f t="shared" si="19"/>
        <v>0.5161290322580645</v>
      </c>
      <c r="K199" s="20" t="s">
        <v>1307</v>
      </c>
      <c r="L199" s="20" t="s">
        <v>1307</v>
      </c>
      <c r="M199" s="20" t="s">
        <v>1307</v>
      </c>
      <c r="N199" s="20" t="s">
        <v>1307</v>
      </c>
      <c r="O199" s="20" t="s">
        <v>1307</v>
      </c>
      <c r="P199" s="20" t="s">
        <v>1307</v>
      </c>
      <c r="Q199" s="20" t="s">
        <v>1307</v>
      </c>
      <c r="R199" s="20" t="s">
        <v>1307</v>
      </c>
      <c r="S199" s="20" t="s">
        <v>1307</v>
      </c>
      <c r="T199" s="20" t="s">
        <v>1307</v>
      </c>
      <c r="U199" s="20" t="s">
        <v>1307</v>
      </c>
      <c r="V199" s="20" t="s">
        <v>1307</v>
      </c>
      <c r="W199" s="20" t="s">
        <v>1307</v>
      </c>
      <c r="X199" s="20" t="s">
        <v>1307</v>
      </c>
      <c r="Y199" s="20" t="s">
        <v>1307</v>
      </c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" thickBot="1" x14ac:dyDescent="0.35">
      <c r="A200" t="s">
        <v>297</v>
      </c>
      <c r="B200" t="s">
        <v>1062</v>
      </c>
      <c r="C200" t="s">
        <v>1158</v>
      </c>
      <c r="D200" t="s">
        <v>301</v>
      </c>
      <c r="E200" s="39" t="s">
        <v>19</v>
      </c>
      <c r="F200" s="39" t="s">
        <v>1150</v>
      </c>
      <c r="G200" t="s">
        <v>787</v>
      </c>
      <c r="H200" s="40">
        <f t="shared" ref="H200:H263" si="22">COUNTIF(K200:AO200,"")</f>
        <v>12</v>
      </c>
      <c r="I200" s="40">
        <f>COUNTIF(K200:AL200,"APAGADO")</f>
        <v>19</v>
      </c>
      <c r="J200" s="41">
        <f>(H200)/(I200+H200)</f>
        <v>0.38709677419354838</v>
      </c>
      <c r="K200" s="20" t="s">
        <v>1307</v>
      </c>
      <c r="L200" s="20" t="s">
        <v>1307</v>
      </c>
      <c r="M200" s="20" t="s">
        <v>1307</v>
      </c>
      <c r="N200" s="20" t="s">
        <v>1307</v>
      </c>
      <c r="O200" s="20" t="s">
        <v>1307</v>
      </c>
      <c r="P200" s="20" t="s">
        <v>1307</v>
      </c>
      <c r="Q200" s="20" t="s">
        <v>1307</v>
      </c>
      <c r="R200" s="20" t="s">
        <v>1307</v>
      </c>
      <c r="S200" s="20" t="s">
        <v>1307</v>
      </c>
      <c r="T200" s="20" t="s">
        <v>1307</v>
      </c>
      <c r="U200" s="20" t="s">
        <v>1307</v>
      </c>
      <c r="V200" s="20" t="s">
        <v>1307</v>
      </c>
      <c r="W200" s="20" t="s">
        <v>1307</v>
      </c>
      <c r="X200" s="20" t="s">
        <v>1307</v>
      </c>
      <c r="Y200" s="20" t="s">
        <v>1307</v>
      </c>
      <c r="Z200" s="20" t="s">
        <v>1307</v>
      </c>
      <c r="AA200" s="20" t="s">
        <v>1307</v>
      </c>
      <c r="AB200" s="20" t="s">
        <v>1307</v>
      </c>
      <c r="AC200" s="20" t="s">
        <v>1307</v>
      </c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" hidden="1" thickBot="1" x14ac:dyDescent="0.35">
      <c r="A201" t="s">
        <v>297</v>
      </c>
      <c r="B201" t="s">
        <v>302</v>
      </c>
      <c r="C201" t="s">
        <v>1158</v>
      </c>
      <c r="D201" t="s">
        <v>303</v>
      </c>
      <c r="E201" s="39" t="s">
        <v>15</v>
      </c>
      <c r="F201" s="39" t="s">
        <v>1150</v>
      </c>
      <c r="G201" t="s">
        <v>788</v>
      </c>
      <c r="H201" s="40">
        <f t="shared" si="22"/>
        <v>16</v>
      </c>
      <c r="I201" s="40">
        <f t="shared" si="18"/>
        <v>15</v>
      </c>
      <c r="J201" s="41">
        <f t="shared" si="19"/>
        <v>0.5161290322580645</v>
      </c>
      <c r="K201" s="20" t="s">
        <v>1307</v>
      </c>
      <c r="L201" s="20" t="s">
        <v>1307</v>
      </c>
      <c r="M201" s="20" t="s">
        <v>1307</v>
      </c>
      <c r="N201" s="20" t="s">
        <v>1307</v>
      </c>
      <c r="O201" s="20" t="s">
        <v>1307</v>
      </c>
      <c r="P201" s="20" t="s">
        <v>1307</v>
      </c>
      <c r="Q201" s="20" t="s">
        <v>1307</v>
      </c>
      <c r="R201" s="20" t="s">
        <v>1307</v>
      </c>
      <c r="S201" s="20" t="s">
        <v>1307</v>
      </c>
      <c r="T201" s="20" t="s">
        <v>1307</v>
      </c>
      <c r="U201" s="20" t="s">
        <v>1307</v>
      </c>
      <c r="V201" s="20" t="s">
        <v>1307</v>
      </c>
      <c r="W201" s="20" t="s">
        <v>1307</v>
      </c>
      <c r="X201" s="20" t="s">
        <v>1307</v>
      </c>
      <c r="Y201" s="20" t="s">
        <v>1307</v>
      </c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" hidden="1" thickBot="1" x14ac:dyDescent="0.35">
      <c r="A202" t="s">
        <v>304</v>
      </c>
      <c r="B202" t="s">
        <v>305</v>
      </c>
      <c r="C202" t="s">
        <v>1158</v>
      </c>
      <c r="D202" t="s">
        <v>306</v>
      </c>
      <c r="E202" s="39" t="s">
        <v>73</v>
      </c>
      <c r="F202" s="39" t="s">
        <v>28</v>
      </c>
      <c r="G202" t="s">
        <v>789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" hidden="1" thickBot="1" x14ac:dyDescent="0.35">
      <c r="A203" t="s">
        <v>304</v>
      </c>
      <c r="B203" t="s">
        <v>307</v>
      </c>
      <c r="C203" t="s">
        <v>1158</v>
      </c>
      <c r="D203" t="s">
        <v>308</v>
      </c>
      <c r="E203" s="39" t="s">
        <v>19</v>
      </c>
      <c r="F203" s="39" t="s">
        <v>20</v>
      </c>
      <c r="G203" t="s">
        <v>790</v>
      </c>
      <c r="H203" s="40">
        <f t="shared" si="22"/>
        <v>27</v>
      </c>
      <c r="I203" s="40">
        <f t="shared" si="18"/>
        <v>4</v>
      </c>
      <c r="J203" s="41">
        <f t="shared" si="19"/>
        <v>0.87096774193548387</v>
      </c>
      <c r="K203" s="20" t="s">
        <v>1307</v>
      </c>
      <c r="L203" s="20" t="s">
        <v>1307</v>
      </c>
      <c r="M203" s="20" t="s">
        <v>1307</v>
      </c>
      <c r="N203" s="20" t="s">
        <v>1307</v>
      </c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" hidden="1" thickBot="1" x14ac:dyDescent="0.35">
      <c r="A204" t="s">
        <v>304</v>
      </c>
      <c r="B204" t="s">
        <v>309</v>
      </c>
      <c r="C204" t="s">
        <v>1158</v>
      </c>
      <c r="D204" t="s">
        <v>310</v>
      </c>
      <c r="E204" s="39" t="s">
        <v>19</v>
      </c>
      <c r="F204" s="39" t="s">
        <v>20</v>
      </c>
      <c r="G204" t="s">
        <v>791</v>
      </c>
      <c r="H204" s="40">
        <f t="shared" si="22"/>
        <v>29</v>
      </c>
      <c r="I204" s="40">
        <f t="shared" si="18"/>
        <v>2</v>
      </c>
      <c r="J204" s="41">
        <f t="shared" si="19"/>
        <v>0.93548387096774188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 t="s">
        <v>1307</v>
      </c>
      <c r="W204" s="20" t="s">
        <v>1307</v>
      </c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" hidden="1" thickBot="1" x14ac:dyDescent="0.35">
      <c r="A205" t="s">
        <v>304</v>
      </c>
      <c r="B205" t="s">
        <v>311</v>
      </c>
      <c r="C205" t="s">
        <v>1158</v>
      </c>
      <c r="D205" t="s">
        <v>312</v>
      </c>
      <c r="E205" s="39" t="s">
        <v>19</v>
      </c>
      <c r="F205" s="39" t="s">
        <v>20</v>
      </c>
      <c r="G205" t="s">
        <v>792</v>
      </c>
      <c r="H205" s="40">
        <f t="shared" si="22"/>
        <v>30</v>
      </c>
      <c r="I205" s="40">
        <f t="shared" si="18"/>
        <v>1</v>
      </c>
      <c r="J205" s="41">
        <f t="shared" si="19"/>
        <v>0.967741935483871</v>
      </c>
      <c r="K205" s="20"/>
      <c r="L205" s="20"/>
      <c r="M205" s="20"/>
      <c r="N205" s="20"/>
      <c r="O205" s="20"/>
      <c r="P205" s="20" t="s">
        <v>1307</v>
      </c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" hidden="1" thickBot="1" x14ac:dyDescent="0.35">
      <c r="A206" t="s">
        <v>313</v>
      </c>
      <c r="B206" t="s">
        <v>1063</v>
      </c>
      <c r="C206" t="s">
        <v>1158</v>
      </c>
      <c r="D206" t="s">
        <v>316</v>
      </c>
      <c r="E206" s="39" t="s">
        <v>19</v>
      </c>
      <c r="F206" s="39" t="s">
        <v>28</v>
      </c>
      <c r="G206" t="s">
        <v>793</v>
      </c>
      <c r="H206" s="40">
        <f t="shared" si="22"/>
        <v>30</v>
      </c>
      <c r="I206" s="40">
        <f t="shared" si="18"/>
        <v>1</v>
      </c>
      <c r="J206" s="41">
        <f t="shared" si="19"/>
        <v>0.967741935483871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 t="s">
        <v>1307</v>
      </c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" hidden="1" thickBot="1" x14ac:dyDescent="0.35">
      <c r="A207" t="s">
        <v>313</v>
      </c>
      <c r="B207" t="s">
        <v>317</v>
      </c>
      <c r="C207" t="s">
        <v>1158</v>
      </c>
      <c r="D207" t="s">
        <v>318</v>
      </c>
      <c r="E207" s="39" t="s">
        <v>19</v>
      </c>
      <c r="F207" s="39" t="s">
        <v>20</v>
      </c>
      <c r="G207" t="s">
        <v>794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" hidden="1" thickBot="1" x14ac:dyDescent="0.35">
      <c r="A208" t="s">
        <v>313</v>
      </c>
      <c r="B208" t="s">
        <v>319</v>
      </c>
      <c r="C208" t="s">
        <v>1158</v>
      </c>
      <c r="D208" t="s">
        <v>320</v>
      </c>
      <c r="E208" s="39" t="s">
        <v>19</v>
      </c>
      <c r="F208" s="39" t="s">
        <v>1151</v>
      </c>
      <c r="G208" t="s">
        <v>795</v>
      </c>
      <c r="H208" s="40">
        <f t="shared" si="22"/>
        <v>30</v>
      </c>
      <c r="I208" s="40">
        <f t="shared" si="18"/>
        <v>1</v>
      </c>
      <c r="J208" s="41">
        <f t="shared" si="19"/>
        <v>0.967741935483871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 t="s">
        <v>1307</v>
      </c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" hidden="1" thickBot="1" x14ac:dyDescent="0.35">
      <c r="A209" t="s">
        <v>313</v>
      </c>
      <c r="B209" t="s">
        <v>321</v>
      </c>
      <c r="C209" t="s">
        <v>1158</v>
      </c>
      <c r="D209" t="s">
        <v>322</v>
      </c>
      <c r="E209" s="39" t="s">
        <v>19</v>
      </c>
      <c r="F209" s="39" t="s">
        <v>20</v>
      </c>
      <c r="G209" t="s">
        <v>796</v>
      </c>
      <c r="H209" s="40">
        <f t="shared" si="22"/>
        <v>30</v>
      </c>
      <c r="I209" s="40">
        <f t="shared" si="18"/>
        <v>1</v>
      </c>
      <c r="J209" s="41">
        <f t="shared" si="19"/>
        <v>0.967741935483871</v>
      </c>
      <c r="K209" s="20"/>
      <c r="L209" s="20" t="s">
        <v>1307</v>
      </c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" thickBot="1" x14ac:dyDescent="0.35">
      <c r="A210" t="s">
        <v>323</v>
      </c>
      <c r="B210" t="s">
        <v>324</v>
      </c>
      <c r="C210" t="s">
        <v>1158</v>
      </c>
      <c r="D210" t="s">
        <v>325</v>
      </c>
      <c r="E210" s="39" t="s">
        <v>19</v>
      </c>
      <c r="F210" s="39" t="s">
        <v>20</v>
      </c>
      <c r="G210" t="s">
        <v>1156</v>
      </c>
      <c r="H210" s="40">
        <f t="shared" si="22"/>
        <v>21</v>
      </c>
      <c r="I210" s="40">
        <f t="shared" si="18"/>
        <v>10</v>
      </c>
      <c r="J210" s="41">
        <f t="shared" si="19"/>
        <v>0.67741935483870963</v>
      </c>
      <c r="K210" s="20" t="s">
        <v>1307</v>
      </c>
      <c r="L210" s="20" t="s">
        <v>1307</v>
      </c>
      <c r="M210" s="20" t="s">
        <v>1307</v>
      </c>
      <c r="N210" s="20"/>
      <c r="O210" s="20"/>
      <c r="P210" s="20" t="s">
        <v>1307</v>
      </c>
      <c r="Q210" s="20"/>
      <c r="R210" s="20" t="s">
        <v>1307</v>
      </c>
      <c r="S210" s="20"/>
      <c r="T210" s="20" t="s">
        <v>1307</v>
      </c>
      <c r="U210" s="20"/>
      <c r="V210" s="20" t="s">
        <v>1307</v>
      </c>
      <c r="W210" s="20"/>
      <c r="X210" s="20"/>
      <c r="Y210" s="20"/>
      <c r="Z210" s="20"/>
      <c r="AA210" s="20" t="s">
        <v>1307</v>
      </c>
      <c r="AB210" s="20" t="s">
        <v>1307</v>
      </c>
      <c r="AC210" s="20" t="s">
        <v>1307</v>
      </c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" hidden="1" thickBot="1" x14ac:dyDescent="0.35">
      <c r="A211" t="s">
        <v>52</v>
      </c>
      <c r="B211" t="s">
        <v>326</v>
      </c>
      <c r="C211" t="s">
        <v>1158</v>
      </c>
      <c r="D211" t="s">
        <v>327</v>
      </c>
      <c r="E211" s="39" t="s">
        <v>19</v>
      </c>
      <c r="F211" s="39" t="s">
        <v>1150</v>
      </c>
      <c r="G211" t="s">
        <v>797</v>
      </c>
      <c r="H211" s="40">
        <f t="shared" si="22"/>
        <v>31</v>
      </c>
      <c r="I211" s="40">
        <f t="shared" si="18"/>
        <v>0</v>
      </c>
      <c r="J211" s="41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" hidden="1" thickBot="1" x14ac:dyDescent="0.35">
      <c r="A212" t="s">
        <v>313</v>
      </c>
      <c r="B212" t="s">
        <v>328</v>
      </c>
      <c r="C212" t="s">
        <v>1158</v>
      </c>
      <c r="D212" t="s">
        <v>329</v>
      </c>
      <c r="E212" s="39" t="s">
        <v>19</v>
      </c>
      <c r="F212" s="39" t="s">
        <v>1150</v>
      </c>
      <c r="G212" t="s">
        <v>798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" hidden="1" thickBot="1" x14ac:dyDescent="0.35">
      <c r="A213" t="s">
        <v>313</v>
      </c>
      <c r="B213" t="s">
        <v>314</v>
      </c>
      <c r="C213" t="s">
        <v>1158</v>
      </c>
      <c r="D213" t="s">
        <v>315</v>
      </c>
      <c r="E213" s="39" t="s">
        <v>15</v>
      </c>
      <c r="F213" s="39" t="s">
        <v>20</v>
      </c>
      <c r="G213" t="s">
        <v>799</v>
      </c>
      <c r="H213" s="40">
        <f t="shared" si="22"/>
        <v>27</v>
      </c>
      <c r="I213" s="40">
        <f>COUNTIF(K213:AL213,"APAGADO")</f>
        <v>4</v>
      </c>
      <c r="J213" s="41">
        <f>(H213)/(I213+H213)</f>
        <v>0.87096774193548387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 t="s">
        <v>1307</v>
      </c>
      <c r="U213" s="20" t="s">
        <v>1307</v>
      </c>
      <c r="V213" s="20"/>
      <c r="W213" s="20" t="s">
        <v>1307</v>
      </c>
      <c r="X213" s="20" t="s">
        <v>1307</v>
      </c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" thickBot="1" x14ac:dyDescent="0.35">
      <c r="A214" t="s">
        <v>313</v>
      </c>
      <c r="B214" t="s">
        <v>330</v>
      </c>
      <c r="C214" t="s">
        <v>1158</v>
      </c>
      <c r="D214" t="s">
        <v>331</v>
      </c>
      <c r="E214" s="39" t="s">
        <v>15</v>
      </c>
      <c r="F214" s="39" t="s">
        <v>28</v>
      </c>
      <c r="G214" t="s">
        <v>800</v>
      </c>
      <c r="H214" s="40">
        <f t="shared" si="22"/>
        <v>12</v>
      </c>
      <c r="I214" s="40">
        <f t="shared" si="18"/>
        <v>19</v>
      </c>
      <c r="J214" s="41">
        <f t="shared" si="19"/>
        <v>0.38709677419354838</v>
      </c>
      <c r="K214" s="20" t="s">
        <v>1307</v>
      </c>
      <c r="L214" s="20" t="s">
        <v>1307</v>
      </c>
      <c r="M214" s="20" t="s">
        <v>1307</v>
      </c>
      <c r="N214" s="20" t="s">
        <v>1307</v>
      </c>
      <c r="O214" s="20" t="s">
        <v>1307</v>
      </c>
      <c r="P214" s="20" t="s">
        <v>1307</v>
      </c>
      <c r="Q214" s="20" t="s">
        <v>1307</v>
      </c>
      <c r="R214" s="20" t="s">
        <v>1307</v>
      </c>
      <c r="S214" s="20" t="s">
        <v>1307</v>
      </c>
      <c r="T214" s="20" t="s">
        <v>1307</v>
      </c>
      <c r="U214" s="20" t="s">
        <v>1307</v>
      </c>
      <c r="V214" s="20" t="s">
        <v>1307</v>
      </c>
      <c r="W214" s="20" t="s">
        <v>1307</v>
      </c>
      <c r="X214" s="20" t="s">
        <v>1307</v>
      </c>
      <c r="Y214" s="20" t="s">
        <v>1307</v>
      </c>
      <c r="Z214" s="20" t="s">
        <v>1307</v>
      </c>
      <c r="AA214" s="20" t="s">
        <v>1307</v>
      </c>
      <c r="AB214" s="20" t="s">
        <v>1307</v>
      </c>
      <c r="AC214" s="20" t="s">
        <v>1307</v>
      </c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" hidden="1" thickBot="1" x14ac:dyDescent="0.35">
      <c r="A215" t="s">
        <v>334</v>
      </c>
      <c r="B215" t="s">
        <v>332</v>
      </c>
      <c r="C215" t="s">
        <v>1159</v>
      </c>
      <c r="D215" t="s">
        <v>333</v>
      </c>
      <c r="E215" s="39" t="s">
        <v>15</v>
      </c>
      <c r="F215" s="39" t="s">
        <v>28</v>
      </c>
      <c r="G215" t="s">
        <v>801</v>
      </c>
      <c r="H215" s="40">
        <f t="shared" si="22"/>
        <v>29</v>
      </c>
      <c r="I215" s="40">
        <f t="shared" si="18"/>
        <v>2</v>
      </c>
      <c r="J215" s="41">
        <f t="shared" si="19"/>
        <v>0.93548387096774188</v>
      </c>
      <c r="K215" s="20" t="s">
        <v>1307</v>
      </c>
      <c r="L215" s="20" t="s">
        <v>1307</v>
      </c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" hidden="1" thickBot="1" x14ac:dyDescent="0.35">
      <c r="A216" t="s">
        <v>334</v>
      </c>
      <c r="B216" t="s">
        <v>335</v>
      </c>
      <c r="C216" t="s">
        <v>1159</v>
      </c>
      <c r="D216" t="s">
        <v>336</v>
      </c>
      <c r="E216" s="39" t="s">
        <v>73</v>
      </c>
      <c r="F216" s="39" t="s">
        <v>28</v>
      </c>
      <c r="G216" t="s">
        <v>802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" hidden="1" thickBot="1" x14ac:dyDescent="0.35">
      <c r="A217" t="s">
        <v>334</v>
      </c>
      <c r="B217" t="s">
        <v>337</v>
      </c>
      <c r="C217" t="s">
        <v>1159</v>
      </c>
      <c r="D217" t="s">
        <v>336</v>
      </c>
      <c r="E217" s="39" t="s">
        <v>73</v>
      </c>
      <c r="F217" s="39" t="s">
        <v>28</v>
      </c>
      <c r="G217" t="s">
        <v>803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" hidden="1" thickBot="1" x14ac:dyDescent="0.35">
      <c r="A218" t="s">
        <v>334</v>
      </c>
      <c r="B218" t="s">
        <v>338</v>
      </c>
      <c r="C218" t="s">
        <v>1159</v>
      </c>
      <c r="D218" t="s">
        <v>339</v>
      </c>
      <c r="E218" s="39" t="s">
        <v>73</v>
      </c>
      <c r="F218" s="39" t="s">
        <v>28</v>
      </c>
      <c r="G218" t="s">
        <v>804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" hidden="1" thickBot="1" x14ac:dyDescent="0.35">
      <c r="A219" t="s">
        <v>334</v>
      </c>
      <c r="B219" t="s">
        <v>340</v>
      </c>
      <c r="C219" t="s">
        <v>1159</v>
      </c>
      <c r="D219" t="s">
        <v>339</v>
      </c>
      <c r="E219" s="39" t="s">
        <v>73</v>
      </c>
      <c r="F219" s="39" t="s">
        <v>28</v>
      </c>
      <c r="G219" t="s">
        <v>805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" hidden="1" thickBot="1" x14ac:dyDescent="0.35">
      <c r="A220" t="s">
        <v>41</v>
      </c>
      <c r="B220" t="s">
        <v>342</v>
      </c>
      <c r="C220" t="s">
        <v>1159</v>
      </c>
      <c r="D220" t="s">
        <v>343</v>
      </c>
      <c r="E220" s="39" t="s">
        <v>15</v>
      </c>
      <c r="F220" s="39" t="s">
        <v>28</v>
      </c>
      <c r="G220" t="s">
        <v>808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" hidden="1" thickBot="1" x14ac:dyDescent="0.35">
      <c r="A221" t="s">
        <v>41</v>
      </c>
      <c r="B221" t="s">
        <v>344</v>
      </c>
      <c r="C221" t="s">
        <v>1159</v>
      </c>
      <c r="D221" t="s">
        <v>343</v>
      </c>
      <c r="E221" s="39" t="s">
        <v>73</v>
      </c>
      <c r="F221" s="39" t="s">
        <v>28</v>
      </c>
      <c r="G221" t="s">
        <v>809</v>
      </c>
      <c r="H221" s="40">
        <f t="shared" si="22"/>
        <v>30</v>
      </c>
      <c r="I221" s="40">
        <f t="shared" si="18"/>
        <v>1</v>
      </c>
      <c r="J221" s="41">
        <f t="shared" si="19"/>
        <v>0.967741935483871</v>
      </c>
      <c r="K221" s="20" t="s">
        <v>1307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" hidden="1" thickBot="1" x14ac:dyDescent="0.35">
      <c r="A222" t="s">
        <v>189</v>
      </c>
      <c r="B222" t="s">
        <v>345</v>
      </c>
      <c r="C222" t="s">
        <v>1159</v>
      </c>
      <c r="D222" t="s">
        <v>346</v>
      </c>
      <c r="E222" s="39" t="s">
        <v>15</v>
      </c>
      <c r="F222" s="39" t="s">
        <v>28</v>
      </c>
      <c r="G222" t="s">
        <v>810</v>
      </c>
      <c r="H222" s="40">
        <f t="shared" si="22"/>
        <v>30</v>
      </c>
      <c r="I222" s="40">
        <f t="shared" si="18"/>
        <v>1</v>
      </c>
      <c r="J222" s="41">
        <f t="shared" si="19"/>
        <v>0.967741935483871</v>
      </c>
      <c r="K222" s="20" t="s">
        <v>1307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" hidden="1" thickBot="1" x14ac:dyDescent="0.35">
      <c r="A223" t="s">
        <v>189</v>
      </c>
      <c r="B223" t="s">
        <v>347</v>
      </c>
      <c r="C223" t="s">
        <v>1159</v>
      </c>
      <c r="D223" t="s">
        <v>346</v>
      </c>
      <c r="E223" s="39" t="s">
        <v>73</v>
      </c>
      <c r="F223" s="39" t="s">
        <v>28</v>
      </c>
      <c r="G223" t="s">
        <v>811</v>
      </c>
      <c r="H223" s="40">
        <f t="shared" si="22"/>
        <v>30</v>
      </c>
      <c r="I223" s="40">
        <f t="shared" si="18"/>
        <v>1</v>
      </c>
      <c r="J223" s="41">
        <f t="shared" si="19"/>
        <v>0.967741935483871</v>
      </c>
      <c r="K223" s="20" t="s">
        <v>1307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" hidden="1" thickBot="1" x14ac:dyDescent="0.35">
      <c r="A224" t="s">
        <v>217</v>
      </c>
      <c r="B224" t="s">
        <v>348</v>
      </c>
      <c r="C224" t="s">
        <v>1159</v>
      </c>
      <c r="D224" t="s">
        <v>349</v>
      </c>
      <c r="E224" s="39" t="s">
        <v>15</v>
      </c>
      <c r="F224" s="39" t="s">
        <v>28</v>
      </c>
      <c r="G224" t="s">
        <v>812</v>
      </c>
      <c r="H224" s="40">
        <f t="shared" si="22"/>
        <v>30</v>
      </c>
      <c r="I224" s="40">
        <f t="shared" si="18"/>
        <v>1</v>
      </c>
      <c r="J224" s="41">
        <f t="shared" si="19"/>
        <v>0.967741935483871</v>
      </c>
      <c r="K224" s="20" t="s">
        <v>1307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" hidden="1" thickBot="1" x14ac:dyDescent="0.35">
      <c r="A225" t="s">
        <v>217</v>
      </c>
      <c r="B225" t="s">
        <v>350</v>
      </c>
      <c r="C225" t="s">
        <v>1159</v>
      </c>
      <c r="D225" t="s">
        <v>349</v>
      </c>
      <c r="E225" s="39" t="s">
        <v>73</v>
      </c>
      <c r="F225" s="39" t="s">
        <v>28</v>
      </c>
      <c r="G225" t="s">
        <v>813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 t="s">
        <v>1307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" hidden="1" thickBot="1" x14ac:dyDescent="0.35">
      <c r="A226" t="s">
        <v>232</v>
      </c>
      <c r="B226" t="s">
        <v>1064</v>
      </c>
      <c r="C226" t="s">
        <v>1159</v>
      </c>
      <c r="D226" t="s">
        <v>351</v>
      </c>
      <c r="E226" s="39" t="s">
        <v>19</v>
      </c>
      <c r="F226" s="39" t="s">
        <v>28</v>
      </c>
      <c r="G226" t="s">
        <v>823</v>
      </c>
      <c r="H226" s="40">
        <f t="shared" si="22"/>
        <v>30</v>
      </c>
      <c r="I226" s="40">
        <f t="shared" si="18"/>
        <v>1</v>
      </c>
      <c r="J226" s="41">
        <f t="shared" si="19"/>
        <v>0.967741935483871</v>
      </c>
      <c r="K226" s="20"/>
      <c r="L226" s="20" t="s">
        <v>1307</v>
      </c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" hidden="1" thickBot="1" x14ac:dyDescent="0.35">
      <c r="A227" t="s">
        <v>232</v>
      </c>
      <c r="B227" t="s">
        <v>352</v>
      </c>
      <c r="C227" t="s">
        <v>1159</v>
      </c>
      <c r="D227" t="s">
        <v>351</v>
      </c>
      <c r="E227" s="39" t="s">
        <v>73</v>
      </c>
      <c r="F227" s="39" t="s">
        <v>28</v>
      </c>
      <c r="G227" t="s">
        <v>814</v>
      </c>
      <c r="H227" s="40">
        <f t="shared" si="22"/>
        <v>31</v>
      </c>
      <c r="I227" s="40">
        <f t="shared" si="18"/>
        <v>0</v>
      </c>
      <c r="J227" s="41">
        <f t="shared" si="19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" hidden="1" thickBot="1" x14ac:dyDescent="0.35">
      <c r="A228" t="s">
        <v>290</v>
      </c>
      <c r="B228" t="s">
        <v>353</v>
      </c>
      <c r="C228" t="s">
        <v>1158</v>
      </c>
      <c r="D228" t="s">
        <v>354</v>
      </c>
      <c r="E228" s="39" t="s">
        <v>73</v>
      </c>
      <c r="F228" s="39" t="s">
        <v>28</v>
      </c>
      <c r="G228" t="s">
        <v>815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" hidden="1" thickBot="1" x14ac:dyDescent="0.35">
      <c r="A229" t="s">
        <v>355</v>
      </c>
      <c r="B229" t="s">
        <v>356</v>
      </c>
      <c r="C229" t="s">
        <v>1159</v>
      </c>
      <c r="D229" t="s">
        <v>357</v>
      </c>
      <c r="E229" s="39" t="s">
        <v>15</v>
      </c>
      <c r="F229" s="39" t="s">
        <v>28</v>
      </c>
      <c r="G229" t="s">
        <v>817</v>
      </c>
      <c r="H229" s="40">
        <f t="shared" si="22"/>
        <v>28</v>
      </c>
      <c r="I229" s="40">
        <f t="shared" si="18"/>
        <v>3</v>
      </c>
      <c r="J229" s="41">
        <f t="shared" si="19"/>
        <v>0.90322580645161288</v>
      </c>
      <c r="K229" s="20" t="s">
        <v>1307</v>
      </c>
      <c r="L229" s="20" t="s">
        <v>1307</v>
      </c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 t="s">
        <v>1307</v>
      </c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" hidden="1" thickBot="1" x14ac:dyDescent="0.35">
      <c r="A230" t="s">
        <v>355</v>
      </c>
      <c r="B230" t="s">
        <v>358</v>
      </c>
      <c r="C230" t="s">
        <v>1159</v>
      </c>
      <c r="D230" t="s">
        <v>357</v>
      </c>
      <c r="E230" s="39" t="s">
        <v>73</v>
      </c>
      <c r="F230" s="39" t="s">
        <v>28</v>
      </c>
      <c r="G230" t="s">
        <v>818</v>
      </c>
      <c r="H230" s="40">
        <f t="shared" si="22"/>
        <v>28</v>
      </c>
      <c r="I230" s="40">
        <f t="shared" si="18"/>
        <v>3</v>
      </c>
      <c r="J230" s="41">
        <f t="shared" si="19"/>
        <v>0.90322580645161288</v>
      </c>
      <c r="K230" s="20" t="s">
        <v>1307</v>
      </c>
      <c r="L230" s="20" t="s">
        <v>1307</v>
      </c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 t="s">
        <v>1307</v>
      </c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" thickBot="1" x14ac:dyDescent="0.35">
      <c r="A231" t="s">
        <v>359</v>
      </c>
      <c r="B231" t="s">
        <v>1065</v>
      </c>
      <c r="C231" t="s">
        <v>1159</v>
      </c>
      <c r="D231" t="s">
        <v>360</v>
      </c>
      <c r="E231" s="39" t="s">
        <v>15</v>
      </c>
      <c r="F231" s="39" t="s">
        <v>28</v>
      </c>
      <c r="G231" t="s">
        <v>824</v>
      </c>
      <c r="H231" s="40">
        <f t="shared" si="22"/>
        <v>12</v>
      </c>
      <c r="I231" s="40">
        <f t="shared" si="18"/>
        <v>19</v>
      </c>
      <c r="J231" s="41">
        <f t="shared" si="19"/>
        <v>0.38709677419354838</v>
      </c>
      <c r="K231" s="20" t="s">
        <v>1307</v>
      </c>
      <c r="L231" s="20" t="s">
        <v>1307</v>
      </c>
      <c r="M231" s="20" t="s">
        <v>1307</v>
      </c>
      <c r="N231" s="20" t="s">
        <v>1307</v>
      </c>
      <c r="O231" s="20" t="s">
        <v>1307</v>
      </c>
      <c r="P231" s="20" t="s">
        <v>1307</v>
      </c>
      <c r="Q231" s="20" t="s">
        <v>1307</v>
      </c>
      <c r="R231" s="20" t="s">
        <v>1307</v>
      </c>
      <c r="S231" s="20" t="s">
        <v>1307</v>
      </c>
      <c r="T231" s="20" t="s">
        <v>1307</v>
      </c>
      <c r="U231" s="20" t="s">
        <v>1307</v>
      </c>
      <c r="V231" s="20" t="s">
        <v>1307</v>
      </c>
      <c r="W231" s="20" t="s">
        <v>1307</v>
      </c>
      <c r="X231" s="20" t="s">
        <v>1307</v>
      </c>
      <c r="Y231" s="20" t="s">
        <v>1307</v>
      </c>
      <c r="Z231" s="20" t="s">
        <v>1307</v>
      </c>
      <c r="AA231" s="20" t="s">
        <v>1307</v>
      </c>
      <c r="AB231" s="20" t="s">
        <v>1307</v>
      </c>
      <c r="AC231" s="20" t="s">
        <v>1307</v>
      </c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" hidden="1" thickBot="1" x14ac:dyDescent="0.35">
      <c r="A232" t="s">
        <v>199</v>
      </c>
      <c r="B232" t="s">
        <v>361</v>
      </c>
      <c r="C232" t="s">
        <v>1159</v>
      </c>
      <c r="D232" t="s">
        <v>362</v>
      </c>
      <c r="E232" s="39" t="s">
        <v>15</v>
      </c>
      <c r="F232" s="39" t="s">
        <v>1151</v>
      </c>
      <c r="G232" t="s">
        <v>819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" hidden="1" thickBot="1" x14ac:dyDescent="0.35">
      <c r="A233" t="s">
        <v>199</v>
      </c>
      <c r="B233" t="s">
        <v>363</v>
      </c>
      <c r="C233" t="s">
        <v>1159</v>
      </c>
      <c r="D233" t="s">
        <v>362</v>
      </c>
      <c r="E233" s="39" t="s">
        <v>73</v>
      </c>
      <c r="F233" s="39" t="s">
        <v>1151</v>
      </c>
      <c r="G233" t="s">
        <v>820</v>
      </c>
      <c r="H233" s="40">
        <f t="shared" si="22"/>
        <v>31</v>
      </c>
      <c r="I233" s="40">
        <f t="shared" si="18"/>
        <v>0</v>
      </c>
      <c r="J233" s="41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" thickBot="1" x14ac:dyDescent="0.35">
      <c r="A234" t="s">
        <v>364</v>
      </c>
      <c r="B234" t="s">
        <v>1309</v>
      </c>
      <c r="C234" t="s">
        <v>1159</v>
      </c>
      <c r="D234" t="s">
        <v>1066</v>
      </c>
      <c r="E234" s="39" t="s">
        <v>15</v>
      </c>
      <c r="F234" s="39" t="s">
        <v>28</v>
      </c>
      <c r="G234" t="s">
        <v>825</v>
      </c>
      <c r="H234" s="40">
        <f t="shared" si="22"/>
        <v>19</v>
      </c>
      <c r="I234" s="40">
        <f t="shared" si="18"/>
        <v>12</v>
      </c>
      <c r="J234" s="41">
        <f t="shared" si="19"/>
        <v>0.61290322580645162</v>
      </c>
      <c r="K234" s="20"/>
      <c r="L234" s="20"/>
      <c r="M234" s="20"/>
      <c r="N234" s="20"/>
      <c r="O234" s="20"/>
      <c r="P234" s="20"/>
      <c r="Q234" s="20"/>
      <c r="R234" s="20" t="s">
        <v>1307</v>
      </c>
      <c r="S234" s="20" t="s">
        <v>1307</v>
      </c>
      <c r="T234" s="20" t="s">
        <v>1307</v>
      </c>
      <c r="U234" s="20" t="s">
        <v>1307</v>
      </c>
      <c r="V234" s="20" t="s">
        <v>1307</v>
      </c>
      <c r="W234" s="20" t="s">
        <v>1307</v>
      </c>
      <c r="X234" s="20" t="s">
        <v>1307</v>
      </c>
      <c r="Y234" s="20" t="s">
        <v>1307</v>
      </c>
      <c r="Z234" s="20" t="s">
        <v>1307</v>
      </c>
      <c r="AA234" s="20" t="s">
        <v>1307</v>
      </c>
      <c r="AB234" s="20" t="s">
        <v>1307</v>
      </c>
      <c r="AC234" s="20" t="s">
        <v>1307</v>
      </c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" thickBot="1" x14ac:dyDescent="0.35">
      <c r="A235" t="s">
        <v>364</v>
      </c>
      <c r="B235" t="s">
        <v>365</v>
      </c>
      <c r="C235" t="s">
        <v>1159</v>
      </c>
      <c r="D235" t="s">
        <v>1066</v>
      </c>
      <c r="E235" s="39" t="s">
        <v>73</v>
      </c>
      <c r="F235" s="39" t="s">
        <v>28</v>
      </c>
      <c r="G235" t="s">
        <v>826</v>
      </c>
      <c r="H235" s="40">
        <f t="shared" si="22"/>
        <v>19</v>
      </c>
      <c r="I235" s="40">
        <f t="shared" si="18"/>
        <v>12</v>
      </c>
      <c r="J235" s="41">
        <f t="shared" si="19"/>
        <v>0.61290322580645162</v>
      </c>
      <c r="K235" s="20"/>
      <c r="L235" s="20"/>
      <c r="M235" s="20"/>
      <c r="N235" s="20"/>
      <c r="O235" s="20"/>
      <c r="P235" s="20"/>
      <c r="Q235" s="20"/>
      <c r="R235" s="20" t="s">
        <v>1307</v>
      </c>
      <c r="S235" s="20" t="s">
        <v>1307</v>
      </c>
      <c r="T235" s="20" t="s">
        <v>1307</v>
      </c>
      <c r="U235" s="20" t="s">
        <v>1307</v>
      </c>
      <c r="V235" s="20" t="s">
        <v>1307</v>
      </c>
      <c r="W235" s="20" t="s">
        <v>1307</v>
      </c>
      <c r="X235" s="20" t="s">
        <v>1307</v>
      </c>
      <c r="Y235" s="20" t="s">
        <v>1307</v>
      </c>
      <c r="Z235" s="20" t="s">
        <v>1307</v>
      </c>
      <c r="AA235" s="20" t="s">
        <v>1307</v>
      </c>
      <c r="AB235" s="20" t="s">
        <v>1307</v>
      </c>
      <c r="AC235" s="20" t="s">
        <v>1307</v>
      </c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" hidden="1" thickBot="1" x14ac:dyDescent="0.35">
      <c r="A236" t="s">
        <v>355</v>
      </c>
      <c r="B236" t="s">
        <v>366</v>
      </c>
      <c r="C236" t="s">
        <v>1159</v>
      </c>
      <c r="D236" t="s">
        <v>367</v>
      </c>
      <c r="E236" s="39" t="s">
        <v>15</v>
      </c>
      <c r="F236" s="39" t="s">
        <v>28</v>
      </c>
      <c r="G236" t="s">
        <v>822</v>
      </c>
      <c r="H236" s="40">
        <f t="shared" si="22"/>
        <v>31</v>
      </c>
      <c r="I236" s="40">
        <f t="shared" si="18"/>
        <v>0</v>
      </c>
      <c r="J236" s="41">
        <f t="shared" si="19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" hidden="1" thickBot="1" x14ac:dyDescent="0.35">
      <c r="A237" t="s">
        <v>355</v>
      </c>
      <c r="B237" t="s">
        <v>368</v>
      </c>
      <c r="C237" t="s">
        <v>1159</v>
      </c>
      <c r="D237" t="s">
        <v>367</v>
      </c>
      <c r="E237" s="39" t="s">
        <v>73</v>
      </c>
      <c r="F237" s="39" t="s">
        <v>28</v>
      </c>
      <c r="G237" t="s">
        <v>821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" thickBot="1" x14ac:dyDescent="0.35">
      <c r="A238" t="s">
        <v>187</v>
      </c>
      <c r="B238" t="s">
        <v>1067</v>
      </c>
      <c r="C238" t="s">
        <v>1158</v>
      </c>
      <c r="D238" t="s">
        <v>1068</v>
      </c>
      <c r="E238" s="39" t="s">
        <v>73</v>
      </c>
      <c r="F238" s="39" t="s">
        <v>28</v>
      </c>
      <c r="G238"/>
      <c r="H238" s="40">
        <f t="shared" si="22"/>
        <v>12</v>
      </c>
      <c r="I238" s="40">
        <f t="shared" si="23"/>
        <v>19</v>
      </c>
      <c r="J238" s="41">
        <f t="shared" si="24"/>
        <v>0.38709677419354838</v>
      </c>
      <c r="K238" s="20" t="s">
        <v>1307</v>
      </c>
      <c r="L238" s="20" t="s">
        <v>1307</v>
      </c>
      <c r="M238" s="20" t="s">
        <v>1307</v>
      </c>
      <c r="N238" s="20" t="s">
        <v>1307</v>
      </c>
      <c r="O238" s="20" t="s">
        <v>1307</v>
      </c>
      <c r="P238" s="20" t="s">
        <v>1307</v>
      </c>
      <c r="Q238" s="20" t="s">
        <v>1307</v>
      </c>
      <c r="R238" s="20" t="s">
        <v>1307</v>
      </c>
      <c r="S238" s="20" t="s">
        <v>1307</v>
      </c>
      <c r="T238" s="20" t="s">
        <v>1307</v>
      </c>
      <c r="U238" s="20" t="s">
        <v>1307</v>
      </c>
      <c r="V238" s="20" t="s">
        <v>1307</v>
      </c>
      <c r="W238" s="20" t="s">
        <v>1307</v>
      </c>
      <c r="X238" s="20" t="s">
        <v>1307</v>
      </c>
      <c r="Y238" s="20" t="s">
        <v>1307</v>
      </c>
      <c r="Z238" s="20" t="s">
        <v>1307</v>
      </c>
      <c r="AA238" s="20" t="s">
        <v>1307</v>
      </c>
      <c r="AB238" s="20" t="s">
        <v>1307</v>
      </c>
      <c r="AC238" s="20" t="s">
        <v>1307</v>
      </c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" hidden="1" thickBot="1" x14ac:dyDescent="0.35">
      <c r="A239" t="s">
        <v>189</v>
      </c>
      <c r="B239" t="s">
        <v>1069</v>
      </c>
      <c r="C239" t="s">
        <v>1159</v>
      </c>
      <c r="D239" t="s">
        <v>1070</v>
      </c>
      <c r="E239" s="39" t="s">
        <v>73</v>
      </c>
      <c r="F239" s="39" t="s">
        <v>28</v>
      </c>
      <c r="G239"/>
      <c r="H239" s="40">
        <f t="shared" si="22"/>
        <v>30</v>
      </c>
      <c r="I239" s="40">
        <f t="shared" si="23"/>
        <v>1</v>
      </c>
      <c r="J239" s="41">
        <f t="shared" si="24"/>
        <v>0.967741935483871</v>
      </c>
      <c r="K239" s="20" t="s">
        <v>1307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" hidden="1" thickBot="1" x14ac:dyDescent="0.35">
      <c r="A240" t="s">
        <v>217</v>
      </c>
      <c r="B240" t="s">
        <v>1071</v>
      </c>
      <c r="C240" t="s">
        <v>1159</v>
      </c>
      <c r="D240" t="s">
        <v>1072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1307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" hidden="1" thickBot="1" x14ac:dyDescent="0.35">
      <c r="A241" t="s">
        <v>290</v>
      </c>
      <c r="B241" t="s">
        <v>369</v>
      </c>
      <c r="C241" t="s">
        <v>1159</v>
      </c>
      <c r="D241" t="s">
        <v>354</v>
      </c>
      <c r="E241" s="39" t="s">
        <v>15</v>
      </c>
      <c r="F241" s="39" t="s">
        <v>28</v>
      </c>
      <c r="G241" t="s">
        <v>816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" hidden="1" thickBot="1" x14ac:dyDescent="0.35">
      <c r="A242" t="s">
        <v>290</v>
      </c>
      <c r="B242" t="s">
        <v>1073</v>
      </c>
      <c r="C242" t="s">
        <v>1159</v>
      </c>
      <c r="D242" t="s">
        <v>1074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" thickBot="1" x14ac:dyDescent="0.35">
      <c r="A243" t="s">
        <v>355</v>
      </c>
      <c r="B243" t="s">
        <v>1075</v>
      </c>
      <c r="C243" t="s">
        <v>1159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22</v>
      </c>
      <c r="I243" s="40">
        <f t="shared" si="23"/>
        <v>9</v>
      </c>
      <c r="J243" s="41">
        <f t="shared" si="24"/>
        <v>0.70967741935483875</v>
      </c>
      <c r="K243" s="20" t="s">
        <v>1307</v>
      </c>
      <c r="L243" s="20" t="s">
        <v>1307</v>
      </c>
      <c r="M243" s="20"/>
      <c r="N243" s="20"/>
      <c r="O243" s="20"/>
      <c r="P243" s="20"/>
      <c r="Q243" s="20"/>
      <c r="R243" s="20" t="s">
        <v>1307</v>
      </c>
      <c r="S243" s="20"/>
      <c r="T243" s="20" t="s">
        <v>1307</v>
      </c>
      <c r="U243" s="20" t="s">
        <v>1307</v>
      </c>
      <c r="V243" s="20" t="s">
        <v>1307</v>
      </c>
      <c r="W243" s="20" t="s">
        <v>1307</v>
      </c>
      <c r="X243" s="20"/>
      <c r="Y243" s="20"/>
      <c r="Z243" s="20"/>
      <c r="AA243" s="20" t="s">
        <v>1307</v>
      </c>
      <c r="AB243" s="20"/>
      <c r="AC243" s="20" t="s">
        <v>1307</v>
      </c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" hidden="1" thickBot="1" x14ac:dyDescent="0.35">
      <c r="A244" t="s">
        <v>199</v>
      </c>
      <c r="B244" t="s">
        <v>1076</v>
      </c>
      <c r="C244" t="s">
        <v>1159</v>
      </c>
      <c r="D244" t="s">
        <v>1077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" thickBot="1" x14ac:dyDescent="0.35">
      <c r="A245" t="s">
        <v>364</v>
      </c>
      <c r="B245" t="s">
        <v>1078</v>
      </c>
      <c r="C245" t="s">
        <v>1159</v>
      </c>
      <c r="D245" t="s">
        <v>1079</v>
      </c>
      <c r="E245" s="39" t="s">
        <v>19</v>
      </c>
      <c r="F245" s="39" t="s">
        <v>28</v>
      </c>
      <c r="G245"/>
      <c r="H245" s="40">
        <f t="shared" si="22"/>
        <v>19</v>
      </c>
      <c r="I245" s="40">
        <f t="shared" si="23"/>
        <v>12</v>
      </c>
      <c r="J245" s="41">
        <f t="shared" si="24"/>
        <v>0.61290322580645162</v>
      </c>
      <c r="K245" s="20"/>
      <c r="L245" s="20"/>
      <c r="M245" s="20"/>
      <c r="N245" s="20"/>
      <c r="O245" s="20"/>
      <c r="P245" s="20"/>
      <c r="Q245" s="20"/>
      <c r="R245" s="20" t="s">
        <v>1307</v>
      </c>
      <c r="S245" s="20" t="s">
        <v>1307</v>
      </c>
      <c r="T245" s="20" t="s">
        <v>1307</v>
      </c>
      <c r="U245" s="20" t="s">
        <v>1307</v>
      </c>
      <c r="V245" s="20" t="s">
        <v>1307</v>
      </c>
      <c r="W245" s="20" t="s">
        <v>1307</v>
      </c>
      <c r="X245" s="20" t="s">
        <v>1307</v>
      </c>
      <c r="Y245" s="20" t="s">
        <v>1307</v>
      </c>
      <c r="Z245" s="20" t="s">
        <v>1307</v>
      </c>
      <c r="AA245" s="20" t="s">
        <v>1307</v>
      </c>
      <c r="AB245" s="20" t="s">
        <v>1307</v>
      </c>
      <c r="AC245" s="20" t="s">
        <v>1307</v>
      </c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" hidden="1" thickBot="1" x14ac:dyDescent="0.35">
      <c r="A246" t="s">
        <v>355</v>
      </c>
      <c r="B246" t="s">
        <v>1080</v>
      </c>
      <c r="C246" t="s">
        <v>1159</v>
      </c>
      <c r="D246" t="s">
        <v>1081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" hidden="1" thickBot="1" x14ac:dyDescent="0.35">
      <c r="A247" t="s">
        <v>232</v>
      </c>
      <c r="B247" t="s">
        <v>1082</v>
      </c>
      <c r="C247" t="s">
        <v>1159</v>
      </c>
      <c r="D247" t="s">
        <v>1083</v>
      </c>
      <c r="E247" s="39" t="s">
        <v>73</v>
      </c>
      <c r="F247" s="39" t="s">
        <v>28</v>
      </c>
      <c r="G247"/>
      <c r="H247" s="40">
        <f t="shared" si="22"/>
        <v>31</v>
      </c>
      <c r="I247" s="40">
        <f t="shared" si="23"/>
        <v>0</v>
      </c>
      <c r="J247" s="41">
        <f t="shared" si="24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" hidden="1" thickBot="1" x14ac:dyDescent="0.35">
      <c r="A248" t="s">
        <v>370</v>
      </c>
      <c r="B248" t="s">
        <v>371</v>
      </c>
      <c r="C248" t="s">
        <v>1159</v>
      </c>
      <c r="D248" t="s">
        <v>372</v>
      </c>
      <c r="E248" s="39" t="s">
        <v>15</v>
      </c>
      <c r="F248" s="39" t="s">
        <v>28</v>
      </c>
      <c r="G248" t="s">
        <v>827</v>
      </c>
      <c r="H248" s="40">
        <f t="shared" si="22"/>
        <v>28</v>
      </c>
      <c r="I248" s="40">
        <f t="shared" si="23"/>
        <v>3</v>
      </c>
      <c r="J248" s="41">
        <f t="shared" si="24"/>
        <v>0.90322580645161288</v>
      </c>
      <c r="K248" s="20" t="s">
        <v>1307</v>
      </c>
      <c r="L248" s="20"/>
      <c r="M248" s="20" t="s">
        <v>1307</v>
      </c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 t="s">
        <v>1307</v>
      </c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" hidden="1" thickBot="1" x14ac:dyDescent="0.35">
      <c r="A249" t="s">
        <v>370</v>
      </c>
      <c r="B249" t="s">
        <v>1084</v>
      </c>
      <c r="C249" t="s">
        <v>1159</v>
      </c>
      <c r="D249" t="s">
        <v>373</v>
      </c>
      <c r="E249" s="39" t="s">
        <v>15</v>
      </c>
      <c r="F249" s="39" t="s">
        <v>28</v>
      </c>
      <c r="G249" t="s">
        <v>828</v>
      </c>
      <c r="H249" s="40">
        <f t="shared" si="22"/>
        <v>28</v>
      </c>
      <c r="I249" s="40">
        <f t="shared" si="23"/>
        <v>3</v>
      </c>
      <c r="J249" s="41">
        <f t="shared" si="24"/>
        <v>0.90322580645161288</v>
      </c>
      <c r="K249" s="20" t="s">
        <v>1307</v>
      </c>
      <c r="L249" s="20" t="s">
        <v>1307</v>
      </c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 t="s">
        <v>1307</v>
      </c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" hidden="1" thickBot="1" x14ac:dyDescent="0.35">
      <c r="A250" t="s">
        <v>370</v>
      </c>
      <c r="B250" t="s">
        <v>374</v>
      </c>
      <c r="C250" t="s">
        <v>1159</v>
      </c>
      <c r="D250" t="s">
        <v>375</v>
      </c>
      <c r="E250" s="39" t="s">
        <v>73</v>
      </c>
      <c r="F250" s="39" t="s">
        <v>28</v>
      </c>
      <c r="G250" t="s">
        <v>829</v>
      </c>
      <c r="H250" s="40">
        <f t="shared" si="22"/>
        <v>29</v>
      </c>
      <c r="I250" s="40">
        <f t="shared" si="23"/>
        <v>2</v>
      </c>
      <c r="J250" s="41">
        <f t="shared" si="24"/>
        <v>0.93548387096774188</v>
      </c>
      <c r="K250" s="20" t="s">
        <v>1307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 t="s">
        <v>1307</v>
      </c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" hidden="1" thickBot="1" x14ac:dyDescent="0.35">
      <c r="A251" t="s">
        <v>370</v>
      </c>
      <c r="B251" t="s">
        <v>376</v>
      </c>
      <c r="C251" t="s">
        <v>1159</v>
      </c>
      <c r="D251" t="s">
        <v>375</v>
      </c>
      <c r="E251" s="39" t="s">
        <v>73</v>
      </c>
      <c r="F251" s="39" t="s">
        <v>28</v>
      </c>
      <c r="G251" t="s">
        <v>830</v>
      </c>
      <c r="H251" s="40">
        <f t="shared" si="22"/>
        <v>29</v>
      </c>
      <c r="I251" s="40">
        <f t="shared" si="23"/>
        <v>2</v>
      </c>
      <c r="J251" s="41">
        <f t="shared" si="24"/>
        <v>0.93548387096774188</v>
      </c>
      <c r="K251" s="20" t="s">
        <v>1307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 t="s">
        <v>1307</v>
      </c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" hidden="1" thickBot="1" x14ac:dyDescent="0.35">
      <c r="A252" t="s">
        <v>370</v>
      </c>
      <c r="B252" t="s">
        <v>377</v>
      </c>
      <c r="C252" t="s">
        <v>1159</v>
      </c>
      <c r="D252" t="s">
        <v>378</v>
      </c>
      <c r="E252" s="39" t="s">
        <v>73</v>
      </c>
      <c r="F252" s="39" t="s">
        <v>28</v>
      </c>
      <c r="G252" t="s">
        <v>831</v>
      </c>
      <c r="H252" s="40">
        <f t="shared" si="22"/>
        <v>25</v>
      </c>
      <c r="I252" s="40">
        <f t="shared" si="23"/>
        <v>6</v>
      </c>
      <c r="J252" s="41">
        <f t="shared" si="24"/>
        <v>0.80645161290322576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 t="s">
        <v>1307</v>
      </c>
      <c r="U252" s="20" t="s">
        <v>1307</v>
      </c>
      <c r="V252" s="20" t="s">
        <v>1307</v>
      </c>
      <c r="W252" s="20" t="s">
        <v>1307</v>
      </c>
      <c r="X252" s="20" t="s">
        <v>1307</v>
      </c>
      <c r="Y252" s="20"/>
      <c r="Z252" s="20"/>
      <c r="AA252" s="20" t="s">
        <v>1307</v>
      </c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" hidden="1" thickBot="1" x14ac:dyDescent="0.35">
      <c r="A253" t="s">
        <v>370</v>
      </c>
      <c r="B253" t="s">
        <v>379</v>
      </c>
      <c r="C253" t="s">
        <v>1159</v>
      </c>
      <c r="D253" t="s">
        <v>378</v>
      </c>
      <c r="E253" s="39" t="s">
        <v>46</v>
      </c>
      <c r="F253" s="39" t="s">
        <v>28</v>
      </c>
      <c r="G253" t="s">
        <v>832</v>
      </c>
      <c r="H253" s="40">
        <f t="shared" si="22"/>
        <v>25</v>
      </c>
      <c r="I253" s="40">
        <f t="shared" si="23"/>
        <v>6</v>
      </c>
      <c r="J253" s="41">
        <f t="shared" si="24"/>
        <v>0.80645161290322576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 t="s">
        <v>1307</v>
      </c>
      <c r="U253" s="20" t="s">
        <v>1307</v>
      </c>
      <c r="V253" s="20" t="s">
        <v>1307</v>
      </c>
      <c r="W253" s="20" t="s">
        <v>1307</v>
      </c>
      <c r="X253" s="20" t="s">
        <v>1307</v>
      </c>
      <c r="Y253" s="20"/>
      <c r="Z253" s="20"/>
      <c r="AA253" s="20" t="s">
        <v>1307</v>
      </c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" hidden="1" thickBot="1" x14ac:dyDescent="0.35">
      <c r="A254" t="s">
        <v>380</v>
      </c>
      <c r="B254" t="s">
        <v>1094</v>
      </c>
      <c r="C254" t="s">
        <v>1159</v>
      </c>
      <c r="D254" t="s">
        <v>381</v>
      </c>
      <c r="E254" s="39" t="s">
        <v>15</v>
      </c>
      <c r="F254" s="39" t="s">
        <v>28</v>
      </c>
      <c r="G254" t="s">
        <v>833</v>
      </c>
      <c r="H254" s="40">
        <f t="shared" si="22"/>
        <v>25</v>
      </c>
      <c r="I254" s="40">
        <f>COUNTIF(K254:AL254,"APAGADO")</f>
        <v>6</v>
      </c>
      <c r="J254" s="41">
        <f>(H254)/(I254+H254)</f>
        <v>0.80645161290322576</v>
      </c>
      <c r="K254" s="20" t="s">
        <v>1307</v>
      </c>
      <c r="L254" s="20" t="s">
        <v>1307</v>
      </c>
      <c r="M254" s="20" t="s">
        <v>1307</v>
      </c>
      <c r="N254" s="20" t="s">
        <v>1307</v>
      </c>
      <c r="O254" s="20" t="s">
        <v>1307</v>
      </c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 t="s">
        <v>1307</v>
      </c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" hidden="1" thickBot="1" x14ac:dyDescent="0.35">
      <c r="A255" t="s">
        <v>380</v>
      </c>
      <c r="B255" t="s">
        <v>1095</v>
      </c>
      <c r="C255" t="s">
        <v>1159</v>
      </c>
      <c r="D255" t="s">
        <v>382</v>
      </c>
      <c r="E255" s="39" t="s">
        <v>15</v>
      </c>
      <c r="F255" s="39" t="s">
        <v>28</v>
      </c>
      <c r="G255" t="s">
        <v>836</v>
      </c>
      <c r="H255" s="40">
        <f t="shared" si="22"/>
        <v>25</v>
      </c>
      <c r="I255" s="40">
        <f>COUNTIF(K255:AL255,"APAGADO")</f>
        <v>6</v>
      </c>
      <c r="J255" s="41">
        <f>(H255)/(I255+H255)</f>
        <v>0.80645161290322576</v>
      </c>
      <c r="K255" s="20" t="s">
        <v>1307</v>
      </c>
      <c r="L255" s="20" t="s">
        <v>1307</v>
      </c>
      <c r="M255" s="20" t="s">
        <v>1307</v>
      </c>
      <c r="N255" s="20" t="s">
        <v>1307</v>
      </c>
      <c r="O255" s="20" t="s">
        <v>1307</v>
      </c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 t="s">
        <v>1307</v>
      </c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" hidden="1" thickBot="1" x14ac:dyDescent="0.35">
      <c r="A256" t="s">
        <v>380</v>
      </c>
      <c r="B256" t="s">
        <v>383</v>
      </c>
      <c r="C256" t="s">
        <v>1159</v>
      </c>
      <c r="D256" t="s">
        <v>384</v>
      </c>
      <c r="E256" s="39" t="s">
        <v>73</v>
      </c>
      <c r="F256" s="39" t="s">
        <v>28</v>
      </c>
      <c r="G256" t="s">
        <v>834</v>
      </c>
      <c r="H256" s="40">
        <f t="shared" si="22"/>
        <v>25</v>
      </c>
      <c r="I256" s="40">
        <f>COUNTIF(K256:AL256,"APAGADO")</f>
        <v>6</v>
      </c>
      <c r="J256" s="41">
        <f>(H256)/(I256+H256)</f>
        <v>0.80645161290322576</v>
      </c>
      <c r="K256" s="20" t="s">
        <v>1307</v>
      </c>
      <c r="L256" s="20" t="s">
        <v>1307</v>
      </c>
      <c r="M256" s="20" t="s">
        <v>1307</v>
      </c>
      <c r="N256" s="20" t="s">
        <v>1307</v>
      </c>
      <c r="O256" s="20" t="s">
        <v>1307</v>
      </c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 t="s">
        <v>1307</v>
      </c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" hidden="1" thickBot="1" x14ac:dyDescent="0.35">
      <c r="A257" t="s">
        <v>380</v>
      </c>
      <c r="B257" t="s">
        <v>385</v>
      </c>
      <c r="C257" t="s">
        <v>1159</v>
      </c>
      <c r="D257" t="s">
        <v>384</v>
      </c>
      <c r="E257" s="39" t="s">
        <v>73</v>
      </c>
      <c r="F257" s="39" t="s">
        <v>28</v>
      </c>
      <c r="G257" t="s">
        <v>835</v>
      </c>
      <c r="H257" s="40">
        <f t="shared" si="22"/>
        <v>25</v>
      </c>
      <c r="I257" s="40">
        <f>COUNTIF(K257:AL257,"APAGADO")</f>
        <v>6</v>
      </c>
      <c r="J257" s="41">
        <f>(H257)/(I257+H257)</f>
        <v>0.80645161290322576</v>
      </c>
      <c r="K257" s="20" t="s">
        <v>1307</v>
      </c>
      <c r="L257" s="20" t="s">
        <v>1307</v>
      </c>
      <c r="M257" s="20" t="s">
        <v>1307</v>
      </c>
      <c r="N257" s="20" t="s">
        <v>1307</v>
      </c>
      <c r="O257" s="20" t="s">
        <v>1307</v>
      </c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 t="s">
        <v>1307</v>
      </c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" hidden="1" thickBot="1" x14ac:dyDescent="0.35">
      <c r="A258" t="s">
        <v>380</v>
      </c>
      <c r="B258" t="s">
        <v>1085</v>
      </c>
      <c r="C258" t="s">
        <v>1159</v>
      </c>
      <c r="D258" t="s">
        <v>386</v>
      </c>
      <c r="E258" s="39" t="s">
        <v>15</v>
      </c>
      <c r="F258" s="39" t="s">
        <v>28</v>
      </c>
      <c r="G258" t="s">
        <v>837</v>
      </c>
      <c r="H258" s="40">
        <f t="shared" si="22"/>
        <v>15</v>
      </c>
      <c r="I258" s="40">
        <f t="shared" si="23"/>
        <v>16</v>
      </c>
      <c r="J258" s="41">
        <f t="shared" si="24"/>
        <v>0.4838709677419355</v>
      </c>
      <c r="K258" s="20" t="s">
        <v>1307</v>
      </c>
      <c r="L258" s="20" t="s">
        <v>1307</v>
      </c>
      <c r="M258" s="20" t="s">
        <v>1307</v>
      </c>
      <c r="N258" s="20" t="s">
        <v>1307</v>
      </c>
      <c r="O258" s="20" t="s">
        <v>1307</v>
      </c>
      <c r="P258" s="20" t="s">
        <v>1307</v>
      </c>
      <c r="Q258" s="20" t="s">
        <v>1307</v>
      </c>
      <c r="R258" s="20" t="s">
        <v>1307</v>
      </c>
      <c r="S258" s="20" t="s">
        <v>1307</v>
      </c>
      <c r="T258" s="20" t="s">
        <v>1307</v>
      </c>
      <c r="U258" s="20" t="s">
        <v>1307</v>
      </c>
      <c r="V258" s="20" t="s">
        <v>1307</v>
      </c>
      <c r="W258" s="20" t="s">
        <v>1307</v>
      </c>
      <c r="X258" s="20" t="s">
        <v>1307</v>
      </c>
      <c r="Y258" s="20" t="s">
        <v>1307</v>
      </c>
      <c r="Z258" s="20"/>
      <c r="AA258" s="20" t="s">
        <v>1307</v>
      </c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" hidden="1" thickBot="1" x14ac:dyDescent="0.35">
      <c r="A259" t="s">
        <v>380</v>
      </c>
      <c r="B259" t="s">
        <v>1086</v>
      </c>
      <c r="C259" t="s">
        <v>1159</v>
      </c>
      <c r="D259" t="s">
        <v>1087</v>
      </c>
      <c r="E259" s="39" t="s">
        <v>19</v>
      </c>
      <c r="F259" s="39" t="s">
        <v>28</v>
      </c>
      <c r="G259" t="s">
        <v>991</v>
      </c>
      <c r="H259" s="40">
        <f t="shared" si="22"/>
        <v>25</v>
      </c>
      <c r="I259" s="40">
        <f t="shared" si="23"/>
        <v>6</v>
      </c>
      <c r="J259" s="41">
        <f t="shared" si="24"/>
        <v>0.80645161290322576</v>
      </c>
      <c r="K259" s="20" t="s">
        <v>1307</v>
      </c>
      <c r="L259" s="20"/>
      <c r="M259" s="20" t="s">
        <v>1307</v>
      </c>
      <c r="N259" s="20" t="s">
        <v>1307</v>
      </c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 t="s">
        <v>1307</v>
      </c>
      <c r="Z259" s="20" t="s">
        <v>1307</v>
      </c>
      <c r="AA259" s="20" t="s">
        <v>1307</v>
      </c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" hidden="1" thickBot="1" x14ac:dyDescent="0.35">
      <c r="A260" t="s">
        <v>380</v>
      </c>
      <c r="B260" t="s">
        <v>1088</v>
      </c>
      <c r="C260" t="s">
        <v>1159</v>
      </c>
      <c r="D260" t="s">
        <v>1089</v>
      </c>
      <c r="E260" s="39" t="s">
        <v>19</v>
      </c>
      <c r="F260" s="39" t="s">
        <v>28</v>
      </c>
      <c r="G260" t="s">
        <v>992</v>
      </c>
      <c r="H260" s="40">
        <f t="shared" si="22"/>
        <v>25</v>
      </c>
      <c r="I260" s="40">
        <f t="shared" si="23"/>
        <v>6</v>
      </c>
      <c r="J260" s="41">
        <f t="shared" si="24"/>
        <v>0.80645161290322576</v>
      </c>
      <c r="K260" s="20" t="s">
        <v>1307</v>
      </c>
      <c r="L260" s="20" t="s">
        <v>1307</v>
      </c>
      <c r="M260" s="20" t="s">
        <v>1307</v>
      </c>
      <c r="N260" s="20" t="s">
        <v>1307</v>
      </c>
      <c r="O260" s="20" t="s">
        <v>1307</v>
      </c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 t="s">
        <v>1307</v>
      </c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" hidden="1" thickBot="1" x14ac:dyDescent="0.35">
      <c r="A261" t="s">
        <v>380</v>
      </c>
      <c r="B261" t="s">
        <v>1090</v>
      </c>
      <c r="C261" t="s">
        <v>1159</v>
      </c>
      <c r="D261" t="s">
        <v>1091</v>
      </c>
      <c r="E261" s="39" t="s">
        <v>19</v>
      </c>
      <c r="F261" s="39" t="s">
        <v>28</v>
      </c>
      <c r="G261" t="s">
        <v>993</v>
      </c>
      <c r="H261" s="40">
        <f t="shared" si="22"/>
        <v>25</v>
      </c>
      <c r="I261" s="40">
        <f t="shared" si="23"/>
        <v>6</v>
      </c>
      <c r="J261" s="41">
        <f t="shared" si="24"/>
        <v>0.80645161290322576</v>
      </c>
      <c r="K261" s="20" t="s">
        <v>1307</v>
      </c>
      <c r="L261" s="20" t="s">
        <v>1307</v>
      </c>
      <c r="M261" s="20" t="s">
        <v>1307</v>
      </c>
      <c r="N261" s="20" t="s">
        <v>1307</v>
      </c>
      <c r="O261" s="20" t="s">
        <v>1307</v>
      </c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 t="s">
        <v>1307</v>
      </c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" hidden="1" thickBot="1" x14ac:dyDescent="0.35">
      <c r="A262" t="s">
        <v>380</v>
      </c>
      <c r="B262" t="s">
        <v>1092</v>
      </c>
      <c r="C262" t="s">
        <v>1159</v>
      </c>
      <c r="D262" t="s">
        <v>1093</v>
      </c>
      <c r="E262" s="39" t="s">
        <v>19</v>
      </c>
      <c r="F262" s="39" t="s">
        <v>28</v>
      </c>
      <c r="G262" t="s">
        <v>994</v>
      </c>
      <c r="H262" s="40">
        <f t="shared" si="22"/>
        <v>25</v>
      </c>
      <c r="I262" s="40">
        <f t="shared" si="23"/>
        <v>6</v>
      </c>
      <c r="J262" s="41">
        <f t="shared" si="24"/>
        <v>0.80645161290322576</v>
      </c>
      <c r="K262" s="20" t="s">
        <v>1307</v>
      </c>
      <c r="L262" s="20" t="s">
        <v>1307</v>
      </c>
      <c r="M262" s="20" t="s">
        <v>1307</v>
      </c>
      <c r="N262" s="20" t="s">
        <v>1307</v>
      </c>
      <c r="O262" s="20" t="s">
        <v>1307</v>
      </c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 t="s">
        <v>1307</v>
      </c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" hidden="1" thickBot="1" x14ac:dyDescent="0.35">
      <c r="A263" t="s">
        <v>380</v>
      </c>
      <c r="B263" t="s">
        <v>1271</v>
      </c>
      <c r="C263" t="s">
        <v>1159</v>
      </c>
      <c r="D263" t="s">
        <v>1254</v>
      </c>
      <c r="E263" s="39" t="s">
        <v>19</v>
      </c>
      <c r="F263" s="39" t="s">
        <v>28</v>
      </c>
      <c r="G263" t="s">
        <v>1256</v>
      </c>
      <c r="H263" s="40">
        <f t="shared" si="22"/>
        <v>25</v>
      </c>
      <c r="I263" s="40">
        <f>COUNTIF(K263:AL263,"APAGADO")</f>
        <v>6</v>
      </c>
      <c r="J263" s="41">
        <f>(H263)/(I263+H263)</f>
        <v>0.80645161290322576</v>
      </c>
      <c r="K263" s="20" t="s">
        <v>1307</v>
      </c>
      <c r="L263" s="20" t="s">
        <v>1307</v>
      </c>
      <c r="M263" s="20" t="s">
        <v>1307</v>
      </c>
      <c r="N263" s="20" t="s">
        <v>1307</v>
      </c>
      <c r="O263" s="20" t="s">
        <v>1307</v>
      </c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 t="s">
        <v>1307</v>
      </c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" hidden="1" thickBot="1" x14ac:dyDescent="0.35">
      <c r="A264" t="s">
        <v>380</v>
      </c>
      <c r="B264" t="s">
        <v>1272</v>
      </c>
      <c r="C264" t="s">
        <v>1159</v>
      </c>
      <c r="D264" t="s">
        <v>1254</v>
      </c>
      <c r="E264" s="39" t="s">
        <v>19</v>
      </c>
      <c r="F264" s="39" t="s">
        <v>28</v>
      </c>
      <c r="G264" t="s">
        <v>1257</v>
      </c>
      <c r="H264" s="40">
        <f t="shared" ref="H264:H327" si="25">COUNTIF(K264:AO264,"")</f>
        <v>25</v>
      </c>
      <c r="I264" s="40">
        <f>COUNTIF(K264:AL264,"APAGADO")</f>
        <v>6</v>
      </c>
      <c r="J264" s="41">
        <f>(H264)/(I264+H264)</f>
        <v>0.80645161290322576</v>
      </c>
      <c r="K264" s="20" t="s">
        <v>1307</v>
      </c>
      <c r="L264" s="20" t="s">
        <v>1307</v>
      </c>
      <c r="M264" s="20" t="s">
        <v>1307</v>
      </c>
      <c r="N264" s="20" t="s">
        <v>1307</v>
      </c>
      <c r="O264" s="20" t="s">
        <v>1307</v>
      </c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 t="s">
        <v>1307</v>
      </c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" hidden="1" thickBot="1" x14ac:dyDescent="0.35">
      <c r="A265" t="s">
        <v>380</v>
      </c>
      <c r="B265" t="s">
        <v>1290</v>
      </c>
      <c r="C265" t="s">
        <v>1159</v>
      </c>
      <c r="D265" t="s">
        <v>1253</v>
      </c>
      <c r="E265" s="39" t="s">
        <v>73</v>
      </c>
      <c r="F265" s="39" t="s">
        <v>28</v>
      </c>
      <c r="G265" t="s">
        <v>1255</v>
      </c>
      <c r="H265" s="40">
        <f t="shared" si="25"/>
        <v>25</v>
      </c>
      <c r="I265" s="40">
        <f>COUNTIF(K265:AL265,"APAGADO")</f>
        <v>6</v>
      </c>
      <c r="J265" s="41">
        <f>(H265)/(I265+H265)</f>
        <v>0.80645161290322576</v>
      </c>
      <c r="K265" s="20" t="s">
        <v>1307</v>
      </c>
      <c r="L265" s="20" t="s">
        <v>1307</v>
      </c>
      <c r="M265" s="20" t="s">
        <v>1307</v>
      </c>
      <c r="N265" s="20" t="s">
        <v>1307</v>
      </c>
      <c r="O265" s="20" t="s">
        <v>1307</v>
      </c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 t="s">
        <v>1307</v>
      </c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" hidden="1" thickBot="1" x14ac:dyDescent="0.35">
      <c r="A266" t="s">
        <v>982</v>
      </c>
      <c r="B266" t="s">
        <v>1096</v>
      </c>
      <c r="C266" t="s">
        <v>1159</v>
      </c>
      <c r="D266" t="s">
        <v>1097</v>
      </c>
      <c r="E266" s="39" t="s">
        <v>1152</v>
      </c>
      <c r="F266" s="39" t="s">
        <v>28</v>
      </c>
      <c r="G266" t="s">
        <v>984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" hidden="1" thickBot="1" x14ac:dyDescent="0.35">
      <c r="A267" t="s">
        <v>982</v>
      </c>
      <c r="B267" t="s">
        <v>981</v>
      </c>
      <c r="C267" t="s">
        <v>1159</v>
      </c>
      <c r="D267" t="s">
        <v>1097</v>
      </c>
      <c r="E267" s="39" t="s">
        <v>1153</v>
      </c>
      <c r="F267" s="39" t="s">
        <v>28</v>
      </c>
      <c r="G267" t="s">
        <v>983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" hidden="1" thickBot="1" x14ac:dyDescent="0.35">
      <c r="A268" t="s">
        <v>267</v>
      </c>
      <c r="B268" t="s">
        <v>387</v>
      </c>
      <c r="C268" t="s">
        <v>1158</v>
      </c>
      <c r="D268" t="s">
        <v>388</v>
      </c>
      <c r="E268" s="39" t="s">
        <v>19</v>
      </c>
      <c r="F268" s="39" t="s">
        <v>28</v>
      </c>
      <c r="G268" t="s">
        <v>838</v>
      </c>
      <c r="H268" s="40">
        <f t="shared" si="25"/>
        <v>17</v>
      </c>
      <c r="I268" s="40">
        <f>COUNTIF(K268:AL268,"APAGADO")</f>
        <v>14</v>
      </c>
      <c r="J268" s="41">
        <f>(H268)/(I268+H268)</f>
        <v>0.54838709677419351</v>
      </c>
      <c r="K268" s="20" t="s">
        <v>1307</v>
      </c>
      <c r="L268" s="20" t="s">
        <v>1307</v>
      </c>
      <c r="M268" s="20" t="s">
        <v>1307</v>
      </c>
      <c r="N268" s="20" t="s">
        <v>1307</v>
      </c>
      <c r="O268" s="20" t="s">
        <v>1307</v>
      </c>
      <c r="P268" s="20" t="s">
        <v>1307</v>
      </c>
      <c r="Q268" s="20" t="s">
        <v>1307</v>
      </c>
      <c r="R268" s="20" t="s">
        <v>1307</v>
      </c>
      <c r="S268" s="20" t="s">
        <v>1307</v>
      </c>
      <c r="T268" s="20" t="s">
        <v>1307</v>
      </c>
      <c r="U268" s="20" t="s">
        <v>1307</v>
      </c>
      <c r="V268" s="20" t="s">
        <v>1307</v>
      </c>
      <c r="W268" s="20" t="s">
        <v>1307</v>
      </c>
      <c r="X268" s="20" t="s">
        <v>1307</v>
      </c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" thickBot="1" x14ac:dyDescent="0.35">
      <c r="A269" t="s">
        <v>267</v>
      </c>
      <c r="B269" t="s">
        <v>1098</v>
      </c>
      <c r="C269" t="s">
        <v>1158</v>
      </c>
      <c r="D269" t="s">
        <v>341</v>
      </c>
      <c r="E269" s="39" t="s">
        <v>73</v>
      </c>
      <c r="F269" s="39" t="s">
        <v>28</v>
      </c>
      <c r="G269" t="s">
        <v>806</v>
      </c>
      <c r="H269" s="40">
        <f t="shared" si="25"/>
        <v>12</v>
      </c>
      <c r="I269" s="40">
        <f t="shared" si="23"/>
        <v>19</v>
      </c>
      <c r="J269" s="41">
        <f t="shared" si="24"/>
        <v>0.38709677419354838</v>
      </c>
      <c r="K269" s="20" t="s">
        <v>1307</v>
      </c>
      <c r="L269" s="20" t="s">
        <v>1307</v>
      </c>
      <c r="M269" s="20" t="s">
        <v>1307</v>
      </c>
      <c r="N269" s="20" t="s">
        <v>1307</v>
      </c>
      <c r="O269" s="20" t="s">
        <v>1307</v>
      </c>
      <c r="P269" s="20" t="s">
        <v>1307</v>
      </c>
      <c r="Q269" s="20" t="s">
        <v>1307</v>
      </c>
      <c r="R269" s="20" t="s">
        <v>1307</v>
      </c>
      <c r="S269" s="20" t="s">
        <v>1307</v>
      </c>
      <c r="T269" s="20" t="s">
        <v>1307</v>
      </c>
      <c r="U269" s="20" t="s">
        <v>1307</v>
      </c>
      <c r="V269" s="20" t="s">
        <v>1307</v>
      </c>
      <c r="W269" s="20" t="s">
        <v>1307</v>
      </c>
      <c r="X269" s="20" t="s">
        <v>1307</v>
      </c>
      <c r="Y269" s="20" t="s">
        <v>1307</v>
      </c>
      <c r="Z269" s="20" t="s">
        <v>1307</v>
      </c>
      <c r="AA269" s="20" t="s">
        <v>1307</v>
      </c>
      <c r="AB269" s="20" t="s">
        <v>1307</v>
      </c>
      <c r="AC269" s="20" t="s">
        <v>1307</v>
      </c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" thickBot="1" x14ac:dyDescent="0.35">
      <c r="A270" t="s">
        <v>267</v>
      </c>
      <c r="B270" t="s">
        <v>1099</v>
      </c>
      <c r="C270" t="s">
        <v>1158</v>
      </c>
      <c r="D270" t="s">
        <v>341</v>
      </c>
      <c r="E270" s="39" t="s">
        <v>73</v>
      </c>
      <c r="F270" s="39" t="s">
        <v>28</v>
      </c>
      <c r="G270" t="s">
        <v>807</v>
      </c>
      <c r="H270" s="40">
        <f t="shared" si="25"/>
        <v>12</v>
      </c>
      <c r="I270" s="40">
        <f t="shared" si="23"/>
        <v>19</v>
      </c>
      <c r="J270" s="41">
        <f t="shared" si="24"/>
        <v>0.38709677419354838</v>
      </c>
      <c r="K270" s="20" t="s">
        <v>1307</v>
      </c>
      <c r="L270" s="20" t="s">
        <v>1307</v>
      </c>
      <c r="M270" s="20" t="s">
        <v>1307</v>
      </c>
      <c r="N270" s="20" t="s">
        <v>1307</v>
      </c>
      <c r="O270" s="20" t="s">
        <v>1307</v>
      </c>
      <c r="P270" s="20" t="s">
        <v>1307</v>
      </c>
      <c r="Q270" s="20" t="s">
        <v>1307</v>
      </c>
      <c r="R270" s="20" t="s">
        <v>1307</v>
      </c>
      <c r="S270" s="20" t="s">
        <v>1307</v>
      </c>
      <c r="T270" s="20" t="s">
        <v>1307</v>
      </c>
      <c r="U270" s="20" t="s">
        <v>1307</v>
      </c>
      <c r="V270" s="20" t="s">
        <v>1307</v>
      </c>
      <c r="W270" s="20" t="s">
        <v>1307</v>
      </c>
      <c r="X270" s="20" t="s">
        <v>1307</v>
      </c>
      <c r="Y270" s="20" t="s">
        <v>1307</v>
      </c>
      <c r="Z270" s="20" t="s">
        <v>1307</v>
      </c>
      <c r="AA270" s="20" t="s">
        <v>1307</v>
      </c>
      <c r="AB270" s="20" t="s">
        <v>1307</v>
      </c>
      <c r="AC270" s="20" t="s">
        <v>1307</v>
      </c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" hidden="1" thickBot="1" x14ac:dyDescent="0.35">
      <c r="A271" t="s">
        <v>267</v>
      </c>
      <c r="B271" t="s">
        <v>1100</v>
      </c>
      <c r="C271" t="s">
        <v>1158</v>
      </c>
      <c r="D271" t="s">
        <v>1101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" hidden="1" thickBot="1" x14ac:dyDescent="0.35">
      <c r="A272" t="s">
        <v>267</v>
      </c>
      <c r="B272" t="s">
        <v>1102</v>
      </c>
      <c r="C272" t="s">
        <v>1158</v>
      </c>
      <c r="D272" t="s">
        <v>1103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" hidden="1" thickBot="1" x14ac:dyDescent="0.35">
      <c r="A273" t="s">
        <v>267</v>
      </c>
      <c r="B273" t="s">
        <v>1227</v>
      </c>
      <c r="C273" t="s">
        <v>1158</v>
      </c>
      <c r="D273" t="s">
        <v>1224</v>
      </c>
      <c r="E273" s="39" t="s">
        <v>73</v>
      </c>
      <c r="F273" s="39" t="s">
        <v>28</v>
      </c>
      <c r="G273" t="s">
        <v>1233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" hidden="1" thickBot="1" x14ac:dyDescent="0.35">
      <c r="A274" t="s">
        <v>267</v>
      </c>
      <c r="B274" t="s">
        <v>1228</v>
      </c>
      <c r="C274" t="s">
        <v>1158</v>
      </c>
      <c r="D274" t="s">
        <v>1224</v>
      </c>
      <c r="E274" s="39" t="s">
        <v>73</v>
      </c>
      <c r="F274" s="39" t="s">
        <v>28</v>
      </c>
      <c r="G274" t="s">
        <v>1234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" hidden="1" thickBot="1" x14ac:dyDescent="0.35">
      <c r="A275" t="s">
        <v>267</v>
      </c>
      <c r="B275" t="s">
        <v>1229</v>
      </c>
      <c r="C275" t="s">
        <v>1158</v>
      </c>
      <c r="D275" t="s">
        <v>1225</v>
      </c>
      <c r="E275" s="39" t="s">
        <v>73</v>
      </c>
      <c r="F275" s="39" t="s">
        <v>28</v>
      </c>
      <c r="G275" t="s">
        <v>1235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" hidden="1" thickBot="1" x14ac:dyDescent="0.35">
      <c r="A276" t="s">
        <v>267</v>
      </c>
      <c r="B276" t="s">
        <v>1230</v>
      </c>
      <c r="C276" t="s">
        <v>1158</v>
      </c>
      <c r="D276" t="s">
        <v>1225</v>
      </c>
      <c r="E276" s="39" t="s">
        <v>73</v>
      </c>
      <c r="F276" s="39" t="s">
        <v>28</v>
      </c>
      <c r="G276" t="s">
        <v>1236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" hidden="1" thickBot="1" x14ac:dyDescent="0.35">
      <c r="A277" t="s">
        <v>389</v>
      </c>
      <c r="B277" t="s">
        <v>390</v>
      </c>
      <c r="C277" t="s">
        <v>1158</v>
      </c>
      <c r="D277" t="s">
        <v>391</v>
      </c>
      <c r="E277" s="39" t="s">
        <v>19</v>
      </c>
      <c r="F277" s="39" t="s">
        <v>28</v>
      </c>
      <c r="G277" t="s">
        <v>839</v>
      </c>
      <c r="H277" s="40">
        <f t="shared" si="25"/>
        <v>24</v>
      </c>
      <c r="I277" s="40">
        <f t="shared" si="23"/>
        <v>7</v>
      </c>
      <c r="J277" s="41">
        <f t="shared" si="24"/>
        <v>0.77419354838709675</v>
      </c>
      <c r="K277" s="20" t="s">
        <v>1307</v>
      </c>
      <c r="L277" s="20" t="s">
        <v>1307</v>
      </c>
      <c r="M277" s="20" t="s">
        <v>1307</v>
      </c>
      <c r="N277" s="20" t="s">
        <v>1307</v>
      </c>
      <c r="O277" s="20" t="s">
        <v>1307</v>
      </c>
      <c r="P277" s="20" t="s">
        <v>1307</v>
      </c>
      <c r="Q277" s="20" t="s">
        <v>1307</v>
      </c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" hidden="1" thickBot="1" x14ac:dyDescent="0.35">
      <c r="A278" t="s">
        <v>389</v>
      </c>
      <c r="B278" t="s">
        <v>392</v>
      </c>
      <c r="C278" t="s">
        <v>1158</v>
      </c>
      <c r="D278" t="s">
        <v>393</v>
      </c>
      <c r="E278" s="39" t="s">
        <v>19</v>
      </c>
      <c r="F278" s="39" t="s">
        <v>28</v>
      </c>
      <c r="G278" t="s">
        <v>840</v>
      </c>
      <c r="H278" s="40">
        <f t="shared" si="25"/>
        <v>30</v>
      </c>
      <c r="I278" s="40">
        <f t="shared" si="23"/>
        <v>1</v>
      </c>
      <c r="J278" s="41">
        <f t="shared" si="24"/>
        <v>0.967741935483871</v>
      </c>
      <c r="K278" s="20"/>
      <c r="L278" s="20"/>
      <c r="M278" s="20"/>
      <c r="N278" s="20" t="s">
        <v>1307</v>
      </c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" hidden="1" thickBot="1" x14ac:dyDescent="0.35">
      <c r="A279" t="s">
        <v>394</v>
      </c>
      <c r="B279" t="s">
        <v>395</v>
      </c>
      <c r="C279" t="s">
        <v>1158</v>
      </c>
      <c r="D279" t="s">
        <v>396</v>
      </c>
      <c r="E279" s="39" t="s">
        <v>19</v>
      </c>
      <c r="F279" s="39" t="s">
        <v>20</v>
      </c>
      <c r="G279" t="s">
        <v>841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" hidden="1" thickBot="1" x14ac:dyDescent="0.35">
      <c r="A280" t="s">
        <v>297</v>
      </c>
      <c r="B280" t="s">
        <v>397</v>
      </c>
      <c r="C280" t="s">
        <v>1158</v>
      </c>
      <c r="D280" t="s">
        <v>398</v>
      </c>
      <c r="E280" s="39" t="s">
        <v>19</v>
      </c>
      <c r="F280" s="39" t="s">
        <v>28</v>
      </c>
      <c r="G280" t="s">
        <v>844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" hidden="1" thickBot="1" x14ac:dyDescent="0.35">
      <c r="A281" t="s">
        <v>297</v>
      </c>
      <c r="B281" t="s">
        <v>1104</v>
      </c>
      <c r="C281" t="s">
        <v>1158</v>
      </c>
      <c r="D281" t="s">
        <v>399</v>
      </c>
      <c r="E281" s="39" t="s">
        <v>19</v>
      </c>
      <c r="F281" s="39" t="s">
        <v>1150</v>
      </c>
      <c r="G281" t="s">
        <v>845</v>
      </c>
      <c r="H281" s="40">
        <f t="shared" si="25"/>
        <v>17</v>
      </c>
      <c r="I281" s="40">
        <f>COUNTIF(K281:AL281,"APAGADO")</f>
        <v>14</v>
      </c>
      <c r="J281" s="41">
        <f>(H281)/(I281+H281)</f>
        <v>0.54838709677419351</v>
      </c>
      <c r="K281" s="20" t="s">
        <v>1307</v>
      </c>
      <c r="L281" s="20" t="s">
        <v>1307</v>
      </c>
      <c r="M281" s="20" t="s">
        <v>1307</v>
      </c>
      <c r="N281" s="20"/>
      <c r="O281" s="20" t="s">
        <v>1307</v>
      </c>
      <c r="P281" s="20" t="s">
        <v>1307</v>
      </c>
      <c r="Q281" s="20" t="s">
        <v>1307</v>
      </c>
      <c r="R281" s="20" t="s">
        <v>1307</v>
      </c>
      <c r="S281" s="20" t="s">
        <v>1307</v>
      </c>
      <c r="T281" s="20" t="s">
        <v>1307</v>
      </c>
      <c r="U281" s="20" t="s">
        <v>1307</v>
      </c>
      <c r="V281" s="20" t="s">
        <v>1307</v>
      </c>
      <c r="W281" s="20" t="s">
        <v>1307</v>
      </c>
      <c r="X281" s="20" t="s">
        <v>1307</v>
      </c>
      <c r="Y281" s="20" t="s">
        <v>1307</v>
      </c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" hidden="1" thickBot="1" x14ac:dyDescent="0.35">
      <c r="A282" t="s">
        <v>297</v>
      </c>
      <c r="B282" t="s">
        <v>400</v>
      </c>
      <c r="C282" t="s">
        <v>1158</v>
      </c>
      <c r="D282" t="s">
        <v>401</v>
      </c>
      <c r="E282" s="39" t="s">
        <v>73</v>
      </c>
      <c r="F282" s="39" t="s">
        <v>28</v>
      </c>
      <c r="G282" t="s">
        <v>842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" hidden="1" thickBot="1" x14ac:dyDescent="0.35">
      <c r="A283" t="s">
        <v>297</v>
      </c>
      <c r="B283" t="s">
        <v>402</v>
      </c>
      <c r="C283" t="s">
        <v>1158</v>
      </c>
      <c r="D283" t="s">
        <v>401</v>
      </c>
      <c r="E283" s="39" t="s">
        <v>73</v>
      </c>
      <c r="F283" s="39" t="s">
        <v>28</v>
      </c>
      <c r="G283" t="s">
        <v>843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" hidden="1" thickBot="1" x14ac:dyDescent="0.35">
      <c r="A284" t="s">
        <v>407</v>
      </c>
      <c r="B284" t="s">
        <v>412</v>
      </c>
      <c r="C284" t="s">
        <v>1158</v>
      </c>
      <c r="D284" t="s">
        <v>413</v>
      </c>
      <c r="E284" s="39" t="s">
        <v>15</v>
      </c>
      <c r="F284" s="39" t="s">
        <v>20</v>
      </c>
      <c r="G284" t="s">
        <v>846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" thickBot="1" x14ac:dyDescent="0.35">
      <c r="A285" t="s">
        <v>389</v>
      </c>
      <c r="B285" t="s">
        <v>403</v>
      </c>
      <c r="C285" t="s">
        <v>1158</v>
      </c>
      <c r="D285" t="s">
        <v>404</v>
      </c>
      <c r="E285" s="39" t="s">
        <v>19</v>
      </c>
      <c r="F285" s="39" t="s">
        <v>20</v>
      </c>
      <c r="G285" t="s">
        <v>847</v>
      </c>
      <c r="H285" s="40">
        <f t="shared" si="25"/>
        <v>29</v>
      </c>
      <c r="I285" s="40">
        <f>COUNTIF(K285:AL285,"APAGADO")</f>
        <v>2</v>
      </c>
      <c r="J285" s="41">
        <f>(H285)/(I285+H285)</f>
        <v>0.93548387096774188</v>
      </c>
      <c r="K285" s="20"/>
      <c r="L285" s="20" t="s">
        <v>1307</v>
      </c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 t="s">
        <v>1307</v>
      </c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" hidden="1" thickBot="1" x14ac:dyDescent="0.35">
      <c r="A286" t="s">
        <v>389</v>
      </c>
      <c r="B286" t="s">
        <v>405</v>
      </c>
      <c r="C286" t="s">
        <v>1158</v>
      </c>
      <c r="D286" t="s">
        <v>406</v>
      </c>
      <c r="E286" s="39" t="s">
        <v>15</v>
      </c>
      <c r="F286" s="39" t="s">
        <v>20</v>
      </c>
      <c r="G286" t="s">
        <v>848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" hidden="1" thickBot="1" x14ac:dyDescent="0.35">
      <c r="A287" t="s">
        <v>407</v>
      </c>
      <c r="B287" t="s">
        <v>408</v>
      </c>
      <c r="C287" t="s">
        <v>1158</v>
      </c>
      <c r="D287" t="s">
        <v>409</v>
      </c>
      <c r="E287" s="39" t="s">
        <v>19</v>
      </c>
      <c r="F287" s="39" t="s">
        <v>28</v>
      </c>
      <c r="G287" t="s">
        <v>849</v>
      </c>
      <c r="H287" s="40">
        <f t="shared" si="25"/>
        <v>31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" hidden="1" thickBot="1" x14ac:dyDescent="0.35">
      <c r="A288" t="s">
        <v>407</v>
      </c>
      <c r="B288" t="s">
        <v>410</v>
      </c>
      <c r="C288" t="s">
        <v>1158</v>
      </c>
      <c r="D288" t="s">
        <v>409</v>
      </c>
      <c r="E288" s="39" t="s">
        <v>73</v>
      </c>
      <c r="F288" s="39" t="s">
        <v>28</v>
      </c>
      <c r="G288" t="s">
        <v>850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" hidden="1" thickBot="1" x14ac:dyDescent="0.35">
      <c r="A289" t="s">
        <v>407</v>
      </c>
      <c r="B289" t="s">
        <v>411</v>
      </c>
      <c r="C289" t="s">
        <v>1158</v>
      </c>
      <c r="D289" t="s">
        <v>409</v>
      </c>
      <c r="E289" s="39" t="s">
        <v>73</v>
      </c>
      <c r="F289" s="39" t="s">
        <v>28</v>
      </c>
      <c r="G289" t="s">
        <v>851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" hidden="1" thickBot="1" x14ac:dyDescent="0.35">
      <c r="A290" t="s">
        <v>414</v>
      </c>
      <c r="B290" t="s">
        <v>415</v>
      </c>
      <c r="C290" t="s">
        <v>1158</v>
      </c>
      <c r="D290" t="s">
        <v>416</v>
      </c>
      <c r="E290" s="39" t="s">
        <v>73</v>
      </c>
      <c r="F290" s="39" t="s">
        <v>28</v>
      </c>
      <c r="G290" t="s">
        <v>852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" hidden="1" thickBot="1" x14ac:dyDescent="0.35">
      <c r="A291" t="s">
        <v>414</v>
      </c>
      <c r="B291" t="s">
        <v>417</v>
      </c>
      <c r="C291" t="s">
        <v>1158</v>
      </c>
      <c r="D291" t="s">
        <v>416</v>
      </c>
      <c r="E291" s="39" t="s">
        <v>73</v>
      </c>
      <c r="F291" s="39" t="s">
        <v>28</v>
      </c>
      <c r="G291" t="s">
        <v>853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" hidden="1" thickBot="1" x14ac:dyDescent="0.35">
      <c r="A292" t="s">
        <v>407</v>
      </c>
      <c r="B292" t="s">
        <v>418</v>
      </c>
      <c r="C292" t="s">
        <v>1158</v>
      </c>
      <c r="D292" t="s">
        <v>419</v>
      </c>
      <c r="E292" s="39" t="s">
        <v>73</v>
      </c>
      <c r="F292" s="39" t="s">
        <v>28</v>
      </c>
      <c r="G292" t="s">
        <v>854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" hidden="1" thickBot="1" x14ac:dyDescent="0.35">
      <c r="A293" t="s">
        <v>407</v>
      </c>
      <c r="B293" t="s">
        <v>420</v>
      </c>
      <c r="C293" t="s">
        <v>1158</v>
      </c>
      <c r="D293" t="s">
        <v>419</v>
      </c>
      <c r="E293" s="39" t="s">
        <v>73</v>
      </c>
      <c r="F293" s="39" t="s">
        <v>28</v>
      </c>
      <c r="G293" t="s">
        <v>855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" hidden="1" thickBot="1" x14ac:dyDescent="0.35">
      <c r="A294" t="s">
        <v>407</v>
      </c>
      <c r="B294" t="s">
        <v>421</v>
      </c>
      <c r="C294" t="s">
        <v>1158</v>
      </c>
      <c r="D294" t="s">
        <v>422</v>
      </c>
      <c r="E294" s="39" t="s">
        <v>73</v>
      </c>
      <c r="F294" s="39" t="s">
        <v>28</v>
      </c>
      <c r="G294" t="s">
        <v>856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" hidden="1" thickBot="1" x14ac:dyDescent="0.35">
      <c r="A295" t="s">
        <v>407</v>
      </c>
      <c r="B295" t="s">
        <v>423</v>
      </c>
      <c r="C295" t="s">
        <v>1158</v>
      </c>
      <c r="D295" t="s">
        <v>422</v>
      </c>
      <c r="E295" s="39" t="s">
        <v>73</v>
      </c>
      <c r="F295" s="39" t="s">
        <v>28</v>
      </c>
      <c r="G295" t="s">
        <v>857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" hidden="1" thickBot="1" x14ac:dyDescent="0.35">
      <c r="A296" t="s">
        <v>414</v>
      </c>
      <c r="B296" t="s">
        <v>987</v>
      </c>
      <c r="C296" t="s">
        <v>1158</v>
      </c>
      <c r="D296" t="s">
        <v>988</v>
      </c>
      <c r="E296" s="39" t="s">
        <v>19</v>
      </c>
      <c r="F296" s="39" t="s">
        <v>28</v>
      </c>
      <c r="G296" t="s">
        <v>995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" hidden="1" thickBot="1" x14ac:dyDescent="0.35">
      <c r="A297" t="s">
        <v>407</v>
      </c>
      <c r="B297" t="s">
        <v>989</v>
      </c>
      <c r="C297" t="s">
        <v>1158</v>
      </c>
      <c r="D297" t="s">
        <v>990</v>
      </c>
      <c r="E297" s="39" t="s">
        <v>19</v>
      </c>
      <c r="F297" s="39" t="s">
        <v>28</v>
      </c>
      <c r="G297" t="s">
        <v>996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" hidden="1" thickBot="1" x14ac:dyDescent="0.35">
      <c r="A298" t="s">
        <v>407</v>
      </c>
      <c r="B298" t="s">
        <v>1105</v>
      </c>
      <c r="C298" t="s">
        <v>1158</v>
      </c>
      <c r="D298" t="s">
        <v>1106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" hidden="1" thickBot="1" x14ac:dyDescent="0.35">
      <c r="A299" t="s">
        <v>199</v>
      </c>
      <c r="B299" t="s">
        <v>424</v>
      </c>
      <c r="C299" t="s">
        <v>1159</v>
      </c>
      <c r="D299" t="s">
        <v>425</v>
      </c>
      <c r="E299" s="39" t="s">
        <v>15</v>
      </c>
      <c r="F299" s="39" t="s">
        <v>20</v>
      </c>
      <c r="G299" t="s">
        <v>860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" hidden="1" thickBot="1" x14ac:dyDescent="0.35">
      <c r="A300" t="s">
        <v>199</v>
      </c>
      <c r="B300" t="s">
        <v>426</v>
      </c>
      <c r="C300" t="s">
        <v>1159</v>
      </c>
      <c r="D300" t="s">
        <v>427</v>
      </c>
      <c r="E300" s="39" t="s">
        <v>15</v>
      </c>
      <c r="F300" s="39" t="s">
        <v>20</v>
      </c>
      <c r="G300" t="s">
        <v>862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" hidden="1" thickBot="1" x14ac:dyDescent="0.35">
      <c r="A301" t="s">
        <v>199</v>
      </c>
      <c r="B301" t="s">
        <v>1107</v>
      </c>
      <c r="C301" t="s">
        <v>1159</v>
      </c>
      <c r="D301" t="s">
        <v>1108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" hidden="1" thickBot="1" x14ac:dyDescent="0.35">
      <c r="A302" t="s">
        <v>199</v>
      </c>
      <c r="B302" t="s">
        <v>1109</v>
      </c>
      <c r="C302" t="s">
        <v>1159</v>
      </c>
      <c r="D302" t="s">
        <v>1108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" hidden="1" thickBot="1" x14ac:dyDescent="0.35">
      <c r="A303" t="s">
        <v>199</v>
      </c>
      <c r="B303" t="s">
        <v>428</v>
      </c>
      <c r="C303" t="s">
        <v>1159</v>
      </c>
      <c r="D303" t="s">
        <v>429</v>
      </c>
      <c r="E303" s="39" t="s">
        <v>19</v>
      </c>
      <c r="F303" s="39" t="s">
        <v>20</v>
      </c>
      <c r="G303" t="s">
        <v>858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" hidden="1" thickBot="1" x14ac:dyDescent="0.35">
      <c r="A304" t="s">
        <v>199</v>
      </c>
      <c r="B304" t="s">
        <v>430</v>
      </c>
      <c r="C304" t="s">
        <v>1159</v>
      </c>
      <c r="D304" t="s">
        <v>431</v>
      </c>
      <c r="E304" s="39" t="s">
        <v>19</v>
      </c>
      <c r="F304" s="39" t="s">
        <v>20</v>
      </c>
      <c r="G304" t="s">
        <v>859</v>
      </c>
      <c r="H304" s="40">
        <f t="shared" si="25"/>
        <v>27</v>
      </c>
      <c r="I304" s="40">
        <f t="shared" si="26"/>
        <v>4</v>
      </c>
      <c r="J304" s="41">
        <f t="shared" si="27"/>
        <v>0.87096774193548387</v>
      </c>
      <c r="K304" s="20"/>
      <c r="L304" s="20"/>
      <c r="M304" s="20"/>
      <c r="N304" s="20"/>
      <c r="O304" s="20"/>
      <c r="P304" s="20"/>
      <c r="Q304" s="20"/>
      <c r="R304" s="20"/>
      <c r="S304" s="20" t="s">
        <v>1307</v>
      </c>
      <c r="T304" s="20" t="s">
        <v>1307</v>
      </c>
      <c r="U304" s="20" t="s">
        <v>1307</v>
      </c>
      <c r="V304" s="20"/>
      <c r="W304" s="20"/>
      <c r="X304" s="20"/>
      <c r="Y304" s="20"/>
      <c r="Z304" s="20"/>
      <c r="AA304" s="20" t="s">
        <v>1307</v>
      </c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" hidden="1" thickBot="1" x14ac:dyDescent="0.35">
      <c r="A305" t="s">
        <v>199</v>
      </c>
      <c r="B305" t="s">
        <v>432</v>
      </c>
      <c r="C305" t="s">
        <v>1159</v>
      </c>
      <c r="D305" t="s">
        <v>433</v>
      </c>
      <c r="E305" s="39" t="s">
        <v>73</v>
      </c>
      <c r="F305" s="39" t="s">
        <v>28</v>
      </c>
      <c r="G305" t="s">
        <v>863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 t="s">
        <v>1307</v>
      </c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" hidden="1" thickBot="1" x14ac:dyDescent="0.35">
      <c r="A306" t="s">
        <v>199</v>
      </c>
      <c r="B306" t="s">
        <v>434</v>
      </c>
      <c r="C306" t="s">
        <v>1159</v>
      </c>
      <c r="D306" t="s">
        <v>433</v>
      </c>
      <c r="E306" s="39" t="s">
        <v>73</v>
      </c>
      <c r="F306" s="39" t="s">
        <v>28</v>
      </c>
      <c r="G306" t="s">
        <v>864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 t="s">
        <v>1307</v>
      </c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" hidden="1" thickBot="1" x14ac:dyDescent="0.35">
      <c r="A307" t="s">
        <v>199</v>
      </c>
      <c r="B307" t="s">
        <v>435</v>
      </c>
      <c r="C307" t="s">
        <v>1159</v>
      </c>
      <c r="D307" t="s">
        <v>436</v>
      </c>
      <c r="E307" s="39" t="s">
        <v>73</v>
      </c>
      <c r="F307" s="39" t="s">
        <v>28</v>
      </c>
      <c r="G307" t="s">
        <v>865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 t="s">
        <v>1307</v>
      </c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" hidden="1" thickBot="1" x14ac:dyDescent="0.35">
      <c r="A308" t="s">
        <v>199</v>
      </c>
      <c r="B308" t="s">
        <v>437</v>
      </c>
      <c r="C308" t="s">
        <v>1159</v>
      </c>
      <c r="D308" t="s">
        <v>436</v>
      </c>
      <c r="E308" s="39" t="s">
        <v>73</v>
      </c>
      <c r="F308" s="39" t="s">
        <v>28</v>
      </c>
      <c r="G308" t="s">
        <v>866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 t="s">
        <v>1307</v>
      </c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" hidden="1" thickBot="1" x14ac:dyDescent="0.35">
      <c r="A309" t="s">
        <v>438</v>
      </c>
      <c r="B309" t="s">
        <v>439</v>
      </c>
      <c r="C309" t="s">
        <v>1159</v>
      </c>
      <c r="D309" t="s">
        <v>440</v>
      </c>
      <c r="E309" s="39" t="s">
        <v>19</v>
      </c>
      <c r="F309" s="39" t="s">
        <v>20</v>
      </c>
      <c r="G309" t="s">
        <v>867</v>
      </c>
      <c r="H309" s="40">
        <f t="shared" si="25"/>
        <v>30</v>
      </c>
      <c r="I309" s="40">
        <f t="shared" si="26"/>
        <v>1</v>
      </c>
      <c r="J309" s="41">
        <f t="shared" si="27"/>
        <v>0.967741935483871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 t="s">
        <v>1307</v>
      </c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" hidden="1" thickBot="1" x14ac:dyDescent="0.35">
      <c r="A310" t="s">
        <v>443</v>
      </c>
      <c r="B310" t="s">
        <v>450</v>
      </c>
      <c r="C310" t="s">
        <v>1159</v>
      </c>
      <c r="D310" t="s">
        <v>451</v>
      </c>
      <c r="E310" s="39" t="s">
        <v>15</v>
      </c>
      <c r="F310" s="39" t="s">
        <v>20</v>
      </c>
      <c r="G310" t="s">
        <v>868</v>
      </c>
      <c r="H310" s="40">
        <f t="shared" si="25"/>
        <v>24</v>
      </c>
      <c r="I310" s="40">
        <f t="shared" si="26"/>
        <v>7</v>
      </c>
      <c r="J310" s="41">
        <f t="shared" si="27"/>
        <v>0.77419354838709675</v>
      </c>
      <c r="K310" s="20" t="s">
        <v>1307</v>
      </c>
      <c r="L310" s="20" t="s">
        <v>1307</v>
      </c>
      <c r="M310" s="20" t="s">
        <v>1307</v>
      </c>
      <c r="N310" s="20" t="s">
        <v>1307</v>
      </c>
      <c r="O310" s="20" t="s">
        <v>1307</v>
      </c>
      <c r="P310" s="20" t="s">
        <v>1307</v>
      </c>
      <c r="Q310" s="20" t="s">
        <v>1307</v>
      </c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" hidden="1" thickBot="1" x14ac:dyDescent="0.35">
      <c r="A311" t="s">
        <v>443</v>
      </c>
      <c r="B311" t="s">
        <v>452</v>
      </c>
      <c r="C311" t="s">
        <v>1159</v>
      </c>
      <c r="D311" t="s">
        <v>453</v>
      </c>
      <c r="E311" s="39" t="s">
        <v>19</v>
      </c>
      <c r="F311" s="39" t="s">
        <v>20</v>
      </c>
      <c r="G311" t="s">
        <v>869</v>
      </c>
      <c r="H311" s="40">
        <f t="shared" si="25"/>
        <v>29</v>
      </c>
      <c r="I311" s="40">
        <f t="shared" si="26"/>
        <v>2</v>
      </c>
      <c r="J311" s="41">
        <f t="shared" si="27"/>
        <v>0.93548387096774188</v>
      </c>
      <c r="K311" s="20"/>
      <c r="L311" s="20"/>
      <c r="M311" s="20" t="s">
        <v>1307</v>
      </c>
      <c r="N311" s="20"/>
      <c r="O311" s="20"/>
      <c r="P311" s="20"/>
      <c r="Q311" s="20"/>
      <c r="R311" s="20"/>
      <c r="S311" s="20"/>
      <c r="T311" s="20"/>
      <c r="U311" s="20"/>
      <c r="V311" s="20" t="s">
        <v>1307</v>
      </c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" hidden="1" thickBot="1" x14ac:dyDescent="0.35">
      <c r="A312" t="s">
        <v>443</v>
      </c>
      <c r="B312" t="s">
        <v>441</v>
      </c>
      <c r="C312" t="s">
        <v>1159</v>
      </c>
      <c r="D312" t="s">
        <v>442</v>
      </c>
      <c r="E312" s="39" t="s">
        <v>19</v>
      </c>
      <c r="F312" s="39" t="s">
        <v>20</v>
      </c>
      <c r="G312" t="s">
        <v>870</v>
      </c>
      <c r="H312" s="40">
        <f t="shared" si="25"/>
        <v>29</v>
      </c>
      <c r="I312" s="40">
        <f t="shared" si="26"/>
        <v>2</v>
      </c>
      <c r="J312" s="41">
        <f t="shared" si="27"/>
        <v>0.93548387096774188</v>
      </c>
      <c r="K312" s="20"/>
      <c r="L312" s="20"/>
      <c r="M312" s="20" t="s">
        <v>1307</v>
      </c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 t="s">
        <v>1307</v>
      </c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" hidden="1" thickBot="1" x14ac:dyDescent="0.35">
      <c r="A313" t="s">
        <v>443</v>
      </c>
      <c r="B313" t="s">
        <v>444</v>
      </c>
      <c r="C313" t="s">
        <v>1159</v>
      </c>
      <c r="D313" t="s">
        <v>445</v>
      </c>
      <c r="E313" s="39" t="s">
        <v>46</v>
      </c>
      <c r="F313" s="39" t="s">
        <v>20</v>
      </c>
      <c r="G313" t="s">
        <v>871</v>
      </c>
      <c r="H313" s="40">
        <f t="shared" si="25"/>
        <v>24</v>
      </c>
      <c r="I313" s="40">
        <f t="shared" si="26"/>
        <v>7</v>
      </c>
      <c r="J313" s="41">
        <f t="shared" si="27"/>
        <v>0.77419354838709675</v>
      </c>
      <c r="K313" s="20" t="s">
        <v>1307</v>
      </c>
      <c r="L313" s="20" t="s">
        <v>1307</v>
      </c>
      <c r="M313" s="20" t="s">
        <v>1307</v>
      </c>
      <c r="N313" s="20" t="s">
        <v>1307</v>
      </c>
      <c r="O313" s="20" t="s">
        <v>1307</v>
      </c>
      <c r="P313" s="20" t="s">
        <v>1307</v>
      </c>
      <c r="Q313" s="20" t="s">
        <v>1307</v>
      </c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" hidden="1" thickBot="1" x14ac:dyDescent="0.35">
      <c r="A314" t="s">
        <v>443</v>
      </c>
      <c r="B314" t="s">
        <v>454</v>
      </c>
      <c r="C314" t="s">
        <v>1159</v>
      </c>
      <c r="D314" t="s">
        <v>455</v>
      </c>
      <c r="E314" s="39" t="s">
        <v>15</v>
      </c>
      <c r="F314" s="39" t="s">
        <v>1151</v>
      </c>
      <c r="G314" t="s">
        <v>872</v>
      </c>
      <c r="H314" s="40">
        <f t="shared" si="25"/>
        <v>28</v>
      </c>
      <c r="I314" s="40">
        <f t="shared" si="26"/>
        <v>3</v>
      </c>
      <c r="J314" s="41">
        <f t="shared" si="27"/>
        <v>0.90322580645161288</v>
      </c>
      <c r="K314" s="20"/>
      <c r="L314" s="20"/>
      <c r="M314" s="20"/>
      <c r="N314" s="20" t="s">
        <v>1307</v>
      </c>
      <c r="O314" s="20" t="s">
        <v>1307</v>
      </c>
      <c r="P314" s="20" t="s">
        <v>1307</v>
      </c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" hidden="1" thickBot="1" x14ac:dyDescent="0.35">
      <c r="A315" t="s">
        <v>443</v>
      </c>
      <c r="B315" t="s">
        <v>446</v>
      </c>
      <c r="C315" t="s">
        <v>1159</v>
      </c>
      <c r="D315" t="s">
        <v>447</v>
      </c>
      <c r="E315" s="39" t="s">
        <v>15</v>
      </c>
      <c r="F315" s="39" t="s">
        <v>28</v>
      </c>
      <c r="G315" t="s">
        <v>873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" hidden="1" thickBot="1" x14ac:dyDescent="0.35">
      <c r="A316" t="s">
        <v>443</v>
      </c>
      <c r="B316" t="s">
        <v>448</v>
      </c>
      <c r="C316" t="s">
        <v>1159</v>
      </c>
      <c r="D316" t="s">
        <v>449</v>
      </c>
      <c r="E316" s="39" t="s">
        <v>15</v>
      </c>
      <c r="F316" s="39" t="s">
        <v>28</v>
      </c>
      <c r="G316" t="s">
        <v>874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" hidden="1" thickBot="1" x14ac:dyDescent="0.35">
      <c r="A317" t="s">
        <v>1221</v>
      </c>
      <c r="B317" t="s">
        <v>1222</v>
      </c>
      <c r="C317" t="s">
        <v>1159</v>
      </c>
      <c r="D317" t="s">
        <v>1223</v>
      </c>
      <c r="E317" s="39" t="s">
        <v>1211</v>
      </c>
      <c r="F317" s="39" t="s">
        <v>28</v>
      </c>
      <c r="G317" t="s">
        <v>1237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" hidden="1" thickBot="1" x14ac:dyDescent="0.35">
      <c r="A318" t="s">
        <v>1221</v>
      </c>
      <c r="B318" t="s">
        <v>1241</v>
      </c>
      <c r="C318" t="s">
        <v>1159</v>
      </c>
      <c r="D318" t="s">
        <v>1223</v>
      </c>
      <c r="E318" s="39" t="s">
        <v>1211</v>
      </c>
      <c r="F318" s="39" t="s">
        <v>28</v>
      </c>
      <c r="G318" t="s">
        <v>1238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" hidden="1" thickBot="1" x14ac:dyDescent="0.35">
      <c r="A319" t="s">
        <v>168</v>
      </c>
      <c r="B319" t="s">
        <v>456</v>
      </c>
      <c r="C319" t="s">
        <v>1158</v>
      </c>
      <c r="D319" t="s">
        <v>457</v>
      </c>
      <c r="E319" s="39" t="s">
        <v>73</v>
      </c>
      <c r="F319" s="39" t="s">
        <v>28</v>
      </c>
      <c r="G319" t="s">
        <v>875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" hidden="1" thickBot="1" x14ac:dyDescent="0.35">
      <c r="A320" t="s">
        <v>168</v>
      </c>
      <c r="B320" t="s">
        <v>458</v>
      </c>
      <c r="C320" t="s">
        <v>1158</v>
      </c>
      <c r="D320" t="s">
        <v>457</v>
      </c>
      <c r="E320" s="39" t="s">
        <v>73</v>
      </c>
      <c r="F320" s="39" t="s">
        <v>28</v>
      </c>
      <c r="G320" t="s">
        <v>876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95" hidden="1" customHeight="1" thickBot="1" x14ac:dyDescent="0.35">
      <c r="A321" t="s">
        <v>168</v>
      </c>
      <c r="B321" t="s">
        <v>1110</v>
      </c>
      <c r="C321" t="s">
        <v>1158</v>
      </c>
      <c r="D321" t="s">
        <v>459</v>
      </c>
      <c r="E321" s="39" t="s">
        <v>73</v>
      </c>
      <c r="F321" s="39" t="s">
        <v>28</v>
      </c>
      <c r="G321" t="s">
        <v>877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" hidden="1" thickBot="1" x14ac:dyDescent="0.35">
      <c r="A322" t="s">
        <v>168</v>
      </c>
      <c r="B322" t="s">
        <v>1111</v>
      </c>
      <c r="C322" t="s">
        <v>1158</v>
      </c>
      <c r="D322" t="s">
        <v>459</v>
      </c>
      <c r="E322" s="39" t="s">
        <v>73</v>
      </c>
      <c r="F322" s="39" t="s">
        <v>28</v>
      </c>
      <c r="G322" t="s">
        <v>878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" hidden="1" thickBot="1" x14ac:dyDescent="0.35">
      <c r="A323" t="s">
        <v>460</v>
      </c>
      <c r="B323" t="s">
        <v>1112</v>
      </c>
      <c r="C323" t="s">
        <v>1159</v>
      </c>
      <c r="D323" t="s">
        <v>474</v>
      </c>
      <c r="E323" s="39" t="s">
        <v>19</v>
      </c>
      <c r="F323" s="39" t="s">
        <v>20</v>
      </c>
      <c r="G323" t="s">
        <v>884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" hidden="1" thickBot="1" x14ac:dyDescent="0.35">
      <c r="A324" t="s">
        <v>460</v>
      </c>
      <c r="B324" t="s">
        <v>464</v>
      </c>
      <c r="C324" t="s">
        <v>1159</v>
      </c>
      <c r="D324" t="s">
        <v>465</v>
      </c>
      <c r="E324" s="39" t="s">
        <v>19</v>
      </c>
      <c r="F324" s="39" t="s">
        <v>28</v>
      </c>
      <c r="G324" t="s">
        <v>888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" hidden="1" thickBot="1" x14ac:dyDescent="0.35">
      <c r="A325" t="s">
        <v>460</v>
      </c>
      <c r="B325" t="s">
        <v>1113</v>
      </c>
      <c r="C325" t="s">
        <v>1159</v>
      </c>
      <c r="D325" t="s">
        <v>475</v>
      </c>
      <c r="E325" s="39" t="s">
        <v>15</v>
      </c>
      <c r="F325" s="39" t="s">
        <v>20</v>
      </c>
      <c r="G325" t="s">
        <v>879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 t="s">
        <v>1307</v>
      </c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" hidden="1" thickBot="1" x14ac:dyDescent="0.35">
      <c r="A326" t="s">
        <v>355</v>
      </c>
      <c r="B326" t="s">
        <v>1114</v>
      </c>
      <c r="C326" t="s">
        <v>1159</v>
      </c>
      <c r="D326" t="s">
        <v>478</v>
      </c>
      <c r="E326" s="39" t="s">
        <v>73</v>
      </c>
      <c r="F326" s="39" t="s">
        <v>16</v>
      </c>
      <c r="G326" t="s">
        <v>890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" hidden="1" thickBot="1" x14ac:dyDescent="0.35">
      <c r="A327" t="s">
        <v>355</v>
      </c>
      <c r="B327" t="s">
        <v>1115</v>
      </c>
      <c r="C327" t="s">
        <v>1159</v>
      </c>
      <c r="D327" t="s">
        <v>478</v>
      </c>
      <c r="E327" s="39" t="s">
        <v>73</v>
      </c>
      <c r="F327" s="39" t="s">
        <v>16</v>
      </c>
      <c r="G327" t="s">
        <v>891</v>
      </c>
      <c r="H327" s="40">
        <f t="shared" si="25"/>
        <v>30</v>
      </c>
      <c r="I327" s="40">
        <f t="shared" si="26"/>
        <v>1</v>
      </c>
      <c r="J327" s="41">
        <f t="shared" si="27"/>
        <v>0.967741935483871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 t="s">
        <v>1307</v>
      </c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" hidden="1" thickBot="1" x14ac:dyDescent="0.35">
      <c r="A328" t="s">
        <v>460</v>
      </c>
      <c r="B328" t="s">
        <v>1116</v>
      </c>
      <c r="C328" t="s">
        <v>1159</v>
      </c>
      <c r="D328" t="s">
        <v>481</v>
      </c>
      <c r="E328" s="39" t="s">
        <v>73</v>
      </c>
      <c r="F328" s="39" t="s">
        <v>28</v>
      </c>
      <c r="G328" t="s">
        <v>895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" hidden="1" thickBot="1" x14ac:dyDescent="0.35">
      <c r="A329" t="s">
        <v>460</v>
      </c>
      <c r="B329" t="s">
        <v>1117</v>
      </c>
      <c r="C329" t="s">
        <v>1159</v>
      </c>
      <c r="D329" t="s">
        <v>481</v>
      </c>
      <c r="E329" s="39" t="s">
        <v>73</v>
      </c>
      <c r="F329" s="39" t="s">
        <v>28</v>
      </c>
      <c r="G329" t="s">
        <v>896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" hidden="1" thickBot="1" x14ac:dyDescent="0.35">
      <c r="A330" t="s">
        <v>460</v>
      </c>
      <c r="B330" t="s">
        <v>469</v>
      </c>
      <c r="C330" t="s">
        <v>1159</v>
      </c>
      <c r="D330" t="s">
        <v>1118</v>
      </c>
      <c r="E330" s="39" t="s">
        <v>19</v>
      </c>
      <c r="F330" s="39" t="s">
        <v>20</v>
      </c>
      <c r="G330" t="s">
        <v>881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" hidden="1" thickBot="1" x14ac:dyDescent="0.35">
      <c r="A331" t="s">
        <v>355</v>
      </c>
      <c r="B331" t="s">
        <v>470</v>
      </c>
      <c r="C331" t="s">
        <v>1159</v>
      </c>
      <c r="D331" t="s">
        <v>471</v>
      </c>
      <c r="E331" s="39" t="s">
        <v>19</v>
      </c>
      <c r="F331" s="39" t="s">
        <v>20</v>
      </c>
      <c r="G331" t="s">
        <v>882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" hidden="1" thickBot="1" x14ac:dyDescent="0.35">
      <c r="A332" t="s">
        <v>460</v>
      </c>
      <c r="B332" t="s">
        <v>472</v>
      </c>
      <c r="C332" t="s">
        <v>1159</v>
      </c>
      <c r="D332" t="s">
        <v>473</v>
      </c>
      <c r="E332" s="39" t="s">
        <v>19</v>
      </c>
      <c r="F332" s="39" t="s">
        <v>20</v>
      </c>
      <c r="G332" t="s">
        <v>883</v>
      </c>
      <c r="H332" s="40">
        <f t="shared" si="28"/>
        <v>30</v>
      </c>
      <c r="I332" s="40">
        <f t="shared" si="26"/>
        <v>1</v>
      </c>
      <c r="J332" s="41">
        <f t="shared" si="27"/>
        <v>0.967741935483871</v>
      </c>
      <c r="K332" s="20" t="s">
        <v>1307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" hidden="1" thickBot="1" x14ac:dyDescent="0.35">
      <c r="A333" t="s">
        <v>460</v>
      </c>
      <c r="B333" t="s">
        <v>1119</v>
      </c>
      <c r="C333" t="s">
        <v>1159</v>
      </c>
      <c r="D333" t="s">
        <v>461</v>
      </c>
      <c r="E333" s="39" t="s">
        <v>15</v>
      </c>
      <c r="F333" s="39" t="s">
        <v>20</v>
      </c>
      <c r="G333" t="s">
        <v>885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" hidden="1" thickBot="1" x14ac:dyDescent="0.35">
      <c r="A334" t="s">
        <v>460</v>
      </c>
      <c r="B334" t="s">
        <v>1120</v>
      </c>
      <c r="C334" t="s">
        <v>1159</v>
      </c>
      <c r="D334" t="s">
        <v>462</v>
      </c>
      <c r="E334" s="39" t="s">
        <v>19</v>
      </c>
      <c r="F334" s="39" t="s">
        <v>28</v>
      </c>
      <c r="G334" t="s">
        <v>886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" hidden="1" thickBot="1" x14ac:dyDescent="0.35">
      <c r="A335" t="s">
        <v>460</v>
      </c>
      <c r="B335" t="s">
        <v>1121</v>
      </c>
      <c r="C335" t="s">
        <v>1159</v>
      </c>
      <c r="D335" t="s">
        <v>463</v>
      </c>
      <c r="E335" s="39" t="s">
        <v>19</v>
      </c>
      <c r="F335" s="39" t="s">
        <v>28</v>
      </c>
      <c r="G335" t="s">
        <v>887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" hidden="1" thickBot="1" x14ac:dyDescent="0.35">
      <c r="A336" t="s">
        <v>460</v>
      </c>
      <c r="B336" t="s">
        <v>1122</v>
      </c>
      <c r="C336" t="s">
        <v>1159</v>
      </c>
      <c r="D336" t="s">
        <v>466</v>
      </c>
      <c r="E336" s="39" t="s">
        <v>15</v>
      </c>
      <c r="F336" s="39" t="s">
        <v>20</v>
      </c>
      <c r="G336" t="s">
        <v>861</v>
      </c>
      <c r="H336" s="40">
        <f t="shared" si="28"/>
        <v>30</v>
      </c>
      <c r="I336" s="40">
        <f t="shared" si="26"/>
        <v>1</v>
      </c>
      <c r="J336" s="41">
        <f t="shared" si="27"/>
        <v>0.967741935483871</v>
      </c>
      <c r="K336" s="20"/>
      <c r="L336" s="20"/>
      <c r="M336" s="20"/>
      <c r="N336" s="20"/>
      <c r="O336" s="20"/>
      <c r="P336" s="20" t="s">
        <v>1307</v>
      </c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" hidden="1" thickBot="1" x14ac:dyDescent="0.35">
      <c r="A337" t="s">
        <v>460</v>
      </c>
      <c r="B337" t="s">
        <v>1123</v>
      </c>
      <c r="C337" t="s">
        <v>1159</v>
      </c>
      <c r="D337" t="s">
        <v>467</v>
      </c>
      <c r="E337" s="39" t="s">
        <v>15</v>
      </c>
      <c r="F337" s="39" t="s">
        <v>20</v>
      </c>
      <c r="G337" t="s">
        <v>889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" hidden="1" thickBot="1" x14ac:dyDescent="0.35">
      <c r="A338" t="s">
        <v>460</v>
      </c>
      <c r="B338" t="s">
        <v>476</v>
      </c>
      <c r="C338" t="s">
        <v>1159</v>
      </c>
      <c r="D338" t="s">
        <v>477</v>
      </c>
      <c r="E338" s="39" t="s">
        <v>15</v>
      </c>
      <c r="F338" s="39" t="s">
        <v>20</v>
      </c>
      <c r="G338" t="s">
        <v>880</v>
      </c>
      <c r="H338" s="40">
        <f t="shared" si="28"/>
        <v>30</v>
      </c>
      <c r="I338" s="40">
        <f t="shared" si="26"/>
        <v>1</v>
      </c>
      <c r="J338" s="41">
        <f t="shared" si="27"/>
        <v>0.967741935483871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 t="s">
        <v>1307</v>
      </c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" hidden="1" thickBot="1" x14ac:dyDescent="0.35">
      <c r="A339" t="s">
        <v>460</v>
      </c>
      <c r="B339" t="s">
        <v>479</v>
      </c>
      <c r="C339" t="s">
        <v>1159</v>
      </c>
      <c r="D339" t="s">
        <v>480</v>
      </c>
      <c r="E339" s="39" t="s">
        <v>15</v>
      </c>
      <c r="F339" s="39" t="s">
        <v>28</v>
      </c>
      <c r="G339" t="s">
        <v>892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" hidden="1" thickBot="1" x14ac:dyDescent="0.35">
      <c r="A340" t="s">
        <v>460</v>
      </c>
      <c r="B340" t="s">
        <v>1124</v>
      </c>
      <c r="C340" t="s">
        <v>1159</v>
      </c>
      <c r="D340" t="s">
        <v>468</v>
      </c>
      <c r="E340" s="39" t="s">
        <v>73</v>
      </c>
      <c r="F340" s="39" t="s">
        <v>28</v>
      </c>
      <c r="G340" t="s">
        <v>893</v>
      </c>
      <c r="H340" s="40">
        <f t="shared" si="28"/>
        <v>29</v>
      </c>
      <c r="I340" s="40">
        <f t="shared" si="26"/>
        <v>2</v>
      </c>
      <c r="J340" s="41">
        <f t="shared" si="27"/>
        <v>0.93548387096774188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 t="s">
        <v>1307</v>
      </c>
      <c r="X340" s="20" t="s">
        <v>1307</v>
      </c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" hidden="1" thickBot="1" x14ac:dyDescent="0.35">
      <c r="A341" t="s">
        <v>460</v>
      </c>
      <c r="B341" t="s">
        <v>1125</v>
      </c>
      <c r="C341" t="s">
        <v>1159</v>
      </c>
      <c r="D341" t="s">
        <v>468</v>
      </c>
      <c r="E341" s="39" t="s">
        <v>73</v>
      </c>
      <c r="F341" s="39" t="s">
        <v>28</v>
      </c>
      <c r="G341" t="s">
        <v>894</v>
      </c>
      <c r="H341" s="40">
        <f t="shared" si="28"/>
        <v>29</v>
      </c>
      <c r="I341" s="40">
        <f t="shared" si="26"/>
        <v>2</v>
      </c>
      <c r="J341" s="41">
        <f t="shared" si="27"/>
        <v>0.93548387096774188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 t="s">
        <v>1307</v>
      </c>
      <c r="X341" s="20" t="s">
        <v>1307</v>
      </c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" thickBot="1" x14ac:dyDescent="0.35">
      <c r="A342" t="s">
        <v>364</v>
      </c>
      <c r="B342" t="s">
        <v>482</v>
      </c>
      <c r="C342" t="s">
        <v>1159</v>
      </c>
      <c r="D342" t="s">
        <v>483</v>
      </c>
      <c r="E342" s="39" t="s">
        <v>73</v>
      </c>
      <c r="F342" s="39" t="s">
        <v>28</v>
      </c>
      <c r="G342" t="s">
        <v>897</v>
      </c>
      <c r="H342" s="40">
        <f t="shared" si="28"/>
        <v>14</v>
      </c>
      <c r="I342" s="40">
        <f t="shared" si="26"/>
        <v>17</v>
      </c>
      <c r="J342" s="41">
        <f t="shared" si="27"/>
        <v>0.45161290322580644</v>
      </c>
      <c r="K342" s="20" t="s">
        <v>1307</v>
      </c>
      <c r="L342" s="20" t="s">
        <v>1307</v>
      </c>
      <c r="M342" s="20" t="s">
        <v>1307</v>
      </c>
      <c r="N342" s="20" t="s">
        <v>1307</v>
      </c>
      <c r="O342" s="20" t="s">
        <v>1307</v>
      </c>
      <c r="P342" s="20"/>
      <c r="Q342" s="20"/>
      <c r="R342" s="20" t="s">
        <v>1307</v>
      </c>
      <c r="S342" s="20" t="s">
        <v>1307</v>
      </c>
      <c r="T342" s="20" t="s">
        <v>1307</v>
      </c>
      <c r="U342" s="20" t="s">
        <v>1307</v>
      </c>
      <c r="V342" s="20" t="s">
        <v>1307</v>
      </c>
      <c r="W342" s="20" t="s">
        <v>1307</v>
      </c>
      <c r="X342" s="20" t="s">
        <v>1307</v>
      </c>
      <c r="Y342" s="20" t="s">
        <v>1307</v>
      </c>
      <c r="Z342" s="20" t="s">
        <v>1307</v>
      </c>
      <c r="AA342" s="20" t="s">
        <v>1307</v>
      </c>
      <c r="AB342" s="20" t="s">
        <v>1307</v>
      </c>
      <c r="AC342" s="20" t="s">
        <v>1307</v>
      </c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" thickBot="1" x14ac:dyDescent="0.35">
      <c r="A343" t="s">
        <v>364</v>
      </c>
      <c r="B343" t="s">
        <v>484</v>
      </c>
      <c r="C343" t="s">
        <v>1159</v>
      </c>
      <c r="D343" t="s">
        <v>483</v>
      </c>
      <c r="E343" s="39" t="s">
        <v>73</v>
      </c>
      <c r="F343" s="39" t="s">
        <v>28</v>
      </c>
      <c r="G343" t="s">
        <v>898</v>
      </c>
      <c r="H343" s="40">
        <f t="shared" si="28"/>
        <v>14</v>
      </c>
      <c r="I343" s="40">
        <f t="shared" si="26"/>
        <v>17</v>
      </c>
      <c r="J343" s="41">
        <f t="shared" si="27"/>
        <v>0.45161290322580644</v>
      </c>
      <c r="K343" s="20" t="s">
        <v>1307</v>
      </c>
      <c r="L343" s="20" t="s">
        <v>1307</v>
      </c>
      <c r="M343" s="20" t="s">
        <v>1307</v>
      </c>
      <c r="N343" s="20" t="s">
        <v>1307</v>
      </c>
      <c r="O343" s="20" t="s">
        <v>1307</v>
      </c>
      <c r="P343" s="20"/>
      <c r="Q343" s="20"/>
      <c r="R343" s="20" t="s">
        <v>1307</v>
      </c>
      <c r="S343" s="20" t="s">
        <v>1307</v>
      </c>
      <c r="T343" s="20" t="s">
        <v>1307</v>
      </c>
      <c r="U343" s="20" t="s">
        <v>1307</v>
      </c>
      <c r="V343" s="20" t="s">
        <v>1307</v>
      </c>
      <c r="W343" s="20" t="s">
        <v>1307</v>
      </c>
      <c r="X343" s="20" t="s">
        <v>1307</v>
      </c>
      <c r="Y343" s="20" t="s">
        <v>1307</v>
      </c>
      <c r="Z343" s="20" t="s">
        <v>1307</v>
      </c>
      <c r="AA343" s="20" t="s">
        <v>1307</v>
      </c>
      <c r="AB343" s="20" t="s">
        <v>1307</v>
      </c>
      <c r="AC343" s="20" t="s">
        <v>1307</v>
      </c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" thickBot="1" x14ac:dyDescent="0.35">
      <c r="A344" t="s">
        <v>364</v>
      </c>
      <c r="B344" s="39" t="s">
        <v>1202</v>
      </c>
      <c r="C344" s="39" t="s">
        <v>1159</v>
      </c>
      <c r="D344" t="s">
        <v>1201</v>
      </c>
      <c r="E344" s="39" t="s">
        <v>15</v>
      </c>
      <c r="F344" s="39" t="s">
        <v>28</v>
      </c>
      <c r="G344" t="s">
        <v>1203</v>
      </c>
      <c r="H344" s="40">
        <f t="shared" si="28"/>
        <v>14</v>
      </c>
      <c r="I344" s="40">
        <f t="shared" si="26"/>
        <v>17</v>
      </c>
      <c r="J344" s="41">
        <f t="shared" si="27"/>
        <v>0.45161290322580644</v>
      </c>
      <c r="K344" s="20" t="s">
        <v>1307</v>
      </c>
      <c r="L344" s="20" t="s">
        <v>1307</v>
      </c>
      <c r="M344" s="20" t="s">
        <v>1307</v>
      </c>
      <c r="N344" s="20" t="s">
        <v>1307</v>
      </c>
      <c r="O344" s="20" t="s">
        <v>1307</v>
      </c>
      <c r="P344" s="20"/>
      <c r="Q344" s="20"/>
      <c r="R344" s="20" t="s">
        <v>1307</v>
      </c>
      <c r="S344" s="20" t="s">
        <v>1307</v>
      </c>
      <c r="T344" s="20" t="s">
        <v>1307</v>
      </c>
      <c r="U344" s="20" t="s">
        <v>1307</v>
      </c>
      <c r="V344" s="20" t="s">
        <v>1307</v>
      </c>
      <c r="W344" s="20" t="s">
        <v>1307</v>
      </c>
      <c r="X344" s="20" t="s">
        <v>1307</v>
      </c>
      <c r="Y344" s="20" t="s">
        <v>1307</v>
      </c>
      <c r="Z344" s="20" t="s">
        <v>1307</v>
      </c>
      <c r="AA344" s="20" t="s">
        <v>1307</v>
      </c>
      <c r="AB344" s="20" t="s">
        <v>1307</v>
      </c>
      <c r="AC344" s="20" t="s">
        <v>1307</v>
      </c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" hidden="1" thickBot="1" x14ac:dyDescent="0.35">
      <c r="A345" t="s">
        <v>267</v>
      </c>
      <c r="B345" t="s">
        <v>1126</v>
      </c>
      <c r="C345" t="s">
        <v>1158</v>
      </c>
      <c r="D345" t="s">
        <v>503</v>
      </c>
      <c r="E345" s="39" t="s">
        <v>19</v>
      </c>
      <c r="F345" s="39" t="s">
        <v>1151</v>
      </c>
      <c r="G345" t="s">
        <v>907</v>
      </c>
      <c r="H345" s="40">
        <f t="shared" si="28"/>
        <v>17</v>
      </c>
      <c r="I345" s="40">
        <f t="shared" si="26"/>
        <v>14</v>
      </c>
      <c r="J345" s="41">
        <f t="shared" si="27"/>
        <v>0.54838709677419351</v>
      </c>
      <c r="K345" s="20"/>
      <c r="L345" s="20" t="s">
        <v>1307</v>
      </c>
      <c r="M345" s="20" t="s">
        <v>1307</v>
      </c>
      <c r="N345" s="20" t="s">
        <v>1307</v>
      </c>
      <c r="O345" s="20" t="s">
        <v>1307</v>
      </c>
      <c r="P345" s="20" t="s">
        <v>1307</v>
      </c>
      <c r="Q345" s="20" t="s">
        <v>1307</v>
      </c>
      <c r="R345" s="20" t="s">
        <v>1307</v>
      </c>
      <c r="S345" s="20" t="s">
        <v>1307</v>
      </c>
      <c r="T345" s="20" t="s">
        <v>1307</v>
      </c>
      <c r="U345" s="20" t="s">
        <v>1307</v>
      </c>
      <c r="V345" s="20" t="s">
        <v>1307</v>
      </c>
      <c r="W345" s="20"/>
      <c r="X345" s="20" t="s">
        <v>1307</v>
      </c>
      <c r="Y345" s="20" t="s">
        <v>1307</v>
      </c>
      <c r="Z345" s="20" t="s">
        <v>1307</v>
      </c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" hidden="1" thickBot="1" x14ac:dyDescent="0.35">
      <c r="A346" t="s">
        <v>485</v>
      </c>
      <c r="B346" t="s">
        <v>486</v>
      </c>
      <c r="C346" t="s">
        <v>1158</v>
      </c>
      <c r="D346" t="s">
        <v>487</v>
      </c>
      <c r="E346" s="39" t="s">
        <v>19</v>
      </c>
      <c r="F346" s="39" t="s">
        <v>1151</v>
      </c>
      <c r="G346" t="s">
        <v>899</v>
      </c>
      <c r="H346" s="40">
        <f t="shared" si="28"/>
        <v>16</v>
      </c>
      <c r="I346" s="40">
        <f t="shared" si="26"/>
        <v>15</v>
      </c>
      <c r="J346" s="41">
        <f t="shared" si="27"/>
        <v>0.5161290322580645</v>
      </c>
      <c r="K346" s="20" t="s">
        <v>1307</v>
      </c>
      <c r="L346" s="20" t="s">
        <v>1307</v>
      </c>
      <c r="M346" s="20" t="s">
        <v>1307</v>
      </c>
      <c r="N346" s="20" t="s">
        <v>1307</v>
      </c>
      <c r="O346" s="20" t="s">
        <v>1307</v>
      </c>
      <c r="P346" s="20" t="s">
        <v>1307</v>
      </c>
      <c r="Q346" s="20" t="s">
        <v>1307</v>
      </c>
      <c r="R346" s="20" t="s">
        <v>1307</v>
      </c>
      <c r="S346" s="20" t="s">
        <v>1307</v>
      </c>
      <c r="T346" s="20" t="s">
        <v>1307</v>
      </c>
      <c r="U346" s="20" t="s">
        <v>1307</v>
      </c>
      <c r="V346" s="20"/>
      <c r="W346" s="20" t="s">
        <v>1307</v>
      </c>
      <c r="X346" s="20" t="s">
        <v>1307</v>
      </c>
      <c r="Y346" s="20" t="s">
        <v>1307</v>
      </c>
      <c r="Z346" s="20" t="s">
        <v>1307</v>
      </c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" thickBot="1" x14ac:dyDescent="0.35">
      <c r="A347" t="s">
        <v>485</v>
      </c>
      <c r="B347" t="s">
        <v>488</v>
      </c>
      <c r="C347" t="s">
        <v>1158</v>
      </c>
      <c r="D347" t="s">
        <v>489</v>
      </c>
      <c r="E347" s="39" t="s">
        <v>19</v>
      </c>
      <c r="F347" s="39" t="s">
        <v>28</v>
      </c>
      <c r="G347" t="s">
        <v>900</v>
      </c>
      <c r="H347" s="40">
        <f t="shared" si="28"/>
        <v>25</v>
      </c>
      <c r="I347" s="40">
        <f t="shared" si="26"/>
        <v>6</v>
      </c>
      <c r="J347" s="41">
        <f t="shared" si="27"/>
        <v>0.80645161290322576</v>
      </c>
      <c r="K347" s="20"/>
      <c r="L347" s="20" t="s">
        <v>1307</v>
      </c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 t="s">
        <v>1307</v>
      </c>
      <c r="Z347" s="20" t="s">
        <v>1307</v>
      </c>
      <c r="AA347" s="20" t="s">
        <v>1307</v>
      </c>
      <c r="AB347" s="20" t="s">
        <v>1307</v>
      </c>
      <c r="AC347" s="20" t="s">
        <v>1307</v>
      </c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" hidden="1" thickBot="1" x14ac:dyDescent="0.35">
      <c r="A348" t="s">
        <v>490</v>
      </c>
      <c r="B348" t="s">
        <v>491</v>
      </c>
      <c r="C348" t="s">
        <v>1158</v>
      </c>
      <c r="D348" t="s">
        <v>492</v>
      </c>
      <c r="E348" s="39" t="s">
        <v>19</v>
      </c>
      <c r="F348" s="39" t="s">
        <v>28</v>
      </c>
      <c r="G348" t="s">
        <v>901</v>
      </c>
      <c r="H348" s="40">
        <f t="shared" si="28"/>
        <v>30</v>
      </c>
      <c r="I348" s="40">
        <f t="shared" si="26"/>
        <v>1</v>
      </c>
      <c r="J348" s="41">
        <f t="shared" si="27"/>
        <v>0.967741935483871</v>
      </c>
      <c r="K348" s="20"/>
      <c r="L348" s="20" t="s">
        <v>1307</v>
      </c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" hidden="1" thickBot="1" x14ac:dyDescent="0.35">
      <c r="A349" t="s">
        <v>485</v>
      </c>
      <c r="B349" t="s">
        <v>493</v>
      </c>
      <c r="C349" t="s">
        <v>1158</v>
      </c>
      <c r="D349" t="s">
        <v>494</v>
      </c>
      <c r="E349" s="39" t="s">
        <v>15</v>
      </c>
      <c r="F349" s="39" t="s">
        <v>28</v>
      </c>
      <c r="G349" t="s">
        <v>902</v>
      </c>
      <c r="H349" s="40">
        <f t="shared" si="28"/>
        <v>17</v>
      </c>
      <c r="I349" s="40">
        <f t="shared" si="26"/>
        <v>14</v>
      </c>
      <c r="J349" s="41">
        <f t="shared" si="27"/>
        <v>0.54838709677419351</v>
      </c>
      <c r="K349" s="20" t="s">
        <v>1307</v>
      </c>
      <c r="L349" s="20" t="s">
        <v>1307</v>
      </c>
      <c r="M349" s="20" t="s">
        <v>1307</v>
      </c>
      <c r="N349" s="20" t="s">
        <v>1307</v>
      </c>
      <c r="O349" s="20" t="s">
        <v>1307</v>
      </c>
      <c r="P349" s="20" t="s">
        <v>1307</v>
      </c>
      <c r="Q349" s="20" t="s">
        <v>1307</v>
      </c>
      <c r="R349" s="20" t="s">
        <v>1307</v>
      </c>
      <c r="S349" s="20" t="s">
        <v>1307</v>
      </c>
      <c r="T349" s="20" t="s">
        <v>1307</v>
      </c>
      <c r="U349" s="20" t="s">
        <v>1307</v>
      </c>
      <c r="V349" s="20" t="s">
        <v>1307</v>
      </c>
      <c r="W349" s="20" t="s">
        <v>1307</v>
      </c>
      <c r="X349" s="20" t="s">
        <v>1307</v>
      </c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" hidden="1" thickBot="1" x14ac:dyDescent="0.35">
      <c r="A350" t="s">
        <v>485</v>
      </c>
      <c r="B350" t="s">
        <v>495</v>
      </c>
      <c r="C350" t="s">
        <v>1158</v>
      </c>
      <c r="D350" t="s">
        <v>496</v>
      </c>
      <c r="E350" s="39" t="s">
        <v>19</v>
      </c>
      <c r="F350" s="39" t="s">
        <v>28</v>
      </c>
      <c r="G350" t="s">
        <v>903</v>
      </c>
      <c r="H350" s="40">
        <f t="shared" si="28"/>
        <v>17</v>
      </c>
      <c r="I350" s="40">
        <f t="shared" si="26"/>
        <v>14</v>
      </c>
      <c r="J350" s="41">
        <f t="shared" si="27"/>
        <v>0.54838709677419351</v>
      </c>
      <c r="K350" s="20" t="s">
        <v>1307</v>
      </c>
      <c r="L350" s="20" t="s">
        <v>1307</v>
      </c>
      <c r="M350" s="20" t="s">
        <v>1307</v>
      </c>
      <c r="N350" s="20" t="s">
        <v>1307</v>
      </c>
      <c r="O350" s="20" t="s">
        <v>1307</v>
      </c>
      <c r="P350" s="20" t="s">
        <v>1307</v>
      </c>
      <c r="Q350" s="20" t="s">
        <v>1307</v>
      </c>
      <c r="R350" s="20" t="s">
        <v>1307</v>
      </c>
      <c r="S350" s="20" t="s">
        <v>1307</v>
      </c>
      <c r="T350" s="20" t="s">
        <v>1307</v>
      </c>
      <c r="U350" s="20" t="s">
        <v>1307</v>
      </c>
      <c r="V350" s="20" t="s">
        <v>1307</v>
      </c>
      <c r="W350" s="20" t="s">
        <v>1307</v>
      </c>
      <c r="X350" s="20" t="s">
        <v>1307</v>
      </c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" hidden="1" thickBot="1" x14ac:dyDescent="0.35">
      <c r="A351" t="s">
        <v>485</v>
      </c>
      <c r="B351" t="s">
        <v>497</v>
      </c>
      <c r="C351" t="s">
        <v>1158</v>
      </c>
      <c r="D351" t="s">
        <v>498</v>
      </c>
      <c r="E351" s="39" t="s">
        <v>15</v>
      </c>
      <c r="F351" s="39" t="s">
        <v>28</v>
      </c>
      <c r="G351" t="s">
        <v>904</v>
      </c>
      <c r="H351" s="40">
        <f t="shared" si="28"/>
        <v>17</v>
      </c>
      <c r="I351" s="40">
        <f t="shared" si="26"/>
        <v>14</v>
      </c>
      <c r="J351" s="41">
        <f t="shared" si="27"/>
        <v>0.54838709677419351</v>
      </c>
      <c r="K351" s="20" t="s">
        <v>1307</v>
      </c>
      <c r="L351" s="20" t="s">
        <v>1307</v>
      </c>
      <c r="M351" s="20" t="s">
        <v>1307</v>
      </c>
      <c r="N351" s="20" t="s">
        <v>1307</v>
      </c>
      <c r="O351" s="20" t="s">
        <v>1307</v>
      </c>
      <c r="P351" s="20" t="s">
        <v>1307</v>
      </c>
      <c r="Q351" s="20" t="s">
        <v>1307</v>
      </c>
      <c r="R351" s="20" t="s">
        <v>1307</v>
      </c>
      <c r="S351" s="20" t="s">
        <v>1307</v>
      </c>
      <c r="T351" s="20" t="s">
        <v>1307</v>
      </c>
      <c r="U351" s="20" t="s">
        <v>1307</v>
      </c>
      <c r="V351" s="20" t="s">
        <v>1307</v>
      </c>
      <c r="W351" s="20" t="s">
        <v>1307</v>
      </c>
      <c r="X351" s="20" t="s">
        <v>1307</v>
      </c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" hidden="1" thickBot="1" x14ac:dyDescent="0.35">
      <c r="A352" t="s">
        <v>485</v>
      </c>
      <c r="B352" t="s">
        <v>499</v>
      </c>
      <c r="C352" t="s">
        <v>1158</v>
      </c>
      <c r="D352" t="s">
        <v>500</v>
      </c>
      <c r="E352" s="39" t="s">
        <v>19</v>
      </c>
      <c r="F352" s="39" t="s">
        <v>28</v>
      </c>
      <c r="G352" t="s">
        <v>905</v>
      </c>
      <c r="H352" s="40">
        <f t="shared" si="28"/>
        <v>18</v>
      </c>
      <c r="I352" s="40">
        <f t="shared" si="26"/>
        <v>13</v>
      </c>
      <c r="J352" s="41">
        <f t="shared" si="27"/>
        <v>0.58064516129032262</v>
      </c>
      <c r="K352" s="20" t="s">
        <v>1307</v>
      </c>
      <c r="L352" s="20" t="s">
        <v>1307</v>
      </c>
      <c r="M352" s="20" t="s">
        <v>1307</v>
      </c>
      <c r="N352" s="20"/>
      <c r="O352" s="20" t="s">
        <v>1307</v>
      </c>
      <c r="P352" s="20" t="s">
        <v>1307</v>
      </c>
      <c r="Q352" s="20" t="s">
        <v>1307</v>
      </c>
      <c r="R352" s="20" t="s">
        <v>1307</v>
      </c>
      <c r="S352" s="20" t="s">
        <v>1307</v>
      </c>
      <c r="T352" s="20" t="s">
        <v>1307</v>
      </c>
      <c r="U352" s="20" t="s">
        <v>1307</v>
      </c>
      <c r="V352" s="20" t="s">
        <v>1307</v>
      </c>
      <c r="W352" s="20" t="s">
        <v>1307</v>
      </c>
      <c r="X352" s="20" t="s">
        <v>1307</v>
      </c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" hidden="1" thickBot="1" x14ac:dyDescent="0.35">
      <c r="A353" t="s">
        <v>485</v>
      </c>
      <c r="B353" t="s">
        <v>501</v>
      </c>
      <c r="C353" t="s">
        <v>1158</v>
      </c>
      <c r="D353" t="s">
        <v>502</v>
      </c>
      <c r="E353" s="39" t="s">
        <v>19</v>
      </c>
      <c r="F353" s="39" t="s">
        <v>1151</v>
      </c>
      <c r="G353" t="s">
        <v>906</v>
      </c>
      <c r="H353" s="40">
        <f t="shared" si="28"/>
        <v>18</v>
      </c>
      <c r="I353" s="40">
        <f t="shared" si="26"/>
        <v>13</v>
      </c>
      <c r="J353" s="41">
        <f t="shared" si="27"/>
        <v>0.58064516129032262</v>
      </c>
      <c r="K353" s="20"/>
      <c r="L353" s="20" t="s">
        <v>1307</v>
      </c>
      <c r="M353" s="20" t="s">
        <v>1307</v>
      </c>
      <c r="N353" s="20" t="s">
        <v>1307</v>
      </c>
      <c r="O353" s="20" t="s">
        <v>1307</v>
      </c>
      <c r="P353" s="20" t="s">
        <v>1307</v>
      </c>
      <c r="Q353" s="20" t="s">
        <v>1307</v>
      </c>
      <c r="R353" s="20" t="s">
        <v>1307</v>
      </c>
      <c r="S353" s="20" t="s">
        <v>1307</v>
      </c>
      <c r="T353" s="20" t="s">
        <v>1307</v>
      </c>
      <c r="U353" s="20" t="s">
        <v>1307</v>
      </c>
      <c r="V353" s="20" t="s">
        <v>1307</v>
      </c>
      <c r="W353" s="20" t="s">
        <v>1307</v>
      </c>
      <c r="X353" s="20" t="s">
        <v>1307</v>
      </c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" hidden="1" thickBot="1" x14ac:dyDescent="0.35">
      <c r="A354" t="s">
        <v>485</v>
      </c>
      <c r="B354" t="s">
        <v>1285</v>
      </c>
      <c r="C354" t="s">
        <v>1158</v>
      </c>
      <c r="D354" t="s">
        <v>1286</v>
      </c>
      <c r="E354" s="39" t="s">
        <v>1211</v>
      </c>
      <c r="F354" s="39" t="s">
        <v>28</v>
      </c>
      <c r="G354" t="s">
        <v>1287</v>
      </c>
      <c r="H354" s="40">
        <f t="shared" si="28"/>
        <v>29</v>
      </c>
      <c r="I354" s="40">
        <f t="shared" si="26"/>
        <v>2</v>
      </c>
      <c r="J354" s="41">
        <f t="shared" si="27"/>
        <v>0.93548387096774188</v>
      </c>
      <c r="K354" s="20"/>
      <c r="L354" s="20"/>
      <c r="M354" s="20"/>
      <c r="N354" s="20"/>
      <c r="O354" s="20"/>
      <c r="P354" s="20"/>
      <c r="Q354" s="20"/>
      <c r="R354" s="20"/>
      <c r="S354" s="20" t="s">
        <v>1307</v>
      </c>
      <c r="T354" s="20" t="s">
        <v>1307</v>
      </c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" hidden="1" thickBot="1" x14ac:dyDescent="0.35">
      <c r="A355" t="s">
        <v>485</v>
      </c>
      <c r="B355" t="s">
        <v>1288</v>
      </c>
      <c r="C355" t="s">
        <v>1158</v>
      </c>
      <c r="D355" t="s">
        <v>1286</v>
      </c>
      <c r="E355" s="39" t="s">
        <v>1211</v>
      </c>
      <c r="F355" s="39" t="s">
        <v>28</v>
      </c>
      <c r="G355" t="s">
        <v>1289</v>
      </c>
      <c r="H355" s="40">
        <f t="shared" si="28"/>
        <v>29</v>
      </c>
      <c r="I355" s="40">
        <f t="shared" si="26"/>
        <v>2</v>
      </c>
      <c r="J355" s="41">
        <f t="shared" si="27"/>
        <v>0.93548387096774188</v>
      </c>
      <c r="K355" s="20"/>
      <c r="L355" s="20"/>
      <c r="M355" s="20"/>
      <c r="N355" s="20"/>
      <c r="O355" s="20"/>
      <c r="P355" s="20"/>
      <c r="Q355" s="20"/>
      <c r="R355" s="20"/>
      <c r="S355" s="20" t="s">
        <v>1307</v>
      </c>
      <c r="T355" s="20" t="s">
        <v>1307</v>
      </c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" hidden="1" thickBot="1" x14ac:dyDescent="0.35">
      <c r="A356" t="s">
        <v>232</v>
      </c>
      <c r="B356" t="s">
        <v>504</v>
      </c>
      <c r="C356" t="s">
        <v>1159</v>
      </c>
      <c r="D356" t="s">
        <v>505</v>
      </c>
      <c r="E356" s="39" t="s">
        <v>19</v>
      </c>
      <c r="F356" s="39" t="s">
        <v>20</v>
      </c>
      <c r="G356" t="s">
        <v>908</v>
      </c>
      <c r="H356" s="40">
        <f t="shared" si="28"/>
        <v>28</v>
      </c>
      <c r="I356" s="40">
        <f t="shared" si="26"/>
        <v>3</v>
      </c>
      <c r="J356" s="41">
        <f t="shared" si="27"/>
        <v>0.90322580645161288</v>
      </c>
      <c r="K356" s="20"/>
      <c r="L356" s="20"/>
      <c r="M356" s="20" t="s">
        <v>1307</v>
      </c>
      <c r="N356" s="20" t="s">
        <v>1307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 t="s">
        <v>1307</v>
      </c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" hidden="1" thickBot="1" x14ac:dyDescent="0.35">
      <c r="A357" t="s">
        <v>232</v>
      </c>
      <c r="B357" t="s">
        <v>506</v>
      </c>
      <c r="C357" t="s">
        <v>1159</v>
      </c>
      <c r="D357" t="s">
        <v>507</v>
      </c>
      <c r="E357" s="39" t="s">
        <v>15</v>
      </c>
      <c r="F357" s="39" t="s">
        <v>20</v>
      </c>
      <c r="G357" t="s">
        <v>909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" hidden="1" thickBot="1" x14ac:dyDescent="0.35">
      <c r="A358" t="s">
        <v>232</v>
      </c>
      <c r="B358" t="s">
        <v>508</v>
      </c>
      <c r="C358" t="s">
        <v>1159</v>
      </c>
      <c r="D358" t="s">
        <v>509</v>
      </c>
      <c r="E358" s="39" t="s">
        <v>73</v>
      </c>
      <c r="F358" s="39" t="s">
        <v>16</v>
      </c>
      <c r="G358" t="s">
        <v>910</v>
      </c>
      <c r="H358" s="40">
        <f t="shared" si="28"/>
        <v>31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" hidden="1" thickBot="1" x14ac:dyDescent="0.35">
      <c r="A359" t="s">
        <v>232</v>
      </c>
      <c r="B359" t="s">
        <v>510</v>
      </c>
      <c r="C359" t="s">
        <v>1159</v>
      </c>
      <c r="D359" t="s">
        <v>509</v>
      </c>
      <c r="E359" s="39" t="s">
        <v>73</v>
      </c>
      <c r="F359" s="39" t="s">
        <v>16</v>
      </c>
      <c r="G359" t="s">
        <v>911</v>
      </c>
      <c r="H359" s="40">
        <f t="shared" si="28"/>
        <v>30</v>
      </c>
      <c r="I359" s="40">
        <f t="shared" si="26"/>
        <v>1</v>
      </c>
      <c r="J359" s="41">
        <f t="shared" si="27"/>
        <v>0.967741935483871</v>
      </c>
      <c r="K359" s="20"/>
      <c r="L359" s="20"/>
      <c r="M359" s="20"/>
      <c r="N359" s="20" t="s">
        <v>1307</v>
      </c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" hidden="1" thickBot="1" x14ac:dyDescent="0.35">
      <c r="A360" t="s">
        <v>232</v>
      </c>
      <c r="B360" t="s">
        <v>511</v>
      </c>
      <c r="C360" t="s">
        <v>1159</v>
      </c>
      <c r="D360" t="s">
        <v>512</v>
      </c>
      <c r="E360" s="39" t="s">
        <v>73</v>
      </c>
      <c r="F360" s="39" t="s">
        <v>16</v>
      </c>
      <c r="G360" t="s">
        <v>912</v>
      </c>
      <c r="H360" s="40">
        <f t="shared" si="28"/>
        <v>31</v>
      </c>
      <c r="I360" s="40">
        <f t="shared" si="26"/>
        <v>0</v>
      </c>
      <c r="J360" s="41">
        <f t="shared" si="27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" hidden="1" thickBot="1" x14ac:dyDescent="0.35">
      <c r="A361" t="s">
        <v>232</v>
      </c>
      <c r="B361" t="s">
        <v>513</v>
      </c>
      <c r="C361" t="s">
        <v>1159</v>
      </c>
      <c r="D361" t="s">
        <v>512</v>
      </c>
      <c r="E361" s="39" t="s">
        <v>73</v>
      </c>
      <c r="F361" s="39" t="s">
        <v>16</v>
      </c>
      <c r="G361" t="s">
        <v>913</v>
      </c>
      <c r="H361" s="40">
        <f t="shared" si="28"/>
        <v>29</v>
      </c>
      <c r="I361" s="40">
        <f t="shared" si="26"/>
        <v>2</v>
      </c>
      <c r="J361" s="41">
        <f t="shared" si="27"/>
        <v>0.93548387096774188</v>
      </c>
      <c r="K361" s="20"/>
      <c r="L361" s="20"/>
      <c r="M361" s="20"/>
      <c r="N361" s="20"/>
      <c r="O361" s="20"/>
      <c r="P361" s="20"/>
      <c r="Q361" s="20"/>
      <c r="R361" s="20" t="s">
        <v>1307</v>
      </c>
      <c r="S361" s="20" t="s">
        <v>1307</v>
      </c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" hidden="1" thickBot="1" x14ac:dyDescent="0.35">
      <c r="A362" t="s">
        <v>232</v>
      </c>
      <c r="B362" t="s">
        <v>514</v>
      </c>
      <c r="C362" t="s">
        <v>1159</v>
      </c>
      <c r="D362" t="s">
        <v>515</v>
      </c>
      <c r="E362" s="39" t="s">
        <v>15</v>
      </c>
      <c r="F362" s="39" t="s">
        <v>28</v>
      </c>
      <c r="G362" t="s">
        <v>914</v>
      </c>
      <c r="H362" s="40">
        <f t="shared" si="28"/>
        <v>29</v>
      </c>
      <c r="I362" s="40">
        <f t="shared" si="26"/>
        <v>2</v>
      </c>
      <c r="J362" s="41">
        <f t="shared" si="27"/>
        <v>0.93548387096774188</v>
      </c>
      <c r="K362" s="20" t="s">
        <v>1307</v>
      </c>
      <c r="L362" s="20" t="s">
        <v>1307</v>
      </c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" hidden="1" thickBot="1" x14ac:dyDescent="0.35">
      <c r="A363" t="s">
        <v>232</v>
      </c>
      <c r="B363" t="s">
        <v>1127</v>
      </c>
      <c r="C363" t="s">
        <v>1159</v>
      </c>
      <c r="D363" t="s">
        <v>516</v>
      </c>
      <c r="E363" s="39" t="s">
        <v>73</v>
      </c>
      <c r="F363" s="39" t="s">
        <v>1150</v>
      </c>
      <c r="G363" t="s">
        <v>915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" hidden="1" thickBot="1" x14ac:dyDescent="0.35">
      <c r="A364" t="s">
        <v>232</v>
      </c>
      <c r="B364" t="s">
        <v>1128</v>
      </c>
      <c r="C364" t="s">
        <v>1159</v>
      </c>
      <c r="D364" t="s">
        <v>516</v>
      </c>
      <c r="E364" s="39" t="s">
        <v>73</v>
      </c>
      <c r="F364" s="39" t="s">
        <v>1150</v>
      </c>
      <c r="G364" t="s">
        <v>916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" hidden="1" thickBot="1" x14ac:dyDescent="0.35">
      <c r="A365" t="s">
        <v>232</v>
      </c>
      <c r="B365" t="s">
        <v>517</v>
      </c>
      <c r="C365" t="s">
        <v>1159</v>
      </c>
      <c r="D365" t="s">
        <v>518</v>
      </c>
      <c r="E365" s="39" t="s">
        <v>73</v>
      </c>
      <c r="F365" s="39" t="s">
        <v>1150</v>
      </c>
      <c r="G365" t="s">
        <v>917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" hidden="1" thickBot="1" x14ac:dyDescent="0.35">
      <c r="A366" t="s">
        <v>232</v>
      </c>
      <c r="B366" t="s">
        <v>519</v>
      </c>
      <c r="C366" t="s">
        <v>1159</v>
      </c>
      <c r="D366" t="s">
        <v>518</v>
      </c>
      <c r="E366" s="39" t="s">
        <v>73</v>
      </c>
      <c r="F366" s="39" t="s">
        <v>1150</v>
      </c>
      <c r="G366" t="s">
        <v>918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" hidden="1" thickBot="1" x14ac:dyDescent="0.35">
      <c r="A367" t="s">
        <v>232</v>
      </c>
      <c r="B367" s="39" t="s">
        <v>1192</v>
      </c>
      <c r="C367" s="39" t="s">
        <v>1159</v>
      </c>
      <c r="D367" t="s">
        <v>1193</v>
      </c>
      <c r="E367" s="39" t="s">
        <v>19</v>
      </c>
      <c r="F367" s="39" t="s">
        <v>28</v>
      </c>
      <c r="G367" t="s">
        <v>1194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" hidden="1" thickBot="1" x14ac:dyDescent="0.35">
      <c r="A368" t="s">
        <v>232</v>
      </c>
      <c r="B368" s="39" t="s">
        <v>1197</v>
      </c>
      <c r="C368" s="39" t="s">
        <v>1159</v>
      </c>
      <c r="D368" t="s">
        <v>1195</v>
      </c>
      <c r="E368" s="39" t="s">
        <v>19</v>
      </c>
      <c r="F368" s="39" t="s">
        <v>28</v>
      </c>
      <c r="G368" t="s">
        <v>1196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" hidden="1" thickBot="1" x14ac:dyDescent="0.35">
      <c r="A369" t="s">
        <v>232</v>
      </c>
      <c r="B369" s="39" t="s">
        <v>1198</v>
      </c>
      <c r="C369" s="39" t="s">
        <v>1159</v>
      </c>
      <c r="D369" t="s">
        <v>1199</v>
      </c>
      <c r="E369" s="39" t="s">
        <v>19</v>
      </c>
      <c r="F369" s="39" t="s">
        <v>28</v>
      </c>
      <c r="G369" t="s">
        <v>1200</v>
      </c>
      <c r="H369" s="40">
        <f t="shared" si="28"/>
        <v>29</v>
      </c>
      <c r="I369" s="40">
        <f t="shared" ref="I369" si="29">COUNTIF(K369:AL369,"APAGADO")</f>
        <v>2</v>
      </c>
      <c r="J369" s="41">
        <f t="shared" ref="J369" si="30">(H369)/(I369+H369)</f>
        <v>0.93548387096774188</v>
      </c>
      <c r="K369" s="20" t="s">
        <v>1307</v>
      </c>
      <c r="L369" s="20" t="s">
        <v>1307</v>
      </c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" hidden="1" thickBot="1" x14ac:dyDescent="0.35">
      <c r="A370" t="s">
        <v>525</v>
      </c>
      <c r="B370" t="s">
        <v>533</v>
      </c>
      <c r="C370" t="s">
        <v>1159</v>
      </c>
      <c r="D370" t="s">
        <v>1133</v>
      </c>
      <c r="E370" s="39" t="s">
        <v>19</v>
      </c>
      <c r="F370" s="39" t="s">
        <v>28</v>
      </c>
      <c r="G370" t="s">
        <v>919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" thickBot="1" x14ac:dyDescent="0.35">
      <c r="A371" t="s">
        <v>521</v>
      </c>
      <c r="B371" t="s">
        <v>534</v>
      </c>
      <c r="C371" t="s">
        <v>1159</v>
      </c>
      <c r="D371" t="s">
        <v>1188</v>
      </c>
      <c r="E371" s="39" t="s">
        <v>19</v>
      </c>
      <c r="F371" s="39" t="s">
        <v>28</v>
      </c>
      <c r="G371" t="s">
        <v>920</v>
      </c>
      <c r="H371" s="40">
        <f t="shared" si="28"/>
        <v>27</v>
      </c>
      <c r="I371" s="40">
        <f t="shared" si="26"/>
        <v>4</v>
      </c>
      <c r="J371" s="41">
        <f t="shared" si="27"/>
        <v>0.87096774193548387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 t="s">
        <v>1307</v>
      </c>
      <c r="Z371" s="20" t="s">
        <v>1307</v>
      </c>
      <c r="AA371" s="20"/>
      <c r="AB371" s="20" t="s">
        <v>1307</v>
      </c>
      <c r="AC371" s="20" t="s">
        <v>1307</v>
      </c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" hidden="1" thickBot="1" x14ac:dyDescent="0.35">
      <c r="A372" t="s">
        <v>521</v>
      </c>
      <c r="B372" t="s">
        <v>535</v>
      </c>
      <c r="C372" t="s">
        <v>1159</v>
      </c>
      <c r="D372" t="s">
        <v>536</v>
      </c>
      <c r="E372" s="39" t="s">
        <v>19</v>
      </c>
      <c r="F372" s="39" t="s">
        <v>28</v>
      </c>
      <c r="G372" t="s">
        <v>921</v>
      </c>
      <c r="H372" s="40">
        <f t="shared" si="28"/>
        <v>30</v>
      </c>
      <c r="I372" s="40">
        <f t="shared" si="26"/>
        <v>1</v>
      </c>
      <c r="J372" s="41">
        <f t="shared" si="27"/>
        <v>0.967741935483871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 t="s">
        <v>1307</v>
      </c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" hidden="1" thickBot="1" x14ac:dyDescent="0.35">
      <c r="A373" t="s">
        <v>521</v>
      </c>
      <c r="B373" t="s">
        <v>537</v>
      </c>
      <c r="C373" t="s">
        <v>1159</v>
      </c>
      <c r="D373" t="s">
        <v>538</v>
      </c>
      <c r="E373" s="39" t="s">
        <v>19</v>
      </c>
      <c r="F373" s="39" t="s">
        <v>28</v>
      </c>
      <c r="G373" t="s">
        <v>922</v>
      </c>
      <c r="H373" s="40">
        <f t="shared" si="28"/>
        <v>30</v>
      </c>
      <c r="I373" s="40">
        <f t="shared" si="26"/>
        <v>1</v>
      </c>
      <c r="J373" s="41">
        <f t="shared" si="27"/>
        <v>0.967741935483871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 t="s">
        <v>1307</v>
      </c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" hidden="1" thickBot="1" x14ac:dyDescent="0.35">
      <c r="A374" t="s">
        <v>521</v>
      </c>
      <c r="B374" t="s">
        <v>539</v>
      </c>
      <c r="C374" t="s">
        <v>1159</v>
      </c>
      <c r="D374" t="s">
        <v>540</v>
      </c>
      <c r="E374" s="39" t="s">
        <v>19</v>
      </c>
      <c r="F374" s="39" t="s">
        <v>20</v>
      </c>
      <c r="G374" t="s">
        <v>923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" hidden="1" thickBot="1" x14ac:dyDescent="0.35">
      <c r="A375" t="s">
        <v>521</v>
      </c>
      <c r="B375" t="s">
        <v>541</v>
      </c>
      <c r="C375" t="s">
        <v>1159</v>
      </c>
      <c r="D375" t="s">
        <v>1166</v>
      </c>
      <c r="E375" s="39" t="s">
        <v>19</v>
      </c>
      <c r="F375" s="39" t="s">
        <v>28</v>
      </c>
      <c r="G375" t="s">
        <v>924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" thickBot="1" x14ac:dyDescent="0.35">
      <c r="A376" t="s">
        <v>521</v>
      </c>
      <c r="B376" t="s">
        <v>542</v>
      </c>
      <c r="C376" t="s">
        <v>1158</v>
      </c>
      <c r="D376" t="s">
        <v>1165</v>
      </c>
      <c r="E376" s="39"/>
      <c r="F376" s="39" t="s">
        <v>1151</v>
      </c>
      <c r="G376" t="s">
        <v>925</v>
      </c>
      <c r="H376" s="40">
        <f t="shared" si="28"/>
        <v>20</v>
      </c>
      <c r="I376" s="40">
        <f t="shared" si="26"/>
        <v>11</v>
      </c>
      <c r="J376" s="41">
        <f t="shared" si="27"/>
        <v>0.64516129032258063</v>
      </c>
      <c r="K376" s="20" t="s">
        <v>1307</v>
      </c>
      <c r="L376" s="20" t="s">
        <v>1307</v>
      </c>
      <c r="M376" s="20"/>
      <c r="N376" s="20"/>
      <c r="O376" s="20" t="s">
        <v>1307</v>
      </c>
      <c r="P376" s="20" t="s">
        <v>1307</v>
      </c>
      <c r="Q376" s="20" t="s">
        <v>1307</v>
      </c>
      <c r="R376" s="20"/>
      <c r="S376" s="20" t="s">
        <v>1307</v>
      </c>
      <c r="T376" s="20" t="s">
        <v>1307</v>
      </c>
      <c r="U376" s="20" t="s">
        <v>1307</v>
      </c>
      <c r="V376" s="20"/>
      <c r="W376" s="20"/>
      <c r="X376" s="20"/>
      <c r="Y376" s="20"/>
      <c r="Z376" s="20"/>
      <c r="AA376" s="20" t="s">
        <v>1307</v>
      </c>
      <c r="AB376" s="20" t="s">
        <v>1307</v>
      </c>
      <c r="AC376" s="20" t="s">
        <v>1307</v>
      </c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" hidden="1" thickBot="1" x14ac:dyDescent="0.35">
      <c r="A377" t="s">
        <v>525</v>
      </c>
      <c r="B377" t="s">
        <v>543</v>
      </c>
      <c r="C377" t="s">
        <v>1159</v>
      </c>
      <c r="D377" t="s">
        <v>544</v>
      </c>
      <c r="E377" s="39" t="s">
        <v>19</v>
      </c>
      <c r="F377" s="39" t="s">
        <v>1150</v>
      </c>
      <c r="G377" t="s">
        <v>926</v>
      </c>
      <c r="H377" s="40">
        <f t="shared" si="28"/>
        <v>30</v>
      </c>
      <c r="I377" s="40">
        <f t="shared" ref="I377:I437" si="31">COUNTIF(K377:AL377,"APAGADO")</f>
        <v>1</v>
      </c>
      <c r="J377" s="41">
        <f t="shared" ref="J377:J437" si="32">(H377)/(I377+H377)</f>
        <v>0.967741935483871</v>
      </c>
      <c r="K377" s="20" t="s">
        <v>1307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" hidden="1" thickBot="1" x14ac:dyDescent="0.35">
      <c r="A378" t="s">
        <v>525</v>
      </c>
      <c r="B378" t="s">
        <v>545</v>
      </c>
      <c r="C378" t="s">
        <v>1159</v>
      </c>
      <c r="D378" t="s">
        <v>546</v>
      </c>
      <c r="E378" s="39" t="s">
        <v>19</v>
      </c>
      <c r="F378" s="39" t="s">
        <v>28</v>
      </c>
      <c r="G378" t="s">
        <v>927</v>
      </c>
      <c r="H378" s="40">
        <f t="shared" si="28"/>
        <v>28</v>
      </c>
      <c r="I378" s="40">
        <f t="shared" si="31"/>
        <v>3</v>
      </c>
      <c r="J378" s="41">
        <f t="shared" si="32"/>
        <v>0.90322580645161288</v>
      </c>
      <c r="K378" s="20"/>
      <c r="L378" s="20"/>
      <c r="M378" s="20"/>
      <c r="N378" s="20" t="s">
        <v>1307</v>
      </c>
      <c r="O378" s="20" t="s">
        <v>1307</v>
      </c>
      <c r="P378" s="20" t="s">
        <v>1307</v>
      </c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" hidden="1" thickBot="1" x14ac:dyDescent="0.35">
      <c r="A379" t="s">
        <v>521</v>
      </c>
      <c r="B379" t="s">
        <v>1129</v>
      </c>
      <c r="C379" t="s">
        <v>1159</v>
      </c>
      <c r="D379" t="s">
        <v>547</v>
      </c>
      <c r="E379" s="39" t="s">
        <v>19</v>
      </c>
      <c r="F379" s="39" t="s">
        <v>28</v>
      </c>
      <c r="G379" t="s">
        <v>928</v>
      </c>
      <c r="H379" s="40">
        <f t="shared" si="28"/>
        <v>30</v>
      </c>
      <c r="I379" s="40">
        <f>COUNTIF(K379:AL379,"APAGADO")</f>
        <v>1</v>
      </c>
      <c r="J379" s="41">
        <f>(H379)/(I379+H379)</f>
        <v>0.967741935483871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 t="s">
        <v>1307</v>
      </c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" hidden="1" thickBot="1" x14ac:dyDescent="0.35">
      <c r="A380" t="s">
        <v>525</v>
      </c>
      <c r="B380" t="s">
        <v>548</v>
      </c>
      <c r="C380" t="s">
        <v>1159</v>
      </c>
      <c r="D380" t="s">
        <v>549</v>
      </c>
      <c r="E380" s="39" t="s">
        <v>19</v>
      </c>
      <c r="F380" s="39" t="s">
        <v>28</v>
      </c>
      <c r="G380" t="s">
        <v>929</v>
      </c>
      <c r="H380" s="40">
        <f t="shared" si="28"/>
        <v>30</v>
      </c>
      <c r="I380" s="40">
        <f t="shared" si="31"/>
        <v>1</v>
      </c>
      <c r="J380" s="41">
        <f t="shared" si="32"/>
        <v>0.967741935483871</v>
      </c>
      <c r="K380" s="20" t="s">
        <v>1307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" hidden="1" thickBot="1" x14ac:dyDescent="0.35">
      <c r="A381" t="s">
        <v>525</v>
      </c>
      <c r="B381" t="s">
        <v>1134</v>
      </c>
      <c r="C381" t="s">
        <v>1159</v>
      </c>
      <c r="D381" t="s">
        <v>520</v>
      </c>
      <c r="E381" s="39" t="s">
        <v>15</v>
      </c>
      <c r="F381" s="39" t="s">
        <v>1151</v>
      </c>
      <c r="G381" t="s">
        <v>930</v>
      </c>
      <c r="H381" s="40">
        <f t="shared" si="28"/>
        <v>30</v>
      </c>
      <c r="I381" s="40">
        <f t="shared" si="31"/>
        <v>1</v>
      </c>
      <c r="J381" s="41">
        <f t="shared" si="32"/>
        <v>0.967741935483871</v>
      </c>
      <c r="K381" s="20" t="s">
        <v>1307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" hidden="1" thickBot="1" x14ac:dyDescent="0.35">
      <c r="A382" t="s">
        <v>521</v>
      </c>
      <c r="B382" t="s">
        <v>1135</v>
      </c>
      <c r="C382" t="s">
        <v>1159</v>
      </c>
      <c r="D382" t="s">
        <v>522</v>
      </c>
      <c r="E382" s="39" t="s">
        <v>19</v>
      </c>
      <c r="F382" s="39" t="s">
        <v>1151</v>
      </c>
      <c r="G382" t="s">
        <v>931</v>
      </c>
      <c r="H382" s="40">
        <f t="shared" si="28"/>
        <v>30</v>
      </c>
      <c r="I382" s="40">
        <f t="shared" si="31"/>
        <v>1</v>
      </c>
      <c r="J382" s="41">
        <f t="shared" si="32"/>
        <v>0.967741935483871</v>
      </c>
      <c r="K382" s="20" t="s">
        <v>1307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" hidden="1" thickBot="1" x14ac:dyDescent="0.35">
      <c r="A383" t="s">
        <v>525</v>
      </c>
      <c r="B383" t="s">
        <v>1130</v>
      </c>
      <c r="C383" t="s">
        <v>1159</v>
      </c>
      <c r="D383" t="s">
        <v>550</v>
      </c>
      <c r="E383" s="39" t="s">
        <v>15</v>
      </c>
      <c r="F383" s="39" t="s">
        <v>1150</v>
      </c>
      <c r="G383" t="s">
        <v>932</v>
      </c>
      <c r="H383" s="40">
        <f t="shared" si="28"/>
        <v>30</v>
      </c>
      <c r="I383" s="40">
        <f>COUNTIF(K383:AL383,"APAGADO")</f>
        <v>1</v>
      </c>
      <c r="J383" s="41">
        <f>(H383)/(I383+H383)</f>
        <v>0.967741935483871</v>
      </c>
      <c r="K383" s="20" t="s">
        <v>1307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" hidden="1" thickBot="1" x14ac:dyDescent="0.35">
      <c r="A384" t="s">
        <v>525</v>
      </c>
      <c r="B384" t="s">
        <v>523</v>
      </c>
      <c r="C384" t="s">
        <v>1159</v>
      </c>
      <c r="D384" t="s">
        <v>524</v>
      </c>
      <c r="E384" s="39" t="s">
        <v>15</v>
      </c>
      <c r="F384" s="39" t="s">
        <v>1151</v>
      </c>
      <c r="G384" t="s">
        <v>933</v>
      </c>
      <c r="H384" s="40">
        <f t="shared" si="28"/>
        <v>30</v>
      </c>
      <c r="I384" s="40">
        <f>COUNTIF(K384:AL384,"APAGADO")</f>
        <v>1</v>
      </c>
      <c r="J384" s="41">
        <f>(H384)/(I384+H384)</f>
        <v>0.967741935483871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 t="s">
        <v>1307</v>
      </c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" hidden="1" thickBot="1" x14ac:dyDescent="0.35">
      <c r="A385" t="s">
        <v>525</v>
      </c>
      <c r="B385" t="s">
        <v>526</v>
      </c>
      <c r="C385" t="s">
        <v>1159</v>
      </c>
      <c r="D385" t="s">
        <v>527</v>
      </c>
      <c r="E385" s="39" t="s">
        <v>15</v>
      </c>
      <c r="F385" s="39" t="s">
        <v>1151</v>
      </c>
      <c r="G385" t="s">
        <v>934</v>
      </c>
      <c r="H385" s="40">
        <f t="shared" si="28"/>
        <v>28</v>
      </c>
      <c r="I385" s="40">
        <f>COUNTIF(K385:AL385,"APAGADO")</f>
        <v>3</v>
      </c>
      <c r="J385" s="41">
        <f>(H385)/(I385+H385)</f>
        <v>0.90322580645161288</v>
      </c>
      <c r="K385" s="20"/>
      <c r="L385" s="20"/>
      <c r="M385" s="20"/>
      <c r="N385" s="20" t="s">
        <v>1307</v>
      </c>
      <c r="O385" s="20" t="s">
        <v>1307</v>
      </c>
      <c r="P385" s="20" t="s">
        <v>1307</v>
      </c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" hidden="1" thickBot="1" x14ac:dyDescent="0.35">
      <c r="A386" t="s">
        <v>525</v>
      </c>
      <c r="B386" t="s">
        <v>528</v>
      </c>
      <c r="C386" t="s">
        <v>1159</v>
      </c>
      <c r="D386" t="s">
        <v>1187</v>
      </c>
      <c r="E386" s="39" t="s">
        <v>15</v>
      </c>
      <c r="F386" s="39" t="s">
        <v>1151</v>
      </c>
      <c r="G386" t="s">
        <v>935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" hidden="1" thickBot="1" x14ac:dyDescent="0.35">
      <c r="A387" t="s">
        <v>521</v>
      </c>
      <c r="B387" t="s">
        <v>1136</v>
      </c>
      <c r="C387" t="s">
        <v>1159</v>
      </c>
      <c r="D387" t="s">
        <v>529</v>
      </c>
      <c r="E387" s="39" t="s">
        <v>15</v>
      </c>
      <c r="F387" s="39" t="s">
        <v>1151</v>
      </c>
      <c r="G387" t="s">
        <v>936</v>
      </c>
      <c r="H387" s="40">
        <f t="shared" si="28"/>
        <v>30</v>
      </c>
      <c r="I387" s="40">
        <f t="shared" si="31"/>
        <v>1</v>
      </c>
      <c r="J387" s="41">
        <f t="shared" si="32"/>
        <v>0.967741935483871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 t="s">
        <v>1307</v>
      </c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" hidden="1" thickBot="1" x14ac:dyDescent="0.35">
      <c r="A388" t="s">
        <v>521</v>
      </c>
      <c r="B388" t="s">
        <v>1137</v>
      </c>
      <c r="C388" t="s">
        <v>1159</v>
      </c>
      <c r="D388" t="s">
        <v>530</v>
      </c>
      <c r="E388" s="39" t="s">
        <v>15</v>
      </c>
      <c r="F388" s="39" t="s">
        <v>20</v>
      </c>
      <c r="G388" t="s">
        <v>937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" hidden="1" thickBot="1" x14ac:dyDescent="0.35">
      <c r="A389" t="s">
        <v>525</v>
      </c>
      <c r="B389" t="s">
        <v>531</v>
      </c>
      <c r="C389" t="s">
        <v>1159</v>
      </c>
      <c r="D389" t="s">
        <v>532</v>
      </c>
      <c r="E389" s="39" t="s">
        <v>46</v>
      </c>
      <c r="F389" s="39" t="s">
        <v>20</v>
      </c>
      <c r="G389" t="s">
        <v>938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" hidden="1" thickBot="1" x14ac:dyDescent="0.35">
      <c r="A390" t="s">
        <v>521</v>
      </c>
      <c r="B390" t="s">
        <v>1131</v>
      </c>
      <c r="C390" t="s">
        <v>1159</v>
      </c>
      <c r="D390" t="s">
        <v>551</v>
      </c>
      <c r="E390" s="39" t="s">
        <v>73</v>
      </c>
      <c r="F390" s="39" t="s">
        <v>28</v>
      </c>
      <c r="G390" t="s">
        <v>939</v>
      </c>
      <c r="H390" s="40">
        <f t="shared" si="28"/>
        <v>30</v>
      </c>
      <c r="I390" s="40">
        <f>COUNTIF(K390:AL390,"APAGADO")</f>
        <v>1</v>
      </c>
      <c r="J390" s="41">
        <f>(H390)/(I390+H390)</f>
        <v>0.967741935483871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 t="s">
        <v>1307</v>
      </c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" hidden="1" thickBot="1" x14ac:dyDescent="0.35">
      <c r="A391" t="s">
        <v>521</v>
      </c>
      <c r="B391" t="s">
        <v>1132</v>
      </c>
      <c r="C391" t="s">
        <v>1159</v>
      </c>
      <c r="D391" t="s">
        <v>551</v>
      </c>
      <c r="E391" s="39" t="s">
        <v>73</v>
      </c>
      <c r="F391" s="39" t="s">
        <v>28</v>
      </c>
      <c r="G391" t="s">
        <v>940</v>
      </c>
      <c r="H391" s="40">
        <f t="shared" si="28"/>
        <v>30</v>
      </c>
      <c r="I391" s="40">
        <f>COUNTIF(K391:AL391,"APAGADO")</f>
        <v>1</v>
      </c>
      <c r="J391" s="41">
        <f>(H391)/(I391+H391)</f>
        <v>0.967741935483871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 t="s">
        <v>1307</v>
      </c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" thickBot="1" x14ac:dyDescent="0.35">
      <c r="A392" t="s">
        <v>521</v>
      </c>
      <c r="B392" t="s">
        <v>552</v>
      </c>
      <c r="C392" t="s">
        <v>1158</v>
      </c>
      <c r="D392" t="s">
        <v>553</v>
      </c>
      <c r="E392" s="39" t="s">
        <v>73</v>
      </c>
      <c r="F392" s="39" t="s">
        <v>28</v>
      </c>
      <c r="G392" t="s">
        <v>700</v>
      </c>
      <c r="H392" s="40">
        <f t="shared" ref="H392:H438" si="33">COUNTIF(K392:AO392,"")</f>
        <v>21</v>
      </c>
      <c r="I392" s="40">
        <f t="shared" si="31"/>
        <v>10</v>
      </c>
      <c r="J392" s="41">
        <f t="shared" si="32"/>
        <v>0.67741935483870963</v>
      </c>
      <c r="K392" s="20"/>
      <c r="L392" s="20"/>
      <c r="M392" s="20"/>
      <c r="N392" s="20"/>
      <c r="O392" s="20" t="s">
        <v>1307</v>
      </c>
      <c r="P392" s="20" t="s">
        <v>1307</v>
      </c>
      <c r="Q392" s="20" t="s">
        <v>1307</v>
      </c>
      <c r="R392" s="20"/>
      <c r="S392" s="20" t="s">
        <v>1307</v>
      </c>
      <c r="T392" s="20" t="s">
        <v>1307</v>
      </c>
      <c r="U392" s="20" t="s">
        <v>1307</v>
      </c>
      <c r="V392" s="20"/>
      <c r="W392" s="20"/>
      <c r="X392" s="20" t="s">
        <v>1307</v>
      </c>
      <c r="Y392" s="20"/>
      <c r="Z392" s="20"/>
      <c r="AA392" s="20" t="s">
        <v>1307</v>
      </c>
      <c r="AB392" s="20" t="s">
        <v>1307</v>
      </c>
      <c r="AC392" s="20" t="s">
        <v>1307</v>
      </c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" thickBot="1" x14ac:dyDescent="0.35">
      <c r="A393" t="s">
        <v>521</v>
      </c>
      <c r="B393" t="s">
        <v>554</v>
      </c>
      <c r="C393" t="s">
        <v>1158</v>
      </c>
      <c r="D393" t="s">
        <v>553</v>
      </c>
      <c r="E393" s="39" t="s">
        <v>73</v>
      </c>
      <c r="F393" s="39" t="s">
        <v>28</v>
      </c>
      <c r="G393" t="s">
        <v>941</v>
      </c>
      <c r="H393" s="40">
        <f t="shared" si="33"/>
        <v>21</v>
      </c>
      <c r="I393" s="40">
        <f t="shared" si="31"/>
        <v>10</v>
      </c>
      <c r="J393" s="41">
        <f t="shared" si="32"/>
        <v>0.67741935483870963</v>
      </c>
      <c r="K393" s="20"/>
      <c r="L393" s="20"/>
      <c r="M393" s="20"/>
      <c r="N393" s="20"/>
      <c r="O393" s="20" t="s">
        <v>1307</v>
      </c>
      <c r="P393" s="20" t="s">
        <v>1307</v>
      </c>
      <c r="Q393" s="20" t="s">
        <v>1307</v>
      </c>
      <c r="R393" s="20"/>
      <c r="S393" s="20" t="s">
        <v>1307</v>
      </c>
      <c r="T393" s="20" t="s">
        <v>1307</v>
      </c>
      <c r="U393" s="20" t="s">
        <v>1307</v>
      </c>
      <c r="V393" s="20"/>
      <c r="W393" s="20"/>
      <c r="X393" s="20" t="s">
        <v>1307</v>
      </c>
      <c r="Y393" s="20"/>
      <c r="Z393" s="20"/>
      <c r="AA393" s="20" t="s">
        <v>1307</v>
      </c>
      <c r="AB393" s="20" t="s">
        <v>1307</v>
      </c>
      <c r="AC393" s="20" t="s">
        <v>1307</v>
      </c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" hidden="1" thickBot="1" x14ac:dyDescent="0.35">
      <c r="A394" t="s">
        <v>521</v>
      </c>
      <c r="B394" t="s">
        <v>1242</v>
      </c>
      <c r="C394" t="s">
        <v>1159</v>
      </c>
      <c r="D394" t="s">
        <v>1244</v>
      </c>
      <c r="E394" s="39" t="s">
        <v>73</v>
      </c>
      <c r="F394" s="39" t="s">
        <v>28</v>
      </c>
      <c r="G394" t="s">
        <v>1245</v>
      </c>
      <c r="H394" s="40">
        <f t="shared" si="33"/>
        <v>30</v>
      </c>
      <c r="I394" s="40">
        <f t="shared" si="31"/>
        <v>1</v>
      </c>
      <c r="J394" s="41">
        <f t="shared" si="32"/>
        <v>0.967741935483871</v>
      </c>
      <c r="K394" s="20" t="s">
        <v>1307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" hidden="1" thickBot="1" x14ac:dyDescent="0.35">
      <c r="A395" t="s">
        <v>521</v>
      </c>
      <c r="B395" t="s">
        <v>1243</v>
      </c>
      <c r="C395" t="s">
        <v>1159</v>
      </c>
      <c r="D395" t="s">
        <v>1244</v>
      </c>
      <c r="E395" s="39" t="s">
        <v>1211</v>
      </c>
      <c r="F395" s="39" t="s">
        <v>28</v>
      </c>
      <c r="G395" t="s">
        <v>1246</v>
      </c>
      <c r="H395" s="40">
        <f t="shared" si="33"/>
        <v>30</v>
      </c>
      <c r="I395" s="40">
        <f t="shared" si="31"/>
        <v>1</v>
      </c>
      <c r="J395" s="41">
        <f t="shared" si="32"/>
        <v>0.967741935483871</v>
      </c>
      <c r="K395" s="20" t="s">
        <v>1307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" hidden="1" thickBot="1" x14ac:dyDescent="0.35">
      <c r="A396" t="s">
        <v>525</v>
      </c>
      <c r="B396" s="39" t="s">
        <v>1306</v>
      </c>
      <c r="C396" s="39" t="s">
        <v>1159</v>
      </c>
      <c r="D396" t="s">
        <v>1301</v>
      </c>
      <c r="E396" s="39" t="s">
        <v>15</v>
      </c>
      <c r="F396" s="39" t="s">
        <v>28</v>
      </c>
      <c r="G396" s="21" t="s">
        <v>1302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" hidden="1" thickBot="1" x14ac:dyDescent="0.35">
      <c r="A397" t="s">
        <v>414</v>
      </c>
      <c r="B397" t="s">
        <v>1138</v>
      </c>
      <c r="C397" t="s">
        <v>1158</v>
      </c>
      <c r="D397" t="s">
        <v>557</v>
      </c>
      <c r="E397" s="39" t="s">
        <v>19</v>
      </c>
      <c r="F397" s="39" t="s">
        <v>28</v>
      </c>
      <c r="G397" t="s">
        <v>944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" hidden="1" thickBot="1" x14ac:dyDescent="0.35">
      <c r="A398" t="s">
        <v>297</v>
      </c>
      <c r="B398" t="s">
        <v>1139</v>
      </c>
      <c r="C398" t="s">
        <v>1158</v>
      </c>
      <c r="D398" t="s">
        <v>558</v>
      </c>
      <c r="E398" s="39" t="s">
        <v>19</v>
      </c>
      <c r="F398" s="39" t="s">
        <v>28</v>
      </c>
      <c r="G398" t="s">
        <v>945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" hidden="1" thickBot="1" x14ac:dyDescent="0.35">
      <c r="A399" t="s">
        <v>414</v>
      </c>
      <c r="B399" t="s">
        <v>559</v>
      </c>
      <c r="C399" t="s">
        <v>1158</v>
      </c>
      <c r="D399" t="s">
        <v>560</v>
      </c>
      <c r="E399" s="39" t="s">
        <v>73</v>
      </c>
      <c r="F399" s="39" t="s">
        <v>28</v>
      </c>
      <c r="G399" t="s">
        <v>942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" hidden="1" thickBot="1" x14ac:dyDescent="0.35">
      <c r="A400" t="s">
        <v>414</v>
      </c>
      <c r="B400" t="s">
        <v>561</v>
      </c>
      <c r="C400" t="s">
        <v>1158</v>
      </c>
      <c r="D400" t="s">
        <v>560</v>
      </c>
      <c r="E400" s="39" t="s">
        <v>73</v>
      </c>
      <c r="F400" s="39" t="s">
        <v>28</v>
      </c>
      <c r="G400" t="s">
        <v>943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" hidden="1" thickBot="1" x14ac:dyDescent="0.35">
      <c r="A401" t="s">
        <v>414</v>
      </c>
      <c r="B401" t="s">
        <v>562</v>
      </c>
      <c r="C401" t="s">
        <v>1158</v>
      </c>
      <c r="D401" t="s">
        <v>563</v>
      </c>
      <c r="E401" s="39" t="s">
        <v>73</v>
      </c>
      <c r="F401" s="39" t="s">
        <v>28</v>
      </c>
      <c r="G401" t="s">
        <v>946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" hidden="1" thickBot="1" x14ac:dyDescent="0.35">
      <c r="A402" t="s">
        <v>414</v>
      </c>
      <c r="B402" t="s">
        <v>564</v>
      </c>
      <c r="C402" t="s">
        <v>1158</v>
      </c>
      <c r="D402" t="s">
        <v>563</v>
      </c>
      <c r="E402" s="39" t="s">
        <v>73</v>
      </c>
      <c r="F402" s="39" t="s">
        <v>28</v>
      </c>
      <c r="G402" t="s">
        <v>947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" hidden="1" thickBot="1" x14ac:dyDescent="0.35">
      <c r="A403" t="s">
        <v>414</v>
      </c>
      <c r="B403" t="s">
        <v>555</v>
      </c>
      <c r="C403" t="s">
        <v>1158</v>
      </c>
      <c r="D403" t="s">
        <v>556</v>
      </c>
      <c r="E403" s="39" t="s">
        <v>19</v>
      </c>
      <c r="F403" s="39" t="s">
        <v>28</v>
      </c>
      <c r="G403" t="s">
        <v>948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" hidden="1" thickBot="1" x14ac:dyDescent="0.35">
      <c r="A404" t="s">
        <v>414</v>
      </c>
      <c r="B404" t="s">
        <v>565</v>
      </c>
      <c r="C404" t="s">
        <v>1158</v>
      </c>
      <c r="D404" t="s">
        <v>566</v>
      </c>
      <c r="E404" s="39" t="s">
        <v>15</v>
      </c>
      <c r="F404" s="39" t="s">
        <v>28</v>
      </c>
      <c r="G404" t="s">
        <v>949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" hidden="1" thickBot="1" x14ac:dyDescent="0.35">
      <c r="A405" t="s">
        <v>490</v>
      </c>
      <c r="B405" t="s">
        <v>567</v>
      </c>
      <c r="C405" t="s">
        <v>1158</v>
      </c>
      <c r="D405" t="s">
        <v>568</v>
      </c>
      <c r="E405" s="39" t="s">
        <v>19</v>
      </c>
      <c r="F405" s="39" t="s">
        <v>28</v>
      </c>
      <c r="G405" t="s">
        <v>950</v>
      </c>
      <c r="H405" s="40">
        <f t="shared" si="33"/>
        <v>22</v>
      </c>
      <c r="I405" s="40">
        <f t="shared" si="31"/>
        <v>9</v>
      </c>
      <c r="J405" s="41">
        <f t="shared" si="32"/>
        <v>0.70967741935483875</v>
      </c>
      <c r="K405" s="20" t="s">
        <v>1307</v>
      </c>
      <c r="L405" s="20" t="s">
        <v>1307</v>
      </c>
      <c r="M405" s="20"/>
      <c r="N405" s="20"/>
      <c r="O405" s="20"/>
      <c r="P405" s="20"/>
      <c r="Q405" s="20" t="s">
        <v>1307</v>
      </c>
      <c r="R405" s="20" t="s">
        <v>1307</v>
      </c>
      <c r="S405" s="20" t="s">
        <v>1307</v>
      </c>
      <c r="T405" s="20" t="s">
        <v>1307</v>
      </c>
      <c r="U405" s="20" t="s">
        <v>1307</v>
      </c>
      <c r="V405" s="20" t="s">
        <v>1307</v>
      </c>
      <c r="W405" s="20" t="s">
        <v>1307</v>
      </c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" hidden="1" thickBot="1" x14ac:dyDescent="0.35">
      <c r="A406" t="s">
        <v>490</v>
      </c>
      <c r="B406" t="s">
        <v>569</v>
      </c>
      <c r="C406" t="s">
        <v>1158</v>
      </c>
      <c r="D406" t="s">
        <v>570</v>
      </c>
      <c r="E406" s="39" t="s">
        <v>19</v>
      </c>
      <c r="F406" s="39" t="s">
        <v>20</v>
      </c>
      <c r="G406" t="s">
        <v>951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" hidden="1" thickBot="1" x14ac:dyDescent="0.35">
      <c r="A407" t="s">
        <v>490</v>
      </c>
      <c r="B407" t="s">
        <v>571</v>
      </c>
      <c r="C407" t="s">
        <v>1158</v>
      </c>
      <c r="D407" t="s">
        <v>572</v>
      </c>
      <c r="E407" s="39" t="s">
        <v>19</v>
      </c>
      <c r="F407" s="39" t="s">
        <v>20</v>
      </c>
      <c r="G407" t="s">
        <v>952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" thickBot="1" x14ac:dyDescent="0.35">
      <c r="A408" t="s">
        <v>490</v>
      </c>
      <c r="B408" t="s">
        <v>573</v>
      </c>
      <c r="C408" t="s">
        <v>1158</v>
      </c>
      <c r="D408" t="s">
        <v>574</v>
      </c>
      <c r="E408" s="39" t="s">
        <v>19</v>
      </c>
      <c r="F408" s="39" t="s">
        <v>1151</v>
      </c>
      <c r="G408" t="s">
        <v>953</v>
      </c>
      <c r="H408" s="40">
        <f t="shared" si="33"/>
        <v>25</v>
      </c>
      <c r="I408" s="40">
        <f t="shared" si="31"/>
        <v>6</v>
      </c>
      <c r="J408" s="41">
        <f t="shared" si="32"/>
        <v>0.80645161290322576</v>
      </c>
      <c r="K408" s="20"/>
      <c r="L408" s="20" t="s">
        <v>1307</v>
      </c>
      <c r="M408" s="20"/>
      <c r="N408" s="20"/>
      <c r="O408" s="20"/>
      <c r="P408" s="20"/>
      <c r="Q408" s="20"/>
      <c r="R408" s="20"/>
      <c r="S408" s="20"/>
      <c r="T408" s="20"/>
      <c r="U408" s="20"/>
      <c r="V408" s="20" t="s">
        <v>1307</v>
      </c>
      <c r="W408" s="20"/>
      <c r="X408" s="20"/>
      <c r="Y408" s="20" t="s">
        <v>1307</v>
      </c>
      <c r="Z408" s="20" t="s">
        <v>1307</v>
      </c>
      <c r="AA408" s="20"/>
      <c r="AB408" s="20" t="s">
        <v>1307</v>
      </c>
      <c r="AC408" s="20" t="s">
        <v>1307</v>
      </c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" hidden="1" thickBot="1" x14ac:dyDescent="0.35">
      <c r="A409" t="s">
        <v>485</v>
      </c>
      <c r="B409" t="s">
        <v>575</v>
      </c>
      <c r="C409" t="s">
        <v>1158</v>
      </c>
      <c r="D409" t="s">
        <v>576</v>
      </c>
      <c r="E409" s="39" t="s">
        <v>19</v>
      </c>
      <c r="F409" s="39" t="s">
        <v>20</v>
      </c>
      <c r="G409" t="s">
        <v>954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" hidden="1" thickBot="1" x14ac:dyDescent="0.35">
      <c r="A410" t="s">
        <v>577</v>
      </c>
      <c r="B410" t="s">
        <v>578</v>
      </c>
      <c r="C410" t="s">
        <v>1159</v>
      </c>
      <c r="D410" t="s">
        <v>579</v>
      </c>
      <c r="E410" s="39" t="s">
        <v>15</v>
      </c>
      <c r="F410" s="39" t="s">
        <v>28</v>
      </c>
      <c r="G410" t="s">
        <v>955</v>
      </c>
      <c r="H410" s="40">
        <f t="shared" si="33"/>
        <v>30</v>
      </c>
      <c r="I410" s="40">
        <f t="shared" si="31"/>
        <v>1</v>
      </c>
      <c r="J410" s="41">
        <f t="shared" si="32"/>
        <v>0.967741935483871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 t="s">
        <v>1307</v>
      </c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" hidden="1" thickBot="1" x14ac:dyDescent="0.35">
      <c r="A411" t="s">
        <v>577</v>
      </c>
      <c r="B411" t="s">
        <v>580</v>
      </c>
      <c r="C411" t="s">
        <v>1159</v>
      </c>
      <c r="D411" t="s">
        <v>581</v>
      </c>
      <c r="E411" s="39" t="s">
        <v>15</v>
      </c>
      <c r="F411" s="39" t="s">
        <v>28</v>
      </c>
      <c r="G411" t="s">
        <v>956</v>
      </c>
      <c r="H411" s="40">
        <f t="shared" si="33"/>
        <v>30</v>
      </c>
      <c r="I411" s="40">
        <f t="shared" si="31"/>
        <v>1</v>
      </c>
      <c r="J411" s="41">
        <f t="shared" si="32"/>
        <v>0.967741935483871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 t="s">
        <v>1307</v>
      </c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" hidden="1" thickBot="1" x14ac:dyDescent="0.35">
      <c r="A412" t="s">
        <v>577</v>
      </c>
      <c r="B412" t="s">
        <v>1140</v>
      </c>
      <c r="C412" t="s">
        <v>1159</v>
      </c>
      <c r="D412" t="s">
        <v>582</v>
      </c>
      <c r="E412" s="39" t="s">
        <v>73</v>
      </c>
      <c r="F412" s="39" t="s">
        <v>28</v>
      </c>
      <c r="G412" t="s">
        <v>957</v>
      </c>
      <c r="H412" s="40">
        <f t="shared" si="33"/>
        <v>30</v>
      </c>
      <c r="I412" s="40">
        <f t="shared" si="31"/>
        <v>1</v>
      </c>
      <c r="J412" s="41">
        <f t="shared" si="32"/>
        <v>0.967741935483871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 t="s">
        <v>1307</v>
      </c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" hidden="1" thickBot="1" x14ac:dyDescent="0.35">
      <c r="A413" t="s">
        <v>577</v>
      </c>
      <c r="B413" t="s">
        <v>1141</v>
      </c>
      <c r="C413" t="s">
        <v>1159</v>
      </c>
      <c r="D413" t="s">
        <v>582</v>
      </c>
      <c r="E413" s="39" t="s">
        <v>73</v>
      </c>
      <c r="F413" s="39" t="s">
        <v>28</v>
      </c>
      <c r="G413" t="s">
        <v>958</v>
      </c>
      <c r="H413" s="40">
        <f t="shared" si="33"/>
        <v>30</v>
      </c>
      <c r="I413" s="40">
        <f t="shared" si="31"/>
        <v>1</v>
      </c>
      <c r="J413" s="41">
        <f t="shared" si="32"/>
        <v>0.967741935483871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 t="s">
        <v>1307</v>
      </c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" hidden="1" thickBot="1" x14ac:dyDescent="0.35">
      <c r="A414" t="s">
        <v>583</v>
      </c>
      <c r="B414" t="s">
        <v>1142</v>
      </c>
      <c r="C414" t="s">
        <v>1159</v>
      </c>
      <c r="D414" t="s">
        <v>584</v>
      </c>
      <c r="E414" s="39" t="s">
        <v>73</v>
      </c>
      <c r="F414" s="39" t="s">
        <v>28</v>
      </c>
      <c r="G414" t="s">
        <v>959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" hidden="1" thickBot="1" x14ac:dyDescent="0.35">
      <c r="A415" t="s">
        <v>583</v>
      </c>
      <c r="B415" t="s">
        <v>1143</v>
      </c>
      <c r="C415" t="s">
        <v>1159</v>
      </c>
      <c r="D415" t="s">
        <v>585</v>
      </c>
      <c r="E415" s="39" t="s">
        <v>15</v>
      </c>
      <c r="F415" s="39" t="s">
        <v>28</v>
      </c>
      <c r="G415" t="s">
        <v>960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" hidden="1" thickBot="1" x14ac:dyDescent="0.35">
      <c r="A416" t="s">
        <v>583</v>
      </c>
      <c r="B416" t="s">
        <v>586</v>
      </c>
      <c r="C416" t="s">
        <v>1159</v>
      </c>
      <c r="D416" t="s">
        <v>587</v>
      </c>
      <c r="E416" s="39" t="s">
        <v>73</v>
      </c>
      <c r="F416" s="39" t="s">
        <v>28</v>
      </c>
      <c r="G416" t="s">
        <v>961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" hidden="1" thickBot="1" x14ac:dyDescent="0.35">
      <c r="A417" t="s">
        <v>583</v>
      </c>
      <c r="B417" t="s">
        <v>588</v>
      </c>
      <c r="C417" t="s">
        <v>1159</v>
      </c>
      <c r="D417" t="s">
        <v>589</v>
      </c>
      <c r="E417" s="39" t="s">
        <v>15</v>
      </c>
      <c r="F417" s="39" t="s">
        <v>28</v>
      </c>
      <c r="G417" t="s">
        <v>962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" hidden="1" thickBot="1" x14ac:dyDescent="0.35">
      <c r="A418" t="s">
        <v>583</v>
      </c>
      <c r="B418" t="s">
        <v>590</v>
      </c>
      <c r="C418" t="s">
        <v>1159</v>
      </c>
      <c r="D418" t="s">
        <v>591</v>
      </c>
      <c r="E418" s="39" t="s">
        <v>15</v>
      </c>
      <c r="F418" s="39" t="s">
        <v>28</v>
      </c>
      <c r="G418" t="s">
        <v>963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" hidden="1" thickBot="1" x14ac:dyDescent="0.35">
      <c r="A419" t="s">
        <v>178</v>
      </c>
      <c r="B419" t="s">
        <v>592</v>
      </c>
      <c r="C419" t="s">
        <v>1159</v>
      </c>
      <c r="D419" t="s">
        <v>1189</v>
      </c>
      <c r="E419" s="39" t="s">
        <v>19</v>
      </c>
      <c r="F419" s="39" t="s">
        <v>20</v>
      </c>
      <c r="G419" t="s">
        <v>964</v>
      </c>
      <c r="H419" s="40">
        <f t="shared" si="33"/>
        <v>30</v>
      </c>
      <c r="I419" s="40">
        <f t="shared" si="31"/>
        <v>1</v>
      </c>
      <c r="J419" s="41">
        <f t="shared" si="32"/>
        <v>0.967741935483871</v>
      </c>
      <c r="K419" s="20" t="s">
        <v>1307</v>
      </c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" hidden="1" thickBot="1" x14ac:dyDescent="0.35">
      <c r="A420" t="s">
        <v>178</v>
      </c>
      <c r="B420" t="s">
        <v>1144</v>
      </c>
      <c r="C420" t="s">
        <v>1159</v>
      </c>
      <c r="D420" t="s">
        <v>1190</v>
      </c>
      <c r="E420" s="39" t="s">
        <v>73</v>
      </c>
      <c r="F420" s="39" t="s">
        <v>28</v>
      </c>
      <c r="G420" t="s">
        <v>965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" hidden="1" thickBot="1" x14ac:dyDescent="0.35">
      <c r="A421" t="s">
        <v>178</v>
      </c>
      <c r="B421" t="s">
        <v>1145</v>
      </c>
      <c r="C421" t="s">
        <v>1159</v>
      </c>
      <c r="D421" t="s">
        <v>1190</v>
      </c>
      <c r="E421" s="39" t="s">
        <v>73</v>
      </c>
      <c r="F421" s="39" t="s">
        <v>28</v>
      </c>
      <c r="G421" t="s">
        <v>966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" hidden="1" thickBot="1" x14ac:dyDescent="0.35">
      <c r="A422" t="s">
        <v>178</v>
      </c>
      <c r="B422" t="s">
        <v>1146</v>
      </c>
      <c r="C422" t="s">
        <v>1159</v>
      </c>
      <c r="D422" t="s">
        <v>1204</v>
      </c>
      <c r="E422" s="39" t="s">
        <v>15</v>
      </c>
      <c r="F422" s="39" t="s">
        <v>28</v>
      </c>
      <c r="G422" t="s">
        <v>967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" thickBot="1" x14ac:dyDescent="0.35">
      <c r="A423" t="s">
        <v>178</v>
      </c>
      <c r="B423" t="s">
        <v>593</v>
      </c>
      <c r="C423" t="s">
        <v>1159</v>
      </c>
      <c r="D423" t="s">
        <v>1191</v>
      </c>
      <c r="E423" s="39" t="s">
        <v>15</v>
      </c>
      <c r="F423" s="39" t="s">
        <v>28</v>
      </c>
      <c r="G423"/>
      <c r="H423" s="40">
        <f t="shared" si="33"/>
        <v>12</v>
      </c>
      <c r="I423" s="40">
        <f t="shared" si="31"/>
        <v>19</v>
      </c>
      <c r="J423" s="41">
        <f t="shared" si="32"/>
        <v>0.38709677419354838</v>
      </c>
      <c r="K423" s="20" t="s">
        <v>1307</v>
      </c>
      <c r="L423" s="20" t="s">
        <v>1307</v>
      </c>
      <c r="M423" s="20" t="s">
        <v>1307</v>
      </c>
      <c r="N423" s="20" t="s">
        <v>1307</v>
      </c>
      <c r="O423" s="20" t="s">
        <v>1307</v>
      </c>
      <c r="P423" s="20" t="s">
        <v>1307</v>
      </c>
      <c r="Q423" s="20" t="s">
        <v>1307</v>
      </c>
      <c r="R423" s="20" t="s">
        <v>1307</v>
      </c>
      <c r="S423" s="20" t="s">
        <v>1307</v>
      </c>
      <c r="T423" s="20" t="s">
        <v>1307</v>
      </c>
      <c r="U423" s="20" t="s">
        <v>1307</v>
      </c>
      <c r="V423" s="20" t="s">
        <v>1307</v>
      </c>
      <c r="W423" s="20" t="s">
        <v>1307</v>
      </c>
      <c r="X423" s="20" t="s">
        <v>1307</v>
      </c>
      <c r="Y423" s="20" t="s">
        <v>1307</v>
      </c>
      <c r="Z423" s="20" t="s">
        <v>1307</v>
      </c>
      <c r="AA423" s="20" t="s">
        <v>1307</v>
      </c>
      <c r="AB423" s="20" t="s">
        <v>1307</v>
      </c>
      <c r="AC423" s="20" t="s">
        <v>1307</v>
      </c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" hidden="1" thickBot="1" x14ac:dyDescent="0.35">
      <c r="A424" t="s">
        <v>594</v>
      </c>
      <c r="B424" t="s">
        <v>595</v>
      </c>
      <c r="C424" t="s">
        <v>1159</v>
      </c>
      <c r="D424" t="s">
        <v>596</v>
      </c>
      <c r="E424" s="39" t="s">
        <v>73</v>
      </c>
      <c r="F424" s="39" t="s">
        <v>28</v>
      </c>
      <c r="G424" t="s">
        <v>968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" hidden="1" thickBot="1" x14ac:dyDescent="0.35">
      <c r="A425" t="s">
        <v>594</v>
      </c>
      <c r="B425" t="s">
        <v>1147</v>
      </c>
      <c r="C425" t="s">
        <v>1159</v>
      </c>
      <c r="D425" t="s">
        <v>596</v>
      </c>
      <c r="E425" s="39" t="s">
        <v>73</v>
      </c>
      <c r="F425" s="39" t="s">
        <v>28</v>
      </c>
      <c r="G425" t="s">
        <v>969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" hidden="1" thickBot="1" x14ac:dyDescent="0.35">
      <c r="A426" t="s">
        <v>594</v>
      </c>
      <c r="B426" t="s">
        <v>1148</v>
      </c>
      <c r="C426" t="s">
        <v>1159</v>
      </c>
      <c r="D426" t="s">
        <v>597</v>
      </c>
      <c r="E426" s="39" t="s">
        <v>73</v>
      </c>
      <c r="F426" s="39" t="s">
        <v>28</v>
      </c>
      <c r="G426" t="s">
        <v>970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" hidden="1" thickBot="1" x14ac:dyDescent="0.35">
      <c r="A427" t="s">
        <v>594</v>
      </c>
      <c r="B427" t="s">
        <v>598</v>
      </c>
      <c r="C427" t="s">
        <v>1159</v>
      </c>
      <c r="D427" t="s">
        <v>597</v>
      </c>
      <c r="E427" s="39" t="s">
        <v>73</v>
      </c>
      <c r="F427" s="39" t="s">
        <v>28</v>
      </c>
      <c r="G427" t="s">
        <v>971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" hidden="1" thickBot="1" x14ac:dyDescent="0.35">
      <c r="A428" t="s">
        <v>599</v>
      </c>
      <c r="B428" t="s">
        <v>600</v>
      </c>
      <c r="C428" t="s">
        <v>1159</v>
      </c>
      <c r="D428" t="s">
        <v>601</v>
      </c>
      <c r="E428" s="39" t="s">
        <v>15</v>
      </c>
      <c r="F428" s="39" t="s">
        <v>28</v>
      </c>
      <c r="G428" t="s">
        <v>972</v>
      </c>
      <c r="H428" s="40">
        <f t="shared" si="33"/>
        <v>30</v>
      </c>
      <c r="I428" s="40">
        <f t="shared" si="31"/>
        <v>1</v>
      </c>
      <c r="J428" s="41">
        <f t="shared" si="32"/>
        <v>0.967741935483871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 t="s">
        <v>1307</v>
      </c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" hidden="1" thickBot="1" x14ac:dyDescent="0.35">
      <c r="A429" t="s">
        <v>602</v>
      </c>
      <c r="B429" t="s">
        <v>1149</v>
      </c>
      <c r="C429" t="s">
        <v>1159</v>
      </c>
      <c r="D429" t="s">
        <v>603</v>
      </c>
      <c r="E429" s="39" t="s">
        <v>15</v>
      </c>
      <c r="F429" s="39" t="s">
        <v>20</v>
      </c>
      <c r="G429" t="s">
        <v>973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" hidden="1" thickBot="1" x14ac:dyDescent="0.35">
      <c r="A430" t="s">
        <v>602</v>
      </c>
      <c r="B430" t="s">
        <v>604</v>
      </c>
      <c r="C430" t="s">
        <v>1159</v>
      </c>
      <c r="D430" t="s">
        <v>605</v>
      </c>
      <c r="E430" s="39" t="s">
        <v>15</v>
      </c>
      <c r="F430" s="39" t="s">
        <v>20</v>
      </c>
      <c r="G430" t="s">
        <v>974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" hidden="1" thickBot="1" x14ac:dyDescent="0.35">
      <c r="A431" t="s">
        <v>602</v>
      </c>
      <c r="B431" t="s">
        <v>606</v>
      </c>
      <c r="C431" t="s">
        <v>1159</v>
      </c>
      <c r="D431" t="s">
        <v>607</v>
      </c>
      <c r="E431" s="39" t="s">
        <v>15</v>
      </c>
      <c r="F431" s="39" t="s">
        <v>20</v>
      </c>
      <c r="G431" t="s">
        <v>975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" hidden="1" thickBot="1" x14ac:dyDescent="0.35">
      <c r="A432" t="s">
        <v>602</v>
      </c>
      <c r="B432" s="39" t="s">
        <v>1212</v>
      </c>
      <c r="C432" s="39" t="s">
        <v>1159</v>
      </c>
      <c r="D432" t="s">
        <v>1214</v>
      </c>
      <c r="E432" s="39" t="s">
        <v>1211</v>
      </c>
      <c r="F432" s="39" t="s">
        <v>28</v>
      </c>
      <c r="G432" t="s">
        <v>1219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" hidden="1" thickBot="1" x14ac:dyDescent="0.35">
      <c r="A433" t="s">
        <v>602</v>
      </c>
      <c r="B433" s="39" t="s">
        <v>1213</v>
      </c>
      <c r="C433" s="39" t="s">
        <v>1159</v>
      </c>
      <c r="D433" t="s">
        <v>1214</v>
      </c>
      <c r="E433" s="39" t="s">
        <v>1211</v>
      </c>
      <c r="F433" s="39" t="s">
        <v>28</v>
      </c>
      <c r="G433" t="s">
        <v>1220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" hidden="1" thickBot="1" x14ac:dyDescent="0.35">
      <c r="A434" t="s">
        <v>602</v>
      </c>
      <c r="B434" s="39" t="s">
        <v>1298</v>
      </c>
      <c r="C434" s="39" t="s">
        <v>1159</v>
      </c>
      <c r="D434" t="s">
        <v>1299</v>
      </c>
      <c r="E434" s="39" t="s">
        <v>15</v>
      </c>
      <c r="F434" s="39" t="s">
        <v>28</v>
      </c>
      <c r="G434" s="39" t="s">
        <v>1300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" hidden="1" thickBot="1" x14ac:dyDescent="0.35">
      <c r="A435" t="s">
        <v>610</v>
      </c>
      <c r="B435" t="s">
        <v>611</v>
      </c>
      <c r="C435" t="s">
        <v>1159</v>
      </c>
      <c r="D435" t="s">
        <v>612</v>
      </c>
      <c r="E435" s="39" t="s">
        <v>19</v>
      </c>
      <c r="F435" s="39" t="s">
        <v>20</v>
      </c>
      <c r="G435" t="s">
        <v>976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" hidden="1" thickBot="1" x14ac:dyDescent="0.35">
      <c r="A436" t="s">
        <v>313</v>
      </c>
      <c r="B436" t="s">
        <v>613</v>
      </c>
      <c r="C436" t="s">
        <v>1159</v>
      </c>
      <c r="D436" t="s">
        <v>614</v>
      </c>
      <c r="E436" s="39" t="s">
        <v>19</v>
      </c>
      <c r="F436" s="39" t="s">
        <v>20</v>
      </c>
      <c r="G436" t="s">
        <v>977</v>
      </c>
      <c r="H436" s="40">
        <f t="shared" si="33"/>
        <v>30</v>
      </c>
      <c r="I436" s="40">
        <f t="shared" si="31"/>
        <v>1</v>
      </c>
      <c r="J436" s="41">
        <f t="shared" si="32"/>
        <v>0.967741935483871</v>
      </c>
      <c r="K436" s="20"/>
      <c r="L436" s="20"/>
      <c r="M436" s="20"/>
      <c r="N436" s="20"/>
      <c r="O436" s="20"/>
      <c r="P436" s="20"/>
      <c r="Q436" s="20" t="s">
        <v>1307</v>
      </c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" hidden="1" thickBot="1" x14ac:dyDescent="0.35">
      <c r="A437" t="s">
        <v>610</v>
      </c>
      <c r="B437" t="s">
        <v>615</v>
      </c>
      <c r="C437" t="s">
        <v>1159</v>
      </c>
      <c r="D437" t="s">
        <v>616</v>
      </c>
      <c r="E437" s="39" t="s">
        <v>15</v>
      </c>
      <c r="F437" s="39" t="s">
        <v>20</v>
      </c>
      <c r="G437" t="s">
        <v>978</v>
      </c>
      <c r="H437" s="40">
        <f t="shared" si="33"/>
        <v>31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" thickBot="1" x14ac:dyDescent="0.35">
      <c r="A438" t="s">
        <v>610</v>
      </c>
      <c r="B438" t="s">
        <v>608</v>
      </c>
      <c r="C438" t="s">
        <v>1159</v>
      </c>
      <c r="D438" t="s">
        <v>609</v>
      </c>
      <c r="E438" s="39" t="s">
        <v>19</v>
      </c>
      <c r="F438" s="39" t="s">
        <v>20</v>
      </c>
      <c r="G438" t="s">
        <v>979</v>
      </c>
      <c r="H438" s="40">
        <f t="shared" si="33"/>
        <v>15</v>
      </c>
      <c r="I438" s="40">
        <f>COUNTIF(K438:AL438,"APAGADO")</f>
        <v>16</v>
      </c>
      <c r="J438" s="41">
        <f>(H438)/(I438+H438)</f>
        <v>0.4838709677419355</v>
      </c>
      <c r="K438" s="20"/>
      <c r="L438" s="20"/>
      <c r="M438" s="20" t="s">
        <v>1307</v>
      </c>
      <c r="N438" s="20" t="s">
        <v>1307</v>
      </c>
      <c r="O438" s="20"/>
      <c r="P438" s="20" t="s">
        <v>1307</v>
      </c>
      <c r="Q438" s="20" t="s">
        <v>1307</v>
      </c>
      <c r="R438" s="20" t="s">
        <v>1307</v>
      </c>
      <c r="S438" s="20" t="s">
        <v>1307</v>
      </c>
      <c r="T438" s="20" t="s">
        <v>1307</v>
      </c>
      <c r="U438" s="20" t="s">
        <v>1307</v>
      </c>
      <c r="V438" s="20" t="s">
        <v>1307</v>
      </c>
      <c r="W438" s="20" t="s">
        <v>1307</v>
      </c>
      <c r="X438" s="20" t="s">
        <v>1307</v>
      </c>
      <c r="Y438" s="20" t="s">
        <v>1307</v>
      </c>
      <c r="Z438" s="20" t="s">
        <v>1307</v>
      </c>
      <c r="AA438" s="20" t="s">
        <v>1307</v>
      </c>
      <c r="AB438" s="20" t="s">
        <v>1307</v>
      </c>
      <c r="AC438" s="20" t="s">
        <v>1307</v>
      </c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" hidden="1" thickBot="1" x14ac:dyDescent="0.35">
      <c r="A439" s="126"/>
      <c r="B439" s="127" t="s">
        <v>1305</v>
      </c>
      <c r="C439" s="39" t="s">
        <v>1158</v>
      </c>
      <c r="D439" t="s">
        <v>1303</v>
      </c>
      <c r="E439" s="39" t="s">
        <v>15</v>
      </c>
      <c r="F439" s="39" t="s">
        <v>28</v>
      </c>
      <c r="G439" s="21" t="s">
        <v>1304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3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3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3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3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3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3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3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3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3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3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3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3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3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3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3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3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3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3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3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3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3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3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3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3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3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3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3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3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3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3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3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3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3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3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3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3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3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3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3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3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3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3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3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3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3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3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3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3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3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3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3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3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3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3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3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3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3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3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3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3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3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3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3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3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3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3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3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3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3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3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3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3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3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3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3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3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3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3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3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3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3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3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3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3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3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3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3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3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3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3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3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3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3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3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3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3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3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3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3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3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3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3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3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3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3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3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3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3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3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3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3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3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3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3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3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3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3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3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3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3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3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3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3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3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3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3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3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3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3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3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3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3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3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3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3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3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3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3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3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3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3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3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3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3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3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3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3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3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3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3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3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3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3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3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3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3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3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3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3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3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3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3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3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3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3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3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3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3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3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3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3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3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3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3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3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3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3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3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3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3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3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3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3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3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3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3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3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3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3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3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3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3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3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3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3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3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3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3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3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3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3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3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3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3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3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3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3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3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3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3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3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3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3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3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3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3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3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3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3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3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3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3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3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3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3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3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3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3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3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3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3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3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3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3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3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3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3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3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3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3">
      <c r="E679" s="39"/>
      <c r="F679" s="39"/>
      <c r="G679" s="21"/>
      <c r="J679" s="15"/>
    </row>
    <row r="680" spans="5:41" x14ac:dyDescent="0.3">
      <c r="E680" s="39"/>
      <c r="F680" s="39"/>
      <c r="G680" s="21"/>
      <c r="J680" s="15"/>
    </row>
    <row r="681" spans="5:41" x14ac:dyDescent="0.3">
      <c r="E681" s="39"/>
      <c r="F681" s="39"/>
      <c r="G681" s="21"/>
      <c r="J681" s="15"/>
    </row>
    <row r="682" spans="5:41" x14ac:dyDescent="0.3">
      <c r="J682" s="15"/>
    </row>
  </sheetData>
  <autoFilter ref="A4:AN439" xr:uid="{00000000-0009-0000-0000-000000000000}">
    <filterColumn colId="28">
      <customFilters>
        <customFilter operator="notEqual" val=" "/>
      </customFilters>
    </filterColumn>
  </autoFilter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6:AN309 J263:AO265 L319:AN355 J356:AN379 R380:AN393 AG399:AN408 R207:AN262 AO108:AO262 J118:AN206 K8:AO22 J23:AO105 L412:AF439 J399:J439 J394:AN396">
    <cfRule type="cellIs" dxfId="737" priority="569" operator="lessThan">
      <formula>0.8</formula>
    </cfRule>
    <cfRule type="cellIs" dxfId="736" priority="570" operator="greaterThan">
      <formula>0.8</formula>
    </cfRule>
  </conditionalFormatting>
  <conditionalFormatting sqref="E429:G429 E431:G442 E444:G1048576 E443:F443 E1:G418">
    <cfRule type="containsText" dxfId="735" priority="568" operator="containsText" text="Radio">
      <formula>NOT(ISERROR(SEARCH("Radio",E1)))</formula>
    </cfRule>
  </conditionalFormatting>
  <conditionalFormatting sqref="L385:Q393 K380:K393 L380:Q382 R312:T313 L310:T311 L314:T318 U310:AN318 L207:Q251 K266:AN309 AG108:AN117 L109:AF117 K397:K411 L397:Q405 K394:AN396 L261:Q262 L254:Q257 K108:K117 K5:AO6 K310:K355 L163:AN206 K163:K262 AO266:AO433 K263:AO265 L319:AN355 K356:AN379 R380:AN393 R207:AN262 R397:AN411 K118:AN162 AO108:AO262 K412:AN433 K8:AO105 K434:AO1048576 K396:AO396">
    <cfRule type="notContainsText" dxfId="734" priority="566" operator="notContains" text="Caida">
      <formula>ISERROR(SEARCH("Caida",K5))</formula>
    </cfRule>
    <cfRule type="containsText" dxfId="733" priority="567" operator="containsText" text="Caida">
      <formula>NOT(ISERROR(SEARCH("Caida",K5)))</formula>
    </cfRule>
  </conditionalFormatting>
  <conditionalFormatting sqref="L384">
    <cfRule type="cellIs" dxfId="732" priority="527" operator="lessThan">
      <formula>0.8</formula>
    </cfRule>
    <cfRule type="cellIs" dxfId="731" priority="528" operator="greaterThan">
      <formula>0.8</formula>
    </cfRule>
  </conditionalFormatting>
  <conditionalFormatting sqref="L384">
    <cfRule type="notContainsText" dxfId="730" priority="525" operator="notContains" text="Caida">
      <formula>ISERROR(SEARCH("Caida",L384))</formula>
    </cfRule>
    <cfRule type="containsText" dxfId="729" priority="526" operator="containsText" text="Caida">
      <formula>NOT(ISERROR(SEARCH("Caida",L384)))</formula>
    </cfRule>
  </conditionalFormatting>
  <conditionalFormatting sqref="L73">
    <cfRule type="containsText" dxfId="728" priority="565" operator="containsText" text="Instaladas en Funcionamiento Caida">
      <formula>NOT(ISERROR(SEARCH("Instaladas en Funcionamiento Caida",L73)))</formula>
    </cfRule>
  </conditionalFormatting>
  <conditionalFormatting sqref="L312">
    <cfRule type="cellIs" dxfId="727" priority="563" operator="lessThan">
      <formula>0.8</formula>
    </cfRule>
    <cfRule type="cellIs" dxfId="726" priority="564" operator="greaterThan">
      <formula>0.8</formula>
    </cfRule>
  </conditionalFormatting>
  <conditionalFormatting sqref="L312">
    <cfRule type="notContainsText" dxfId="725" priority="561" operator="notContains" text="Caida">
      <formula>ISERROR(SEARCH("Caida",L312))</formula>
    </cfRule>
    <cfRule type="containsText" dxfId="724" priority="562" operator="containsText" text="Caida">
      <formula>NOT(ISERROR(SEARCH("Caida",L312)))</formula>
    </cfRule>
  </conditionalFormatting>
  <conditionalFormatting sqref="L313:L314">
    <cfRule type="cellIs" dxfId="723" priority="559" operator="lessThan">
      <formula>0.8</formula>
    </cfRule>
    <cfRule type="cellIs" dxfId="722" priority="560" operator="greaterThan">
      <formula>0.8</formula>
    </cfRule>
  </conditionalFormatting>
  <conditionalFormatting sqref="L313:L314">
    <cfRule type="notContainsText" dxfId="721" priority="557" operator="notContains" text="Caida">
      <formula>ISERROR(SEARCH("Caida",L313))</formula>
    </cfRule>
    <cfRule type="containsText" dxfId="720" priority="558" operator="containsText" text="Caida">
      <formula>NOT(ISERROR(SEARCH("Caida",L313)))</formula>
    </cfRule>
  </conditionalFormatting>
  <conditionalFormatting sqref="L7">
    <cfRule type="cellIs" dxfId="719" priority="555" operator="lessThan">
      <formula>0.8</formula>
    </cfRule>
    <cfRule type="cellIs" dxfId="718" priority="556" operator="greaterThan">
      <formula>0.8</formula>
    </cfRule>
  </conditionalFormatting>
  <conditionalFormatting sqref="L7">
    <cfRule type="notContainsText" dxfId="717" priority="553" operator="notContains" text="Caida">
      <formula>ISERROR(SEARCH("Caida",L7))</formula>
    </cfRule>
    <cfRule type="containsText" dxfId="716" priority="554" operator="containsText" text="Caida">
      <formula>NOT(ISERROR(SEARCH("Caida",L7)))</formula>
    </cfRule>
  </conditionalFormatting>
  <conditionalFormatting sqref="L252">
    <cfRule type="cellIs" dxfId="715" priority="551" operator="lessThan">
      <formula>0.8</formula>
    </cfRule>
    <cfRule type="cellIs" dxfId="714" priority="552" operator="greaterThan">
      <formula>0.8</formula>
    </cfRule>
  </conditionalFormatting>
  <conditionalFormatting sqref="L252">
    <cfRule type="notContainsText" dxfId="713" priority="549" operator="notContains" text="Caida">
      <formula>ISERROR(SEARCH("Caida",L252))</formula>
    </cfRule>
    <cfRule type="containsText" dxfId="712" priority="550" operator="containsText" text="Caida">
      <formula>NOT(ISERROR(SEARCH("Caida",L252)))</formula>
    </cfRule>
  </conditionalFormatting>
  <conditionalFormatting sqref="L253:L257">
    <cfRule type="cellIs" dxfId="711" priority="547" operator="lessThan">
      <formula>0.8</formula>
    </cfRule>
    <cfRule type="cellIs" dxfId="710" priority="548" operator="greaterThan">
      <formula>0.8</formula>
    </cfRule>
  </conditionalFormatting>
  <conditionalFormatting sqref="L253:L257">
    <cfRule type="notContainsText" dxfId="709" priority="545" operator="notContains" text="Caida">
      <formula>ISERROR(SEARCH("Caida",L253))</formula>
    </cfRule>
    <cfRule type="containsText" dxfId="708" priority="546" operator="containsText" text="Caida">
      <formula>NOT(ISERROR(SEARCH("Caida",L253)))</formula>
    </cfRule>
  </conditionalFormatting>
  <conditionalFormatting sqref="L258">
    <cfRule type="cellIs" dxfId="707" priority="543" operator="lessThan">
      <formula>0.8</formula>
    </cfRule>
    <cfRule type="cellIs" dxfId="706" priority="544" operator="greaterThan">
      <formula>0.8</formula>
    </cfRule>
  </conditionalFormatting>
  <conditionalFormatting sqref="L258">
    <cfRule type="notContainsText" dxfId="705" priority="541" operator="notContains" text="Caida">
      <formula>ISERROR(SEARCH("Caida",L258))</formula>
    </cfRule>
    <cfRule type="containsText" dxfId="704" priority="542" operator="containsText" text="Caida">
      <formula>NOT(ISERROR(SEARCH("Caida",L258)))</formula>
    </cfRule>
  </conditionalFormatting>
  <conditionalFormatting sqref="L259">
    <cfRule type="cellIs" dxfId="703" priority="539" operator="lessThan">
      <formula>0.8</formula>
    </cfRule>
    <cfRule type="cellIs" dxfId="702" priority="540" operator="greaterThan">
      <formula>0.8</formula>
    </cfRule>
  </conditionalFormatting>
  <conditionalFormatting sqref="L259">
    <cfRule type="notContainsText" dxfId="701" priority="537" operator="notContains" text="Caida">
      <formula>ISERROR(SEARCH("Caida",L259))</formula>
    </cfRule>
    <cfRule type="containsText" dxfId="700" priority="538" operator="containsText" text="Caida">
      <formula>NOT(ISERROR(SEARCH("Caida",L259)))</formula>
    </cfRule>
  </conditionalFormatting>
  <conditionalFormatting sqref="L260">
    <cfRule type="cellIs" dxfId="699" priority="535" operator="lessThan">
      <formula>0.8</formula>
    </cfRule>
    <cfRule type="cellIs" dxfId="698" priority="536" operator="greaterThan">
      <formula>0.8</formula>
    </cfRule>
  </conditionalFormatting>
  <conditionalFormatting sqref="L260">
    <cfRule type="notContainsText" dxfId="697" priority="533" operator="notContains" text="Caida">
      <formula>ISERROR(SEARCH("Caida",L260))</formula>
    </cfRule>
    <cfRule type="containsText" dxfId="696" priority="534" operator="containsText" text="Caida">
      <formula>NOT(ISERROR(SEARCH("Caida",L260)))</formula>
    </cfRule>
  </conditionalFormatting>
  <conditionalFormatting sqref="L383">
    <cfRule type="cellIs" dxfId="695" priority="531" operator="lessThan">
      <formula>0.8</formula>
    </cfRule>
    <cfRule type="cellIs" dxfId="694" priority="532" operator="greaterThan">
      <formula>0.8</formula>
    </cfRule>
  </conditionalFormatting>
  <conditionalFormatting sqref="L383">
    <cfRule type="notContainsText" dxfId="693" priority="529" operator="notContains" text="Caida">
      <formula>ISERROR(SEARCH("Caida",L383))</formula>
    </cfRule>
    <cfRule type="containsText" dxfId="692" priority="530" operator="containsText" text="Caida">
      <formula>NOT(ISERROR(SEARCH("Caida",L383)))</formula>
    </cfRule>
  </conditionalFormatting>
  <conditionalFormatting sqref="M384">
    <cfRule type="cellIs" dxfId="691" priority="486" operator="lessThan">
      <formula>0.8</formula>
    </cfRule>
    <cfRule type="cellIs" dxfId="690" priority="487" operator="greaterThan">
      <formula>0.8</formula>
    </cfRule>
  </conditionalFormatting>
  <conditionalFormatting sqref="M384">
    <cfRule type="notContainsText" dxfId="689" priority="484" operator="notContains" text="Caida">
      <formula>ISERROR(SEARCH("Caida",M384))</formula>
    </cfRule>
    <cfRule type="containsText" dxfId="688" priority="485" operator="containsText" text="Caida">
      <formula>NOT(ISERROR(SEARCH("Caida",M384)))</formula>
    </cfRule>
  </conditionalFormatting>
  <conditionalFormatting sqref="M73">
    <cfRule type="containsText" dxfId="687" priority="524" operator="containsText" text="Instaladas en Funcionamiento Caida">
      <formula>NOT(ISERROR(SEARCH("Instaladas en Funcionamiento Caida",M73)))</formula>
    </cfRule>
  </conditionalFormatting>
  <conditionalFormatting sqref="M312">
    <cfRule type="cellIs" dxfId="686" priority="522" operator="lessThan">
      <formula>0.8</formula>
    </cfRule>
    <cfRule type="cellIs" dxfId="685" priority="523" operator="greaterThan">
      <formula>0.8</formula>
    </cfRule>
  </conditionalFormatting>
  <conditionalFormatting sqref="M312">
    <cfRule type="notContainsText" dxfId="684" priority="520" operator="notContains" text="Caida">
      <formula>ISERROR(SEARCH("Caida",M312))</formula>
    </cfRule>
    <cfRule type="containsText" dxfId="683" priority="521" operator="containsText" text="Caida">
      <formula>NOT(ISERROR(SEARCH("Caida",M312)))</formula>
    </cfRule>
  </conditionalFormatting>
  <conditionalFormatting sqref="M313:M314">
    <cfRule type="cellIs" dxfId="682" priority="518" operator="lessThan">
      <formula>0.8</formula>
    </cfRule>
    <cfRule type="cellIs" dxfId="681" priority="519" operator="greaterThan">
      <formula>0.8</formula>
    </cfRule>
  </conditionalFormatting>
  <conditionalFormatting sqref="M313:M314">
    <cfRule type="notContainsText" dxfId="680" priority="516" operator="notContains" text="Caida">
      <formula>ISERROR(SEARCH("Caida",M313))</formula>
    </cfRule>
    <cfRule type="containsText" dxfId="679" priority="517" operator="containsText" text="Caida">
      <formula>NOT(ISERROR(SEARCH("Caida",M313)))</formula>
    </cfRule>
  </conditionalFormatting>
  <conditionalFormatting sqref="M7">
    <cfRule type="cellIs" dxfId="678" priority="514" operator="lessThan">
      <formula>0.8</formula>
    </cfRule>
    <cfRule type="cellIs" dxfId="677" priority="515" operator="greaterThan">
      <formula>0.8</formula>
    </cfRule>
  </conditionalFormatting>
  <conditionalFormatting sqref="M7">
    <cfRule type="notContainsText" dxfId="676" priority="512" operator="notContains" text="Caida">
      <formula>ISERROR(SEARCH("Caida",M7))</formula>
    </cfRule>
    <cfRule type="containsText" dxfId="675" priority="513" operator="containsText" text="Caida">
      <formula>NOT(ISERROR(SEARCH("Caida",M7)))</formula>
    </cfRule>
  </conditionalFormatting>
  <conditionalFormatting sqref="M252">
    <cfRule type="cellIs" dxfId="674" priority="510" operator="lessThan">
      <formula>0.8</formula>
    </cfRule>
    <cfRule type="cellIs" dxfId="673" priority="511" operator="greaterThan">
      <formula>0.8</formula>
    </cfRule>
  </conditionalFormatting>
  <conditionalFormatting sqref="M252">
    <cfRule type="notContainsText" dxfId="672" priority="508" operator="notContains" text="Caida">
      <formula>ISERROR(SEARCH("Caida",M252))</formula>
    </cfRule>
    <cfRule type="containsText" dxfId="671" priority="509" operator="containsText" text="Caida">
      <formula>NOT(ISERROR(SEARCH("Caida",M252)))</formula>
    </cfRule>
  </conditionalFormatting>
  <conditionalFormatting sqref="M253:M257">
    <cfRule type="cellIs" dxfId="670" priority="506" operator="lessThan">
      <formula>0.8</formula>
    </cfRule>
    <cfRule type="cellIs" dxfId="669" priority="507" operator="greaterThan">
      <formula>0.8</formula>
    </cfRule>
  </conditionalFormatting>
  <conditionalFormatting sqref="M253:M257">
    <cfRule type="notContainsText" dxfId="668" priority="504" operator="notContains" text="Caida">
      <formula>ISERROR(SEARCH("Caida",M253))</formula>
    </cfRule>
    <cfRule type="containsText" dxfId="667" priority="505" operator="containsText" text="Caida">
      <formula>NOT(ISERROR(SEARCH("Caida",M253)))</formula>
    </cfRule>
  </conditionalFormatting>
  <conditionalFormatting sqref="M258">
    <cfRule type="cellIs" dxfId="666" priority="502" operator="lessThan">
      <formula>0.8</formula>
    </cfRule>
    <cfRule type="cellIs" dxfId="665" priority="503" operator="greaterThan">
      <formula>0.8</formula>
    </cfRule>
  </conditionalFormatting>
  <conditionalFormatting sqref="M258">
    <cfRule type="notContainsText" dxfId="664" priority="500" operator="notContains" text="Caida">
      <formula>ISERROR(SEARCH("Caida",M258))</formula>
    </cfRule>
    <cfRule type="containsText" dxfId="663" priority="501" operator="containsText" text="Caida">
      <formula>NOT(ISERROR(SEARCH("Caida",M258)))</formula>
    </cfRule>
  </conditionalFormatting>
  <conditionalFormatting sqref="M259">
    <cfRule type="cellIs" dxfId="662" priority="498" operator="lessThan">
      <formula>0.8</formula>
    </cfRule>
    <cfRule type="cellIs" dxfId="661" priority="499" operator="greaterThan">
      <formula>0.8</formula>
    </cfRule>
  </conditionalFormatting>
  <conditionalFormatting sqref="M259">
    <cfRule type="notContainsText" dxfId="660" priority="496" operator="notContains" text="Caida">
      <formula>ISERROR(SEARCH("Caida",M259))</formula>
    </cfRule>
    <cfRule type="containsText" dxfId="659" priority="497" operator="containsText" text="Caida">
      <formula>NOT(ISERROR(SEARCH("Caida",M259)))</formula>
    </cfRule>
  </conditionalFormatting>
  <conditionalFormatting sqref="M260">
    <cfRule type="cellIs" dxfId="658" priority="494" operator="lessThan">
      <formula>0.8</formula>
    </cfRule>
    <cfRule type="cellIs" dxfId="657" priority="495" operator="greaterThan">
      <formula>0.8</formula>
    </cfRule>
  </conditionalFormatting>
  <conditionalFormatting sqref="M260">
    <cfRule type="notContainsText" dxfId="656" priority="492" operator="notContains" text="Caida">
      <formula>ISERROR(SEARCH("Caida",M260))</formula>
    </cfRule>
    <cfRule type="containsText" dxfId="655" priority="493" operator="containsText" text="Caida">
      <formula>NOT(ISERROR(SEARCH("Caida",M260)))</formula>
    </cfRule>
  </conditionalFormatting>
  <conditionalFormatting sqref="M383">
    <cfRule type="cellIs" dxfId="654" priority="490" operator="lessThan">
      <formula>0.8</formula>
    </cfRule>
    <cfRule type="cellIs" dxfId="653" priority="491" operator="greaterThan">
      <formula>0.8</formula>
    </cfRule>
  </conditionalFormatting>
  <conditionalFormatting sqref="M383">
    <cfRule type="notContainsText" dxfId="652" priority="488" operator="notContains" text="Caida">
      <formula>ISERROR(SEARCH("Caida",M383))</formula>
    </cfRule>
    <cfRule type="containsText" dxfId="651" priority="489" operator="containsText" text="Caida">
      <formula>NOT(ISERROR(SEARCH("Caida",M383)))</formula>
    </cfRule>
  </conditionalFormatting>
  <conditionalFormatting sqref="N384:P384">
    <cfRule type="cellIs" dxfId="650" priority="445" operator="lessThan">
      <formula>0.8</formula>
    </cfRule>
    <cfRule type="cellIs" dxfId="649" priority="446" operator="greaterThan">
      <formula>0.8</formula>
    </cfRule>
  </conditionalFormatting>
  <conditionalFormatting sqref="N384:P384">
    <cfRule type="notContainsText" dxfId="648" priority="443" operator="notContains" text="Caida">
      <formula>ISERROR(SEARCH("Caida",N384))</formula>
    </cfRule>
    <cfRule type="containsText" dxfId="647" priority="444" operator="containsText" text="Caida">
      <formula>NOT(ISERROR(SEARCH("Caida",N384)))</formula>
    </cfRule>
  </conditionalFormatting>
  <conditionalFormatting sqref="N73:P73">
    <cfRule type="containsText" dxfId="646" priority="483" operator="containsText" text="Instaladas en Funcionamiento Caida">
      <formula>NOT(ISERROR(SEARCH("Instaladas en Funcionamiento Caida",N73)))</formula>
    </cfRule>
  </conditionalFormatting>
  <conditionalFormatting sqref="N312:P312">
    <cfRule type="cellIs" dxfId="645" priority="481" operator="lessThan">
      <formula>0.8</formula>
    </cfRule>
    <cfRule type="cellIs" dxfId="644" priority="482" operator="greaterThan">
      <formula>0.8</formula>
    </cfRule>
  </conditionalFormatting>
  <conditionalFormatting sqref="N312:P312">
    <cfRule type="notContainsText" dxfId="643" priority="479" operator="notContains" text="Caida">
      <formula>ISERROR(SEARCH("Caida",N312))</formula>
    </cfRule>
    <cfRule type="containsText" dxfId="642" priority="480" operator="containsText" text="Caida">
      <formula>NOT(ISERROR(SEARCH("Caida",N312)))</formula>
    </cfRule>
  </conditionalFormatting>
  <conditionalFormatting sqref="N313:P314">
    <cfRule type="cellIs" dxfId="641" priority="477" operator="lessThan">
      <formula>0.8</formula>
    </cfRule>
    <cfRule type="cellIs" dxfId="640" priority="478" operator="greaterThan">
      <formula>0.8</formula>
    </cfRule>
  </conditionalFormatting>
  <conditionalFormatting sqref="N313:P314">
    <cfRule type="notContainsText" dxfId="639" priority="475" operator="notContains" text="Caida">
      <formula>ISERROR(SEARCH("Caida",N313))</formula>
    </cfRule>
    <cfRule type="containsText" dxfId="638" priority="476" operator="containsText" text="Caida">
      <formula>NOT(ISERROR(SEARCH("Caida",N313)))</formula>
    </cfRule>
  </conditionalFormatting>
  <conditionalFormatting sqref="N7:P7">
    <cfRule type="cellIs" dxfId="637" priority="473" operator="lessThan">
      <formula>0.8</formula>
    </cfRule>
    <cfRule type="cellIs" dxfId="636" priority="474" operator="greaterThan">
      <formula>0.8</formula>
    </cfRule>
  </conditionalFormatting>
  <conditionalFormatting sqref="N7:P7">
    <cfRule type="notContainsText" dxfId="635" priority="471" operator="notContains" text="Caida">
      <formula>ISERROR(SEARCH("Caida",N7))</formula>
    </cfRule>
    <cfRule type="containsText" dxfId="634" priority="472" operator="containsText" text="Caida">
      <formula>NOT(ISERROR(SEARCH("Caida",N7)))</formula>
    </cfRule>
  </conditionalFormatting>
  <conditionalFormatting sqref="N252:P252">
    <cfRule type="cellIs" dxfId="633" priority="469" operator="lessThan">
      <formula>0.8</formula>
    </cfRule>
    <cfRule type="cellIs" dxfId="632" priority="470" operator="greaterThan">
      <formula>0.8</formula>
    </cfRule>
  </conditionalFormatting>
  <conditionalFormatting sqref="N252:P252">
    <cfRule type="notContainsText" dxfId="631" priority="467" operator="notContains" text="Caida">
      <formula>ISERROR(SEARCH("Caida",N252))</formula>
    </cfRule>
    <cfRule type="containsText" dxfId="630" priority="468" operator="containsText" text="Caida">
      <formula>NOT(ISERROR(SEARCH("Caida",N252)))</formula>
    </cfRule>
  </conditionalFormatting>
  <conditionalFormatting sqref="N253:P257">
    <cfRule type="cellIs" dxfId="629" priority="465" operator="lessThan">
      <formula>0.8</formula>
    </cfRule>
    <cfRule type="cellIs" dxfId="628" priority="466" operator="greaterThan">
      <formula>0.8</formula>
    </cfRule>
  </conditionalFormatting>
  <conditionalFormatting sqref="N253:P257">
    <cfRule type="notContainsText" dxfId="627" priority="463" operator="notContains" text="Caida">
      <formula>ISERROR(SEARCH("Caida",N253))</formula>
    </cfRule>
    <cfRule type="containsText" dxfId="626" priority="464" operator="containsText" text="Caida">
      <formula>NOT(ISERROR(SEARCH("Caida",N253)))</formula>
    </cfRule>
  </conditionalFormatting>
  <conditionalFormatting sqref="N258:P258">
    <cfRule type="cellIs" dxfId="625" priority="461" operator="lessThan">
      <formula>0.8</formula>
    </cfRule>
    <cfRule type="cellIs" dxfId="624" priority="462" operator="greaterThan">
      <formula>0.8</formula>
    </cfRule>
  </conditionalFormatting>
  <conditionalFormatting sqref="N258:P258">
    <cfRule type="notContainsText" dxfId="623" priority="459" operator="notContains" text="Caida">
      <formula>ISERROR(SEARCH("Caida",N258))</formula>
    </cfRule>
    <cfRule type="containsText" dxfId="622" priority="460" operator="containsText" text="Caida">
      <formula>NOT(ISERROR(SEARCH("Caida",N258)))</formula>
    </cfRule>
  </conditionalFormatting>
  <conditionalFormatting sqref="N259:P259">
    <cfRule type="cellIs" dxfId="621" priority="457" operator="lessThan">
      <formula>0.8</formula>
    </cfRule>
    <cfRule type="cellIs" dxfId="620" priority="458" operator="greaterThan">
      <formula>0.8</formula>
    </cfRule>
  </conditionalFormatting>
  <conditionalFormatting sqref="N259:P259">
    <cfRule type="notContainsText" dxfId="619" priority="455" operator="notContains" text="Caida">
      <formula>ISERROR(SEARCH("Caida",N259))</formula>
    </cfRule>
    <cfRule type="containsText" dxfId="618" priority="456" operator="containsText" text="Caida">
      <formula>NOT(ISERROR(SEARCH("Caida",N259)))</formula>
    </cfRule>
  </conditionalFormatting>
  <conditionalFormatting sqref="N260:P260">
    <cfRule type="cellIs" dxfId="617" priority="453" operator="lessThan">
      <formula>0.8</formula>
    </cfRule>
    <cfRule type="cellIs" dxfId="616" priority="454" operator="greaterThan">
      <formula>0.8</formula>
    </cfRule>
  </conditionalFormatting>
  <conditionalFormatting sqref="N260:P260">
    <cfRule type="notContainsText" dxfId="615" priority="451" operator="notContains" text="Caida">
      <formula>ISERROR(SEARCH("Caida",N260))</formula>
    </cfRule>
    <cfRule type="containsText" dxfId="614" priority="452" operator="containsText" text="Caida">
      <formula>NOT(ISERROR(SEARCH("Caida",N260)))</formula>
    </cfRule>
  </conditionalFormatting>
  <conditionalFormatting sqref="N383:P383">
    <cfRule type="cellIs" dxfId="613" priority="449" operator="lessThan">
      <formula>0.8</formula>
    </cfRule>
    <cfRule type="cellIs" dxfId="612" priority="450" operator="greaterThan">
      <formula>0.8</formula>
    </cfRule>
  </conditionalFormatting>
  <conditionalFormatting sqref="N383:P383">
    <cfRule type="notContainsText" dxfId="611" priority="447" operator="notContains" text="Caida">
      <formula>ISERROR(SEARCH("Caida",N383))</formula>
    </cfRule>
    <cfRule type="containsText" dxfId="610" priority="448" operator="containsText" text="Caida">
      <formula>NOT(ISERROR(SEARCH("Caida",N383)))</formula>
    </cfRule>
  </conditionalFormatting>
  <conditionalFormatting sqref="L106:L108">
    <cfRule type="cellIs" dxfId="609" priority="441" operator="lessThan">
      <formula>0.8</formula>
    </cfRule>
    <cfRule type="cellIs" dxfId="608" priority="442" operator="greaterThan">
      <formula>0.8</formula>
    </cfRule>
  </conditionalFormatting>
  <conditionalFormatting sqref="L106:L108">
    <cfRule type="notContainsText" dxfId="607" priority="439" operator="notContains" text="Caida">
      <formula>ISERROR(SEARCH("Caida",L106))</formula>
    </cfRule>
    <cfRule type="containsText" dxfId="606" priority="440" operator="containsText" text="Caida">
      <formula>NOT(ISERROR(SEARCH("Caida",L106)))</formula>
    </cfRule>
  </conditionalFormatting>
  <conditionalFormatting sqref="M106:M108">
    <cfRule type="cellIs" dxfId="605" priority="437" operator="lessThan">
      <formula>0.8</formula>
    </cfRule>
    <cfRule type="cellIs" dxfId="604" priority="438" operator="greaterThan">
      <formula>0.8</formula>
    </cfRule>
  </conditionalFormatting>
  <conditionalFormatting sqref="M106:M108">
    <cfRule type="notContainsText" dxfId="603" priority="435" operator="notContains" text="Caida">
      <formula>ISERROR(SEARCH("Caida",M106))</formula>
    </cfRule>
    <cfRule type="containsText" dxfId="602" priority="436" operator="containsText" text="Caida">
      <formula>NOT(ISERROR(SEARCH("Caida",M106)))</formula>
    </cfRule>
  </conditionalFormatting>
  <conditionalFormatting sqref="N106:N108">
    <cfRule type="cellIs" dxfId="601" priority="433" operator="lessThan">
      <formula>0.8</formula>
    </cfRule>
    <cfRule type="cellIs" dxfId="600" priority="434" operator="greaterThan">
      <formula>0.8</formula>
    </cfRule>
  </conditionalFormatting>
  <conditionalFormatting sqref="N106:N108">
    <cfRule type="notContainsText" dxfId="599" priority="431" operator="notContains" text="Caida">
      <formula>ISERROR(SEARCH("Caida",N106))</formula>
    </cfRule>
    <cfRule type="containsText" dxfId="598" priority="432" operator="containsText" text="Caida">
      <formula>NOT(ISERROR(SEARCH("Caida",N106)))</formula>
    </cfRule>
  </conditionalFormatting>
  <conditionalFormatting sqref="L406">
    <cfRule type="cellIs" dxfId="597" priority="429" operator="lessThan">
      <formula>0.8</formula>
    </cfRule>
    <cfRule type="cellIs" dxfId="596" priority="430" operator="greaterThan">
      <formula>0.8</formula>
    </cfRule>
  </conditionalFormatting>
  <conditionalFormatting sqref="L406">
    <cfRule type="notContainsText" dxfId="595" priority="427" operator="notContains" text="Caida">
      <formula>ISERROR(SEARCH("Caida",L406))</formula>
    </cfRule>
    <cfRule type="containsText" dxfId="594" priority="428" operator="containsText" text="Caida">
      <formula>NOT(ISERROR(SEARCH("Caida",L406)))</formula>
    </cfRule>
  </conditionalFormatting>
  <conditionalFormatting sqref="M406">
    <cfRule type="cellIs" dxfId="593" priority="425" operator="lessThan">
      <formula>0.8</formula>
    </cfRule>
    <cfRule type="cellIs" dxfId="592" priority="426" operator="greaterThan">
      <formula>0.8</formula>
    </cfRule>
  </conditionalFormatting>
  <conditionalFormatting sqref="M406">
    <cfRule type="notContainsText" dxfId="591" priority="423" operator="notContains" text="Caida">
      <formula>ISERROR(SEARCH("Caida",M406))</formula>
    </cfRule>
    <cfRule type="containsText" dxfId="590" priority="424" operator="containsText" text="Caida">
      <formula>NOT(ISERROR(SEARCH("Caida",M406)))</formula>
    </cfRule>
  </conditionalFormatting>
  <conditionalFormatting sqref="N406:P406">
    <cfRule type="cellIs" dxfId="589" priority="421" operator="lessThan">
      <formula>0.8</formula>
    </cfRule>
    <cfRule type="cellIs" dxfId="588" priority="422" operator="greaterThan">
      <formula>0.8</formula>
    </cfRule>
  </conditionalFormatting>
  <conditionalFormatting sqref="N406:P406">
    <cfRule type="notContainsText" dxfId="587" priority="419" operator="notContains" text="Caida">
      <formula>ISERROR(SEARCH("Caida",N406))</formula>
    </cfRule>
    <cfRule type="containsText" dxfId="586" priority="420" operator="containsText" text="Caida">
      <formula>NOT(ISERROR(SEARCH("Caida",N406)))</formula>
    </cfRule>
  </conditionalFormatting>
  <conditionalFormatting sqref="L407">
    <cfRule type="cellIs" dxfId="585" priority="417" operator="lessThan">
      <formula>0.8</formula>
    </cfRule>
    <cfRule type="cellIs" dxfId="584" priority="418" operator="greaterThan">
      <formula>0.8</formula>
    </cfRule>
  </conditionalFormatting>
  <conditionalFormatting sqref="L407">
    <cfRule type="notContainsText" dxfId="583" priority="415" operator="notContains" text="Caida">
      <formula>ISERROR(SEARCH("Caida",L407))</formula>
    </cfRule>
    <cfRule type="containsText" dxfId="582" priority="416" operator="containsText" text="Caida">
      <formula>NOT(ISERROR(SEARCH("Caida",L407)))</formula>
    </cfRule>
  </conditionalFormatting>
  <conditionalFormatting sqref="M407">
    <cfRule type="cellIs" dxfId="581" priority="413" operator="lessThan">
      <formula>0.8</formula>
    </cfRule>
    <cfRule type="cellIs" dxfId="580" priority="414" operator="greaterThan">
      <formula>0.8</formula>
    </cfRule>
  </conditionalFormatting>
  <conditionalFormatting sqref="M407">
    <cfRule type="notContainsText" dxfId="579" priority="411" operator="notContains" text="Caida">
      <formula>ISERROR(SEARCH("Caida",M407))</formula>
    </cfRule>
    <cfRule type="containsText" dxfId="578" priority="412" operator="containsText" text="Caida">
      <formula>NOT(ISERROR(SEARCH("Caida",M407)))</formula>
    </cfRule>
  </conditionalFormatting>
  <conditionalFormatting sqref="N407:P407">
    <cfRule type="cellIs" dxfId="577" priority="409" operator="lessThan">
      <formula>0.8</formula>
    </cfRule>
    <cfRule type="cellIs" dxfId="576" priority="410" operator="greaterThan">
      <formula>0.8</formula>
    </cfRule>
  </conditionalFormatting>
  <conditionalFormatting sqref="N407:P407">
    <cfRule type="notContainsText" dxfId="575" priority="407" operator="notContains" text="Caida">
      <formula>ISERROR(SEARCH("Caida",N407))</formula>
    </cfRule>
    <cfRule type="containsText" dxfId="574" priority="408" operator="containsText" text="Caida">
      <formula>NOT(ISERROR(SEARCH("Caida",N407)))</formula>
    </cfRule>
  </conditionalFormatting>
  <conditionalFormatting sqref="L408">
    <cfRule type="cellIs" dxfId="573" priority="405" operator="lessThan">
      <formula>0.8</formula>
    </cfRule>
    <cfRule type="cellIs" dxfId="572" priority="406" operator="greaterThan">
      <formula>0.8</formula>
    </cfRule>
  </conditionalFormatting>
  <conditionalFormatting sqref="L408">
    <cfRule type="notContainsText" dxfId="571" priority="403" operator="notContains" text="Caida">
      <formula>ISERROR(SEARCH("Caida",L408))</formula>
    </cfRule>
    <cfRule type="containsText" dxfId="570" priority="404" operator="containsText" text="Caida">
      <formula>NOT(ISERROR(SEARCH("Caida",L408)))</formula>
    </cfRule>
  </conditionalFormatting>
  <conditionalFormatting sqref="M408">
    <cfRule type="cellIs" dxfId="569" priority="401" operator="lessThan">
      <formula>0.8</formula>
    </cfRule>
    <cfRule type="cellIs" dxfId="568" priority="402" operator="greaterThan">
      <formula>0.8</formula>
    </cfRule>
  </conditionalFormatting>
  <conditionalFormatting sqref="M408">
    <cfRule type="notContainsText" dxfId="567" priority="399" operator="notContains" text="Caida">
      <formula>ISERROR(SEARCH("Caida",M408))</formula>
    </cfRule>
    <cfRule type="containsText" dxfId="566" priority="400" operator="containsText" text="Caida">
      <formula>NOT(ISERROR(SEARCH("Caida",M408)))</formula>
    </cfRule>
  </conditionalFormatting>
  <conditionalFormatting sqref="N408:P408">
    <cfRule type="cellIs" dxfId="565" priority="397" operator="lessThan">
      <formula>0.8</formula>
    </cfRule>
    <cfRule type="cellIs" dxfId="564" priority="398" operator="greaterThan">
      <formula>0.8</formula>
    </cfRule>
  </conditionalFormatting>
  <conditionalFormatting sqref="N408:P408">
    <cfRule type="notContainsText" dxfId="563" priority="395" operator="notContains" text="Caida">
      <formula>ISERROR(SEARCH("Caida",N408))</formula>
    </cfRule>
    <cfRule type="containsText" dxfId="562" priority="396" operator="containsText" text="Caida">
      <formula>NOT(ISERROR(SEARCH("Caida",N408)))</formula>
    </cfRule>
  </conditionalFormatting>
  <conditionalFormatting sqref="Q252">
    <cfRule type="cellIs" dxfId="561" priority="368" operator="lessThan">
      <formula>0.8</formula>
    </cfRule>
    <cfRule type="cellIs" dxfId="560" priority="369" operator="greaterThan">
      <formula>0.8</formula>
    </cfRule>
  </conditionalFormatting>
  <conditionalFormatting sqref="Q252">
    <cfRule type="notContainsText" dxfId="559" priority="366" operator="notContains" text="Caida">
      <formula>ISERROR(SEARCH("Caida",Q252))</formula>
    </cfRule>
    <cfRule type="containsText" dxfId="558" priority="367" operator="containsText" text="Caida">
      <formula>NOT(ISERROR(SEARCH("Caida",Q252)))</formula>
    </cfRule>
  </conditionalFormatting>
  <conditionalFormatting sqref="Q253:Q257">
    <cfRule type="cellIs" dxfId="557" priority="364" operator="lessThan">
      <formula>0.8</formula>
    </cfRule>
    <cfRule type="cellIs" dxfId="556" priority="365" operator="greaterThan">
      <formula>0.8</formula>
    </cfRule>
  </conditionalFormatting>
  <conditionalFormatting sqref="Q253:Q257">
    <cfRule type="notContainsText" dxfId="555" priority="362" operator="notContains" text="Caida">
      <formula>ISERROR(SEARCH("Caida",Q253))</formula>
    </cfRule>
    <cfRule type="containsText" dxfId="554" priority="363" operator="containsText" text="Caida">
      <formula>NOT(ISERROR(SEARCH("Caida",Q253)))</formula>
    </cfRule>
  </conditionalFormatting>
  <conditionalFormatting sqref="L409:L411">
    <cfRule type="cellIs" dxfId="553" priority="393" operator="lessThan">
      <formula>0.8</formula>
    </cfRule>
    <cfRule type="cellIs" dxfId="552" priority="394" operator="greaterThan">
      <formula>0.8</formula>
    </cfRule>
  </conditionalFormatting>
  <conditionalFormatting sqref="L409:L411">
    <cfRule type="notContainsText" dxfId="551" priority="391" operator="notContains" text="Caida">
      <formula>ISERROR(SEARCH("Caida",L409))</formula>
    </cfRule>
    <cfRule type="containsText" dxfId="550" priority="392" operator="containsText" text="Caida">
      <formula>NOT(ISERROR(SEARCH("Caida",L409)))</formula>
    </cfRule>
  </conditionalFormatting>
  <conditionalFormatting sqref="M409:M411">
    <cfRule type="cellIs" dxfId="549" priority="389" operator="lessThan">
      <formula>0.8</formula>
    </cfRule>
    <cfRule type="cellIs" dxfId="548" priority="390" operator="greaterThan">
      <formula>0.8</formula>
    </cfRule>
  </conditionalFormatting>
  <conditionalFormatting sqref="M409:M411">
    <cfRule type="notContainsText" dxfId="547" priority="387" operator="notContains" text="Caida">
      <formula>ISERROR(SEARCH("Caida",M409))</formula>
    </cfRule>
    <cfRule type="containsText" dxfId="546" priority="388" operator="containsText" text="Caida">
      <formula>NOT(ISERROR(SEARCH("Caida",M409)))</formula>
    </cfRule>
  </conditionalFormatting>
  <conditionalFormatting sqref="N409:P409">
    <cfRule type="cellIs" dxfId="545" priority="385" operator="lessThan">
      <formula>0.8</formula>
    </cfRule>
    <cfRule type="cellIs" dxfId="544" priority="386" operator="greaterThan">
      <formula>0.8</formula>
    </cfRule>
  </conditionalFormatting>
  <conditionalFormatting sqref="N409:P409">
    <cfRule type="notContainsText" dxfId="543" priority="383" operator="notContains" text="Caida">
      <formula>ISERROR(SEARCH("Caida",N409))</formula>
    </cfRule>
    <cfRule type="containsText" dxfId="542" priority="384" operator="containsText" text="Caida">
      <formula>NOT(ISERROR(SEARCH("Caida",N409)))</formula>
    </cfRule>
  </conditionalFormatting>
  <conditionalFormatting sqref="Q407">
    <cfRule type="cellIs" dxfId="541" priority="332" operator="lessThan">
      <formula>0.8</formula>
    </cfRule>
    <cfRule type="cellIs" dxfId="540" priority="333" operator="greaterThan">
      <formula>0.8</formula>
    </cfRule>
  </conditionalFormatting>
  <conditionalFormatting sqref="Q407">
    <cfRule type="notContainsText" dxfId="539" priority="330" operator="notContains" text="Caida">
      <formula>ISERROR(SEARCH("Caida",Q407))</formula>
    </cfRule>
    <cfRule type="containsText" dxfId="538" priority="331" operator="containsText" text="Caida">
      <formula>NOT(ISERROR(SEARCH("Caida",Q407)))</formula>
    </cfRule>
  </conditionalFormatting>
  <conditionalFormatting sqref="Q408">
    <cfRule type="cellIs" dxfId="537" priority="328" operator="lessThan">
      <formula>0.8</formula>
    </cfRule>
    <cfRule type="cellIs" dxfId="536" priority="329" operator="greaterThan">
      <formula>0.8</formula>
    </cfRule>
  </conditionalFormatting>
  <conditionalFormatting sqref="Q408">
    <cfRule type="notContainsText" dxfId="535" priority="326" operator="notContains" text="Caida">
      <formula>ISERROR(SEARCH("Caida",Q408))</formula>
    </cfRule>
    <cfRule type="containsText" dxfId="534" priority="327" operator="containsText" text="Caida">
      <formula>NOT(ISERROR(SEARCH("Caida",Q408)))</formula>
    </cfRule>
  </conditionalFormatting>
  <conditionalFormatting sqref="Q409:Q411">
    <cfRule type="cellIs" dxfId="533" priority="324" operator="lessThan">
      <formula>0.8</formula>
    </cfRule>
    <cfRule type="cellIs" dxfId="532" priority="325" operator="greaterThan">
      <formula>0.8</formula>
    </cfRule>
  </conditionalFormatting>
  <conditionalFormatting sqref="Q409:Q411">
    <cfRule type="notContainsText" dxfId="531" priority="322" operator="notContains" text="Caida">
      <formula>ISERROR(SEARCH("Caida",Q409))</formula>
    </cfRule>
    <cfRule type="containsText" dxfId="530" priority="323" operator="containsText" text="Caida">
      <formula>NOT(ISERROR(SEARCH("Caida",Q409)))</formula>
    </cfRule>
  </conditionalFormatting>
  <conditionalFormatting sqref="Q384">
    <cfRule type="cellIs" dxfId="529" priority="344" operator="lessThan">
      <formula>0.8</formula>
    </cfRule>
    <cfRule type="cellIs" dxfId="528" priority="345" operator="greaterThan">
      <formula>0.8</formula>
    </cfRule>
  </conditionalFormatting>
  <conditionalFormatting sqref="Q384">
    <cfRule type="notContainsText" dxfId="527" priority="342" operator="notContains" text="Caida">
      <formula>ISERROR(SEARCH("Caida",Q384))</formula>
    </cfRule>
    <cfRule type="containsText" dxfId="526" priority="343" operator="containsText" text="Caida">
      <formula>NOT(ISERROR(SEARCH("Caida",Q384)))</formula>
    </cfRule>
  </conditionalFormatting>
  <conditionalFormatting sqref="Q73">
    <cfRule type="containsText" dxfId="525" priority="382" operator="containsText" text="Instaladas en Funcionamiento Caida">
      <formula>NOT(ISERROR(SEARCH("Instaladas en Funcionamiento Caida",Q73)))</formula>
    </cfRule>
  </conditionalFormatting>
  <conditionalFormatting sqref="Q312">
    <cfRule type="cellIs" dxfId="524" priority="380" operator="lessThan">
      <formula>0.8</formula>
    </cfRule>
    <cfRule type="cellIs" dxfId="523" priority="381" operator="greaterThan">
      <formula>0.8</formula>
    </cfRule>
  </conditionalFormatting>
  <conditionalFormatting sqref="Q312">
    <cfRule type="notContainsText" dxfId="522" priority="378" operator="notContains" text="Caida">
      <formula>ISERROR(SEARCH("Caida",Q312))</formula>
    </cfRule>
    <cfRule type="containsText" dxfId="521" priority="379" operator="containsText" text="Caida">
      <formula>NOT(ISERROR(SEARCH("Caida",Q312)))</formula>
    </cfRule>
  </conditionalFormatting>
  <conditionalFormatting sqref="Q313:Q314">
    <cfRule type="cellIs" dxfId="520" priority="376" operator="lessThan">
      <formula>0.8</formula>
    </cfRule>
    <cfRule type="cellIs" dxfId="519" priority="377" operator="greaterThan">
      <formula>0.8</formula>
    </cfRule>
  </conditionalFormatting>
  <conditionalFormatting sqref="Q313:Q314">
    <cfRule type="notContainsText" dxfId="518" priority="374" operator="notContains" text="Caida">
      <formula>ISERROR(SEARCH("Caida",Q313))</formula>
    </cfRule>
    <cfRule type="containsText" dxfId="517" priority="375" operator="containsText" text="Caida">
      <formula>NOT(ISERROR(SEARCH("Caida",Q313)))</formula>
    </cfRule>
  </conditionalFormatting>
  <conditionalFormatting sqref="Q7">
    <cfRule type="cellIs" dxfId="516" priority="372" operator="lessThan">
      <formula>0.8</formula>
    </cfRule>
    <cfRule type="cellIs" dxfId="515" priority="373" operator="greaterThan">
      <formula>0.8</formula>
    </cfRule>
  </conditionalFormatting>
  <conditionalFormatting sqref="Q7">
    <cfRule type="notContainsText" dxfId="514" priority="370" operator="notContains" text="Caida">
      <formula>ISERROR(SEARCH("Caida",Q7))</formula>
    </cfRule>
    <cfRule type="containsText" dxfId="513" priority="371" operator="containsText" text="Caida">
      <formula>NOT(ISERROR(SEARCH("Caida",Q7)))</formula>
    </cfRule>
  </conditionalFormatting>
  <conditionalFormatting sqref="Q258">
    <cfRule type="cellIs" dxfId="512" priority="360" operator="lessThan">
      <formula>0.8</formula>
    </cfRule>
    <cfRule type="cellIs" dxfId="511" priority="361" operator="greaterThan">
      <formula>0.8</formula>
    </cfRule>
  </conditionalFormatting>
  <conditionalFormatting sqref="Q258">
    <cfRule type="notContainsText" dxfId="510" priority="358" operator="notContains" text="Caida">
      <formula>ISERROR(SEARCH("Caida",Q258))</formula>
    </cfRule>
    <cfRule type="containsText" dxfId="509" priority="359" operator="containsText" text="Caida">
      <formula>NOT(ISERROR(SEARCH("Caida",Q258)))</formula>
    </cfRule>
  </conditionalFormatting>
  <conditionalFormatting sqref="Q259">
    <cfRule type="cellIs" dxfId="508" priority="356" operator="lessThan">
      <formula>0.8</formula>
    </cfRule>
    <cfRule type="cellIs" dxfId="507" priority="357" operator="greaterThan">
      <formula>0.8</formula>
    </cfRule>
  </conditionalFormatting>
  <conditionalFormatting sqref="Q259">
    <cfRule type="notContainsText" dxfId="506" priority="354" operator="notContains" text="Caida">
      <formula>ISERROR(SEARCH("Caida",Q259))</formula>
    </cfRule>
    <cfRule type="containsText" dxfId="505" priority="355" operator="containsText" text="Caida">
      <formula>NOT(ISERROR(SEARCH("Caida",Q259)))</formula>
    </cfRule>
  </conditionalFormatting>
  <conditionalFormatting sqref="Q260">
    <cfRule type="cellIs" dxfId="504" priority="352" operator="lessThan">
      <formula>0.8</formula>
    </cfRule>
    <cfRule type="cellIs" dxfId="503" priority="353" operator="greaterThan">
      <formula>0.8</formula>
    </cfRule>
  </conditionalFormatting>
  <conditionalFormatting sqref="Q260">
    <cfRule type="notContainsText" dxfId="502" priority="350" operator="notContains" text="Caida">
      <formula>ISERROR(SEARCH("Caida",Q260))</formula>
    </cfRule>
    <cfRule type="containsText" dxfId="501" priority="351" operator="containsText" text="Caida">
      <formula>NOT(ISERROR(SEARCH("Caida",Q260)))</formula>
    </cfRule>
  </conditionalFormatting>
  <conditionalFormatting sqref="Q383">
    <cfRule type="cellIs" dxfId="500" priority="348" operator="lessThan">
      <formula>0.8</formula>
    </cfRule>
    <cfRule type="cellIs" dxfId="499" priority="349" operator="greaterThan">
      <formula>0.8</formula>
    </cfRule>
  </conditionalFormatting>
  <conditionalFormatting sqref="Q383">
    <cfRule type="notContainsText" dxfId="498" priority="346" operator="notContains" text="Caida">
      <formula>ISERROR(SEARCH("Caida",Q383))</formula>
    </cfRule>
    <cfRule type="containsText" dxfId="497" priority="347" operator="containsText" text="Caida">
      <formula>NOT(ISERROR(SEARCH("Caida",Q383)))</formula>
    </cfRule>
  </conditionalFormatting>
  <conditionalFormatting sqref="Q106:Q108">
    <cfRule type="cellIs" dxfId="496" priority="340" operator="lessThan">
      <formula>0.8</formula>
    </cfRule>
    <cfRule type="cellIs" dxfId="495" priority="341" operator="greaterThan">
      <formula>0.8</formula>
    </cfRule>
  </conditionalFormatting>
  <conditionalFormatting sqref="Q106:Q108">
    <cfRule type="notContainsText" dxfId="494" priority="338" operator="notContains" text="Caida">
      <formula>ISERROR(SEARCH("Caida",Q106))</formula>
    </cfRule>
    <cfRule type="containsText" dxfId="493" priority="339" operator="containsText" text="Caida">
      <formula>NOT(ISERROR(SEARCH("Caida",Q106)))</formula>
    </cfRule>
  </conditionalFormatting>
  <conditionalFormatting sqref="Q406">
    <cfRule type="cellIs" dxfId="492" priority="336" operator="lessThan">
      <formula>0.8</formula>
    </cfRule>
    <cfRule type="cellIs" dxfId="491" priority="337" operator="greaterThan">
      <formula>0.8</formula>
    </cfRule>
  </conditionalFormatting>
  <conditionalFormatting sqref="Q406">
    <cfRule type="notContainsText" dxfId="490" priority="334" operator="notContains" text="Caida">
      <formula>ISERROR(SEARCH("Caida",Q406))</formula>
    </cfRule>
    <cfRule type="containsText" dxfId="489" priority="335" operator="containsText" text="Caida">
      <formula>NOT(ISERROR(SEARCH("Caida",Q406)))</formula>
    </cfRule>
  </conditionalFormatting>
  <conditionalFormatting sqref="R73:T73 W73:AD73 AF73">
    <cfRule type="containsText" dxfId="488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87" priority="319" operator="lessThan">
      <formula>0.8</formula>
    </cfRule>
    <cfRule type="cellIs" dxfId="486" priority="320" operator="greaterThan">
      <formula>0.8</formula>
    </cfRule>
  </conditionalFormatting>
  <conditionalFormatting sqref="R7:T7 W7:AD7 AF7">
    <cfRule type="notContainsText" dxfId="485" priority="317" operator="notContains" text="Caida">
      <formula>ISERROR(SEARCH("Caida",R7))</formula>
    </cfRule>
    <cfRule type="containsText" dxfId="484" priority="318" operator="containsText" text="Caida">
      <formula>NOT(ISERROR(SEARCH("Caida",R7)))</formula>
    </cfRule>
  </conditionalFormatting>
  <conditionalFormatting sqref="R106:T108">
    <cfRule type="cellIs" dxfId="483" priority="315" operator="lessThan">
      <formula>0.8</formula>
    </cfRule>
    <cfRule type="cellIs" dxfId="482" priority="316" operator="greaterThan">
      <formula>0.8</formula>
    </cfRule>
  </conditionalFormatting>
  <conditionalFormatting sqref="R106:T108">
    <cfRule type="notContainsText" dxfId="481" priority="313" operator="notContains" text="Caida">
      <formula>ISERROR(SEARCH("Caida",R106))</formula>
    </cfRule>
    <cfRule type="containsText" dxfId="480" priority="314" operator="containsText" text="Caida">
      <formula>NOT(ISERROR(SEARCH("Caida",R106)))</formula>
    </cfRule>
  </conditionalFormatting>
  <conditionalFormatting sqref="E429 E431:E1048576 E1:E411">
    <cfRule type="containsText" dxfId="479" priority="311" operator="containsText" text="fija">
      <formula>NOT(ISERROR(SEARCH("fija",E1)))</formula>
    </cfRule>
    <cfRule type="containsText" dxfId="478" priority="312" operator="containsText" text="domo">
      <formula>NOT(ISERROR(SEARCH("domo",E1)))</formula>
    </cfRule>
  </conditionalFormatting>
  <conditionalFormatting sqref="AG73:AO73">
    <cfRule type="containsText" dxfId="477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76" priority="308" operator="lessThan">
      <formula>0.8</formula>
    </cfRule>
    <cfRule type="cellIs" dxfId="475" priority="309" operator="greaterThan">
      <formula>0.8</formula>
    </cfRule>
  </conditionalFormatting>
  <conditionalFormatting sqref="AG7:AO7">
    <cfRule type="notContainsText" dxfId="474" priority="306" operator="notContains" text="Caida">
      <formula>ISERROR(SEARCH("Caida",AG7))</formula>
    </cfRule>
    <cfRule type="containsText" dxfId="473" priority="307" operator="containsText" text="Caida">
      <formula>NOT(ISERROR(SEARCH("Caida",AG7)))</formula>
    </cfRule>
  </conditionalFormatting>
  <conditionalFormatting sqref="AG106:AL107">
    <cfRule type="cellIs" dxfId="472" priority="304" operator="lessThan">
      <formula>0.8</formula>
    </cfRule>
    <cfRule type="cellIs" dxfId="471" priority="305" operator="greaterThan">
      <formula>0.8</formula>
    </cfRule>
  </conditionalFormatting>
  <conditionalFormatting sqref="AG106:AL107">
    <cfRule type="notContainsText" dxfId="470" priority="302" operator="notContains" text="Caida">
      <formula>ISERROR(SEARCH("Caida",AG106))</formula>
    </cfRule>
    <cfRule type="containsText" dxfId="469" priority="303" operator="containsText" text="Caida">
      <formula>NOT(ISERROR(SEARCH("Caida",AG106)))</formula>
    </cfRule>
  </conditionalFormatting>
  <conditionalFormatting sqref="AG440:AO1048576 K5:AO439">
    <cfRule type="cellIs" dxfId="468" priority="301" operator="equal">
      <formula>"APAGADO"</formula>
    </cfRule>
  </conditionalFormatting>
  <conditionalFormatting sqref="O106:O108">
    <cfRule type="cellIs" dxfId="467" priority="299" operator="lessThan">
      <formula>0.8</formula>
    </cfRule>
    <cfRule type="cellIs" dxfId="466" priority="300" operator="greaterThan">
      <formula>0.8</formula>
    </cfRule>
  </conditionalFormatting>
  <conditionalFormatting sqref="O106:O108">
    <cfRule type="notContainsText" dxfId="465" priority="297" operator="notContains" text="Caida">
      <formula>ISERROR(SEARCH("Caida",O106))</formula>
    </cfRule>
    <cfRule type="containsText" dxfId="464" priority="298" operator="containsText" text="Caida">
      <formula>NOT(ISERROR(SEARCH("Caida",O106)))</formula>
    </cfRule>
  </conditionalFormatting>
  <conditionalFormatting sqref="P106:P108">
    <cfRule type="cellIs" dxfId="463" priority="295" operator="lessThan">
      <formula>0.8</formula>
    </cfRule>
    <cfRule type="cellIs" dxfId="462" priority="296" operator="greaterThan">
      <formula>0.8</formula>
    </cfRule>
  </conditionalFormatting>
  <conditionalFormatting sqref="P106:P108">
    <cfRule type="notContainsText" dxfId="461" priority="293" operator="notContains" text="Caida">
      <formula>ISERROR(SEARCH("Caida",P106))</formula>
    </cfRule>
    <cfRule type="containsText" dxfId="460" priority="294" operator="containsText" text="Caida">
      <formula>NOT(ISERROR(SEARCH("Caida",P106)))</formula>
    </cfRule>
  </conditionalFormatting>
  <conditionalFormatting sqref="F429 F431:F1048576 F1:F411">
    <cfRule type="cellIs" dxfId="459" priority="292" operator="equal">
      <formula>"PTP A FO"</formula>
    </cfRule>
  </conditionalFormatting>
  <conditionalFormatting sqref="N410:P411">
    <cfRule type="cellIs" dxfId="458" priority="290" operator="lessThan">
      <formula>0.8</formula>
    </cfRule>
    <cfRule type="cellIs" dxfId="457" priority="291" operator="greaterThan">
      <formula>0.8</formula>
    </cfRule>
  </conditionalFormatting>
  <conditionalFormatting sqref="N410:P411">
    <cfRule type="notContainsText" dxfId="456" priority="288" operator="notContains" text="Caida">
      <formula>ISERROR(SEARCH("Caida",N410))</formula>
    </cfRule>
    <cfRule type="containsText" dxfId="455" priority="289" operator="containsText" text="Caida">
      <formula>NOT(ISERROR(SEARCH("Caida",N410)))</formula>
    </cfRule>
  </conditionalFormatting>
  <conditionalFormatting sqref="K73">
    <cfRule type="containsText" dxfId="454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53" priority="285" operator="lessThan">
      <formula>0.8</formula>
    </cfRule>
    <cfRule type="cellIs" dxfId="452" priority="286" operator="greaterThan">
      <formula>0.8</formula>
    </cfRule>
  </conditionalFormatting>
  <conditionalFormatting sqref="K7">
    <cfRule type="notContainsText" dxfId="451" priority="283" operator="notContains" text="Caida">
      <formula>ISERROR(SEARCH("Caida",K7))</formula>
    </cfRule>
    <cfRule type="containsText" dxfId="450" priority="284" operator="containsText" text="Caida">
      <formula>NOT(ISERROR(SEARCH("Caida",K7)))</formula>
    </cfRule>
  </conditionalFormatting>
  <conditionalFormatting sqref="K106:K107">
    <cfRule type="cellIs" dxfId="449" priority="281" operator="lessThan">
      <formula>0.8</formula>
    </cfRule>
    <cfRule type="cellIs" dxfId="448" priority="282" operator="greaterThan">
      <formula>0.8</formula>
    </cfRule>
  </conditionalFormatting>
  <conditionalFormatting sqref="K106:K107">
    <cfRule type="notContainsText" dxfId="447" priority="279" operator="notContains" text="Caida">
      <formula>ISERROR(SEARCH("Caida",K106))</formula>
    </cfRule>
    <cfRule type="containsText" dxfId="446" priority="280" operator="containsText" text="Caida">
      <formula>NOT(ISERROR(SEARCH("Caida",K106)))</formula>
    </cfRule>
  </conditionalFormatting>
  <conditionalFormatting sqref="AN106:AN107">
    <cfRule type="cellIs" dxfId="445" priority="277" operator="lessThan">
      <formula>0.8</formula>
    </cfRule>
    <cfRule type="cellIs" dxfId="444" priority="278" operator="greaterThan">
      <formula>0.8</formula>
    </cfRule>
  </conditionalFormatting>
  <conditionalFormatting sqref="AN106:AN107">
    <cfRule type="notContainsText" dxfId="443" priority="275" operator="notContains" text="Caida">
      <formula>ISERROR(SEARCH("Caida",AN106))</formula>
    </cfRule>
    <cfRule type="containsText" dxfId="442" priority="276" operator="containsText" text="Caida">
      <formula>NOT(ISERROR(SEARCH("Caida",AN106)))</formula>
    </cfRule>
  </conditionalFormatting>
  <conditionalFormatting sqref="W106:AB108">
    <cfRule type="cellIs" dxfId="441" priority="273" operator="lessThan">
      <formula>0.8</formula>
    </cfRule>
    <cfRule type="cellIs" dxfId="440" priority="274" operator="greaterThan">
      <formula>0.8</formula>
    </cfRule>
  </conditionalFormatting>
  <conditionalFormatting sqref="W106:AB108">
    <cfRule type="notContainsText" dxfId="439" priority="271" operator="notContains" text="Caida">
      <formula>ISERROR(SEARCH("Caida",W106))</formula>
    </cfRule>
    <cfRule type="containsText" dxfId="438" priority="272" operator="containsText" text="Caida">
      <formula>NOT(ISERROR(SEARCH("Caida",W106)))</formula>
    </cfRule>
  </conditionalFormatting>
  <conditionalFormatting sqref="AB3 AM5:AM1048576 U5:AF1048576">
    <cfRule type="cellIs" dxfId="437" priority="270" operator="equal">
      <formula>"apagado"</formula>
    </cfRule>
  </conditionalFormatting>
  <conditionalFormatting sqref="AA3">
    <cfRule type="cellIs" dxfId="436" priority="269" operator="equal">
      <formula>"apagado"</formula>
    </cfRule>
  </conditionalFormatting>
  <conditionalFormatting sqref="Z3">
    <cfRule type="cellIs" dxfId="435" priority="268" operator="equal">
      <formula>"apagado"</formula>
    </cfRule>
  </conditionalFormatting>
  <conditionalFormatting sqref="Y3">
    <cfRule type="cellIs" dxfId="434" priority="267" operator="equal">
      <formula>"apagado"</formula>
    </cfRule>
  </conditionalFormatting>
  <conditionalFormatting sqref="X3">
    <cfRule type="cellIs" dxfId="433" priority="266" operator="equal">
      <formula>"apagado"</formula>
    </cfRule>
  </conditionalFormatting>
  <conditionalFormatting sqref="W3">
    <cfRule type="cellIs" dxfId="432" priority="265" operator="equal">
      <formula>"apagado"</formula>
    </cfRule>
  </conditionalFormatting>
  <conditionalFormatting sqref="V3">
    <cfRule type="cellIs" dxfId="431" priority="264" operator="equal">
      <formula>"apagado"</formula>
    </cfRule>
  </conditionalFormatting>
  <conditionalFormatting sqref="U3">
    <cfRule type="cellIs" dxfId="430" priority="263" operator="equal">
      <formula>"apagado"</formula>
    </cfRule>
  </conditionalFormatting>
  <conditionalFormatting sqref="AC106:AC108">
    <cfRule type="cellIs" dxfId="429" priority="261" operator="lessThan">
      <formula>0.8</formula>
    </cfRule>
    <cfRule type="cellIs" dxfId="428" priority="262" operator="greaterThan">
      <formula>0.8</formula>
    </cfRule>
  </conditionalFormatting>
  <conditionalFormatting sqref="AC106:AC108">
    <cfRule type="notContainsText" dxfId="427" priority="259" operator="notContains" text="Caida">
      <formula>ISERROR(SEARCH("Caida",AC106))</formula>
    </cfRule>
    <cfRule type="containsText" dxfId="426" priority="260" operator="containsText" text="Caida">
      <formula>NOT(ISERROR(SEARCH("Caida",AC106)))</formula>
    </cfRule>
  </conditionalFormatting>
  <conditionalFormatting sqref="AC3">
    <cfRule type="cellIs" dxfId="425" priority="258" operator="equal">
      <formula>"apagado"</formula>
    </cfRule>
  </conditionalFormatting>
  <conditionalFormatting sqref="AD106:AD108">
    <cfRule type="cellIs" dxfId="424" priority="256" operator="lessThan">
      <formula>0.8</formula>
    </cfRule>
    <cfRule type="cellIs" dxfId="423" priority="257" operator="greaterThan">
      <formula>0.8</formula>
    </cfRule>
  </conditionalFormatting>
  <conditionalFormatting sqref="AD106:AD108">
    <cfRule type="notContainsText" dxfId="422" priority="254" operator="notContains" text="Caida">
      <formula>ISERROR(SEARCH("Caida",AD106))</formula>
    </cfRule>
    <cfRule type="containsText" dxfId="421" priority="255" operator="containsText" text="Caida">
      <formula>NOT(ISERROR(SEARCH("Caida",AD106)))</formula>
    </cfRule>
  </conditionalFormatting>
  <conditionalFormatting sqref="AD3">
    <cfRule type="cellIs" dxfId="420" priority="253" operator="equal">
      <formula>"apagado"</formula>
    </cfRule>
  </conditionalFormatting>
  <conditionalFormatting sqref="AE3">
    <cfRule type="cellIs" dxfId="419" priority="252" operator="equal">
      <formula>"apagado"</formula>
    </cfRule>
  </conditionalFormatting>
  <conditionalFormatting sqref="AF106:AF108">
    <cfRule type="cellIs" dxfId="418" priority="250" operator="lessThan">
      <formula>0.8</formula>
    </cfRule>
    <cfRule type="cellIs" dxfId="417" priority="251" operator="greaterThan">
      <formula>0.8</formula>
    </cfRule>
  </conditionalFormatting>
  <conditionalFormatting sqref="AF106:AF108">
    <cfRule type="notContainsText" dxfId="416" priority="248" operator="notContains" text="Caida">
      <formula>ISERROR(SEARCH("Caida",AF106))</formula>
    </cfRule>
    <cfRule type="containsText" dxfId="415" priority="249" operator="containsText" text="Caida">
      <formula>NOT(ISERROR(SEARCH("Caida",AF106)))</formula>
    </cfRule>
  </conditionalFormatting>
  <conditionalFormatting sqref="AF3">
    <cfRule type="cellIs" dxfId="414" priority="247" operator="equal">
      <formula>"apagado"</formula>
    </cfRule>
  </conditionalFormatting>
  <conditionalFormatting sqref="AM106:AM107">
    <cfRule type="cellIs" dxfId="413" priority="245" operator="lessThan">
      <formula>0.8</formula>
    </cfRule>
    <cfRule type="cellIs" dxfId="412" priority="246" operator="greaterThan">
      <formula>0.8</formula>
    </cfRule>
  </conditionalFormatting>
  <conditionalFormatting sqref="AM106:AM107">
    <cfRule type="notContainsText" dxfId="411" priority="243" operator="notContains" text="Caida">
      <formula>ISERROR(SEARCH("Caida",AM106))</formula>
    </cfRule>
    <cfRule type="containsText" dxfId="410" priority="244" operator="containsText" text="Caida">
      <formula>NOT(ISERROR(SEARCH("Caida",AM106)))</formula>
    </cfRule>
  </conditionalFormatting>
  <conditionalFormatting sqref="AM14">
    <cfRule type="cellIs" dxfId="409" priority="238" operator="equal">
      <formula>"apagado"</formula>
    </cfRule>
    <cfRule type="cellIs" dxfId="408" priority="241" operator="lessThan">
      <formula>0.8</formula>
    </cfRule>
    <cfRule type="cellIs" dxfId="407" priority="242" operator="greaterThan">
      <formula>0.8</formula>
    </cfRule>
  </conditionalFormatting>
  <conditionalFormatting sqref="AM14">
    <cfRule type="notContainsText" dxfId="406" priority="239" operator="notContains" text="Caida">
      <formula>ISERROR(SEARCH("Caida",AM14))</formula>
    </cfRule>
    <cfRule type="containsText" dxfId="405" priority="240" operator="containsText" text="Caida">
      <formula>NOT(ISERROR(SEARCH("Caida",AM14)))</formula>
    </cfRule>
  </conditionalFormatting>
  <conditionalFormatting sqref="AM3">
    <cfRule type="cellIs" dxfId="404" priority="237" operator="equal">
      <formula>"apagado"</formula>
    </cfRule>
  </conditionalFormatting>
  <conditionalFormatting sqref="U73">
    <cfRule type="containsText" dxfId="403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402" priority="234" operator="lessThan">
      <formula>0.8</formula>
    </cfRule>
    <cfRule type="cellIs" dxfId="401" priority="235" operator="greaterThan">
      <formula>0.8</formula>
    </cfRule>
  </conditionalFormatting>
  <conditionalFormatting sqref="U7">
    <cfRule type="notContainsText" dxfId="400" priority="232" operator="notContains" text="Caida">
      <formula>ISERROR(SEARCH("Caida",U7))</formula>
    </cfRule>
    <cfRule type="containsText" dxfId="399" priority="233" operator="containsText" text="Caida">
      <formula>NOT(ISERROR(SEARCH("Caida",U7)))</formula>
    </cfRule>
  </conditionalFormatting>
  <conditionalFormatting sqref="U106:U108">
    <cfRule type="cellIs" dxfId="398" priority="230" operator="lessThan">
      <formula>0.8</formula>
    </cfRule>
    <cfRule type="cellIs" dxfId="397" priority="231" operator="greaterThan">
      <formula>0.8</formula>
    </cfRule>
  </conditionalFormatting>
  <conditionalFormatting sqref="U106:U108">
    <cfRule type="notContainsText" dxfId="396" priority="228" operator="notContains" text="Caida">
      <formula>ISERROR(SEARCH("Caida",U106))</formula>
    </cfRule>
    <cfRule type="containsText" dxfId="395" priority="229" operator="containsText" text="Caida">
      <formula>NOT(ISERROR(SEARCH("Caida",U106)))</formula>
    </cfRule>
  </conditionalFormatting>
  <conditionalFormatting sqref="V73">
    <cfRule type="containsText" dxfId="394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93" priority="225" operator="lessThan">
      <formula>0.8</formula>
    </cfRule>
    <cfRule type="cellIs" dxfId="392" priority="226" operator="greaterThan">
      <formula>0.8</formula>
    </cfRule>
  </conditionalFormatting>
  <conditionalFormatting sqref="V7">
    <cfRule type="notContainsText" dxfId="391" priority="223" operator="notContains" text="Caida">
      <formula>ISERROR(SEARCH("Caida",V7))</formula>
    </cfRule>
    <cfRule type="containsText" dxfId="390" priority="224" operator="containsText" text="Caida">
      <formula>NOT(ISERROR(SEARCH("Caida",V7)))</formula>
    </cfRule>
  </conditionalFormatting>
  <conditionalFormatting sqref="V106:V108">
    <cfRule type="cellIs" dxfId="389" priority="221" operator="lessThan">
      <formula>0.8</formula>
    </cfRule>
    <cfRule type="cellIs" dxfId="388" priority="222" operator="greaterThan">
      <formula>0.8</formula>
    </cfRule>
  </conditionalFormatting>
  <conditionalFormatting sqref="V106:V108">
    <cfRule type="notContainsText" dxfId="387" priority="219" operator="notContains" text="Caida">
      <formula>ISERROR(SEARCH("Caida",V106))</formula>
    </cfRule>
    <cfRule type="containsText" dxfId="386" priority="220" operator="containsText" text="Caida">
      <formula>NOT(ISERROR(SEARCH("Caida",V106)))</formula>
    </cfRule>
  </conditionalFormatting>
  <conditionalFormatting sqref="AD107">
    <cfRule type="cellIs" dxfId="385" priority="217" operator="lessThan">
      <formula>0.8</formula>
    </cfRule>
    <cfRule type="cellIs" dxfId="384" priority="218" operator="greaterThan">
      <formula>0.8</formula>
    </cfRule>
  </conditionalFormatting>
  <conditionalFormatting sqref="AD107">
    <cfRule type="notContainsText" dxfId="383" priority="215" operator="notContains" text="Caida">
      <formula>ISERROR(SEARCH("Caida",AD107))</formula>
    </cfRule>
    <cfRule type="containsText" dxfId="382" priority="216" operator="containsText" text="Caida">
      <formula>NOT(ISERROR(SEARCH("Caida",AD107)))</formula>
    </cfRule>
  </conditionalFormatting>
  <conditionalFormatting sqref="AD109">
    <cfRule type="cellIs" dxfId="381" priority="213" operator="lessThan">
      <formula>0.8</formula>
    </cfRule>
    <cfRule type="cellIs" dxfId="380" priority="214" operator="greaterThan">
      <formula>0.8</formula>
    </cfRule>
  </conditionalFormatting>
  <conditionalFormatting sqref="AD109">
    <cfRule type="notContainsText" dxfId="379" priority="211" operator="notContains" text="Caida">
      <formula>ISERROR(SEARCH("Caida",AD109))</formula>
    </cfRule>
    <cfRule type="containsText" dxfId="378" priority="212" operator="containsText" text="Caida">
      <formula>NOT(ISERROR(SEARCH("Caida",AD109)))</formula>
    </cfRule>
  </conditionalFormatting>
  <conditionalFormatting sqref="AD112:AD113">
    <cfRule type="cellIs" dxfId="377" priority="209" operator="lessThan">
      <formula>0.8</formula>
    </cfRule>
    <cfRule type="cellIs" dxfId="376" priority="210" operator="greaterThan">
      <formula>0.8</formula>
    </cfRule>
  </conditionalFormatting>
  <conditionalFormatting sqref="AD112:AD113">
    <cfRule type="notContainsText" dxfId="375" priority="207" operator="notContains" text="Caida">
      <formula>ISERROR(SEARCH("Caida",AD112))</formula>
    </cfRule>
    <cfRule type="containsText" dxfId="374" priority="208" operator="containsText" text="Caida">
      <formula>NOT(ISERROR(SEARCH("Caida",AD112)))</formula>
    </cfRule>
  </conditionalFormatting>
  <conditionalFormatting sqref="AD129">
    <cfRule type="cellIs" dxfId="373" priority="205" operator="lessThan">
      <formula>0.8</formula>
    </cfRule>
    <cfRule type="cellIs" dxfId="372" priority="206" operator="greaterThan">
      <formula>0.8</formula>
    </cfRule>
  </conditionalFormatting>
  <conditionalFormatting sqref="AD129">
    <cfRule type="notContainsText" dxfId="371" priority="203" operator="notContains" text="Caida">
      <formula>ISERROR(SEARCH("Caida",AD129))</formula>
    </cfRule>
    <cfRule type="containsText" dxfId="370" priority="204" operator="containsText" text="Caida">
      <formula>NOT(ISERROR(SEARCH("Caida",AD129)))</formula>
    </cfRule>
  </conditionalFormatting>
  <conditionalFormatting sqref="AD130:AD131">
    <cfRule type="cellIs" dxfId="369" priority="201" operator="lessThan">
      <formula>0.8</formula>
    </cfRule>
    <cfRule type="cellIs" dxfId="368" priority="202" operator="greaterThan">
      <formula>0.8</formula>
    </cfRule>
  </conditionalFormatting>
  <conditionalFormatting sqref="AD130:AD131">
    <cfRule type="notContainsText" dxfId="367" priority="199" operator="notContains" text="Caida">
      <formula>ISERROR(SEARCH("Caida",AD130))</formula>
    </cfRule>
    <cfRule type="containsText" dxfId="366" priority="200" operator="containsText" text="Caida">
      <formula>NOT(ISERROR(SEARCH("Caida",AD130)))</formula>
    </cfRule>
  </conditionalFormatting>
  <conditionalFormatting sqref="AD135:AD139">
    <cfRule type="cellIs" dxfId="365" priority="197" operator="lessThan">
      <formula>0.8</formula>
    </cfRule>
    <cfRule type="cellIs" dxfId="364" priority="198" operator="greaterThan">
      <formula>0.8</formula>
    </cfRule>
  </conditionalFormatting>
  <conditionalFormatting sqref="AD135:AD139">
    <cfRule type="notContainsText" dxfId="363" priority="195" operator="notContains" text="Caida">
      <formula>ISERROR(SEARCH("Caida",AD135))</formula>
    </cfRule>
    <cfRule type="containsText" dxfId="362" priority="196" operator="containsText" text="Caida">
      <formula>NOT(ISERROR(SEARCH("Caida",AD135)))</formula>
    </cfRule>
  </conditionalFormatting>
  <conditionalFormatting sqref="AD140">
    <cfRule type="cellIs" dxfId="361" priority="193" operator="lessThan">
      <formula>0.8</formula>
    </cfRule>
    <cfRule type="cellIs" dxfId="360" priority="194" operator="greaterThan">
      <formula>0.8</formula>
    </cfRule>
  </conditionalFormatting>
  <conditionalFormatting sqref="AD140">
    <cfRule type="notContainsText" dxfId="359" priority="191" operator="notContains" text="Caida">
      <formula>ISERROR(SEARCH("Caida",AD140))</formula>
    </cfRule>
    <cfRule type="containsText" dxfId="358" priority="192" operator="containsText" text="Caida">
      <formula>NOT(ISERROR(SEARCH("Caida",AD140)))</formula>
    </cfRule>
  </conditionalFormatting>
  <conditionalFormatting sqref="AD144">
    <cfRule type="cellIs" dxfId="357" priority="189" operator="lessThan">
      <formula>0.8</formula>
    </cfRule>
    <cfRule type="cellIs" dxfId="356" priority="190" operator="greaterThan">
      <formula>0.8</formula>
    </cfRule>
  </conditionalFormatting>
  <conditionalFormatting sqref="AD144">
    <cfRule type="notContainsText" dxfId="355" priority="187" operator="notContains" text="Caida">
      <formula>ISERROR(SEARCH("Caida",AD144))</formula>
    </cfRule>
    <cfRule type="containsText" dxfId="354" priority="188" operator="containsText" text="Caida">
      <formula>NOT(ISERROR(SEARCH("Caida",AD144)))</formula>
    </cfRule>
  </conditionalFormatting>
  <conditionalFormatting sqref="AD146">
    <cfRule type="cellIs" dxfId="353" priority="185" operator="lessThan">
      <formula>0.8</formula>
    </cfRule>
    <cfRule type="cellIs" dxfId="352" priority="186" operator="greaterThan">
      <formula>0.8</formula>
    </cfRule>
  </conditionalFormatting>
  <conditionalFormatting sqref="AD146">
    <cfRule type="notContainsText" dxfId="351" priority="183" operator="notContains" text="Caida">
      <formula>ISERROR(SEARCH("Caida",AD146))</formula>
    </cfRule>
    <cfRule type="containsText" dxfId="350" priority="184" operator="containsText" text="Caida">
      <formula>NOT(ISERROR(SEARCH("Caida",AD146)))</formula>
    </cfRule>
  </conditionalFormatting>
  <conditionalFormatting sqref="AD161">
    <cfRule type="cellIs" dxfId="349" priority="181" operator="lessThan">
      <formula>0.8</formula>
    </cfRule>
    <cfRule type="cellIs" dxfId="348" priority="182" operator="greaterThan">
      <formula>0.8</formula>
    </cfRule>
  </conditionalFormatting>
  <conditionalFormatting sqref="AD161">
    <cfRule type="notContainsText" dxfId="347" priority="179" operator="notContains" text="Caida">
      <formula>ISERROR(SEARCH("Caida",AD161))</formula>
    </cfRule>
    <cfRule type="containsText" dxfId="346" priority="180" operator="containsText" text="Caida">
      <formula>NOT(ISERROR(SEARCH("Caida",AD161)))</formula>
    </cfRule>
  </conditionalFormatting>
  <conditionalFormatting sqref="AD162:AD164">
    <cfRule type="cellIs" dxfId="345" priority="177" operator="lessThan">
      <formula>0.8</formula>
    </cfRule>
    <cfRule type="cellIs" dxfId="344" priority="178" operator="greaterThan">
      <formula>0.8</formula>
    </cfRule>
  </conditionalFormatting>
  <conditionalFormatting sqref="AD162:AD164">
    <cfRule type="notContainsText" dxfId="343" priority="175" operator="notContains" text="Caida">
      <formula>ISERROR(SEARCH("Caida",AD162))</formula>
    </cfRule>
    <cfRule type="containsText" dxfId="342" priority="176" operator="containsText" text="Caida">
      <formula>NOT(ISERROR(SEARCH("Caida",AD162)))</formula>
    </cfRule>
  </conditionalFormatting>
  <conditionalFormatting sqref="AD165">
    <cfRule type="cellIs" dxfId="341" priority="173" operator="lessThan">
      <formula>0.8</formula>
    </cfRule>
    <cfRule type="cellIs" dxfId="340" priority="174" operator="greaterThan">
      <formula>0.8</formula>
    </cfRule>
  </conditionalFormatting>
  <conditionalFormatting sqref="AD165">
    <cfRule type="notContainsText" dxfId="339" priority="171" operator="notContains" text="Caida">
      <formula>ISERROR(SEARCH("Caida",AD165))</formula>
    </cfRule>
    <cfRule type="containsText" dxfId="338" priority="172" operator="containsText" text="Caida">
      <formula>NOT(ISERROR(SEARCH("Caida",AD165)))</formula>
    </cfRule>
  </conditionalFormatting>
  <conditionalFormatting sqref="AD184">
    <cfRule type="cellIs" dxfId="337" priority="169" operator="lessThan">
      <formula>0.8</formula>
    </cfRule>
    <cfRule type="cellIs" dxfId="336" priority="170" operator="greaterThan">
      <formula>0.8</formula>
    </cfRule>
  </conditionalFormatting>
  <conditionalFormatting sqref="AD184">
    <cfRule type="notContainsText" dxfId="335" priority="167" operator="notContains" text="Caida">
      <formula>ISERROR(SEARCH("Caida",AD184))</formula>
    </cfRule>
    <cfRule type="containsText" dxfId="334" priority="168" operator="containsText" text="Caida">
      <formula>NOT(ISERROR(SEARCH("Caida",AD184)))</formula>
    </cfRule>
  </conditionalFormatting>
  <conditionalFormatting sqref="AD185">
    <cfRule type="cellIs" dxfId="333" priority="165" operator="lessThan">
      <formula>0.8</formula>
    </cfRule>
    <cfRule type="cellIs" dxfId="332" priority="166" operator="greaterThan">
      <formula>0.8</formula>
    </cfRule>
  </conditionalFormatting>
  <conditionalFormatting sqref="AD185">
    <cfRule type="notContainsText" dxfId="331" priority="163" operator="notContains" text="Caida">
      <formula>ISERROR(SEARCH("Caida",AD185))</formula>
    </cfRule>
    <cfRule type="containsText" dxfId="330" priority="164" operator="containsText" text="Caida">
      <formula>NOT(ISERROR(SEARCH("Caida",AD185)))</formula>
    </cfRule>
  </conditionalFormatting>
  <conditionalFormatting sqref="AD187">
    <cfRule type="cellIs" dxfId="329" priority="161" operator="lessThan">
      <formula>0.8</formula>
    </cfRule>
    <cfRule type="cellIs" dxfId="328" priority="162" operator="greaterThan">
      <formula>0.8</formula>
    </cfRule>
  </conditionalFormatting>
  <conditionalFormatting sqref="AD187">
    <cfRule type="notContainsText" dxfId="327" priority="159" operator="notContains" text="Caida">
      <formula>ISERROR(SEARCH("Caida",AD187))</formula>
    </cfRule>
    <cfRule type="containsText" dxfId="326" priority="160" operator="containsText" text="Caida">
      <formula>NOT(ISERROR(SEARCH("Caida",AD187)))</formula>
    </cfRule>
  </conditionalFormatting>
  <conditionalFormatting sqref="AD200">
    <cfRule type="cellIs" dxfId="325" priority="157" operator="lessThan">
      <formula>0.8</formula>
    </cfRule>
    <cfRule type="cellIs" dxfId="324" priority="158" operator="greaterThan">
      <formula>0.8</formula>
    </cfRule>
  </conditionalFormatting>
  <conditionalFormatting sqref="AD200">
    <cfRule type="notContainsText" dxfId="323" priority="155" operator="notContains" text="Caida">
      <formula>ISERROR(SEARCH("Caida",AD200))</formula>
    </cfRule>
    <cfRule type="containsText" dxfId="322" priority="156" operator="containsText" text="Caida">
      <formula>NOT(ISERROR(SEARCH("Caida",AD200)))</formula>
    </cfRule>
  </conditionalFormatting>
  <conditionalFormatting sqref="AD211">
    <cfRule type="cellIs" dxfId="321" priority="153" operator="lessThan">
      <formula>0.8</formula>
    </cfRule>
    <cfRule type="cellIs" dxfId="320" priority="154" operator="greaterThan">
      <formula>0.8</formula>
    </cfRule>
  </conditionalFormatting>
  <conditionalFormatting sqref="AD211">
    <cfRule type="notContainsText" dxfId="319" priority="151" operator="notContains" text="Caida">
      <formula>ISERROR(SEARCH("Caida",AD211))</formula>
    </cfRule>
    <cfRule type="containsText" dxfId="318" priority="152" operator="containsText" text="Caida">
      <formula>NOT(ISERROR(SEARCH("Caida",AD211)))</formula>
    </cfRule>
  </conditionalFormatting>
  <conditionalFormatting sqref="AD212:AD213">
    <cfRule type="cellIs" dxfId="317" priority="149" operator="lessThan">
      <formula>0.8</formula>
    </cfRule>
    <cfRule type="cellIs" dxfId="316" priority="150" operator="greaterThan">
      <formula>0.8</formula>
    </cfRule>
  </conditionalFormatting>
  <conditionalFormatting sqref="AD212:AD213">
    <cfRule type="notContainsText" dxfId="315" priority="147" operator="notContains" text="Caida">
      <formula>ISERROR(SEARCH("Caida",AD212))</formula>
    </cfRule>
    <cfRule type="containsText" dxfId="314" priority="148" operator="containsText" text="Caida">
      <formula>NOT(ISERROR(SEARCH("Caida",AD212)))</formula>
    </cfRule>
  </conditionalFormatting>
  <conditionalFormatting sqref="AD219">
    <cfRule type="cellIs" dxfId="313" priority="145" operator="lessThan">
      <formula>0.8</formula>
    </cfRule>
    <cfRule type="cellIs" dxfId="312" priority="146" operator="greaterThan">
      <formula>0.8</formula>
    </cfRule>
  </conditionalFormatting>
  <conditionalFormatting sqref="AD219">
    <cfRule type="notContainsText" dxfId="311" priority="143" operator="notContains" text="Caida">
      <formula>ISERROR(SEARCH("Caida",AD219))</formula>
    </cfRule>
    <cfRule type="containsText" dxfId="310" priority="144" operator="containsText" text="Caida">
      <formula>NOT(ISERROR(SEARCH("Caida",AD219)))</formula>
    </cfRule>
  </conditionalFormatting>
  <conditionalFormatting sqref="AD227">
    <cfRule type="cellIs" dxfId="309" priority="141" operator="lessThan">
      <formula>0.8</formula>
    </cfRule>
    <cfRule type="cellIs" dxfId="308" priority="142" operator="greaterThan">
      <formula>0.8</formula>
    </cfRule>
  </conditionalFormatting>
  <conditionalFormatting sqref="AD227">
    <cfRule type="notContainsText" dxfId="307" priority="139" operator="notContains" text="Caida">
      <formula>ISERROR(SEARCH("Caida",AD227))</formula>
    </cfRule>
    <cfRule type="containsText" dxfId="306" priority="140" operator="containsText" text="Caida">
      <formula>NOT(ISERROR(SEARCH("Caida",AD227)))</formula>
    </cfRule>
  </conditionalFormatting>
  <conditionalFormatting sqref="AD232">
    <cfRule type="cellIs" dxfId="305" priority="137" operator="lessThan">
      <formula>0.8</formula>
    </cfRule>
    <cfRule type="cellIs" dxfId="304" priority="138" operator="greaterThan">
      <formula>0.8</formula>
    </cfRule>
  </conditionalFormatting>
  <conditionalFormatting sqref="AD232">
    <cfRule type="notContainsText" dxfId="303" priority="135" operator="notContains" text="Caida">
      <formula>ISERROR(SEARCH("Caida",AD232))</formula>
    </cfRule>
    <cfRule type="containsText" dxfId="302" priority="136" operator="containsText" text="Caida">
      <formula>NOT(ISERROR(SEARCH("Caida",AD232)))</formula>
    </cfRule>
  </conditionalFormatting>
  <conditionalFormatting sqref="AD233">
    <cfRule type="cellIs" dxfId="301" priority="133" operator="lessThan">
      <formula>0.8</formula>
    </cfRule>
    <cfRule type="cellIs" dxfId="300" priority="134" operator="greaterThan">
      <formula>0.8</formula>
    </cfRule>
  </conditionalFormatting>
  <conditionalFormatting sqref="AD233">
    <cfRule type="notContainsText" dxfId="299" priority="131" operator="notContains" text="Caida">
      <formula>ISERROR(SEARCH("Caida",AD233))</formula>
    </cfRule>
    <cfRule type="containsText" dxfId="298" priority="132" operator="containsText" text="Caida">
      <formula>NOT(ISERROR(SEARCH("Caida",AD233)))</formula>
    </cfRule>
  </conditionalFormatting>
  <conditionalFormatting sqref="AD398">
    <cfRule type="cellIs" dxfId="297" priority="130" operator="equal">
      <formula>"apagado"</formula>
    </cfRule>
  </conditionalFormatting>
  <conditionalFormatting sqref="AD403">
    <cfRule type="cellIs" dxfId="296" priority="129" operator="equal">
      <formula>"apagado"</formula>
    </cfRule>
  </conditionalFormatting>
  <conditionalFormatting sqref="AD399">
    <cfRule type="cellIs" dxfId="295" priority="128" operator="equal">
      <formula>"apagado"</formula>
    </cfRule>
  </conditionalFormatting>
  <conditionalFormatting sqref="AD400">
    <cfRule type="cellIs" dxfId="294" priority="127" operator="equal">
      <formula>"apagado"</formula>
    </cfRule>
  </conditionalFormatting>
  <conditionalFormatting sqref="AD227">
    <cfRule type="cellIs" dxfId="293" priority="126" operator="equal">
      <formula>"apagado"</formula>
    </cfRule>
  </conditionalFormatting>
  <conditionalFormatting sqref="AD232">
    <cfRule type="cellIs" dxfId="292" priority="125" operator="equal">
      <formula>"apagado"</formula>
    </cfRule>
  </conditionalFormatting>
  <conditionalFormatting sqref="AD233">
    <cfRule type="cellIs" dxfId="291" priority="124" operator="equal">
      <formula>"apagado"</formula>
    </cfRule>
  </conditionalFormatting>
  <conditionalFormatting sqref="AD219">
    <cfRule type="cellIs" dxfId="290" priority="123" operator="equal">
      <formula>"apagado"</formula>
    </cfRule>
  </conditionalFormatting>
  <conditionalFormatting sqref="AD212:AD213">
    <cfRule type="cellIs" dxfId="289" priority="122" operator="equal">
      <formula>"apagado"</formula>
    </cfRule>
  </conditionalFormatting>
  <conditionalFormatting sqref="AD211">
    <cfRule type="cellIs" dxfId="288" priority="121" operator="equal">
      <formula>"apagado"</formula>
    </cfRule>
  </conditionalFormatting>
  <conditionalFormatting sqref="AD200">
    <cfRule type="cellIs" dxfId="287" priority="120" operator="equal">
      <formula>"apagado"</formula>
    </cfRule>
  </conditionalFormatting>
  <conditionalFormatting sqref="AD187">
    <cfRule type="cellIs" dxfId="286" priority="119" operator="equal">
      <formula>"apagado"</formula>
    </cfRule>
  </conditionalFormatting>
  <conditionalFormatting sqref="AD184">
    <cfRule type="cellIs" dxfId="285" priority="118" operator="equal">
      <formula>"apagado"</formula>
    </cfRule>
  </conditionalFormatting>
  <conditionalFormatting sqref="AD185">
    <cfRule type="cellIs" dxfId="284" priority="117" operator="equal">
      <formula>"apagado"</formula>
    </cfRule>
  </conditionalFormatting>
  <conditionalFormatting sqref="AD161">
    <cfRule type="cellIs" dxfId="283" priority="116" operator="equal">
      <formula>"apagado"</formula>
    </cfRule>
  </conditionalFormatting>
  <conditionalFormatting sqref="AD162:AD164">
    <cfRule type="cellIs" dxfId="282" priority="115" operator="equal">
      <formula>"apagado"</formula>
    </cfRule>
  </conditionalFormatting>
  <conditionalFormatting sqref="AD165">
    <cfRule type="cellIs" dxfId="281" priority="114" operator="equal">
      <formula>"apagado"</formula>
    </cfRule>
  </conditionalFormatting>
  <conditionalFormatting sqref="AD144">
    <cfRule type="cellIs" dxfId="280" priority="113" operator="equal">
      <formula>"apagado"</formula>
    </cfRule>
  </conditionalFormatting>
  <conditionalFormatting sqref="AD146">
    <cfRule type="cellIs" dxfId="279" priority="112" operator="equal">
      <formula>"apagado"</formula>
    </cfRule>
  </conditionalFormatting>
  <conditionalFormatting sqref="AD129">
    <cfRule type="cellIs" dxfId="278" priority="111" operator="equal">
      <formula>"apagado"</formula>
    </cfRule>
  </conditionalFormatting>
  <conditionalFormatting sqref="AD130:AD131">
    <cfRule type="cellIs" dxfId="277" priority="110" operator="equal">
      <formula>"apagado"</formula>
    </cfRule>
  </conditionalFormatting>
  <conditionalFormatting sqref="AD135:AD139">
    <cfRule type="cellIs" dxfId="276" priority="109" operator="equal">
      <formula>"apagado"</formula>
    </cfRule>
  </conditionalFormatting>
  <conditionalFormatting sqref="AD140">
    <cfRule type="cellIs" dxfId="275" priority="108" operator="equal">
      <formula>"apagado"</formula>
    </cfRule>
  </conditionalFormatting>
  <conditionalFormatting sqref="AD112:AD113">
    <cfRule type="cellIs" dxfId="274" priority="107" operator="equal">
      <formula>"apagado"</formula>
    </cfRule>
  </conditionalFormatting>
  <conditionalFormatting sqref="AD107">
    <cfRule type="cellIs" dxfId="273" priority="105" operator="lessThan">
      <formula>0.8</formula>
    </cfRule>
    <cfRule type="cellIs" dxfId="272" priority="106" operator="greaterThan">
      <formula>0.8</formula>
    </cfRule>
  </conditionalFormatting>
  <conditionalFormatting sqref="AD107">
    <cfRule type="notContainsText" dxfId="271" priority="103" operator="notContains" text="Caida">
      <formula>ISERROR(SEARCH("Caida",AD107))</formula>
    </cfRule>
    <cfRule type="containsText" dxfId="270" priority="104" operator="containsText" text="Caida">
      <formula>NOT(ISERROR(SEARCH("Caida",AD107)))</formula>
    </cfRule>
  </conditionalFormatting>
  <conditionalFormatting sqref="AD107">
    <cfRule type="cellIs" dxfId="269" priority="102" operator="equal">
      <formula>"apagado"</formula>
    </cfRule>
  </conditionalFormatting>
  <conditionalFormatting sqref="AD109">
    <cfRule type="cellIs" dxfId="268" priority="101" operator="equal">
      <formula>"apagado"</formula>
    </cfRule>
  </conditionalFormatting>
  <conditionalFormatting sqref="E412:E418">
    <cfRule type="containsText" dxfId="267" priority="99" operator="containsText" text="fija">
      <formula>NOT(ISERROR(SEARCH("fija",E412)))</formula>
    </cfRule>
    <cfRule type="containsText" dxfId="266" priority="100" operator="containsText" text="domo">
      <formula>NOT(ISERROR(SEARCH("domo",E412)))</formula>
    </cfRule>
  </conditionalFormatting>
  <conditionalFormatting sqref="F412:F418">
    <cfRule type="cellIs" dxfId="265" priority="98" operator="equal">
      <formula>"PTP A FO"</formula>
    </cfRule>
  </conditionalFormatting>
  <conditionalFormatting sqref="F1:F1048576">
    <cfRule type="cellIs" dxfId="264" priority="96" operator="equal">
      <formula>$F$10</formula>
    </cfRule>
    <cfRule type="cellIs" dxfId="263" priority="97" operator="equal">
      <formula>"PTP A FO"</formula>
    </cfRule>
  </conditionalFormatting>
  <conditionalFormatting sqref="E1:E1048576">
    <cfRule type="cellIs" dxfId="262" priority="95" operator="equal">
      <formula>$E$7</formula>
    </cfRule>
  </conditionalFormatting>
  <conditionalFormatting sqref="D354:D355 D163:D164 C1:C1048576">
    <cfRule type="cellIs" dxfId="261" priority="93" operator="equal">
      <formula>$C$215</formula>
    </cfRule>
    <cfRule type="cellIs" dxfId="260" priority="94" operator="equal">
      <formula>$C$203</formula>
    </cfRule>
  </conditionalFormatting>
  <conditionalFormatting sqref="AE73">
    <cfRule type="containsText" dxfId="259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58" priority="90" operator="lessThan">
      <formula>0.8</formula>
    </cfRule>
    <cfRule type="cellIs" dxfId="257" priority="91" operator="greaterThan">
      <formula>0.8</formula>
    </cfRule>
  </conditionalFormatting>
  <conditionalFormatting sqref="AE7">
    <cfRule type="notContainsText" dxfId="256" priority="88" operator="notContains" text="Caida">
      <formula>ISERROR(SEARCH("Caida",AE7))</formula>
    </cfRule>
    <cfRule type="containsText" dxfId="255" priority="89" operator="containsText" text="Caida">
      <formula>NOT(ISERROR(SEARCH("Caida",AE7)))</formula>
    </cfRule>
  </conditionalFormatting>
  <conditionalFormatting sqref="AE106:AE108">
    <cfRule type="cellIs" dxfId="254" priority="86" operator="lessThan">
      <formula>0.8</formula>
    </cfRule>
    <cfRule type="cellIs" dxfId="253" priority="87" operator="greaterThan">
      <formula>0.8</formula>
    </cfRule>
  </conditionalFormatting>
  <conditionalFormatting sqref="AE106:AE108">
    <cfRule type="notContainsText" dxfId="252" priority="84" operator="notContains" text="Caida">
      <formula>ISERROR(SEARCH("Caida",AE106))</formula>
    </cfRule>
    <cfRule type="containsText" dxfId="251" priority="85" operator="containsText" text="Caida">
      <formula>NOT(ISERROR(SEARCH("Caida",AE106)))</formula>
    </cfRule>
  </conditionalFormatting>
  <conditionalFormatting sqref="AA87">
    <cfRule type="cellIs" dxfId="250" priority="83" operator="equal">
      <formula>"apagado"</formula>
    </cfRule>
  </conditionalFormatting>
  <conditionalFormatting sqref="AB109">
    <cfRule type="cellIs" dxfId="249" priority="81" operator="lessThan">
      <formula>0.8</formula>
    </cfRule>
    <cfRule type="cellIs" dxfId="248" priority="82" operator="greaterThan">
      <formula>0.8</formula>
    </cfRule>
  </conditionalFormatting>
  <conditionalFormatting sqref="AB109">
    <cfRule type="notContainsText" dxfId="247" priority="79" operator="notContains" text="Caida">
      <formula>ISERROR(SEARCH("Caida",AB109))</formula>
    </cfRule>
    <cfRule type="containsText" dxfId="246" priority="80" operator="containsText" text="Caida">
      <formula>NOT(ISERROR(SEARCH("Caida",AB109)))</formula>
    </cfRule>
  </conditionalFormatting>
  <conditionalFormatting sqref="AB109">
    <cfRule type="cellIs" dxfId="245" priority="78" operator="equal">
      <formula>"apagado"</formula>
    </cfRule>
  </conditionalFormatting>
  <conditionalFormatting sqref="AB145">
    <cfRule type="cellIs" dxfId="244" priority="77" operator="equal">
      <formula>"apagado"</formula>
    </cfRule>
  </conditionalFormatting>
  <conditionalFormatting sqref="AB177">
    <cfRule type="cellIs" dxfId="243" priority="76" operator="equal">
      <formula>"apagado"</formula>
    </cfRule>
  </conditionalFormatting>
  <conditionalFormatting sqref="AB179">
    <cfRule type="cellIs" dxfId="242" priority="75" operator="equal">
      <formula>"apagado"</formula>
    </cfRule>
  </conditionalFormatting>
  <conditionalFormatting sqref="AB184">
    <cfRule type="cellIs" dxfId="241" priority="74" operator="equal">
      <formula>"apagado"</formula>
    </cfRule>
  </conditionalFormatting>
  <conditionalFormatting sqref="AB187">
    <cfRule type="cellIs" dxfId="240" priority="73" operator="equal">
      <formula>"apagado"</formula>
    </cfRule>
  </conditionalFormatting>
  <conditionalFormatting sqref="AB88">
    <cfRule type="cellIs" dxfId="239" priority="71" operator="lessThan">
      <formula>0.8</formula>
    </cfRule>
    <cfRule type="cellIs" dxfId="238" priority="72" operator="greaterThan">
      <formula>0.8</formula>
    </cfRule>
  </conditionalFormatting>
  <conditionalFormatting sqref="AB88">
    <cfRule type="notContainsText" dxfId="237" priority="69" operator="notContains" text="Caida">
      <formula>ISERROR(SEARCH("Caida",AB88))</formula>
    </cfRule>
    <cfRule type="containsText" dxfId="236" priority="70" operator="containsText" text="Caida">
      <formula>NOT(ISERROR(SEARCH("Caida",AB88)))</formula>
    </cfRule>
  </conditionalFormatting>
  <conditionalFormatting sqref="AB88">
    <cfRule type="cellIs" dxfId="235" priority="68" operator="equal">
      <formula>"apagado"</formula>
    </cfRule>
  </conditionalFormatting>
  <conditionalFormatting sqref="AB211">
    <cfRule type="cellIs" dxfId="234" priority="67" operator="equal">
      <formula>"apagado"</formula>
    </cfRule>
  </conditionalFormatting>
  <conditionalFormatting sqref="AB282">
    <cfRule type="cellIs" dxfId="233" priority="66" operator="equal">
      <formula>"apagado"</formula>
    </cfRule>
  </conditionalFormatting>
  <conditionalFormatting sqref="AB283">
    <cfRule type="cellIs" dxfId="232" priority="65" operator="equal">
      <formula>"apagado"</formula>
    </cfRule>
  </conditionalFormatting>
  <conditionalFormatting sqref="AB321">
    <cfRule type="cellIs" dxfId="231" priority="64" operator="equal">
      <formula>"apagado"</formula>
    </cfRule>
  </conditionalFormatting>
  <conditionalFormatting sqref="AB322">
    <cfRule type="cellIs" dxfId="230" priority="63" operator="equal">
      <formula>"apagado"</formula>
    </cfRule>
  </conditionalFormatting>
  <conditionalFormatting sqref="AB319">
    <cfRule type="cellIs" dxfId="229" priority="62" operator="equal">
      <formula>"apagado"</formula>
    </cfRule>
  </conditionalFormatting>
  <conditionalFormatting sqref="AB320:AB322">
    <cfRule type="cellIs" dxfId="228" priority="61" operator="equal">
      <formula>"apagado"</formula>
    </cfRule>
  </conditionalFormatting>
  <conditionalFormatting sqref="AB347">
    <cfRule type="cellIs" dxfId="227" priority="60" operator="equal">
      <formula>"apagado"</formula>
    </cfRule>
  </conditionalFormatting>
  <conditionalFormatting sqref="AB358">
    <cfRule type="cellIs" dxfId="226" priority="59" operator="equal">
      <formula>"apagado"</formula>
    </cfRule>
  </conditionalFormatting>
  <conditionalFormatting sqref="AB359">
    <cfRule type="cellIs" dxfId="225" priority="58" operator="equal">
      <formula>"apagado"</formula>
    </cfRule>
  </conditionalFormatting>
  <conditionalFormatting sqref="AB376">
    <cfRule type="cellIs" dxfId="224" priority="57" operator="equal">
      <formula>"apagado"</formula>
    </cfRule>
  </conditionalFormatting>
  <conditionalFormatting sqref="AB392">
    <cfRule type="cellIs" dxfId="223" priority="56" operator="equal">
      <formula>"apagado"</formula>
    </cfRule>
  </conditionalFormatting>
  <conditionalFormatting sqref="AB393:AB396">
    <cfRule type="cellIs" dxfId="222" priority="55" operator="equal">
      <formula>"apagado"</formula>
    </cfRule>
  </conditionalFormatting>
  <conditionalFormatting sqref="AB399">
    <cfRule type="cellIs" dxfId="221" priority="54" operator="equal">
      <formula>"apagado"</formula>
    </cfRule>
  </conditionalFormatting>
  <conditionalFormatting sqref="AB400">
    <cfRule type="cellIs" dxfId="220" priority="53" operator="equal">
      <formula>"apagado"</formula>
    </cfRule>
  </conditionalFormatting>
  <conditionalFormatting sqref="AB408">
    <cfRule type="cellIs" dxfId="219" priority="52" operator="equal">
      <formula>"apagado"</formula>
    </cfRule>
  </conditionalFormatting>
  <conditionalFormatting sqref="AB234">
    <cfRule type="cellIs" dxfId="218" priority="51" operator="equal">
      <formula>"apagado"</formula>
    </cfRule>
  </conditionalFormatting>
  <conditionalFormatting sqref="AB235">
    <cfRule type="cellIs" dxfId="217" priority="50" operator="equal">
      <formula>"apagado"</formula>
    </cfRule>
  </conditionalFormatting>
  <conditionalFormatting sqref="AB236">
    <cfRule type="cellIs" dxfId="216" priority="49" operator="equal">
      <formula>"apagado"</formula>
    </cfRule>
  </conditionalFormatting>
  <conditionalFormatting sqref="AB237">
    <cfRule type="cellIs" dxfId="215" priority="48" operator="equal">
      <formula>"apagado"</formula>
    </cfRule>
  </conditionalFormatting>
  <conditionalFormatting sqref="AB245">
    <cfRule type="cellIs" dxfId="214" priority="47" operator="equal">
      <formula>"apagado"</formula>
    </cfRule>
  </conditionalFormatting>
  <conditionalFormatting sqref="AB238">
    <cfRule type="cellIs" dxfId="213" priority="46" operator="equal">
      <formula>"apagado"</formula>
    </cfRule>
  </conditionalFormatting>
  <conditionalFormatting sqref="AB231">
    <cfRule type="cellIs" dxfId="212" priority="45" operator="equal">
      <formula>"apagado"</formula>
    </cfRule>
  </conditionalFormatting>
  <conditionalFormatting sqref="E432:E434">
    <cfRule type="containsText" dxfId="211" priority="43" operator="containsText" text="fija">
      <formula>NOT(ISERROR(SEARCH("fija",E432)))</formula>
    </cfRule>
    <cfRule type="containsText" dxfId="210" priority="44" operator="containsText" text="domo">
      <formula>NOT(ISERROR(SEARCH("domo",E432)))</formula>
    </cfRule>
  </conditionalFormatting>
  <conditionalFormatting sqref="E420">
    <cfRule type="containsText" dxfId="209" priority="42" operator="containsText" text="Radio">
      <formula>NOT(ISERROR(SEARCH("Radio",E420)))</formula>
    </cfRule>
  </conditionalFormatting>
  <conditionalFormatting sqref="E420">
    <cfRule type="containsText" dxfId="208" priority="40" operator="containsText" text="fija">
      <formula>NOT(ISERROR(SEARCH("fija",E420)))</formula>
    </cfRule>
    <cfRule type="containsText" dxfId="207" priority="41" operator="containsText" text="domo">
      <formula>NOT(ISERROR(SEARCH("domo",E420)))</formula>
    </cfRule>
  </conditionalFormatting>
  <conditionalFormatting sqref="E420">
    <cfRule type="containsText" dxfId="206" priority="38" operator="containsText" text="fija">
      <formula>NOT(ISERROR(SEARCH("fija",E420)))</formula>
    </cfRule>
    <cfRule type="containsText" dxfId="205" priority="39" operator="containsText" text="domo">
      <formula>NOT(ISERROR(SEARCH("domo",E420)))</formula>
    </cfRule>
  </conditionalFormatting>
  <conditionalFormatting sqref="E421">
    <cfRule type="containsText" dxfId="204" priority="37" operator="containsText" text="Radio">
      <formula>NOT(ISERROR(SEARCH("Radio",E421)))</formula>
    </cfRule>
  </conditionalFormatting>
  <conditionalFormatting sqref="E421">
    <cfRule type="containsText" dxfId="203" priority="35" operator="containsText" text="fija">
      <formula>NOT(ISERROR(SEARCH("fija",E421)))</formula>
    </cfRule>
    <cfRule type="containsText" dxfId="202" priority="36" operator="containsText" text="domo">
      <formula>NOT(ISERROR(SEARCH("domo",E421)))</formula>
    </cfRule>
  </conditionalFormatting>
  <conditionalFormatting sqref="E421">
    <cfRule type="containsText" dxfId="201" priority="33" operator="containsText" text="fija">
      <formula>NOT(ISERROR(SEARCH("fija",E421)))</formula>
    </cfRule>
    <cfRule type="containsText" dxfId="200" priority="34" operator="containsText" text="domo">
      <formula>NOT(ISERROR(SEARCH("domo",E421)))</formula>
    </cfRule>
  </conditionalFormatting>
  <conditionalFormatting sqref="E424">
    <cfRule type="containsText" dxfId="199" priority="32" operator="containsText" text="Radio">
      <formula>NOT(ISERROR(SEARCH("Radio",E424)))</formula>
    </cfRule>
  </conditionalFormatting>
  <conditionalFormatting sqref="E424">
    <cfRule type="containsText" dxfId="198" priority="30" operator="containsText" text="fija">
      <formula>NOT(ISERROR(SEARCH("fija",E424)))</formula>
    </cfRule>
    <cfRule type="containsText" dxfId="197" priority="31" operator="containsText" text="domo">
      <formula>NOT(ISERROR(SEARCH("domo",E424)))</formula>
    </cfRule>
  </conditionalFormatting>
  <conditionalFormatting sqref="E424">
    <cfRule type="containsText" dxfId="196" priority="28" operator="containsText" text="fija">
      <formula>NOT(ISERROR(SEARCH("fija",E424)))</formula>
    </cfRule>
    <cfRule type="containsText" dxfId="195" priority="29" operator="containsText" text="domo">
      <formula>NOT(ISERROR(SEARCH("domo",E424)))</formula>
    </cfRule>
  </conditionalFormatting>
  <conditionalFormatting sqref="E425">
    <cfRule type="containsText" dxfId="194" priority="27" operator="containsText" text="Radio">
      <formula>NOT(ISERROR(SEARCH("Radio",E425)))</formula>
    </cfRule>
  </conditionalFormatting>
  <conditionalFormatting sqref="E425">
    <cfRule type="containsText" dxfId="193" priority="25" operator="containsText" text="fija">
      <formula>NOT(ISERROR(SEARCH("fija",E425)))</formula>
    </cfRule>
    <cfRule type="containsText" dxfId="192" priority="26" operator="containsText" text="domo">
      <formula>NOT(ISERROR(SEARCH("domo",E425)))</formula>
    </cfRule>
  </conditionalFormatting>
  <conditionalFormatting sqref="E425">
    <cfRule type="containsText" dxfId="191" priority="23" operator="containsText" text="fija">
      <formula>NOT(ISERROR(SEARCH("fija",E425)))</formula>
    </cfRule>
    <cfRule type="containsText" dxfId="190" priority="24" operator="containsText" text="domo">
      <formula>NOT(ISERROR(SEARCH("domo",E425)))</formula>
    </cfRule>
  </conditionalFormatting>
  <conditionalFormatting sqref="E426">
    <cfRule type="containsText" dxfId="189" priority="22" operator="containsText" text="Radio">
      <formula>NOT(ISERROR(SEARCH("Radio",E426)))</formula>
    </cfRule>
  </conditionalFormatting>
  <conditionalFormatting sqref="E426">
    <cfRule type="containsText" dxfId="188" priority="20" operator="containsText" text="fija">
      <formula>NOT(ISERROR(SEARCH("fija",E426)))</formula>
    </cfRule>
    <cfRule type="containsText" dxfId="187" priority="21" operator="containsText" text="domo">
      <formula>NOT(ISERROR(SEARCH("domo",E426)))</formula>
    </cfRule>
  </conditionalFormatting>
  <conditionalFormatting sqref="E426">
    <cfRule type="containsText" dxfId="186" priority="18" operator="containsText" text="fija">
      <formula>NOT(ISERROR(SEARCH("fija",E426)))</formula>
    </cfRule>
    <cfRule type="containsText" dxfId="185" priority="19" operator="containsText" text="domo">
      <formula>NOT(ISERROR(SEARCH("domo",E426)))</formula>
    </cfRule>
  </conditionalFormatting>
  <conditionalFormatting sqref="E427">
    <cfRule type="containsText" dxfId="184" priority="17" operator="containsText" text="Radio">
      <formula>NOT(ISERROR(SEARCH("Radio",E427)))</formula>
    </cfRule>
  </conditionalFormatting>
  <conditionalFormatting sqref="E427">
    <cfRule type="containsText" dxfId="183" priority="15" operator="containsText" text="fija">
      <formula>NOT(ISERROR(SEARCH("fija",E427)))</formula>
    </cfRule>
    <cfRule type="containsText" dxfId="182" priority="16" operator="containsText" text="domo">
      <formula>NOT(ISERROR(SEARCH("domo",E427)))</formula>
    </cfRule>
  </conditionalFormatting>
  <conditionalFormatting sqref="E427">
    <cfRule type="containsText" dxfId="181" priority="13" operator="containsText" text="fija">
      <formula>NOT(ISERROR(SEARCH("fija",E427)))</formula>
    </cfRule>
    <cfRule type="containsText" dxfId="180" priority="14" operator="containsText" text="domo">
      <formula>NOT(ISERROR(SEARCH("domo",E427)))</formula>
    </cfRule>
  </conditionalFormatting>
  <conditionalFormatting sqref="AO106:AO107">
    <cfRule type="cellIs" dxfId="179" priority="11" operator="lessThan">
      <formula>0.8</formula>
    </cfRule>
    <cfRule type="cellIs" dxfId="178" priority="12" operator="greaterThan">
      <formula>0.8</formula>
    </cfRule>
  </conditionalFormatting>
  <conditionalFormatting sqref="AO106:AO107">
    <cfRule type="notContainsText" dxfId="177" priority="9" operator="notContains" text="Caida">
      <formula>ISERROR(SEARCH("Caida",AO106))</formula>
    </cfRule>
    <cfRule type="containsText" dxfId="176" priority="10" operator="containsText" text="Caida">
      <formula>NOT(ISERROR(SEARCH("Caida",AO106)))</formula>
    </cfRule>
  </conditionalFormatting>
  <conditionalFormatting sqref="AL410">
    <cfRule type="cellIs" dxfId="175" priority="7" operator="lessThan">
      <formula>0.8</formula>
    </cfRule>
    <cfRule type="cellIs" dxfId="174" priority="8" operator="greaterThan">
      <formula>0.8</formula>
    </cfRule>
  </conditionalFormatting>
  <conditionalFormatting sqref="AL411">
    <cfRule type="cellIs" dxfId="173" priority="5" operator="lessThan">
      <formula>0.8</formula>
    </cfRule>
    <cfRule type="cellIs" dxfId="172" priority="6" operator="greaterThan">
      <formula>0.8</formula>
    </cfRule>
  </conditionalFormatting>
  <conditionalFormatting sqref="AL423">
    <cfRule type="cellIs" dxfId="171" priority="3" operator="lessThan">
      <formula>0.8</formula>
    </cfRule>
    <cfRule type="cellIs" dxfId="170" priority="4" operator="greaterThan">
      <formula>0.8</formula>
    </cfRule>
  </conditionalFormatting>
  <conditionalFormatting sqref="AL410">
    <cfRule type="cellIs" dxfId="169" priority="2" operator="equal">
      <formula>"apagado"</formula>
    </cfRule>
  </conditionalFormatting>
  <conditionalFormatting sqref="AL411">
    <cfRule type="cellIs" dxfId="168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0DE47-DD1C-4045-9BEA-37DE193B7E7C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E56A0-8093-41EB-9874-663315E95CCF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K1" workbookViewId="0">
      <selection activeCell="E2" sqref="E2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3" width="9.5546875" bestFit="1" customWidth="1"/>
  </cols>
  <sheetData>
    <row r="1" spans="1:35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44896</v>
      </c>
      <c r="G1" s="14">
        <f>'RESUMEN TOTAL'!L4</f>
        <v>44897</v>
      </c>
      <c r="H1" s="14">
        <f>'RESUMEN TOTAL'!M4</f>
        <v>44898</v>
      </c>
      <c r="I1" s="14">
        <f>'RESUMEN TOTAL'!N4</f>
        <v>44899</v>
      </c>
      <c r="J1" s="14">
        <f>'RESUMEN TOTAL'!O4</f>
        <v>44900</v>
      </c>
      <c r="K1" s="14">
        <f>'RESUMEN TOTAL'!P4</f>
        <v>44901</v>
      </c>
      <c r="L1" s="14">
        <f>'RESUMEN TOTAL'!Q4</f>
        <v>44902</v>
      </c>
      <c r="M1" s="14">
        <f>'RESUMEN TOTAL'!R4</f>
        <v>44903</v>
      </c>
      <c r="N1" s="14">
        <f>'RESUMEN TOTAL'!S4</f>
        <v>44904</v>
      </c>
      <c r="O1" s="14">
        <f>'RESUMEN TOTAL'!T4</f>
        <v>44905</v>
      </c>
      <c r="P1" s="14">
        <f>'RESUMEN TOTAL'!U4</f>
        <v>44906</v>
      </c>
      <c r="Q1" s="14">
        <f>'RESUMEN TOTAL'!V4</f>
        <v>44907</v>
      </c>
      <c r="R1" s="14">
        <f>'RESUMEN TOTAL'!W4</f>
        <v>44908</v>
      </c>
      <c r="S1" s="14">
        <f>'RESUMEN TOTAL'!X4</f>
        <v>44909</v>
      </c>
      <c r="T1" s="14">
        <f>'RESUMEN TOTAL'!Y4</f>
        <v>44910</v>
      </c>
      <c r="U1" s="14">
        <f>'RESUMEN TOTAL'!Z4</f>
        <v>44911</v>
      </c>
      <c r="V1" s="14">
        <f>'RESUMEN TOTAL'!AA4</f>
        <v>44912</v>
      </c>
      <c r="W1" s="14">
        <f>'RESUMEN TOTAL'!AB4</f>
        <v>44913</v>
      </c>
      <c r="X1" s="14">
        <f>'RESUMEN TOTAL'!AC4</f>
        <v>44914</v>
      </c>
      <c r="Y1" s="14">
        <f>'RESUMEN TOTAL'!AD4</f>
        <v>44915</v>
      </c>
      <c r="Z1" s="14">
        <f>'RESUMEN TOTAL'!AE4</f>
        <v>44916</v>
      </c>
      <c r="AA1" s="14">
        <f>'RESUMEN TOTAL'!AF4</f>
        <v>44917</v>
      </c>
      <c r="AB1" s="14">
        <f>'RESUMEN TOTAL'!AG4</f>
        <v>44918</v>
      </c>
      <c r="AC1" s="14">
        <f>'RESUMEN TOTAL'!AH4</f>
        <v>44919</v>
      </c>
      <c r="AD1" s="14">
        <f>'RESUMEN TOTAL'!AI4</f>
        <v>44920</v>
      </c>
      <c r="AE1" s="14">
        <f>'RESUMEN TOTAL'!AJ4</f>
        <v>44921</v>
      </c>
      <c r="AF1" s="14">
        <f>'RESUMEN TOTAL'!AK4</f>
        <v>44922</v>
      </c>
      <c r="AG1" s="14">
        <f>'RESUMEN TOTAL'!AL4</f>
        <v>44923</v>
      </c>
      <c r="AH1" s="14">
        <f>'RESUMEN TOTAL'!AM4</f>
        <v>44924</v>
      </c>
      <c r="AI1" s="14">
        <f>'RESUMEN TOTAL'!AN4</f>
        <v>44925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TOTAL'!K5</f>
        <v>APAGADO</v>
      </c>
      <c r="G2" t="str">
        <f>'RESUMEN TOTAL'!L5</f>
        <v>APAGADO</v>
      </c>
      <c r="H2" t="str">
        <f>'RESUMEN TOTAL'!M5</f>
        <v>APAGADO</v>
      </c>
      <c r="I2" t="str">
        <f>'RESUMEN TOTAL'!N5</f>
        <v>APAGADO</v>
      </c>
      <c r="J2" t="str">
        <f>'RESUMEN TOTAL'!O5</f>
        <v>APAGADO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 t="str">
        <f>'RESUMEN TOTAL'!W5</f>
        <v>APAGADO</v>
      </c>
      <c r="S2" t="str">
        <f>'RESUMEN TOTAL'!X5</f>
        <v>APAGADO</v>
      </c>
      <c r="T2" t="str">
        <f>'RESUMEN TOTAL'!Y5</f>
        <v>APAGADO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TOTAL'!K6</f>
        <v>APAGADO</v>
      </c>
      <c r="G3" t="str">
        <f>'RESUMEN TOTAL'!L6</f>
        <v>APAGADO</v>
      </c>
      <c r="H3" t="str">
        <f>'RESUMEN TOTAL'!M6</f>
        <v>APAGADO</v>
      </c>
      <c r="I3" t="str">
        <f>'RESUMEN TOTAL'!N6</f>
        <v>APAGADO</v>
      </c>
      <c r="J3" t="str">
        <f>'RESUMEN TOTAL'!O6</f>
        <v>APAGADO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 t="str">
        <f>'RESUMEN TOTAL'!W6</f>
        <v>APAGADO</v>
      </c>
      <c r="S3" t="str">
        <f>'RESUMEN TOTAL'!X6</f>
        <v>APAGADO</v>
      </c>
      <c r="T3" t="str">
        <f>'RESUMEN TOTAL'!Y6</f>
        <v>APAGADO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TOTAL'!K7</f>
        <v>APAGADO</v>
      </c>
      <c r="G4" t="str">
        <f>'RESUMEN TOTAL'!L7</f>
        <v>APAGADO</v>
      </c>
      <c r="H4" t="str">
        <f>'RESUMEN TOTAL'!M7</f>
        <v>APAGADO</v>
      </c>
      <c r="I4" t="str">
        <f>'RESUMEN TOTAL'!N7</f>
        <v>APAGADO</v>
      </c>
      <c r="J4" t="str">
        <f>'RESUMEN TOTAL'!O7</f>
        <v>APAGADO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 t="str">
        <f>'RESUMEN TOTAL'!W7</f>
        <v>APAGADO</v>
      </c>
      <c r="S4" t="str">
        <f>'RESUMEN TOTAL'!X7</f>
        <v>APAGADO</v>
      </c>
      <c r="T4" t="str">
        <f>'RESUMEN TOTAL'!Y7</f>
        <v>APAGADO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TOTAL'!K8</f>
        <v>APAGADO</v>
      </c>
      <c r="G5" t="str">
        <f>'RESUMEN TOTAL'!L8</f>
        <v>APAGADO</v>
      </c>
      <c r="H5" t="str">
        <f>'RESUMEN TOTAL'!M8</f>
        <v>APAGADO</v>
      </c>
      <c r="I5" t="str">
        <f>'RESUMEN TOTAL'!N8</f>
        <v>APAGADO</v>
      </c>
      <c r="J5" t="str">
        <f>'RESUMEN TOTAL'!O8</f>
        <v>APAGADO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 t="str">
        <f>'RESUMEN TOTAL'!W8</f>
        <v>APAGADO</v>
      </c>
      <c r="S5" t="str">
        <f>'RESUMEN TOTAL'!X8</f>
        <v>APAGADO</v>
      </c>
      <c r="T5" t="str">
        <f>'RESUMEN TOTAL'!Y8</f>
        <v>APAGADO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TOTAL'!K9</f>
        <v>APAGADO</v>
      </c>
      <c r="G6" t="str">
        <f>'RESUMEN TOTAL'!L9</f>
        <v>APAGADO</v>
      </c>
      <c r="H6" t="str">
        <f>'RESUMEN TOTAL'!M9</f>
        <v>APAGADO</v>
      </c>
      <c r="I6" t="str">
        <f>'RESUMEN TOTAL'!N9</f>
        <v>APAGADO</v>
      </c>
      <c r="J6" t="str">
        <f>'RESUMEN TOTAL'!O9</f>
        <v>APAGADO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 t="str">
        <f>'RESUMEN TOTAL'!W9</f>
        <v>APAGADO</v>
      </c>
      <c r="S6" t="str">
        <f>'RESUMEN TOTAL'!X9</f>
        <v>APAGADO</v>
      </c>
      <c r="T6" t="str">
        <f>'RESUMEN TOTAL'!Y9</f>
        <v>APAGADO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TOTAL'!K10</f>
        <v>APAGADO</v>
      </c>
      <c r="G7" t="str">
        <f>'RESUMEN TOTAL'!L10</f>
        <v>APAGADO</v>
      </c>
      <c r="H7" t="str">
        <f>'RESUMEN TOTAL'!M10</f>
        <v>APAGADO</v>
      </c>
      <c r="I7" t="str">
        <f>'RESUMEN TOTAL'!N10</f>
        <v>APAGADO</v>
      </c>
      <c r="J7" t="str">
        <f>'RESUMEN TOTAL'!O10</f>
        <v>APAGADO</v>
      </c>
      <c r="K7" t="str">
        <f>'RESUMEN TOTAL'!P10</f>
        <v>APAGADO</v>
      </c>
      <c r="L7" t="str">
        <f>'RESUMEN TOTAL'!Q10</f>
        <v>APAGADO</v>
      </c>
      <c r="M7" t="str">
        <f>'RESUMEN TOTAL'!R10</f>
        <v>APAGADO</v>
      </c>
      <c r="N7" t="str">
        <f>'RESUMEN TOTAL'!S10</f>
        <v>APAGADO</v>
      </c>
      <c r="O7" t="str">
        <f>'RESUMEN TOTAL'!T10</f>
        <v>APAGADO</v>
      </c>
      <c r="P7" t="str">
        <f>'RESUMEN TOTAL'!U10</f>
        <v>APAGADO</v>
      </c>
      <c r="Q7" t="str">
        <f>'RESUMEN TOTAL'!V10</f>
        <v>APAGADO</v>
      </c>
      <c r="R7" t="str">
        <f>'RESUMEN TOTAL'!W10</f>
        <v>APAGADO</v>
      </c>
      <c r="S7" t="str">
        <f>'RESUMEN TOTAL'!X10</f>
        <v>APAGADO</v>
      </c>
      <c r="T7" t="str">
        <f>'RESUMEN TOTAL'!Y10</f>
        <v>APAGADO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TOTAL'!K11</f>
        <v>APAGADO</v>
      </c>
      <c r="G8" t="str">
        <f>'RESUMEN TOTAL'!L11</f>
        <v>APAGADO</v>
      </c>
      <c r="H8" t="str">
        <f>'RESUMEN TOTAL'!M11</f>
        <v>APAGADO</v>
      </c>
      <c r="I8" t="str">
        <f>'RESUMEN TOTAL'!N11</f>
        <v>APAGADO</v>
      </c>
      <c r="J8" t="str">
        <f>'RESUMEN TOTAL'!O11</f>
        <v>APAGADO</v>
      </c>
      <c r="K8" t="str">
        <f>'RESUMEN TOTAL'!P11</f>
        <v>APAGADO</v>
      </c>
      <c r="L8" t="str">
        <f>'RESUMEN TOTAL'!Q11</f>
        <v>APAGADO</v>
      </c>
      <c r="M8" t="str">
        <f>'RESUMEN TOTAL'!R11</f>
        <v>APAGADO</v>
      </c>
      <c r="N8" t="str">
        <f>'RESUMEN TOTAL'!S11</f>
        <v>APAGADO</v>
      </c>
      <c r="O8" t="str">
        <f>'RESUMEN TOTAL'!T11</f>
        <v>APAGADO</v>
      </c>
      <c r="P8" t="str">
        <f>'RESUMEN TOTAL'!U11</f>
        <v>APAGADO</v>
      </c>
      <c r="Q8" t="str">
        <f>'RESUMEN TOTAL'!V11</f>
        <v>APAGADO</v>
      </c>
      <c r="R8" t="str">
        <f>'RESUMEN TOTAL'!W11</f>
        <v>APAGADO</v>
      </c>
      <c r="S8" t="str">
        <f>'RESUMEN TOTAL'!X11</f>
        <v>APAGADO</v>
      </c>
      <c r="T8" t="str">
        <f>'RESUMEN TOTAL'!Y11</f>
        <v>APAGADO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TOTAL'!K12</f>
        <v>APAGADO</v>
      </c>
      <c r="G9" t="str">
        <f>'RESUMEN TOTAL'!L12</f>
        <v>APAGADO</v>
      </c>
      <c r="H9" t="str">
        <f>'RESUMEN TOTAL'!M12</f>
        <v>APAGADO</v>
      </c>
      <c r="I9" t="str">
        <f>'RESUMEN TOTAL'!N12</f>
        <v>APAGADO</v>
      </c>
      <c r="J9" t="str">
        <f>'RESUMEN TOTAL'!O12</f>
        <v>APAGADO</v>
      </c>
      <c r="K9" t="str">
        <f>'RESUMEN TOTAL'!P12</f>
        <v>APAGADO</v>
      </c>
      <c r="L9" t="str">
        <f>'RESUMEN TOTAL'!Q12</f>
        <v>APAGADO</v>
      </c>
      <c r="M9" t="str">
        <f>'RESUMEN TOTAL'!R12</f>
        <v>APAGADO</v>
      </c>
      <c r="N9" t="str">
        <f>'RESUMEN TOTAL'!S12</f>
        <v>APAGADO</v>
      </c>
      <c r="O9" t="str">
        <f>'RESUMEN TOTAL'!T12</f>
        <v>APAGADO</v>
      </c>
      <c r="P9" t="str">
        <f>'RESUMEN TOTAL'!U12</f>
        <v>APAGADO</v>
      </c>
      <c r="Q9" t="str">
        <f>'RESUMEN TOTAL'!V12</f>
        <v>APAGADO</v>
      </c>
      <c r="R9" t="str">
        <f>'RESUMEN TOTAL'!W12</f>
        <v>APAGADO</v>
      </c>
      <c r="S9" t="str">
        <f>'RESUMEN TOTAL'!X12</f>
        <v>APAGADO</v>
      </c>
      <c r="T9" t="str">
        <f>'RESUMEN TOTAL'!Y12</f>
        <v>APAGADO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TOTAL'!K13</f>
        <v>APAGADO</v>
      </c>
      <c r="G10" t="str">
        <f>'RESUMEN TOTAL'!L13</f>
        <v>APAGADO</v>
      </c>
      <c r="H10" t="str">
        <f>'RESUMEN TOTAL'!M13</f>
        <v>APAGADO</v>
      </c>
      <c r="I10" t="str">
        <f>'RESUMEN TOTAL'!N13</f>
        <v>APAGADO</v>
      </c>
      <c r="J10" t="str">
        <f>'RESUMEN TOTAL'!O13</f>
        <v>APAGADO</v>
      </c>
      <c r="K10" t="str">
        <f>'RESUMEN TOTAL'!P13</f>
        <v>APAGADO</v>
      </c>
      <c r="L10" t="str">
        <f>'RESUMEN TOTAL'!Q13</f>
        <v>APAGADO</v>
      </c>
      <c r="M10" t="str">
        <f>'RESUMEN TOTAL'!R13</f>
        <v>APAGADO</v>
      </c>
      <c r="N10" t="str">
        <f>'RESUMEN TOTAL'!S13</f>
        <v>APAGADO</v>
      </c>
      <c r="O10" t="str">
        <f>'RESUMEN TOTAL'!T13</f>
        <v>APAGADO</v>
      </c>
      <c r="P10" t="str">
        <f>'RESUMEN TOTAL'!U13</f>
        <v>APAGADO</v>
      </c>
      <c r="Q10" t="str">
        <f>'RESUMEN TOTAL'!V13</f>
        <v>APAGADO</v>
      </c>
      <c r="R10" t="str">
        <f>'RESUMEN TOTAL'!W13</f>
        <v>APAGADO</v>
      </c>
      <c r="S10" t="str">
        <f>'RESUMEN TOTAL'!X13</f>
        <v>APAGADO</v>
      </c>
      <c r="T10" t="str">
        <f>'RESUMEN TOTAL'!Y13</f>
        <v>APAGADO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TOTAL'!K14</f>
        <v>APAGADO</v>
      </c>
      <c r="G11" t="str">
        <f>'RESUMEN TOTAL'!L14</f>
        <v>APAGADO</v>
      </c>
      <c r="H11" t="str">
        <f>'RESUMEN TOTAL'!M14</f>
        <v>APAGADO</v>
      </c>
      <c r="I11" t="str">
        <f>'RESUMEN TOTAL'!N14</f>
        <v>APAGADO</v>
      </c>
      <c r="J11" t="str">
        <f>'RESUMEN TOTAL'!O14</f>
        <v>APAGADO</v>
      </c>
      <c r="K11" t="str">
        <f>'RESUMEN TOTAL'!P14</f>
        <v>APAGADO</v>
      </c>
      <c r="L11" t="str">
        <f>'RESUMEN TOTAL'!Q14</f>
        <v>APAGADO</v>
      </c>
      <c r="M11" t="str">
        <f>'RESUMEN TOTAL'!R14</f>
        <v>APAGADO</v>
      </c>
      <c r="N11" t="str">
        <f>'RESUMEN TOTAL'!S14</f>
        <v>APAGADO</v>
      </c>
      <c r="O11" t="str">
        <f>'RESUMEN TOTAL'!T14</f>
        <v>APAGADO</v>
      </c>
      <c r="P11" t="str">
        <f>'RESUMEN TOTAL'!U14</f>
        <v>APAGADO</v>
      </c>
      <c r="Q11" t="str">
        <f>'RESUMEN TOTAL'!V14</f>
        <v>APAGADO</v>
      </c>
      <c r="R11" t="str">
        <f>'RESUMEN TOTAL'!W14</f>
        <v>APAGADO</v>
      </c>
      <c r="S11" t="str">
        <f>'RESUMEN TOTAL'!X14</f>
        <v>APAGADO</v>
      </c>
      <c r="T11" t="str">
        <f>'RESUMEN TOTAL'!Y14</f>
        <v>APAGADO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 t="str">
        <f>'RESUMEN TOTAL'!S16</f>
        <v>APAGADO</v>
      </c>
      <c r="O13" t="str">
        <f>'RESUMEN TOTAL'!T16</f>
        <v>APAGADO</v>
      </c>
      <c r="P13" t="str">
        <f>'RESUMEN TOTAL'!U16</f>
        <v>APAGADO</v>
      </c>
      <c r="Q13" t="str">
        <f>'RESUMEN TOTAL'!V16</f>
        <v>X</v>
      </c>
      <c r="R13" t="str">
        <f>'RESUMEN TOTAL'!W16</f>
        <v>APAGADO</v>
      </c>
      <c r="S13" t="str">
        <f>'RESUMEN TOTAL'!X16</f>
        <v>APAGADO</v>
      </c>
      <c r="T13" t="str">
        <f>'RESUMEN TOTAL'!Y16</f>
        <v>APAGADO</v>
      </c>
      <c r="U13" t="str">
        <f>'RESUMEN TOTAL'!Z16</f>
        <v>APAGADO</v>
      </c>
      <c r="V13" t="str">
        <f>'RESUMEN TOTAL'!AA16</f>
        <v>APAGADO</v>
      </c>
      <c r="W13" t="str">
        <f>'RESUMEN TOTAL'!AB16</f>
        <v>APAGADO</v>
      </c>
      <c r="X13" t="str">
        <f>'RESUMEN TOTAL'!AC16</f>
        <v>APAGADO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 t="str">
        <f>'RESUMEN TOTAL'!K17</f>
        <v>APAGADO</v>
      </c>
      <c r="G14" t="str">
        <f>'RESUMEN TOTAL'!L17</f>
        <v>APAGADO</v>
      </c>
      <c r="H14" t="str">
        <f>'RESUMEN TOTAL'!M17</f>
        <v>APAGADO</v>
      </c>
      <c r="I14" t="str">
        <f>'RESUMEN TOTAL'!N17</f>
        <v>APAGADO</v>
      </c>
      <c r="J14" t="str">
        <f>'RESUMEN TOTAL'!O17</f>
        <v>APAGADO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 t="str">
        <f>'RESUMEN TOTAL'!Y17</f>
        <v>APAGADO</v>
      </c>
      <c r="U14" t="str">
        <f>'RESUMEN TOTAL'!Z17</f>
        <v>APAGADO</v>
      </c>
      <c r="V14" t="str">
        <f>'RESUMEN TOTAL'!AA17</f>
        <v>APAGADO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3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TOTAL'!K18</f>
        <v>APAGADO</v>
      </c>
      <c r="G15" t="str">
        <f>'RESUMEN TOTAL'!L18</f>
        <v>APAGADO</v>
      </c>
      <c r="H15" t="str">
        <f>'RESUMEN TOTAL'!M18</f>
        <v>APAGADO</v>
      </c>
      <c r="I15" t="str">
        <f>'RESUMEN TOTAL'!N18</f>
        <v>APAGADO</v>
      </c>
      <c r="J15" t="str">
        <f>'RESUMEN TOTAL'!O18</f>
        <v>APAGADO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 t="str">
        <f>'RESUMEN TOTAL'!Y18</f>
        <v>APAGADO</v>
      </c>
      <c r="U15" t="str">
        <f>'RESUMEN TOTAL'!Z18</f>
        <v>APAGADO</v>
      </c>
      <c r="V15" t="str">
        <f>'RESUMEN TOTAL'!AA18</f>
        <v>APAGADO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3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 t="str">
        <f>'RESUMEN TOTAL'!K19</f>
        <v>APAGADO</v>
      </c>
      <c r="G16" t="str">
        <f>'RESUMEN TOTAL'!L19</f>
        <v>APAGADO</v>
      </c>
      <c r="H16" t="str">
        <f>'RESUMEN TOTAL'!M19</f>
        <v>APAGADO</v>
      </c>
      <c r="I16" t="str">
        <f>'RESUMEN TOTAL'!N19</f>
        <v>APAGADO</v>
      </c>
      <c r="J16" t="str">
        <f>'RESUMEN TOTAL'!O19</f>
        <v>APAGADO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 t="str">
        <f>'RESUMEN TOTAL'!Y19</f>
        <v>APAGADO</v>
      </c>
      <c r="U16" t="str">
        <f>'RESUMEN TOTAL'!Z19</f>
        <v>APAGADO</v>
      </c>
      <c r="V16" t="str">
        <f>'RESUMEN TOTAL'!AA19</f>
        <v>APAGADO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3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TOTAL'!K20</f>
        <v>APAGADO</v>
      </c>
      <c r="G17" t="str">
        <f>'RESUMEN TOTAL'!L20</f>
        <v>APAGADO</v>
      </c>
      <c r="H17" t="str">
        <f>'RESUMEN TOTAL'!M20</f>
        <v>APAGADO</v>
      </c>
      <c r="I17" t="str">
        <f>'RESUMEN TOTAL'!N20</f>
        <v>APAGADO</v>
      </c>
      <c r="J17" t="str">
        <f>'RESUMEN TOTAL'!O20</f>
        <v>APAGADO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 t="str">
        <f>'RESUMEN TOTAL'!Y20</f>
        <v>APAGADO</v>
      </c>
      <c r="U17" t="str">
        <f>'RESUMEN TOTAL'!Z20</f>
        <v>APAGADO</v>
      </c>
      <c r="V17" t="str">
        <f>'RESUMEN TOTAL'!AA20</f>
        <v>APAGADO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3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 t="str">
        <f>'RESUMEN TOTAL'!K21</f>
        <v>APAGADO</v>
      </c>
      <c r="G18" t="str">
        <f>'RESUMEN TOTAL'!L21</f>
        <v>APAGADO</v>
      </c>
      <c r="H18" t="str">
        <f>'RESUMEN TOTAL'!M21</f>
        <v>APAGADO</v>
      </c>
      <c r="I18" t="str">
        <f>'RESUMEN TOTAL'!N21</f>
        <v>APAGADO</v>
      </c>
      <c r="J18" t="str">
        <f>'RESUMEN TOTAL'!O21</f>
        <v>APAGADO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 t="str">
        <f>'RESUMEN TOTAL'!AA21</f>
        <v>APAGADO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3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TOTAL'!K22</f>
        <v>APAGADO</v>
      </c>
      <c r="G19" t="str">
        <f>'RESUMEN TOTAL'!L22</f>
        <v>APAGADO</v>
      </c>
      <c r="H19" t="str">
        <f>'RESUMEN TOTAL'!M22</f>
        <v>APAGADO</v>
      </c>
      <c r="I19" t="str">
        <f>'RESUMEN TOTAL'!N22</f>
        <v>APAGADO</v>
      </c>
      <c r="J19" t="str">
        <f>'RESUMEN TOTAL'!O22</f>
        <v>APAGADO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 t="str">
        <f>'RESUMEN TOTAL'!AA22</f>
        <v>APAGADO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3">
      <c r="A20" t="str">
        <f>'RESUMEN TOTAL'!A265</f>
        <v>RICARDO ROJAS</v>
      </c>
      <c r="B20" t="str">
        <f>'RESUMEN TOTAL'!B265</f>
        <v>RRJ 12</v>
      </c>
      <c r="C20" t="str">
        <f>'RESUMEN TOTAL'!D265</f>
        <v>FADER Y DIAGONAL LOS POETAS</v>
      </c>
      <c r="D20" t="str">
        <f>'RESUMEN TOTAL'!E265</f>
        <v>Fija</v>
      </c>
      <c r="E20" t="str">
        <f>'RESUMEN TOTAL'!F265</f>
        <v>Fibra Optica</v>
      </c>
      <c r="F20" t="str">
        <f>'RESUMEN TOTAL'!K265</f>
        <v>APAGADO</v>
      </c>
      <c r="G20" t="str">
        <f>'RESUMEN TOTAL'!L265</f>
        <v>APAGADO</v>
      </c>
      <c r="H20" t="str">
        <f>'RESUMEN TOTAL'!M265</f>
        <v>APAGADO</v>
      </c>
      <c r="I20" t="str">
        <f>'RESUMEN TOTAL'!N265</f>
        <v>APAGADO</v>
      </c>
      <c r="J20" t="str">
        <f>'RESUMEN TOTAL'!O265</f>
        <v>APAGADO</v>
      </c>
      <c r="K20">
        <f>'RESUMEN TOTAL'!P265</f>
        <v>0</v>
      </c>
      <c r="L20">
        <f>'RESUMEN TOTAL'!Q265</f>
        <v>0</v>
      </c>
      <c r="M20">
        <f>'RESUMEN TOTAL'!R265</f>
        <v>0</v>
      </c>
      <c r="N20">
        <f>'RESUMEN TOTAL'!S265</f>
        <v>0</v>
      </c>
      <c r="O20">
        <f>'RESUMEN TOTAL'!T265</f>
        <v>0</v>
      </c>
      <c r="P20">
        <f>'RESUMEN TOTAL'!U265</f>
        <v>0</v>
      </c>
      <c r="Q20">
        <f>'RESUMEN TOTAL'!V265</f>
        <v>0</v>
      </c>
      <c r="R20">
        <f>'RESUMEN TOTAL'!W265</f>
        <v>0</v>
      </c>
      <c r="S20">
        <f>'RESUMEN TOTAL'!X265</f>
        <v>0</v>
      </c>
      <c r="T20">
        <f>'RESUMEN TOTAL'!Y265</f>
        <v>0</v>
      </c>
      <c r="U20">
        <f>'RESUMEN TOTAL'!Z265</f>
        <v>0</v>
      </c>
      <c r="V20" t="str">
        <f>'RESUMEN TOTAL'!AA265</f>
        <v>APAGADO</v>
      </c>
      <c r="W20">
        <f>'RESUMEN TOTAL'!AB265</f>
        <v>0</v>
      </c>
      <c r="X20">
        <f>'RESUMEN TOTAL'!AC265</f>
        <v>0</v>
      </c>
      <c r="Y20">
        <f>'RESUMEN TOTAL'!AD265</f>
        <v>0</v>
      </c>
      <c r="Z20">
        <f>'RESUMEN TOTAL'!AE265</f>
        <v>0</v>
      </c>
      <c r="AA20">
        <f>'RESUMEN TOTAL'!AF265</f>
        <v>0</v>
      </c>
      <c r="AB20">
        <f>'RESUMEN TOTAL'!AG265</f>
        <v>0</v>
      </c>
      <c r="AC20">
        <f>'RESUMEN TOTAL'!AH265</f>
        <v>0</v>
      </c>
      <c r="AD20">
        <f>'RESUMEN TOTAL'!AI265</f>
        <v>0</v>
      </c>
      <c r="AE20">
        <f>'RESUMEN TOTAL'!AJ265</f>
        <v>0</v>
      </c>
      <c r="AF20">
        <f>'RESUMEN TOTAL'!AK265</f>
        <v>0</v>
      </c>
      <c r="AG20">
        <f>'RESUMEN TOTAL'!AL265</f>
        <v>0</v>
      </c>
      <c r="AH20">
        <f>'RESUMEN TOTAL'!AM265</f>
        <v>0</v>
      </c>
      <c r="AI20">
        <f>'RESUMEN TOTAL'!AN265</f>
        <v>0</v>
      </c>
    </row>
    <row r="21" spans="1:35" x14ac:dyDescent="0.3">
      <c r="A21" t="str">
        <f>'RESUMEN TOTAL'!A23</f>
        <v>CENTRO</v>
      </c>
      <c r="B21" t="str">
        <f>'RESUMEN TOTAL'!B23</f>
        <v>CEN01</v>
      </c>
      <c r="C21" t="str">
        <f>'RESUMEN TOTAL'!D23</f>
        <v>San Martin y 9 de Julio</v>
      </c>
      <c r="D21" t="str">
        <f>'RESUMEN TOTAL'!E23</f>
        <v>Fija</v>
      </c>
      <c r="E21" t="str">
        <f>'RESUMEN TOTAL'!F23</f>
        <v>Fibra Optica</v>
      </c>
      <c r="F21">
        <f>'RESUMEN TOTAL'!K23</f>
        <v>0</v>
      </c>
      <c r="G21">
        <f>'RESUMEN TOTAL'!L23</f>
        <v>0</v>
      </c>
      <c r="H21">
        <f>'RESUMEN TOTAL'!M23</f>
        <v>0</v>
      </c>
      <c r="I21">
        <f>'RESUMEN TOTAL'!N23</f>
        <v>0</v>
      </c>
      <c r="J21">
        <f>'RESUMEN TOTAL'!O23</f>
        <v>0</v>
      </c>
      <c r="K21">
        <f>'RESUMEN TOTAL'!P23</f>
        <v>0</v>
      </c>
      <c r="L21">
        <f>'RESUMEN TOTAL'!Q23</f>
        <v>0</v>
      </c>
      <c r="M21">
        <f>'RESUMEN TOTAL'!R23</f>
        <v>0</v>
      </c>
      <c r="N21">
        <f>'RESUMEN TOTAL'!S23</f>
        <v>0</v>
      </c>
      <c r="O21">
        <f>'RESUMEN TOTAL'!T23</f>
        <v>0</v>
      </c>
      <c r="P21">
        <f>'RESUMEN TOTAL'!U23</f>
        <v>0</v>
      </c>
      <c r="Q21">
        <f>'RESUMEN TOTAL'!V23</f>
        <v>0</v>
      </c>
      <c r="R21">
        <f>'RESUMEN TOTAL'!W23</f>
        <v>0</v>
      </c>
      <c r="S21">
        <f>'RESUMEN TOTAL'!X23</f>
        <v>0</v>
      </c>
      <c r="T21">
        <f>'RESUMEN TOTAL'!Y23</f>
        <v>0</v>
      </c>
      <c r="U21">
        <f>'RESUMEN TOTAL'!Z23</f>
        <v>0</v>
      </c>
      <c r="V21" t="str">
        <f>'RESUMEN TOTAL'!AA23</f>
        <v>APAGADO</v>
      </c>
      <c r="W21">
        <f>'RESUMEN TOTAL'!AB23</f>
        <v>0</v>
      </c>
      <c r="X21">
        <f>'RESUMEN TOTAL'!AC23</f>
        <v>0</v>
      </c>
      <c r="Y21">
        <f>'RESUMEN TOTAL'!AD23</f>
        <v>0</v>
      </c>
      <c r="Z21">
        <f>'RESUMEN TOTAL'!AE23</f>
        <v>0</v>
      </c>
      <c r="AA21">
        <f>'RESUMEN TOTAL'!AF23</f>
        <v>0</v>
      </c>
      <c r="AB21">
        <f>'RESUMEN TOTAL'!AG23</f>
        <v>0</v>
      </c>
      <c r="AC21">
        <f>'RESUMEN TOTAL'!AH23</f>
        <v>0</v>
      </c>
      <c r="AD21">
        <f>'RESUMEN TOTAL'!AI23</f>
        <v>0</v>
      </c>
      <c r="AE21">
        <f>'RESUMEN TOTAL'!AJ23</f>
        <v>0</v>
      </c>
      <c r="AF21">
        <f>'RESUMEN TOTAL'!AK23</f>
        <v>0</v>
      </c>
      <c r="AG21">
        <f>'RESUMEN TOTAL'!AL23</f>
        <v>0</v>
      </c>
      <c r="AH21">
        <f>'RESUMEN TOTAL'!AM23</f>
        <v>0</v>
      </c>
      <c r="AI21">
        <f>'RESUMEN TOTAL'!AN23</f>
        <v>0</v>
      </c>
    </row>
    <row r="22" spans="1:35" x14ac:dyDescent="0.3">
      <c r="A22" t="str">
        <f>'RESUMEN TOTAL'!A24</f>
        <v>CENTRO</v>
      </c>
      <c r="B22" t="str">
        <f>'RESUMEN TOTAL'!B24</f>
        <v>CEN02</v>
      </c>
      <c r="C22" t="str">
        <f>'RESUMEN TOTAL'!D24</f>
        <v>San Martin y Almafuerte</v>
      </c>
      <c r="D22" t="str">
        <f>'RESUMEN TOTAL'!E24</f>
        <v>Fija</v>
      </c>
      <c r="E22" t="str">
        <f>'RESUMEN TOTAL'!F24</f>
        <v>Fibra Optica</v>
      </c>
      <c r="F22">
        <f>'RESUMEN TOTAL'!K24</f>
        <v>0</v>
      </c>
      <c r="G22">
        <f>'RESUMEN TOTAL'!L24</f>
        <v>0</v>
      </c>
      <c r="H22">
        <f>'RESUMEN TOTAL'!M24</f>
        <v>0</v>
      </c>
      <c r="I22">
        <f>'RESUMEN TOTAL'!N24</f>
        <v>0</v>
      </c>
      <c r="J22">
        <f>'RESUMEN TOTAL'!O24</f>
        <v>0</v>
      </c>
      <c r="K22">
        <f>'RESUMEN TOTAL'!P24</f>
        <v>0</v>
      </c>
      <c r="L22">
        <f>'RESUMEN TOTAL'!Q24</f>
        <v>0</v>
      </c>
      <c r="M22">
        <f>'RESUMEN TOTAL'!R24</f>
        <v>0</v>
      </c>
      <c r="N22">
        <f>'RESUMEN TOTAL'!S24</f>
        <v>0</v>
      </c>
      <c r="O22">
        <f>'RESUMEN TOTAL'!T24</f>
        <v>0</v>
      </c>
      <c r="P22">
        <f>'RESUMEN TOTAL'!U24</f>
        <v>0</v>
      </c>
      <c r="Q22">
        <f>'RESUMEN TOTAL'!V24</f>
        <v>0</v>
      </c>
      <c r="R22">
        <f>'RESUMEN TOTAL'!W24</f>
        <v>0</v>
      </c>
      <c r="S22">
        <f>'RESUMEN TOTAL'!X24</f>
        <v>0</v>
      </c>
      <c r="T22" t="str">
        <f>'RESUMEN TOTAL'!Y24</f>
        <v>APAGADO</v>
      </c>
      <c r="U22" t="str">
        <f>'RESUMEN TOTAL'!Z24</f>
        <v>APAGADO</v>
      </c>
      <c r="V22">
        <f>'RESUMEN TOTAL'!AA24</f>
        <v>0</v>
      </c>
      <c r="W22">
        <f>'RESUMEN TOTAL'!AB24</f>
        <v>0</v>
      </c>
      <c r="X22">
        <f>'RESUMEN TOTAL'!AC24</f>
        <v>0</v>
      </c>
      <c r="Y22">
        <f>'RESUMEN TOTAL'!AD24</f>
        <v>0</v>
      </c>
      <c r="Z22">
        <f>'RESUMEN TOTAL'!AE24</f>
        <v>0</v>
      </c>
      <c r="AA22">
        <f>'RESUMEN TOTAL'!AF24</f>
        <v>0</v>
      </c>
      <c r="AB22">
        <f>'RESUMEN TOTAL'!AG24</f>
        <v>0</v>
      </c>
      <c r="AC22">
        <f>'RESUMEN TOTAL'!AH24</f>
        <v>0</v>
      </c>
      <c r="AD22">
        <f>'RESUMEN TOTAL'!AI24</f>
        <v>0</v>
      </c>
      <c r="AE22">
        <f>'RESUMEN TOTAL'!AJ24</f>
        <v>0</v>
      </c>
      <c r="AF22">
        <f>'RESUMEN TOTAL'!AK24</f>
        <v>0</v>
      </c>
      <c r="AG22">
        <f>'RESUMEN TOTAL'!AL24</f>
        <v>0</v>
      </c>
      <c r="AH22">
        <f>'RESUMEN TOTAL'!AM24</f>
        <v>0</v>
      </c>
      <c r="AI22">
        <f>'RESUMEN TOTAL'!AN24</f>
        <v>0</v>
      </c>
    </row>
    <row r="23" spans="1:35" x14ac:dyDescent="0.3">
      <c r="A23" t="str">
        <f>'RESUMEN TOTAL'!A25</f>
        <v>CENTRO</v>
      </c>
      <c r="B23" t="str">
        <f>'RESUMEN TOTAL'!B25</f>
        <v>CEN03</v>
      </c>
      <c r="C23" t="str">
        <f>'RESUMEN TOTAL'!D25</f>
        <v>San Martin y Sallares</v>
      </c>
      <c r="D23" t="str">
        <f>'RESUMEN TOTAL'!E25</f>
        <v>Domo</v>
      </c>
      <c r="E23" t="str">
        <f>'RESUMEN TOTAL'!F25</f>
        <v>Fibra Optica</v>
      </c>
      <c r="F23">
        <f>'RESUMEN TOTAL'!K25</f>
        <v>0</v>
      </c>
      <c r="G23">
        <f>'RESUMEN TOTAL'!L25</f>
        <v>0</v>
      </c>
      <c r="H23">
        <f>'RESUMEN TOTAL'!M25</f>
        <v>0</v>
      </c>
      <c r="I23">
        <f>'RESUMEN TOTAL'!N25</f>
        <v>0</v>
      </c>
      <c r="J23">
        <f>'RESUMEN TOTAL'!O25</f>
        <v>0</v>
      </c>
      <c r="K23">
        <f>'RESUMEN TOTAL'!P25</f>
        <v>0</v>
      </c>
      <c r="L23">
        <f>'RESUMEN TOTAL'!Q25</f>
        <v>0</v>
      </c>
      <c r="M23">
        <f>'RESUMEN TOTAL'!R25</f>
        <v>0</v>
      </c>
      <c r="N23">
        <f>'RESUMEN TOTAL'!S25</f>
        <v>0</v>
      </c>
      <c r="O23">
        <f>'RESUMEN TOTAL'!T25</f>
        <v>0</v>
      </c>
      <c r="P23">
        <f>'RESUMEN TOTAL'!U25</f>
        <v>0</v>
      </c>
      <c r="Q23">
        <f>'RESUMEN TOTAL'!V25</f>
        <v>0</v>
      </c>
      <c r="R23">
        <f>'RESUMEN TOTAL'!W25</f>
        <v>0</v>
      </c>
      <c r="S23">
        <f>'RESUMEN TOTAL'!X25</f>
        <v>0</v>
      </c>
      <c r="T23">
        <f>'RESUMEN TOTAL'!Y25</f>
        <v>0</v>
      </c>
      <c r="U23">
        <f>'RESUMEN TOTAL'!Z25</f>
        <v>0</v>
      </c>
      <c r="V23">
        <f>'RESUMEN TOTAL'!AA25</f>
        <v>0</v>
      </c>
      <c r="W23">
        <f>'RESUMEN TOTAL'!AB25</f>
        <v>0</v>
      </c>
      <c r="X23">
        <f>'RESUMEN TOTAL'!AC25</f>
        <v>0</v>
      </c>
      <c r="Y23">
        <f>'RESUMEN TOTAL'!AD25</f>
        <v>0</v>
      </c>
      <c r="Z23">
        <f>'RESUMEN TOTAL'!AE25</f>
        <v>0</v>
      </c>
      <c r="AA23">
        <f>'RESUMEN TOTAL'!AF25</f>
        <v>0</v>
      </c>
      <c r="AB23">
        <f>'RESUMEN TOTAL'!AG25</f>
        <v>0</v>
      </c>
      <c r="AC23">
        <f>'RESUMEN TOTAL'!AH25</f>
        <v>0</v>
      </c>
      <c r="AD23">
        <f>'RESUMEN TOTAL'!AI25</f>
        <v>0</v>
      </c>
      <c r="AE23">
        <f>'RESUMEN TOTAL'!AJ25</f>
        <v>0</v>
      </c>
      <c r="AF23">
        <f>'RESUMEN TOTAL'!AK25</f>
        <v>0</v>
      </c>
      <c r="AG23">
        <f>'RESUMEN TOTAL'!AL25</f>
        <v>0</v>
      </c>
      <c r="AH23">
        <f>'RESUMEN TOTAL'!AM25</f>
        <v>0</v>
      </c>
      <c r="AI23">
        <f>'RESUMEN TOTAL'!AN25</f>
        <v>0</v>
      </c>
    </row>
    <row r="24" spans="1:35" x14ac:dyDescent="0.3">
      <c r="A24" t="str">
        <f>'RESUMEN TOTAL'!A26</f>
        <v>CENTRO</v>
      </c>
      <c r="B24" t="str">
        <f>'RESUMEN TOTAL'!B26</f>
        <v>CEN04</v>
      </c>
      <c r="C24" t="str">
        <f>'RESUMEN TOTAL'!D26</f>
        <v>San Martin y Contreras</v>
      </c>
      <c r="D24" t="str">
        <f>'RESUMEN TOTAL'!E26</f>
        <v>Domo</v>
      </c>
      <c r="E24" t="str">
        <f>'RESUMEN TOTAL'!F26</f>
        <v>Fibra Optica</v>
      </c>
      <c r="F24">
        <f>'RESUMEN TOTAL'!K26</f>
        <v>0</v>
      </c>
      <c r="G24">
        <f>'RESUMEN TOTAL'!L26</f>
        <v>0</v>
      </c>
      <c r="H24">
        <f>'RESUMEN TOTAL'!M26</f>
        <v>0</v>
      </c>
      <c r="I24">
        <f>'RESUMEN TOTAL'!N26</f>
        <v>0</v>
      </c>
      <c r="J24">
        <f>'RESUMEN TOTAL'!O26</f>
        <v>0</v>
      </c>
      <c r="K24">
        <f>'RESUMEN TOTAL'!P26</f>
        <v>0</v>
      </c>
      <c r="L24">
        <f>'RESUMEN TOTAL'!Q26</f>
        <v>0</v>
      </c>
      <c r="M24">
        <f>'RESUMEN TOTAL'!R26</f>
        <v>0</v>
      </c>
      <c r="N24">
        <f>'RESUMEN TOTAL'!S26</f>
        <v>0</v>
      </c>
      <c r="O24">
        <f>'RESUMEN TOTAL'!T26</f>
        <v>0</v>
      </c>
      <c r="P24">
        <f>'RESUMEN TOTAL'!U26</f>
        <v>0</v>
      </c>
      <c r="Q24">
        <f>'RESUMEN TOTAL'!V26</f>
        <v>0</v>
      </c>
      <c r="R24">
        <f>'RESUMEN TOTAL'!W26</f>
        <v>0</v>
      </c>
      <c r="S24">
        <f>'RESUMEN TOTAL'!X26</f>
        <v>0</v>
      </c>
      <c r="T24">
        <f>'RESUMEN TOTAL'!Y26</f>
        <v>0</v>
      </c>
      <c r="U24">
        <f>'RESUMEN TOTAL'!Z26</f>
        <v>0</v>
      </c>
      <c r="V24">
        <f>'RESUMEN TOTAL'!AA26</f>
        <v>0</v>
      </c>
      <c r="W24">
        <f>'RESUMEN TOTAL'!AB26</f>
        <v>0</v>
      </c>
      <c r="X24">
        <f>'RESUMEN TOTAL'!AC26</f>
        <v>0</v>
      </c>
      <c r="Y24">
        <f>'RESUMEN TOTAL'!AD26</f>
        <v>0</v>
      </c>
      <c r="Z24">
        <f>'RESUMEN TOTAL'!AE26</f>
        <v>0</v>
      </c>
      <c r="AA24">
        <f>'RESUMEN TOTAL'!AF26</f>
        <v>0</v>
      </c>
      <c r="AB24">
        <f>'RESUMEN TOTAL'!AG26</f>
        <v>0</v>
      </c>
      <c r="AC24">
        <f>'RESUMEN TOTAL'!AH26</f>
        <v>0</v>
      </c>
      <c r="AD24">
        <f>'RESUMEN TOTAL'!AI26</f>
        <v>0</v>
      </c>
      <c r="AE24">
        <f>'RESUMEN TOTAL'!AJ26</f>
        <v>0</v>
      </c>
      <c r="AF24">
        <f>'RESUMEN TOTAL'!AK26</f>
        <v>0</v>
      </c>
      <c r="AG24">
        <f>'RESUMEN TOTAL'!AL26</f>
        <v>0</v>
      </c>
      <c r="AH24">
        <f>'RESUMEN TOTAL'!AM26</f>
        <v>0</v>
      </c>
      <c r="AI24">
        <f>'RESUMEN TOTAL'!AN26</f>
        <v>0</v>
      </c>
    </row>
    <row r="25" spans="1:35" x14ac:dyDescent="0.3">
      <c r="A25" t="str">
        <f>'RESUMEN TOTAL'!A27</f>
        <v>CENTRO</v>
      </c>
      <c r="B25" t="str">
        <f>'RESUMEN TOTAL'!B27</f>
        <v>CEN 05</v>
      </c>
      <c r="C25" t="str">
        <f>'RESUMEN TOTAL'!D27</f>
        <v>Bocuzzi e/España y San Martin</v>
      </c>
      <c r="D25" t="str">
        <f>'RESUMEN TOTAL'!E27</f>
        <v>DOMO</v>
      </c>
      <c r="E25" t="str">
        <f>'RESUMEN TOTAL'!F27</f>
        <v>Fibra Optica</v>
      </c>
      <c r="F25" t="str">
        <f>'RESUMEN TOTAL'!K27</f>
        <v>APAGADO</v>
      </c>
      <c r="G25" t="str">
        <f>'RESUMEN TOTAL'!L27</f>
        <v>APAGADO</v>
      </c>
      <c r="H25">
        <f>'RESUMEN TOTAL'!M27</f>
        <v>0</v>
      </c>
      <c r="I25">
        <f>'RESUMEN TOTAL'!N27</f>
        <v>0</v>
      </c>
      <c r="J25">
        <f>'RESUMEN TOTAL'!O27</f>
        <v>0</v>
      </c>
      <c r="K25">
        <f>'RESUMEN TOTAL'!P27</f>
        <v>0</v>
      </c>
      <c r="L25">
        <f>'RESUMEN TOTAL'!Q27</f>
        <v>0</v>
      </c>
      <c r="M25">
        <f>'RESUMEN TOTAL'!R27</f>
        <v>0</v>
      </c>
      <c r="N25">
        <f>'RESUMEN TOTAL'!S27</f>
        <v>0</v>
      </c>
      <c r="O25">
        <f>'RESUMEN TOTAL'!T27</f>
        <v>0</v>
      </c>
      <c r="P25">
        <f>'RESUMEN TOTAL'!U27</f>
        <v>0</v>
      </c>
      <c r="Q25">
        <f>'RESUMEN TOTAL'!V27</f>
        <v>0</v>
      </c>
      <c r="R25">
        <f>'RESUMEN TOTAL'!W27</f>
        <v>0</v>
      </c>
      <c r="S25">
        <f>'RESUMEN TOTAL'!X27</f>
        <v>0</v>
      </c>
      <c r="T25">
        <f>'RESUMEN TOTAL'!Y27</f>
        <v>0</v>
      </c>
      <c r="U25">
        <f>'RESUMEN TOTAL'!Z27</f>
        <v>0</v>
      </c>
      <c r="V25">
        <f>'RESUMEN TOTAL'!AA27</f>
        <v>0</v>
      </c>
      <c r="W25">
        <f>'RESUMEN TOTAL'!AB27</f>
        <v>0</v>
      </c>
      <c r="X25">
        <f>'RESUMEN TOTAL'!AC27</f>
        <v>0</v>
      </c>
      <c r="Y25">
        <f>'RESUMEN TOTAL'!AD27</f>
        <v>0</v>
      </c>
      <c r="Z25">
        <f>'RESUMEN TOTAL'!AE27</f>
        <v>0</v>
      </c>
      <c r="AA25">
        <f>'RESUMEN TOTAL'!AF27</f>
        <v>0</v>
      </c>
      <c r="AB25">
        <f>'RESUMEN TOTAL'!AG27</f>
        <v>0</v>
      </c>
      <c r="AC25">
        <f>'RESUMEN TOTAL'!AH27</f>
        <v>0</v>
      </c>
      <c r="AD25">
        <f>'RESUMEN TOTAL'!AI27</f>
        <v>0</v>
      </c>
      <c r="AE25">
        <f>'RESUMEN TOTAL'!AJ27</f>
        <v>0</v>
      </c>
      <c r="AF25">
        <f>'RESUMEN TOTAL'!AK27</f>
        <v>0</v>
      </c>
      <c r="AG25">
        <f>'RESUMEN TOTAL'!AL27</f>
        <v>0</v>
      </c>
      <c r="AH25">
        <f>'RESUMEN TOTAL'!AM27</f>
        <v>0</v>
      </c>
      <c r="AI25">
        <f>'RESUMEN TOTAL'!AN27</f>
        <v>0</v>
      </c>
    </row>
    <row r="26" spans="1:35" x14ac:dyDescent="0.3">
      <c r="A26" t="str">
        <f>'RESUMEN TOTAL'!A28</f>
        <v>CENTRO</v>
      </c>
      <c r="B26" t="str">
        <f>'RESUMEN TOTAL'!B28</f>
        <v>CEN06</v>
      </c>
      <c r="C26" t="str">
        <f>'RESUMEN TOTAL'!D28</f>
        <v>Monteagudo y A.del Valle</v>
      </c>
      <c r="D26" t="str">
        <f>'RESUMEN TOTAL'!E28</f>
        <v>Fija</v>
      </c>
      <c r="E26" t="str">
        <f>'RESUMEN TOTAL'!F28</f>
        <v>Fibra Optica</v>
      </c>
      <c r="F26">
        <f>'RESUMEN TOTAL'!K28</f>
        <v>0</v>
      </c>
      <c r="G26">
        <f>'RESUMEN TOTAL'!L28</f>
        <v>0</v>
      </c>
      <c r="H26">
        <f>'RESUMEN TOTAL'!M28</f>
        <v>0</v>
      </c>
      <c r="I26">
        <f>'RESUMEN TOTAL'!N28</f>
        <v>0</v>
      </c>
      <c r="J26">
        <f>'RESUMEN TOTAL'!O28</f>
        <v>0</v>
      </c>
      <c r="K26">
        <f>'RESUMEN TOTAL'!P28</f>
        <v>0</v>
      </c>
      <c r="L26">
        <f>'RESUMEN TOTAL'!Q28</f>
        <v>0</v>
      </c>
      <c r="M26">
        <f>'RESUMEN TOTAL'!R28</f>
        <v>0</v>
      </c>
      <c r="N26">
        <f>'RESUMEN TOTAL'!S28</f>
        <v>0</v>
      </c>
      <c r="O26">
        <f>'RESUMEN TOTAL'!T28</f>
        <v>0</v>
      </c>
      <c r="P26">
        <f>'RESUMEN TOTAL'!U28</f>
        <v>0</v>
      </c>
      <c r="Q26">
        <f>'RESUMEN TOTAL'!V28</f>
        <v>0</v>
      </c>
      <c r="R26">
        <f>'RESUMEN TOTAL'!W28</f>
        <v>0</v>
      </c>
      <c r="S26">
        <f>'RESUMEN TOTAL'!X28</f>
        <v>0</v>
      </c>
      <c r="T26">
        <f>'RESUMEN TOTAL'!Y28</f>
        <v>0</v>
      </c>
      <c r="U26">
        <f>'RESUMEN TOTAL'!Z28</f>
        <v>0</v>
      </c>
      <c r="V26">
        <f>'RESUMEN TOTAL'!AA28</f>
        <v>0</v>
      </c>
      <c r="W26">
        <f>'RESUMEN TOTAL'!AB28</f>
        <v>0</v>
      </c>
      <c r="X26">
        <f>'RESUMEN TOTAL'!AC28</f>
        <v>0</v>
      </c>
      <c r="Y26">
        <f>'RESUMEN TOTAL'!AD28</f>
        <v>0</v>
      </c>
      <c r="Z26">
        <f>'RESUMEN TOTAL'!AE28</f>
        <v>0</v>
      </c>
      <c r="AA26">
        <f>'RESUMEN TOTAL'!AF28</f>
        <v>0</v>
      </c>
      <c r="AB26">
        <f>'RESUMEN TOTAL'!AG28</f>
        <v>0</v>
      </c>
      <c r="AC26">
        <f>'RESUMEN TOTAL'!AH28</f>
        <v>0</v>
      </c>
      <c r="AD26">
        <f>'RESUMEN TOTAL'!AI28</f>
        <v>0</v>
      </c>
      <c r="AE26">
        <f>'RESUMEN TOTAL'!AJ28</f>
        <v>0</v>
      </c>
      <c r="AF26">
        <f>'RESUMEN TOTAL'!AK28</f>
        <v>0</v>
      </c>
      <c r="AG26">
        <f>'RESUMEN TOTAL'!AL28</f>
        <v>0</v>
      </c>
      <c r="AH26">
        <f>'RESUMEN TOTAL'!AM28</f>
        <v>0</v>
      </c>
      <c r="AI26">
        <f>'RESUMEN TOTAL'!AN28</f>
        <v>0</v>
      </c>
    </row>
    <row r="27" spans="1:35" x14ac:dyDescent="0.3">
      <c r="A27" t="str">
        <f>'RESUMEN TOTAL'!A29</f>
        <v>CENTRO</v>
      </c>
      <c r="B27" t="str">
        <f>'RESUMEN TOTAL'!B29</f>
        <v>CEN07</v>
      </c>
      <c r="C27" t="str">
        <f>'RESUMEN TOTAL'!D29</f>
        <v>San Martin y Guemes</v>
      </c>
      <c r="D27" t="str">
        <f>'RESUMEN TOTAL'!E29</f>
        <v>DOMO</v>
      </c>
      <c r="E27" t="str">
        <f>'RESUMEN TOTAL'!F29</f>
        <v>Fibra Optica</v>
      </c>
      <c r="F27">
        <f>'RESUMEN TOTAL'!K29</f>
        <v>0</v>
      </c>
      <c r="G27">
        <f>'RESUMEN TOTAL'!L29</f>
        <v>0</v>
      </c>
      <c r="H27">
        <f>'RESUMEN TOTAL'!M29</f>
        <v>0</v>
      </c>
      <c r="I27">
        <f>'RESUMEN TOTAL'!N29</f>
        <v>0</v>
      </c>
      <c r="J27">
        <f>'RESUMEN TOTAL'!O29</f>
        <v>0</v>
      </c>
      <c r="K27">
        <f>'RESUMEN TOTAL'!P29</f>
        <v>0</v>
      </c>
      <c r="L27">
        <f>'RESUMEN TOTAL'!Q29</f>
        <v>0</v>
      </c>
      <c r="M27">
        <f>'RESUMEN TOTAL'!R29</f>
        <v>0</v>
      </c>
      <c r="N27">
        <f>'RESUMEN TOTAL'!S29</f>
        <v>0</v>
      </c>
      <c r="O27">
        <f>'RESUMEN TOTAL'!T29</f>
        <v>0</v>
      </c>
      <c r="P27">
        <f>'RESUMEN TOTAL'!U29</f>
        <v>0</v>
      </c>
      <c r="Q27">
        <f>'RESUMEN TOTAL'!V29</f>
        <v>0</v>
      </c>
      <c r="R27">
        <f>'RESUMEN TOTAL'!W29</f>
        <v>0</v>
      </c>
      <c r="S27">
        <f>'RESUMEN TOTAL'!X29</f>
        <v>0</v>
      </c>
      <c r="T27">
        <f>'RESUMEN TOTAL'!Y29</f>
        <v>0</v>
      </c>
      <c r="U27">
        <f>'RESUMEN TOTAL'!Z29</f>
        <v>0</v>
      </c>
      <c r="V27">
        <f>'RESUMEN TOTAL'!AA29</f>
        <v>0</v>
      </c>
      <c r="W27">
        <f>'RESUMEN TOTAL'!AB29</f>
        <v>0</v>
      </c>
      <c r="X27">
        <f>'RESUMEN TOTAL'!AC29</f>
        <v>0</v>
      </c>
      <c r="Y27">
        <f>'RESUMEN TOTAL'!AD29</f>
        <v>0</v>
      </c>
      <c r="Z27">
        <f>'RESUMEN TOTAL'!AE29</f>
        <v>0</v>
      </c>
      <c r="AA27">
        <f>'RESUMEN TOTAL'!AF29</f>
        <v>0</v>
      </c>
      <c r="AB27">
        <f>'RESUMEN TOTAL'!AG29</f>
        <v>0</v>
      </c>
      <c r="AC27">
        <f>'RESUMEN TOTAL'!AH29</f>
        <v>0</v>
      </c>
      <c r="AD27">
        <f>'RESUMEN TOTAL'!AI29</f>
        <v>0</v>
      </c>
      <c r="AE27">
        <f>'RESUMEN TOTAL'!AJ29</f>
        <v>0</v>
      </c>
      <c r="AF27">
        <f>'RESUMEN TOTAL'!AK29</f>
        <v>0</v>
      </c>
      <c r="AG27">
        <f>'RESUMEN TOTAL'!AL29</f>
        <v>0</v>
      </c>
      <c r="AH27">
        <f>'RESUMEN TOTAL'!AM29</f>
        <v>0</v>
      </c>
      <c r="AI27">
        <f>'RESUMEN TOTAL'!AN29</f>
        <v>0</v>
      </c>
    </row>
    <row r="28" spans="1:35" x14ac:dyDescent="0.3">
      <c r="A28" t="str">
        <f>'RESUMEN TOTAL'!A30</f>
        <v>CENTRO</v>
      </c>
      <c r="B28" t="str">
        <f>'RESUMEN TOTAL'!B30</f>
        <v>CEN08</v>
      </c>
      <c r="C28" t="str">
        <f>'RESUMEN TOTAL'!D30</f>
        <v>San Martin y Pte.Peron</v>
      </c>
      <c r="D28" t="str">
        <f>'RESUMEN TOTAL'!E30</f>
        <v>Domo</v>
      </c>
      <c r="E28" t="str">
        <f>'RESUMEN TOTAL'!F30</f>
        <v>Fibra Optica</v>
      </c>
      <c r="F28">
        <f>'RESUMEN TOTAL'!K30</f>
        <v>0</v>
      </c>
      <c r="G28">
        <f>'RESUMEN TOTAL'!L30</f>
        <v>0</v>
      </c>
      <c r="H28">
        <f>'RESUMEN TOTAL'!M30</f>
        <v>0</v>
      </c>
      <c r="I28">
        <f>'RESUMEN TOTAL'!N30</f>
        <v>0</v>
      </c>
      <c r="J28">
        <f>'RESUMEN TOTAL'!O30</f>
        <v>0</v>
      </c>
      <c r="K28">
        <f>'RESUMEN TOTAL'!P30</f>
        <v>0</v>
      </c>
      <c r="L28">
        <f>'RESUMEN TOTAL'!Q30</f>
        <v>0</v>
      </c>
      <c r="M28">
        <f>'RESUMEN TOTAL'!R30</f>
        <v>0</v>
      </c>
      <c r="N28">
        <f>'RESUMEN TOTAL'!S30</f>
        <v>0</v>
      </c>
      <c r="O28">
        <f>'RESUMEN TOTAL'!T30</f>
        <v>0</v>
      </c>
      <c r="P28">
        <f>'RESUMEN TOTAL'!U30</f>
        <v>0</v>
      </c>
      <c r="Q28">
        <f>'RESUMEN TOTAL'!V30</f>
        <v>0</v>
      </c>
      <c r="R28">
        <f>'RESUMEN TOTAL'!W30</f>
        <v>0</v>
      </c>
      <c r="S28">
        <f>'RESUMEN TOTAL'!X30</f>
        <v>0</v>
      </c>
      <c r="T28">
        <f>'RESUMEN TOTAL'!Y30</f>
        <v>0</v>
      </c>
      <c r="U28">
        <f>'RESUMEN TOTAL'!Z30</f>
        <v>0</v>
      </c>
      <c r="V28">
        <f>'RESUMEN TOTAL'!AA30</f>
        <v>0</v>
      </c>
      <c r="W28">
        <f>'RESUMEN TOTAL'!AB30</f>
        <v>0</v>
      </c>
      <c r="X28">
        <f>'RESUMEN TOTAL'!AC30</f>
        <v>0</v>
      </c>
      <c r="Y28">
        <f>'RESUMEN TOTAL'!AD30</f>
        <v>0</v>
      </c>
      <c r="Z28">
        <f>'RESUMEN TOTAL'!AE30</f>
        <v>0</v>
      </c>
      <c r="AA28">
        <f>'RESUMEN TOTAL'!AF30</f>
        <v>0</v>
      </c>
      <c r="AB28">
        <f>'RESUMEN TOTAL'!AG30</f>
        <v>0</v>
      </c>
      <c r="AC28">
        <f>'RESUMEN TOTAL'!AH30</f>
        <v>0</v>
      </c>
      <c r="AD28">
        <f>'RESUMEN TOTAL'!AI30</f>
        <v>0</v>
      </c>
      <c r="AE28">
        <f>'RESUMEN TOTAL'!AJ30</f>
        <v>0</v>
      </c>
      <c r="AF28">
        <f>'RESUMEN TOTAL'!AK30</f>
        <v>0</v>
      </c>
      <c r="AG28">
        <f>'RESUMEN TOTAL'!AL30</f>
        <v>0</v>
      </c>
      <c r="AH28">
        <f>'RESUMEN TOTAL'!AM30</f>
        <v>0</v>
      </c>
      <c r="AI28">
        <f>'RESUMEN TOTAL'!AN30</f>
        <v>0</v>
      </c>
    </row>
    <row r="29" spans="1:35" x14ac:dyDescent="0.3">
      <c r="A29" t="str">
        <f>'RESUMEN TOTAL'!A31</f>
        <v>CENTRO</v>
      </c>
      <c r="B29" t="str">
        <f>'RESUMEN TOTAL'!B31</f>
        <v>CEN09</v>
      </c>
      <c r="C29" t="str">
        <f>'RESUMEN TOTAL'!D31</f>
        <v>Chacabuco y 25 de Mayo</v>
      </c>
      <c r="D29" t="str">
        <f>'RESUMEN TOTAL'!E31</f>
        <v>Domo</v>
      </c>
      <c r="E29" t="str">
        <f>'RESUMEN TOTAL'!F31</f>
        <v>Fibra Optica</v>
      </c>
      <c r="F29">
        <f>'RESUMEN TOTAL'!K31</f>
        <v>0</v>
      </c>
      <c r="G29">
        <f>'RESUMEN TOTAL'!L31</f>
        <v>0</v>
      </c>
      <c r="H29">
        <f>'RESUMEN TOTAL'!M31</f>
        <v>0</v>
      </c>
      <c r="I29">
        <f>'RESUMEN TOTAL'!N31</f>
        <v>0</v>
      </c>
      <c r="J29">
        <f>'RESUMEN TOTAL'!O31</f>
        <v>0</v>
      </c>
      <c r="K29">
        <f>'RESUMEN TOTAL'!P31</f>
        <v>0</v>
      </c>
      <c r="L29">
        <f>'RESUMEN TOTAL'!Q31</f>
        <v>0</v>
      </c>
      <c r="M29">
        <f>'RESUMEN TOTAL'!R31</f>
        <v>0</v>
      </c>
      <c r="N29">
        <f>'RESUMEN TOTAL'!S31</f>
        <v>0</v>
      </c>
      <c r="O29">
        <f>'RESUMEN TOTAL'!T31</f>
        <v>0</v>
      </c>
      <c r="P29">
        <f>'RESUMEN TOTAL'!U31</f>
        <v>0</v>
      </c>
      <c r="Q29">
        <f>'RESUMEN TOTAL'!V31</f>
        <v>0</v>
      </c>
      <c r="R29">
        <f>'RESUMEN TOTAL'!W31</f>
        <v>0</v>
      </c>
      <c r="S29">
        <f>'RESUMEN TOTAL'!X31</f>
        <v>0</v>
      </c>
      <c r="T29">
        <f>'RESUMEN TOTAL'!Y31</f>
        <v>0</v>
      </c>
      <c r="U29">
        <f>'RESUMEN TOTAL'!Z31</f>
        <v>0</v>
      </c>
      <c r="V29">
        <f>'RESUMEN TOTAL'!AA31</f>
        <v>0</v>
      </c>
      <c r="W29">
        <f>'RESUMEN TOTAL'!AB31</f>
        <v>0</v>
      </c>
      <c r="X29">
        <f>'RESUMEN TOTAL'!AC31</f>
        <v>0</v>
      </c>
      <c r="Y29">
        <f>'RESUMEN TOTAL'!AD31</f>
        <v>0</v>
      </c>
      <c r="Z29">
        <f>'RESUMEN TOTAL'!AE31</f>
        <v>0</v>
      </c>
      <c r="AA29">
        <f>'RESUMEN TOTAL'!AF31</f>
        <v>0</v>
      </c>
      <c r="AB29">
        <f>'RESUMEN TOTAL'!AG31</f>
        <v>0</v>
      </c>
      <c r="AC29">
        <f>'RESUMEN TOTAL'!AH31</f>
        <v>0</v>
      </c>
      <c r="AD29">
        <f>'RESUMEN TOTAL'!AI31</f>
        <v>0</v>
      </c>
      <c r="AE29">
        <f>'RESUMEN TOTAL'!AJ31</f>
        <v>0</v>
      </c>
      <c r="AF29">
        <f>'RESUMEN TOTAL'!AK31</f>
        <v>0</v>
      </c>
      <c r="AG29">
        <f>'RESUMEN TOTAL'!AL31</f>
        <v>0</v>
      </c>
      <c r="AH29">
        <f>'RESUMEN TOTAL'!AM31</f>
        <v>0</v>
      </c>
      <c r="AI29">
        <f>'RESUMEN TOTAL'!AN31</f>
        <v>0</v>
      </c>
    </row>
    <row r="30" spans="1:35" x14ac:dyDescent="0.3">
      <c r="A30" t="str">
        <f>'RESUMEN TOTAL'!A32</f>
        <v>CENTRO</v>
      </c>
      <c r="B30" t="str">
        <f>'RESUMEN TOTAL'!B32</f>
        <v>CEN10</v>
      </c>
      <c r="C30" t="str">
        <f>'RESUMEN TOTAL'!D32</f>
        <v>Monteagudo y Pte. Peron</v>
      </c>
      <c r="D30" t="str">
        <f>'RESUMEN TOTAL'!E32</f>
        <v>Domo</v>
      </c>
      <c r="E30" t="str">
        <f>'RESUMEN TOTAL'!F32</f>
        <v>Fibra Optica</v>
      </c>
      <c r="F30">
        <f>'RESUMEN TOTAL'!K32</f>
        <v>0</v>
      </c>
      <c r="G30">
        <f>'RESUMEN TOTAL'!L32</f>
        <v>0</v>
      </c>
      <c r="H30">
        <f>'RESUMEN TOTAL'!M32</f>
        <v>0</v>
      </c>
      <c r="I30">
        <f>'RESUMEN TOTAL'!N32</f>
        <v>0</v>
      </c>
      <c r="J30">
        <f>'RESUMEN TOTAL'!O32</f>
        <v>0</v>
      </c>
      <c r="K30">
        <f>'RESUMEN TOTAL'!P32</f>
        <v>0</v>
      </c>
      <c r="L30">
        <f>'RESUMEN TOTAL'!Q32</f>
        <v>0</v>
      </c>
      <c r="M30">
        <f>'RESUMEN TOTAL'!R32</f>
        <v>0</v>
      </c>
      <c r="N30">
        <f>'RESUMEN TOTAL'!S32</f>
        <v>0</v>
      </c>
      <c r="O30">
        <f>'RESUMEN TOTAL'!T32</f>
        <v>0</v>
      </c>
      <c r="P30">
        <f>'RESUMEN TOTAL'!U32</f>
        <v>0</v>
      </c>
      <c r="Q30">
        <f>'RESUMEN TOTAL'!V32</f>
        <v>0</v>
      </c>
      <c r="R30">
        <f>'RESUMEN TOTAL'!W32</f>
        <v>0</v>
      </c>
      <c r="S30">
        <f>'RESUMEN TOTAL'!X32</f>
        <v>0</v>
      </c>
      <c r="T30">
        <f>'RESUMEN TOTAL'!Y32</f>
        <v>0</v>
      </c>
      <c r="U30">
        <f>'RESUMEN TOTAL'!Z32</f>
        <v>0</v>
      </c>
      <c r="V30">
        <f>'RESUMEN TOTAL'!AA32</f>
        <v>0</v>
      </c>
      <c r="W30">
        <f>'RESUMEN TOTAL'!AB32</f>
        <v>0</v>
      </c>
      <c r="X30">
        <f>'RESUMEN TOTAL'!AC32</f>
        <v>0</v>
      </c>
      <c r="Y30">
        <f>'RESUMEN TOTAL'!AD32</f>
        <v>0</v>
      </c>
      <c r="Z30">
        <f>'RESUMEN TOTAL'!AE32</f>
        <v>0</v>
      </c>
      <c r="AA30">
        <f>'RESUMEN TOTAL'!AF32</f>
        <v>0</v>
      </c>
      <c r="AB30">
        <f>'RESUMEN TOTAL'!AG32</f>
        <v>0</v>
      </c>
      <c r="AC30">
        <f>'RESUMEN TOTAL'!AH32</f>
        <v>0</v>
      </c>
      <c r="AD30">
        <f>'RESUMEN TOTAL'!AI32</f>
        <v>0</v>
      </c>
      <c r="AE30">
        <f>'RESUMEN TOTAL'!AJ32</f>
        <v>0</v>
      </c>
      <c r="AF30">
        <f>'RESUMEN TOTAL'!AK32</f>
        <v>0</v>
      </c>
      <c r="AG30">
        <f>'RESUMEN TOTAL'!AL32</f>
        <v>0</v>
      </c>
      <c r="AH30">
        <f>'RESUMEN TOTAL'!AM32</f>
        <v>0</v>
      </c>
      <c r="AI30">
        <f>'RESUMEN TOTAL'!AN32</f>
        <v>0</v>
      </c>
    </row>
    <row r="31" spans="1:35" x14ac:dyDescent="0.3">
      <c r="A31" t="str">
        <f>'RESUMEN TOTAL'!A33</f>
        <v>CENTRO</v>
      </c>
      <c r="B31" t="str">
        <f>'RESUMEN TOTAL'!B33</f>
        <v>CEN11</v>
      </c>
      <c r="C31" t="str">
        <f>'RESUMEN TOTAL'!D33</f>
        <v>Monteagudo y Bocuzzi</v>
      </c>
      <c r="D31" t="str">
        <f>'RESUMEN TOTAL'!E33</f>
        <v>Domo</v>
      </c>
      <c r="E31" t="str">
        <f>'RESUMEN TOTAL'!F33</f>
        <v>Fibra Optica</v>
      </c>
      <c r="F31">
        <f>'RESUMEN TOTAL'!K33</f>
        <v>0</v>
      </c>
      <c r="G31">
        <f>'RESUMEN TOTAL'!L33</f>
        <v>0</v>
      </c>
      <c r="H31">
        <f>'RESUMEN TOTAL'!M33</f>
        <v>0</v>
      </c>
      <c r="I31">
        <f>'RESUMEN TOTAL'!N33</f>
        <v>0</v>
      </c>
      <c r="J31">
        <f>'RESUMEN TOTAL'!O33</f>
        <v>0</v>
      </c>
      <c r="K31">
        <f>'RESUMEN TOTAL'!P33</f>
        <v>0</v>
      </c>
      <c r="L31">
        <f>'RESUMEN TOTAL'!Q33</f>
        <v>0</v>
      </c>
      <c r="M31">
        <f>'RESUMEN TOTAL'!R33</f>
        <v>0</v>
      </c>
      <c r="N31">
        <f>'RESUMEN TOTAL'!S33</f>
        <v>0</v>
      </c>
      <c r="O31">
        <f>'RESUMEN TOTAL'!T33</f>
        <v>0</v>
      </c>
      <c r="P31">
        <f>'RESUMEN TOTAL'!U33</f>
        <v>0</v>
      </c>
      <c r="Q31">
        <f>'RESUMEN TOTAL'!V33</f>
        <v>0</v>
      </c>
      <c r="R31">
        <f>'RESUMEN TOTAL'!W33</f>
        <v>0</v>
      </c>
      <c r="S31">
        <f>'RESUMEN TOTAL'!X33</f>
        <v>0</v>
      </c>
      <c r="T31">
        <f>'RESUMEN TOTAL'!Y33</f>
        <v>0</v>
      </c>
      <c r="U31">
        <f>'RESUMEN TOTAL'!Z33</f>
        <v>0</v>
      </c>
      <c r="V31">
        <f>'RESUMEN TOTAL'!AA33</f>
        <v>0</v>
      </c>
      <c r="W31">
        <f>'RESUMEN TOTAL'!AB33</f>
        <v>0</v>
      </c>
      <c r="X31">
        <f>'RESUMEN TOTAL'!AC33</f>
        <v>0</v>
      </c>
      <c r="Y31">
        <f>'RESUMEN TOTAL'!AD33</f>
        <v>0</v>
      </c>
      <c r="Z31">
        <f>'RESUMEN TOTAL'!AE33</f>
        <v>0</v>
      </c>
      <c r="AA31">
        <f>'RESUMEN TOTAL'!AF33</f>
        <v>0</v>
      </c>
      <c r="AB31">
        <f>'RESUMEN TOTAL'!AG33</f>
        <v>0</v>
      </c>
      <c r="AC31">
        <f>'RESUMEN TOTAL'!AH33</f>
        <v>0</v>
      </c>
      <c r="AD31">
        <f>'RESUMEN TOTAL'!AI33</f>
        <v>0</v>
      </c>
      <c r="AE31">
        <f>'RESUMEN TOTAL'!AJ33</f>
        <v>0</v>
      </c>
      <c r="AF31">
        <f>'RESUMEN TOTAL'!AK33</f>
        <v>0</v>
      </c>
      <c r="AG31">
        <f>'RESUMEN TOTAL'!AL33</f>
        <v>0</v>
      </c>
      <c r="AH31">
        <f>'RESUMEN TOTAL'!AM33</f>
        <v>0</v>
      </c>
      <c r="AI31">
        <f>'RESUMEN TOTAL'!AN33</f>
        <v>0</v>
      </c>
    </row>
    <row r="32" spans="1:35" x14ac:dyDescent="0.3">
      <c r="A32" t="str">
        <f>'RESUMEN TOTAL'!A34</f>
        <v>CENTRO</v>
      </c>
      <c r="B32" t="str">
        <f>'RESUMEN TOTAL'!B34</f>
        <v>CEN 12</v>
      </c>
      <c r="C32" t="str">
        <f>'RESUMEN TOTAL'!D34</f>
        <v>Monteagudo y Mitre</v>
      </c>
      <c r="D32" t="str">
        <f>'RESUMEN TOTAL'!E34</f>
        <v>Domo</v>
      </c>
      <c r="E32" t="str">
        <f>'RESUMEN TOTAL'!F34</f>
        <v>Fibra Optica</v>
      </c>
      <c r="F32" t="str">
        <f>'RESUMEN TOTAL'!K34</f>
        <v>APAGADO</v>
      </c>
      <c r="G32" t="str">
        <f>'RESUMEN TOTAL'!L34</f>
        <v>APAGADO</v>
      </c>
      <c r="H32" t="str">
        <f>'RESUMEN TOTAL'!M34</f>
        <v>APAGADO</v>
      </c>
      <c r="I32" t="str">
        <f>'RESUMEN TOTAL'!N34</f>
        <v>APAGADO</v>
      </c>
      <c r="J32" t="str">
        <f>'RESUMEN TOTAL'!O34</f>
        <v>APAGADO</v>
      </c>
      <c r="K32" t="str">
        <f>'RESUMEN TOTAL'!P34</f>
        <v>APAGADO</v>
      </c>
      <c r="L32" t="str">
        <f>'RESUMEN TOTAL'!Q34</f>
        <v>APAGADO</v>
      </c>
      <c r="M32" t="str">
        <f>'RESUMEN TOTAL'!R34</f>
        <v>APAGADO</v>
      </c>
      <c r="N32" t="str">
        <f>'RESUMEN TOTAL'!S34</f>
        <v>APAGADO</v>
      </c>
      <c r="O32" t="str">
        <f>'RESUMEN TOTAL'!T34</f>
        <v>APAGADO</v>
      </c>
      <c r="P32" t="str">
        <f>'RESUMEN TOTAL'!U34</f>
        <v>APAGADO</v>
      </c>
      <c r="Q32" t="str">
        <f>'RESUMEN TOTAL'!V34</f>
        <v>APAGADO</v>
      </c>
      <c r="R32" t="str">
        <f>'RESUMEN TOTAL'!W34</f>
        <v>APAGADO</v>
      </c>
      <c r="S32" t="str">
        <f>'RESUMEN TOTAL'!X34</f>
        <v>APAGADO</v>
      </c>
      <c r="T32" t="str">
        <f>'RESUMEN TOTAL'!Y34</f>
        <v>APAGADO</v>
      </c>
      <c r="U32" t="str">
        <f>'RESUMEN TOTAL'!Z34</f>
        <v>APAGADO</v>
      </c>
      <c r="V32" t="str">
        <f>'RESUMEN TOTAL'!AA34</f>
        <v>APAGADO</v>
      </c>
      <c r="W32">
        <f>'RESUMEN TOTAL'!AB34</f>
        <v>0</v>
      </c>
      <c r="X32">
        <f>'RESUMEN TOTAL'!AC34</f>
        <v>0</v>
      </c>
      <c r="Y32">
        <f>'RESUMEN TOTAL'!AD34</f>
        <v>0</v>
      </c>
      <c r="Z32">
        <f>'RESUMEN TOTAL'!AE34</f>
        <v>0</v>
      </c>
      <c r="AA32">
        <f>'RESUMEN TOTAL'!AF34</f>
        <v>0</v>
      </c>
      <c r="AB32">
        <f>'RESUMEN TOTAL'!AG34</f>
        <v>0</v>
      </c>
      <c r="AC32">
        <f>'RESUMEN TOTAL'!AH34</f>
        <v>0</v>
      </c>
      <c r="AD32">
        <f>'RESUMEN TOTAL'!AI34</f>
        <v>0</v>
      </c>
      <c r="AE32">
        <f>'RESUMEN TOTAL'!AJ34</f>
        <v>0</v>
      </c>
      <c r="AF32">
        <f>'RESUMEN TOTAL'!AK34</f>
        <v>0</v>
      </c>
      <c r="AG32">
        <f>'RESUMEN TOTAL'!AL34</f>
        <v>0</v>
      </c>
      <c r="AH32">
        <f>'RESUMEN TOTAL'!AM34</f>
        <v>0</v>
      </c>
      <c r="AI32">
        <f>'RESUMEN TOTAL'!AN34</f>
        <v>0</v>
      </c>
    </row>
    <row r="33" spans="1:35" x14ac:dyDescent="0.3">
      <c r="A33" t="str">
        <f>'RESUMEN TOTAL'!A35</f>
        <v>CENTRO</v>
      </c>
      <c r="B33" t="str">
        <f>'RESUMEN TOTAL'!B35</f>
        <v>CEN 13</v>
      </c>
      <c r="C33" t="str">
        <f>'RESUMEN TOTAL'!D35</f>
        <v>25 de Mayo y Maipu</v>
      </c>
      <c r="D33" t="str">
        <f>'RESUMEN TOTAL'!E35</f>
        <v>DOMO</v>
      </c>
      <c r="E33" t="str">
        <f>'RESUMEN TOTAL'!F35</f>
        <v>Fibra Optica</v>
      </c>
      <c r="F33">
        <f>'RESUMEN TOTAL'!K35</f>
        <v>0</v>
      </c>
      <c r="G33">
        <f>'RESUMEN TOTAL'!L35</f>
        <v>0</v>
      </c>
      <c r="H33">
        <f>'RESUMEN TOTAL'!M35</f>
        <v>0</v>
      </c>
      <c r="I33">
        <f>'RESUMEN TOTAL'!N35</f>
        <v>0</v>
      </c>
      <c r="J33">
        <f>'RESUMEN TOTAL'!O35</f>
        <v>0</v>
      </c>
      <c r="K33">
        <f>'RESUMEN TOTAL'!P35</f>
        <v>0</v>
      </c>
      <c r="L33">
        <f>'RESUMEN TOTAL'!Q35</f>
        <v>0</v>
      </c>
      <c r="M33">
        <f>'RESUMEN TOTAL'!R35</f>
        <v>0</v>
      </c>
      <c r="N33">
        <f>'RESUMEN TOTAL'!S35</f>
        <v>0</v>
      </c>
      <c r="O33">
        <f>'RESUMEN TOTAL'!T35</f>
        <v>0</v>
      </c>
      <c r="P33">
        <f>'RESUMEN TOTAL'!U35</f>
        <v>0</v>
      </c>
      <c r="Q33">
        <f>'RESUMEN TOTAL'!V35</f>
        <v>0</v>
      </c>
      <c r="R33">
        <f>'RESUMEN TOTAL'!W35</f>
        <v>0</v>
      </c>
      <c r="S33">
        <f>'RESUMEN TOTAL'!X35</f>
        <v>0</v>
      </c>
      <c r="T33">
        <f>'RESUMEN TOTAL'!Y35</f>
        <v>0</v>
      </c>
      <c r="U33">
        <f>'RESUMEN TOTAL'!Z35</f>
        <v>0</v>
      </c>
      <c r="V33">
        <f>'RESUMEN TOTAL'!AA35</f>
        <v>0</v>
      </c>
      <c r="W33">
        <f>'RESUMEN TOTAL'!AB35</f>
        <v>0</v>
      </c>
      <c r="X33">
        <f>'RESUMEN TOTAL'!AC35</f>
        <v>0</v>
      </c>
      <c r="Y33">
        <f>'RESUMEN TOTAL'!AD35</f>
        <v>0</v>
      </c>
      <c r="Z33">
        <f>'RESUMEN TOTAL'!AE35</f>
        <v>0</v>
      </c>
      <c r="AA33">
        <f>'RESUMEN TOTAL'!AF35</f>
        <v>0</v>
      </c>
      <c r="AB33">
        <f>'RESUMEN TOTAL'!AG35</f>
        <v>0</v>
      </c>
      <c r="AC33">
        <f>'RESUMEN TOTAL'!AH35</f>
        <v>0</v>
      </c>
      <c r="AD33">
        <f>'RESUMEN TOTAL'!AI35</f>
        <v>0</v>
      </c>
      <c r="AE33">
        <f>'RESUMEN TOTAL'!AJ35</f>
        <v>0</v>
      </c>
      <c r="AF33">
        <f>'RESUMEN TOTAL'!AK35</f>
        <v>0</v>
      </c>
      <c r="AG33">
        <f>'RESUMEN TOTAL'!AL35</f>
        <v>0</v>
      </c>
      <c r="AH33">
        <f>'RESUMEN TOTAL'!AM35</f>
        <v>0</v>
      </c>
      <c r="AI33">
        <f>'RESUMEN TOTAL'!AN35</f>
        <v>0</v>
      </c>
    </row>
    <row r="34" spans="1:35" x14ac:dyDescent="0.3">
      <c r="A34" t="str">
        <f>'RESUMEN TOTAL'!A36</f>
        <v>CENTRO</v>
      </c>
      <c r="B34" t="str">
        <f>'RESUMEN TOTAL'!B36</f>
        <v>CEN14</v>
      </c>
      <c r="C34" t="str">
        <f>'RESUMEN TOTAL'!D36</f>
        <v>Pte.Peron e/Pringles y Brown</v>
      </c>
      <c r="D34" t="str">
        <f>'RESUMEN TOTAL'!E36</f>
        <v>Domo</v>
      </c>
      <c r="E34" t="str">
        <f>'RESUMEN TOTAL'!F36</f>
        <v>Fibra Optica</v>
      </c>
      <c r="F34">
        <f>'RESUMEN TOTAL'!K36</f>
        <v>0</v>
      </c>
      <c r="G34">
        <f>'RESUMEN TOTAL'!L36</f>
        <v>0</v>
      </c>
      <c r="H34">
        <f>'RESUMEN TOTAL'!M36</f>
        <v>0</v>
      </c>
      <c r="I34">
        <f>'RESUMEN TOTAL'!N36</f>
        <v>0</v>
      </c>
      <c r="J34">
        <f>'RESUMEN TOTAL'!O36</f>
        <v>0</v>
      </c>
      <c r="K34">
        <f>'RESUMEN TOTAL'!P36</f>
        <v>0</v>
      </c>
      <c r="L34">
        <f>'RESUMEN TOTAL'!Q36</f>
        <v>0</v>
      </c>
      <c r="M34">
        <f>'RESUMEN TOTAL'!R36</f>
        <v>0</v>
      </c>
      <c r="N34">
        <f>'RESUMEN TOTAL'!S36</f>
        <v>0</v>
      </c>
      <c r="O34">
        <f>'RESUMEN TOTAL'!T36</f>
        <v>0</v>
      </c>
      <c r="P34">
        <f>'RESUMEN TOTAL'!U36</f>
        <v>0</v>
      </c>
      <c r="Q34">
        <f>'RESUMEN TOTAL'!V36</f>
        <v>0</v>
      </c>
      <c r="R34">
        <f>'RESUMEN TOTAL'!W36</f>
        <v>0</v>
      </c>
      <c r="S34">
        <f>'RESUMEN TOTAL'!X36</f>
        <v>0</v>
      </c>
      <c r="T34">
        <f>'RESUMEN TOTAL'!Y36</f>
        <v>0</v>
      </c>
      <c r="U34">
        <f>'RESUMEN TOTAL'!Z36</f>
        <v>0</v>
      </c>
      <c r="V34">
        <f>'RESUMEN TOTAL'!AA36</f>
        <v>0</v>
      </c>
      <c r="W34">
        <f>'RESUMEN TOTAL'!AB36</f>
        <v>0</v>
      </c>
      <c r="X34">
        <f>'RESUMEN TOTAL'!AC36</f>
        <v>0</v>
      </c>
      <c r="Y34">
        <f>'RESUMEN TOTAL'!AD36</f>
        <v>0</v>
      </c>
      <c r="Z34">
        <f>'RESUMEN TOTAL'!AE36</f>
        <v>0</v>
      </c>
      <c r="AA34">
        <f>'RESUMEN TOTAL'!AF36</f>
        <v>0</v>
      </c>
      <c r="AB34">
        <f>'RESUMEN TOTAL'!AG36</f>
        <v>0</v>
      </c>
      <c r="AC34">
        <f>'RESUMEN TOTAL'!AH36</f>
        <v>0</v>
      </c>
      <c r="AD34">
        <f>'RESUMEN TOTAL'!AI36</f>
        <v>0</v>
      </c>
      <c r="AE34">
        <f>'RESUMEN TOTAL'!AJ36</f>
        <v>0</v>
      </c>
      <c r="AF34">
        <f>'RESUMEN TOTAL'!AK36</f>
        <v>0</v>
      </c>
      <c r="AG34">
        <f>'RESUMEN TOTAL'!AL36</f>
        <v>0</v>
      </c>
      <c r="AH34">
        <f>'RESUMEN TOTAL'!AM36</f>
        <v>0</v>
      </c>
      <c r="AI34">
        <f>'RESUMEN TOTAL'!AN36</f>
        <v>0</v>
      </c>
    </row>
    <row r="35" spans="1:35" x14ac:dyDescent="0.3">
      <c r="A35" t="str">
        <f>'RESUMEN TOTAL'!A37</f>
        <v>CENTRO</v>
      </c>
      <c r="B35" t="str">
        <f>'RESUMEN TOTAL'!B37</f>
        <v>CEN15</v>
      </c>
      <c r="C35" t="str">
        <f>'RESUMEN TOTAL'!D37</f>
        <v>Alberdi y A.del Valle</v>
      </c>
      <c r="D35" t="str">
        <f>'RESUMEN TOTAL'!E37</f>
        <v>Domo</v>
      </c>
      <c r="E35" t="str">
        <f>'RESUMEN TOTAL'!F37</f>
        <v>Fibra Optica</v>
      </c>
      <c r="F35">
        <f>'RESUMEN TOTAL'!K37</f>
        <v>0</v>
      </c>
      <c r="G35">
        <f>'RESUMEN TOTAL'!L37</f>
        <v>0</v>
      </c>
      <c r="H35">
        <f>'RESUMEN TOTAL'!M37</f>
        <v>0</v>
      </c>
      <c r="I35">
        <f>'RESUMEN TOTAL'!N37</f>
        <v>0</v>
      </c>
      <c r="J35">
        <f>'RESUMEN TOTAL'!O37</f>
        <v>0</v>
      </c>
      <c r="K35">
        <f>'RESUMEN TOTAL'!P37</f>
        <v>0</v>
      </c>
      <c r="L35">
        <f>'RESUMEN TOTAL'!Q37</f>
        <v>0</v>
      </c>
      <c r="M35">
        <f>'RESUMEN TOTAL'!R37</f>
        <v>0</v>
      </c>
      <c r="N35">
        <f>'RESUMEN TOTAL'!S37</f>
        <v>0</v>
      </c>
      <c r="O35">
        <f>'RESUMEN TOTAL'!T37</f>
        <v>0</v>
      </c>
      <c r="P35">
        <f>'RESUMEN TOTAL'!U37</f>
        <v>0</v>
      </c>
      <c r="Q35">
        <f>'RESUMEN TOTAL'!V37</f>
        <v>0</v>
      </c>
      <c r="R35">
        <f>'RESUMEN TOTAL'!W37</f>
        <v>0</v>
      </c>
      <c r="S35">
        <f>'RESUMEN TOTAL'!X37</f>
        <v>0</v>
      </c>
      <c r="T35">
        <f>'RESUMEN TOTAL'!Y37</f>
        <v>0</v>
      </c>
      <c r="U35">
        <f>'RESUMEN TOTAL'!Z37</f>
        <v>0</v>
      </c>
      <c r="V35">
        <f>'RESUMEN TOTAL'!AA37</f>
        <v>0</v>
      </c>
      <c r="W35">
        <f>'RESUMEN TOTAL'!AB37</f>
        <v>0</v>
      </c>
      <c r="X35">
        <f>'RESUMEN TOTAL'!AC37</f>
        <v>0</v>
      </c>
      <c r="Y35">
        <f>'RESUMEN TOTAL'!AD37</f>
        <v>0</v>
      </c>
      <c r="Z35">
        <f>'RESUMEN TOTAL'!AE37</f>
        <v>0</v>
      </c>
      <c r="AA35">
        <f>'RESUMEN TOTAL'!AF37</f>
        <v>0</v>
      </c>
      <c r="AB35">
        <f>'RESUMEN TOTAL'!AG37</f>
        <v>0</v>
      </c>
      <c r="AC35">
        <f>'RESUMEN TOTAL'!AH37</f>
        <v>0</v>
      </c>
      <c r="AD35">
        <f>'RESUMEN TOTAL'!AI37</f>
        <v>0</v>
      </c>
      <c r="AE35">
        <f>'RESUMEN TOTAL'!AJ37</f>
        <v>0</v>
      </c>
      <c r="AF35">
        <f>'RESUMEN TOTAL'!AK37</f>
        <v>0</v>
      </c>
      <c r="AG35">
        <f>'RESUMEN TOTAL'!AL37</f>
        <v>0</v>
      </c>
      <c r="AH35">
        <f>'RESUMEN TOTAL'!AM37</f>
        <v>0</v>
      </c>
      <c r="AI35">
        <f>'RESUMEN TOTAL'!AN37</f>
        <v>0</v>
      </c>
    </row>
    <row r="36" spans="1:35" x14ac:dyDescent="0.3">
      <c r="A36" t="str">
        <f>'RESUMEN TOTAL'!A38</f>
        <v>CENTRO</v>
      </c>
      <c r="B36" t="str">
        <f>'RESUMEN TOTAL'!B38</f>
        <v>CEN16</v>
      </c>
      <c r="C36" t="str">
        <f>'RESUMEN TOTAL'!D38</f>
        <v>San Martin y Pte. Peron</v>
      </c>
      <c r="D36" t="str">
        <f>'RESUMEN TOTAL'!E38</f>
        <v>Fija</v>
      </c>
      <c r="E36" t="str">
        <f>'RESUMEN TOTAL'!F38</f>
        <v>Fibra Optica</v>
      </c>
      <c r="F36">
        <f>'RESUMEN TOTAL'!K38</f>
        <v>0</v>
      </c>
      <c r="G36">
        <f>'RESUMEN TOTAL'!L38</f>
        <v>0</v>
      </c>
      <c r="H36">
        <f>'RESUMEN TOTAL'!M38</f>
        <v>0</v>
      </c>
      <c r="I36">
        <f>'RESUMEN TOTAL'!N38</f>
        <v>0</v>
      </c>
      <c r="J36">
        <f>'RESUMEN TOTAL'!O38</f>
        <v>0</v>
      </c>
      <c r="K36">
        <f>'RESUMEN TOTAL'!P38</f>
        <v>0</v>
      </c>
      <c r="L36">
        <f>'RESUMEN TOTAL'!Q38</f>
        <v>0</v>
      </c>
      <c r="M36">
        <f>'RESUMEN TOTAL'!R38</f>
        <v>0</v>
      </c>
      <c r="N36">
        <f>'RESUMEN TOTAL'!S38</f>
        <v>0</v>
      </c>
      <c r="O36">
        <f>'RESUMEN TOTAL'!T38</f>
        <v>0</v>
      </c>
      <c r="P36">
        <f>'RESUMEN TOTAL'!U38</f>
        <v>0</v>
      </c>
      <c r="Q36">
        <f>'RESUMEN TOTAL'!V38</f>
        <v>0</v>
      </c>
      <c r="R36">
        <f>'RESUMEN TOTAL'!W38</f>
        <v>0</v>
      </c>
      <c r="S36">
        <f>'RESUMEN TOTAL'!X38</f>
        <v>0</v>
      </c>
      <c r="T36">
        <f>'RESUMEN TOTAL'!Y38</f>
        <v>0</v>
      </c>
      <c r="U36">
        <f>'RESUMEN TOTAL'!Z38</f>
        <v>0</v>
      </c>
      <c r="V36">
        <f>'RESUMEN TOTAL'!AA38</f>
        <v>0</v>
      </c>
      <c r="W36">
        <f>'RESUMEN TOTAL'!AB38</f>
        <v>0</v>
      </c>
      <c r="X36">
        <f>'RESUMEN TOTAL'!AC38</f>
        <v>0</v>
      </c>
      <c r="Y36">
        <f>'RESUMEN TOTAL'!AD38</f>
        <v>0</v>
      </c>
      <c r="Z36">
        <f>'RESUMEN TOTAL'!AE38</f>
        <v>0</v>
      </c>
      <c r="AA36">
        <f>'RESUMEN TOTAL'!AF38</f>
        <v>0</v>
      </c>
      <c r="AB36">
        <f>'RESUMEN TOTAL'!AG38</f>
        <v>0</v>
      </c>
      <c r="AC36">
        <f>'RESUMEN TOTAL'!AH38</f>
        <v>0</v>
      </c>
      <c r="AD36">
        <f>'RESUMEN TOTAL'!AI38</f>
        <v>0</v>
      </c>
      <c r="AE36">
        <f>'RESUMEN TOTAL'!AJ38</f>
        <v>0</v>
      </c>
      <c r="AF36">
        <f>'RESUMEN TOTAL'!AK38</f>
        <v>0</v>
      </c>
      <c r="AG36">
        <f>'RESUMEN TOTAL'!AL38</f>
        <v>0</v>
      </c>
      <c r="AH36">
        <f>'RESUMEN TOTAL'!AM38</f>
        <v>0</v>
      </c>
      <c r="AI36">
        <f>'RESUMEN TOTAL'!AN38</f>
        <v>0</v>
      </c>
    </row>
    <row r="37" spans="1:35" x14ac:dyDescent="0.3">
      <c r="A37" t="str">
        <f>'RESUMEN TOTAL'!A39</f>
        <v>CENTRO</v>
      </c>
      <c r="B37" t="str">
        <f>'RESUMEN TOTAL'!B39</f>
        <v>CEN17</v>
      </c>
      <c r="C37" t="str">
        <f>'RESUMEN TOTAL'!D39</f>
        <v>San Martin y Mitre</v>
      </c>
      <c r="D37" t="str">
        <f>'RESUMEN TOTAL'!E39</f>
        <v>Domo</v>
      </c>
      <c r="E37" t="str">
        <f>'RESUMEN TOTAL'!F39</f>
        <v>PTO A FO</v>
      </c>
      <c r="F37">
        <f>'RESUMEN TOTAL'!K39</f>
        <v>0</v>
      </c>
      <c r="G37">
        <f>'RESUMEN TOTAL'!L39</f>
        <v>0</v>
      </c>
      <c r="H37">
        <f>'RESUMEN TOTAL'!M39</f>
        <v>0</v>
      </c>
      <c r="I37">
        <f>'RESUMEN TOTAL'!N39</f>
        <v>0</v>
      </c>
      <c r="J37">
        <f>'RESUMEN TOTAL'!O39</f>
        <v>0</v>
      </c>
      <c r="K37">
        <f>'RESUMEN TOTAL'!P39</f>
        <v>0</v>
      </c>
      <c r="L37">
        <f>'RESUMEN TOTAL'!Q39</f>
        <v>0</v>
      </c>
      <c r="M37">
        <f>'RESUMEN TOTAL'!R39</f>
        <v>0</v>
      </c>
      <c r="N37">
        <f>'RESUMEN TOTAL'!S39</f>
        <v>0</v>
      </c>
      <c r="O37">
        <f>'RESUMEN TOTAL'!T39</f>
        <v>0</v>
      </c>
      <c r="P37">
        <f>'RESUMEN TOTAL'!U39</f>
        <v>0</v>
      </c>
      <c r="Q37">
        <f>'RESUMEN TOTAL'!V39</f>
        <v>0</v>
      </c>
      <c r="R37">
        <f>'RESUMEN TOTAL'!W39</f>
        <v>0</v>
      </c>
      <c r="S37">
        <f>'RESUMEN TOTAL'!X39</f>
        <v>0</v>
      </c>
      <c r="T37">
        <f>'RESUMEN TOTAL'!Y39</f>
        <v>0</v>
      </c>
      <c r="U37">
        <f>'RESUMEN TOTAL'!Z39</f>
        <v>0</v>
      </c>
      <c r="V37">
        <f>'RESUMEN TOTAL'!AA39</f>
        <v>0</v>
      </c>
      <c r="W37">
        <f>'RESUMEN TOTAL'!AB39</f>
        <v>0</v>
      </c>
      <c r="X37">
        <f>'RESUMEN TOTAL'!AC39</f>
        <v>0</v>
      </c>
      <c r="Y37">
        <f>'RESUMEN TOTAL'!AD39</f>
        <v>0</v>
      </c>
      <c r="Z37">
        <f>'RESUMEN TOTAL'!AE39</f>
        <v>0</v>
      </c>
      <c r="AA37">
        <f>'RESUMEN TOTAL'!AF39</f>
        <v>0</v>
      </c>
      <c r="AB37">
        <f>'RESUMEN TOTAL'!AG39</f>
        <v>0</v>
      </c>
      <c r="AC37">
        <f>'RESUMEN TOTAL'!AH39</f>
        <v>0</v>
      </c>
      <c r="AD37">
        <f>'RESUMEN TOTAL'!AI39</f>
        <v>0</v>
      </c>
      <c r="AE37">
        <f>'RESUMEN TOTAL'!AJ39</f>
        <v>0</v>
      </c>
      <c r="AF37">
        <f>'RESUMEN TOTAL'!AK39</f>
        <v>0</v>
      </c>
      <c r="AG37">
        <f>'RESUMEN TOTAL'!AL39</f>
        <v>0</v>
      </c>
      <c r="AH37">
        <f>'RESUMEN TOTAL'!AM39</f>
        <v>0</v>
      </c>
      <c r="AI37">
        <f>'RESUMEN TOTAL'!AN39</f>
        <v>0</v>
      </c>
    </row>
    <row r="38" spans="1:35" x14ac:dyDescent="0.3">
      <c r="A38" t="str">
        <f>'RESUMEN TOTAL'!A40</f>
        <v>CENTRO</v>
      </c>
      <c r="B38" t="str">
        <f>'RESUMEN TOTAL'!B40</f>
        <v>CEN18</v>
      </c>
      <c r="C38" t="str">
        <f>'RESUMEN TOTAL'!D40</f>
        <v>Monteagudo e/Mitre y Sallares</v>
      </c>
      <c r="D38" t="str">
        <f>'RESUMEN TOTAL'!E40</f>
        <v>Fija</v>
      </c>
      <c r="E38" t="str">
        <f>'RESUMEN TOTAL'!F40</f>
        <v>Fibra Optica</v>
      </c>
      <c r="F38" t="str">
        <f>'RESUMEN TOTAL'!K40</f>
        <v>APAGADO</v>
      </c>
      <c r="G38" t="str">
        <f>'RESUMEN TOTAL'!L40</f>
        <v>APAGADO</v>
      </c>
      <c r="H38" t="str">
        <f>'RESUMEN TOTAL'!M40</f>
        <v>APAGADO</v>
      </c>
      <c r="I38" t="str">
        <f>'RESUMEN TOTAL'!N40</f>
        <v>APAGADO</v>
      </c>
      <c r="J38" t="str">
        <f>'RESUMEN TOTAL'!O40</f>
        <v>APAGADO</v>
      </c>
      <c r="K38" t="str">
        <f>'RESUMEN TOTAL'!P40</f>
        <v>APAGADO</v>
      </c>
      <c r="L38" t="str">
        <f>'RESUMEN TOTAL'!Q40</f>
        <v>APAGADO</v>
      </c>
      <c r="M38" t="str">
        <f>'RESUMEN TOTAL'!R40</f>
        <v>APAGADO</v>
      </c>
      <c r="N38" t="str">
        <f>'RESUMEN TOTAL'!S40</f>
        <v>APAGADO</v>
      </c>
      <c r="O38" t="str">
        <f>'RESUMEN TOTAL'!T40</f>
        <v>APAGADO</v>
      </c>
      <c r="P38" t="str">
        <f>'RESUMEN TOTAL'!U40</f>
        <v>APAGADO</v>
      </c>
      <c r="Q38" t="str">
        <f>'RESUMEN TOTAL'!V40</f>
        <v>APAGADO</v>
      </c>
      <c r="R38" t="str">
        <f>'RESUMEN TOTAL'!W40</f>
        <v>APAGADO</v>
      </c>
      <c r="S38" t="str">
        <f>'RESUMEN TOTAL'!X40</f>
        <v>APAGADO</v>
      </c>
      <c r="T38" t="str">
        <f>'RESUMEN TOTAL'!Y40</f>
        <v>APAGADO</v>
      </c>
      <c r="U38" t="str">
        <f>'RESUMEN TOTAL'!Z40</f>
        <v>APAGADO</v>
      </c>
      <c r="V38" t="str">
        <f>'RESUMEN TOTAL'!AA40</f>
        <v>APAGADO</v>
      </c>
      <c r="W38" t="str">
        <f>'RESUMEN TOTAL'!AB40</f>
        <v>APAGADO</v>
      </c>
      <c r="X38" t="str">
        <f>'RESUMEN TOTAL'!AC40</f>
        <v>APAGADO</v>
      </c>
      <c r="Y38">
        <f>'RESUMEN TOTAL'!AD40</f>
        <v>0</v>
      </c>
      <c r="Z38">
        <f>'RESUMEN TOTAL'!AE40</f>
        <v>0</v>
      </c>
      <c r="AA38">
        <f>'RESUMEN TOTAL'!AF40</f>
        <v>0</v>
      </c>
      <c r="AB38">
        <f>'RESUMEN TOTAL'!AG40</f>
        <v>0</v>
      </c>
      <c r="AC38">
        <f>'RESUMEN TOTAL'!AH40</f>
        <v>0</v>
      </c>
      <c r="AD38">
        <f>'RESUMEN TOTAL'!AI40</f>
        <v>0</v>
      </c>
      <c r="AE38">
        <f>'RESUMEN TOTAL'!AJ40</f>
        <v>0</v>
      </c>
      <c r="AF38">
        <f>'RESUMEN TOTAL'!AK40</f>
        <v>0</v>
      </c>
      <c r="AG38">
        <f>'RESUMEN TOTAL'!AL40</f>
        <v>0</v>
      </c>
      <c r="AH38">
        <f>'RESUMEN TOTAL'!AM40</f>
        <v>0</v>
      </c>
      <c r="AI38">
        <f>'RESUMEN TOTAL'!AN40</f>
        <v>0</v>
      </c>
    </row>
    <row r="39" spans="1:35" x14ac:dyDescent="0.3">
      <c r="A39" t="str">
        <f>'RESUMEN TOTAL'!A41</f>
        <v>CENTRO</v>
      </c>
      <c r="B39" t="str">
        <f>'RESUMEN TOTAL'!B41</f>
        <v>CEN19</v>
      </c>
      <c r="C39" t="str">
        <f>'RESUMEN TOTAL'!D41</f>
        <v>Chacabuco y 25 de Mayo</v>
      </c>
      <c r="D39" t="str">
        <f>'RESUMEN TOTAL'!E41</f>
        <v>Fija</v>
      </c>
      <c r="E39" t="str">
        <f>'RESUMEN TOTAL'!F41</f>
        <v>Fibra Optica</v>
      </c>
      <c r="F39">
        <f>'RESUMEN TOTAL'!K41</f>
        <v>0</v>
      </c>
      <c r="G39">
        <f>'RESUMEN TOTAL'!L41</f>
        <v>0</v>
      </c>
      <c r="H39">
        <f>'RESUMEN TOTAL'!M41</f>
        <v>0</v>
      </c>
      <c r="I39">
        <f>'RESUMEN TOTAL'!N41</f>
        <v>0</v>
      </c>
      <c r="J39">
        <f>'RESUMEN TOTAL'!O41</f>
        <v>0</v>
      </c>
      <c r="K39">
        <f>'RESUMEN TOTAL'!P41</f>
        <v>0</v>
      </c>
      <c r="L39">
        <f>'RESUMEN TOTAL'!Q41</f>
        <v>0</v>
      </c>
      <c r="M39">
        <f>'RESUMEN TOTAL'!R41</f>
        <v>0</v>
      </c>
      <c r="N39">
        <f>'RESUMEN TOTAL'!S41</f>
        <v>0</v>
      </c>
      <c r="O39">
        <f>'RESUMEN TOTAL'!T41</f>
        <v>0</v>
      </c>
      <c r="P39">
        <f>'RESUMEN TOTAL'!U41</f>
        <v>0</v>
      </c>
      <c r="Q39">
        <f>'RESUMEN TOTAL'!V41</f>
        <v>0</v>
      </c>
      <c r="R39">
        <f>'RESUMEN TOTAL'!W41</f>
        <v>0</v>
      </c>
      <c r="S39">
        <f>'RESUMEN TOTAL'!X41</f>
        <v>0</v>
      </c>
      <c r="T39">
        <f>'RESUMEN TOTAL'!Y41</f>
        <v>0</v>
      </c>
      <c r="U39">
        <f>'RESUMEN TOTAL'!Z41</f>
        <v>0</v>
      </c>
      <c r="V39">
        <f>'RESUMEN TOTAL'!AA41</f>
        <v>0</v>
      </c>
      <c r="W39">
        <f>'RESUMEN TOTAL'!AB41</f>
        <v>0</v>
      </c>
      <c r="X39">
        <f>'RESUMEN TOTAL'!AC41</f>
        <v>0</v>
      </c>
      <c r="Y39">
        <f>'RESUMEN TOTAL'!AD41</f>
        <v>0</v>
      </c>
      <c r="Z39">
        <f>'RESUMEN TOTAL'!AE41</f>
        <v>0</v>
      </c>
      <c r="AA39">
        <f>'RESUMEN TOTAL'!AF41</f>
        <v>0</v>
      </c>
      <c r="AB39">
        <f>'RESUMEN TOTAL'!AG41</f>
        <v>0</v>
      </c>
      <c r="AC39">
        <f>'RESUMEN TOTAL'!AH41</f>
        <v>0</v>
      </c>
      <c r="AD39">
        <f>'RESUMEN TOTAL'!AI41</f>
        <v>0</v>
      </c>
      <c r="AE39">
        <f>'RESUMEN TOTAL'!AJ41</f>
        <v>0</v>
      </c>
      <c r="AF39">
        <f>'RESUMEN TOTAL'!AK41</f>
        <v>0</v>
      </c>
      <c r="AG39">
        <f>'RESUMEN TOTAL'!AL41</f>
        <v>0</v>
      </c>
      <c r="AH39">
        <f>'RESUMEN TOTAL'!AM41</f>
        <v>0</v>
      </c>
      <c r="AI39">
        <f>'RESUMEN TOTAL'!AN41</f>
        <v>0</v>
      </c>
    </row>
    <row r="40" spans="1:35" x14ac:dyDescent="0.3">
      <c r="A40" t="str">
        <f>'RESUMEN TOTAL'!A42</f>
        <v>LOMAS DE MONTEVERDE</v>
      </c>
      <c r="B40" t="str">
        <f>'RESUMEN TOTAL'!B42</f>
        <v>CEN20</v>
      </c>
      <c r="C40" t="str">
        <f>'RESUMEN TOTAL'!D42</f>
        <v>Pte. Illia y Las Heras</v>
      </c>
      <c r="D40" t="str">
        <f>'RESUMEN TOTAL'!E42</f>
        <v>Domo</v>
      </c>
      <c r="E40" t="str">
        <f>'RESUMEN TOTAL'!F42</f>
        <v>Fibra Optica</v>
      </c>
      <c r="F40">
        <f>'RESUMEN TOTAL'!K42</f>
        <v>0</v>
      </c>
      <c r="G40">
        <f>'RESUMEN TOTAL'!L42</f>
        <v>0</v>
      </c>
      <c r="H40">
        <f>'RESUMEN TOTAL'!M42</f>
        <v>0</v>
      </c>
      <c r="I40">
        <f>'RESUMEN TOTAL'!N42</f>
        <v>0</v>
      </c>
      <c r="J40">
        <f>'RESUMEN TOTAL'!O42</f>
        <v>0</v>
      </c>
      <c r="K40">
        <f>'RESUMEN TOTAL'!P42</f>
        <v>0</v>
      </c>
      <c r="L40">
        <f>'RESUMEN TOTAL'!Q42</f>
        <v>0</v>
      </c>
      <c r="M40">
        <f>'RESUMEN TOTAL'!R42</f>
        <v>0</v>
      </c>
      <c r="N40">
        <f>'RESUMEN TOTAL'!S42</f>
        <v>0</v>
      </c>
      <c r="O40">
        <f>'RESUMEN TOTAL'!T42</f>
        <v>0</v>
      </c>
      <c r="P40">
        <f>'RESUMEN TOTAL'!U42</f>
        <v>0</v>
      </c>
      <c r="Q40">
        <f>'RESUMEN TOTAL'!V42</f>
        <v>0</v>
      </c>
      <c r="R40">
        <f>'RESUMEN TOTAL'!W42</f>
        <v>0</v>
      </c>
      <c r="S40">
        <f>'RESUMEN TOTAL'!X42</f>
        <v>0</v>
      </c>
      <c r="T40">
        <f>'RESUMEN TOTAL'!Y42</f>
        <v>0</v>
      </c>
      <c r="U40">
        <f>'RESUMEN TOTAL'!Z42</f>
        <v>0</v>
      </c>
      <c r="V40">
        <f>'RESUMEN TOTAL'!AA42</f>
        <v>0</v>
      </c>
      <c r="W40">
        <f>'RESUMEN TOTAL'!AB42</f>
        <v>0</v>
      </c>
      <c r="X40">
        <f>'RESUMEN TOTAL'!AC42</f>
        <v>0</v>
      </c>
      <c r="Y40">
        <f>'RESUMEN TOTAL'!AD42</f>
        <v>0</v>
      </c>
      <c r="Z40">
        <f>'RESUMEN TOTAL'!AE42</f>
        <v>0</v>
      </c>
      <c r="AA40">
        <f>'RESUMEN TOTAL'!AF42</f>
        <v>0</v>
      </c>
      <c r="AB40">
        <f>'RESUMEN TOTAL'!AG42</f>
        <v>0</v>
      </c>
      <c r="AC40">
        <f>'RESUMEN TOTAL'!AH42</f>
        <v>0</v>
      </c>
      <c r="AD40">
        <f>'RESUMEN TOTAL'!AI42</f>
        <v>0</v>
      </c>
      <c r="AE40">
        <f>'RESUMEN TOTAL'!AJ42</f>
        <v>0</v>
      </c>
      <c r="AF40">
        <f>'RESUMEN TOTAL'!AK42</f>
        <v>0</v>
      </c>
      <c r="AG40">
        <f>'RESUMEN TOTAL'!AL42</f>
        <v>0</v>
      </c>
      <c r="AH40">
        <f>'RESUMEN TOTAL'!AM42</f>
        <v>0</v>
      </c>
      <c r="AI40">
        <f>'RESUMEN TOTAL'!AN42</f>
        <v>0</v>
      </c>
    </row>
    <row r="41" spans="1:35" x14ac:dyDescent="0.3">
      <c r="A41" t="str">
        <f>'RESUMEN TOTAL'!A43</f>
        <v>CENTRO</v>
      </c>
      <c r="B41" t="str">
        <f>'RESUMEN TOTAL'!B43</f>
        <v>CEN21</v>
      </c>
      <c r="C41" t="str">
        <f>'RESUMEN TOTAL'!D43</f>
        <v>Misiones y Urquiza</v>
      </c>
      <c r="D41" t="str">
        <f>'RESUMEN TOTAL'!E43</f>
        <v>Fija</v>
      </c>
      <c r="E41" t="str">
        <f>'RESUMEN TOTAL'!F43</f>
        <v>Radio</v>
      </c>
      <c r="F41">
        <f>'RESUMEN TOTAL'!K43</f>
        <v>0</v>
      </c>
      <c r="G41">
        <f>'RESUMEN TOTAL'!L43</f>
        <v>0</v>
      </c>
      <c r="H41">
        <f>'RESUMEN TOTAL'!M43</f>
        <v>0</v>
      </c>
      <c r="I41">
        <f>'RESUMEN TOTAL'!N43</f>
        <v>0</v>
      </c>
      <c r="J41">
        <f>'RESUMEN TOTAL'!O43</f>
        <v>0</v>
      </c>
      <c r="K41">
        <f>'RESUMEN TOTAL'!P43</f>
        <v>0</v>
      </c>
      <c r="L41">
        <f>'RESUMEN TOTAL'!Q43</f>
        <v>0</v>
      </c>
      <c r="M41">
        <f>'RESUMEN TOTAL'!R43</f>
        <v>0</v>
      </c>
      <c r="N41">
        <f>'RESUMEN TOTAL'!S43</f>
        <v>0</v>
      </c>
      <c r="O41">
        <f>'RESUMEN TOTAL'!T43</f>
        <v>0</v>
      </c>
      <c r="P41">
        <f>'RESUMEN TOTAL'!U43</f>
        <v>0</v>
      </c>
      <c r="Q41">
        <f>'RESUMEN TOTAL'!V43</f>
        <v>0</v>
      </c>
      <c r="R41">
        <f>'RESUMEN TOTAL'!W43</f>
        <v>0</v>
      </c>
      <c r="S41">
        <f>'RESUMEN TOTAL'!X43</f>
        <v>0</v>
      </c>
      <c r="T41">
        <f>'RESUMEN TOTAL'!Y43</f>
        <v>0</v>
      </c>
      <c r="U41">
        <f>'RESUMEN TOTAL'!Z43</f>
        <v>0</v>
      </c>
      <c r="V41">
        <f>'RESUMEN TOTAL'!AA43</f>
        <v>0</v>
      </c>
      <c r="W41">
        <f>'RESUMEN TOTAL'!AB43</f>
        <v>0</v>
      </c>
      <c r="X41">
        <f>'RESUMEN TOTAL'!AC43</f>
        <v>0</v>
      </c>
      <c r="Y41">
        <f>'RESUMEN TOTAL'!AD43</f>
        <v>0</v>
      </c>
      <c r="Z41">
        <f>'RESUMEN TOTAL'!AE43</f>
        <v>0</v>
      </c>
      <c r="AA41">
        <f>'RESUMEN TOTAL'!AF43</f>
        <v>0</v>
      </c>
      <c r="AB41">
        <f>'RESUMEN TOTAL'!AG43</f>
        <v>0</v>
      </c>
      <c r="AC41">
        <f>'RESUMEN TOTAL'!AH43</f>
        <v>0</v>
      </c>
      <c r="AD41">
        <f>'RESUMEN TOTAL'!AI43</f>
        <v>0</v>
      </c>
      <c r="AE41">
        <f>'RESUMEN TOTAL'!AJ43</f>
        <v>0</v>
      </c>
      <c r="AF41">
        <f>'RESUMEN TOTAL'!AK43</f>
        <v>0</v>
      </c>
      <c r="AG41">
        <f>'RESUMEN TOTAL'!AL43</f>
        <v>0</v>
      </c>
      <c r="AH41">
        <f>'RESUMEN TOTAL'!AM43</f>
        <v>0</v>
      </c>
      <c r="AI41">
        <f>'RESUMEN TOTAL'!AN43</f>
        <v>0</v>
      </c>
    </row>
    <row r="42" spans="1:35" x14ac:dyDescent="0.3">
      <c r="A42" t="str">
        <f>'RESUMEN TOTAL'!A44</f>
        <v>CENTRO</v>
      </c>
      <c r="B42" t="str">
        <f>'RESUMEN TOTAL'!B44</f>
        <v>CEN22</v>
      </c>
      <c r="C42" t="str">
        <f>'RESUMEN TOTAL'!D44</f>
        <v>Las Heras y Chacabuco</v>
      </c>
      <c r="D42" t="str">
        <f>'RESUMEN TOTAL'!E44</f>
        <v>Domo</v>
      </c>
      <c r="E42" t="str">
        <f>'RESUMEN TOTAL'!F44</f>
        <v>Radio</v>
      </c>
      <c r="F42">
        <f>'RESUMEN TOTAL'!K44</f>
        <v>0</v>
      </c>
      <c r="G42">
        <f>'RESUMEN TOTAL'!L44</f>
        <v>0</v>
      </c>
      <c r="H42">
        <f>'RESUMEN TOTAL'!M44</f>
        <v>0</v>
      </c>
      <c r="I42">
        <f>'RESUMEN TOTAL'!N44</f>
        <v>0</v>
      </c>
      <c r="J42">
        <f>'RESUMEN TOTAL'!O44</f>
        <v>0</v>
      </c>
      <c r="K42">
        <f>'RESUMEN TOTAL'!P44</f>
        <v>0</v>
      </c>
      <c r="L42">
        <f>'RESUMEN TOTAL'!Q44</f>
        <v>0</v>
      </c>
      <c r="M42">
        <f>'RESUMEN TOTAL'!R44</f>
        <v>0</v>
      </c>
      <c r="N42">
        <f>'RESUMEN TOTAL'!S44</f>
        <v>0</v>
      </c>
      <c r="O42">
        <f>'RESUMEN TOTAL'!T44</f>
        <v>0</v>
      </c>
      <c r="P42">
        <f>'RESUMEN TOTAL'!U44</f>
        <v>0</v>
      </c>
      <c r="Q42">
        <f>'RESUMEN TOTAL'!V44</f>
        <v>0</v>
      </c>
      <c r="R42">
        <f>'RESUMEN TOTAL'!W44</f>
        <v>0</v>
      </c>
      <c r="S42">
        <f>'RESUMEN TOTAL'!X44</f>
        <v>0</v>
      </c>
      <c r="T42">
        <f>'RESUMEN TOTAL'!Y44</f>
        <v>0</v>
      </c>
      <c r="U42">
        <f>'RESUMEN TOTAL'!Z44</f>
        <v>0</v>
      </c>
      <c r="V42">
        <f>'RESUMEN TOTAL'!AA44</f>
        <v>0</v>
      </c>
      <c r="W42">
        <f>'RESUMEN TOTAL'!AB44</f>
        <v>0</v>
      </c>
      <c r="X42">
        <f>'RESUMEN TOTAL'!AC44</f>
        <v>0</v>
      </c>
      <c r="Y42">
        <f>'RESUMEN TOTAL'!AD44</f>
        <v>0</v>
      </c>
      <c r="Z42">
        <f>'RESUMEN TOTAL'!AE44</f>
        <v>0</v>
      </c>
      <c r="AA42">
        <f>'RESUMEN TOTAL'!AF44</f>
        <v>0</v>
      </c>
      <c r="AB42">
        <f>'RESUMEN TOTAL'!AG44</f>
        <v>0</v>
      </c>
      <c r="AC42">
        <f>'RESUMEN TOTAL'!AH44</f>
        <v>0</v>
      </c>
      <c r="AD42">
        <f>'RESUMEN TOTAL'!AI44</f>
        <v>0</v>
      </c>
      <c r="AE42">
        <f>'RESUMEN TOTAL'!AJ44</f>
        <v>0</v>
      </c>
      <c r="AF42">
        <f>'RESUMEN TOTAL'!AK44</f>
        <v>0</v>
      </c>
      <c r="AG42">
        <f>'RESUMEN TOTAL'!AL44</f>
        <v>0</v>
      </c>
      <c r="AH42">
        <f>'RESUMEN TOTAL'!AM44</f>
        <v>0</v>
      </c>
      <c r="AI42">
        <f>'RESUMEN TOTAL'!AN44</f>
        <v>0</v>
      </c>
    </row>
    <row r="43" spans="1:35" x14ac:dyDescent="0.3">
      <c r="A43" t="str">
        <f>'RESUMEN TOTAL'!A45</f>
        <v>CENTRO</v>
      </c>
      <c r="B43" t="str">
        <f>'RESUMEN TOTAL'!B45</f>
        <v>CEN23</v>
      </c>
      <c r="C43" t="str">
        <f>'RESUMEN TOTAL'!D45</f>
        <v>Sallares y Monteagudo</v>
      </c>
      <c r="D43" t="str">
        <f>'RESUMEN TOTAL'!E45</f>
        <v>Domo</v>
      </c>
      <c r="E43" t="str">
        <f>'RESUMEN TOTAL'!F45</f>
        <v>Fibra Optica</v>
      </c>
      <c r="F43">
        <f>'RESUMEN TOTAL'!K45</f>
        <v>0</v>
      </c>
      <c r="G43">
        <f>'RESUMEN TOTAL'!L45</f>
        <v>0</v>
      </c>
      <c r="H43">
        <f>'RESUMEN TOTAL'!M45</f>
        <v>0</v>
      </c>
      <c r="I43">
        <f>'RESUMEN TOTAL'!N45</f>
        <v>0</v>
      </c>
      <c r="J43">
        <f>'RESUMEN TOTAL'!O45</f>
        <v>0</v>
      </c>
      <c r="K43">
        <f>'RESUMEN TOTAL'!P45</f>
        <v>0</v>
      </c>
      <c r="L43">
        <f>'RESUMEN TOTAL'!Q45</f>
        <v>0</v>
      </c>
      <c r="M43">
        <f>'RESUMEN TOTAL'!R45</f>
        <v>0</v>
      </c>
      <c r="N43">
        <f>'RESUMEN TOTAL'!S45</f>
        <v>0</v>
      </c>
      <c r="O43">
        <f>'RESUMEN TOTAL'!T45</f>
        <v>0</v>
      </c>
      <c r="P43">
        <f>'RESUMEN TOTAL'!U45</f>
        <v>0</v>
      </c>
      <c r="Q43">
        <f>'RESUMEN TOTAL'!V45</f>
        <v>0</v>
      </c>
      <c r="R43">
        <f>'RESUMEN TOTAL'!W45</f>
        <v>0</v>
      </c>
      <c r="S43">
        <f>'RESUMEN TOTAL'!X45</f>
        <v>0</v>
      </c>
      <c r="T43">
        <f>'RESUMEN TOTAL'!Y45</f>
        <v>0</v>
      </c>
      <c r="U43">
        <f>'RESUMEN TOTAL'!Z45</f>
        <v>0</v>
      </c>
      <c r="V43">
        <f>'RESUMEN TOTAL'!AA45</f>
        <v>0</v>
      </c>
      <c r="W43">
        <f>'RESUMEN TOTAL'!AB45</f>
        <v>0</v>
      </c>
      <c r="X43">
        <f>'RESUMEN TOTAL'!AC45</f>
        <v>0</v>
      </c>
      <c r="Y43">
        <f>'RESUMEN TOTAL'!AD45</f>
        <v>0</v>
      </c>
      <c r="Z43">
        <f>'RESUMEN TOTAL'!AE45</f>
        <v>0</v>
      </c>
      <c r="AA43">
        <f>'RESUMEN TOTAL'!AF45</f>
        <v>0</v>
      </c>
      <c r="AB43">
        <f>'RESUMEN TOTAL'!AG45</f>
        <v>0</v>
      </c>
      <c r="AC43">
        <f>'RESUMEN TOTAL'!AH45</f>
        <v>0</v>
      </c>
      <c r="AD43">
        <f>'RESUMEN TOTAL'!AI45</f>
        <v>0</v>
      </c>
      <c r="AE43">
        <f>'RESUMEN TOTAL'!AJ45</f>
        <v>0</v>
      </c>
      <c r="AF43">
        <f>'RESUMEN TOTAL'!AK45</f>
        <v>0</v>
      </c>
      <c r="AG43">
        <f>'RESUMEN TOTAL'!AL45</f>
        <v>0</v>
      </c>
      <c r="AH43">
        <f>'RESUMEN TOTAL'!AM45</f>
        <v>0</v>
      </c>
      <c r="AI43">
        <f>'RESUMEN TOTAL'!AN45</f>
        <v>0</v>
      </c>
    </row>
    <row r="44" spans="1:35" x14ac:dyDescent="0.3">
      <c r="A44" t="str">
        <f>'RESUMEN TOTAL'!A46</f>
        <v>CENTRO</v>
      </c>
      <c r="B44" t="str">
        <f>'RESUMEN TOTAL'!B46</f>
        <v>CEN24</v>
      </c>
      <c r="C44" t="str">
        <f>'RESUMEN TOTAL'!D46</f>
        <v>Sallares y España</v>
      </c>
      <c r="D44" t="str">
        <f>'RESUMEN TOTAL'!E46</f>
        <v>Domo</v>
      </c>
      <c r="E44" t="str">
        <f>'RESUMEN TOTAL'!F46</f>
        <v>Fibra Optica</v>
      </c>
      <c r="F44">
        <f>'RESUMEN TOTAL'!K46</f>
        <v>0</v>
      </c>
      <c r="G44">
        <f>'RESUMEN TOTAL'!L46</f>
        <v>0</v>
      </c>
      <c r="H44">
        <f>'RESUMEN TOTAL'!M46</f>
        <v>0</v>
      </c>
      <c r="I44">
        <f>'RESUMEN TOTAL'!N46</f>
        <v>0</v>
      </c>
      <c r="J44">
        <f>'RESUMEN TOTAL'!O46</f>
        <v>0</v>
      </c>
      <c r="K44">
        <f>'RESUMEN TOTAL'!P46</f>
        <v>0</v>
      </c>
      <c r="L44">
        <f>'RESUMEN TOTAL'!Q46</f>
        <v>0</v>
      </c>
      <c r="M44">
        <f>'RESUMEN TOTAL'!R46</f>
        <v>0</v>
      </c>
      <c r="N44">
        <f>'RESUMEN TOTAL'!S46</f>
        <v>0</v>
      </c>
      <c r="O44">
        <f>'RESUMEN TOTAL'!T46</f>
        <v>0</v>
      </c>
      <c r="P44">
        <f>'RESUMEN TOTAL'!U46</f>
        <v>0</v>
      </c>
      <c r="Q44">
        <f>'RESUMEN TOTAL'!V46</f>
        <v>0</v>
      </c>
      <c r="R44">
        <f>'RESUMEN TOTAL'!W46</f>
        <v>0</v>
      </c>
      <c r="S44">
        <f>'RESUMEN TOTAL'!X46</f>
        <v>0</v>
      </c>
      <c r="T44">
        <f>'RESUMEN TOTAL'!Y46</f>
        <v>0</v>
      </c>
      <c r="U44">
        <f>'RESUMEN TOTAL'!Z46</f>
        <v>0</v>
      </c>
      <c r="V44">
        <f>'RESUMEN TOTAL'!AA46</f>
        <v>0</v>
      </c>
      <c r="W44">
        <f>'RESUMEN TOTAL'!AB46</f>
        <v>0</v>
      </c>
      <c r="X44">
        <f>'RESUMEN TOTAL'!AC46</f>
        <v>0</v>
      </c>
      <c r="Y44">
        <f>'RESUMEN TOTAL'!AD46</f>
        <v>0</v>
      </c>
      <c r="Z44">
        <f>'RESUMEN TOTAL'!AE46</f>
        <v>0</v>
      </c>
      <c r="AA44">
        <f>'RESUMEN TOTAL'!AF46</f>
        <v>0</v>
      </c>
      <c r="AB44">
        <f>'RESUMEN TOTAL'!AG46</f>
        <v>0</v>
      </c>
      <c r="AC44">
        <f>'RESUMEN TOTAL'!AH46</f>
        <v>0</v>
      </c>
      <c r="AD44">
        <f>'RESUMEN TOTAL'!AI46</f>
        <v>0</v>
      </c>
      <c r="AE44">
        <f>'RESUMEN TOTAL'!AJ46</f>
        <v>0</v>
      </c>
      <c r="AF44">
        <f>'RESUMEN TOTAL'!AK46</f>
        <v>0</v>
      </c>
      <c r="AG44">
        <f>'RESUMEN TOTAL'!AL46</f>
        <v>0</v>
      </c>
      <c r="AH44">
        <f>'RESUMEN TOTAL'!AM46</f>
        <v>0</v>
      </c>
      <c r="AI44">
        <f>'RESUMEN TOTAL'!AN46</f>
        <v>0</v>
      </c>
    </row>
    <row r="45" spans="1:35" x14ac:dyDescent="0.3">
      <c r="A45" t="str">
        <f>'RESUMEN TOTAL'!A47</f>
        <v>CENTRO</v>
      </c>
      <c r="B45" t="str">
        <f>'RESUMEN TOTAL'!B47</f>
        <v>CEN25</v>
      </c>
      <c r="C45" t="str">
        <f>'RESUMEN TOTAL'!D47</f>
        <v>SAN MARTIN Y 9 DE JULIO</v>
      </c>
      <c r="D45" t="str">
        <f>'RESUMEN TOTAL'!E47</f>
        <v>Domo</v>
      </c>
      <c r="E45" t="str">
        <f>'RESUMEN TOTAL'!F47</f>
        <v>Fibra Optica</v>
      </c>
      <c r="F45">
        <f>'RESUMEN TOTAL'!K47</f>
        <v>0</v>
      </c>
      <c r="G45">
        <f>'RESUMEN TOTAL'!L47</f>
        <v>0</v>
      </c>
      <c r="H45">
        <f>'RESUMEN TOTAL'!M47</f>
        <v>0</v>
      </c>
      <c r="I45">
        <f>'RESUMEN TOTAL'!N47</f>
        <v>0</v>
      </c>
      <c r="J45">
        <f>'RESUMEN TOTAL'!O47</f>
        <v>0</v>
      </c>
      <c r="K45">
        <f>'RESUMEN TOTAL'!P47</f>
        <v>0</v>
      </c>
      <c r="L45">
        <f>'RESUMEN TOTAL'!Q47</f>
        <v>0</v>
      </c>
      <c r="M45">
        <f>'RESUMEN TOTAL'!R47</f>
        <v>0</v>
      </c>
      <c r="N45">
        <f>'RESUMEN TOTAL'!S47</f>
        <v>0</v>
      </c>
      <c r="O45">
        <f>'RESUMEN TOTAL'!T47</f>
        <v>0</v>
      </c>
      <c r="P45">
        <f>'RESUMEN TOTAL'!U47</f>
        <v>0</v>
      </c>
      <c r="Q45">
        <f>'RESUMEN TOTAL'!V47</f>
        <v>0</v>
      </c>
      <c r="R45">
        <f>'RESUMEN TOTAL'!W47</f>
        <v>0</v>
      </c>
      <c r="S45">
        <f>'RESUMEN TOTAL'!X47</f>
        <v>0</v>
      </c>
      <c r="T45">
        <f>'RESUMEN TOTAL'!Y47</f>
        <v>0</v>
      </c>
      <c r="U45">
        <f>'RESUMEN TOTAL'!Z47</f>
        <v>0</v>
      </c>
      <c r="V45">
        <f>'RESUMEN TOTAL'!AA47</f>
        <v>0</v>
      </c>
      <c r="W45">
        <f>'RESUMEN TOTAL'!AB47</f>
        <v>0</v>
      </c>
      <c r="X45">
        <f>'RESUMEN TOTAL'!AC47</f>
        <v>0</v>
      </c>
      <c r="Y45">
        <f>'RESUMEN TOTAL'!AD47</f>
        <v>0</v>
      </c>
      <c r="Z45">
        <f>'RESUMEN TOTAL'!AE47</f>
        <v>0</v>
      </c>
      <c r="AA45">
        <f>'RESUMEN TOTAL'!AF47</f>
        <v>0</v>
      </c>
      <c r="AB45">
        <f>'RESUMEN TOTAL'!AG47</f>
        <v>0</v>
      </c>
      <c r="AC45">
        <f>'RESUMEN TOTAL'!AH47</f>
        <v>0</v>
      </c>
      <c r="AD45">
        <f>'RESUMEN TOTAL'!AI47</f>
        <v>0</v>
      </c>
      <c r="AE45">
        <f>'RESUMEN TOTAL'!AJ47</f>
        <v>0</v>
      </c>
      <c r="AF45">
        <f>'RESUMEN TOTAL'!AK47</f>
        <v>0</v>
      </c>
      <c r="AG45">
        <f>'RESUMEN TOTAL'!AL47</f>
        <v>0</v>
      </c>
      <c r="AH45">
        <f>'RESUMEN TOTAL'!AM47</f>
        <v>0</v>
      </c>
      <c r="AI45">
        <f>'RESUMEN TOTAL'!AN47</f>
        <v>0</v>
      </c>
    </row>
    <row r="46" spans="1:35" x14ac:dyDescent="0.3">
      <c r="A46" t="str">
        <f>'RESUMEN TOTAL'!A48</f>
        <v>CENTRO</v>
      </c>
      <c r="B46" t="str">
        <f>'RESUMEN TOTAL'!B48</f>
        <v>CEN26</v>
      </c>
      <c r="C46" t="str">
        <f>'RESUMEN TOTAL'!D48</f>
        <v>Mitre y España</v>
      </c>
      <c r="D46" t="str">
        <f>'RESUMEN TOTAL'!E48</f>
        <v>Domo</v>
      </c>
      <c r="E46" t="str">
        <f>'RESUMEN TOTAL'!F48</f>
        <v>Fibra Optica</v>
      </c>
      <c r="F46" t="str">
        <f>'RESUMEN TOTAL'!K48</f>
        <v>APAGADO</v>
      </c>
      <c r="G46" t="str">
        <f>'RESUMEN TOTAL'!L48</f>
        <v>APAGADO</v>
      </c>
      <c r="H46" t="str">
        <f>'RESUMEN TOTAL'!M48</f>
        <v>APAGADO</v>
      </c>
      <c r="I46" t="str">
        <f>'RESUMEN TOTAL'!N48</f>
        <v>APAGADO</v>
      </c>
      <c r="J46" t="str">
        <f>'RESUMEN TOTAL'!O48</f>
        <v>APAGADO</v>
      </c>
      <c r="K46" t="str">
        <f>'RESUMEN TOTAL'!P48</f>
        <v>APAGADO</v>
      </c>
      <c r="L46" t="str">
        <f>'RESUMEN TOTAL'!Q48</f>
        <v>APAGADO</v>
      </c>
      <c r="M46" t="str">
        <f>'RESUMEN TOTAL'!R48</f>
        <v>APAGADO</v>
      </c>
      <c r="N46" t="str">
        <f>'RESUMEN TOTAL'!S48</f>
        <v>APAGADO</v>
      </c>
      <c r="O46" t="str">
        <f>'RESUMEN TOTAL'!T48</f>
        <v>APAGADO</v>
      </c>
      <c r="P46" t="str">
        <f>'RESUMEN TOTAL'!U48</f>
        <v>APAGADO</v>
      </c>
      <c r="Q46" t="str">
        <f>'RESUMEN TOTAL'!V48</f>
        <v>APAGADO</v>
      </c>
      <c r="R46" t="str">
        <f>'RESUMEN TOTAL'!W48</f>
        <v>APAGADO</v>
      </c>
      <c r="S46" t="str">
        <f>'RESUMEN TOTAL'!X48</f>
        <v>APAGADO</v>
      </c>
      <c r="T46" t="str">
        <f>'RESUMEN TOTAL'!Y48</f>
        <v>APAGADO</v>
      </c>
      <c r="U46" t="str">
        <f>'RESUMEN TOTAL'!Z48</f>
        <v>APAGADO</v>
      </c>
      <c r="V46" t="str">
        <f>'RESUMEN TOTAL'!AA48</f>
        <v>APAGADO</v>
      </c>
      <c r="W46" t="str">
        <f>'RESUMEN TOTAL'!AB48</f>
        <v>APAGADO</v>
      </c>
      <c r="X46" t="str">
        <f>'RESUMEN TOTAL'!AC48</f>
        <v>APAGADO</v>
      </c>
      <c r="Y46">
        <f>'RESUMEN TOTAL'!AD48</f>
        <v>0</v>
      </c>
      <c r="Z46">
        <f>'RESUMEN TOTAL'!AE48</f>
        <v>0</v>
      </c>
      <c r="AA46">
        <f>'RESUMEN TOTAL'!AF48</f>
        <v>0</v>
      </c>
      <c r="AB46">
        <f>'RESUMEN TOTAL'!AG48</f>
        <v>0</v>
      </c>
      <c r="AC46">
        <f>'RESUMEN TOTAL'!AH48</f>
        <v>0</v>
      </c>
      <c r="AD46">
        <f>'RESUMEN TOTAL'!AI48</f>
        <v>0</v>
      </c>
      <c r="AE46">
        <f>'RESUMEN TOTAL'!AJ48</f>
        <v>0</v>
      </c>
      <c r="AF46">
        <f>'RESUMEN TOTAL'!AK48</f>
        <v>0</v>
      </c>
      <c r="AG46">
        <f>'RESUMEN TOTAL'!AL48</f>
        <v>0</v>
      </c>
      <c r="AH46">
        <f>'RESUMEN TOTAL'!AM48</f>
        <v>0</v>
      </c>
      <c r="AI46">
        <f>'RESUMEN TOTAL'!AN48</f>
        <v>0</v>
      </c>
    </row>
    <row r="47" spans="1:35" x14ac:dyDescent="0.3">
      <c r="A47" t="str">
        <f>'RESUMEN TOTAL'!A49</f>
        <v>CENTRO</v>
      </c>
      <c r="B47" t="str">
        <f>'RESUMEN TOTAL'!B49</f>
        <v>CEN27</v>
      </c>
      <c r="C47" t="str">
        <f>'RESUMEN TOTAL'!D49</f>
        <v>San Juan y España</v>
      </c>
      <c r="D47" t="str">
        <f>'RESUMEN TOTAL'!E49</f>
        <v>Domo</v>
      </c>
      <c r="E47" t="str">
        <f>'RESUMEN TOTAL'!F49</f>
        <v>Fibra Optica</v>
      </c>
      <c r="F47">
        <f>'RESUMEN TOTAL'!K49</f>
        <v>0</v>
      </c>
      <c r="G47">
        <f>'RESUMEN TOTAL'!L49</f>
        <v>0</v>
      </c>
      <c r="H47">
        <f>'RESUMEN TOTAL'!M49</f>
        <v>0</v>
      </c>
      <c r="I47">
        <f>'RESUMEN TOTAL'!N49</f>
        <v>0</v>
      </c>
      <c r="J47">
        <f>'RESUMEN TOTAL'!O49</f>
        <v>0</v>
      </c>
      <c r="K47">
        <f>'RESUMEN TOTAL'!P49</f>
        <v>0</v>
      </c>
      <c r="L47">
        <f>'RESUMEN TOTAL'!Q49</f>
        <v>0</v>
      </c>
      <c r="M47">
        <f>'RESUMEN TOTAL'!R49</f>
        <v>0</v>
      </c>
      <c r="N47">
        <f>'RESUMEN TOTAL'!S49</f>
        <v>0</v>
      </c>
      <c r="O47">
        <f>'RESUMEN TOTAL'!T49</f>
        <v>0</v>
      </c>
      <c r="P47">
        <f>'RESUMEN TOTAL'!U49</f>
        <v>0</v>
      </c>
      <c r="Q47">
        <f>'RESUMEN TOTAL'!V49</f>
        <v>0</v>
      </c>
      <c r="R47">
        <f>'RESUMEN TOTAL'!W49</f>
        <v>0</v>
      </c>
      <c r="S47">
        <f>'RESUMEN TOTAL'!X49</f>
        <v>0</v>
      </c>
      <c r="T47">
        <f>'RESUMEN TOTAL'!Y49</f>
        <v>0</v>
      </c>
      <c r="U47">
        <f>'RESUMEN TOTAL'!Z49</f>
        <v>0</v>
      </c>
      <c r="V47">
        <f>'RESUMEN TOTAL'!AA49</f>
        <v>0</v>
      </c>
      <c r="W47">
        <f>'RESUMEN TOTAL'!AB49</f>
        <v>0</v>
      </c>
      <c r="X47">
        <f>'RESUMEN TOTAL'!AC49</f>
        <v>0</v>
      </c>
      <c r="Y47">
        <f>'RESUMEN TOTAL'!AD49</f>
        <v>0</v>
      </c>
      <c r="Z47">
        <f>'RESUMEN TOTAL'!AE49</f>
        <v>0</v>
      </c>
      <c r="AA47">
        <f>'RESUMEN TOTAL'!AF49</f>
        <v>0</v>
      </c>
      <c r="AB47">
        <f>'RESUMEN TOTAL'!AG49</f>
        <v>0</v>
      </c>
      <c r="AC47">
        <f>'RESUMEN TOTAL'!AH49</f>
        <v>0</v>
      </c>
      <c r="AD47">
        <f>'RESUMEN TOTAL'!AI49</f>
        <v>0</v>
      </c>
      <c r="AE47">
        <f>'RESUMEN TOTAL'!AJ49</f>
        <v>0</v>
      </c>
      <c r="AF47">
        <f>'RESUMEN TOTAL'!AK49</f>
        <v>0</v>
      </c>
      <c r="AG47">
        <f>'RESUMEN TOTAL'!AL49</f>
        <v>0</v>
      </c>
      <c r="AH47">
        <f>'RESUMEN TOTAL'!AM49</f>
        <v>0</v>
      </c>
      <c r="AI47">
        <f>'RESUMEN TOTAL'!AN49</f>
        <v>0</v>
      </c>
    </row>
    <row r="48" spans="1:35" x14ac:dyDescent="0.3">
      <c r="A48" t="str">
        <f>'RESUMEN TOTAL'!A50</f>
        <v>CENTRO</v>
      </c>
      <c r="B48" t="str">
        <f>'RESUMEN TOTAL'!B50</f>
        <v>CEN28</v>
      </c>
      <c r="C48" t="str">
        <f>'RESUMEN TOTAL'!D50</f>
        <v>Mitre y Alberdi</v>
      </c>
      <c r="D48" t="str">
        <f>'RESUMEN TOTAL'!E50</f>
        <v>Domo</v>
      </c>
      <c r="E48" t="str">
        <f>'RESUMEN TOTAL'!F50</f>
        <v>Fibra Optica</v>
      </c>
      <c r="F48" t="str">
        <f>'RESUMEN TOTAL'!K50</f>
        <v>APAGADO</v>
      </c>
      <c r="G48" t="str">
        <f>'RESUMEN TOTAL'!L50</f>
        <v>APAGADO</v>
      </c>
      <c r="H48" t="str">
        <f>'RESUMEN TOTAL'!M50</f>
        <v>APAGADO</v>
      </c>
      <c r="I48" t="str">
        <f>'RESUMEN TOTAL'!N50</f>
        <v>APAGADO</v>
      </c>
      <c r="J48" t="str">
        <f>'RESUMEN TOTAL'!O50</f>
        <v>APAGADO</v>
      </c>
      <c r="K48" t="str">
        <f>'RESUMEN TOTAL'!P50</f>
        <v>APAGADO</v>
      </c>
      <c r="L48" t="str">
        <f>'RESUMEN TOTAL'!Q50</f>
        <v>APAGADO</v>
      </c>
      <c r="M48" t="str">
        <f>'RESUMEN TOTAL'!R50</f>
        <v>APAGADO</v>
      </c>
      <c r="N48" t="str">
        <f>'RESUMEN TOTAL'!S50</f>
        <v>APAGADO</v>
      </c>
      <c r="O48" t="str">
        <f>'RESUMEN TOTAL'!T50</f>
        <v>APAGADO</v>
      </c>
      <c r="P48" t="str">
        <f>'RESUMEN TOTAL'!U50</f>
        <v>APAGADO</v>
      </c>
      <c r="Q48">
        <f>'RESUMEN TOTAL'!V50</f>
        <v>0</v>
      </c>
      <c r="R48" t="str">
        <f>'RESUMEN TOTAL'!W50</f>
        <v>APAGADO</v>
      </c>
      <c r="S48" t="str">
        <f>'RESUMEN TOTAL'!X50</f>
        <v>APAGADO</v>
      </c>
      <c r="T48" t="str">
        <f>'RESUMEN TOTAL'!Y50</f>
        <v>APAGADO</v>
      </c>
      <c r="U48" t="str">
        <f>'RESUMEN TOTAL'!Z50</f>
        <v>APAGADO</v>
      </c>
      <c r="V48" t="str">
        <f>'RESUMEN TOTAL'!AA50</f>
        <v>APAGADO</v>
      </c>
      <c r="W48">
        <f>'RESUMEN TOTAL'!AB50</f>
        <v>0</v>
      </c>
      <c r="X48">
        <f>'RESUMEN TOTAL'!AC50</f>
        <v>0</v>
      </c>
      <c r="Y48">
        <f>'RESUMEN TOTAL'!AD50</f>
        <v>0</v>
      </c>
      <c r="Z48">
        <f>'RESUMEN TOTAL'!AE50</f>
        <v>0</v>
      </c>
      <c r="AA48">
        <f>'RESUMEN TOTAL'!AF50</f>
        <v>0</v>
      </c>
      <c r="AB48">
        <f>'RESUMEN TOTAL'!AG50</f>
        <v>0</v>
      </c>
      <c r="AC48">
        <f>'RESUMEN TOTAL'!AH50</f>
        <v>0</v>
      </c>
      <c r="AD48">
        <f>'RESUMEN TOTAL'!AI50</f>
        <v>0</v>
      </c>
      <c r="AE48">
        <f>'RESUMEN TOTAL'!AJ50</f>
        <v>0</v>
      </c>
      <c r="AF48">
        <f>'RESUMEN TOTAL'!AK50</f>
        <v>0</v>
      </c>
      <c r="AG48">
        <f>'RESUMEN TOTAL'!AL50</f>
        <v>0</v>
      </c>
      <c r="AH48">
        <f>'RESUMEN TOTAL'!AM50</f>
        <v>0</v>
      </c>
      <c r="AI48">
        <f>'RESUMEN TOTAL'!AN50</f>
        <v>0</v>
      </c>
    </row>
    <row r="49" spans="1:35" x14ac:dyDescent="0.3">
      <c r="A49" t="str">
        <f>'RESUMEN TOTAL'!A51</f>
        <v>CENTRO</v>
      </c>
      <c r="B49" t="str">
        <f>'RESUMEN TOTAL'!B51</f>
        <v>CEN29</v>
      </c>
      <c r="C49" t="str">
        <f>'RESUMEN TOTAL'!D51</f>
        <v>Alberdi y San Juan</v>
      </c>
      <c r="D49" t="str">
        <f>'RESUMEN TOTAL'!E51</f>
        <v>Domo</v>
      </c>
      <c r="E49" t="str">
        <f>'RESUMEN TOTAL'!F51</f>
        <v>Fibra Optica</v>
      </c>
      <c r="F49">
        <f>'RESUMEN TOTAL'!K51</f>
        <v>0</v>
      </c>
      <c r="G49">
        <f>'RESUMEN TOTAL'!L51</f>
        <v>0</v>
      </c>
      <c r="H49">
        <f>'RESUMEN TOTAL'!M51</f>
        <v>0</v>
      </c>
      <c r="I49">
        <f>'RESUMEN TOTAL'!N51</f>
        <v>0</v>
      </c>
      <c r="J49">
        <f>'RESUMEN TOTAL'!O51</f>
        <v>0</v>
      </c>
      <c r="K49">
        <f>'RESUMEN TOTAL'!P51</f>
        <v>0</v>
      </c>
      <c r="L49">
        <f>'RESUMEN TOTAL'!Q51</f>
        <v>0</v>
      </c>
      <c r="M49">
        <f>'RESUMEN TOTAL'!R51</f>
        <v>0</v>
      </c>
      <c r="N49">
        <f>'RESUMEN TOTAL'!S51</f>
        <v>0</v>
      </c>
      <c r="O49">
        <f>'RESUMEN TOTAL'!T51</f>
        <v>0</v>
      </c>
      <c r="P49">
        <f>'RESUMEN TOTAL'!U51</f>
        <v>0</v>
      </c>
      <c r="Q49">
        <f>'RESUMEN TOTAL'!V51</f>
        <v>0</v>
      </c>
      <c r="R49">
        <f>'RESUMEN TOTAL'!W51</f>
        <v>0</v>
      </c>
      <c r="S49">
        <f>'RESUMEN TOTAL'!X51</f>
        <v>0</v>
      </c>
      <c r="T49">
        <f>'RESUMEN TOTAL'!Y51</f>
        <v>0</v>
      </c>
      <c r="U49">
        <f>'RESUMEN TOTAL'!Z51</f>
        <v>0</v>
      </c>
      <c r="V49">
        <f>'RESUMEN TOTAL'!AA51</f>
        <v>0</v>
      </c>
      <c r="W49">
        <f>'RESUMEN TOTAL'!AB51</f>
        <v>0</v>
      </c>
      <c r="X49">
        <f>'RESUMEN TOTAL'!AC51</f>
        <v>0</v>
      </c>
      <c r="Y49">
        <f>'RESUMEN TOTAL'!AD51</f>
        <v>0</v>
      </c>
      <c r="Z49">
        <f>'RESUMEN TOTAL'!AE51</f>
        <v>0</v>
      </c>
      <c r="AA49">
        <f>'RESUMEN TOTAL'!AF51</f>
        <v>0</v>
      </c>
      <c r="AB49">
        <f>'RESUMEN TOTAL'!AG51</f>
        <v>0</v>
      </c>
      <c r="AC49">
        <f>'RESUMEN TOTAL'!AH51</f>
        <v>0</v>
      </c>
      <c r="AD49">
        <f>'RESUMEN TOTAL'!AI51</f>
        <v>0</v>
      </c>
      <c r="AE49">
        <f>'RESUMEN TOTAL'!AJ51</f>
        <v>0</v>
      </c>
      <c r="AF49">
        <f>'RESUMEN TOTAL'!AK51</f>
        <v>0</v>
      </c>
      <c r="AG49">
        <f>'RESUMEN TOTAL'!AL51</f>
        <v>0</v>
      </c>
      <c r="AH49">
        <f>'RESUMEN TOTAL'!AM51</f>
        <v>0</v>
      </c>
      <c r="AI49">
        <f>'RESUMEN TOTAL'!AN51</f>
        <v>0</v>
      </c>
    </row>
    <row r="50" spans="1:35" x14ac:dyDescent="0.3">
      <c r="A50" t="str">
        <f>'RESUMEN TOTAL'!A52</f>
        <v>CENTRO</v>
      </c>
      <c r="B50" t="str">
        <f>'RESUMEN TOTAL'!B52</f>
        <v>CEN30</v>
      </c>
      <c r="C50" t="str">
        <f>'RESUMEN TOTAL'!D52</f>
        <v>Mitre y Pringles</v>
      </c>
      <c r="D50" t="str">
        <f>'RESUMEN TOTAL'!E52</f>
        <v>Domo</v>
      </c>
      <c r="E50" t="str">
        <f>'RESUMEN TOTAL'!F52</f>
        <v>Fibra Optica</v>
      </c>
      <c r="F50" t="str">
        <f>'RESUMEN TOTAL'!K52</f>
        <v>APAGADO</v>
      </c>
      <c r="G50" t="str">
        <f>'RESUMEN TOTAL'!L52</f>
        <v>APAGADO</v>
      </c>
      <c r="H50" t="str">
        <f>'RESUMEN TOTAL'!M52</f>
        <v>APAGADO</v>
      </c>
      <c r="I50" t="str">
        <f>'RESUMEN TOTAL'!N52</f>
        <v>APAGADO</v>
      </c>
      <c r="J50" t="str">
        <f>'RESUMEN TOTAL'!O52</f>
        <v>APAGADO</v>
      </c>
      <c r="K50" t="str">
        <f>'RESUMEN TOTAL'!P52</f>
        <v>APAGADO</v>
      </c>
      <c r="L50" t="str">
        <f>'RESUMEN TOTAL'!Q52</f>
        <v>APAGADO</v>
      </c>
      <c r="M50" t="str">
        <f>'RESUMEN TOTAL'!R52</f>
        <v>APAGADO</v>
      </c>
      <c r="N50" t="str">
        <f>'RESUMEN TOTAL'!S52</f>
        <v>APAGADO</v>
      </c>
      <c r="O50" t="str">
        <f>'RESUMEN TOTAL'!T52</f>
        <v>APAGADO</v>
      </c>
      <c r="P50" t="str">
        <f>'RESUMEN TOTAL'!U52</f>
        <v>APAGADO</v>
      </c>
      <c r="Q50" t="str">
        <f>'RESUMEN TOTAL'!V52</f>
        <v>APAGADO</v>
      </c>
      <c r="R50" t="str">
        <f>'RESUMEN TOTAL'!W52</f>
        <v>APAGADO</v>
      </c>
      <c r="S50" t="str">
        <f>'RESUMEN TOTAL'!X52</f>
        <v>APAGADO</v>
      </c>
      <c r="T50" t="str">
        <f>'RESUMEN TOTAL'!Y52</f>
        <v>APAGADO</v>
      </c>
      <c r="U50" t="str">
        <f>'RESUMEN TOTAL'!Z52</f>
        <v>APAGADO</v>
      </c>
      <c r="V50" t="str">
        <f>'RESUMEN TOTAL'!AA52</f>
        <v>APAGADO</v>
      </c>
      <c r="W50">
        <f>'RESUMEN TOTAL'!AB52</f>
        <v>0</v>
      </c>
      <c r="X50">
        <f>'RESUMEN TOTAL'!AC52</f>
        <v>0</v>
      </c>
      <c r="Y50">
        <f>'RESUMEN TOTAL'!AD52</f>
        <v>0</v>
      </c>
      <c r="Z50">
        <f>'RESUMEN TOTAL'!AE52</f>
        <v>0</v>
      </c>
      <c r="AA50">
        <f>'RESUMEN TOTAL'!AF52</f>
        <v>0</v>
      </c>
      <c r="AB50">
        <f>'RESUMEN TOTAL'!AG52</f>
        <v>0</v>
      </c>
      <c r="AC50">
        <f>'RESUMEN TOTAL'!AH52</f>
        <v>0</v>
      </c>
      <c r="AD50">
        <f>'RESUMEN TOTAL'!AI52</f>
        <v>0</v>
      </c>
      <c r="AE50">
        <f>'RESUMEN TOTAL'!AJ52</f>
        <v>0</v>
      </c>
      <c r="AF50">
        <f>'RESUMEN TOTAL'!AK52</f>
        <v>0</v>
      </c>
      <c r="AG50">
        <f>'RESUMEN TOTAL'!AL52</f>
        <v>0</v>
      </c>
      <c r="AH50">
        <f>'RESUMEN TOTAL'!AM52</f>
        <v>0</v>
      </c>
      <c r="AI50">
        <f>'RESUMEN TOTAL'!AN52</f>
        <v>0</v>
      </c>
    </row>
    <row r="51" spans="1:35" x14ac:dyDescent="0.3">
      <c r="A51" t="str">
        <f>'RESUMEN TOTAL'!A53</f>
        <v>CENTRO</v>
      </c>
      <c r="B51" t="str">
        <f>'RESUMEN TOTAL'!B53</f>
        <v>CEN31</v>
      </c>
      <c r="C51" t="str">
        <f>'RESUMEN TOTAL'!D53</f>
        <v>Mitre e/Monteagudo y Alberdi</v>
      </c>
      <c r="D51" t="str">
        <f>'RESUMEN TOTAL'!E53</f>
        <v>Domo</v>
      </c>
      <c r="E51" t="str">
        <f>'RESUMEN TOTAL'!F53</f>
        <v>Fibra Optica</v>
      </c>
      <c r="F51" t="str">
        <f>'RESUMEN TOTAL'!K53</f>
        <v>APAGADO</v>
      </c>
      <c r="G51" t="str">
        <f>'RESUMEN TOTAL'!L53</f>
        <v>APAGADO</v>
      </c>
      <c r="H51" t="str">
        <f>'RESUMEN TOTAL'!M53</f>
        <v>APAGADO</v>
      </c>
      <c r="I51" t="str">
        <f>'RESUMEN TOTAL'!N53</f>
        <v>APAGADO</v>
      </c>
      <c r="J51" t="str">
        <f>'RESUMEN TOTAL'!O53</f>
        <v>APAGADO</v>
      </c>
      <c r="K51" t="str">
        <f>'RESUMEN TOTAL'!P53</f>
        <v>APAGADO</v>
      </c>
      <c r="L51" t="str">
        <f>'RESUMEN TOTAL'!Q53</f>
        <v>APAGADO</v>
      </c>
      <c r="M51" t="str">
        <f>'RESUMEN TOTAL'!R53</f>
        <v>APAGADO</v>
      </c>
      <c r="N51" t="str">
        <f>'RESUMEN TOTAL'!S53</f>
        <v>APAGADO</v>
      </c>
      <c r="O51" t="str">
        <f>'RESUMEN TOTAL'!T53</f>
        <v>APAGADO</v>
      </c>
      <c r="P51" t="str">
        <f>'RESUMEN TOTAL'!U53</f>
        <v>APAGADO</v>
      </c>
      <c r="Q51" t="str">
        <f>'RESUMEN TOTAL'!V53</f>
        <v>APAGADO</v>
      </c>
      <c r="R51" t="str">
        <f>'RESUMEN TOTAL'!W53</f>
        <v>APAGADO</v>
      </c>
      <c r="S51" t="str">
        <f>'RESUMEN TOTAL'!X53</f>
        <v>APAGADO</v>
      </c>
      <c r="T51" t="str">
        <f>'RESUMEN TOTAL'!Y53</f>
        <v>APAGADO</v>
      </c>
      <c r="U51" t="str">
        <f>'RESUMEN TOTAL'!Z53</f>
        <v>APAGADO</v>
      </c>
      <c r="V51" t="str">
        <f>'RESUMEN TOTAL'!AA53</f>
        <v>APAGADO</v>
      </c>
      <c r="W51">
        <f>'RESUMEN TOTAL'!AB53</f>
        <v>0</v>
      </c>
      <c r="X51">
        <f>'RESUMEN TOTAL'!AC53</f>
        <v>0</v>
      </c>
      <c r="Y51">
        <f>'RESUMEN TOTAL'!AD53</f>
        <v>0</v>
      </c>
      <c r="Z51">
        <f>'RESUMEN TOTAL'!AE53</f>
        <v>0</v>
      </c>
      <c r="AA51">
        <f>'RESUMEN TOTAL'!AF53</f>
        <v>0</v>
      </c>
      <c r="AB51">
        <f>'RESUMEN TOTAL'!AG53</f>
        <v>0</v>
      </c>
      <c r="AC51">
        <f>'RESUMEN TOTAL'!AH53</f>
        <v>0</v>
      </c>
      <c r="AD51">
        <f>'RESUMEN TOTAL'!AI53</f>
        <v>0</v>
      </c>
      <c r="AE51">
        <f>'RESUMEN TOTAL'!AJ53</f>
        <v>0</v>
      </c>
      <c r="AF51">
        <f>'RESUMEN TOTAL'!AK53</f>
        <v>0</v>
      </c>
      <c r="AG51">
        <f>'RESUMEN TOTAL'!AL53</f>
        <v>0</v>
      </c>
      <c r="AH51">
        <f>'RESUMEN TOTAL'!AM53</f>
        <v>0</v>
      </c>
      <c r="AI51">
        <f>'RESUMEN TOTAL'!AN53</f>
        <v>0</v>
      </c>
    </row>
    <row r="52" spans="1:35" x14ac:dyDescent="0.3">
      <c r="A52" t="str">
        <f>'RESUMEN TOTAL'!A54</f>
        <v>CENTRO</v>
      </c>
      <c r="B52" t="str">
        <f>'RESUMEN TOTAL'!B54</f>
        <v>CEN32</v>
      </c>
      <c r="C52" t="str">
        <f>'RESUMEN TOTAL'!D54</f>
        <v>Aristobulo del Valle y España</v>
      </c>
      <c r="D52" t="str">
        <f>'RESUMEN TOTAL'!E54</f>
        <v>Domo</v>
      </c>
      <c r="E52" t="str">
        <f>'RESUMEN TOTAL'!F54</f>
        <v>Fibra Optica</v>
      </c>
      <c r="F52">
        <f>'RESUMEN TOTAL'!K54</f>
        <v>0</v>
      </c>
      <c r="G52">
        <f>'RESUMEN TOTAL'!L54</f>
        <v>0</v>
      </c>
      <c r="H52">
        <f>'RESUMEN TOTAL'!M54</f>
        <v>0</v>
      </c>
      <c r="I52">
        <f>'RESUMEN TOTAL'!N54</f>
        <v>0</v>
      </c>
      <c r="J52">
        <f>'RESUMEN TOTAL'!O54</f>
        <v>0</v>
      </c>
      <c r="K52">
        <f>'RESUMEN TOTAL'!P54</f>
        <v>0</v>
      </c>
      <c r="L52">
        <f>'RESUMEN TOTAL'!Q54</f>
        <v>0</v>
      </c>
      <c r="M52">
        <f>'RESUMEN TOTAL'!R54</f>
        <v>0</v>
      </c>
      <c r="N52">
        <f>'RESUMEN TOTAL'!S54</f>
        <v>0</v>
      </c>
      <c r="O52">
        <f>'RESUMEN TOTAL'!T54</f>
        <v>0</v>
      </c>
      <c r="P52">
        <f>'RESUMEN TOTAL'!U54</f>
        <v>0</v>
      </c>
      <c r="Q52">
        <f>'RESUMEN TOTAL'!V54</f>
        <v>0</v>
      </c>
      <c r="R52">
        <f>'RESUMEN TOTAL'!W54</f>
        <v>0</v>
      </c>
      <c r="S52">
        <f>'RESUMEN TOTAL'!X54</f>
        <v>0</v>
      </c>
      <c r="T52">
        <f>'RESUMEN TOTAL'!Y54</f>
        <v>0</v>
      </c>
      <c r="U52">
        <f>'RESUMEN TOTAL'!Z54</f>
        <v>0</v>
      </c>
      <c r="V52">
        <f>'RESUMEN TOTAL'!AA54</f>
        <v>0</v>
      </c>
      <c r="W52">
        <f>'RESUMEN TOTAL'!AB54</f>
        <v>0</v>
      </c>
      <c r="X52">
        <f>'RESUMEN TOTAL'!AC54</f>
        <v>0</v>
      </c>
      <c r="Y52">
        <f>'RESUMEN TOTAL'!AD54</f>
        <v>0</v>
      </c>
      <c r="Z52">
        <f>'RESUMEN TOTAL'!AE54</f>
        <v>0</v>
      </c>
      <c r="AA52">
        <f>'RESUMEN TOTAL'!AF54</f>
        <v>0</v>
      </c>
      <c r="AB52">
        <f>'RESUMEN TOTAL'!AG54</f>
        <v>0</v>
      </c>
      <c r="AC52">
        <f>'RESUMEN TOTAL'!AH54</f>
        <v>0</v>
      </c>
      <c r="AD52">
        <f>'RESUMEN TOTAL'!AI54</f>
        <v>0</v>
      </c>
      <c r="AE52">
        <f>'RESUMEN TOTAL'!AJ54</f>
        <v>0</v>
      </c>
      <c r="AF52">
        <f>'RESUMEN TOTAL'!AK54</f>
        <v>0</v>
      </c>
      <c r="AG52">
        <f>'RESUMEN TOTAL'!AL54</f>
        <v>0</v>
      </c>
      <c r="AH52">
        <f>'RESUMEN TOTAL'!AM54</f>
        <v>0</v>
      </c>
      <c r="AI52">
        <f>'RESUMEN TOTAL'!AN54</f>
        <v>0</v>
      </c>
    </row>
    <row r="53" spans="1:35" x14ac:dyDescent="0.3">
      <c r="A53" t="str">
        <f>'RESUMEN TOTAL'!A55</f>
        <v>CENTRO</v>
      </c>
      <c r="B53" t="str">
        <f>'RESUMEN TOTAL'!B55</f>
        <v>CEN33</v>
      </c>
      <c r="C53" t="str">
        <f>'RESUMEN TOTAL'!D55</f>
        <v>Peron y Alberdi</v>
      </c>
      <c r="D53" t="str">
        <f>'RESUMEN TOTAL'!E55</f>
        <v>Domo</v>
      </c>
      <c r="E53" t="str">
        <f>'RESUMEN TOTAL'!F55</f>
        <v>Fibra Optica</v>
      </c>
      <c r="F53">
        <f>'RESUMEN TOTAL'!K55</f>
        <v>0</v>
      </c>
      <c r="G53">
        <f>'RESUMEN TOTAL'!L55</f>
        <v>0</v>
      </c>
      <c r="H53">
        <f>'RESUMEN TOTAL'!M55</f>
        <v>0</v>
      </c>
      <c r="I53">
        <f>'RESUMEN TOTAL'!N55</f>
        <v>0</v>
      </c>
      <c r="J53">
        <f>'RESUMEN TOTAL'!O55</f>
        <v>0</v>
      </c>
      <c r="K53">
        <f>'RESUMEN TOTAL'!P55</f>
        <v>0</v>
      </c>
      <c r="L53">
        <f>'RESUMEN TOTAL'!Q55</f>
        <v>0</v>
      </c>
      <c r="M53">
        <f>'RESUMEN TOTAL'!R55</f>
        <v>0</v>
      </c>
      <c r="N53">
        <f>'RESUMEN TOTAL'!S55</f>
        <v>0</v>
      </c>
      <c r="O53">
        <f>'RESUMEN TOTAL'!T55</f>
        <v>0</v>
      </c>
      <c r="P53">
        <f>'RESUMEN TOTAL'!U55</f>
        <v>0</v>
      </c>
      <c r="Q53">
        <f>'RESUMEN TOTAL'!V55</f>
        <v>0</v>
      </c>
      <c r="R53">
        <f>'RESUMEN TOTAL'!W55</f>
        <v>0</v>
      </c>
      <c r="S53">
        <f>'RESUMEN TOTAL'!X55</f>
        <v>0</v>
      </c>
      <c r="T53">
        <f>'RESUMEN TOTAL'!Y55</f>
        <v>0</v>
      </c>
      <c r="U53">
        <f>'RESUMEN TOTAL'!Z55</f>
        <v>0</v>
      </c>
      <c r="V53">
        <f>'RESUMEN TOTAL'!AA55</f>
        <v>0</v>
      </c>
      <c r="W53">
        <f>'RESUMEN TOTAL'!AB55</f>
        <v>0</v>
      </c>
      <c r="X53">
        <f>'RESUMEN TOTAL'!AC55</f>
        <v>0</v>
      </c>
      <c r="Y53">
        <f>'RESUMEN TOTAL'!AD55</f>
        <v>0</v>
      </c>
      <c r="Z53">
        <f>'RESUMEN TOTAL'!AE55</f>
        <v>0</v>
      </c>
      <c r="AA53">
        <f>'RESUMEN TOTAL'!AF55</f>
        <v>0</v>
      </c>
      <c r="AB53">
        <f>'RESUMEN TOTAL'!AG55</f>
        <v>0</v>
      </c>
      <c r="AC53">
        <f>'RESUMEN TOTAL'!AH55</f>
        <v>0</v>
      </c>
      <c r="AD53">
        <f>'RESUMEN TOTAL'!AI55</f>
        <v>0</v>
      </c>
      <c r="AE53">
        <f>'RESUMEN TOTAL'!AJ55</f>
        <v>0</v>
      </c>
      <c r="AF53">
        <f>'RESUMEN TOTAL'!AK55</f>
        <v>0</v>
      </c>
      <c r="AG53">
        <f>'RESUMEN TOTAL'!AL55</f>
        <v>0</v>
      </c>
      <c r="AH53">
        <f>'RESUMEN TOTAL'!AM55</f>
        <v>0</v>
      </c>
      <c r="AI53">
        <f>'RESUMEN TOTAL'!AN55</f>
        <v>0</v>
      </c>
    </row>
    <row r="54" spans="1:35" x14ac:dyDescent="0.3">
      <c r="A54" t="str">
        <f>'RESUMEN TOTAL'!A56</f>
        <v>CENTRO</v>
      </c>
      <c r="B54" t="str">
        <f>'RESUMEN TOTAL'!B56</f>
        <v>CEN34</v>
      </c>
      <c r="C54" t="str">
        <f>'RESUMEN TOTAL'!D56</f>
        <v>Peron y España</v>
      </c>
      <c r="D54" t="str">
        <f>'RESUMEN TOTAL'!E56</f>
        <v>Domo</v>
      </c>
      <c r="E54" t="str">
        <f>'RESUMEN TOTAL'!F56</f>
        <v>Fibra Optica</v>
      </c>
      <c r="F54" t="str">
        <f>'RESUMEN TOTAL'!K56</f>
        <v>APAGADO</v>
      </c>
      <c r="G54" t="str">
        <f>'RESUMEN TOTAL'!L56</f>
        <v>APAGADO</v>
      </c>
      <c r="H54" t="str">
        <f>'RESUMEN TOTAL'!M56</f>
        <v>APAGADO</v>
      </c>
      <c r="I54" t="str">
        <f>'RESUMEN TOTAL'!N56</f>
        <v>APAGADO</v>
      </c>
      <c r="J54" t="str">
        <f>'RESUMEN TOTAL'!O56</f>
        <v>APAGADO</v>
      </c>
      <c r="K54" t="str">
        <f>'RESUMEN TOTAL'!P56</f>
        <v>APAGADO</v>
      </c>
      <c r="L54" t="str">
        <f>'RESUMEN TOTAL'!Q56</f>
        <v>APAGADO</v>
      </c>
      <c r="M54" t="str">
        <f>'RESUMEN TOTAL'!R56</f>
        <v>APAGADO</v>
      </c>
      <c r="N54" t="str">
        <f>'RESUMEN TOTAL'!S56</f>
        <v>APAGADO</v>
      </c>
      <c r="O54" t="str">
        <f>'RESUMEN TOTAL'!T56</f>
        <v>APAGADO</v>
      </c>
      <c r="P54" t="str">
        <f>'RESUMEN TOTAL'!U56</f>
        <v>APAGADO</v>
      </c>
      <c r="Q54">
        <f>'RESUMEN TOTAL'!V56</f>
        <v>0</v>
      </c>
      <c r="R54">
        <f>'RESUMEN TOTAL'!W56</f>
        <v>0</v>
      </c>
      <c r="S54">
        <f>'RESUMEN TOTAL'!X56</f>
        <v>0</v>
      </c>
      <c r="T54">
        <f>'RESUMEN TOTAL'!Y56</f>
        <v>0</v>
      </c>
      <c r="U54">
        <f>'RESUMEN TOTAL'!Z56</f>
        <v>0</v>
      </c>
      <c r="V54">
        <f>'RESUMEN TOTAL'!AA56</f>
        <v>0</v>
      </c>
      <c r="W54">
        <f>'RESUMEN TOTAL'!AB56</f>
        <v>0</v>
      </c>
      <c r="X54">
        <f>'RESUMEN TOTAL'!AC56</f>
        <v>0</v>
      </c>
      <c r="Y54">
        <f>'RESUMEN TOTAL'!AD56</f>
        <v>0</v>
      </c>
      <c r="Z54">
        <f>'RESUMEN TOTAL'!AE56</f>
        <v>0</v>
      </c>
      <c r="AA54">
        <f>'RESUMEN TOTAL'!AF56</f>
        <v>0</v>
      </c>
      <c r="AB54">
        <f>'RESUMEN TOTAL'!AG56</f>
        <v>0</v>
      </c>
      <c r="AC54">
        <f>'RESUMEN TOTAL'!AH56</f>
        <v>0</v>
      </c>
      <c r="AD54">
        <f>'RESUMEN TOTAL'!AI56</f>
        <v>0</v>
      </c>
      <c r="AE54">
        <f>'RESUMEN TOTAL'!AJ56</f>
        <v>0</v>
      </c>
      <c r="AF54">
        <f>'RESUMEN TOTAL'!AK56</f>
        <v>0</v>
      </c>
      <c r="AG54">
        <f>'RESUMEN TOTAL'!AL56</f>
        <v>0</v>
      </c>
      <c r="AH54">
        <f>'RESUMEN TOTAL'!AM56</f>
        <v>0</v>
      </c>
      <c r="AI54">
        <f>'RESUMEN TOTAL'!AN56</f>
        <v>0</v>
      </c>
    </row>
    <row r="55" spans="1:35" x14ac:dyDescent="0.3">
      <c r="A55" t="str">
        <f>'RESUMEN TOTAL'!A57</f>
        <v>CENTRO</v>
      </c>
      <c r="B55" t="str">
        <f>'RESUMEN TOTAL'!B57</f>
        <v>CEN35</v>
      </c>
      <c r="C55" t="str">
        <f>'RESUMEN TOTAL'!D57</f>
        <v>España y Marmol</v>
      </c>
      <c r="D55" t="str">
        <f>'RESUMEN TOTAL'!E57</f>
        <v>Domo</v>
      </c>
      <c r="E55" t="str">
        <f>'RESUMEN TOTAL'!F57</f>
        <v>Fibra Optica</v>
      </c>
      <c r="F55">
        <f>'RESUMEN TOTAL'!K57</f>
        <v>0</v>
      </c>
      <c r="G55">
        <f>'RESUMEN TOTAL'!L57</f>
        <v>0</v>
      </c>
      <c r="H55">
        <f>'RESUMEN TOTAL'!M57</f>
        <v>0</v>
      </c>
      <c r="I55">
        <f>'RESUMEN TOTAL'!N57</f>
        <v>0</v>
      </c>
      <c r="J55">
        <f>'RESUMEN TOTAL'!O57</f>
        <v>0</v>
      </c>
      <c r="K55">
        <f>'RESUMEN TOTAL'!P57</f>
        <v>0</v>
      </c>
      <c r="L55">
        <f>'RESUMEN TOTAL'!Q57</f>
        <v>0</v>
      </c>
      <c r="M55">
        <f>'RESUMEN TOTAL'!R57</f>
        <v>0</v>
      </c>
      <c r="N55">
        <f>'RESUMEN TOTAL'!S57</f>
        <v>0</v>
      </c>
      <c r="O55">
        <f>'RESUMEN TOTAL'!T57</f>
        <v>0</v>
      </c>
      <c r="P55">
        <f>'RESUMEN TOTAL'!U57</f>
        <v>0</v>
      </c>
      <c r="Q55">
        <f>'RESUMEN TOTAL'!V57</f>
        <v>0</v>
      </c>
      <c r="R55">
        <f>'RESUMEN TOTAL'!W57</f>
        <v>0</v>
      </c>
      <c r="S55">
        <f>'RESUMEN TOTAL'!X57</f>
        <v>0</v>
      </c>
      <c r="T55">
        <f>'RESUMEN TOTAL'!Y57</f>
        <v>0</v>
      </c>
      <c r="U55">
        <f>'RESUMEN TOTAL'!Z57</f>
        <v>0</v>
      </c>
      <c r="V55">
        <f>'RESUMEN TOTAL'!AA57</f>
        <v>0</v>
      </c>
      <c r="W55">
        <f>'RESUMEN TOTAL'!AB57</f>
        <v>0</v>
      </c>
      <c r="X55">
        <f>'RESUMEN TOTAL'!AC57</f>
        <v>0</v>
      </c>
      <c r="Y55">
        <f>'RESUMEN TOTAL'!AD57</f>
        <v>0</v>
      </c>
      <c r="Z55">
        <f>'RESUMEN TOTAL'!AE57</f>
        <v>0</v>
      </c>
      <c r="AA55">
        <f>'RESUMEN TOTAL'!AF57</f>
        <v>0</v>
      </c>
      <c r="AB55">
        <f>'RESUMEN TOTAL'!AG57</f>
        <v>0</v>
      </c>
      <c r="AC55">
        <f>'RESUMEN TOTAL'!AH57</f>
        <v>0</v>
      </c>
      <c r="AD55">
        <f>'RESUMEN TOTAL'!AI57</f>
        <v>0</v>
      </c>
      <c r="AE55">
        <f>'RESUMEN TOTAL'!AJ57</f>
        <v>0</v>
      </c>
      <c r="AF55">
        <f>'RESUMEN TOTAL'!AK57</f>
        <v>0</v>
      </c>
      <c r="AG55">
        <f>'RESUMEN TOTAL'!AL57</f>
        <v>0</v>
      </c>
      <c r="AH55">
        <f>'RESUMEN TOTAL'!AM57</f>
        <v>0</v>
      </c>
      <c r="AI55">
        <f>'RESUMEN TOTAL'!AN57</f>
        <v>0</v>
      </c>
    </row>
    <row r="56" spans="1:35" x14ac:dyDescent="0.3">
      <c r="A56" t="str">
        <f>'RESUMEN TOTAL'!A58</f>
        <v>CENTRO</v>
      </c>
      <c r="B56" t="str">
        <f>'RESUMEN TOTAL'!B58</f>
        <v>CEN36</v>
      </c>
      <c r="C56" t="str">
        <f>'RESUMEN TOTAL'!D58</f>
        <v>España y 9 de Julio</v>
      </c>
      <c r="D56" t="str">
        <f>'RESUMEN TOTAL'!E58</f>
        <v>Domo</v>
      </c>
      <c r="E56" t="str">
        <f>'RESUMEN TOTAL'!F58</f>
        <v>Fibra Optica</v>
      </c>
      <c r="F56">
        <f>'RESUMEN TOTAL'!K58</f>
        <v>0</v>
      </c>
      <c r="G56">
        <f>'RESUMEN TOTAL'!L58</f>
        <v>0</v>
      </c>
      <c r="H56">
        <f>'RESUMEN TOTAL'!M58</f>
        <v>0</v>
      </c>
      <c r="I56">
        <f>'RESUMEN TOTAL'!N58</f>
        <v>0</v>
      </c>
      <c r="J56">
        <f>'RESUMEN TOTAL'!O58</f>
        <v>0</v>
      </c>
      <c r="K56">
        <f>'RESUMEN TOTAL'!P58</f>
        <v>0</v>
      </c>
      <c r="L56">
        <f>'RESUMEN TOTAL'!Q58</f>
        <v>0</v>
      </c>
      <c r="M56">
        <f>'RESUMEN TOTAL'!R58</f>
        <v>0</v>
      </c>
      <c r="N56">
        <f>'RESUMEN TOTAL'!S58</f>
        <v>0</v>
      </c>
      <c r="O56">
        <f>'RESUMEN TOTAL'!T58</f>
        <v>0</v>
      </c>
      <c r="P56">
        <f>'RESUMEN TOTAL'!U58</f>
        <v>0</v>
      </c>
      <c r="Q56">
        <f>'RESUMEN TOTAL'!V58</f>
        <v>0</v>
      </c>
      <c r="R56">
        <f>'RESUMEN TOTAL'!W58</f>
        <v>0</v>
      </c>
      <c r="S56">
        <f>'RESUMEN TOTAL'!X58</f>
        <v>0</v>
      </c>
      <c r="T56">
        <f>'RESUMEN TOTAL'!Y58</f>
        <v>0</v>
      </c>
      <c r="U56">
        <f>'RESUMEN TOTAL'!Z58</f>
        <v>0</v>
      </c>
      <c r="V56">
        <f>'RESUMEN TOTAL'!AA58</f>
        <v>0</v>
      </c>
      <c r="W56">
        <f>'RESUMEN TOTAL'!AB58</f>
        <v>0</v>
      </c>
      <c r="X56">
        <f>'RESUMEN TOTAL'!AC58</f>
        <v>0</v>
      </c>
      <c r="Y56">
        <f>'RESUMEN TOTAL'!AD58</f>
        <v>0</v>
      </c>
      <c r="Z56">
        <f>'RESUMEN TOTAL'!AE58</f>
        <v>0</v>
      </c>
      <c r="AA56">
        <f>'RESUMEN TOTAL'!AF58</f>
        <v>0</v>
      </c>
      <c r="AB56">
        <f>'RESUMEN TOTAL'!AG58</f>
        <v>0</v>
      </c>
      <c r="AC56">
        <f>'RESUMEN TOTAL'!AH58</f>
        <v>0</v>
      </c>
      <c r="AD56">
        <f>'RESUMEN TOTAL'!AI58</f>
        <v>0</v>
      </c>
      <c r="AE56">
        <f>'RESUMEN TOTAL'!AJ58</f>
        <v>0</v>
      </c>
      <c r="AF56">
        <f>'RESUMEN TOTAL'!AK58</f>
        <v>0</v>
      </c>
      <c r="AG56">
        <f>'RESUMEN TOTAL'!AL58</f>
        <v>0</v>
      </c>
      <c r="AH56">
        <f>'RESUMEN TOTAL'!AM58</f>
        <v>0</v>
      </c>
      <c r="AI56">
        <f>'RESUMEN TOTAL'!AN58</f>
        <v>0</v>
      </c>
    </row>
    <row r="57" spans="1:35" x14ac:dyDescent="0.3">
      <c r="A57" t="str">
        <f>'RESUMEN TOTAL'!A59</f>
        <v>CENTRO</v>
      </c>
      <c r="B57" t="str">
        <f>'RESUMEN TOTAL'!B59</f>
        <v>CEN 37</v>
      </c>
      <c r="C57" t="str">
        <f>'RESUMEN TOTAL'!D59</f>
        <v>Diagonal Granaderos y Monteagudo</v>
      </c>
      <c r="D57" t="str">
        <f>'RESUMEN TOTAL'!E59</f>
        <v>Domo</v>
      </c>
      <c r="E57" t="str">
        <f>'RESUMEN TOTAL'!F59</f>
        <v>Fibra Optica</v>
      </c>
      <c r="F57">
        <f>'RESUMEN TOTAL'!K59</f>
        <v>0</v>
      </c>
      <c r="G57">
        <f>'RESUMEN TOTAL'!L59</f>
        <v>0</v>
      </c>
      <c r="H57">
        <f>'RESUMEN TOTAL'!M59</f>
        <v>0</v>
      </c>
      <c r="I57">
        <f>'RESUMEN TOTAL'!N59</f>
        <v>0</v>
      </c>
      <c r="J57">
        <f>'RESUMEN TOTAL'!O59</f>
        <v>0</v>
      </c>
      <c r="K57">
        <f>'RESUMEN TOTAL'!P59</f>
        <v>0</v>
      </c>
      <c r="L57">
        <f>'RESUMEN TOTAL'!Q59</f>
        <v>0</v>
      </c>
      <c r="M57">
        <f>'RESUMEN TOTAL'!R59</f>
        <v>0</v>
      </c>
      <c r="N57">
        <f>'RESUMEN TOTAL'!S59</f>
        <v>0</v>
      </c>
      <c r="O57">
        <f>'RESUMEN TOTAL'!T59</f>
        <v>0</v>
      </c>
      <c r="P57">
        <f>'RESUMEN TOTAL'!U59</f>
        <v>0</v>
      </c>
      <c r="Q57">
        <f>'RESUMEN TOTAL'!V59</f>
        <v>0</v>
      </c>
      <c r="R57">
        <f>'RESUMEN TOTAL'!W59</f>
        <v>0</v>
      </c>
      <c r="S57">
        <f>'RESUMEN TOTAL'!X59</f>
        <v>0</v>
      </c>
      <c r="T57">
        <f>'RESUMEN TOTAL'!Y59</f>
        <v>0</v>
      </c>
      <c r="U57">
        <f>'RESUMEN TOTAL'!Z59</f>
        <v>0</v>
      </c>
      <c r="V57">
        <f>'RESUMEN TOTAL'!AA59</f>
        <v>0</v>
      </c>
      <c r="W57">
        <f>'RESUMEN TOTAL'!AB59</f>
        <v>0</v>
      </c>
      <c r="X57">
        <f>'RESUMEN TOTAL'!AC59</f>
        <v>0</v>
      </c>
      <c r="Y57">
        <f>'RESUMEN TOTAL'!AD59</f>
        <v>0</v>
      </c>
      <c r="Z57">
        <f>'RESUMEN TOTAL'!AE59</f>
        <v>0</v>
      </c>
      <c r="AA57">
        <f>'RESUMEN TOTAL'!AF59</f>
        <v>0</v>
      </c>
      <c r="AB57">
        <f>'RESUMEN TOTAL'!AG59</f>
        <v>0</v>
      </c>
      <c r="AC57">
        <f>'RESUMEN TOTAL'!AH59</f>
        <v>0</v>
      </c>
      <c r="AD57">
        <f>'RESUMEN TOTAL'!AI59</f>
        <v>0</v>
      </c>
      <c r="AE57">
        <f>'RESUMEN TOTAL'!AJ59</f>
        <v>0</v>
      </c>
      <c r="AF57">
        <f>'RESUMEN TOTAL'!AK59</f>
        <v>0</v>
      </c>
      <c r="AG57">
        <f>'RESUMEN TOTAL'!AL59</f>
        <v>0</v>
      </c>
      <c r="AH57">
        <f>'RESUMEN TOTAL'!AM59</f>
        <v>0</v>
      </c>
      <c r="AI57">
        <f>'RESUMEN TOTAL'!AN59</f>
        <v>0</v>
      </c>
    </row>
    <row r="58" spans="1:35" x14ac:dyDescent="0.3">
      <c r="A58" t="str">
        <f>'RESUMEN TOTAL'!A60</f>
        <v>CENTRO</v>
      </c>
      <c r="B58" t="str">
        <f>'RESUMEN TOTAL'!B60</f>
        <v>CEN38</v>
      </c>
      <c r="C58" t="str">
        <f>'RESUMEN TOTAL'!D60</f>
        <v>Diagonal Constituyentes y Almafuerte</v>
      </c>
      <c r="D58" t="str">
        <f>'RESUMEN TOTAL'!E60</f>
        <v>Domo</v>
      </c>
      <c r="E58" t="str">
        <f>'RESUMEN TOTAL'!F60</f>
        <v>Fibra Optica</v>
      </c>
      <c r="F58">
        <f>'RESUMEN TOTAL'!K60</f>
        <v>0</v>
      </c>
      <c r="G58">
        <f>'RESUMEN TOTAL'!L60</f>
        <v>0</v>
      </c>
      <c r="H58">
        <f>'RESUMEN TOTAL'!M60</f>
        <v>0</v>
      </c>
      <c r="I58">
        <f>'RESUMEN TOTAL'!N60</f>
        <v>0</v>
      </c>
      <c r="J58">
        <f>'RESUMEN TOTAL'!O60</f>
        <v>0</v>
      </c>
      <c r="K58">
        <f>'RESUMEN TOTAL'!P60</f>
        <v>0</v>
      </c>
      <c r="L58">
        <f>'RESUMEN TOTAL'!Q60</f>
        <v>0</v>
      </c>
      <c r="M58">
        <f>'RESUMEN TOTAL'!R60</f>
        <v>0</v>
      </c>
      <c r="N58">
        <f>'RESUMEN TOTAL'!S60</f>
        <v>0</v>
      </c>
      <c r="O58" t="str">
        <f>'RESUMEN TOTAL'!T60</f>
        <v>APAGADO</v>
      </c>
      <c r="P58">
        <f>'RESUMEN TOTAL'!U60</f>
        <v>0</v>
      </c>
      <c r="Q58">
        <f>'RESUMEN TOTAL'!V60</f>
        <v>0</v>
      </c>
      <c r="R58">
        <f>'RESUMEN TOTAL'!W60</f>
        <v>0</v>
      </c>
      <c r="S58">
        <f>'RESUMEN TOTAL'!X60</f>
        <v>0</v>
      </c>
      <c r="T58">
        <f>'RESUMEN TOTAL'!Y60</f>
        <v>0</v>
      </c>
      <c r="U58">
        <f>'RESUMEN TOTAL'!Z60</f>
        <v>0</v>
      </c>
      <c r="V58">
        <f>'RESUMEN TOTAL'!AA60</f>
        <v>0</v>
      </c>
      <c r="W58">
        <f>'RESUMEN TOTAL'!AB60</f>
        <v>0</v>
      </c>
      <c r="X58">
        <f>'RESUMEN TOTAL'!AC60</f>
        <v>0</v>
      </c>
      <c r="Y58">
        <f>'RESUMEN TOTAL'!AD60</f>
        <v>0</v>
      </c>
      <c r="Z58">
        <f>'RESUMEN TOTAL'!AE60</f>
        <v>0</v>
      </c>
      <c r="AA58">
        <f>'RESUMEN TOTAL'!AF60</f>
        <v>0</v>
      </c>
      <c r="AB58">
        <f>'RESUMEN TOTAL'!AG60</f>
        <v>0</v>
      </c>
      <c r="AC58">
        <f>'RESUMEN TOTAL'!AH60</f>
        <v>0</v>
      </c>
      <c r="AD58">
        <f>'RESUMEN TOTAL'!AI60</f>
        <v>0</v>
      </c>
      <c r="AE58">
        <f>'RESUMEN TOTAL'!AJ60</f>
        <v>0</v>
      </c>
      <c r="AF58">
        <f>'RESUMEN TOTAL'!AK60</f>
        <v>0</v>
      </c>
      <c r="AG58">
        <f>'RESUMEN TOTAL'!AL60</f>
        <v>0</v>
      </c>
      <c r="AH58">
        <f>'RESUMEN TOTAL'!AM60</f>
        <v>0</v>
      </c>
      <c r="AI58">
        <f>'RESUMEN TOTAL'!AN60</f>
        <v>0</v>
      </c>
    </row>
    <row r="59" spans="1:35" x14ac:dyDescent="0.3">
      <c r="A59" t="str">
        <f>'RESUMEN TOTAL'!A61</f>
        <v>CENTRO</v>
      </c>
      <c r="B59" t="str">
        <f>'RESUMEN TOTAL'!B61</f>
        <v>CEN39</v>
      </c>
      <c r="C59" t="str">
        <f>'RESUMEN TOTAL'!D61</f>
        <v>San Martin y Alem</v>
      </c>
      <c r="D59" t="str">
        <f>'RESUMEN TOTAL'!E61</f>
        <v>Domo</v>
      </c>
      <c r="E59" t="str">
        <f>'RESUMEN TOTAL'!F61</f>
        <v>Fibra Optica</v>
      </c>
      <c r="F59" t="str">
        <f>'RESUMEN TOTAL'!K61</f>
        <v>APAGADO</v>
      </c>
      <c r="G59" t="str">
        <f>'RESUMEN TOTAL'!L61</f>
        <v>APAGADO</v>
      </c>
      <c r="H59" t="str">
        <f>'RESUMEN TOTAL'!M61</f>
        <v>APAGADO</v>
      </c>
      <c r="I59" t="str">
        <f>'RESUMEN TOTAL'!N61</f>
        <v>APAGADO</v>
      </c>
      <c r="J59" t="str">
        <f>'RESUMEN TOTAL'!O61</f>
        <v>APAGADO</v>
      </c>
      <c r="K59" t="str">
        <f>'RESUMEN TOTAL'!P61</f>
        <v>APAGADO</v>
      </c>
      <c r="L59" t="str">
        <f>'RESUMEN TOTAL'!Q61</f>
        <v>APAGADO</v>
      </c>
      <c r="M59" t="str">
        <f>'RESUMEN TOTAL'!R61</f>
        <v>APAGADO</v>
      </c>
      <c r="N59" t="str">
        <f>'RESUMEN TOTAL'!S61</f>
        <v>APAGADO</v>
      </c>
      <c r="O59" t="str">
        <f>'RESUMEN TOTAL'!T61</f>
        <v>APAGADO</v>
      </c>
      <c r="P59" t="str">
        <f>'RESUMEN TOTAL'!U61</f>
        <v>APAGADO</v>
      </c>
      <c r="Q59" t="str">
        <f>'RESUMEN TOTAL'!V61</f>
        <v>APAGADO</v>
      </c>
      <c r="R59" t="str">
        <f>'RESUMEN TOTAL'!W61</f>
        <v>APAGADO</v>
      </c>
      <c r="S59" t="str">
        <f>'RESUMEN TOTAL'!X61</f>
        <v>APAGADO</v>
      </c>
      <c r="T59" t="str">
        <f>'RESUMEN TOTAL'!Y61</f>
        <v>APAGADO</v>
      </c>
      <c r="U59">
        <f>'RESUMEN TOTAL'!Z61</f>
        <v>0</v>
      </c>
      <c r="V59">
        <f>'RESUMEN TOTAL'!AA61</f>
        <v>0</v>
      </c>
      <c r="W59">
        <f>'RESUMEN TOTAL'!AB61</f>
        <v>0</v>
      </c>
      <c r="X59">
        <f>'RESUMEN TOTAL'!AC61</f>
        <v>0</v>
      </c>
      <c r="Y59">
        <f>'RESUMEN TOTAL'!AD61</f>
        <v>0</v>
      </c>
      <c r="Z59">
        <f>'RESUMEN TOTAL'!AE61</f>
        <v>0</v>
      </c>
      <c r="AA59">
        <f>'RESUMEN TOTAL'!AF61</f>
        <v>0</v>
      </c>
      <c r="AB59">
        <f>'RESUMEN TOTAL'!AG61</f>
        <v>0</v>
      </c>
      <c r="AC59">
        <f>'RESUMEN TOTAL'!AH61</f>
        <v>0</v>
      </c>
      <c r="AD59">
        <f>'RESUMEN TOTAL'!AI61</f>
        <v>0</v>
      </c>
      <c r="AE59">
        <f>'RESUMEN TOTAL'!AJ61</f>
        <v>0</v>
      </c>
      <c r="AF59">
        <f>'RESUMEN TOTAL'!AK61</f>
        <v>0</v>
      </c>
      <c r="AG59">
        <f>'RESUMEN TOTAL'!AL61</f>
        <v>0</v>
      </c>
      <c r="AH59">
        <f>'RESUMEN TOTAL'!AM61</f>
        <v>0</v>
      </c>
      <c r="AI59">
        <f>'RESUMEN TOTAL'!AN61</f>
        <v>0</v>
      </c>
    </row>
    <row r="60" spans="1:35" x14ac:dyDescent="0.3">
      <c r="A60" t="str">
        <f>'RESUMEN TOTAL'!A62</f>
        <v>CENTRO</v>
      </c>
      <c r="B60" t="str">
        <f>'RESUMEN TOTAL'!B62</f>
        <v>CEN40</v>
      </c>
      <c r="C60" t="str">
        <f>'RESUMEN TOTAL'!D62</f>
        <v>Contreras y Monteagudo</v>
      </c>
      <c r="D60" t="str">
        <f>'RESUMEN TOTAL'!E62</f>
        <v>Domo</v>
      </c>
      <c r="E60" t="str">
        <f>'RESUMEN TOTAL'!F62</f>
        <v>Fibra Optica</v>
      </c>
      <c r="F60">
        <f>'RESUMEN TOTAL'!K62</f>
        <v>0</v>
      </c>
      <c r="G60">
        <f>'RESUMEN TOTAL'!L62</f>
        <v>0</v>
      </c>
      <c r="H60">
        <f>'RESUMEN TOTAL'!M62</f>
        <v>0</v>
      </c>
      <c r="I60">
        <f>'RESUMEN TOTAL'!N62</f>
        <v>0</v>
      </c>
      <c r="J60">
        <f>'RESUMEN TOTAL'!O62</f>
        <v>0</v>
      </c>
      <c r="K60">
        <f>'RESUMEN TOTAL'!P62</f>
        <v>0</v>
      </c>
      <c r="L60">
        <f>'RESUMEN TOTAL'!Q62</f>
        <v>0</v>
      </c>
      <c r="M60">
        <f>'RESUMEN TOTAL'!R62</f>
        <v>0</v>
      </c>
      <c r="N60" t="str">
        <f>'RESUMEN TOTAL'!S62</f>
        <v>APAGADO</v>
      </c>
      <c r="O60">
        <f>'RESUMEN TOTAL'!T62</f>
        <v>0</v>
      </c>
      <c r="P60">
        <f>'RESUMEN TOTAL'!U62</f>
        <v>0</v>
      </c>
      <c r="Q60">
        <f>'RESUMEN TOTAL'!V62</f>
        <v>0</v>
      </c>
      <c r="R60">
        <f>'RESUMEN TOTAL'!W62</f>
        <v>0</v>
      </c>
      <c r="S60">
        <f>'RESUMEN TOTAL'!X62</f>
        <v>0</v>
      </c>
      <c r="T60">
        <f>'RESUMEN TOTAL'!Y62</f>
        <v>0</v>
      </c>
      <c r="U60">
        <f>'RESUMEN TOTAL'!Z62</f>
        <v>0</v>
      </c>
      <c r="V60">
        <f>'RESUMEN TOTAL'!AA62</f>
        <v>0</v>
      </c>
      <c r="W60">
        <f>'RESUMEN TOTAL'!AB62</f>
        <v>0</v>
      </c>
      <c r="X60">
        <f>'RESUMEN TOTAL'!AC62</f>
        <v>0</v>
      </c>
      <c r="Y60">
        <f>'RESUMEN TOTAL'!AD62</f>
        <v>0</v>
      </c>
      <c r="Z60">
        <f>'RESUMEN TOTAL'!AE62</f>
        <v>0</v>
      </c>
      <c r="AA60">
        <f>'RESUMEN TOTAL'!AF62</f>
        <v>0</v>
      </c>
      <c r="AB60">
        <f>'RESUMEN TOTAL'!AG62</f>
        <v>0</v>
      </c>
      <c r="AC60">
        <f>'RESUMEN TOTAL'!AH62</f>
        <v>0</v>
      </c>
      <c r="AD60">
        <f>'RESUMEN TOTAL'!AI62</f>
        <v>0</v>
      </c>
      <c r="AE60">
        <f>'RESUMEN TOTAL'!AJ62</f>
        <v>0</v>
      </c>
      <c r="AF60">
        <f>'RESUMEN TOTAL'!AK62</f>
        <v>0</v>
      </c>
      <c r="AG60">
        <f>'RESUMEN TOTAL'!AL62</f>
        <v>0</v>
      </c>
      <c r="AH60">
        <f>'RESUMEN TOTAL'!AM62</f>
        <v>0</v>
      </c>
      <c r="AI60">
        <f>'RESUMEN TOTAL'!AN62</f>
        <v>0</v>
      </c>
    </row>
    <row r="61" spans="1:35" x14ac:dyDescent="0.3">
      <c r="A61" t="str">
        <f>'RESUMEN TOTAL'!A63</f>
        <v>CENTRO</v>
      </c>
      <c r="B61" t="str">
        <f>'RESUMEN TOTAL'!B63</f>
        <v>CEN41</v>
      </c>
      <c r="C61" t="str">
        <f>'RESUMEN TOTAL'!D63</f>
        <v>Contreras y Alberdi</v>
      </c>
      <c r="D61" t="str">
        <f>'RESUMEN TOTAL'!E63</f>
        <v>Domo</v>
      </c>
      <c r="E61" t="str">
        <f>'RESUMEN TOTAL'!F63</f>
        <v>Fibra Optica</v>
      </c>
      <c r="F61">
        <f>'RESUMEN TOTAL'!K63</f>
        <v>0</v>
      </c>
      <c r="G61">
        <f>'RESUMEN TOTAL'!L63</f>
        <v>0</v>
      </c>
      <c r="H61">
        <f>'RESUMEN TOTAL'!M63</f>
        <v>0</v>
      </c>
      <c r="I61">
        <f>'RESUMEN TOTAL'!N63</f>
        <v>0</v>
      </c>
      <c r="J61">
        <f>'RESUMEN TOTAL'!O63</f>
        <v>0</v>
      </c>
      <c r="K61">
        <f>'RESUMEN TOTAL'!P63</f>
        <v>0</v>
      </c>
      <c r="L61">
        <f>'RESUMEN TOTAL'!Q63</f>
        <v>0</v>
      </c>
      <c r="M61">
        <f>'RESUMEN TOTAL'!R63</f>
        <v>0</v>
      </c>
      <c r="N61">
        <f>'RESUMEN TOTAL'!S63</f>
        <v>0</v>
      </c>
      <c r="O61">
        <f>'RESUMEN TOTAL'!T63</f>
        <v>0</v>
      </c>
      <c r="P61">
        <f>'RESUMEN TOTAL'!U63</f>
        <v>0</v>
      </c>
      <c r="Q61">
        <f>'RESUMEN TOTAL'!V63</f>
        <v>0</v>
      </c>
      <c r="R61">
        <f>'RESUMEN TOTAL'!W63</f>
        <v>0</v>
      </c>
      <c r="S61">
        <f>'RESUMEN TOTAL'!X63</f>
        <v>0</v>
      </c>
      <c r="T61">
        <f>'RESUMEN TOTAL'!Y63</f>
        <v>0</v>
      </c>
      <c r="U61">
        <f>'RESUMEN TOTAL'!Z63</f>
        <v>0</v>
      </c>
      <c r="V61">
        <f>'RESUMEN TOTAL'!AA63</f>
        <v>0</v>
      </c>
      <c r="W61">
        <f>'RESUMEN TOTAL'!AB63</f>
        <v>0</v>
      </c>
      <c r="X61">
        <f>'RESUMEN TOTAL'!AC63</f>
        <v>0</v>
      </c>
      <c r="Y61">
        <f>'RESUMEN TOTAL'!AD63</f>
        <v>0</v>
      </c>
      <c r="Z61">
        <f>'RESUMEN TOTAL'!AE63</f>
        <v>0</v>
      </c>
      <c r="AA61">
        <f>'RESUMEN TOTAL'!AF63</f>
        <v>0</v>
      </c>
      <c r="AB61">
        <f>'RESUMEN TOTAL'!AG63</f>
        <v>0</v>
      </c>
      <c r="AC61">
        <f>'RESUMEN TOTAL'!AH63</f>
        <v>0</v>
      </c>
      <c r="AD61">
        <f>'RESUMEN TOTAL'!AI63</f>
        <v>0</v>
      </c>
      <c r="AE61">
        <f>'RESUMEN TOTAL'!AJ63</f>
        <v>0</v>
      </c>
      <c r="AF61">
        <f>'RESUMEN TOTAL'!AK63</f>
        <v>0</v>
      </c>
      <c r="AG61">
        <f>'RESUMEN TOTAL'!AL63</f>
        <v>0</v>
      </c>
      <c r="AH61">
        <f>'RESUMEN TOTAL'!AM63</f>
        <v>0</v>
      </c>
      <c r="AI61">
        <f>'RESUMEN TOTAL'!AN63</f>
        <v>0</v>
      </c>
    </row>
    <row r="62" spans="1:35" x14ac:dyDescent="0.3">
      <c r="A62" t="str">
        <f>'RESUMEN TOTAL'!A64</f>
        <v>CENTRO</v>
      </c>
      <c r="B62" t="str">
        <f>'RESUMEN TOTAL'!B64</f>
        <v>CEN42</v>
      </c>
      <c r="C62" t="str">
        <f>'RESUMEN TOTAL'!D64</f>
        <v>Diagonal Constituyentes y Alem</v>
      </c>
      <c r="D62" t="str">
        <f>'RESUMEN TOTAL'!E64</f>
        <v>Domo</v>
      </c>
      <c r="E62" t="str">
        <f>'RESUMEN TOTAL'!F64</f>
        <v>Fibra Optica</v>
      </c>
      <c r="F62">
        <f>'RESUMEN TOTAL'!K64</f>
        <v>0</v>
      </c>
      <c r="G62">
        <f>'RESUMEN TOTAL'!L64</f>
        <v>0</v>
      </c>
      <c r="H62">
        <f>'RESUMEN TOTAL'!M64</f>
        <v>0</v>
      </c>
      <c r="I62">
        <f>'RESUMEN TOTAL'!N64</f>
        <v>0</v>
      </c>
      <c r="J62">
        <f>'RESUMEN TOTAL'!O64</f>
        <v>0</v>
      </c>
      <c r="K62">
        <f>'RESUMEN TOTAL'!P64</f>
        <v>0</v>
      </c>
      <c r="L62">
        <f>'RESUMEN TOTAL'!Q64</f>
        <v>0</v>
      </c>
      <c r="M62">
        <f>'RESUMEN TOTAL'!R64</f>
        <v>0</v>
      </c>
      <c r="N62" t="str">
        <f>'RESUMEN TOTAL'!S64</f>
        <v>APAGADO</v>
      </c>
      <c r="O62" t="str">
        <f>'RESUMEN TOTAL'!T64</f>
        <v>APAGADO</v>
      </c>
      <c r="P62">
        <f>'RESUMEN TOTAL'!U64</f>
        <v>0</v>
      </c>
      <c r="Q62">
        <f>'RESUMEN TOTAL'!V64</f>
        <v>0</v>
      </c>
      <c r="R62">
        <f>'RESUMEN TOTAL'!W64</f>
        <v>0</v>
      </c>
      <c r="S62">
        <f>'RESUMEN TOTAL'!X64</f>
        <v>0</v>
      </c>
      <c r="T62">
        <f>'RESUMEN TOTAL'!Y64</f>
        <v>0</v>
      </c>
      <c r="U62">
        <f>'RESUMEN TOTAL'!Z64</f>
        <v>0</v>
      </c>
      <c r="V62">
        <f>'RESUMEN TOTAL'!AA64</f>
        <v>0</v>
      </c>
      <c r="W62">
        <f>'RESUMEN TOTAL'!AB64</f>
        <v>0</v>
      </c>
      <c r="X62">
        <f>'RESUMEN TOTAL'!AC64</f>
        <v>0</v>
      </c>
      <c r="Y62">
        <f>'RESUMEN TOTAL'!AD64</f>
        <v>0</v>
      </c>
      <c r="Z62">
        <f>'RESUMEN TOTAL'!AE64</f>
        <v>0</v>
      </c>
      <c r="AA62">
        <f>'RESUMEN TOTAL'!AF64</f>
        <v>0</v>
      </c>
      <c r="AB62">
        <f>'RESUMEN TOTAL'!AG64</f>
        <v>0</v>
      </c>
      <c r="AC62">
        <f>'RESUMEN TOTAL'!AH64</f>
        <v>0</v>
      </c>
      <c r="AD62">
        <f>'RESUMEN TOTAL'!AI64</f>
        <v>0</v>
      </c>
      <c r="AE62">
        <f>'RESUMEN TOTAL'!AJ64</f>
        <v>0</v>
      </c>
      <c r="AF62">
        <f>'RESUMEN TOTAL'!AK64</f>
        <v>0</v>
      </c>
      <c r="AG62">
        <f>'RESUMEN TOTAL'!AL64</f>
        <v>0</v>
      </c>
      <c r="AH62">
        <f>'RESUMEN TOTAL'!AM64</f>
        <v>0</v>
      </c>
      <c r="AI62">
        <f>'RESUMEN TOTAL'!AN64</f>
        <v>0</v>
      </c>
    </row>
    <row r="63" spans="1:35" x14ac:dyDescent="0.3">
      <c r="A63" t="str">
        <f>'RESUMEN TOTAL'!A65</f>
        <v>CENTRO</v>
      </c>
      <c r="B63" t="str">
        <f>'RESUMEN TOTAL'!B65</f>
        <v>CEN43</v>
      </c>
      <c r="C63" t="str">
        <f>'RESUMEN TOTAL'!D65</f>
        <v>Sallares y Alberdi</v>
      </c>
      <c r="D63" t="str">
        <f>'RESUMEN TOTAL'!E65</f>
        <v>Domo</v>
      </c>
      <c r="E63" t="str">
        <f>'RESUMEN TOTAL'!F65</f>
        <v>Fibra Optica</v>
      </c>
      <c r="F63">
        <f>'RESUMEN TOTAL'!K65</f>
        <v>0</v>
      </c>
      <c r="G63">
        <f>'RESUMEN TOTAL'!L65</f>
        <v>0</v>
      </c>
      <c r="H63">
        <f>'RESUMEN TOTAL'!M65</f>
        <v>0</v>
      </c>
      <c r="I63">
        <f>'RESUMEN TOTAL'!N65</f>
        <v>0</v>
      </c>
      <c r="J63">
        <f>'RESUMEN TOTAL'!O65</f>
        <v>0</v>
      </c>
      <c r="K63">
        <f>'RESUMEN TOTAL'!P65</f>
        <v>0</v>
      </c>
      <c r="L63">
        <f>'RESUMEN TOTAL'!Q65</f>
        <v>0</v>
      </c>
      <c r="M63">
        <f>'RESUMEN TOTAL'!R65</f>
        <v>0</v>
      </c>
      <c r="N63">
        <f>'RESUMEN TOTAL'!S65</f>
        <v>0</v>
      </c>
      <c r="O63">
        <f>'RESUMEN TOTAL'!T65</f>
        <v>0</v>
      </c>
      <c r="P63">
        <f>'RESUMEN TOTAL'!U65</f>
        <v>0</v>
      </c>
      <c r="Q63">
        <f>'RESUMEN TOTAL'!V65</f>
        <v>0</v>
      </c>
      <c r="R63">
        <f>'RESUMEN TOTAL'!W65</f>
        <v>0</v>
      </c>
      <c r="S63">
        <f>'RESUMEN TOTAL'!X65</f>
        <v>0</v>
      </c>
      <c r="T63">
        <f>'RESUMEN TOTAL'!Y65</f>
        <v>0</v>
      </c>
      <c r="U63">
        <f>'RESUMEN TOTAL'!Z65</f>
        <v>0</v>
      </c>
      <c r="V63">
        <f>'RESUMEN TOTAL'!AA65</f>
        <v>0</v>
      </c>
      <c r="W63" t="str">
        <f>'RESUMEN TOTAL'!AB65</f>
        <v>APAGADO</v>
      </c>
      <c r="X63">
        <f>'RESUMEN TOTAL'!AC65</f>
        <v>0</v>
      </c>
      <c r="Y63">
        <f>'RESUMEN TOTAL'!AD65</f>
        <v>0</v>
      </c>
      <c r="Z63">
        <f>'RESUMEN TOTAL'!AE65</f>
        <v>0</v>
      </c>
      <c r="AA63">
        <f>'RESUMEN TOTAL'!AF65</f>
        <v>0</v>
      </c>
      <c r="AB63">
        <f>'RESUMEN TOTAL'!AG65</f>
        <v>0</v>
      </c>
      <c r="AC63">
        <f>'RESUMEN TOTAL'!AH65</f>
        <v>0</v>
      </c>
      <c r="AD63">
        <f>'RESUMEN TOTAL'!AI65</f>
        <v>0</v>
      </c>
      <c r="AE63">
        <f>'RESUMEN TOTAL'!AJ65</f>
        <v>0</v>
      </c>
      <c r="AF63">
        <f>'RESUMEN TOTAL'!AK65</f>
        <v>0</v>
      </c>
      <c r="AG63">
        <f>'RESUMEN TOTAL'!AL65</f>
        <v>0</v>
      </c>
      <c r="AH63">
        <f>'RESUMEN TOTAL'!AM65</f>
        <v>0</v>
      </c>
      <c r="AI63">
        <f>'RESUMEN TOTAL'!AN65</f>
        <v>0</v>
      </c>
    </row>
    <row r="64" spans="1:35" x14ac:dyDescent="0.3">
      <c r="A64" t="str">
        <f>'RESUMEN TOTAL'!A66</f>
        <v>CENTRO</v>
      </c>
      <c r="B64" t="str">
        <f>'RESUMEN TOTAL'!B66</f>
        <v>CEN44</v>
      </c>
      <c r="C64" t="str">
        <f>'RESUMEN TOTAL'!D66</f>
        <v>Mitre y Brown</v>
      </c>
      <c r="D64" t="str">
        <f>'RESUMEN TOTAL'!E66</f>
        <v>Domo</v>
      </c>
      <c r="E64" t="str">
        <f>'RESUMEN TOTAL'!F66</f>
        <v>Fibra Optica</v>
      </c>
      <c r="F64">
        <f>'RESUMEN TOTAL'!K66</f>
        <v>0</v>
      </c>
      <c r="G64">
        <f>'RESUMEN TOTAL'!L66</f>
        <v>0</v>
      </c>
      <c r="H64">
        <f>'RESUMEN TOTAL'!M66</f>
        <v>0</v>
      </c>
      <c r="I64">
        <f>'RESUMEN TOTAL'!N66</f>
        <v>0</v>
      </c>
      <c r="J64">
        <f>'RESUMEN TOTAL'!O66</f>
        <v>0</v>
      </c>
      <c r="K64">
        <f>'RESUMEN TOTAL'!P66</f>
        <v>0</v>
      </c>
      <c r="L64">
        <f>'RESUMEN TOTAL'!Q66</f>
        <v>0</v>
      </c>
      <c r="M64">
        <f>'RESUMEN TOTAL'!R66</f>
        <v>0</v>
      </c>
      <c r="N64">
        <f>'RESUMEN TOTAL'!S66</f>
        <v>0</v>
      </c>
      <c r="O64">
        <f>'RESUMEN TOTAL'!T66</f>
        <v>0</v>
      </c>
      <c r="P64">
        <f>'RESUMEN TOTAL'!U66</f>
        <v>0</v>
      </c>
      <c r="Q64">
        <f>'RESUMEN TOTAL'!V66</f>
        <v>0</v>
      </c>
      <c r="R64">
        <f>'RESUMEN TOTAL'!W66</f>
        <v>0</v>
      </c>
      <c r="S64">
        <f>'RESUMEN TOTAL'!X66</f>
        <v>0</v>
      </c>
      <c r="T64">
        <f>'RESUMEN TOTAL'!Y66</f>
        <v>0</v>
      </c>
      <c r="U64">
        <f>'RESUMEN TOTAL'!Z66</f>
        <v>0</v>
      </c>
      <c r="V64">
        <f>'RESUMEN TOTAL'!AA66</f>
        <v>0</v>
      </c>
      <c r="W64" t="str">
        <f>'RESUMEN TOTAL'!AB66</f>
        <v>APAGADO</v>
      </c>
      <c r="X64">
        <f>'RESUMEN TOTAL'!AC66</f>
        <v>0</v>
      </c>
      <c r="Y64">
        <f>'RESUMEN TOTAL'!AD66</f>
        <v>0</v>
      </c>
      <c r="Z64">
        <f>'RESUMEN TOTAL'!AE66</f>
        <v>0</v>
      </c>
      <c r="AA64">
        <f>'RESUMEN TOTAL'!AF66</f>
        <v>0</v>
      </c>
      <c r="AB64">
        <f>'RESUMEN TOTAL'!AG66</f>
        <v>0</v>
      </c>
      <c r="AC64">
        <f>'RESUMEN TOTAL'!AH66</f>
        <v>0</v>
      </c>
      <c r="AD64">
        <f>'RESUMEN TOTAL'!AI66</f>
        <v>0</v>
      </c>
      <c r="AE64">
        <f>'RESUMEN TOTAL'!AJ66</f>
        <v>0</v>
      </c>
      <c r="AF64">
        <f>'RESUMEN TOTAL'!AK66</f>
        <v>0</v>
      </c>
      <c r="AG64">
        <f>'RESUMEN TOTAL'!AL66</f>
        <v>0</v>
      </c>
      <c r="AH64">
        <f>'RESUMEN TOTAL'!AM66</f>
        <v>0</v>
      </c>
      <c r="AI64">
        <f>'RESUMEN TOTAL'!AN66</f>
        <v>0</v>
      </c>
    </row>
    <row r="65" spans="1:35" x14ac:dyDescent="0.3">
      <c r="A65" t="str">
        <f>'RESUMEN TOTAL'!A67</f>
        <v>CENTRO</v>
      </c>
      <c r="B65" t="str">
        <f>'RESUMEN TOTAL'!B67</f>
        <v>CEN45 (fija 1)</v>
      </c>
      <c r="C65" t="str">
        <f>'RESUMEN TOTAL'!D67</f>
        <v>EEUU Y MORENO</v>
      </c>
      <c r="D65" t="str">
        <f>'RESUMEN TOTAL'!E67</f>
        <v>Fija</v>
      </c>
      <c r="E65" t="str">
        <f>'RESUMEN TOTAL'!F67</f>
        <v>Fibra Optica</v>
      </c>
      <c r="F65">
        <f>'RESUMEN TOTAL'!K67</f>
        <v>0</v>
      </c>
      <c r="G65">
        <f>'RESUMEN TOTAL'!L67</f>
        <v>0</v>
      </c>
      <c r="H65">
        <f>'RESUMEN TOTAL'!M67</f>
        <v>0</v>
      </c>
      <c r="I65">
        <f>'RESUMEN TOTAL'!N67</f>
        <v>0</v>
      </c>
      <c r="J65">
        <f>'RESUMEN TOTAL'!O67</f>
        <v>0</v>
      </c>
      <c r="K65">
        <f>'RESUMEN TOTAL'!P67</f>
        <v>0</v>
      </c>
      <c r="L65">
        <f>'RESUMEN TOTAL'!Q67</f>
        <v>0</v>
      </c>
      <c r="M65" t="str">
        <f>'RESUMEN TOTAL'!R67</f>
        <v>APAGADO</v>
      </c>
      <c r="N65">
        <f>'RESUMEN TOTAL'!S67</f>
        <v>0</v>
      </c>
      <c r="O65">
        <f>'RESUMEN TOTAL'!T67</f>
        <v>0</v>
      </c>
      <c r="P65">
        <f>'RESUMEN TOTAL'!U67</f>
        <v>0</v>
      </c>
      <c r="Q65">
        <f>'RESUMEN TOTAL'!V67</f>
        <v>0</v>
      </c>
      <c r="R65">
        <f>'RESUMEN TOTAL'!W67</f>
        <v>0</v>
      </c>
      <c r="S65">
        <f>'RESUMEN TOTAL'!X67</f>
        <v>0</v>
      </c>
      <c r="T65">
        <f>'RESUMEN TOTAL'!Y67</f>
        <v>0</v>
      </c>
      <c r="U65">
        <f>'RESUMEN TOTAL'!Z67</f>
        <v>0</v>
      </c>
      <c r="V65">
        <f>'RESUMEN TOTAL'!AA67</f>
        <v>0</v>
      </c>
      <c r="W65">
        <f>'RESUMEN TOTAL'!AB67</f>
        <v>0</v>
      </c>
      <c r="X65">
        <f>'RESUMEN TOTAL'!AC67</f>
        <v>0</v>
      </c>
      <c r="Y65">
        <f>'RESUMEN TOTAL'!AD67</f>
        <v>0</v>
      </c>
      <c r="Z65">
        <f>'RESUMEN TOTAL'!AE67</f>
        <v>0</v>
      </c>
      <c r="AA65">
        <f>'RESUMEN TOTAL'!AF67</f>
        <v>0</v>
      </c>
      <c r="AB65">
        <f>'RESUMEN TOTAL'!AG67</f>
        <v>0</v>
      </c>
      <c r="AC65">
        <f>'RESUMEN TOTAL'!AH67</f>
        <v>0</v>
      </c>
      <c r="AD65">
        <f>'RESUMEN TOTAL'!AI67</f>
        <v>0</v>
      </c>
      <c r="AE65">
        <f>'RESUMEN TOTAL'!AJ67</f>
        <v>0</v>
      </c>
      <c r="AF65">
        <f>'RESUMEN TOTAL'!AK67</f>
        <v>0</v>
      </c>
      <c r="AG65">
        <f>'RESUMEN TOTAL'!AL67</f>
        <v>0</v>
      </c>
      <c r="AH65">
        <f>'RESUMEN TOTAL'!AM67</f>
        <v>0</v>
      </c>
      <c r="AI65">
        <f>'RESUMEN TOTAL'!AN67</f>
        <v>0</v>
      </c>
    </row>
    <row r="66" spans="1:35" x14ac:dyDescent="0.3">
      <c r="A66" t="str">
        <f>'RESUMEN TOTAL'!A68</f>
        <v>CENTRO</v>
      </c>
      <c r="B66" t="str">
        <f>'RESUMEN TOTAL'!B68</f>
        <v>CEN46 (fija 2)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TOTAL'!K68</f>
        <v>0</v>
      </c>
      <c r="G66">
        <f>'RESUMEN TOTAL'!L68</f>
        <v>0</v>
      </c>
      <c r="H66">
        <f>'RESUMEN TOTAL'!M68</f>
        <v>0</v>
      </c>
      <c r="I66">
        <f>'RESUMEN TOTAL'!N68</f>
        <v>0</v>
      </c>
      <c r="J66">
        <f>'RESUMEN TOTAL'!O68</f>
        <v>0</v>
      </c>
      <c r="K66">
        <f>'RESUMEN TOTAL'!P68</f>
        <v>0</v>
      </c>
      <c r="L66">
        <f>'RESUMEN TOTAL'!Q68</f>
        <v>0</v>
      </c>
      <c r="M66" t="str">
        <f>'RESUMEN TOTAL'!R68</f>
        <v>APAGADO</v>
      </c>
      <c r="N66">
        <f>'RESUMEN TOTAL'!S68</f>
        <v>0</v>
      </c>
      <c r="O66">
        <f>'RESUMEN TOTAL'!T68</f>
        <v>0</v>
      </c>
      <c r="P66">
        <f>'RESUMEN TOTAL'!U68</f>
        <v>0</v>
      </c>
      <c r="Q66">
        <f>'RESUMEN TOTAL'!V68</f>
        <v>0</v>
      </c>
      <c r="R66">
        <f>'RESUMEN TOTAL'!W68</f>
        <v>0</v>
      </c>
      <c r="S66">
        <f>'RESUMEN TOTAL'!X68</f>
        <v>0</v>
      </c>
      <c r="T66">
        <f>'RESUMEN TOTAL'!Y68</f>
        <v>0</v>
      </c>
      <c r="U66">
        <f>'RESUMEN TOTAL'!Z68</f>
        <v>0</v>
      </c>
      <c r="V66">
        <f>'RESUMEN TOTAL'!AA68</f>
        <v>0</v>
      </c>
      <c r="W66">
        <f>'RESUMEN TOTAL'!AB68</f>
        <v>0</v>
      </c>
      <c r="X66">
        <f>'RESUMEN TOTAL'!AC68</f>
        <v>0</v>
      </c>
      <c r="Y66">
        <f>'RESUMEN TOTAL'!AD68</f>
        <v>0</v>
      </c>
      <c r="Z66">
        <f>'RESUMEN TOTAL'!AE68</f>
        <v>0</v>
      </c>
      <c r="AA66">
        <f>'RESUMEN TOTAL'!AF68</f>
        <v>0</v>
      </c>
      <c r="AB66">
        <f>'RESUMEN TOTAL'!AG68</f>
        <v>0</v>
      </c>
      <c r="AC66">
        <f>'RESUMEN TOTAL'!AH68</f>
        <v>0</v>
      </c>
      <c r="AD66">
        <f>'RESUMEN TOTAL'!AI68</f>
        <v>0</v>
      </c>
      <c r="AE66">
        <f>'RESUMEN TOTAL'!AJ68</f>
        <v>0</v>
      </c>
      <c r="AF66">
        <f>'RESUMEN TOTAL'!AK68</f>
        <v>0</v>
      </c>
      <c r="AG66">
        <f>'RESUMEN TOTAL'!AL68</f>
        <v>0</v>
      </c>
      <c r="AH66">
        <f>'RESUMEN TOTAL'!AM68</f>
        <v>0</v>
      </c>
      <c r="AI66">
        <f>'RESUMEN TOTAL'!AN68</f>
        <v>0</v>
      </c>
    </row>
    <row r="67" spans="1:35" x14ac:dyDescent="0.3">
      <c r="A67" t="str">
        <f>'RESUMEN TOTAL'!A69</f>
        <v>CENTRO</v>
      </c>
      <c r="B67" t="str">
        <f>'RESUMEN TOTAL'!B69</f>
        <v>CEN47</v>
      </c>
      <c r="C67" t="str">
        <f>'RESUMEN TOTAL'!D69</f>
        <v>Sallares y Brown</v>
      </c>
      <c r="D67" t="str">
        <f>'RESUMEN TOTAL'!E69</f>
        <v>Domo</v>
      </c>
      <c r="E67" t="str">
        <f>'RESUMEN TOTAL'!F69</f>
        <v>Fibra Optica</v>
      </c>
      <c r="F67">
        <f>'RESUMEN TOTAL'!K69</f>
        <v>0</v>
      </c>
      <c r="G67">
        <f>'RESUMEN TOTAL'!L69</f>
        <v>0</v>
      </c>
      <c r="H67">
        <f>'RESUMEN TOTAL'!M69</f>
        <v>0</v>
      </c>
      <c r="I67">
        <f>'RESUMEN TOTAL'!N69</f>
        <v>0</v>
      </c>
      <c r="J67">
        <f>'RESUMEN TOTAL'!O69</f>
        <v>0</v>
      </c>
      <c r="K67">
        <f>'RESUMEN TOTAL'!P69</f>
        <v>0</v>
      </c>
      <c r="L67">
        <f>'RESUMEN TOTAL'!Q69</f>
        <v>0</v>
      </c>
      <c r="M67">
        <f>'RESUMEN TOTAL'!R69</f>
        <v>0</v>
      </c>
      <c r="N67">
        <f>'RESUMEN TOTAL'!S69</f>
        <v>0</v>
      </c>
      <c r="O67">
        <f>'RESUMEN TOTAL'!T69</f>
        <v>0</v>
      </c>
      <c r="P67">
        <f>'RESUMEN TOTAL'!U69</f>
        <v>0</v>
      </c>
      <c r="Q67">
        <f>'RESUMEN TOTAL'!V69</f>
        <v>0</v>
      </c>
      <c r="R67">
        <f>'RESUMEN TOTAL'!W69</f>
        <v>0</v>
      </c>
      <c r="S67">
        <f>'RESUMEN TOTAL'!X69</f>
        <v>0</v>
      </c>
      <c r="T67">
        <f>'RESUMEN TOTAL'!Y69</f>
        <v>0</v>
      </c>
      <c r="U67">
        <f>'RESUMEN TOTAL'!Z69</f>
        <v>0</v>
      </c>
      <c r="V67">
        <f>'RESUMEN TOTAL'!AA69</f>
        <v>0</v>
      </c>
      <c r="W67" t="str">
        <f>'RESUMEN TOTAL'!AB69</f>
        <v>APAGADO</v>
      </c>
      <c r="X67">
        <f>'RESUMEN TOTAL'!AC69</f>
        <v>0</v>
      </c>
      <c r="Y67">
        <f>'RESUMEN TOTAL'!AD69</f>
        <v>0</v>
      </c>
      <c r="Z67">
        <f>'RESUMEN TOTAL'!AE69</f>
        <v>0</v>
      </c>
      <c r="AA67">
        <f>'RESUMEN TOTAL'!AF69</f>
        <v>0</v>
      </c>
      <c r="AB67">
        <f>'RESUMEN TOTAL'!AG69</f>
        <v>0</v>
      </c>
      <c r="AC67">
        <f>'RESUMEN TOTAL'!AH69</f>
        <v>0</v>
      </c>
      <c r="AD67">
        <f>'RESUMEN TOTAL'!AI69</f>
        <v>0</v>
      </c>
      <c r="AE67">
        <f>'RESUMEN TOTAL'!AJ69</f>
        <v>0</v>
      </c>
      <c r="AF67">
        <f>'RESUMEN TOTAL'!AK69</f>
        <v>0</v>
      </c>
      <c r="AG67">
        <f>'RESUMEN TOTAL'!AL69</f>
        <v>0</v>
      </c>
      <c r="AH67">
        <f>'RESUMEN TOTAL'!AM69</f>
        <v>0</v>
      </c>
      <c r="AI67">
        <f>'RESUMEN TOTAL'!AN69</f>
        <v>0</v>
      </c>
    </row>
    <row r="68" spans="1:35" x14ac:dyDescent="0.3">
      <c r="A68" t="str">
        <f>'RESUMEN TOTAL'!A70</f>
        <v>CENTRO</v>
      </c>
      <c r="B68" t="str">
        <f>'RESUMEN TOTAL'!B70</f>
        <v>CEN48</v>
      </c>
      <c r="C68" t="str">
        <f>'RESUMEN TOTAL'!D70</f>
        <v>Velez Sarsfield y Las Heras</v>
      </c>
      <c r="D68" t="str">
        <f>'RESUMEN TOTAL'!E70</f>
        <v>Domo</v>
      </c>
      <c r="E68" t="str">
        <f>'RESUMEN TOTAL'!F70</f>
        <v>Radio</v>
      </c>
      <c r="F68">
        <f>'RESUMEN TOTAL'!K70</f>
        <v>0</v>
      </c>
      <c r="G68">
        <f>'RESUMEN TOTAL'!L70</f>
        <v>0</v>
      </c>
      <c r="H68">
        <f>'RESUMEN TOTAL'!M70</f>
        <v>0</v>
      </c>
      <c r="I68">
        <f>'RESUMEN TOTAL'!N70</f>
        <v>0</v>
      </c>
      <c r="J68">
        <f>'RESUMEN TOTAL'!O70</f>
        <v>0</v>
      </c>
      <c r="K68">
        <f>'RESUMEN TOTAL'!P70</f>
        <v>0</v>
      </c>
      <c r="L68">
        <f>'RESUMEN TOTAL'!Q70</f>
        <v>0</v>
      </c>
      <c r="M68">
        <f>'RESUMEN TOTAL'!R70</f>
        <v>0</v>
      </c>
      <c r="N68">
        <f>'RESUMEN TOTAL'!S70</f>
        <v>0</v>
      </c>
      <c r="O68">
        <f>'RESUMEN TOTAL'!T70</f>
        <v>0</v>
      </c>
      <c r="P68">
        <f>'RESUMEN TOTAL'!U70</f>
        <v>0</v>
      </c>
      <c r="Q68">
        <f>'RESUMEN TOTAL'!V70</f>
        <v>0</v>
      </c>
      <c r="R68">
        <f>'RESUMEN TOTAL'!W70</f>
        <v>0</v>
      </c>
      <c r="S68">
        <f>'RESUMEN TOTAL'!X70</f>
        <v>0</v>
      </c>
      <c r="T68">
        <f>'RESUMEN TOTAL'!Y70</f>
        <v>0</v>
      </c>
      <c r="U68">
        <f>'RESUMEN TOTAL'!Z70</f>
        <v>0</v>
      </c>
      <c r="V68">
        <f>'RESUMEN TOTAL'!AA70</f>
        <v>0</v>
      </c>
      <c r="W68">
        <f>'RESUMEN TOTAL'!AB70</f>
        <v>0</v>
      </c>
      <c r="X68">
        <f>'RESUMEN TOTAL'!AC70</f>
        <v>0</v>
      </c>
      <c r="Y68">
        <f>'RESUMEN TOTAL'!AD70</f>
        <v>0</v>
      </c>
      <c r="Z68">
        <f>'RESUMEN TOTAL'!AE70</f>
        <v>0</v>
      </c>
      <c r="AA68">
        <f>'RESUMEN TOTAL'!AF70</f>
        <v>0</v>
      </c>
      <c r="AB68">
        <f>'RESUMEN TOTAL'!AG70</f>
        <v>0</v>
      </c>
      <c r="AC68">
        <f>'RESUMEN TOTAL'!AH70</f>
        <v>0</v>
      </c>
      <c r="AD68">
        <f>'RESUMEN TOTAL'!AI70</f>
        <v>0</v>
      </c>
      <c r="AE68">
        <f>'RESUMEN TOTAL'!AJ70</f>
        <v>0</v>
      </c>
      <c r="AF68">
        <f>'RESUMEN TOTAL'!AK70</f>
        <v>0</v>
      </c>
      <c r="AG68">
        <f>'RESUMEN TOTAL'!AL70</f>
        <v>0</v>
      </c>
      <c r="AH68">
        <f>'RESUMEN TOTAL'!AM70</f>
        <v>0</v>
      </c>
      <c r="AI68">
        <f>'RESUMEN TOTAL'!AN70</f>
        <v>0</v>
      </c>
    </row>
    <row r="69" spans="1:35" x14ac:dyDescent="0.3">
      <c r="A69" t="str">
        <f>'RESUMEN TOTAL'!A71</f>
        <v>CENTRO</v>
      </c>
      <c r="B69" t="str">
        <f>'RESUMEN TOTAL'!B71</f>
        <v>CEN49</v>
      </c>
      <c r="C69" t="str">
        <f>'RESUMEN TOTAL'!D71</f>
        <v>Av. San Martin y Florencio Sanchez</v>
      </c>
      <c r="D69" t="str">
        <f>'RESUMEN TOTAL'!E71</f>
        <v>Domo</v>
      </c>
      <c r="E69" t="str">
        <f>'RESUMEN TOTAL'!F71</f>
        <v>Radio</v>
      </c>
      <c r="F69">
        <f>'RESUMEN TOTAL'!K71</f>
        <v>0</v>
      </c>
      <c r="G69">
        <f>'RESUMEN TOTAL'!L71</f>
        <v>0</v>
      </c>
      <c r="H69">
        <f>'RESUMEN TOTAL'!M71</f>
        <v>0</v>
      </c>
      <c r="I69">
        <f>'RESUMEN TOTAL'!N71</f>
        <v>0</v>
      </c>
      <c r="J69">
        <f>'RESUMEN TOTAL'!O71</f>
        <v>0</v>
      </c>
      <c r="K69">
        <f>'RESUMEN TOTAL'!P71</f>
        <v>0</v>
      </c>
      <c r="L69">
        <f>'RESUMEN TOTAL'!Q71</f>
        <v>0</v>
      </c>
      <c r="M69">
        <f>'RESUMEN TOTAL'!R71</f>
        <v>0</v>
      </c>
      <c r="N69">
        <f>'RESUMEN TOTAL'!S71</f>
        <v>0</v>
      </c>
      <c r="O69">
        <f>'RESUMEN TOTAL'!T71</f>
        <v>0</v>
      </c>
      <c r="P69">
        <f>'RESUMEN TOTAL'!U71</f>
        <v>0</v>
      </c>
      <c r="Q69">
        <f>'RESUMEN TOTAL'!V71</f>
        <v>0</v>
      </c>
      <c r="R69">
        <f>'RESUMEN TOTAL'!W71</f>
        <v>0</v>
      </c>
      <c r="S69">
        <f>'RESUMEN TOTAL'!X71</f>
        <v>0</v>
      </c>
      <c r="T69">
        <f>'RESUMEN TOTAL'!Y71</f>
        <v>0</v>
      </c>
      <c r="U69">
        <f>'RESUMEN TOTAL'!Z71</f>
        <v>0</v>
      </c>
      <c r="V69">
        <f>'RESUMEN TOTAL'!AA71</f>
        <v>0</v>
      </c>
      <c r="W69">
        <f>'RESUMEN TOTAL'!AB71</f>
        <v>0</v>
      </c>
      <c r="X69">
        <f>'RESUMEN TOTAL'!AC71</f>
        <v>0</v>
      </c>
      <c r="Y69">
        <f>'RESUMEN TOTAL'!AD71</f>
        <v>0</v>
      </c>
      <c r="Z69">
        <f>'RESUMEN TOTAL'!AE71</f>
        <v>0</v>
      </c>
      <c r="AA69">
        <f>'RESUMEN TOTAL'!AF71</f>
        <v>0</v>
      </c>
      <c r="AB69">
        <f>'RESUMEN TOTAL'!AG71</f>
        <v>0</v>
      </c>
      <c r="AC69">
        <f>'RESUMEN TOTAL'!AH71</f>
        <v>0</v>
      </c>
      <c r="AD69">
        <f>'RESUMEN TOTAL'!AI71</f>
        <v>0</v>
      </c>
      <c r="AE69">
        <f>'RESUMEN TOTAL'!AJ71</f>
        <v>0</v>
      </c>
      <c r="AF69">
        <f>'RESUMEN TOTAL'!AK71</f>
        <v>0</v>
      </c>
      <c r="AG69">
        <f>'RESUMEN TOTAL'!AL71</f>
        <v>0</v>
      </c>
      <c r="AH69">
        <f>'RESUMEN TOTAL'!AM71</f>
        <v>0</v>
      </c>
      <c r="AI69">
        <f>'RESUMEN TOTAL'!AN71</f>
        <v>0</v>
      </c>
    </row>
    <row r="70" spans="1:35" x14ac:dyDescent="0.3">
      <c r="A70" t="str">
        <f>'RESUMEN TOTAL'!A72</f>
        <v>CENTRO</v>
      </c>
      <c r="B70" t="str">
        <f>'RESUMEN TOTAL'!B72</f>
        <v>CEN 50</v>
      </c>
      <c r="C70" t="str">
        <f>'RESUMEN TOTAL'!D72</f>
        <v>Av. San Martin y Newbery</v>
      </c>
      <c r="D70" t="str">
        <f>'RESUMEN TOTAL'!E72</f>
        <v>Domo</v>
      </c>
      <c r="E70" t="str">
        <f>'RESUMEN TOTAL'!F72</f>
        <v>Radio</v>
      </c>
      <c r="F70" t="str">
        <f>'RESUMEN TOTAL'!K72</f>
        <v>APAGADO</v>
      </c>
      <c r="G70">
        <f>'RESUMEN TOTAL'!L72</f>
        <v>0</v>
      </c>
      <c r="H70">
        <f>'RESUMEN TOTAL'!M72</f>
        <v>0</v>
      </c>
      <c r="I70">
        <f>'RESUMEN TOTAL'!N72</f>
        <v>0</v>
      </c>
      <c r="J70">
        <f>'RESUMEN TOTAL'!O72</f>
        <v>0</v>
      </c>
      <c r="K70">
        <f>'RESUMEN TOTAL'!P72</f>
        <v>0</v>
      </c>
      <c r="L70">
        <f>'RESUMEN TOTAL'!Q72</f>
        <v>0</v>
      </c>
      <c r="M70">
        <f>'RESUMEN TOTAL'!R72</f>
        <v>0</v>
      </c>
      <c r="N70">
        <f>'RESUMEN TOTAL'!S72</f>
        <v>0</v>
      </c>
      <c r="O70">
        <f>'RESUMEN TOTAL'!T72</f>
        <v>0</v>
      </c>
      <c r="P70">
        <f>'RESUMEN TOTAL'!U72</f>
        <v>0</v>
      </c>
      <c r="Q70">
        <f>'RESUMEN TOTAL'!V72</f>
        <v>0</v>
      </c>
      <c r="R70">
        <f>'RESUMEN TOTAL'!W72</f>
        <v>0</v>
      </c>
      <c r="S70">
        <f>'RESUMEN TOTAL'!X72</f>
        <v>0</v>
      </c>
      <c r="T70">
        <f>'RESUMEN TOTAL'!Y72</f>
        <v>0</v>
      </c>
      <c r="U70">
        <f>'RESUMEN TOTAL'!Z72</f>
        <v>0</v>
      </c>
      <c r="V70">
        <f>'RESUMEN TOTAL'!AA72</f>
        <v>0</v>
      </c>
      <c r="W70">
        <f>'RESUMEN TOTAL'!AB72</f>
        <v>0</v>
      </c>
      <c r="X70">
        <f>'RESUMEN TOTAL'!AC72</f>
        <v>0</v>
      </c>
      <c r="Y70">
        <f>'RESUMEN TOTAL'!AD72</f>
        <v>0</v>
      </c>
      <c r="Z70">
        <f>'RESUMEN TOTAL'!AE72</f>
        <v>0</v>
      </c>
      <c r="AA70">
        <f>'RESUMEN TOTAL'!AF72</f>
        <v>0</v>
      </c>
      <c r="AB70">
        <f>'RESUMEN TOTAL'!AG72</f>
        <v>0</v>
      </c>
      <c r="AC70">
        <f>'RESUMEN TOTAL'!AH72</f>
        <v>0</v>
      </c>
      <c r="AD70">
        <f>'RESUMEN TOTAL'!AI72</f>
        <v>0</v>
      </c>
      <c r="AE70">
        <f>'RESUMEN TOTAL'!AJ72</f>
        <v>0</v>
      </c>
      <c r="AF70">
        <f>'RESUMEN TOTAL'!AK72</f>
        <v>0</v>
      </c>
      <c r="AG70">
        <f>'RESUMEN TOTAL'!AL72</f>
        <v>0</v>
      </c>
      <c r="AH70">
        <f>'RESUMEN TOTAL'!AM72</f>
        <v>0</v>
      </c>
      <c r="AI70">
        <f>'RESUMEN TOTAL'!AN72</f>
        <v>0</v>
      </c>
    </row>
    <row r="71" spans="1:35" x14ac:dyDescent="0.3">
      <c r="A71" t="str">
        <f>'RESUMEN TOTAL'!A73</f>
        <v>CENTRO</v>
      </c>
      <c r="B71" t="str">
        <f>'RESUMEN TOTAL'!B73</f>
        <v>CEN 51</v>
      </c>
      <c r="C71" t="str">
        <f>'RESUMEN TOTAL'!D73</f>
        <v>ILLIA Y LAS HERAS</v>
      </c>
      <c r="D71" t="str">
        <f>'RESUMEN TOTAL'!E73</f>
        <v>FIJA</v>
      </c>
      <c r="E71" t="str">
        <f>'RESUMEN TOTAL'!F73</f>
        <v>Fibra Optica</v>
      </c>
      <c r="F71">
        <f>'RESUMEN TOTAL'!K73</f>
        <v>0</v>
      </c>
      <c r="G71">
        <f>'RESUMEN TOTAL'!L73</f>
        <v>0</v>
      </c>
      <c r="H71">
        <f>'RESUMEN TOTAL'!M73</f>
        <v>0</v>
      </c>
      <c r="I71">
        <f>'RESUMEN TOTAL'!N73</f>
        <v>0</v>
      </c>
      <c r="J71">
        <f>'RESUMEN TOTAL'!O73</f>
        <v>0</v>
      </c>
      <c r="K71">
        <f>'RESUMEN TOTAL'!P73</f>
        <v>0</v>
      </c>
      <c r="L71">
        <f>'RESUMEN TOTAL'!Q73</f>
        <v>0</v>
      </c>
      <c r="M71">
        <f>'RESUMEN TOTAL'!R73</f>
        <v>0</v>
      </c>
      <c r="N71">
        <f>'RESUMEN TOTAL'!S73</f>
        <v>0</v>
      </c>
      <c r="O71">
        <f>'RESUMEN TOTAL'!T73</f>
        <v>0</v>
      </c>
      <c r="P71">
        <f>'RESUMEN TOTAL'!U73</f>
        <v>0</v>
      </c>
      <c r="Q71">
        <f>'RESUMEN TOTAL'!V73</f>
        <v>0</v>
      </c>
      <c r="R71">
        <f>'RESUMEN TOTAL'!W73</f>
        <v>0</v>
      </c>
      <c r="S71">
        <f>'RESUMEN TOTAL'!X73</f>
        <v>0</v>
      </c>
      <c r="T71">
        <f>'RESUMEN TOTAL'!Y73</f>
        <v>0</v>
      </c>
      <c r="U71">
        <f>'RESUMEN TOTAL'!Z73</f>
        <v>0</v>
      </c>
      <c r="V71">
        <f>'RESUMEN TOTAL'!AA73</f>
        <v>0</v>
      </c>
      <c r="W71">
        <f>'RESUMEN TOTAL'!AB73</f>
        <v>0</v>
      </c>
      <c r="X71">
        <f>'RESUMEN TOTAL'!AC73</f>
        <v>0</v>
      </c>
      <c r="Y71">
        <f>'RESUMEN TOTAL'!AD73</f>
        <v>0</v>
      </c>
      <c r="Z71">
        <f>'RESUMEN TOTAL'!AE73</f>
        <v>0</v>
      </c>
      <c r="AA71">
        <f>'RESUMEN TOTAL'!AF73</f>
        <v>0</v>
      </c>
      <c r="AB71">
        <f>'RESUMEN TOTAL'!AG73</f>
        <v>0</v>
      </c>
      <c r="AC71">
        <f>'RESUMEN TOTAL'!AH73</f>
        <v>0</v>
      </c>
      <c r="AD71">
        <f>'RESUMEN TOTAL'!AI73</f>
        <v>0</v>
      </c>
      <c r="AE71">
        <f>'RESUMEN TOTAL'!AJ73</f>
        <v>0</v>
      </c>
      <c r="AF71">
        <f>'RESUMEN TOTAL'!AK73</f>
        <v>0</v>
      </c>
      <c r="AG71">
        <f>'RESUMEN TOTAL'!AL73</f>
        <v>0</v>
      </c>
      <c r="AH71">
        <f>'RESUMEN TOTAL'!AM73</f>
        <v>0</v>
      </c>
      <c r="AI71">
        <f>'RESUMEN TOTAL'!AN73</f>
        <v>0</v>
      </c>
    </row>
    <row r="72" spans="1:35" x14ac:dyDescent="0.3">
      <c r="A72" t="str">
        <f>'RESUMEN TOTAL'!A74</f>
        <v>CENTRO</v>
      </c>
      <c r="B72" t="str">
        <f>'RESUMEN TOTAL'!B74</f>
        <v>CEN52</v>
      </c>
      <c r="C72" t="str">
        <f>'RESUMEN TOTAL'!D74</f>
        <v>San Martin y Almafuerte (ex San Martin y Dorrego)</v>
      </c>
      <c r="D72" t="str">
        <f>'RESUMEN TOTAL'!E74</f>
        <v>DOMO</v>
      </c>
      <c r="E72" t="str">
        <f>'RESUMEN TOTAL'!F74</f>
        <v>Radio</v>
      </c>
      <c r="F72">
        <f>'RESUMEN TOTAL'!K74</f>
        <v>0</v>
      </c>
      <c r="G72">
        <f>'RESUMEN TOTAL'!L74</f>
        <v>0</v>
      </c>
      <c r="H72">
        <f>'RESUMEN TOTAL'!M74</f>
        <v>0</v>
      </c>
      <c r="I72">
        <f>'RESUMEN TOTAL'!N74</f>
        <v>0</v>
      </c>
      <c r="J72">
        <f>'RESUMEN TOTAL'!O74</f>
        <v>0</v>
      </c>
      <c r="K72">
        <f>'RESUMEN TOTAL'!P74</f>
        <v>0</v>
      </c>
      <c r="L72">
        <f>'RESUMEN TOTAL'!Q74</f>
        <v>0</v>
      </c>
      <c r="M72">
        <f>'RESUMEN TOTAL'!R74</f>
        <v>0</v>
      </c>
      <c r="N72">
        <f>'RESUMEN TOTAL'!S74</f>
        <v>0</v>
      </c>
      <c r="O72">
        <f>'RESUMEN TOTAL'!T74</f>
        <v>0</v>
      </c>
      <c r="P72">
        <f>'RESUMEN TOTAL'!U74</f>
        <v>0</v>
      </c>
      <c r="Q72">
        <f>'RESUMEN TOTAL'!V74</f>
        <v>0</v>
      </c>
      <c r="R72">
        <f>'RESUMEN TOTAL'!W74</f>
        <v>0</v>
      </c>
      <c r="S72">
        <f>'RESUMEN TOTAL'!X74</f>
        <v>0</v>
      </c>
      <c r="T72">
        <f>'RESUMEN TOTAL'!Y74</f>
        <v>0</v>
      </c>
      <c r="U72">
        <f>'RESUMEN TOTAL'!Z74</f>
        <v>0</v>
      </c>
      <c r="V72">
        <f>'RESUMEN TOTAL'!AA74</f>
        <v>0</v>
      </c>
      <c r="W72">
        <f>'RESUMEN TOTAL'!AB74</f>
        <v>0</v>
      </c>
      <c r="X72">
        <f>'RESUMEN TOTAL'!AC74</f>
        <v>0</v>
      </c>
      <c r="Y72">
        <f>'RESUMEN TOTAL'!AD74</f>
        <v>0</v>
      </c>
      <c r="Z72">
        <f>'RESUMEN TOTAL'!AE74</f>
        <v>0</v>
      </c>
      <c r="AA72">
        <f>'RESUMEN TOTAL'!AF74</f>
        <v>0</v>
      </c>
      <c r="AB72">
        <f>'RESUMEN TOTAL'!AG74</f>
        <v>0</v>
      </c>
      <c r="AC72">
        <f>'RESUMEN TOTAL'!AH74</f>
        <v>0</v>
      </c>
      <c r="AD72">
        <f>'RESUMEN TOTAL'!AI74</f>
        <v>0</v>
      </c>
      <c r="AE72">
        <f>'RESUMEN TOTAL'!AJ74</f>
        <v>0</v>
      </c>
      <c r="AF72">
        <f>'RESUMEN TOTAL'!AK74</f>
        <v>0</v>
      </c>
      <c r="AG72">
        <f>'RESUMEN TOTAL'!AL74</f>
        <v>0</v>
      </c>
      <c r="AH72">
        <f>'RESUMEN TOTAL'!AM74</f>
        <v>0</v>
      </c>
      <c r="AI72">
        <f>'RESUMEN TOTAL'!AN74</f>
        <v>0</v>
      </c>
    </row>
    <row r="73" spans="1:35" x14ac:dyDescent="0.3">
      <c r="A73" t="str">
        <f>'RESUMEN TOTAL'!A75</f>
        <v>CENTRO</v>
      </c>
      <c r="B73" t="str">
        <f>'RESUMEN TOTAL'!B75</f>
        <v>CEN 53</v>
      </c>
      <c r="C73" t="str">
        <f>'RESUMEN TOTAL'!D75</f>
        <v>GUTIERREZ Y BROWN</v>
      </c>
      <c r="D73" t="str">
        <f>'RESUMEN TOTAL'!E75</f>
        <v>Domo</v>
      </c>
      <c r="E73" t="str">
        <f>'RESUMEN TOTAL'!F75</f>
        <v>Radio</v>
      </c>
      <c r="F73" t="str">
        <f>'RESUMEN TOTAL'!K75</f>
        <v>APAGADO</v>
      </c>
      <c r="G73" t="str">
        <f>'RESUMEN TOTAL'!L75</f>
        <v>APAGADO</v>
      </c>
      <c r="H73" t="str">
        <f>'RESUMEN TOTAL'!M75</f>
        <v>APAGADO</v>
      </c>
      <c r="I73" t="str">
        <f>'RESUMEN TOTAL'!N75</f>
        <v>APAGADO</v>
      </c>
      <c r="J73" t="str">
        <f>'RESUMEN TOTAL'!O75</f>
        <v>APAGADO</v>
      </c>
      <c r="K73" t="str">
        <f>'RESUMEN TOTAL'!P75</f>
        <v>APAGADO</v>
      </c>
      <c r="L73" t="str">
        <f>'RESUMEN TOTAL'!Q75</f>
        <v>APAGADO</v>
      </c>
      <c r="M73" t="str">
        <f>'RESUMEN TOTAL'!R75</f>
        <v>APAGADO</v>
      </c>
      <c r="N73" t="str">
        <f>'RESUMEN TOTAL'!S75</f>
        <v>APAGADO</v>
      </c>
      <c r="O73" t="str">
        <f>'RESUMEN TOTAL'!T75</f>
        <v>APAGADO</v>
      </c>
      <c r="P73" t="str">
        <f>'RESUMEN TOTAL'!U75</f>
        <v>APAGADO</v>
      </c>
      <c r="Q73" t="str">
        <f>'RESUMEN TOTAL'!V75</f>
        <v>APAGADO</v>
      </c>
      <c r="R73" t="str">
        <f>'RESUMEN TOTAL'!W75</f>
        <v>APAGADO</v>
      </c>
      <c r="S73" t="str">
        <f>'RESUMEN TOTAL'!X75</f>
        <v>APAGADO</v>
      </c>
      <c r="T73" t="str">
        <f>'RESUMEN TOTAL'!Y75</f>
        <v>APAGADO</v>
      </c>
      <c r="U73" t="str">
        <f>'RESUMEN TOTAL'!Z75</f>
        <v>APAGADO</v>
      </c>
      <c r="V73" t="str">
        <f>'RESUMEN TOTAL'!AA75</f>
        <v>APAGADO</v>
      </c>
      <c r="W73" t="str">
        <f>'RESUMEN TOTAL'!AB75</f>
        <v>APAGADO</v>
      </c>
      <c r="X73" t="str">
        <f>'RESUMEN TOTAL'!AC75</f>
        <v>APAGADO</v>
      </c>
      <c r="Y73">
        <f>'RESUMEN TOTAL'!AD75</f>
        <v>0</v>
      </c>
      <c r="Z73">
        <f>'RESUMEN TOTAL'!AE75</f>
        <v>0</v>
      </c>
      <c r="AA73">
        <f>'RESUMEN TOTAL'!AF75</f>
        <v>0</v>
      </c>
      <c r="AB73">
        <f>'RESUMEN TOTAL'!AG75</f>
        <v>0</v>
      </c>
      <c r="AC73">
        <f>'RESUMEN TOTAL'!AH75</f>
        <v>0</v>
      </c>
      <c r="AD73">
        <f>'RESUMEN TOTAL'!AI75</f>
        <v>0</v>
      </c>
      <c r="AE73">
        <f>'RESUMEN TOTAL'!AJ75</f>
        <v>0</v>
      </c>
      <c r="AF73">
        <f>'RESUMEN TOTAL'!AK75</f>
        <v>0</v>
      </c>
      <c r="AG73">
        <f>'RESUMEN TOTAL'!AL75</f>
        <v>0</v>
      </c>
      <c r="AH73">
        <f>'RESUMEN TOTAL'!AM75</f>
        <v>0</v>
      </c>
      <c r="AI73">
        <f>'RESUMEN TOTAL'!AN75</f>
        <v>0</v>
      </c>
    </row>
    <row r="74" spans="1:35" x14ac:dyDescent="0.3">
      <c r="A74" t="str">
        <f>'RESUMEN TOTAL'!A76</f>
        <v>CENTRO</v>
      </c>
      <c r="B74" t="str">
        <f>'RESUMEN TOTAL'!B76</f>
        <v>CEN 54</v>
      </c>
      <c r="C74" t="str">
        <f>'RESUMEN TOTAL'!D76</f>
        <v>GUTIERREZ Y PRINGLES</v>
      </c>
      <c r="D74" t="str">
        <f>'RESUMEN TOTAL'!E76</f>
        <v>Domo</v>
      </c>
      <c r="E74" t="str">
        <f>'RESUMEN TOTAL'!F76</f>
        <v>Radio</v>
      </c>
      <c r="F74" t="str">
        <f>'RESUMEN TOTAL'!K76</f>
        <v>APAGADO</v>
      </c>
      <c r="G74">
        <f>'RESUMEN TOTAL'!L76</f>
        <v>0</v>
      </c>
      <c r="H74">
        <f>'RESUMEN TOTAL'!M76</f>
        <v>0</v>
      </c>
      <c r="I74">
        <f>'RESUMEN TOTAL'!N76</f>
        <v>0</v>
      </c>
      <c r="J74">
        <f>'RESUMEN TOTAL'!O76</f>
        <v>0</v>
      </c>
      <c r="K74">
        <f>'RESUMEN TOTAL'!P76</f>
        <v>0</v>
      </c>
      <c r="L74">
        <f>'RESUMEN TOTAL'!Q76</f>
        <v>0</v>
      </c>
      <c r="M74">
        <f>'RESUMEN TOTAL'!R76</f>
        <v>0</v>
      </c>
      <c r="N74">
        <f>'RESUMEN TOTAL'!S76</f>
        <v>0</v>
      </c>
      <c r="O74">
        <f>'RESUMEN TOTAL'!T76</f>
        <v>0</v>
      </c>
      <c r="P74">
        <f>'RESUMEN TOTAL'!U76</f>
        <v>0</v>
      </c>
      <c r="Q74">
        <f>'RESUMEN TOTAL'!V76</f>
        <v>0</v>
      </c>
      <c r="R74">
        <f>'RESUMEN TOTAL'!W76</f>
        <v>0</v>
      </c>
      <c r="S74">
        <f>'RESUMEN TOTAL'!X76</f>
        <v>0</v>
      </c>
      <c r="T74">
        <f>'RESUMEN TOTAL'!Y76</f>
        <v>0</v>
      </c>
      <c r="U74">
        <f>'RESUMEN TOTAL'!Z76</f>
        <v>0</v>
      </c>
      <c r="V74">
        <f>'RESUMEN TOTAL'!AA76</f>
        <v>0</v>
      </c>
      <c r="W74">
        <f>'RESUMEN TOTAL'!AB76</f>
        <v>0</v>
      </c>
      <c r="X74">
        <f>'RESUMEN TOTAL'!AC76</f>
        <v>0</v>
      </c>
      <c r="Y74">
        <f>'RESUMEN TOTAL'!AD76</f>
        <v>0</v>
      </c>
      <c r="Z74">
        <f>'RESUMEN TOTAL'!AE76</f>
        <v>0</v>
      </c>
      <c r="AA74">
        <f>'RESUMEN TOTAL'!AF76</f>
        <v>0</v>
      </c>
      <c r="AB74">
        <f>'RESUMEN TOTAL'!AG76</f>
        <v>0</v>
      </c>
      <c r="AC74">
        <f>'RESUMEN TOTAL'!AH76</f>
        <v>0</v>
      </c>
      <c r="AD74">
        <f>'RESUMEN TOTAL'!AI76</f>
        <v>0</v>
      </c>
      <c r="AE74">
        <f>'RESUMEN TOTAL'!AJ76</f>
        <v>0</v>
      </c>
      <c r="AF74">
        <f>'RESUMEN TOTAL'!AK76</f>
        <v>0</v>
      </c>
      <c r="AG74">
        <f>'RESUMEN TOTAL'!AL76</f>
        <v>0</v>
      </c>
      <c r="AH74">
        <f>'RESUMEN TOTAL'!AM76</f>
        <v>0</v>
      </c>
      <c r="AI74">
        <f>'RESUMEN TOTAL'!AN76</f>
        <v>0</v>
      </c>
    </row>
    <row r="75" spans="1:35" x14ac:dyDescent="0.3">
      <c r="A75" t="str">
        <f>'RESUMEN TOTAL'!A77</f>
        <v>CENTRO</v>
      </c>
      <c r="B75" t="str">
        <f>'RESUMEN TOTAL'!B77</f>
        <v>CEN 55</v>
      </c>
      <c r="C75" t="str">
        <f>'RESUMEN TOTAL'!D77</f>
        <v>BOUREL Y URQUIZA</v>
      </c>
      <c r="D75" t="str">
        <f>'RESUMEN TOTAL'!E77</f>
        <v>Domo</v>
      </c>
      <c r="E75" t="str">
        <f>'RESUMEN TOTAL'!F77</f>
        <v>Radio</v>
      </c>
      <c r="F75" t="str">
        <f>'RESUMEN TOTAL'!K77</f>
        <v>APAGADO</v>
      </c>
      <c r="G75" t="str">
        <f>'RESUMEN TOTAL'!L77</f>
        <v>APAGADO</v>
      </c>
      <c r="H75" t="str">
        <f>'RESUMEN TOTAL'!M77</f>
        <v>APAGADO</v>
      </c>
      <c r="I75" t="str">
        <f>'RESUMEN TOTAL'!N77</f>
        <v>APAGADO</v>
      </c>
      <c r="J75" t="str">
        <f>'RESUMEN TOTAL'!O77</f>
        <v>APAGADO</v>
      </c>
      <c r="K75" t="str">
        <f>'RESUMEN TOTAL'!P77</f>
        <v>APAGADO</v>
      </c>
      <c r="L75" t="str">
        <f>'RESUMEN TOTAL'!Q77</f>
        <v>APAGADO</v>
      </c>
      <c r="M75" t="str">
        <f>'RESUMEN TOTAL'!R77</f>
        <v>APAGADO</v>
      </c>
      <c r="N75" t="str">
        <f>'RESUMEN TOTAL'!S77</f>
        <v>APAGADO</v>
      </c>
      <c r="O75" t="str">
        <f>'RESUMEN TOTAL'!T77</f>
        <v>APAGADO</v>
      </c>
      <c r="P75" t="str">
        <f>'RESUMEN TOTAL'!U77</f>
        <v>APAGADO</v>
      </c>
      <c r="Q75" t="str">
        <f>'RESUMEN TOTAL'!V77</f>
        <v>APAGADO</v>
      </c>
      <c r="R75" t="str">
        <f>'RESUMEN TOTAL'!W77</f>
        <v>APAGADO</v>
      </c>
      <c r="S75" t="str">
        <f>'RESUMEN TOTAL'!X77</f>
        <v>APAGADO</v>
      </c>
      <c r="T75" t="str">
        <f>'RESUMEN TOTAL'!Y77</f>
        <v>APAGADO</v>
      </c>
      <c r="U75">
        <f>'RESUMEN TOTAL'!Z77</f>
        <v>0</v>
      </c>
      <c r="V75">
        <f>'RESUMEN TOTAL'!AA77</f>
        <v>0</v>
      </c>
      <c r="W75">
        <f>'RESUMEN TOTAL'!AB77</f>
        <v>0</v>
      </c>
      <c r="X75">
        <f>'RESUMEN TOTAL'!AC77</f>
        <v>0</v>
      </c>
      <c r="Y75">
        <f>'RESUMEN TOTAL'!AD77</f>
        <v>0</v>
      </c>
      <c r="Z75">
        <f>'RESUMEN TOTAL'!AE77</f>
        <v>0</v>
      </c>
      <c r="AA75">
        <f>'RESUMEN TOTAL'!AF77</f>
        <v>0</v>
      </c>
      <c r="AB75">
        <f>'RESUMEN TOTAL'!AG77</f>
        <v>0</v>
      </c>
      <c r="AC75">
        <f>'RESUMEN TOTAL'!AH77</f>
        <v>0</v>
      </c>
      <c r="AD75">
        <f>'RESUMEN TOTAL'!AI77</f>
        <v>0</v>
      </c>
      <c r="AE75">
        <f>'RESUMEN TOTAL'!AJ77</f>
        <v>0</v>
      </c>
      <c r="AF75">
        <f>'RESUMEN TOTAL'!AK77</f>
        <v>0</v>
      </c>
      <c r="AG75">
        <f>'RESUMEN TOTAL'!AL77</f>
        <v>0</v>
      </c>
      <c r="AH75">
        <f>'RESUMEN TOTAL'!AM77</f>
        <v>0</v>
      </c>
      <c r="AI75">
        <f>'RESUMEN TOTAL'!AN77</f>
        <v>0</v>
      </c>
    </row>
    <row r="76" spans="1:35" x14ac:dyDescent="0.3">
      <c r="A76" t="str">
        <f>'RESUMEN TOTAL'!A78</f>
        <v>CENTRO</v>
      </c>
      <c r="B76" t="str">
        <f>'RESUMEN TOTAL'!B78</f>
        <v>CEN 56</v>
      </c>
      <c r="C76" t="str">
        <f>'RESUMEN TOTAL'!D78</f>
        <v>Newbery y Falucho</v>
      </c>
      <c r="D76" t="str">
        <f>'RESUMEN TOTAL'!E78</f>
        <v>DOMO</v>
      </c>
      <c r="E76" t="str">
        <f>'RESUMEN TOTAL'!F78</f>
        <v>Radio</v>
      </c>
      <c r="F76">
        <f>'RESUMEN TOTAL'!K78</f>
        <v>0</v>
      </c>
      <c r="G76">
        <f>'RESUMEN TOTAL'!L78</f>
        <v>0</v>
      </c>
      <c r="H76">
        <f>'RESUMEN TOTAL'!M78</f>
        <v>0</v>
      </c>
      <c r="I76">
        <f>'RESUMEN TOTAL'!N78</f>
        <v>0</v>
      </c>
      <c r="J76">
        <f>'RESUMEN TOTAL'!O78</f>
        <v>0</v>
      </c>
      <c r="K76">
        <f>'RESUMEN TOTAL'!P78</f>
        <v>0</v>
      </c>
      <c r="L76">
        <f>'RESUMEN TOTAL'!Q78</f>
        <v>0</v>
      </c>
      <c r="M76">
        <f>'RESUMEN TOTAL'!R78</f>
        <v>0</v>
      </c>
      <c r="N76">
        <f>'RESUMEN TOTAL'!S78</f>
        <v>0</v>
      </c>
      <c r="O76">
        <f>'RESUMEN TOTAL'!T78</f>
        <v>0</v>
      </c>
      <c r="P76">
        <f>'RESUMEN TOTAL'!U78</f>
        <v>0</v>
      </c>
      <c r="Q76">
        <f>'RESUMEN TOTAL'!V78</f>
        <v>0</v>
      </c>
      <c r="R76">
        <f>'RESUMEN TOTAL'!W78</f>
        <v>0</v>
      </c>
      <c r="S76">
        <f>'RESUMEN TOTAL'!X78</f>
        <v>0</v>
      </c>
      <c r="T76">
        <f>'RESUMEN TOTAL'!Y78</f>
        <v>0</v>
      </c>
      <c r="U76">
        <f>'RESUMEN TOTAL'!Z78</f>
        <v>0</v>
      </c>
      <c r="V76">
        <f>'RESUMEN TOTAL'!AA78</f>
        <v>0</v>
      </c>
      <c r="W76">
        <f>'RESUMEN TOTAL'!AB78</f>
        <v>0</v>
      </c>
      <c r="X76">
        <f>'RESUMEN TOTAL'!AC78</f>
        <v>0</v>
      </c>
      <c r="Y76">
        <f>'RESUMEN TOTAL'!AD78</f>
        <v>0</v>
      </c>
      <c r="Z76">
        <f>'RESUMEN TOTAL'!AE78</f>
        <v>0</v>
      </c>
      <c r="AA76">
        <f>'RESUMEN TOTAL'!AF78</f>
        <v>0</v>
      </c>
      <c r="AB76">
        <f>'RESUMEN TOTAL'!AG78</f>
        <v>0</v>
      </c>
      <c r="AC76">
        <f>'RESUMEN TOTAL'!AH78</f>
        <v>0</v>
      </c>
      <c r="AD76">
        <f>'RESUMEN TOTAL'!AI78</f>
        <v>0</v>
      </c>
      <c r="AE76">
        <f>'RESUMEN TOTAL'!AJ78</f>
        <v>0</v>
      </c>
      <c r="AF76">
        <f>'RESUMEN TOTAL'!AK78</f>
        <v>0</v>
      </c>
      <c r="AG76">
        <f>'RESUMEN TOTAL'!AL78</f>
        <v>0</v>
      </c>
      <c r="AH76">
        <f>'RESUMEN TOTAL'!AM78</f>
        <v>0</v>
      </c>
      <c r="AI76">
        <f>'RESUMEN TOTAL'!AN78</f>
        <v>0</v>
      </c>
    </row>
    <row r="77" spans="1:35" x14ac:dyDescent="0.3">
      <c r="A77" t="str">
        <f>'RESUMEN TOTAL'!A79</f>
        <v>CENTRO</v>
      </c>
      <c r="B77" t="str">
        <f>'RESUMEN TOTAL'!B79</f>
        <v>CEN 57</v>
      </c>
      <c r="C77" t="str">
        <f>'RESUMEN TOTAL'!D79</f>
        <v>25 DE MAYO Y DORREGO</v>
      </c>
      <c r="D77" t="str">
        <f>'RESUMEN TOTAL'!E79</f>
        <v>DOMO</v>
      </c>
      <c r="E77" t="str">
        <f>'RESUMEN TOTAL'!F79</f>
        <v>Radio</v>
      </c>
      <c r="F77">
        <f>'RESUMEN TOTAL'!K79</f>
        <v>0</v>
      </c>
      <c r="G77">
        <f>'RESUMEN TOTAL'!L79</f>
        <v>0</v>
      </c>
      <c r="H77">
        <f>'RESUMEN TOTAL'!M79</f>
        <v>0</v>
      </c>
      <c r="I77">
        <f>'RESUMEN TOTAL'!N79</f>
        <v>0</v>
      </c>
      <c r="J77">
        <f>'RESUMEN TOTAL'!O79</f>
        <v>0</v>
      </c>
      <c r="K77">
        <f>'RESUMEN TOTAL'!P79</f>
        <v>0</v>
      </c>
      <c r="L77">
        <f>'RESUMEN TOTAL'!Q79</f>
        <v>0</v>
      </c>
      <c r="M77">
        <f>'RESUMEN TOTAL'!R79</f>
        <v>0</v>
      </c>
      <c r="N77">
        <f>'RESUMEN TOTAL'!S79</f>
        <v>0</v>
      </c>
      <c r="O77">
        <f>'RESUMEN TOTAL'!T79</f>
        <v>0</v>
      </c>
      <c r="P77">
        <f>'RESUMEN TOTAL'!U79</f>
        <v>0</v>
      </c>
      <c r="Q77">
        <f>'RESUMEN TOTAL'!V79</f>
        <v>0</v>
      </c>
      <c r="R77">
        <f>'RESUMEN TOTAL'!W79</f>
        <v>0</v>
      </c>
      <c r="S77">
        <f>'RESUMEN TOTAL'!X79</f>
        <v>0</v>
      </c>
      <c r="T77">
        <f>'RESUMEN TOTAL'!Y79</f>
        <v>0</v>
      </c>
      <c r="U77">
        <f>'RESUMEN TOTAL'!Z79</f>
        <v>0</v>
      </c>
      <c r="V77">
        <f>'RESUMEN TOTAL'!AA79</f>
        <v>0</v>
      </c>
      <c r="W77">
        <f>'RESUMEN TOTAL'!AB79</f>
        <v>0</v>
      </c>
      <c r="X77">
        <f>'RESUMEN TOTAL'!AC79</f>
        <v>0</v>
      </c>
      <c r="Y77">
        <f>'RESUMEN TOTAL'!AD79</f>
        <v>0</v>
      </c>
      <c r="Z77">
        <f>'RESUMEN TOTAL'!AE79</f>
        <v>0</v>
      </c>
      <c r="AA77">
        <f>'RESUMEN TOTAL'!AF79</f>
        <v>0</v>
      </c>
      <c r="AB77">
        <f>'RESUMEN TOTAL'!AG79</f>
        <v>0</v>
      </c>
      <c r="AC77">
        <f>'RESUMEN TOTAL'!AH79</f>
        <v>0</v>
      </c>
      <c r="AD77">
        <f>'RESUMEN TOTAL'!AI79</f>
        <v>0</v>
      </c>
      <c r="AE77">
        <f>'RESUMEN TOTAL'!AJ79</f>
        <v>0</v>
      </c>
      <c r="AF77">
        <f>'RESUMEN TOTAL'!AK79</f>
        <v>0</v>
      </c>
      <c r="AG77">
        <f>'RESUMEN TOTAL'!AL79</f>
        <v>0</v>
      </c>
      <c r="AH77">
        <f>'RESUMEN TOTAL'!AM79</f>
        <v>0</v>
      </c>
      <c r="AI77">
        <f>'RESUMEN TOTAL'!AN79</f>
        <v>0</v>
      </c>
    </row>
    <row r="78" spans="1:35" x14ac:dyDescent="0.3">
      <c r="A78" t="str">
        <f>'RESUMEN TOTAL'!A80</f>
        <v>CENTRO</v>
      </c>
      <c r="B78" t="str">
        <f>'RESUMEN TOTAL'!B80</f>
        <v>CEN 58</v>
      </c>
      <c r="C78" t="str">
        <f>'RESUMEN TOTAL'!D80</f>
        <v>EEUU Y MORENO</v>
      </c>
      <c r="D78" t="str">
        <f>'RESUMEN TOTAL'!E80</f>
        <v>DOMO</v>
      </c>
      <c r="E78" t="str">
        <f>'RESUMEN TOTAL'!F80</f>
        <v>FIBRA OPTICA</v>
      </c>
      <c r="F78">
        <f>'RESUMEN TOTAL'!K80</f>
        <v>0</v>
      </c>
      <c r="G78">
        <f>'RESUMEN TOTAL'!L80</f>
        <v>0</v>
      </c>
      <c r="H78">
        <f>'RESUMEN TOTAL'!M80</f>
        <v>0</v>
      </c>
      <c r="I78">
        <f>'RESUMEN TOTAL'!N80</f>
        <v>0</v>
      </c>
      <c r="J78">
        <f>'RESUMEN TOTAL'!O80</f>
        <v>0</v>
      </c>
      <c r="K78">
        <f>'RESUMEN TOTAL'!P80</f>
        <v>0</v>
      </c>
      <c r="L78">
        <f>'RESUMEN TOTAL'!Q80</f>
        <v>0</v>
      </c>
      <c r="M78">
        <f>'RESUMEN TOTAL'!R80</f>
        <v>0</v>
      </c>
      <c r="N78">
        <f>'RESUMEN TOTAL'!S80</f>
        <v>0</v>
      </c>
      <c r="O78">
        <f>'RESUMEN TOTAL'!T80</f>
        <v>0</v>
      </c>
      <c r="P78">
        <f>'RESUMEN TOTAL'!U80</f>
        <v>0</v>
      </c>
      <c r="Q78">
        <f>'RESUMEN TOTAL'!V80</f>
        <v>0</v>
      </c>
      <c r="R78">
        <f>'RESUMEN TOTAL'!W80</f>
        <v>0</v>
      </c>
      <c r="S78">
        <f>'RESUMEN TOTAL'!X80</f>
        <v>0</v>
      </c>
      <c r="T78">
        <f>'RESUMEN TOTAL'!Y80</f>
        <v>0</v>
      </c>
      <c r="U78">
        <f>'RESUMEN TOTAL'!Z80</f>
        <v>0</v>
      </c>
      <c r="V78">
        <f>'RESUMEN TOTAL'!AA80</f>
        <v>0</v>
      </c>
      <c r="W78">
        <f>'RESUMEN TOTAL'!AB80</f>
        <v>0</v>
      </c>
      <c r="X78">
        <f>'RESUMEN TOTAL'!AC80</f>
        <v>0</v>
      </c>
      <c r="Y78">
        <f>'RESUMEN TOTAL'!AD80</f>
        <v>0</v>
      </c>
      <c r="Z78">
        <f>'RESUMEN TOTAL'!AE80</f>
        <v>0</v>
      </c>
      <c r="AA78">
        <f>'RESUMEN TOTAL'!AF80</f>
        <v>0</v>
      </c>
      <c r="AB78">
        <f>'RESUMEN TOTAL'!AG80</f>
        <v>0</v>
      </c>
      <c r="AC78">
        <f>'RESUMEN TOTAL'!AH80</f>
        <v>0</v>
      </c>
      <c r="AD78">
        <f>'RESUMEN TOTAL'!AI80</f>
        <v>0</v>
      </c>
      <c r="AE78">
        <f>'RESUMEN TOTAL'!AJ80</f>
        <v>0</v>
      </c>
      <c r="AF78">
        <f>'RESUMEN TOTAL'!AK80</f>
        <v>0</v>
      </c>
      <c r="AG78">
        <f>'RESUMEN TOTAL'!AL80</f>
        <v>0</v>
      </c>
      <c r="AH78">
        <f>'RESUMEN TOTAL'!AM80</f>
        <v>0</v>
      </c>
      <c r="AI78">
        <f>'RESUMEN TOTAL'!AN80</f>
        <v>0</v>
      </c>
    </row>
    <row r="79" spans="1:35" x14ac:dyDescent="0.3">
      <c r="A79" t="str">
        <f>'RESUMEN TOTAL'!A81</f>
        <v>CENTRO</v>
      </c>
      <c r="B79" t="str">
        <f>'RESUMEN TOTAL'!B81</f>
        <v>CEN59</v>
      </c>
      <c r="C79" t="str">
        <f>'RESUMEN TOTAL'!D81</f>
        <v>CHACABUCO Y BOUREL</v>
      </c>
      <c r="D79" t="str">
        <f>'RESUMEN TOTAL'!E81</f>
        <v>DOMO</v>
      </c>
      <c r="E79" t="str">
        <f>'RESUMEN TOTAL'!F81</f>
        <v>Radio</v>
      </c>
      <c r="F79">
        <f>'RESUMEN TOTAL'!K81</f>
        <v>0</v>
      </c>
      <c r="G79">
        <f>'RESUMEN TOTAL'!L81</f>
        <v>0</v>
      </c>
      <c r="H79">
        <f>'RESUMEN TOTAL'!M81</f>
        <v>0</v>
      </c>
      <c r="I79">
        <f>'RESUMEN TOTAL'!N81</f>
        <v>0</v>
      </c>
      <c r="J79">
        <f>'RESUMEN TOTAL'!O81</f>
        <v>0</v>
      </c>
      <c r="K79">
        <f>'RESUMEN TOTAL'!P81</f>
        <v>0</v>
      </c>
      <c r="L79">
        <f>'RESUMEN TOTAL'!Q81</f>
        <v>0</v>
      </c>
      <c r="M79">
        <f>'RESUMEN TOTAL'!R81</f>
        <v>0</v>
      </c>
      <c r="N79">
        <f>'RESUMEN TOTAL'!S81</f>
        <v>0</v>
      </c>
      <c r="O79">
        <f>'RESUMEN TOTAL'!T81</f>
        <v>0</v>
      </c>
      <c r="P79">
        <f>'RESUMEN TOTAL'!U81</f>
        <v>0</v>
      </c>
      <c r="Q79">
        <f>'RESUMEN TOTAL'!V81</f>
        <v>0</v>
      </c>
      <c r="R79">
        <f>'RESUMEN TOTAL'!W81</f>
        <v>0</v>
      </c>
      <c r="S79">
        <f>'RESUMEN TOTAL'!X81</f>
        <v>0</v>
      </c>
      <c r="T79">
        <f>'RESUMEN TOTAL'!Y81</f>
        <v>0</v>
      </c>
      <c r="U79">
        <f>'RESUMEN TOTAL'!Z81</f>
        <v>0</v>
      </c>
      <c r="V79">
        <f>'RESUMEN TOTAL'!AA81</f>
        <v>0</v>
      </c>
      <c r="W79">
        <f>'RESUMEN TOTAL'!AB81</f>
        <v>0</v>
      </c>
      <c r="X79">
        <f>'RESUMEN TOTAL'!AC81</f>
        <v>0</v>
      </c>
      <c r="Y79">
        <f>'RESUMEN TOTAL'!AD81</f>
        <v>0</v>
      </c>
      <c r="Z79">
        <f>'RESUMEN TOTAL'!AE81</f>
        <v>0</v>
      </c>
      <c r="AA79">
        <f>'RESUMEN TOTAL'!AF81</f>
        <v>0</v>
      </c>
      <c r="AB79">
        <f>'RESUMEN TOTAL'!AG81</f>
        <v>0</v>
      </c>
      <c r="AC79">
        <f>'RESUMEN TOTAL'!AH81</f>
        <v>0</v>
      </c>
      <c r="AD79">
        <f>'RESUMEN TOTAL'!AI81</f>
        <v>0</v>
      </c>
      <c r="AE79">
        <f>'RESUMEN TOTAL'!AJ81</f>
        <v>0</v>
      </c>
      <c r="AF79">
        <f>'RESUMEN TOTAL'!AK81</f>
        <v>0</v>
      </c>
      <c r="AG79">
        <f>'RESUMEN TOTAL'!AL81</f>
        <v>0</v>
      </c>
      <c r="AH79">
        <f>'RESUMEN TOTAL'!AM81</f>
        <v>0</v>
      </c>
      <c r="AI79">
        <f>'RESUMEN TOTAL'!AN81</f>
        <v>0</v>
      </c>
    </row>
    <row r="80" spans="1:35" x14ac:dyDescent="0.3">
      <c r="A80" t="str">
        <f>'RESUMEN TOTAL'!A82</f>
        <v>CENTRO</v>
      </c>
      <c r="B80" t="str">
        <f>'RESUMEN TOTAL'!B82</f>
        <v>CEN 60</v>
      </c>
      <c r="C80" t="str">
        <f>'RESUMEN TOTAL'!D82</f>
        <v>RECONQUISTA Y ILLIA</v>
      </c>
      <c r="D80" t="str">
        <f>'RESUMEN TOTAL'!E82</f>
        <v>DOMO</v>
      </c>
      <c r="E80" t="str">
        <f>'RESUMEN TOTAL'!F82</f>
        <v>PTO A FO</v>
      </c>
      <c r="F80">
        <f>'RESUMEN TOTAL'!K82</f>
        <v>0</v>
      </c>
      <c r="G80">
        <f>'RESUMEN TOTAL'!L82</f>
        <v>0</v>
      </c>
      <c r="H80">
        <f>'RESUMEN TOTAL'!M82</f>
        <v>0</v>
      </c>
      <c r="I80">
        <f>'RESUMEN TOTAL'!N82</f>
        <v>0</v>
      </c>
      <c r="J80">
        <f>'RESUMEN TOTAL'!O82</f>
        <v>0</v>
      </c>
      <c r="K80">
        <f>'RESUMEN TOTAL'!P82</f>
        <v>0</v>
      </c>
      <c r="L80">
        <f>'RESUMEN TOTAL'!Q82</f>
        <v>0</v>
      </c>
      <c r="M80">
        <f>'RESUMEN TOTAL'!R82</f>
        <v>0</v>
      </c>
      <c r="N80">
        <f>'RESUMEN TOTAL'!S82</f>
        <v>0</v>
      </c>
      <c r="O80">
        <f>'RESUMEN TOTAL'!T82</f>
        <v>0</v>
      </c>
      <c r="P80">
        <f>'RESUMEN TOTAL'!U82</f>
        <v>0</v>
      </c>
      <c r="Q80">
        <f>'RESUMEN TOTAL'!V82</f>
        <v>0</v>
      </c>
      <c r="R80">
        <f>'RESUMEN TOTAL'!W82</f>
        <v>0</v>
      </c>
      <c r="S80">
        <f>'RESUMEN TOTAL'!X82</f>
        <v>0</v>
      </c>
      <c r="T80">
        <f>'RESUMEN TOTAL'!Y82</f>
        <v>0</v>
      </c>
      <c r="U80">
        <f>'RESUMEN TOTAL'!Z82</f>
        <v>0</v>
      </c>
      <c r="V80">
        <f>'RESUMEN TOTAL'!AA82</f>
        <v>0</v>
      </c>
      <c r="W80">
        <f>'RESUMEN TOTAL'!AB82</f>
        <v>0</v>
      </c>
      <c r="X80">
        <f>'RESUMEN TOTAL'!AC82</f>
        <v>0</v>
      </c>
      <c r="Y80">
        <f>'RESUMEN TOTAL'!AD82</f>
        <v>0</v>
      </c>
      <c r="Z80">
        <f>'RESUMEN TOTAL'!AE82</f>
        <v>0</v>
      </c>
      <c r="AA80">
        <f>'RESUMEN TOTAL'!AF82</f>
        <v>0</v>
      </c>
      <c r="AB80">
        <f>'RESUMEN TOTAL'!AG82</f>
        <v>0</v>
      </c>
      <c r="AC80">
        <f>'RESUMEN TOTAL'!AH82</f>
        <v>0</v>
      </c>
      <c r="AD80">
        <f>'RESUMEN TOTAL'!AI82</f>
        <v>0</v>
      </c>
      <c r="AE80">
        <f>'RESUMEN TOTAL'!AJ82</f>
        <v>0</v>
      </c>
      <c r="AF80">
        <f>'RESUMEN TOTAL'!AK82</f>
        <v>0</v>
      </c>
      <c r="AG80">
        <f>'RESUMEN TOTAL'!AL82</f>
        <v>0</v>
      </c>
      <c r="AH80">
        <f>'RESUMEN TOTAL'!AM82</f>
        <v>0</v>
      </c>
      <c r="AI80">
        <f>'RESUMEN TOTAL'!AN82</f>
        <v>0</v>
      </c>
    </row>
    <row r="81" spans="1:35" x14ac:dyDescent="0.3">
      <c r="A81" t="str">
        <f>'RESUMEN TOTAL'!A83</f>
        <v>CENTRO</v>
      </c>
      <c r="B81" t="str">
        <f>'RESUMEN TOTAL'!B83</f>
        <v>CEN 61</v>
      </c>
      <c r="C81" t="str">
        <f>'RESUMEN TOTAL'!D83</f>
        <v>BOUREL Y MAIPU</v>
      </c>
      <c r="D81" t="str">
        <f>'RESUMEN TOTAL'!E83</f>
        <v>DOMO</v>
      </c>
      <c r="E81" t="str">
        <f>'RESUMEN TOTAL'!F83</f>
        <v>Radio</v>
      </c>
      <c r="F81" t="str">
        <f>'RESUMEN TOTAL'!K83</f>
        <v>APAGADO</v>
      </c>
      <c r="G81" t="str">
        <f>'RESUMEN TOTAL'!L83</f>
        <v>APAGADO</v>
      </c>
      <c r="H81" t="str">
        <f>'RESUMEN TOTAL'!M83</f>
        <v>APAGADO</v>
      </c>
      <c r="I81" t="str">
        <f>'RESUMEN TOTAL'!N83</f>
        <v>APAGADO</v>
      </c>
      <c r="J81" t="str">
        <f>'RESUMEN TOTAL'!O83</f>
        <v>APAGADO</v>
      </c>
      <c r="K81" t="str">
        <f>'RESUMEN TOTAL'!P83</f>
        <v>APAGADO</v>
      </c>
      <c r="L81" t="str">
        <f>'RESUMEN TOTAL'!Q83</f>
        <v>APAGADO</v>
      </c>
      <c r="M81" t="str">
        <f>'RESUMEN TOTAL'!R83</f>
        <v>APAGADO</v>
      </c>
      <c r="N81" t="str">
        <f>'RESUMEN TOTAL'!S83</f>
        <v>APAGADO</v>
      </c>
      <c r="O81" t="str">
        <f>'RESUMEN TOTAL'!T83</f>
        <v>APAGADO</v>
      </c>
      <c r="P81" t="str">
        <f>'RESUMEN TOTAL'!U83</f>
        <v>APAGADO</v>
      </c>
      <c r="Q81" t="str">
        <f>'RESUMEN TOTAL'!V83</f>
        <v>APAGADO</v>
      </c>
      <c r="R81" t="str">
        <f>'RESUMEN TOTAL'!W83</f>
        <v>APAGADO</v>
      </c>
      <c r="S81" t="str">
        <f>'RESUMEN TOTAL'!X83</f>
        <v>APAGADO</v>
      </c>
      <c r="T81" t="str">
        <f>'RESUMEN TOTAL'!Y83</f>
        <v>APAGADO</v>
      </c>
      <c r="U81" t="str">
        <f>'RESUMEN TOTAL'!Z83</f>
        <v>APAGADO</v>
      </c>
      <c r="V81">
        <f>'RESUMEN TOTAL'!AA83</f>
        <v>0</v>
      </c>
      <c r="W81">
        <f>'RESUMEN TOTAL'!AB83</f>
        <v>0</v>
      </c>
      <c r="X81">
        <f>'RESUMEN TOTAL'!AC83</f>
        <v>0</v>
      </c>
      <c r="Y81">
        <f>'RESUMEN TOTAL'!AD83</f>
        <v>0</v>
      </c>
      <c r="Z81">
        <f>'RESUMEN TOTAL'!AE83</f>
        <v>0</v>
      </c>
      <c r="AA81">
        <f>'RESUMEN TOTAL'!AF83</f>
        <v>0</v>
      </c>
      <c r="AB81">
        <f>'RESUMEN TOTAL'!AG83</f>
        <v>0</v>
      </c>
      <c r="AC81">
        <f>'RESUMEN TOTAL'!AH83</f>
        <v>0</v>
      </c>
      <c r="AD81">
        <f>'RESUMEN TOTAL'!AI83</f>
        <v>0</v>
      </c>
      <c r="AE81">
        <f>'RESUMEN TOTAL'!AJ83</f>
        <v>0</v>
      </c>
      <c r="AF81">
        <f>'RESUMEN TOTAL'!AK83</f>
        <v>0</v>
      </c>
      <c r="AG81">
        <f>'RESUMEN TOTAL'!AL83</f>
        <v>0</v>
      </c>
      <c r="AH81">
        <f>'RESUMEN TOTAL'!AM83</f>
        <v>0</v>
      </c>
      <c r="AI81">
        <f>'RESUMEN TOTAL'!AN83</f>
        <v>0</v>
      </c>
    </row>
    <row r="82" spans="1:35" x14ac:dyDescent="0.3">
      <c r="A82" t="str">
        <f>'RESUMEN TOTAL'!A84</f>
        <v>CENTRO</v>
      </c>
      <c r="B82" t="str">
        <f>'RESUMEN TOTAL'!B84</f>
        <v>CEN62</v>
      </c>
      <c r="C82" t="str">
        <f>'RESUMEN TOTAL'!D84</f>
        <v>ESPAÑA Y ALEM</v>
      </c>
      <c r="D82" t="str">
        <f>'RESUMEN TOTAL'!E84</f>
        <v>DOMO</v>
      </c>
      <c r="E82" t="str">
        <f>'RESUMEN TOTAL'!F84</f>
        <v>PTO A FO</v>
      </c>
      <c r="F82" t="str">
        <f>'RESUMEN TOTAL'!K84</f>
        <v>APAGADO</v>
      </c>
      <c r="G82" t="str">
        <f>'RESUMEN TOTAL'!L84</f>
        <v>APAGADO</v>
      </c>
      <c r="H82" t="str">
        <f>'RESUMEN TOTAL'!M84</f>
        <v>APAGADO</v>
      </c>
      <c r="I82" t="str">
        <f>'RESUMEN TOTAL'!N84</f>
        <v>APAGADO</v>
      </c>
      <c r="J82" t="str">
        <f>'RESUMEN TOTAL'!O84</f>
        <v>APAGADO</v>
      </c>
      <c r="K82" t="str">
        <f>'RESUMEN TOTAL'!P84</f>
        <v>APAGADO</v>
      </c>
      <c r="L82" t="str">
        <f>'RESUMEN TOTAL'!Q84</f>
        <v>APAGADO</v>
      </c>
      <c r="M82" t="str">
        <f>'RESUMEN TOTAL'!R84</f>
        <v>APAGADO</v>
      </c>
      <c r="N82" t="str">
        <f>'RESUMEN TOTAL'!S84</f>
        <v>APAGADO</v>
      </c>
      <c r="O82" t="str">
        <f>'RESUMEN TOTAL'!T84</f>
        <v>APAGADO</v>
      </c>
      <c r="P82" t="str">
        <f>'RESUMEN TOTAL'!U84</f>
        <v>APAGADO</v>
      </c>
      <c r="Q82" t="str">
        <f>'RESUMEN TOTAL'!V84</f>
        <v>APAGADO</v>
      </c>
      <c r="R82" t="str">
        <f>'RESUMEN TOTAL'!W84</f>
        <v>APAGADO</v>
      </c>
      <c r="S82" t="str">
        <f>'RESUMEN TOTAL'!X84</f>
        <v>APAGADO</v>
      </c>
      <c r="T82" t="str">
        <f>'RESUMEN TOTAL'!Y84</f>
        <v>APAGADO</v>
      </c>
      <c r="U82">
        <f>'RESUMEN TOTAL'!Z84</f>
        <v>0</v>
      </c>
      <c r="V82" t="str">
        <f>'RESUMEN TOTAL'!AA84</f>
        <v>APAGADO</v>
      </c>
      <c r="W82">
        <f>'RESUMEN TOTAL'!AB84</f>
        <v>0</v>
      </c>
      <c r="X82">
        <f>'RESUMEN TOTAL'!AC84</f>
        <v>0</v>
      </c>
      <c r="Y82">
        <f>'RESUMEN TOTAL'!AD84</f>
        <v>0</v>
      </c>
      <c r="Z82">
        <f>'RESUMEN TOTAL'!AE84</f>
        <v>0</v>
      </c>
      <c r="AA82">
        <f>'RESUMEN TOTAL'!AF84</f>
        <v>0</v>
      </c>
      <c r="AB82">
        <f>'RESUMEN TOTAL'!AG84</f>
        <v>0</v>
      </c>
      <c r="AC82">
        <f>'RESUMEN TOTAL'!AH84</f>
        <v>0</v>
      </c>
      <c r="AD82">
        <f>'RESUMEN TOTAL'!AI84</f>
        <v>0</v>
      </c>
      <c r="AE82">
        <f>'RESUMEN TOTAL'!AJ84</f>
        <v>0</v>
      </c>
      <c r="AF82">
        <f>'RESUMEN TOTAL'!AK84</f>
        <v>0</v>
      </c>
      <c r="AG82">
        <f>'RESUMEN TOTAL'!AL84</f>
        <v>0</v>
      </c>
      <c r="AH82">
        <f>'RESUMEN TOTAL'!AM84</f>
        <v>0</v>
      </c>
      <c r="AI82">
        <f>'RESUMEN TOTAL'!AN84</f>
        <v>0</v>
      </c>
    </row>
    <row r="83" spans="1:35" x14ac:dyDescent="0.3">
      <c r="A83" t="str">
        <f>'RESUMEN TOTAL'!A85</f>
        <v>CENTRO</v>
      </c>
      <c r="B83" t="str">
        <f>'RESUMEN TOTAL'!B85</f>
        <v>CEN63</v>
      </c>
      <c r="C83" t="str">
        <f>'RESUMEN TOTAL'!D85</f>
        <v>SAN MARTIN Y URQUIZA</v>
      </c>
      <c r="D83" t="str">
        <f>'RESUMEN TOTAL'!E85</f>
        <v>DOMO</v>
      </c>
      <c r="E83" t="str">
        <f>'RESUMEN TOTAL'!F85</f>
        <v>Fibra Optica</v>
      </c>
      <c r="F83">
        <f>'RESUMEN TOTAL'!K85</f>
        <v>0</v>
      </c>
      <c r="G83">
        <f>'RESUMEN TOTAL'!L85</f>
        <v>0</v>
      </c>
      <c r="H83">
        <f>'RESUMEN TOTAL'!M85</f>
        <v>0</v>
      </c>
      <c r="I83">
        <f>'RESUMEN TOTAL'!N85</f>
        <v>0</v>
      </c>
      <c r="J83">
        <f>'RESUMEN TOTAL'!O85</f>
        <v>0</v>
      </c>
      <c r="K83">
        <f>'RESUMEN TOTAL'!P85</f>
        <v>0</v>
      </c>
      <c r="L83">
        <f>'RESUMEN TOTAL'!Q85</f>
        <v>0</v>
      </c>
      <c r="M83">
        <f>'RESUMEN TOTAL'!R85</f>
        <v>0</v>
      </c>
      <c r="N83">
        <f>'RESUMEN TOTAL'!S85</f>
        <v>0</v>
      </c>
      <c r="O83">
        <f>'RESUMEN TOTAL'!T85</f>
        <v>0</v>
      </c>
      <c r="P83">
        <f>'RESUMEN TOTAL'!U85</f>
        <v>0</v>
      </c>
      <c r="Q83">
        <f>'RESUMEN TOTAL'!V85</f>
        <v>0</v>
      </c>
      <c r="R83">
        <f>'RESUMEN TOTAL'!W85</f>
        <v>0</v>
      </c>
      <c r="S83">
        <f>'RESUMEN TOTAL'!X85</f>
        <v>0</v>
      </c>
      <c r="T83">
        <f>'RESUMEN TOTAL'!Y85</f>
        <v>0</v>
      </c>
      <c r="U83">
        <f>'RESUMEN TOTAL'!Z85</f>
        <v>0</v>
      </c>
      <c r="V83" t="str">
        <f>'RESUMEN TOTAL'!AA85</f>
        <v>APAGADO</v>
      </c>
      <c r="W83">
        <f>'RESUMEN TOTAL'!AB85</f>
        <v>0</v>
      </c>
      <c r="X83">
        <f>'RESUMEN TOTAL'!AC85</f>
        <v>0</v>
      </c>
      <c r="Y83">
        <f>'RESUMEN TOTAL'!AD85</f>
        <v>0</v>
      </c>
      <c r="Z83">
        <f>'RESUMEN TOTAL'!AE85</f>
        <v>0</v>
      </c>
      <c r="AA83">
        <f>'RESUMEN TOTAL'!AF85</f>
        <v>0</v>
      </c>
      <c r="AB83">
        <f>'RESUMEN TOTAL'!AG85</f>
        <v>0</v>
      </c>
      <c r="AC83">
        <f>'RESUMEN TOTAL'!AH85</f>
        <v>0</v>
      </c>
      <c r="AD83">
        <f>'RESUMEN TOTAL'!AI85</f>
        <v>0</v>
      </c>
      <c r="AE83">
        <f>'RESUMEN TOTAL'!AJ85</f>
        <v>0</v>
      </c>
      <c r="AF83">
        <f>'RESUMEN TOTAL'!AK85</f>
        <v>0</v>
      </c>
      <c r="AG83">
        <f>'RESUMEN TOTAL'!AL85</f>
        <v>0</v>
      </c>
      <c r="AH83">
        <f>'RESUMEN TOTAL'!AM85</f>
        <v>0</v>
      </c>
      <c r="AI83">
        <f>'RESUMEN TOTAL'!AN85</f>
        <v>0</v>
      </c>
    </row>
    <row r="84" spans="1:35" x14ac:dyDescent="0.3">
      <c r="A84" t="str">
        <f>'RESUMEN TOTAL'!A86</f>
        <v>CENTRO</v>
      </c>
      <c r="B84" t="str">
        <f>'RESUMEN TOTAL'!B86</f>
        <v>CEN64</v>
      </c>
      <c r="C84" t="str">
        <f>'RESUMEN TOTAL'!D86</f>
        <v>SAN MARTIN Y BOCCUZZI</v>
      </c>
      <c r="D84" t="str">
        <f>'RESUMEN TOTAL'!E86</f>
        <v>FIJA</v>
      </c>
      <c r="E84" t="str">
        <f>'RESUMEN TOTAL'!F86</f>
        <v>Fibra Optica</v>
      </c>
      <c r="F84" t="str">
        <f>'RESUMEN TOTAL'!K86</f>
        <v>APAGADO</v>
      </c>
      <c r="G84" t="str">
        <f>'RESUMEN TOTAL'!L86</f>
        <v>APAGADO</v>
      </c>
      <c r="H84">
        <f>'RESUMEN TOTAL'!M86</f>
        <v>0</v>
      </c>
      <c r="I84">
        <f>'RESUMEN TOTAL'!N86</f>
        <v>0</v>
      </c>
      <c r="J84" t="str">
        <f>'RESUMEN TOTAL'!O86</f>
        <v>APAGADO</v>
      </c>
      <c r="K84" t="str">
        <f>'RESUMEN TOTAL'!P86</f>
        <v>APAGADO</v>
      </c>
      <c r="L84">
        <f>'RESUMEN TOTAL'!Q86</f>
        <v>0</v>
      </c>
      <c r="M84">
        <f>'RESUMEN TOTAL'!R86</f>
        <v>0</v>
      </c>
      <c r="N84">
        <f>'RESUMEN TOTAL'!S86</f>
        <v>0</v>
      </c>
      <c r="O84">
        <f>'RESUMEN TOTAL'!T86</f>
        <v>0</v>
      </c>
      <c r="P84">
        <f>'RESUMEN TOTAL'!U86</f>
        <v>0</v>
      </c>
      <c r="Q84">
        <f>'RESUMEN TOTAL'!V86</f>
        <v>0</v>
      </c>
      <c r="R84">
        <f>'RESUMEN TOTAL'!W86</f>
        <v>0</v>
      </c>
      <c r="S84">
        <f>'RESUMEN TOTAL'!X86</f>
        <v>0</v>
      </c>
      <c r="T84">
        <f>'RESUMEN TOTAL'!Y86</f>
        <v>0</v>
      </c>
      <c r="U84">
        <f>'RESUMEN TOTAL'!Z86</f>
        <v>0</v>
      </c>
      <c r="V84">
        <f>'RESUMEN TOTAL'!AA86</f>
        <v>0</v>
      </c>
      <c r="W84">
        <f>'RESUMEN TOTAL'!AB86</f>
        <v>0</v>
      </c>
      <c r="X84">
        <f>'RESUMEN TOTAL'!AC86</f>
        <v>0</v>
      </c>
      <c r="Y84">
        <f>'RESUMEN TOTAL'!AD86</f>
        <v>0</v>
      </c>
      <c r="Z84">
        <f>'RESUMEN TOTAL'!AE86</f>
        <v>0</v>
      </c>
      <c r="AA84">
        <f>'RESUMEN TOTAL'!AF86</f>
        <v>0</v>
      </c>
      <c r="AB84">
        <f>'RESUMEN TOTAL'!AG86</f>
        <v>0</v>
      </c>
      <c r="AC84">
        <f>'RESUMEN TOTAL'!AH86</f>
        <v>0</v>
      </c>
      <c r="AD84">
        <f>'RESUMEN TOTAL'!AI86</f>
        <v>0</v>
      </c>
      <c r="AE84">
        <f>'RESUMEN TOTAL'!AJ86</f>
        <v>0</v>
      </c>
      <c r="AF84">
        <f>'RESUMEN TOTAL'!AK86</f>
        <v>0</v>
      </c>
      <c r="AG84">
        <f>'RESUMEN TOTAL'!AL86</f>
        <v>0</v>
      </c>
      <c r="AH84">
        <f>'RESUMEN TOTAL'!AM86</f>
        <v>0</v>
      </c>
      <c r="AI84">
        <f>'RESUMEN TOTAL'!AN86</f>
        <v>0</v>
      </c>
    </row>
    <row r="85" spans="1:35" x14ac:dyDescent="0.3">
      <c r="A85" t="str">
        <f>'RESUMEN TOTAL'!A87</f>
        <v>CENTRO</v>
      </c>
      <c r="B85" t="str">
        <f>'RESUMEN TOTAL'!B87</f>
        <v>CEN 65</v>
      </c>
      <c r="C85" t="str">
        <f>'RESUMEN TOTAL'!D87</f>
        <v>SAN MARTIN Y JUAN PERON</v>
      </c>
      <c r="D85" t="str">
        <f>'RESUMEN TOTAL'!E87</f>
        <v>FIJA</v>
      </c>
      <c r="E85" t="str">
        <f>'RESUMEN TOTAL'!F87</f>
        <v>Fibra Optica</v>
      </c>
      <c r="F85">
        <f>'RESUMEN TOTAL'!K87</f>
        <v>0</v>
      </c>
      <c r="G85">
        <f>'RESUMEN TOTAL'!L87</f>
        <v>0</v>
      </c>
      <c r="H85">
        <f>'RESUMEN TOTAL'!M87</f>
        <v>0</v>
      </c>
      <c r="I85">
        <f>'RESUMEN TOTAL'!N87</f>
        <v>0</v>
      </c>
      <c r="J85" t="str">
        <f>'RESUMEN TOTAL'!O87</f>
        <v>APAGADO</v>
      </c>
      <c r="K85" t="str">
        <f>'RESUMEN TOTAL'!P87</f>
        <v>APAGADO</v>
      </c>
      <c r="L85" t="str">
        <f>'RESUMEN TOTAL'!Q87</f>
        <v>APAGADO</v>
      </c>
      <c r="M85">
        <f>'RESUMEN TOTAL'!R87</f>
        <v>0</v>
      </c>
      <c r="N85" t="str">
        <f>'RESUMEN TOTAL'!S87</f>
        <v>APAGADO</v>
      </c>
      <c r="O85">
        <f>'RESUMEN TOTAL'!T87</f>
        <v>0</v>
      </c>
      <c r="P85" t="str">
        <f>'RESUMEN TOTAL'!U87</f>
        <v>APAGADO</v>
      </c>
      <c r="Q85">
        <f>'RESUMEN TOTAL'!V87</f>
        <v>0</v>
      </c>
      <c r="R85">
        <f>'RESUMEN TOTAL'!W87</f>
        <v>0</v>
      </c>
      <c r="S85" t="str">
        <f>'RESUMEN TOTAL'!X87</f>
        <v>APAGADO</v>
      </c>
      <c r="T85">
        <f>'RESUMEN TOTAL'!Y87</f>
        <v>0</v>
      </c>
      <c r="U85">
        <f>'RESUMEN TOTAL'!Z87</f>
        <v>0</v>
      </c>
      <c r="V85" t="str">
        <f>'RESUMEN TOTAL'!AA87</f>
        <v>APAGADO</v>
      </c>
      <c r="W85" t="str">
        <f>'RESUMEN TOTAL'!AB87</f>
        <v>APAGADO</v>
      </c>
      <c r="X85">
        <f>'RESUMEN TOTAL'!AC87</f>
        <v>0</v>
      </c>
      <c r="Y85">
        <f>'RESUMEN TOTAL'!AD87</f>
        <v>0</v>
      </c>
      <c r="Z85">
        <f>'RESUMEN TOTAL'!AE87</f>
        <v>0</v>
      </c>
      <c r="AA85">
        <f>'RESUMEN TOTAL'!AF87</f>
        <v>0</v>
      </c>
      <c r="AB85">
        <f>'RESUMEN TOTAL'!AG87</f>
        <v>0</v>
      </c>
      <c r="AC85">
        <f>'RESUMEN TOTAL'!AH87</f>
        <v>0</v>
      </c>
      <c r="AD85">
        <f>'RESUMEN TOTAL'!AI87</f>
        <v>0</v>
      </c>
      <c r="AE85">
        <f>'RESUMEN TOTAL'!AJ87</f>
        <v>0</v>
      </c>
      <c r="AF85">
        <f>'RESUMEN TOTAL'!AK87</f>
        <v>0</v>
      </c>
      <c r="AG85">
        <f>'RESUMEN TOTAL'!AL87</f>
        <v>0</v>
      </c>
      <c r="AH85">
        <f>'RESUMEN TOTAL'!AM87</f>
        <v>0</v>
      </c>
      <c r="AI85">
        <f>'RESUMEN TOTAL'!AN87</f>
        <v>0</v>
      </c>
    </row>
    <row r="86" spans="1:35" x14ac:dyDescent="0.3">
      <c r="A86" t="str">
        <f>'RESUMEN TOTAL'!A88</f>
        <v>CENTRO</v>
      </c>
      <c r="B86" t="str">
        <f>'RESUMEN TOTAL'!B88</f>
        <v>CEN66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TOTAL'!K88</f>
        <v>0</v>
      </c>
      <c r="G86">
        <f>'RESUMEN TOTAL'!L88</f>
        <v>0</v>
      </c>
      <c r="H86">
        <f>'RESUMEN TOTAL'!M88</f>
        <v>0</v>
      </c>
      <c r="I86">
        <f>'RESUMEN TOTAL'!N88</f>
        <v>0</v>
      </c>
      <c r="J86">
        <f>'RESUMEN TOTAL'!O88</f>
        <v>0</v>
      </c>
      <c r="K86">
        <f>'RESUMEN TOTAL'!P88</f>
        <v>0</v>
      </c>
      <c r="L86" t="str">
        <f>'RESUMEN TOTAL'!Q88</f>
        <v>APAGADO</v>
      </c>
      <c r="M86">
        <f>'RESUMEN TOTAL'!R88</f>
        <v>0</v>
      </c>
      <c r="N86" t="str">
        <f>'RESUMEN TOTAL'!S88</f>
        <v>APAGADO</v>
      </c>
      <c r="O86">
        <f>'RESUMEN TOTAL'!T88</f>
        <v>0</v>
      </c>
      <c r="P86" t="str">
        <f>'RESUMEN TOTAL'!U88</f>
        <v>APAGADO</v>
      </c>
      <c r="Q86">
        <f>'RESUMEN TOTAL'!V88</f>
        <v>0</v>
      </c>
      <c r="R86">
        <f>'RESUMEN TOTAL'!W88</f>
        <v>0</v>
      </c>
      <c r="S86" t="str">
        <f>'RESUMEN TOTAL'!X88</f>
        <v>APAGADO</v>
      </c>
      <c r="T86">
        <f>'RESUMEN TOTAL'!Y88</f>
        <v>0</v>
      </c>
      <c r="U86">
        <f>'RESUMEN TOTAL'!Z88</f>
        <v>0</v>
      </c>
      <c r="V86" t="str">
        <f>'RESUMEN TOTAL'!AA88</f>
        <v>APAGADO</v>
      </c>
      <c r="W86" t="str">
        <f>'RESUMEN TOTAL'!AB88</f>
        <v>APAGADO</v>
      </c>
      <c r="X86">
        <f>'RESUMEN TOTAL'!AC88</f>
        <v>0</v>
      </c>
      <c r="Y86">
        <f>'RESUMEN TOTAL'!AD88</f>
        <v>0</v>
      </c>
      <c r="Z86">
        <f>'RESUMEN TOTAL'!AE88</f>
        <v>0</v>
      </c>
      <c r="AA86">
        <f>'RESUMEN TOTAL'!AF88</f>
        <v>0</v>
      </c>
      <c r="AB86">
        <f>'RESUMEN TOTAL'!AG88</f>
        <v>0</v>
      </c>
      <c r="AC86">
        <f>'RESUMEN TOTAL'!AH88</f>
        <v>0</v>
      </c>
      <c r="AD86">
        <f>'RESUMEN TOTAL'!AI88</f>
        <v>0</v>
      </c>
      <c r="AE86">
        <f>'RESUMEN TOTAL'!AJ88</f>
        <v>0</v>
      </c>
      <c r="AF86">
        <f>'RESUMEN TOTAL'!AK88</f>
        <v>0</v>
      </c>
      <c r="AG86">
        <f>'RESUMEN TOTAL'!AL88</f>
        <v>0</v>
      </c>
      <c r="AH86">
        <f>'RESUMEN TOTAL'!AM88</f>
        <v>0</v>
      </c>
      <c r="AI86">
        <f>'RESUMEN TOTAL'!AN88</f>
        <v>0</v>
      </c>
    </row>
    <row r="87" spans="1:35" x14ac:dyDescent="0.3">
      <c r="A87" t="str">
        <f>'RESUMEN TOTAL'!A89</f>
        <v>CENTRO</v>
      </c>
      <c r="B87" t="str">
        <f>'RESUMEN TOTAL'!B89</f>
        <v>CEN67 (fija 1)</v>
      </c>
      <c r="C87" t="str">
        <f>'RESUMEN TOTAL'!D89</f>
        <v>9 DE JULIO Y BROWN</v>
      </c>
      <c r="D87" t="str">
        <f>'RESUMEN TOTAL'!E89</f>
        <v>Fija</v>
      </c>
      <c r="E87" t="str">
        <f>'RESUMEN TOTAL'!F89</f>
        <v>Fibra Optica</v>
      </c>
      <c r="F87">
        <f>'RESUMEN TOTAL'!K89</f>
        <v>0</v>
      </c>
      <c r="G87">
        <f>'RESUMEN TOTAL'!L89</f>
        <v>0</v>
      </c>
      <c r="H87">
        <f>'RESUMEN TOTAL'!M89</f>
        <v>0</v>
      </c>
      <c r="I87">
        <f>'RESUMEN TOTAL'!N89</f>
        <v>0</v>
      </c>
      <c r="J87">
        <f>'RESUMEN TOTAL'!O89</f>
        <v>0</v>
      </c>
      <c r="K87">
        <f>'RESUMEN TOTAL'!P89</f>
        <v>0</v>
      </c>
      <c r="L87">
        <f>'RESUMEN TOTAL'!Q89</f>
        <v>0</v>
      </c>
      <c r="M87">
        <f>'RESUMEN TOTAL'!R89</f>
        <v>0</v>
      </c>
      <c r="N87" t="str">
        <f>'RESUMEN TOTAL'!S89</f>
        <v>APAGADO</v>
      </c>
      <c r="O87" t="str">
        <f>'RESUMEN TOTAL'!T89</f>
        <v>APAGADO</v>
      </c>
      <c r="P87">
        <f>'RESUMEN TOTAL'!U89</f>
        <v>0</v>
      </c>
      <c r="Q87">
        <f>'RESUMEN TOTAL'!V89</f>
        <v>0</v>
      </c>
      <c r="R87">
        <f>'RESUMEN TOTAL'!W89</f>
        <v>0</v>
      </c>
      <c r="S87">
        <f>'RESUMEN TOTAL'!X89</f>
        <v>0</v>
      </c>
      <c r="T87">
        <f>'RESUMEN TOTAL'!Y89</f>
        <v>0</v>
      </c>
      <c r="U87">
        <f>'RESUMEN TOTAL'!Z89</f>
        <v>0</v>
      </c>
      <c r="V87">
        <f>'RESUMEN TOTAL'!AA89</f>
        <v>0</v>
      </c>
      <c r="W87">
        <f>'RESUMEN TOTAL'!AB89</f>
        <v>0</v>
      </c>
      <c r="X87">
        <f>'RESUMEN TOTAL'!AC89</f>
        <v>0</v>
      </c>
      <c r="Y87">
        <f>'RESUMEN TOTAL'!AD89</f>
        <v>0</v>
      </c>
      <c r="Z87">
        <f>'RESUMEN TOTAL'!AE89</f>
        <v>0</v>
      </c>
      <c r="AA87">
        <f>'RESUMEN TOTAL'!AF89</f>
        <v>0</v>
      </c>
      <c r="AB87">
        <f>'RESUMEN TOTAL'!AG89</f>
        <v>0</v>
      </c>
      <c r="AC87">
        <f>'RESUMEN TOTAL'!AH89</f>
        <v>0</v>
      </c>
      <c r="AD87">
        <f>'RESUMEN TOTAL'!AI89</f>
        <v>0</v>
      </c>
      <c r="AE87">
        <f>'RESUMEN TOTAL'!AJ89</f>
        <v>0</v>
      </c>
      <c r="AF87">
        <f>'RESUMEN TOTAL'!AK89</f>
        <v>0</v>
      </c>
      <c r="AG87">
        <f>'RESUMEN TOTAL'!AL89</f>
        <v>0</v>
      </c>
      <c r="AH87">
        <f>'RESUMEN TOTAL'!AM89</f>
        <v>0</v>
      </c>
      <c r="AI87">
        <f>'RESUMEN TOTAL'!AN89</f>
        <v>0</v>
      </c>
    </row>
    <row r="88" spans="1:35" x14ac:dyDescent="0.3">
      <c r="A88" t="str">
        <f>'RESUMEN TOTAL'!A90</f>
        <v>CENTRO</v>
      </c>
      <c r="B88" t="str">
        <f>'RESUMEN TOTAL'!B90</f>
        <v>CEN68 (fija 2)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TOTAL'!K90</f>
        <v>0</v>
      </c>
      <c r="G88">
        <f>'RESUMEN TOTAL'!L90</f>
        <v>0</v>
      </c>
      <c r="H88">
        <f>'RESUMEN TOTAL'!M90</f>
        <v>0</v>
      </c>
      <c r="I88">
        <f>'RESUMEN TOTAL'!N90</f>
        <v>0</v>
      </c>
      <c r="J88">
        <f>'RESUMEN TOTAL'!O90</f>
        <v>0</v>
      </c>
      <c r="K88">
        <f>'RESUMEN TOTAL'!P90</f>
        <v>0</v>
      </c>
      <c r="L88">
        <f>'RESUMEN TOTAL'!Q90</f>
        <v>0</v>
      </c>
      <c r="M88">
        <f>'RESUMEN TOTAL'!R90</f>
        <v>0</v>
      </c>
      <c r="N88" t="str">
        <f>'RESUMEN TOTAL'!S90</f>
        <v>APAGADO</v>
      </c>
      <c r="O88" t="str">
        <f>'RESUMEN TOTAL'!T90</f>
        <v>APAGADO</v>
      </c>
      <c r="P88">
        <f>'RESUMEN TOTAL'!U90</f>
        <v>0</v>
      </c>
      <c r="Q88">
        <f>'RESUMEN TOTAL'!V90</f>
        <v>0</v>
      </c>
      <c r="R88">
        <f>'RESUMEN TOTAL'!W90</f>
        <v>0</v>
      </c>
      <c r="S88">
        <f>'RESUMEN TOTAL'!X90</f>
        <v>0</v>
      </c>
      <c r="T88">
        <f>'RESUMEN TOTAL'!Y90</f>
        <v>0</v>
      </c>
      <c r="U88">
        <f>'RESUMEN TOTAL'!Z90</f>
        <v>0</v>
      </c>
      <c r="V88">
        <f>'RESUMEN TOTAL'!AA90</f>
        <v>0</v>
      </c>
      <c r="W88">
        <f>'RESUMEN TOTAL'!AB90</f>
        <v>0</v>
      </c>
      <c r="X88">
        <f>'RESUMEN TOTAL'!AC90</f>
        <v>0</v>
      </c>
      <c r="Y88">
        <f>'RESUMEN TOTAL'!AD90</f>
        <v>0</v>
      </c>
      <c r="Z88">
        <f>'RESUMEN TOTAL'!AE90</f>
        <v>0</v>
      </c>
      <c r="AA88">
        <f>'RESUMEN TOTAL'!AF90</f>
        <v>0</v>
      </c>
      <c r="AB88">
        <f>'RESUMEN TOTAL'!AG90</f>
        <v>0</v>
      </c>
      <c r="AC88">
        <f>'RESUMEN TOTAL'!AH90</f>
        <v>0</v>
      </c>
      <c r="AD88">
        <f>'RESUMEN TOTAL'!AI90</f>
        <v>0</v>
      </c>
      <c r="AE88">
        <f>'RESUMEN TOTAL'!AJ90</f>
        <v>0</v>
      </c>
      <c r="AF88">
        <f>'RESUMEN TOTAL'!AK90</f>
        <v>0</v>
      </c>
      <c r="AG88">
        <f>'RESUMEN TOTAL'!AL90</f>
        <v>0</v>
      </c>
      <c r="AH88">
        <f>'RESUMEN TOTAL'!AM90</f>
        <v>0</v>
      </c>
      <c r="AI88">
        <f>'RESUMEN TOTAL'!AN90</f>
        <v>0</v>
      </c>
    </row>
    <row r="89" spans="1:35" x14ac:dyDescent="0.3">
      <c r="A89" t="str">
        <f>'RESUMEN TOTAL'!A91</f>
        <v>CENTRO</v>
      </c>
      <c r="B89" t="str">
        <f>'RESUMEN TOTAL'!B91</f>
        <v>CEN69</v>
      </c>
      <c r="C89" t="str">
        <f>'RESUMEN TOTAL'!D91</f>
        <v>RIVADAVIA Y BOUREL</v>
      </c>
      <c r="D89" t="str">
        <f>'RESUMEN TOTAL'!E91</f>
        <v>DOMO</v>
      </c>
      <c r="E89" t="str">
        <f>'RESUMEN TOTAL'!F91</f>
        <v>Fibra Optica</v>
      </c>
      <c r="F89">
        <f>'RESUMEN TOTAL'!K91</f>
        <v>0</v>
      </c>
      <c r="G89">
        <f>'RESUMEN TOTAL'!L91</f>
        <v>0</v>
      </c>
      <c r="H89">
        <f>'RESUMEN TOTAL'!M91</f>
        <v>0</v>
      </c>
      <c r="I89">
        <f>'RESUMEN TOTAL'!N91</f>
        <v>0</v>
      </c>
      <c r="J89">
        <f>'RESUMEN TOTAL'!O91</f>
        <v>0</v>
      </c>
      <c r="K89">
        <f>'RESUMEN TOTAL'!P91</f>
        <v>0</v>
      </c>
      <c r="L89">
        <f>'RESUMEN TOTAL'!Q91</f>
        <v>0</v>
      </c>
      <c r="M89">
        <f>'RESUMEN TOTAL'!R91</f>
        <v>0</v>
      </c>
      <c r="N89">
        <f>'RESUMEN TOTAL'!S91</f>
        <v>0</v>
      </c>
      <c r="O89">
        <f>'RESUMEN TOTAL'!T91</f>
        <v>0</v>
      </c>
      <c r="P89">
        <f>'RESUMEN TOTAL'!U91</f>
        <v>0</v>
      </c>
      <c r="Q89">
        <f>'RESUMEN TOTAL'!V91</f>
        <v>0</v>
      </c>
      <c r="R89">
        <f>'RESUMEN TOTAL'!W91</f>
        <v>0</v>
      </c>
      <c r="S89">
        <f>'RESUMEN TOTAL'!X91</f>
        <v>0</v>
      </c>
      <c r="T89">
        <f>'RESUMEN TOTAL'!Y91</f>
        <v>0</v>
      </c>
      <c r="U89">
        <f>'RESUMEN TOTAL'!Z91</f>
        <v>0</v>
      </c>
      <c r="V89">
        <f>'RESUMEN TOTAL'!AA91</f>
        <v>0</v>
      </c>
      <c r="W89">
        <f>'RESUMEN TOTAL'!AB91</f>
        <v>0</v>
      </c>
      <c r="X89">
        <f>'RESUMEN TOTAL'!AC91</f>
        <v>0</v>
      </c>
      <c r="Y89">
        <f>'RESUMEN TOTAL'!AD91</f>
        <v>0</v>
      </c>
      <c r="Z89">
        <f>'RESUMEN TOTAL'!AE91</f>
        <v>0</v>
      </c>
      <c r="AA89">
        <f>'RESUMEN TOTAL'!AF91</f>
        <v>0</v>
      </c>
      <c r="AB89">
        <f>'RESUMEN TOTAL'!AG91</f>
        <v>0</v>
      </c>
      <c r="AC89">
        <f>'RESUMEN TOTAL'!AH91</f>
        <v>0</v>
      </c>
      <c r="AD89">
        <f>'RESUMEN TOTAL'!AI91</f>
        <v>0</v>
      </c>
      <c r="AE89">
        <f>'RESUMEN TOTAL'!AJ91</f>
        <v>0</v>
      </c>
      <c r="AF89">
        <f>'RESUMEN TOTAL'!AK91</f>
        <v>0</v>
      </c>
      <c r="AG89">
        <f>'RESUMEN TOTAL'!AL91</f>
        <v>0</v>
      </c>
      <c r="AH89">
        <f>'RESUMEN TOTAL'!AM91</f>
        <v>0</v>
      </c>
      <c r="AI89">
        <f>'RESUMEN TOTAL'!AN91</f>
        <v>0</v>
      </c>
    </row>
    <row r="90" spans="1:35" x14ac:dyDescent="0.3">
      <c r="A90" t="str">
        <f>'RESUMEN TOTAL'!A92</f>
        <v>CENTRO</v>
      </c>
      <c r="B90" t="str">
        <f>'RESUMEN TOTAL'!B92</f>
        <v>CEN 70</v>
      </c>
      <c r="C90" t="str">
        <f>'RESUMEN TOTAL'!D92</f>
        <v>RIVADAVIA Y 25 MAYO</v>
      </c>
      <c r="D90" t="str">
        <f>'RESUMEN TOTAL'!E92</f>
        <v>Domo</v>
      </c>
      <c r="E90" t="str">
        <f>'RESUMEN TOTAL'!F92</f>
        <v>Fibra Optica</v>
      </c>
      <c r="F90">
        <f>'RESUMEN TOTAL'!K92</f>
        <v>0</v>
      </c>
      <c r="G90">
        <f>'RESUMEN TOTAL'!L92</f>
        <v>0</v>
      </c>
      <c r="H90">
        <f>'RESUMEN TOTAL'!M92</f>
        <v>0</v>
      </c>
      <c r="I90">
        <f>'RESUMEN TOTAL'!N92</f>
        <v>0</v>
      </c>
      <c r="J90">
        <f>'RESUMEN TOTAL'!O92</f>
        <v>0</v>
      </c>
      <c r="K90">
        <f>'RESUMEN TOTAL'!P92</f>
        <v>0</v>
      </c>
      <c r="L90">
        <f>'RESUMEN TOTAL'!Q92</f>
        <v>0</v>
      </c>
      <c r="M90">
        <f>'RESUMEN TOTAL'!R92</f>
        <v>0</v>
      </c>
      <c r="N90">
        <f>'RESUMEN TOTAL'!S92</f>
        <v>0</v>
      </c>
      <c r="O90">
        <f>'RESUMEN TOTAL'!T92</f>
        <v>0</v>
      </c>
      <c r="P90">
        <f>'RESUMEN TOTAL'!U92</f>
        <v>0</v>
      </c>
      <c r="Q90">
        <f>'RESUMEN TOTAL'!V92</f>
        <v>0</v>
      </c>
      <c r="R90">
        <f>'RESUMEN TOTAL'!W92</f>
        <v>0</v>
      </c>
      <c r="S90">
        <f>'RESUMEN TOTAL'!X92</f>
        <v>0</v>
      </c>
      <c r="T90">
        <f>'RESUMEN TOTAL'!Y92</f>
        <v>0</v>
      </c>
      <c r="U90">
        <f>'RESUMEN TOTAL'!Z92</f>
        <v>0</v>
      </c>
      <c r="V90">
        <f>'RESUMEN TOTAL'!AA92</f>
        <v>0</v>
      </c>
      <c r="W90">
        <f>'RESUMEN TOTAL'!AB92</f>
        <v>0</v>
      </c>
      <c r="X90">
        <f>'RESUMEN TOTAL'!AC92</f>
        <v>0</v>
      </c>
      <c r="Y90">
        <f>'RESUMEN TOTAL'!AD92</f>
        <v>0</v>
      </c>
      <c r="Z90">
        <f>'RESUMEN TOTAL'!AE92</f>
        <v>0</v>
      </c>
      <c r="AA90">
        <f>'RESUMEN TOTAL'!AF92</f>
        <v>0</v>
      </c>
      <c r="AB90">
        <f>'RESUMEN TOTAL'!AG92</f>
        <v>0</v>
      </c>
      <c r="AC90">
        <f>'RESUMEN TOTAL'!AH92</f>
        <v>0</v>
      </c>
      <c r="AD90">
        <f>'RESUMEN TOTAL'!AI92</f>
        <v>0</v>
      </c>
      <c r="AE90">
        <f>'RESUMEN TOTAL'!AJ92</f>
        <v>0</v>
      </c>
      <c r="AF90">
        <f>'RESUMEN TOTAL'!AK92</f>
        <v>0</v>
      </c>
      <c r="AG90">
        <f>'RESUMEN TOTAL'!AL92</f>
        <v>0</v>
      </c>
      <c r="AH90">
        <f>'RESUMEN TOTAL'!AM92</f>
        <v>0</v>
      </c>
      <c r="AI90">
        <f>'RESUMEN TOTAL'!AN92</f>
        <v>0</v>
      </c>
    </row>
    <row r="91" spans="1:35" x14ac:dyDescent="0.3">
      <c r="A91" t="str">
        <f>'RESUMEN TOTAL'!A93</f>
        <v>CENTRO</v>
      </c>
      <c r="B91" t="str">
        <f>'RESUMEN TOTAL'!B93</f>
        <v>CEN 71</v>
      </c>
      <c r="C91" t="str">
        <f>'RESUMEN TOTAL'!D93</f>
        <v>MORENO Y BOUREL</v>
      </c>
      <c r="D91" t="str">
        <f>'RESUMEN TOTAL'!E93</f>
        <v>Domo</v>
      </c>
      <c r="E91" t="str">
        <f>'RESUMEN TOTAL'!F93</f>
        <v>Fibra Optica</v>
      </c>
      <c r="F91">
        <f>'RESUMEN TOTAL'!K93</f>
        <v>0</v>
      </c>
      <c r="G91">
        <f>'RESUMEN TOTAL'!L93</f>
        <v>0</v>
      </c>
      <c r="H91">
        <f>'RESUMEN TOTAL'!M93</f>
        <v>0</v>
      </c>
      <c r="I91">
        <f>'RESUMEN TOTAL'!N93</f>
        <v>0</v>
      </c>
      <c r="J91">
        <f>'RESUMEN TOTAL'!O93</f>
        <v>0</v>
      </c>
      <c r="K91">
        <f>'RESUMEN TOTAL'!P93</f>
        <v>0</v>
      </c>
      <c r="L91">
        <f>'RESUMEN TOTAL'!Q93</f>
        <v>0</v>
      </c>
      <c r="M91">
        <f>'RESUMEN TOTAL'!R93</f>
        <v>0</v>
      </c>
      <c r="N91">
        <f>'RESUMEN TOTAL'!S93</f>
        <v>0</v>
      </c>
      <c r="O91">
        <f>'RESUMEN TOTAL'!T93</f>
        <v>0</v>
      </c>
      <c r="P91">
        <f>'RESUMEN TOTAL'!U93</f>
        <v>0</v>
      </c>
      <c r="Q91">
        <f>'RESUMEN TOTAL'!V93</f>
        <v>0</v>
      </c>
      <c r="R91">
        <f>'RESUMEN TOTAL'!W93</f>
        <v>0</v>
      </c>
      <c r="S91">
        <f>'RESUMEN TOTAL'!X93</f>
        <v>0</v>
      </c>
      <c r="T91">
        <f>'RESUMEN TOTAL'!Y93</f>
        <v>0</v>
      </c>
      <c r="U91">
        <f>'RESUMEN TOTAL'!Z93</f>
        <v>0</v>
      </c>
      <c r="V91">
        <f>'RESUMEN TOTAL'!AA93</f>
        <v>0</v>
      </c>
      <c r="W91">
        <f>'RESUMEN TOTAL'!AB93</f>
        <v>0</v>
      </c>
      <c r="X91">
        <f>'RESUMEN TOTAL'!AC93</f>
        <v>0</v>
      </c>
      <c r="Y91">
        <f>'RESUMEN TOTAL'!AD93</f>
        <v>0</v>
      </c>
      <c r="Z91">
        <f>'RESUMEN TOTAL'!AE93</f>
        <v>0</v>
      </c>
      <c r="AA91">
        <f>'RESUMEN TOTAL'!AF93</f>
        <v>0</v>
      </c>
      <c r="AB91">
        <f>'RESUMEN TOTAL'!AG93</f>
        <v>0</v>
      </c>
      <c r="AC91">
        <f>'RESUMEN TOTAL'!AH93</f>
        <v>0</v>
      </c>
      <c r="AD91">
        <f>'RESUMEN TOTAL'!AI93</f>
        <v>0</v>
      </c>
      <c r="AE91">
        <f>'RESUMEN TOTAL'!AJ93</f>
        <v>0</v>
      </c>
      <c r="AF91">
        <f>'RESUMEN TOTAL'!AK93</f>
        <v>0</v>
      </c>
      <c r="AG91">
        <f>'RESUMEN TOTAL'!AL93</f>
        <v>0</v>
      </c>
      <c r="AH91">
        <f>'RESUMEN TOTAL'!AM93</f>
        <v>0</v>
      </c>
      <c r="AI91">
        <f>'RESUMEN TOTAL'!AN93</f>
        <v>0</v>
      </c>
    </row>
    <row r="92" spans="1:35" x14ac:dyDescent="0.3">
      <c r="A92" t="str">
        <f>'RESUMEN TOTAL'!A94</f>
        <v>CENTRO</v>
      </c>
      <c r="B92" t="str">
        <f>'RESUMEN TOTAL'!B94</f>
        <v>CEN 72</v>
      </c>
      <c r="C92" t="str">
        <f>'RESUMEN TOTAL'!D94</f>
        <v>MORENO Y 25 DE MAYO</v>
      </c>
      <c r="D92" t="str">
        <f>'RESUMEN TOTAL'!E94</f>
        <v>Domo</v>
      </c>
      <c r="E92" t="str">
        <f>'RESUMEN TOTAL'!F94</f>
        <v>Fibra Optica</v>
      </c>
      <c r="F92" t="str">
        <f>'RESUMEN TOTAL'!K94</f>
        <v>APAGADO</v>
      </c>
      <c r="G92" t="str">
        <f>'RESUMEN TOTAL'!L94</f>
        <v>APAGADO</v>
      </c>
      <c r="H92" t="str">
        <f>'RESUMEN TOTAL'!M94</f>
        <v>APAGADO</v>
      </c>
      <c r="I92" t="str">
        <f>'RESUMEN TOTAL'!N94</f>
        <v>APAGADO</v>
      </c>
      <c r="J92" t="str">
        <f>'RESUMEN TOTAL'!O94</f>
        <v>APAGADO</v>
      </c>
      <c r="K92" t="str">
        <f>'RESUMEN TOTAL'!P94</f>
        <v>APAGADO</v>
      </c>
      <c r="L92" t="str">
        <f>'RESUMEN TOTAL'!Q94</f>
        <v>APAGADO</v>
      </c>
      <c r="M92" t="str">
        <f>'RESUMEN TOTAL'!R94</f>
        <v>APAGADO</v>
      </c>
      <c r="N92" t="str">
        <f>'RESUMEN TOTAL'!S94</f>
        <v>APAGADO</v>
      </c>
      <c r="O92" t="str">
        <f>'RESUMEN TOTAL'!T94</f>
        <v>APAGADO</v>
      </c>
      <c r="P92" t="str">
        <f>'RESUMEN TOTAL'!U94</f>
        <v>APAGADO</v>
      </c>
      <c r="Q92" t="str">
        <f>'RESUMEN TOTAL'!V94</f>
        <v>APAGADO</v>
      </c>
      <c r="R92" t="str">
        <f>'RESUMEN TOTAL'!W94</f>
        <v>APAGADO</v>
      </c>
      <c r="S92" t="str">
        <f>'RESUMEN TOTAL'!X94</f>
        <v>APAGADO</v>
      </c>
      <c r="T92" t="str">
        <f>'RESUMEN TOTAL'!Y94</f>
        <v>APAGADO</v>
      </c>
      <c r="U92" t="str">
        <f>'RESUMEN TOTAL'!Z94</f>
        <v>APAGADO</v>
      </c>
      <c r="V92" t="str">
        <f>'RESUMEN TOTAL'!AA94</f>
        <v>APAGADO</v>
      </c>
      <c r="W92" t="str">
        <f>'RESUMEN TOTAL'!AB94</f>
        <v>APAGADO</v>
      </c>
      <c r="X92" t="str">
        <f>'RESUMEN TOTAL'!AC94</f>
        <v>APAGADO</v>
      </c>
      <c r="Y92">
        <f>'RESUMEN TOTAL'!AD94</f>
        <v>0</v>
      </c>
      <c r="Z92">
        <f>'RESUMEN TOTAL'!AE94</f>
        <v>0</v>
      </c>
      <c r="AA92">
        <f>'RESUMEN TOTAL'!AF94</f>
        <v>0</v>
      </c>
      <c r="AB92">
        <f>'RESUMEN TOTAL'!AG94</f>
        <v>0</v>
      </c>
      <c r="AC92">
        <f>'RESUMEN TOTAL'!AH94</f>
        <v>0</v>
      </c>
      <c r="AD92">
        <f>'RESUMEN TOTAL'!AI94</f>
        <v>0</v>
      </c>
      <c r="AE92">
        <f>'RESUMEN TOTAL'!AJ94</f>
        <v>0</v>
      </c>
      <c r="AF92">
        <f>'RESUMEN TOTAL'!AK94</f>
        <v>0</v>
      </c>
      <c r="AG92">
        <f>'RESUMEN TOTAL'!AL94</f>
        <v>0</v>
      </c>
      <c r="AH92">
        <f>'RESUMEN TOTAL'!AM94</f>
        <v>0</v>
      </c>
      <c r="AI92">
        <f>'RESUMEN TOTAL'!AN94</f>
        <v>0</v>
      </c>
    </row>
    <row r="93" spans="1:35" x14ac:dyDescent="0.3">
      <c r="A93" t="str">
        <f>'RESUMEN TOTAL'!A95</f>
        <v>CENTRO</v>
      </c>
      <c r="B93" t="str">
        <f>'RESUMEN TOTAL'!B95</f>
        <v>CEN73</v>
      </c>
      <c r="C93" t="str">
        <f>'RESUMEN TOTAL'!D95</f>
        <v>BOUREL Y DEFENSA</v>
      </c>
      <c r="D93" t="str">
        <f>'RESUMEN TOTAL'!E95</f>
        <v>DOMO</v>
      </c>
      <c r="E93" t="str">
        <f>'RESUMEN TOTAL'!F95</f>
        <v>Fibra Optica</v>
      </c>
      <c r="F93">
        <f>'RESUMEN TOTAL'!K95</f>
        <v>0</v>
      </c>
      <c r="G93">
        <f>'RESUMEN TOTAL'!L95</f>
        <v>0</v>
      </c>
      <c r="H93">
        <f>'RESUMEN TOTAL'!M95</f>
        <v>0</v>
      </c>
      <c r="I93">
        <f>'RESUMEN TOTAL'!N95</f>
        <v>0</v>
      </c>
      <c r="J93">
        <f>'RESUMEN TOTAL'!O95</f>
        <v>0</v>
      </c>
      <c r="K93">
        <f>'RESUMEN TOTAL'!P95</f>
        <v>0</v>
      </c>
      <c r="L93">
        <f>'RESUMEN TOTAL'!Q95</f>
        <v>0</v>
      </c>
      <c r="M93">
        <f>'RESUMEN TOTAL'!R95</f>
        <v>0</v>
      </c>
      <c r="N93">
        <f>'RESUMEN TOTAL'!S95</f>
        <v>0</v>
      </c>
      <c r="O93">
        <f>'RESUMEN TOTAL'!T95</f>
        <v>0</v>
      </c>
      <c r="P93">
        <f>'RESUMEN TOTAL'!U95</f>
        <v>0</v>
      </c>
      <c r="Q93">
        <f>'RESUMEN TOTAL'!V95</f>
        <v>0</v>
      </c>
      <c r="R93">
        <f>'RESUMEN TOTAL'!W95</f>
        <v>0</v>
      </c>
      <c r="S93">
        <f>'RESUMEN TOTAL'!X95</f>
        <v>0</v>
      </c>
      <c r="T93">
        <f>'RESUMEN TOTAL'!Y95</f>
        <v>0</v>
      </c>
      <c r="U93">
        <f>'RESUMEN TOTAL'!Z95</f>
        <v>0</v>
      </c>
      <c r="V93">
        <f>'RESUMEN TOTAL'!AA95</f>
        <v>0</v>
      </c>
      <c r="W93">
        <f>'RESUMEN TOTAL'!AB95</f>
        <v>0</v>
      </c>
      <c r="X93">
        <f>'RESUMEN TOTAL'!AC95</f>
        <v>0</v>
      </c>
      <c r="Y93">
        <f>'RESUMEN TOTAL'!AD95</f>
        <v>0</v>
      </c>
      <c r="Z93">
        <f>'RESUMEN TOTAL'!AE95</f>
        <v>0</v>
      </c>
      <c r="AA93">
        <f>'RESUMEN TOTAL'!AF95</f>
        <v>0</v>
      </c>
      <c r="AB93">
        <f>'RESUMEN TOTAL'!AG95</f>
        <v>0</v>
      </c>
      <c r="AC93">
        <f>'RESUMEN TOTAL'!AH95</f>
        <v>0</v>
      </c>
      <c r="AD93">
        <f>'RESUMEN TOTAL'!AI95</f>
        <v>0</v>
      </c>
      <c r="AE93">
        <f>'RESUMEN TOTAL'!AJ95</f>
        <v>0</v>
      </c>
      <c r="AF93">
        <f>'RESUMEN TOTAL'!AK95</f>
        <v>0</v>
      </c>
      <c r="AG93">
        <f>'RESUMEN TOTAL'!AL95</f>
        <v>0</v>
      </c>
      <c r="AH93">
        <f>'RESUMEN TOTAL'!AM95</f>
        <v>0</v>
      </c>
      <c r="AI93">
        <f>'RESUMEN TOTAL'!AN95</f>
        <v>0</v>
      </c>
    </row>
    <row r="94" spans="1:35" x14ac:dyDescent="0.3">
      <c r="A94" t="str">
        <f>'RESUMEN TOTAL'!A96</f>
        <v>CENTRO</v>
      </c>
      <c r="B94" t="str">
        <f>'RESUMEN TOTAL'!B96</f>
        <v>CEN74</v>
      </c>
      <c r="C94" t="str">
        <f>'RESUMEN TOTAL'!D96</f>
        <v>Las Heras y Maipu</v>
      </c>
      <c r="D94" t="str">
        <f>'RESUMEN TOTAL'!E96</f>
        <v>Domo</v>
      </c>
      <c r="E94" t="str">
        <f>'RESUMEN TOTAL'!F96</f>
        <v>FIBRA OPTICA</v>
      </c>
      <c r="F94">
        <f>'RESUMEN TOTAL'!K96</f>
        <v>0</v>
      </c>
      <c r="G94">
        <f>'RESUMEN TOTAL'!L96</f>
        <v>0</v>
      </c>
      <c r="H94">
        <f>'RESUMEN TOTAL'!M96</f>
        <v>0</v>
      </c>
      <c r="I94">
        <f>'RESUMEN TOTAL'!N96</f>
        <v>0</v>
      </c>
      <c r="J94">
        <f>'RESUMEN TOTAL'!O96</f>
        <v>0</v>
      </c>
      <c r="K94">
        <f>'RESUMEN TOTAL'!P96</f>
        <v>0</v>
      </c>
      <c r="L94">
        <f>'RESUMEN TOTAL'!Q96</f>
        <v>0</v>
      </c>
      <c r="M94">
        <f>'RESUMEN TOTAL'!R96</f>
        <v>0</v>
      </c>
      <c r="N94">
        <f>'RESUMEN TOTAL'!S96</f>
        <v>0</v>
      </c>
      <c r="O94">
        <f>'RESUMEN TOTAL'!T96</f>
        <v>0</v>
      </c>
      <c r="P94">
        <f>'RESUMEN TOTAL'!U96</f>
        <v>0</v>
      </c>
      <c r="Q94">
        <f>'RESUMEN TOTAL'!V96</f>
        <v>0</v>
      </c>
      <c r="R94">
        <f>'RESUMEN TOTAL'!W96</f>
        <v>0</v>
      </c>
      <c r="S94">
        <f>'RESUMEN TOTAL'!X96</f>
        <v>0</v>
      </c>
      <c r="T94">
        <f>'RESUMEN TOTAL'!Y96</f>
        <v>0</v>
      </c>
      <c r="U94">
        <f>'RESUMEN TOTAL'!Z96</f>
        <v>0</v>
      </c>
      <c r="V94">
        <f>'RESUMEN TOTAL'!AA96</f>
        <v>0</v>
      </c>
      <c r="W94">
        <f>'RESUMEN TOTAL'!AB96</f>
        <v>0</v>
      </c>
      <c r="X94">
        <f>'RESUMEN TOTAL'!AC96</f>
        <v>0</v>
      </c>
      <c r="Y94">
        <f>'RESUMEN TOTAL'!AD96</f>
        <v>0</v>
      </c>
      <c r="Z94">
        <f>'RESUMEN TOTAL'!AE96</f>
        <v>0</v>
      </c>
      <c r="AA94">
        <f>'RESUMEN TOTAL'!AF96</f>
        <v>0</v>
      </c>
      <c r="AB94">
        <f>'RESUMEN TOTAL'!AG96</f>
        <v>0</v>
      </c>
      <c r="AC94">
        <f>'RESUMEN TOTAL'!AH96</f>
        <v>0</v>
      </c>
      <c r="AD94">
        <f>'RESUMEN TOTAL'!AI96</f>
        <v>0</v>
      </c>
      <c r="AE94">
        <f>'RESUMEN TOTAL'!AJ96</f>
        <v>0</v>
      </c>
      <c r="AF94">
        <f>'RESUMEN TOTAL'!AK96</f>
        <v>0</v>
      </c>
      <c r="AG94">
        <f>'RESUMEN TOTAL'!AL96</f>
        <v>0</v>
      </c>
      <c r="AH94">
        <f>'RESUMEN TOTAL'!AM96</f>
        <v>0</v>
      </c>
      <c r="AI94">
        <f>'RESUMEN TOTAL'!AN96</f>
        <v>0</v>
      </c>
    </row>
    <row r="95" spans="1:35" x14ac:dyDescent="0.3">
      <c r="A95" t="str">
        <f>'RESUMEN TOTAL'!A97</f>
        <v>CENTRO</v>
      </c>
      <c r="B95" t="str">
        <f>'RESUMEN TOTAL'!B97</f>
        <v>CEN 75</v>
      </c>
      <c r="C95" t="str">
        <f>'RESUMEN TOTAL'!D97</f>
        <v>25 DE MAYO Y CASTELLI</v>
      </c>
      <c r="D95" t="str">
        <f>'RESUMEN TOTAL'!E97</f>
        <v>Domo</v>
      </c>
      <c r="E95" t="str">
        <f>'RESUMEN TOTAL'!F97</f>
        <v>Fibra Optica</v>
      </c>
      <c r="F95">
        <f>'RESUMEN TOTAL'!K97</f>
        <v>0</v>
      </c>
      <c r="G95">
        <f>'RESUMEN TOTAL'!L97</f>
        <v>0</v>
      </c>
      <c r="H95">
        <f>'RESUMEN TOTAL'!M97</f>
        <v>0</v>
      </c>
      <c r="I95">
        <f>'RESUMEN TOTAL'!N97</f>
        <v>0</v>
      </c>
      <c r="J95">
        <f>'RESUMEN TOTAL'!O97</f>
        <v>0</v>
      </c>
      <c r="K95">
        <f>'RESUMEN TOTAL'!P97</f>
        <v>0</v>
      </c>
      <c r="L95">
        <f>'RESUMEN TOTAL'!Q97</f>
        <v>0</v>
      </c>
      <c r="M95">
        <f>'RESUMEN TOTAL'!R97</f>
        <v>0</v>
      </c>
      <c r="N95">
        <f>'RESUMEN TOTAL'!S97</f>
        <v>0</v>
      </c>
      <c r="O95">
        <f>'RESUMEN TOTAL'!T97</f>
        <v>0</v>
      </c>
      <c r="P95">
        <f>'RESUMEN TOTAL'!U97</f>
        <v>0</v>
      </c>
      <c r="Q95">
        <f>'RESUMEN TOTAL'!V97</f>
        <v>0</v>
      </c>
      <c r="R95">
        <f>'RESUMEN TOTAL'!W97</f>
        <v>0</v>
      </c>
      <c r="S95">
        <f>'RESUMEN TOTAL'!X97</f>
        <v>0</v>
      </c>
      <c r="T95">
        <f>'RESUMEN TOTAL'!Y97</f>
        <v>0</v>
      </c>
      <c r="U95">
        <f>'RESUMEN TOTAL'!Z97</f>
        <v>0</v>
      </c>
      <c r="V95">
        <f>'RESUMEN TOTAL'!AA97</f>
        <v>0</v>
      </c>
      <c r="W95">
        <f>'RESUMEN TOTAL'!AB97</f>
        <v>0</v>
      </c>
      <c r="X95">
        <f>'RESUMEN TOTAL'!AC97</f>
        <v>0</v>
      </c>
      <c r="Y95">
        <f>'RESUMEN TOTAL'!AD97</f>
        <v>0</v>
      </c>
      <c r="Z95">
        <f>'RESUMEN TOTAL'!AE97</f>
        <v>0</v>
      </c>
      <c r="AA95">
        <f>'RESUMEN TOTAL'!AF97</f>
        <v>0</v>
      </c>
      <c r="AB95">
        <f>'RESUMEN TOTAL'!AG97</f>
        <v>0</v>
      </c>
      <c r="AC95">
        <f>'RESUMEN TOTAL'!AH97</f>
        <v>0</v>
      </c>
      <c r="AD95">
        <f>'RESUMEN TOTAL'!AI97</f>
        <v>0</v>
      </c>
      <c r="AE95">
        <f>'RESUMEN TOTAL'!AJ97</f>
        <v>0</v>
      </c>
      <c r="AF95">
        <f>'RESUMEN TOTAL'!AK97</f>
        <v>0</v>
      </c>
      <c r="AG95">
        <f>'RESUMEN TOTAL'!AL97</f>
        <v>0</v>
      </c>
      <c r="AH95">
        <f>'RESUMEN TOTAL'!AM97</f>
        <v>0</v>
      </c>
      <c r="AI95">
        <f>'RESUMEN TOTAL'!AN97</f>
        <v>0</v>
      </c>
    </row>
    <row r="96" spans="1:35" x14ac:dyDescent="0.3">
      <c r="A96" t="str">
        <f>'RESUMEN TOTAL'!A98</f>
        <v>CENTRO</v>
      </c>
      <c r="B96" t="str">
        <f>'RESUMEN TOTAL'!B98</f>
        <v>CEN 76</v>
      </c>
      <c r="C96" t="str">
        <f>'RESUMEN TOTAL'!D98</f>
        <v>ESPAÑA E/MITRE Y BOCUZZI</v>
      </c>
      <c r="D96" t="str">
        <f>'RESUMEN TOTAL'!E98</f>
        <v>Fija</v>
      </c>
      <c r="E96" t="str">
        <f>'RESUMEN TOTAL'!F98</f>
        <v>Fibra Optica</v>
      </c>
      <c r="F96">
        <f>'RESUMEN TOTAL'!K98</f>
        <v>0</v>
      </c>
      <c r="G96">
        <f>'RESUMEN TOTAL'!L98</f>
        <v>0</v>
      </c>
      <c r="H96">
        <f>'RESUMEN TOTAL'!M98</f>
        <v>0</v>
      </c>
      <c r="I96">
        <f>'RESUMEN TOTAL'!N98</f>
        <v>0</v>
      </c>
      <c r="J96">
        <f>'RESUMEN TOTAL'!O98</f>
        <v>0</v>
      </c>
      <c r="K96">
        <f>'RESUMEN TOTAL'!P98</f>
        <v>0</v>
      </c>
      <c r="L96">
        <f>'RESUMEN TOTAL'!Q98</f>
        <v>0</v>
      </c>
      <c r="M96">
        <f>'RESUMEN TOTAL'!R98</f>
        <v>0</v>
      </c>
      <c r="N96">
        <f>'RESUMEN TOTAL'!S98</f>
        <v>0</v>
      </c>
      <c r="O96">
        <f>'RESUMEN TOTAL'!T98</f>
        <v>0</v>
      </c>
      <c r="P96">
        <f>'RESUMEN TOTAL'!U98</f>
        <v>0</v>
      </c>
      <c r="Q96">
        <f>'RESUMEN TOTAL'!V98</f>
        <v>0</v>
      </c>
      <c r="R96">
        <f>'RESUMEN TOTAL'!W98</f>
        <v>0</v>
      </c>
      <c r="S96">
        <f>'RESUMEN TOTAL'!X98</f>
        <v>0</v>
      </c>
      <c r="T96">
        <f>'RESUMEN TOTAL'!Y98</f>
        <v>0</v>
      </c>
      <c r="U96">
        <f>'RESUMEN TOTAL'!Z98</f>
        <v>0</v>
      </c>
      <c r="V96">
        <f>'RESUMEN TOTAL'!AA98</f>
        <v>0</v>
      </c>
      <c r="W96">
        <f>'RESUMEN TOTAL'!AB98</f>
        <v>0</v>
      </c>
      <c r="X96">
        <f>'RESUMEN TOTAL'!AC98</f>
        <v>0</v>
      </c>
      <c r="Y96">
        <f>'RESUMEN TOTAL'!AD98</f>
        <v>0</v>
      </c>
      <c r="Z96">
        <f>'RESUMEN TOTAL'!AE98</f>
        <v>0</v>
      </c>
      <c r="AA96">
        <f>'RESUMEN TOTAL'!AF98</f>
        <v>0</v>
      </c>
      <c r="AB96">
        <f>'RESUMEN TOTAL'!AG98</f>
        <v>0</v>
      </c>
      <c r="AC96">
        <f>'RESUMEN TOTAL'!AH98</f>
        <v>0</v>
      </c>
      <c r="AD96">
        <f>'RESUMEN TOTAL'!AI98</f>
        <v>0</v>
      </c>
      <c r="AE96">
        <f>'RESUMEN TOTAL'!AJ98</f>
        <v>0</v>
      </c>
      <c r="AF96">
        <f>'RESUMEN TOTAL'!AK98</f>
        <v>0</v>
      </c>
      <c r="AG96">
        <f>'RESUMEN TOTAL'!AL98</f>
        <v>0</v>
      </c>
      <c r="AH96">
        <f>'RESUMEN TOTAL'!AM98</f>
        <v>0</v>
      </c>
      <c r="AI96">
        <f>'RESUMEN TOTAL'!AN98</f>
        <v>0</v>
      </c>
    </row>
    <row r="97" spans="1:35" x14ac:dyDescent="0.3">
      <c r="A97" t="str">
        <f>'RESUMEN TOTAL'!A99</f>
        <v>CENTRO</v>
      </c>
      <c r="B97" t="str">
        <f>'RESUMEN TOTAL'!B99</f>
        <v>CEN 77</v>
      </c>
      <c r="C97" t="str">
        <f>'RESUMEN TOTAL'!D99</f>
        <v>Monteagudo e/ Mitre y Boccuzzi</v>
      </c>
      <c r="D97" t="str">
        <f>'RESUMEN TOTAL'!E99</f>
        <v>Fija</v>
      </c>
      <c r="E97" t="str">
        <f>'RESUMEN TOTAL'!F99</f>
        <v>Fibra Optica</v>
      </c>
      <c r="F97">
        <f>'RESUMEN TOTAL'!K99</f>
        <v>0</v>
      </c>
      <c r="G97">
        <f>'RESUMEN TOTAL'!L99</f>
        <v>0</v>
      </c>
      <c r="H97">
        <f>'RESUMEN TOTAL'!M99</f>
        <v>0</v>
      </c>
      <c r="I97">
        <f>'RESUMEN TOTAL'!N99</f>
        <v>0</v>
      </c>
      <c r="J97">
        <f>'RESUMEN TOTAL'!O99</f>
        <v>0</v>
      </c>
      <c r="K97">
        <f>'RESUMEN TOTAL'!P99</f>
        <v>0</v>
      </c>
      <c r="L97">
        <f>'RESUMEN TOTAL'!Q99</f>
        <v>0</v>
      </c>
      <c r="M97">
        <f>'RESUMEN TOTAL'!R99</f>
        <v>0</v>
      </c>
      <c r="N97">
        <f>'RESUMEN TOTAL'!S99</f>
        <v>0</v>
      </c>
      <c r="O97">
        <f>'RESUMEN TOTAL'!T99</f>
        <v>0</v>
      </c>
      <c r="P97">
        <f>'RESUMEN TOTAL'!U99</f>
        <v>0</v>
      </c>
      <c r="Q97">
        <f>'RESUMEN TOTAL'!V99</f>
        <v>0</v>
      </c>
      <c r="R97">
        <f>'RESUMEN TOTAL'!W99</f>
        <v>0</v>
      </c>
      <c r="S97">
        <f>'RESUMEN TOTAL'!X99</f>
        <v>0</v>
      </c>
      <c r="T97">
        <f>'RESUMEN TOTAL'!Y99</f>
        <v>0</v>
      </c>
      <c r="U97">
        <f>'RESUMEN TOTAL'!Z99</f>
        <v>0</v>
      </c>
      <c r="V97">
        <f>'RESUMEN TOTAL'!AA99</f>
        <v>0</v>
      </c>
      <c r="W97">
        <f>'RESUMEN TOTAL'!AB99</f>
        <v>0</v>
      </c>
      <c r="X97">
        <f>'RESUMEN TOTAL'!AC99</f>
        <v>0</v>
      </c>
      <c r="Y97">
        <f>'RESUMEN TOTAL'!AD99</f>
        <v>0</v>
      </c>
      <c r="Z97">
        <f>'RESUMEN TOTAL'!AE99</f>
        <v>0</v>
      </c>
      <c r="AA97">
        <f>'RESUMEN TOTAL'!AF99</f>
        <v>0</v>
      </c>
      <c r="AB97">
        <f>'RESUMEN TOTAL'!AG99</f>
        <v>0</v>
      </c>
      <c r="AC97">
        <f>'RESUMEN TOTAL'!AH99</f>
        <v>0</v>
      </c>
      <c r="AD97">
        <f>'RESUMEN TOTAL'!AI99</f>
        <v>0</v>
      </c>
      <c r="AE97">
        <f>'RESUMEN TOTAL'!AJ99</f>
        <v>0</v>
      </c>
      <c r="AF97">
        <f>'RESUMEN TOTAL'!AK99</f>
        <v>0</v>
      </c>
      <c r="AG97">
        <f>'RESUMEN TOTAL'!AL99</f>
        <v>0</v>
      </c>
      <c r="AH97">
        <f>'RESUMEN TOTAL'!AM99</f>
        <v>0</v>
      </c>
      <c r="AI97">
        <f>'RESUMEN TOTAL'!AN99</f>
        <v>0</v>
      </c>
    </row>
    <row r="98" spans="1:35" x14ac:dyDescent="0.3">
      <c r="A98" t="str">
        <f>'RESUMEN TOTAL'!A100</f>
        <v>CENTRO</v>
      </c>
      <c r="B98" t="str">
        <f>'RESUMEN TOTAL'!B100</f>
        <v>CEN 78</v>
      </c>
      <c r="C98" t="str">
        <f>'RESUMEN TOTAL'!D100</f>
        <v>Mitre e/Monteagudo y Alberdi</v>
      </c>
      <c r="D98" t="str">
        <f>'RESUMEN TOTAL'!E100</f>
        <v>Fija</v>
      </c>
      <c r="E98" t="str">
        <f>'RESUMEN TOTAL'!F100</f>
        <v>Fibra Optica</v>
      </c>
      <c r="F98" t="str">
        <f>'RESUMEN TOTAL'!K100</f>
        <v>APAGADO</v>
      </c>
      <c r="G98" t="str">
        <f>'RESUMEN TOTAL'!L100</f>
        <v>APAGADO</v>
      </c>
      <c r="H98" t="str">
        <f>'RESUMEN TOTAL'!M100</f>
        <v>APAGADO</v>
      </c>
      <c r="I98" t="str">
        <f>'RESUMEN TOTAL'!N100</f>
        <v>APAGADO</v>
      </c>
      <c r="J98" t="str">
        <f>'RESUMEN TOTAL'!O100</f>
        <v>APAGADO</v>
      </c>
      <c r="K98" t="str">
        <f>'RESUMEN TOTAL'!P100</f>
        <v>APAGADO</v>
      </c>
      <c r="L98" t="str">
        <f>'RESUMEN TOTAL'!Q100</f>
        <v>APAGADO</v>
      </c>
      <c r="M98" t="str">
        <f>'RESUMEN TOTAL'!R100</f>
        <v>APAGADO</v>
      </c>
      <c r="N98" t="str">
        <f>'RESUMEN TOTAL'!S100</f>
        <v>APAGADO</v>
      </c>
      <c r="O98" t="str">
        <f>'RESUMEN TOTAL'!T100</f>
        <v>APAGADO</v>
      </c>
      <c r="P98" t="str">
        <f>'RESUMEN TOTAL'!U100</f>
        <v>APAGADO</v>
      </c>
      <c r="Q98" t="str">
        <f>'RESUMEN TOTAL'!V100</f>
        <v>APAGADO</v>
      </c>
      <c r="R98" t="str">
        <f>'RESUMEN TOTAL'!W100</f>
        <v>APAGADO</v>
      </c>
      <c r="S98" t="str">
        <f>'RESUMEN TOTAL'!X100</f>
        <v>APAGADO</v>
      </c>
      <c r="T98" t="str">
        <f>'RESUMEN TOTAL'!Y100</f>
        <v>APAGADO</v>
      </c>
      <c r="U98" t="str">
        <f>'RESUMEN TOTAL'!Z100</f>
        <v>APAGADO</v>
      </c>
      <c r="V98" t="str">
        <f>'RESUMEN TOTAL'!AA100</f>
        <v>APAGADO</v>
      </c>
      <c r="W98">
        <f>'RESUMEN TOTAL'!AB100</f>
        <v>0</v>
      </c>
      <c r="X98">
        <f>'RESUMEN TOTAL'!AC100</f>
        <v>0</v>
      </c>
      <c r="Y98">
        <f>'RESUMEN TOTAL'!AD100</f>
        <v>0</v>
      </c>
      <c r="Z98">
        <f>'RESUMEN TOTAL'!AE100</f>
        <v>0</v>
      </c>
      <c r="AA98">
        <f>'RESUMEN TOTAL'!AF100</f>
        <v>0</v>
      </c>
      <c r="AB98">
        <f>'RESUMEN TOTAL'!AG100</f>
        <v>0</v>
      </c>
      <c r="AC98">
        <f>'RESUMEN TOTAL'!AH100</f>
        <v>0</v>
      </c>
      <c r="AD98">
        <f>'RESUMEN TOTAL'!AI100</f>
        <v>0</v>
      </c>
      <c r="AE98">
        <f>'RESUMEN TOTAL'!AJ100</f>
        <v>0</v>
      </c>
      <c r="AF98">
        <f>'RESUMEN TOTAL'!AK100</f>
        <v>0</v>
      </c>
      <c r="AG98">
        <f>'RESUMEN TOTAL'!AL100</f>
        <v>0</v>
      </c>
      <c r="AH98">
        <f>'RESUMEN TOTAL'!AM100</f>
        <v>0</v>
      </c>
      <c r="AI98">
        <f>'RESUMEN TOTAL'!AN100</f>
        <v>0</v>
      </c>
    </row>
    <row r="99" spans="1:35" x14ac:dyDescent="0.3">
      <c r="A99" t="str">
        <f>'RESUMEN TOTAL'!A101</f>
        <v>CENTRO</v>
      </c>
      <c r="B99" t="str">
        <f>'RESUMEN TOTAL'!B101</f>
        <v>CEN 79</v>
      </c>
      <c r="C99" t="str">
        <f>'RESUMEN TOTAL'!D101</f>
        <v>Diag. Constituyente y Brown</v>
      </c>
      <c r="D99" t="str">
        <f>'RESUMEN TOTAL'!E101</f>
        <v>Fija</v>
      </c>
      <c r="E99" t="str">
        <f>'RESUMEN TOTAL'!F101</f>
        <v>Fibra Optica</v>
      </c>
      <c r="F99" t="str">
        <f>'RESUMEN TOTAL'!K101</f>
        <v>APAGADO</v>
      </c>
      <c r="G99" t="str">
        <f>'RESUMEN TOTAL'!L101</f>
        <v>APAGADO</v>
      </c>
      <c r="H99">
        <f>'RESUMEN TOTAL'!M101</f>
        <v>0</v>
      </c>
      <c r="I99">
        <f>'RESUMEN TOTAL'!N101</f>
        <v>0</v>
      </c>
      <c r="J99">
        <f>'RESUMEN TOTAL'!O101</f>
        <v>0</v>
      </c>
      <c r="K99">
        <f>'RESUMEN TOTAL'!P101</f>
        <v>0</v>
      </c>
      <c r="L99">
        <f>'RESUMEN TOTAL'!Q101</f>
        <v>0</v>
      </c>
      <c r="M99">
        <f>'RESUMEN TOTAL'!R101</f>
        <v>0</v>
      </c>
      <c r="N99" t="str">
        <f>'RESUMEN TOTAL'!S101</f>
        <v>APAGADO</v>
      </c>
      <c r="O99" t="str">
        <f>'RESUMEN TOTAL'!T101</f>
        <v>APAGADO</v>
      </c>
      <c r="P99" t="str">
        <f>'RESUMEN TOTAL'!U101</f>
        <v>APAGADO</v>
      </c>
      <c r="Q99">
        <f>'RESUMEN TOTAL'!V101</f>
        <v>0</v>
      </c>
      <c r="R99">
        <f>'RESUMEN TOTAL'!W101</f>
        <v>0</v>
      </c>
      <c r="S99">
        <f>'RESUMEN TOTAL'!X101</f>
        <v>0</v>
      </c>
      <c r="T99">
        <f>'RESUMEN TOTAL'!Y101</f>
        <v>0</v>
      </c>
      <c r="U99">
        <f>'RESUMEN TOTAL'!Z101</f>
        <v>0</v>
      </c>
      <c r="V99">
        <f>'RESUMEN TOTAL'!AA101</f>
        <v>0</v>
      </c>
      <c r="W99">
        <f>'RESUMEN TOTAL'!AB101</f>
        <v>0</v>
      </c>
      <c r="X99">
        <f>'RESUMEN TOTAL'!AC101</f>
        <v>0</v>
      </c>
      <c r="Y99">
        <f>'RESUMEN TOTAL'!AD101</f>
        <v>0</v>
      </c>
      <c r="Z99">
        <f>'RESUMEN TOTAL'!AE101</f>
        <v>0</v>
      </c>
      <c r="AA99">
        <f>'RESUMEN TOTAL'!AF101</f>
        <v>0</v>
      </c>
      <c r="AB99">
        <f>'RESUMEN TOTAL'!AG101</f>
        <v>0</v>
      </c>
      <c r="AC99">
        <f>'RESUMEN TOTAL'!AH101</f>
        <v>0</v>
      </c>
      <c r="AD99">
        <f>'RESUMEN TOTAL'!AI101</f>
        <v>0</v>
      </c>
      <c r="AE99">
        <f>'RESUMEN TOTAL'!AJ101</f>
        <v>0</v>
      </c>
      <c r="AF99">
        <f>'RESUMEN TOTAL'!AK101</f>
        <v>0</v>
      </c>
      <c r="AG99">
        <f>'RESUMEN TOTAL'!AL101</f>
        <v>0</v>
      </c>
      <c r="AH99">
        <f>'RESUMEN TOTAL'!AM101</f>
        <v>0</v>
      </c>
      <c r="AI99">
        <f>'RESUMEN TOTAL'!AN101</f>
        <v>0</v>
      </c>
    </row>
    <row r="100" spans="1:35" x14ac:dyDescent="0.3">
      <c r="A100" t="str">
        <f>'RESUMEN TOTAL'!A102</f>
        <v>CENTRO</v>
      </c>
      <c r="B100" t="str">
        <f>'RESUMEN TOTAL'!B102</f>
        <v>CEN 80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 t="str">
        <f>'RESUMEN TOTAL'!K102</f>
        <v>APAGADO</v>
      </c>
      <c r="G100" t="str">
        <f>'RESUMEN TOTAL'!L102</f>
        <v>APAGADO</v>
      </c>
      <c r="H100">
        <f>'RESUMEN TOTAL'!M102</f>
        <v>0</v>
      </c>
      <c r="I100">
        <f>'RESUMEN TOTAL'!N102</f>
        <v>0</v>
      </c>
      <c r="J100">
        <f>'RESUMEN TOTAL'!O102</f>
        <v>0</v>
      </c>
      <c r="K100">
        <f>'RESUMEN TOTAL'!P102</f>
        <v>0</v>
      </c>
      <c r="L100">
        <f>'RESUMEN TOTAL'!Q102</f>
        <v>0</v>
      </c>
      <c r="M100">
        <f>'RESUMEN TOTAL'!R102</f>
        <v>0</v>
      </c>
      <c r="N100" t="str">
        <f>'RESUMEN TOTAL'!S102</f>
        <v>APAGADO</v>
      </c>
      <c r="O100" t="str">
        <f>'RESUMEN TOTAL'!T102</f>
        <v>APAGADO</v>
      </c>
      <c r="P100">
        <f>'RESUMEN TOTAL'!U102</f>
        <v>0</v>
      </c>
      <c r="Q100">
        <f>'RESUMEN TOTAL'!V102</f>
        <v>0</v>
      </c>
      <c r="R100">
        <f>'RESUMEN TOTAL'!W102</f>
        <v>0</v>
      </c>
      <c r="S100">
        <f>'RESUMEN TOTAL'!X102</f>
        <v>0</v>
      </c>
      <c r="T100">
        <f>'RESUMEN TOTAL'!Y102</f>
        <v>0</v>
      </c>
      <c r="U100">
        <f>'RESUMEN TOTAL'!Z102</f>
        <v>0</v>
      </c>
      <c r="V100">
        <f>'RESUMEN TOTAL'!AA102</f>
        <v>0</v>
      </c>
      <c r="W100">
        <f>'RESUMEN TOTAL'!AB102</f>
        <v>0</v>
      </c>
      <c r="X100">
        <f>'RESUMEN TOTAL'!AC102</f>
        <v>0</v>
      </c>
      <c r="Y100">
        <f>'RESUMEN TOTAL'!AD102</f>
        <v>0</v>
      </c>
      <c r="Z100">
        <f>'RESUMEN TOTAL'!AE102</f>
        <v>0</v>
      </c>
      <c r="AA100">
        <f>'RESUMEN TOTAL'!AF102</f>
        <v>0</v>
      </c>
      <c r="AB100">
        <f>'RESUMEN TOTAL'!AG102</f>
        <v>0</v>
      </c>
      <c r="AC100">
        <f>'RESUMEN TOTAL'!AH102</f>
        <v>0</v>
      </c>
      <c r="AD100">
        <f>'RESUMEN TOTAL'!AI102</f>
        <v>0</v>
      </c>
      <c r="AE100">
        <f>'RESUMEN TOTAL'!AJ102</f>
        <v>0</v>
      </c>
      <c r="AF100">
        <f>'RESUMEN TOTAL'!AK102</f>
        <v>0</v>
      </c>
      <c r="AG100">
        <f>'RESUMEN TOTAL'!AL102</f>
        <v>0</v>
      </c>
      <c r="AH100">
        <f>'RESUMEN TOTAL'!AM102</f>
        <v>0</v>
      </c>
      <c r="AI100">
        <f>'RESUMEN TOTAL'!AN102</f>
        <v>0</v>
      </c>
    </row>
    <row r="101" spans="1:35" x14ac:dyDescent="0.3">
      <c r="A101" t="str">
        <f>'RESUMEN TOTAL'!A103</f>
        <v>CENTRO</v>
      </c>
      <c r="B101" t="str">
        <f>'RESUMEN TOTAL'!B103</f>
        <v>CEN 81</v>
      </c>
      <c r="C101" t="str">
        <f>'RESUMEN TOTAL'!D103</f>
        <v>Alberdi y A.del Valle</v>
      </c>
      <c r="D101" t="str">
        <f>'RESUMEN TOTAL'!E103</f>
        <v>Fija</v>
      </c>
      <c r="E101" t="str">
        <f>'RESUMEN TOTAL'!F103</f>
        <v>Fibra Optica</v>
      </c>
      <c r="F101">
        <f>'RESUMEN TOTAL'!K103</f>
        <v>0</v>
      </c>
      <c r="G101">
        <f>'RESUMEN TOTAL'!L103</f>
        <v>0</v>
      </c>
      <c r="H101">
        <f>'RESUMEN TOTAL'!M103</f>
        <v>0</v>
      </c>
      <c r="I101">
        <f>'RESUMEN TOTAL'!N103</f>
        <v>0</v>
      </c>
      <c r="J101">
        <f>'RESUMEN TOTAL'!O103</f>
        <v>0</v>
      </c>
      <c r="K101">
        <f>'RESUMEN TOTAL'!P103</f>
        <v>0</v>
      </c>
      <c r="L101">
        <f>'RESUMEN TOTAL'!Q103</f>
        <v>0</v>
      </c>
      <c r="M101">
        <f>'RESUMEN TOTAL'!R103</f>
        <v>0</v>
      </c>
      <c r="N101">
        <f>'RESUMEN TOTAL'!S103</f>
        <v>0</v>
      </c>
      <c r="O101">
        <f>'RESUMEN TOTAL'!T103</f>
        <v>0</v>
      </c>
      <c r="P101">
        <f>'RESUMEN TOTAL'!U103</f>
        <v>0</v>
      </c>
      <c r="Q101">
        <f>'RESUMEN TOTAL'!V103</f>
        <v>0</v>
      </c>
      <c r="R101">
        <f>'RESUMEN TOTAL'!W103</f>
        <v>0</v>
      </c>
      <c r="S101">
        <f>'RESUMEN TOTAL'!X103</f>
        <v>0</v>
      </c>
      <c r="T101">
        <f>'RESUMEN TOTAL'!Y103</f>
        <v>0</v>
      </c>
      <c r="U101">
        <f>'RESUMEN TOTAL'!Z103</f>
        <v>0</v>
      </c>
      <c r="V101">
        <f>'RESUMEN TOTAL'!AA103</f>
        <v>0</v>
      </c>
      <c r="W101">
        <f>'RESUMEN TOTAL'!AB103</f>
        <v>0</v>
      </c>
      <c r="X101">
        <f>'RESUMEN TOTAL'!AC103</f>
        <v>0</v>
      </c>
      <c r="Y101">
        <f>'RESUMEN TOTAL'!AD103</f>
        <v>0</v>
      </c>
      <c r="Z101">
        <f>'RESUMEN TOTAL'!AE103</f>
        <v>0</v>
      </c>
      <c r="AA101">
        <f>'RESUMEN TOTAL'!AF103</f>
        <v>0</v>
      </c>
      <c r="AB101">
        <f>'RESUMEN TOTAL'!AG103</f>
        <v>0</v>
      </c>
      <c r="AC101">
        <f>'RESUMEN TOTAL'!AH103</f>
        <v>0</v>
      </c>
      <c r="AD101">
        <f>'RESUMEN TOTAL'!AI103</f>
        <v>0</v>
      </c>
      <c r="AE101">
        <f>'RESUMEN TOTAL'!AJ103</f>
        <v>0</v>
      </c>
      <c r="AF101">
        <f>'RESUMEN TOTAL'!AK103</f>
        <v>0</v>
      </c>
      <c r="AG101">
        <f>'RESUMEN TOTAL'!AL103</f>
        <v>0</v>
      </c>
      <c r="AH101">
        <f>'RESUMEN TOTAL'!AM103</f>
        <v>0</v>
      </c>
      <c r="AI101">
        <f>'RESUMEN TOTAL'!AN103</f>
        <v>0</v>
      </c>
    </row>
    <row r="102" spans="1:35" x14ac:dyDescent="0.3">
      <c r="A102" t="str">
        <f>'RESUMEN TOTAL'!A106</f>
        <v>SAN NICOLAS</v>
      </c>
      <c r="B102" t="str">
        <f>'RESUMEN TOTAL'!B106</f>
        <v>CHA01</v>
      </c>
      <c r="C102" t="str">
        <f>'RESUMEN TOTAL'!D106</f>
        <v>Novak y Pte Illia</v>
      </c>
      <c r="D102" t="str">
        <f>'RESUMEN TOTAL'!E106</f>
        <v>Domo</v>
      </c>
      <c r="E102" t="str">
        <f>'RESUMEN TOTAL'!F106</f>
        <v>Radio</v>
      </c>
      <c r="F102">
        <f>'RESUMEN TOTAL'!K106</f>
        <v>0</v>
      </c>
      <c r="G102">
        <f>'RESUMEN TOTAL'!L106</f>
        <v>0</v>
      </c>
      <c r="H102">
        <f>'RESUMEN TOTAL'!M106</f>
        <v>0</v>
      </c>
      <c r="I102">
        <f>'RESUMEN TOTAL'!N106</f>
        <v>0</v>
      </c>
      <c r="J102">
        <f>'RESUMEN TOTAL'!O106</f>
        <v>0</v>
      </c>
      <c r="K102">
        <f>'RESUMEN TOTAL'!P106</f>
        <v>0</v>
      </c>
      <c r="L102">
        <f>'RESUMEN TOTAL'!Q106</f>
        <v>0</v>
      </c>
      <c r="M102">
        <f>'RESUMEN TOTAL'!R106</f>
        <v>0</v>
      </c>
      <c r="N102">
        <f>'RESUMEN TOTAL'!S106</f>
        <v>0</v>
      </c>
      <c r="O102">
        <f>'RESUMEN TOTAL'!T106</f>
        <v>0</v>
      </c>
      <c r="P102">
        <f>'RESUMEN TOTAL'!U106</f>
        <v>0</v>
      </c>
      <c r="Q102">
        <f>'RESUMEN TOTAL'!V106</f>
        <v>0</v>
      </c>
      <c r="R102" t="str">
        <f>'RESUMEN TOTAL'!W106</f>
        <v>APAGADO</v>
      </c>
      <c r="S102" t="str">
        <f>'RESUMEN TOTAL'!X106</f>
        <v>APAGADO</v>
      </c>
      <c r="T102" t="str">
        <f>'RESUMEN TOTAL'!Y106</f>
        <v>APAGADO</v>
      </c>
      <c r="U102" t="str">
        <f>'RESUMEN TOTAL'!Z106</f>
        <v>APAGADO</v>
      </c>
      <c r="V102">
        <f>'RESUMEN TOTAL'!AA106</f>
        <v>0</v>
      </c>
      <c r="W102">
        <f>'RESUMEN TOTAL'!AB106</f>
        <v>0</v>
      </c>
      <c r="X102">
        <f>'RESUMEN TOTAL'!AC106</f>
        <v>0</v>
      </c>
      <c r="Y102">
        <f>'RESUMEN TOTAL'!AD106</f>
        <v>0</v>
      </c>
      <c r="Z102">
        <f>'RESUMEN TOTAL'!AE106</f>
        <v>0</v>
      </c>
      <c r="AA102">
        <f>'RESUMEN TOTAL'!AF106</f>
        <v>0</v>
      </c>
      <c r="AB102">
        <f>'RESUMEN TOTAL'!AG106</f>
        <v>0</v>
      </c>
      <c r="AC102">
        <f>'RESUMEN TOTAL'!AH106</f>
        <v>0</v>
      </c>
      <c r="AD102">
        <f>'RESUMEN TOTAL'!AI106</f>
        <v>0</v>
      </c>
      <c r="AE102">
        <f>'RESUMEN TOTAL'!AJ106</f>
        <v>0</v>
      </c>
      <c r="AF102">
        <f>'RESUMEN TOTAL'!AK106</f>
        <v>0</v>
      </c>
      <c r="AG102">
        <f>'RESUMEN TOTAL'!AL106</f>
        <v>0</v>
      </c>
      <c r="AH102">
        <f>'RESUMEN TOTAL'!AM106</f>
        <v>0</v>
      </c>
      <c r="AI102">
        <f>'RESUMEN TOTAL'!AN106</f>
        <v>0</v>
      </c>
    </row>
    <row r="103" spans="1:35" x14ac:dyDescent="0.3">
      <c r="A103" t="str">
        <f>'RESUMEN TOTAL'!A107</f>
        <v>CHACABUCO</v>
      </c>
      <c r="B103" t="str">
        <f>'RESUMEN TOTAL'!B107</f>
        <v>CHA02</v>
      </c>
      <c r="C103" t="str">
        <f>'RESUMEN TOTAL'!D107</f>
        <v>Pte. Illia y Posadas</v>
      </c>
      <c r="D103" t="str">
        <f>'RESUMEN TOTAL'!E107</f>
        <v>Domo</v>
      </c>
      <c r="E103" t="str">
        <f>'RESUMEN TOTAL'!F107</f>
        <v>Radio</v>
      </c>
      <c r="F103">
        <f>'RESUMEN TOTAL'!K107</f>
        <v>0</v>
      </c>
      <c r="G103">
        <f>'RESUMEN TOTAL'!L107</f>
        <v>0</v>
      </c>
      <c r="H103" t="str">
        <f>'RESUMEN TOTAL'!M107</f>
        <v>APAGADO</v>
      </c>
      <c r="I103" t="str">
        <f>'RESUMEN TOTAL'!N107</f>
        <v>APAGADO</v>
      </c>
      <c r="J103" t="str">
        <f>'RESUMEN TOTAL'!O107</f>
        <v>APAGADO</v>
      </c>
      <c r="K103" t="str">
        <f>'RESUMEN TOTAL'!P107</f>
        <v>APAGADO</v>
      </c>
      <c r="L103" t="str">
        <f>'RESUMEN TOTAL'!Q107</f>
        <v>APAGADO</v>
      </c>
      <c r="M103">
        <f>'RESUMEN TOTAL'!R107</f>
        <v>0</v>
      </c>
      <c r="N103">
        <f>'RESUMEN TOTAL'!S107</f>
        <v>0</v>
      </c>
      <c r="O103" t="str">
        <f>'RESUMEN TOTAL'!T107</f>
        <v>APAGADO</v>
      </c>
      <c r="P103" t="str">
        <f>'RESUMEN TOTAL'!U107</f>
        <v>APAGADO</v>
      </c>
      <c r="Q103" t="str">
        <f>'RESUMEN TOTAL'!V107</f>
        <v>APAGADO</v>
      </c>
      <c r="R103" t="str">
        <f>'RESUMEN TOTAL'!W107</f>
        <v>APAGADO</v>
      </c>
      <c r="S103" t="str">
        <f>'RESUMEN TOTAL'!X107</f>
        <v>APAGADO</v>
      </c>
      <c r="T103" t="str">
        <f>'RESUMEN TOTAL'!Y107</f>
        <v>APAGADO</v>
      </c>
      <c r="U103" t="str">
        <f>'RESUMEN TOTAL'!Z107</f>
        <v>APAGADO</v>
      </c>
      <c r="V103" t="str">
        <f>'RESUMEN TOTAL'!AA107</f>
        <v>APAGADO</v>
      </c>
      <c r="W103" t="str">
        <f>'RESUMEN TOTAL'!AB107</f>
        <v>APAGADO</v>
      </c>
      <c r="X103" t="str">
        <f>'RESUMEN TOTAL'!AC107</f>
        <v>APAGADO</v>
      </c>
      <c r="Y103">
        <f>'RESUMEN TOTAL'!AD107</f>
        <v>0</v>
      </c>
      <c r="Z103">
        <f>'RESUMEN TOTAL'!AE107</f>
        <v>0</v>
      </c>
      <c r="AA103">
        <f>'RESUMEN TOTAL'!AF107</f>
        <v>0</v>
      </c>
      <c r="AB103">
        <f>'RESUMEN TOTAL'!AG107</f>
        <v>0</v>
      </c>
      <c r="AC103">
        <f>'RESUMEN TOTAL'!AH107</f>
        <v>0</v>
      </c>
      <c r="AD103">
        <f>'RESUMEN TOTAL'!AI107</f>
        <v>0</v>
      </c>
      <c r="AE103">
        <f>'RESUMEN TOTAL'!AJ107</f>
        <v>0</v>
      </c>
      <c r="AF103">
        <f>'RESUMEN TOTAL'!AK107</f>
        <v>0</v>
      </c>
      <c r="AG103">
        <f>'RESUMEN TOTAL'!AL107</f>
        <v>0</v>
      </c>
      <c r="AH103">
        <f>'RESUMEN TOTAL'!AM107</f>
        <v>0</v>
      </c>
      <c r="AI103">
        <f>'RESUMEN TOTAL'!AN107</f>
        <v>0</v>
      </c>
    </row>
    <row r="104" spans="1:35" x14ac:dyDescent="0.3">
      <c r="A104" t="str">
        <f>'RESUMEN TOTAL'!A108</f>
        <v>CHACABUCO</v>
      </c>
      <c r="B104" t="str">
        <f>'RESUMEN TOTAL'!B108</f>
        <v>CHA03</v>
      </c>
      <c r="C104" t="str">
        <f>'RESUMEN TOTAL'!D108</f>
        <v>MAIPU Y ALVAREZ THOMAS</v>
      </c>
      <c r="D104" t="str">
        <f>'RESUMEN TOTAL'!E108</f>
        <v>DOMO</v>
      </c>
      <c r="E104" t="str">
        <f>'RESUMEN TOTAL'!F108</f>
        <v>Fibra Optica</v>
      </c>
      <c r="F104">
        <f>'RESUMEN TOTAL'!K108</f>
        <v>0</v>
      </c>
      <c r="G104">
        <f>'RESUMEN TOTAL'!L108</f>
        <v>0</v>
      </c>
      <c r="H104">
        <f>'RESUMEN TOTAL'!M108</f>
        <v>0</v>
      </c>
      <c r="I104">
        <f>'RESUMEN TOTAL'!N108</f>
        <v>0</v>
      </c>
      <c r="J104">
        <f>'RESUMEN TOTAL'!O108</f>
        <v>0</v>
      </c>
      <c r="K104">
        <f>'RESUMEN TOTAL'!P108</f>
        <v>0</v>
      </c>
      <c r="L104">
        <f>'RESUMEN TOTAL'!Q108</f>
        <v>0</v>
      </c>
      <c r="M104">
        <f>'RESUMEN TOTAL'!R108</f>
        <v>0</v>
      </c>
      <c r="N104">
        <f>'RESUMEN TOTAL'!S108</f>
        <v>0</v>
      </c>
      <c r="O104">
        <f>'RESUMEN TOTAL'!T108</f>
        <v>0</v>
      </c>
      <c r="P104">
        <f>'RESUMEN TOTAL'!U108</f>
        <v>0</v>
      </c>
      <c r="Q104">
        <f>'RESUMEN TOTAL'!V108</f>
        <v>0</v>
      </c>
      <c r="R104">
        <f>'RESUMEN TOTAL'!W108</f>
        <v>0</v>
      </c>
      <c r="S104">
        <f>'RESUMEN TOTAL'!X108</f>
        <v>0</v>
      </c>
      <c r="T104">
        <f>'RESUMEN TOTAL'!Y108</f>
        <v>0</v>
      </c>
      <c r="U104">
        <f>'RESUMEN TOTAL'!Z108</f>
        <v>0</v>
      </c>
      <c r="V104">
        <f>'RESUMEN TOTAL'!AA108</f>
        <v>0</v>
      </c>
      <c r="W104">
        <f>'RESUMEN TOTAL'!AB108</f>
        <v>0</v>
      </c>
      <c r="X104">
        <f>'RESUMEN TOTAL'!AC108</f>
        <v>0</v>
      </c>
      <c r="Y104">
        <f>'RESUMEN TOTAL'!AD108</f>
        <v>0</v>
      </c>
      <c r="Z104">
        <f>'RESUMEN TOTAL'!AE108</f>
        <v>0</v>
      </c>
      <c r="AA104">
        <f>'RESUMEN TOTAL'!AF108</f>
        <v>0</v>
      </c>
      <c r="AB104">
        <f>'RESUMEN TOTAL'!AG108</f>
        <v>0</v>
      </c>
      <c r="AC104">
        <f>'RESUMEN TOTAL'!AH108</f>
        <v>0</v>
      </c>
      <c r="AD104">
        <f>'RESUMEN TOTAL'!AI108</f>
        <v>0</v>
      </c>
      <c r="AE104">
        <f>'RESUMEN TOTAL'!AJ108</f>
        <v>0</v>
      </c>
      <c r="AF104">
        <f>'RESUMEN TOTAL'!AK108</f>
        <v>0</v>
      </c>
      <c r="AG104">
        <f>'RESUMEN TOTAL'!AL108</f>
        <v>0</v>
      </c>
      <c r="AH104">
        <f>'RESUMEN TOTAL'!AM108</f>
        <v>0</v>
      </c>
      <c r="AI104">
        <f>'RESUMEN TOTAL'!AN108</f>
        <v>0</v>
      </c>
    </row>
    <row r="105" spans="1:35" x14ac:dyDescent="0.3">
      <c r="A105" t="str">
        <f>'RESUMEN TOTAL'!A109</f>
        <v>CHACABUCO</v>
      </c>
      <c r="B105" t="str">
        <f>'RESUMEN TOTAL'!B109</f>
        <v>CHA04</v>
      </c>
      <c r="C105" t="str">
        <f>'RESUMEN TOTAL'!D109</f>
        <v>ESTADOS UNIDOS DE A. E ILLIA</v>
      </c>
      <c r="D105" t="str">
        <f>'RESUMEN TOTAL'!E109</f>
        <v>DOMO</v>
      </c>
      <c r="E105" t="str">
        <f>'RESUMEN TOTAL'!F109</f>
        <v>Fibra Optica</v>
      </c>
      <c r="F105">
        <f>'RESUMEN TOTAL'!K109</f>
        <v>0</v>
      </c>
      <c r="G105">
        <f>'RESUMEN TOTAL'!L109</f>
        <v>0</v>
      </c>
      <c r="H105">
        <f>'RESUMEN TOTAL'!M109</f>
        <v>0</v>
      </c>
      <c r="I105">
        <f>'RESUMEN TOTAL'!N109</f>
        <v>0</v>
      </c>
      <c r="J105">
        <f>'RESUMEN TOTAL'!O109</f>
        <v>0</v>
      </c>
      <c r="K105">
        <f>'RESUMEN TOTAL'!P109</f>
        <v>0</v>
      </c>
      <c r="L105">
        <f>'RESUMEN TOTAL'!Q109</f>
        <v>0</v>
      </c>
      <c r="M105">
        <f>'RESUMEN TOTAL'!R109</f>
        <v>0</v>
      </c>
      <c r="N105">
        <f>'RESUMEN TOTAL'!S109</f>
        <v>0</v>
      </c>
      <c r="O105">
        <f>'RESUMEN TOTAL'!T109</f>
        <v>0</v>
      </c>
      <c r="P105">
        <f>'RESUMEN TOTAL'!U109</f>
        <v>0</v>
      </c>
      <c r="Q105">
        <f>'RESUMEN TOTAL'!V109</f>
        <v>0</v>
      </c>
      <c r="R105">
        <f>'RESUMEN TOTAL'!W109</f>
        <v>0</v>
      </c>
      <c r="S105">
        <f>'RESUMEN TOTAL'!X109</f>
        <v>0</v>
      </c>
      <c r="T105">
        <f>'RESUMEN TOTAL'!Y109</f>
        <v>0</v>
      </c>
      <c r="U105">
        <f>'RESUMEN TOTAL'!Z109</f>
        <v>0</v>
      </c>
      <c r="V105">
        <f>'RESUMEN TOTAL'!AA109</f>
        <v>0</v>
      </c>
      <c r="W105">
        <f>'RESUMEN TOTAL'!AB109</f>
        <v>0</v>
      </c>
      <c r="X105">
        <f>'RESUMEN TOTAL'!AC109</f>
        <v>0</v>
      </c>
      <c r="Y105">
        <f>'RESUMEN TOTAL'!AD109</f>
        <v>0</v>
      </c>
      <c r="Z105">
        <f>'RESUMEN TOTAL'!AE109</f>
        <v>0</v>
      </c>
      <c r="AA105">
        <f>'RESUMEN TOTAL'!AF109</f>
        <v>0</v>
      </c>
      <c r="AB105">
        <f>'RESUMEN TOTAL'!AG109</f>
        <v>0</v>
      </c>
      <c r="AC105">
        <f>'RESUMEN TOTAL'!AH109</f>
        <v>0</v>
      </c>
      <c r="AD105">
        <f>'RESUMEN TOTAL'!AI109</f>
        <v>0</v>
      </c>
      <c r="AE105">
        <f>'RESUMEN TOTAL'!AJ109</f>
        <v>0</v>
      </c>
      <c r="AF105">
        <f>'RESUMEN TOTAL'!AK109</f>
        <v>0</v>
      </c>
      <c r="AG105">
        <f>'RESUMEN TOTAL'!AL109</f>
        <v>0</v>
      </c>
      <c r="AH105">
        <f>'RESUMEN TOTAL'!AM109</f>
        <v>0</v>
      </c>
      <c r="AI105">
        <f>'RESUMEN TOTAL'!AN109</f>
        <v>0</v>
      </c>
    </row>
    <row r="106" spans="1:35" x14ac:dyDescent="0.3">
      <c r="A106" t="str">
        <f>'RESUMEN TOTAL'!A110</f>
        <v>LA COLORADA ESTE</v>
      </c>
      <c r="B106" t="str">
        <f>'RESUMEN TOTAL'!B110</f>
        <v>COL 03</v>
      </c>
      <c r="C106" t="str">
        <f>'RESUMEN TOTAL'!D110</f>
        <v>CARIBONI Y LA ANCIANIDAD</v>
      </c>
      <c r="D106" t="str">
        <f>'RESUMEN TOTAL'!E110</f>
        <v>DOMO</v>
      </c>
      <c r="E106" t="str">
        <f>'RESUMEN TOTAL'!F110</f>
        <v>Radio</v>
      </c>
      <c r="F106">
        <f>'RESUMEN TOTAL'!K110</f>
        <v>0</v>
      </c>
      <c r="G106">
        <f>'RESUMEN TOTAL'!L110</f>
        <v>0</v>
      </c>
      <c r="H106">
        <f>'RESUMEN TOTAL'!M110</f>
        <v>0</v>
      </c>
      <c r="I106">
        <f>'RESUMEN TOTAL'!N110</f>
        <v>0</v>
      </c>
      <c r="J106">
        <f>'RESUMEN TOTAL'!O110</f>
        <v>0</v>
      </c>
      <c r="K106">
        <f>'RESUMEN TOTAL'!P110</f>
        <v>0</v>
      </c>
      <c r="L106">
        <f>'RESUMEN TOTAL'!Q110</f>
        <v>0</v>
      </c>
      <c r="M106">
        <f>'RESUMEN TOTAL'!R110</f>
        <v>0</v>
      </c>
      <c r="N106">
        <f>'RESUMEN TOTAL'!S110</f>
        <v>0</v>
      </c>
      <c r="O106">
        <f>'RESUMEN TOTAL'!T110</f>
        <v>0</v>
      </c>
      <c r="P106">
        <f>'RESUMEN TOTAL'!U110</f>
        <v>0</v>
      </c>
      <c r="Q106">
        <f>'RESUMEN TOTAL'!V110</f>
        <v>0</v>
      </c>
      <c r="R106">
        <f>'RESUMEN TOTAL'!W110</f>
        <v>0</v>
      </c>
      <c r="S106">
        <f>'RESUMEN TOTAL'!X110</f>
        <v>0</v>
      </c>
      <c r="T106">
        <f>'RESUMEN TOTAL'!Y110</f>
        <v>0</v>
      </c>
      <c r="U106">
        <f>'RESUMEN TOTAL'!Z110</f>
        <v>0</v>
      </c>
      <c r="V106">
        <f>'RESUMEN TOTAL'!AA110</f>
        <v>0</v>
      </c>
      <c r="W106">
        <f>'RESUMEN TOTAL'!AB110</f>
        <v>0</v>
      </c>
      <c r="X106">
        <f>'RESUMEN TOTAL'!AC110</f>
        <v>0</v>
      </c>
      <c r="Y106">
        <f>'RESUMEN TOTAL'!AD110</f>
        <v>0</v>
      </c>
      <c r="Z106">
        <f>'RESUMEN TOTAL'!AE110</f>
        <v>0</v>
      </c>
      <c r="AA106">
        <f>'RESUMEN TOTAL'!AF110</f>
        <v>0</v>
      </c>
      <c r="AB106">
        <f>'RESUMEN TOTAL'!AG110</f>
        <v>0</v>
      </c>
      <c r="AC106">
        <f>'RESUMEN TOTAL'!AH110</f>
        <v>0</v>
      </c>
      <c r="AD106">
        <f>'RESUMEN TOTAL'!AI110</f>
        <v>0</v>
      </c>
      <c r="AE106">
        <f>'RESUMEN TOTAL'!AJ110</f>
        <v>0</v>
      </c>
      <c r="AF106">
        <f>'RESUMEN TOTAL'!AK110</f>
        <v>0</v>
      </c>
      <c r="AG106">
        <f>'RESUMEN TOTAL'!AL110</f>
        <v>0</v>
      </c>
      <c r="AH106">
        <f>'RESUMEN TOTAL'!AM110</f>
        <v>0</v>
      </c>
      <c r="AI106">
        <f>'RESUMEN TOTAL'!AN110</f>
        <v>0</v>
      </c>
    </row>
    <row r="107" spans="1:35" x14ac:dyDescent="0.3">
      <c r="A107" t="str">
        <f>'RESUMEN TOTAL'!A111</f>
        <v>VILLA MONICA NUEVA</v>
      </c>
      <c r="B107" t="str">
        <f>'RESUMEN TOTAL'!B111</f>
        <v>COL01</v>
      </c>
      <c r="C107" t="str">
        <f>'RESUMEN TOTAL'!D111</f>
        <v>Eva Peron y Cariboni</v>
      </c>
      <c r="D107" t="str">
        <f>'RESUMEN TOTAL'!E111</f>
        <v>Domo</v>
      </c>
      <c r="E107" t="str">
        <f>'RESUMEN TOTAL'!F111</f>
        <v>Radio</v>
      </c>
      <c r="F107">
        <f>'RESUMEN TOTAL'!K111</f>
        <v>0</v>
      </c>
      <c r="G107">
        <f>'RESUMEN TOTAL'!L111</f>
        <v>0</v>
      </c>
      <c r="H107">
        <f>'RESUMEN TOTAL'!M111</f>
        <v>0</v>
      </c>
      <c r="I107">
        <f>'RESUMEN TOTAL'!N111</f>
        <v>0</v>
      </c>
      <c r="J107">
        <f>'RESUMEN TOTAL'!O111</f>
        <v>0</v>
      </c>
      <c r="K107">
        <f>'RESUMEN TOTAL'!P111</f>
        <v>0</v>
      </c>
      <c r="L107">
        <f>'RESUMEN TOTAL'!Q111</f>
        <v>0</v>
      </c>
      <c r="M107">
        <f>'RESUMEN TOTAL'!R111</f>
        <v>0</v>
      </c>
      <c r="N107">
        <f>'RESUMEN TOTAL'!S111</f>
        <v>0</v>
      </c>
      <c r="O107">
        <f>'RESUMEN TOTAL'!T111</f>
        <v>0</v>
      </c>
      <c r="P107">
        <f>'RESUMEN TOTAL'!U111</f>
        <v>0</v>
      </c>
      <c r="Q107">
        <f>'RESUMEN TOTAL'!V111</f>
        <v>0</v>
      </c>
      <c r="R107">
        <f>'RESUMEN TOTAL'!W111</f>
        <v>0</v>
      </c>
      <c r="S107">
        <f>'RESUMEN TOTAL'!X111</f>
        <v>0</v>
      </c>
      <c r="T107">
        <f>'RESUMEN TOTAL'!Y111</f>
        <v>0</v>
      </c>
      <c r="U107">
        <f>'RESUMEN TOTAL'!Z111</f>
        <v>0</v>
      </c>
      <c r="V107">
        <f>'RESUMEN TOTAL'!AA111</f>
        <v>0</v>
      </c>
      <c r="W107">
        <f>'RESUMEN TOTAL'!AB111</f>
        <v>0</v>
      </c>
      <c r="X107">
        <f>'RESUMEN TOTAL'!AC111</f>
        <v>0</v>
      </c>
      <c r="Y107">
        <f>'RESUMEN TOTAL'!AD111</f>
        <v>0</v>
      </c>
      <c r="Z107">
        <f>'RESUMEN TOTAL'!AE111</f>
        <v>0</v>
      </c>
      <c r="AA107">
        <f>'RESUMEN TOTAL'!AF111</f>
        <v>0</v>
      </c>
      <c r="AB107">
        <f>'RESUMEN TOTAL'!AG111</f>
        <v>0</v>
      </c>
      <c r="AC107">
        <f>'RESUMEN TOTAL'!AH111</f>
        <v>0</v>
      </c>
      <c r="AD107">
        <f>'RESUMEN TOTAL'!AI111</f>
        <v>0</v>
      </c>
      <c r="AE107">
        <f>'RESUMEN TOTAL'!AJ111</f>
        <v>0</v>
      </c>
      <c r="AF107">
        <f>'RESUMEN TOTAL'!AK111</f>
        <v>0</v>
      </c>
      <c r="AG107">
        <f>'RESUMEN TOTAL'!AL111</f>
        <v>0</v>
      </c>
      <c r="AH107">
        <f>'RESUMEN TOTAL'!AM111</f>
        <v>0</v>
      </c>
      <c r="AI107">
        <f>'RESUMEN TOTAL'!AN111</f>
        <v>0</v>
      </c>
    </row>
    <row r="108" spans="1:35" x14ac:dyDescent="0.3">
      <c r="A108" t="str">
        <f>'RESUMEN TOTAL'!A112</f>
        <v>LA COLORADA ESTE</v>
      </c>
      <c r="B108" t="str">
        <f>'RESUMEN TOTAL'!B112</f>
        <v>COL02</v>
      </c>
      <c r="C108" t="str">
        <f>'RESUMEN TOTAL'!D112</f>
        <v>Av. Eva Peron y Pompeya</v>
      </c>
      <c r="D108" t="str">
        <f>'RESUMEN TOTAL'!E112</f>
        <v>Domo</v>
      </c>
      <c r="E108" t="str">
        <f>'RESUMEN TOTAL'!F112</f>
        <v>Radio</v>
      </c>
      <c r="F108">
        <f>'RESUMEN TOTAL'!K112</f>
        <v>0</v>
      </c>
      <c r="G108">
        <f>'RESUMEN TOTAL'!L112</f>
        <v>0</v>
      </c>
      <c r="H108">
        <f>'RESUMEN TOTAL'!M112</f>
        <v>0</v>
      </c>
      <c r="I108">
        <f>'RESUMEN TOTAL'!N112</f>
        <v>0</v>
      </c>
      <c r="J108">
        <f>'RESUMEN TOTAL'!O112</f>
        <v>0</v>
      </c>
      <c r="K108">
        <f>'RESUMEN TOTAL'!P112</f>
        <v>0</v>
      </c>
      <c r="L108">
        <f>'RESUMEN TOTAL'!Q112</f>
        <v>0</v>
      </c>
      <c r="M108">
        <f>'RESUMEN TOTAL'!R112</f>
        <v>0</v>
      </c>
      <c r="N108">
        <f>'RESUMEN TOTAL'!S112</f>
        <v>0</v>
      </c>
      <c r="O108">
        <f>'RESUMEN TOTAL'!T112</f>
        <v>0</v>
      </c>
      <c r="P108">
        <f>'RESUMEN TOTAL'!U112</f>
        <v>0</v>
      </c>
      <c r="Q108">
        <f>'RESUMEN TOTAL'!V112</f>
        <v>0</v>
      </c>
      <c r="R108">
        <f>'RESUMEN TOTAL'!W112</f>
        <v>0</v>
      </c>
      <c r="S108">
        <f>'RESUMEN TOTAL'!X112</f>
        <v>0</v>
      </c>
      <c r="T108">
        <f>'RESUMEN TOTAL'!Y112</f>
        <v>0</v>
      </c>
      <c r="U108">
        <f>'RESUMEN TOTAL'!Z112</f>
        <v>0</v>
      </c>
      <c r="V108">
        <f>'RESUMEN TOTAL'!AA112</f>
        <v>0</v>
      </c>
      <c r="W108">
        <f>'RESUMEN TOTAL'!AB112</f>
        <v>0</v>
      </c>
      <c r="X108">
        <f>'RESUMEN TOTAL'!AC112</f>
        <v>0</v>
      </c>
      <c r="Y108">
        <f>'RESUMEN TOTAL'!AD112</f>
        <v>0</v>
      </c>
      <c r="Z108">
        <f>'RESUMEN TOTAL'!AE112</f>
        <v>0</v>
      </c>
      <c r="AA108">
        <f>'RESUMEN TOTAL'!AF112</f>
        <v>0</v>
      </c>
      <c r="AB108">
        <f>'RESUMEN TOTAL'!AG112</f>
        <v>0</v>
      </c>
      <c r="AC108">
        <f>'RESUMEN TOTAL'!AH112</f>
        <v>0</v>
      </c>
      <c r="AD108">
        <f>'RESUMEN TOTAL'!AI112</f>
        <v>0</v>
      </c>
      <c r="AE108">
        <f>'RESUMEN TOTAL'!AJ112</f>
        <v>0</v>
      </c>
      <c r="AF108">
        <f>'RESUMEN TOTAL'!AK112</f>
        <v>0</v>
      </c>
      <c r="AG108">
        <f>'RESUMEN TOTAL'!AL112</f>
        <v>0</v>
      </c>
      <c r="AH108">
        <f>'RESUMEN TOTAL'!AM112</f>
        <v>0</v>
      </c>
      <c r="AI108">
        <f>'RESUMEN TOTAL'!AN112</f>
        <v>0</v>
      </c>
    </row>
    <row r="109" spans="1:35" x14ac:dyDescent="0.3">
      <c r="A109" t="str">
        <f>'RESUMEN TOTAL'!A113</f>
        <v>DON JOSE</v>
      </c>
      <c r="B109" t="str">
        <f>'RESUMEN TOTAL'!B113</f>
        <v>DJO01</v>
      </c>
      <c r="C109" t="str">
        <f>'RESUMEN TOTAL'!D113</f>
        <v>Monteverde y Donato Alvarez</v>
      </c>
      <c r="D109" t="str">
        <f>'RESUMEN TOTAL'!E113</f>
        <v>Domo</v>
      </c>
      <c r="E109" t="str">
        <f>'RESUMEN TOTAL'!F113</f>
        <v>RADIO</v>
      </c>
      <c r="F109">
        <f>'RESUMEN TOTAL'!K113</f>
        <v>0</v>
      </c>
      <c r="G109">
        <f>'RESUMEN TOTAL'!L113</f>
        <v>0</v>
      </c>
      <c r="H109">
        <f>'RESUMEN TOTAL'!M113</f>
        <v>0</v>
      </c>
      <c r="I109">
        <f>'RESUMEN TOTAL'!N113</f>
        <v>0</v>
      </c>
      <c r="J109">
        <f>'RESUMEN TOTAL'!O113</f>
        <v>0</v>
      </c>
      <c r="K109">
        <f>'RESUMEN TOTAL'!P113</f>
        <v>0</v>
      </c>
      <c r="L109">
        <f>'RESUMEN TOTAL'!Q113</f>
        <v>0</v>
      </c>
      <c r="M109">
        <f>'RESUMEN TOTAL'!R113</f>
        <v>0</v>
      </c>
      <c r="N109">
        <f>'RESUMEN TOTAL'!S113</f>
        <v>0</v>
      </c>
      <c r="O109">
        <f>'RESUMEN TOTAL'!T113</f>
        <v>0</v>
      </c>
      <c r="P109">
        <f>'RESUMEN TOTAL'!U113</f>
        <v>0</v>
      </c>
      <c r="Q109">
        <f>'RESUMEN TOTAL'!V113</f>
        <v>0</v>
      </c>
      <c r="R109">
        <f>'RESUMEN TOTAL'!W113</f>
        <v>0</v>
      </c>
      <c r="S109">
        <f>'RESUMEN TOTAL'!X113</f>
        <v>0</v>
      </c>
      <c r="T109">
        <f>'RESUMEN TOTAL'!Y113</f>
        <v>0</v>
      </c>
      <c r="U109">
        <f>'RESUMEN TOTAL'!Z113</f>
        <v>0</v>
      </c>
      <c r="V109">
        <f>'RESUMEN TOTAL'!AA113</f>
        <v>0</v>
      </c>
      <c r="W109">
        <f>'RESUMEN TOTAL'!AB113</f>
        <v>0</v>
      </c>
      <c r="X109">
        <f>'RESUMEN TOTAL'!AC113</f>
        <v>0</v>
      </c>
      <c r="Y109">
        <f>'RESUMEN TOTAL'!AD113</f>
        <v>0</v>
      </c>
      <c r="Z109">
        <f>'RESUMEN TOTAL'!AE113</f>
        <v>0</v>
      </c>
      <c r="AA109">
        <f>'RESUMEN TOTAL'!AF113</f>
        <v>0</v>
      </c>
      <c r="AB109">
        <f>'RESUMEN TOTAL'!AG113</f>
        <v>0</v>
      </c>
      <c r="AC109">
        <f>'RESUMEN TOTAL'!AH113</f>
        <v>0</v>
      </c>
      <c r="AD109">
        <f>'RESUMEN TOTAL'!AI113</f>
        <v>0</v>
      </c>
      <c r="AE109">
        <f>'RESUMEN TOTAL'!AJ113</f>
        <v>0</v>
      </c>
      <c r="AF109">
        <f>'RESUMEN TOTAL'!AK113</f>
        <v>0</v>
      </c>
      <c r="AG109">
        <f>'RESUMEN TOTAL'!AL113</f>
        <v>0</v>
      </c>
      <c r="AH109">
        <f>'RESUMEN TOTAL'!AM113</f>
        <v>0</v>
      </c>
      <c r="AI109">
        <f>'RESUMEN TOTAL'!AN113</f>
        <v>0</v>
      </c>
    </row>
    <row r="110" spans="1:35" x14ac:dyDescent="0.3">
      <c r="A110" t="str">
        <f>'RESUMEN TOTAL'!A114</f>
        <v>DON JOSE</v>
      </c>
      <c r="B110" t="str">
        <f>'RESUMEN TOTAL'!B114</f>
        <v>DJO 02 (fija 1)</v>
      </c>
      <c r="C110" t="str">
        <f>'RESUMEN TOTAL'!D114</f>
        <v>DONATO ALVAREZ Y EL APERO</v>
      </c>
      <c r="D110" t="str">
        <f>'RESUMEN TOTAL'!E114</f>
        <v>Fija</v>
      </c>
      <c r="E110" t="str">
        <f>'RESUMEN TOTAL'!F114</f>
        <v>PTO A FO</v>
      </c>
      <c r="F110">
        <f>'RESUMEN TOTAL'!K114</f>
        <v>0</v>
      </c>
      <c r="G110">
        <f>'RESUMEN TOTAL'!L114</f>
        <v>0</v>
      </c>
      <c r="H110">
        <f>'RESUMEN TOTAL'!M114</f>
        <v>0</v>
      </c>
      <c r="I110">
        <f>'RESUMEN TOTAL'!N114</f>
        <v>0</v>
      </c>
      <c r="J110">
        <f>'RESUMEN TOTAL'!O114</f>
        <v>0</v>
      </c>
      <c r="K110">
        <f>'RESUMEN TOTAL'!P114</f>
        <v>0</v>
      </c>
      <c r="L110">
        <f>'RESUMEN TOTAL'!Q114</f>
        <v>0</v>
      </c>
      <c r="M110">
        <f>'RESUMEN TOTAL'!R114</f>
        <v>0</v>
      </c>
      <c r="N110">
        <f>'RESUMEN TOTAL'!S114</f>
        <v>0</v>
      </c>
      <c r="O110">
        <f>'RESUMEN TOTAL'!T114</f>
        <v>0</v>
      </c>
      <c r="P110">
        <f>'RESUMEN TOTAL'!U114</f>
        <v>0</v>
      </c>
      <c r="Q110">
        <f>'RESUMEN TOTAL'!V114</f>
        <v>0</v>
      </c>
      <c r="R110">
        <f>'RESUMEN TOTAL'!W114</f>
        <v>0</v>
      </c>
      <c r="S110">
        <f>'RESUMEN TOTAL'!X114</f>
        <v>0</v>
      </c>
      <c r="T110">
        <f>'RESUMEN TOTAL'!Y114</f>
        <v>0</v>
      </c>
      <c r="U110">
        <f>'RESUMEN TOTAL'!Z114</f>
        <v>0</v>
      </c>
      <c r="V110">
        <f>'RESUMEN TOTAL'!AA114</f>
        <v>0</v>
      </c>
      <c r="W110">
        <f>'RESUMEN TOTAL'!AB114</f>
        <v>0</v>
      </c>
      <c r="X110">
        <f>'RESUMEN TOTAL'!AC114</f>
        <v>0</v>
      </c>
      <c r="Y110">
        <f>'RESUMEN TOTAL'!AD114</f>
        <v>0</v>
      </c>
      <c r="Z110">
        <f>'RESUMEN TOTAL'!AE114</f>
        <v>0</v>
      </c>
      <c r="AA110">
        <f>'RESUMEN TOTAL'!AF114</f>
        <v>0</v>
      </c>
      <c r="AB110">
        <f>'RESUMEN TOTAL'!AG114</f>
        <v>0</v>
      </c>
      <c r="AC110">
        <f>'RESUMEN TOTAL'!AH114</f>
        <v>0</v>
      </c>
      <c r="AD110">
        <f>'RESUMEN TOTAL'!AI114</f>
        <v>0</v>
      </c>
      <c r="AE110">
        <f>'RESUMEN TOTAL'!AJ114</f>
        <v>0</v>
      </c>
      <c r="AF110">
        <f>'RESUMEN TOTAL'!AK114</f>
        <v>0</v>
      </c>
      <c r="AG110">
        <f>'RESUMEN TOTAL'!AL114</f>
        <v>0</v>
      </c>
      <c r="AH110">
        <f>'RESUMEN TOTAL'!AM114</f>
        <v>0</v>
      </c>
      <c r="AI110">
        <f>'RESUMEN TOTAL'!AN114</f>
        <v>0</v>
      </c>
    </row>
    <row r="111" spans="1:35" x14ac:dyDescent="0.3">
      <c r="A111" t="str">
        <f>'RESUMEN TOTAL'!A115</f>
        <v>DON JOSE</v>
      </c>
      <c r="B111" t="str">
        <f>'RESUMEN TOTAL'!B115</f>
        <v>DJO 03 (fija 2)</v>
      </c>
      <c r="C111" t="str">
        <f>'RESUMEN TOTAL'!D115</f>
        <v>DONATO ALVAREZ Y EL APERO</v>
      </c>
      <c r="D111" t="str">
        <f>'RESUMEN TOTAL'!E115</f>
        <v>Fija</v>
      </c>
      <c r="E111" t="str">
        <f>'RESUMEN TOTAL'!F115</f>
        <v>PTO A FO</v>
      </c>
      <c r="F111">
        <f>'RESUMEN TOTAL'!K115</f>
        <v>0</v>
      </c>
      <c r="G111">
        <f>'RESUMEN TOTAL'!L115</f>
        <v>0</v>
      </c>
      <c r="H111">
        <f>'RESUMEN TOTAL'!M115</f>
        <v>0</v>
      </c>
      <c r="I111">
        <f>'RESUMEN TOTAL'!N115</f>
        <v>0</v>
      </c>
      <c r="J111">
        <f>'RESUMEN TOTAL'!O115</f>
        <v>0</v>
      </c>
      <c r="K111">
        <f>'RESUMEN TOTAL'!P115</f>
        <v>0</v>
      </c>
      <c r="L111">
        <f>'RESUMEN TOTAL'!Q115</f>
        <v>0</v>
      </c>
      <c r="M111">
        <f>'RESUMEN TOTAL'!R115</f>
        <v>0</v>
      </c>
      <c r="N111">
        <f>'RESUMEN TOTAL'!S115</f>
        <v>0</v>
      </c>
      <c r="O111">
        <f>'RESUMEN TOTAL'!T115</f>
        <v>0</v>
      </c>
      <c r="P111">
        <f>'RESUMEN TOTAL'!U115</f>
        <v>0</v>
      </c>
      <c r="Q111">
        <f>'RESUMEN TOTAL'!V115</f>
        <v>0</v>
      </c>
      <c r="R111">
        <f>'RESUMEN TOTAL'!W115</f>
        <v>0</v>
      </c>
      <c r="S111">
        <f>'RESUMEN TOTAL'!X115</f>
        <v>0</v>
      </c>
      <c r="T111">
        <f>'RESUMEN TOTAL'!Y115</f>
        <v>0</v>
      </c>
      <c r="U111">
        <f>'RESUMEN TOTAL'!Z115</f>
        <v>0</v>
      </c>
      <c r="V111">
        <f>'RESUMEN TOTAL'!AA115</f>
        <v>0</v>
      </c>
      <c r="W111">
        <f>'RESUMEN TOTAL'!AB115</f>
        <v>0</v>
      </c>
      <c r="X111">
        <f>'RESUMEN TOTAL'!AC115</f>
        <v>0</v>
      </c>
      <c r="Y111">
        <f>'RESUMEN TOTAL'!AD115</f>
        <v>0</v>
      </c>
      <c r="Z111">
        <f>'RESUMEN TOTAL'!AE115</f>
        <v>0</v>
      </c>
      <c r="AA111">
        <f>'RESUMEN TOTAL'!AF115</f>
        <v>0</v>
      </c>
      <c r="AB111">
        <f>'RESUMEN TOTAL'!AG115</f>
        <v>0</v>
      </c>
      <c r="AC111">
        <f>'RESUMEN TOTAL'!AH115</f>
        <v>0</v>
      </c>
      <c r="AD111">
        <f>'RESUMEN TOTAL'!AI115</f>
        <v>0</v>
      </c>
      <c r="AE111">
        <f>'RESUMEN TOTAL'!AJ115</f>
        <v>0</v>
      </c>
      <c r="AF111">
        <f>'RESUMEN TOTAL'!AK115</f>
        <v>0</v>
      </c>
      <c r="AG111">
        <f>'RESUMEN TOTAL'!AL115</f>
        <v>0</v>
      </c>
      <c r="AH111">
        <f>'RESUMEN TOTAL'!AM115</f>
        <v>0</v>
      </c>
      <c r="AI111">
        <f>'RESUMEN TOTAL'!AN115</f>
        <v>0</v>
      </c>
    </row>
    <row r="112" spans="1:35" x14ac:dyDescent="0.3">
      <c r="A112" t="str">
        <f>'RESUMEN TOTAL'!A116</f>
        <v>DON JOSE</v>
      </c>
      <c r="B112" t="str">
        <f>'RESUMEN TOTAL'!B116</f>
        <v>DJO 04 (Fija 1)</v>
      </c>
      <c r="C112" t="str">
        <f>'RESUMEN TOTAL'!D116</f>
        <v>MONTEVERDE Y EL INDIO</v>
      </c>
      <c r="D112" t="str">
        <f>'RESUMEN TOTAL'!E116</f>
        <v>Fija</v>
      </c>
      <c r="E112" t="str">
        <f>'RESUMEN TOTAL'!F116</f>
        <v>Radio</v>
      </c>
      <c r="F112" t="str">
        <f>'RESUMEN TOTAL'!K116</f>
        <v>APAGADO</v>
      </c>
      <c r="G112" t="str">
        <f>'RESUMEN TOTAL'!L116</f>
        <v>APAGADO</v>
      </c>
      <c r="H112">
        <f>'RESUMEN TOTAL'!M116</f>
        <v>0</v>
      </c>
      <c r="I112">
        <f>'RESUMEN TOTAL'!N116</f>
        <v>0</v>
      </c>
      <c r="J112">
        <f>'RESUMEN TOTAL'!O116</f>
        <v>0</v>
      </c>
      <c r="K112">
        <f>'RESUMEN TOTAL'!P116</f>
        <v>0</v>
      </c>
      <c r="L112">
        <f>'RESUMEN TOTAL'!Q116</f>
        <v>0</v>
      </c>
      <c r="M112">
        <f>'RESUMEN TOTAL'!R116</f>
        <v>0</v>
      </c>
      <c r="N112">
        <f>'RESUMEN TOTAL'!S116</f>
        <v>0</v>
      </c>
      <c r="O112" t="str">
        <f>'RESUMEN TOTAL'!T116</f>
        <v>APAGADO</v>
      </c>
      <c r="P112" t="str">
        <f>'RESUMEN TOTAL'!U116</f>
        <v>APAGADO</v>
      </c>
      <c r="Q112">
        <f>'RESUMEN TOTAL'!V116</f>
        <v>0</v>
      </c>
      <c r="R112">
        <f>'RESUMEN TOTAL'!W116</f>
        <v>0</v>
      </c>
      <c r="S112">
        <f>'RESUMEN TOTAL'!X116</f>
        <v>0</v>
      </c>
      <c r="T112">
        <f>'RESUMEN TOTAL'!Y116</f>
        <v>0</v>
      </c>
      <c r="U112">
        <f>'RESUMEN TOTAL'!Z116</f>
        <v>0</v>
      </c>
      <c r="V112" t="str">
        <f>'RESUMEN TOTAL'!AA116</f>
        <v>APAGADO</v>
      </c>
      <c r="W112" t="str">
        <f>'RESUMEN TOTAL'!AB116</f>
        <v>APAGADO</v>
      </c>
      <c r="X112" t="str">
        <f>'RESUMEN TOTAL'!AC116</f>
        <v>APAGADO</v>
      </c>
      <c r="Y112">
        <f>'RESUMEN TOTAL'!AD116</f>
        <v>0</v>
      </c>
      <c r="Z112">
        <f>'RESUMEN TOTAL'!AE116</f>
        <v>0</v>
      </c>
      <c r="AA112">
        <f>'RESUMEN TOTAL'!AF116</f>
        <v>0</v>
      </c>
      <c r="AB112">
        <f>'RESUMEN TOTAL'!AG116</f>
        <v>0</v>
      </c>
      <c r="AC112">
        <f>'RESUMEN TOTAL'!AH116</f>
        <v>0</v>
      </c>
      <c r="AD112">
        <f>'RESUMEN TOTAL'!AI116</f>
        <v>0</v>
      </c>
      <c r="AE112">
        <f>'RESUMEN TOTAL'!AJ116</f>
        <v>0</v>
      </c>
      <c r="AF112">
        <f>'RESUMEN TOTAL'!AK116</f>
        <v>0</v>
      </c>
      <c r="AG112">
        <f>'RESUMEN TOTAL'!AL116</f>
        <v>0</v>
      </c>
      <c r="AH112">
        <f>'RESUMEN TOTAL'!AM116</f>
        <v>0</v>
      </c>
      <c r="AI112">
        <f>'RESUMEN TOTAL'!AN116</f>
        <v>0</v>
      </c>
    </row>
    <row r="113" spans="1:35" x14ac:dyDescent="0.3">
      <c r="A113" t="str">
        <f>'RESUMEN TOTAL'!A117</f>
        <v>DON JOSE</v>
      </c>
      <c r="B113" t="str">
        <f>'RESUMEN TOTAL'!B117</f>
        <v>DJO 05 (Fija 2)</v>
      </c>
      <c r="C113" t="str">
        <f>'RESUMEN TOTAL'!D117</f>
        <v>MONTEVERDE Y EL INDIO</v>
      </c>
      <c r="D113" t="str">
        <f>'RESUMEN TOTAL'!E117</f>
        <v>Fija</v>
      </c>
      <c r="E113" t="str">
        <f>'RESUMEN TOTAL'!F117</f>
        <v>Radio</v>
      </c>
      <c r="F113" t="str">
        <f>'RESUMEN TOTAL'!K117</f>
        <v>APAGADO</v>
      </c>
      <c r="G113" t="str">
        <f>'RESUMEN TOTAL'!L117</f>
        <v>APAGADO</v>
      </c>
      <c r="H113" t="str">
        <f>'RESUMEN TOTAL'!M117</f>
        <v>APAGADO</v>
      </c>
      <c r="I113">
        <f>'RESUMEN TOTAL'!N117</f>
        <v>0</v>
      </c>
      <c r="J113">
        <f>'RESUMEN TOTAL'!O117</f>
        <v>0</v>
      </c>
      <c r="K113">
        <f>'RESUMEN TOTAL'!P117</f>
        <v>0</v>
      </c>
      <c r="L113">
        <f>'RESUMEN TOTAL'!Q117</f>
        <v>0</v>
      </c>
      <c r="M113">
        <f>'RESUMEN TOTAL'!R117</f>
        <v>0</v>
      </c>
      <c r="N113">
        <f>'RESUMEN TOTAL'!S117</f>
        <v>0</v>
      </c>
      <c r="O113" t="str">
        <f>'RESUMEN TOTAL'!T117</f>
        <v>APAGADO</v>
      </c>
      <c r="P113" t="str">
        <f>'RESUMEN TOTAL'!U117</f>
        <v>APAGADO</v>
      </c>
      <c r="Q113">
        <f>'RESUMEN TOTAL'!V117</f>
        <v>0</v>
      </c>
      <c r="R113">
        <f>'RESUMEN TOTAL'!W117</f>
        <v>0</v>
      </c>
      <c r="S113">
        <f>'RESUMEN TOTAL'!X117</f>
        <v>0</v>
      </c>
      <c r="T113">
        <f>'RESUMEN TOTAL'!Y117</f>
        <v>0</v>
      </c>
      <c r="U113">
        <f>'RESUMEN TOTAL'!Z117</f>
        <v>0</v>
      </c>
      <c r="V113" t="str">
        <f>'RESUMEN TOTAL'!AA117</f>
        <v>APAGADO</v>
      </c>
      <c r="W113" t="str">
        <f>'RESUMEN TOTAL'!AB117</f>
        <v>APAGADO</v>
      </c>
      <c r="X113" t="str">
        <f>'RESUMEN TOTAL'!AC117</f>
        <v>APAGADO</v>
      </c>
      <c r="Y113">
        <f>'RESUMEN TOTAL'!AD117</f>
        <v>0</v>
      </c>
      <c r="Z113">
        <f>'RESUMEN TOTAL'!AE117</f>
        <v>0</v>
      </c>
      <c r="AA113">
        <f>'RESUMEN TOTAL'!AF117</f>
        <v>0</v>
      </c>
      <c r="AB113">
        <f>'RESUMEN TOTAL'!AG117</f>
        <v>0</v>
      </c>
      <c r="AC113">
        <f>'RESUMEN TOTAL'!AH117</f>
        <v>0</v>
      </c>
      <c r="AD113">
        <f>'RESUMEN TOTAL'!AI117</f>
        <v>0</v>
      </c>
      <c r="AE113">
        <f>'RESUMEN TOTAL'!AJ117</f>
        <v>0</v>
      </c>
      <c r="AF113">
        <f>'RESUMEN TOTAL'!AK117</f>
        <v>0</v>
      </c>
      <c r="AG113">
        <f>'RESUMEN TOTAL'!AL117</f>
        <v>0</v>
      </c>
      <c r="AH113">
        <f>'RESUMEN TOTAL'!AM117</f>
        <v>0</v>
      </c>
      <c r="AI113">
        <f>'RESUMEN TOTAL'!AN117</f>
        <v>0</v>
      </c>
    </row>
    <row r="114" spans="1:35" x14ac:dyDescent="0.3">
      <c r="A114" t="str">
        <f>'RESUMEN TOTAL'!A118</f>
        <v>DON JOSE</v>
      </c>
      <c r="B114" t="str">
        <f>'RESUMEN TOTAL'!B118</f>
        <v>DJ O6</v>
      </c>
      <c r="C114" t="str">
        <f>'RESUMEN TOTAL'!D118</f>
        <v>Calle 414 y El Indio</v>
      </c>
      <c r="D114" t="str">
        <f>'RESUMEN TOTAL'!E118</f>
        <v>Fija</v>
      </c>
      <c r="E114" t="str">
        <f>'RESUMEN TOTAL'!F118</f>
        <v>Radio</v>
      </c>
      <c r="F114">
        <f>'RESUMEN TOTAL'!K118</f>
        <v>0</v>
      </c>
      <c r="G114">
        <f>'RESUMEN TOTAL'!L118</f>
        <v>0</v>
      </c>
      <c r="H114">
        <f>'RESUMEN TOTAL'!M118</f>
        <v>0</v>
      </c>
      <c r="I114">
        <f>'RESUMEN TOTAL'!N118</f>
        <v>0</v>
      </c>
      <c r="J114">
        <f>'RESUMEN TOTAL'!O118</f>
        <v>0</v>
      </c>
      <c r="K114">
        <f>'RESUMEN TOTAL'!P118</f>
        <v>0</v>
      </c>
      <c r="L114">
        <f>'RESUMEN TOTAL'!Q118</f>
        <v>0</v>
      </c>
      <c r="M114">
        <f>'RESUMEN TOTAL'!R118</f>
        <v>0</v>
      </c>
      <c r="N114">
        <f>'RESUMEN TOTAL'!S118</f>
        <v>0</v>
      </c>
      <c r="O114">
        <f>'RESUMEN TOTAL'!T118</f>
        <v>0</v>
      </c>
      <c r="P114">
        <f>'RESUMEN TOTAL'!U118</f>
        <v>0</v>
      </c>
      <c r="Q114">
        <f>'RESUMEN TOTAL'!V118</f>
        <v>0</v>
      </c>
      <c r="R114">
        <f>'RESUMEN TOTAL'!W118</f>
        <v>0</v>
      </c>
      <c r="S114">
        <f>'RESUMEN TOTAL'!X118</f>
        <v>0</v>
      </c>
      <c r="T114">
        <f>'RESUMEN TOTAL'!Y118</f>
        <v>0</v>
      </c>
      <c r="U114">
        <f>'RESUMEN TOTAL'!Z118</f>
        <v>0</v>
      </c>
      <c r="V114">
        <f>'RESUMEN TOTAL'!AA118</f>
        <v>0</v>
      </c>
      <c r="W114">
        <f>'RESUMEN TOTAL'!AB118</f>
        <v>0</v>
      </c>
      <c r="X114">
        <f>'RESUMEN TOTAL'!AC118</f>
        <v>0</v>
      </c>
      <c r="Y114">
        <f>'RESUMEN TOTAL'!AD118</f>
        <v>0</v>
      </c>
      <c r="Z114">
        <f>'RESUMEN TOTAL'!AE118</f>
        <v>0</v>
      </c>
      <c r="AA114">
        <f>'RESUMEN TOTAL'!AF118</f>
        <v>0</v>
      </c>
      <c r="AB114">
        <f>'RESUMEN TOTAL'!AG118</f>
        <v>0</v>
      </c>
      <c r="AC114">
        <f>'RESUMEN TOTAL'!AH118</f>
        <v>0</v>
      </c>
      <c r="AD114">
        <f>'RESUMEN TOTAL'!AI118</f>
        <v>0</v>
      </c>
      <c r="AE114">
        <f>'RESUMEN TOTAL'!AJ118</f>
        <v>0</v>
      </c>
      <c r="AF114">
        <f>'RESUMEN TOTAL'!AK118</f>
        <v>0</v>
      </c>
      <c r="AG114">
        <f>'RESUMEN TOTAL'!AL118</f>
        <v>0</v>
      </c>
      <c r="AH114">
        <f>'RESUMEN TOTAL'!AM118</f>
        <v>0</v>
      </c>
      <c r="AI114">
        <f>'RESUMEN TOTAL'!AN118</f>
        <v>0</v>
      </c>
    </row>
    <row r="115" spans="1:35" x14ac:dyDescent="0.3">
      <c r="A115" t="str">
        <f>'RESUMEN TOTAL'!A119</f>
        <v>DON JOSE</v>
      </c>
      <c r="B115" t="str">
        <f>'RESUMEN TOTAL'!B119</f>
        <v>DJ 07</v>
      </c>
      <c r="C115" t="str">
        <f>'RESUMEN TOTAL'!D119</f>
        <v>Calle 414 y El Indio</v>
      </c>
      <c r="D115" t="str">
        <f>'RESUMEN TOTAL'!E119</f>
        <v>Fija</v>
      </c>
      <c r="E115" t="str">
        <f>'RESUMEN TOTAL'!F119</f>
        <v>Radio</v>
      </c>
      <c r="F115">
        <f>'RESUMEN TOTAL'!K119</f>
        <v>0</v>
      </c>
      <c r="G115">
        <f>'RESUMEN TOTAL'!L119</f>
        <v>0</v>
      </c>
      <c r="H115">
        <f>'RESUMEN TOTAL'!M119</f>
        <v>0</v>
      </c>
      <c r="I115">
        <f>'RESUMEN TOTAL'!N119</f>
        <v>0</v>
      </c>
      <c r="J115">
        <f>'RESUMEN TOTAL'!O119</f>
        <v>0</v>
      </c>
      <c r="K115">
        <f>'RESUMEN TOTAL'!P119</f>
        <v>0</v>
      </c>
      <c r="L115">
        <f>'RESUMEN TOTAL'!Q119</f>
        <v>0</v>
      </c>
      <c r="M115">
        <f>'RESUMEN TOTAL'!R119</f>
        <v>0</v>
      </c>
      <c r="N115">
        <f>'RESUMEN TOTAL'!S119</f>
        <v>0</v>
      </c>
      <c r="O115">
        <f>'RESUMEN TOTAL'!T119</f>
        <v>0</v>
      </c>
      <c r="P115">
        <f>'RESUMEN TOTAL'!U119</f>
        <v>0</v>
      </c>
      <c r="Q115">
        <f>'RESUMEN TOTAL'!V119</f>
        <v>0</v>
      </c>
      <c r="R115">
        <f>'RESUMEN TOTAL'!W119</f>
        <v>0</v>
      </c>
      <c r="S115">
        <f>'RESUMEN TOTAL'!X119</f>
        <v>0</v>
      </c>
      <c r="T115">
        <f>'RESUMEN TOTAL'!Y119</f>
        <v>0</v>
      </c>
      <c r="U115">
        <f>'RESUMEN TOTAL'!Z119</f>
        <v>0</v>
      </c>
      <c r="V115">
        <f>'RESUMEN TOTAL'!AA119</f>
        <v>0</v>
      </c>
      <c r="W115">
        <f>'RESUMEN TOTAL'!AB119</f>
        <v>0</v>
      </c>
      <c r="X115">
        <f>'RESUMEN TOTAL'!AC119</f>
        <v>0</v>
      </c>
      <c r="Y115">
        <f>'RESUMEN TOTAL'!AD119</f>
        <v>0</v>
      </c>
      <c r="Z115">
        <f>'RESUMEN TOTAL'!AE119</f>
        <v>0</v>
      </c>
      <c r="AA115">
        <f>'RESUMEN TOTAL'!AF119</f>
        <v>0</v>
      </c>
      <c r="AB115">
        <f>'RESUMEN TOTAL'!AG119</f>
        <v>0</v>
      </c>
      <c r="AC115">
        <f>'RESUMEN TOTAL'!AH119</f>
        <v>0</v>
      </c>
      <c r="AD115">
        <f>'RESUMEN TOTAL'!AI119</f>
        <v>0</v>
      </c>
      <c r="AE115">
        <f>'RESUMEN TOTAL'!AJ119</f>
        <v>0</v>
      </c>
      <c r="AF115">
        <f>'RESUMEN TOTAL'!AK119</f>
        <v>0</v>
      </c>
      <c r="AG115">
        <f>'RESUMEN TOTAL'!AL119</f>
        <v>0</v>
      </c>
      <c r="AH115">
        <f>'RESUMEN TOTAL'!AM119</f>
        <v>0</v>
      </c>
      <c r="AI115">
        <f>'RESUMEN TOTAL'!AN119</f>
        <v>0</v>
      </c>
    </row>
    <row r="116" spans="1:35" x14ac:dyDescent="0.3">
      <c r="A116" t="str">
        <f>'RESUMEN TOTAL'!A120</f>
        <v>EL PARQUE</v>
      </c>
      <c r="B116" t="str">
        <f>'RESUMEN TOTAL'!B120</f>
        <v>EPQ 01</v>
      </c>
      <c r="C116" t="str">
        <f>'RESUMEN TOTAL'!D120</f>
        <v>1282 Y GRIERSON</v>
      </c>
      <c r="D116" t="str">
        <f>'RESUMEN TOTAL'!E120</f>
        <v>DOMO</v>
      </c>
      <c r="E116" t="str">
        <f>'RESUMEN TOTAL'!F120</f>
        <v>Fibra Optica</v>
      </c>
      <c r="F116" t="str">
        <f>'RESUMEN TOTAL'!K120</f>
        <v>APAGADO</v>
      </c>
      <c r="G116">
        <f>'RESUMEN TOTAL'!L120</f>
        <v>0</v>
      </c>
      <c r="H116">
        <f>'RESUMEN TOTAL'!M120</f>
        <v>0</v>
      </c>
      <c r="I116">
        <f>'RESUMEN TOTAL'!N120</f>
        <v>0</v>
      </c>
      <c r="J116">
        <f>'RESUMEN TOTAL'!O120</f>
        <v>0</v>
      </c>
      <c r="K116">
        <f>'RESUMEN TOTAL'!P120</f>
        <v>0</v>
      </c>
      <c r="L116">
        <f>'RESUMEN TOTAL'!Q120</f>
        <v>0</v>
      </c>
      <c r="M116">
        <f>'RESUMEN TOTAL'!R120</f>
        <v>0</v>
      </c>
      <c r="N116">
        <f>'RESUMEN TOTAL'!S120</f>
        <v>0</v>
      </c>
      <c r="O116">
        <f>'RESUMEN TOTAL'!T120</f>
        <v>0</v>
      </c>
      <c r="P116">
        <f>'RESUMEN TOTAL'!U120</f>
        <v>0</v>
      </c>
      <c r="Q116">
        <f>'RESUMEN TOTAL'!V120</f>
        <v>0</v>
      </c>
      <c r="R116">
        <f>'RESUMEN TOTAL'!W120</f>
        <v>0</v>
      </c>
      <c r="S116">
        <f>'RESUMEN TOTAL'!X120</f>
        <v>0</v>
      </c>
      <c r="T116">
        <f>'RESUMEN TOTAL'!Y120</f>
        <v>0</v>
      </c>
      <c r="U116">
        <f>'RESUMEN TOTAL'!Z120</f>
        <v>0</v>
      </c>
      <c r="V116">
        <f>'RESUMEN TOTAL'!AA120</f>
        <v>0</v>
      </c>
      <c r="W116">
        <f>'RESUMEN TOTAL'!AB120</f>
        <v>0</v>
      </c>
      <c r="X116">
        <f>'RESUMEN TOTAL'!AC120</f>
        <v>0</v>
      </c>
      <c r="Y116">
        <f>'RESUMEN TOTAL'!AD120</f>
        <v>0</v>
      </c>
      <c r="Z116">
        <f>'RESUMEN TOTAL'!AE120</f>
        <v>0</v>
      </c>
      <c r="AA116">
        <f>'RESUMEN TOTAL'!AF120</f>
        <v>0</v>
      </c>
      <c r="AB116">
        <f>'RESUMEN TOTAL'!AG120</f>
        <v>0</v>
      </c>
      <c r="AC116">
        <f>'RESUMEN TOTAL'!AH120</f>
        <v>0</v>
      </c>
      <c r="AD116">
        <f>'RESUMEN TOTAL'!AI120</f>
        <v>0</v>
      </c>
      <c r="AE116">
        <f>'RESUMEN TOTAL'!AJ120</f>
        <v>0</v>
      </c>
      <c r="AF116">
        <f>'RESUMEN TOTAL'!AK120</f>
        <v>0</v>
      </c>
      <c r="AG116">
        <f>'RESUMEN TOTAL'!AL120</f>
        <v>0</v>
      </c>
      <c r="AH116">
        <f>'RESUMEN TOTAL'!AM120</f>
        <v>0</v>
      </c>
      <c r="AI116">
        <f>'RESUMEN TOTAL'!AN120</f>
        <v>0</v>
      </c>
    </row>
    <row r="117" spans="1:35" x14ac:dyDescent="0.3">
      <c r="A117" t="str">
        <f>'RESUMEN TOTAL'!A121</f>
        <v>EL PARQUE</v>
      </c>
      <c r="B117" t="str">
        <f>'RESUMEN TOTAL'!B121</f>
        <v>EPQ 02</v>
      </c>
      <c r="C117" t="str">
        <f>'RESUMEN TOTAL'!D121</f>
        <v>1282 Y MASSE</v>
      </c>
      <c r="D117" t="str">
        <f>'RESUMEN TOTAL'!E121</f>
        <v>DOMO</v>
      </c>
      <c r="E117" t="str">
        <f>'RESUMEN TOTAL'!F121</f>
        <v>Fibra Optica</v>
      </c>
      <c r="F117" t="str">
        <f>'RESUMEN TOTAL'!K121</f>
        <v>APAGADO</v>
      </c>
      <c r="G117">
        <f>'RESUMEN TOTAL'!L121</f>
        <v>0</v>
      </c>
      <c r="H117">
        <f>'RESUMEN TOTAL'!M121</f>
        <v>0</v>
      </c>
      <c r="I117">
        <f>'RESUMEN TOTAL'!N121</f>
        <v>0</v>
      </c>
      <c r="J117">
        <f>'RESUMEN TOTAL'!O121</f>
        <v>0</v>
      </c>
      <c r="K117">
        <f>'RESUMEN TOTAL'!P121</f>
        <v>0</v>
      </c>
      <c r="L117">
        <f>'RESUMEN TOTAL'!Q121</f>
        <v>0</v>
      </c>
      <c r="M117">
        <f>'RESUMEN TOTAL'!R121</f>
        <v>0</v>
      </c>
      <c r="N117">
        <f>'RESUMEN TOTAL'!S121</f>
        <v>0</v>
      </c>
      <c r="O117">
        <f>'RESUMEN TOTAL'!T121</f>
        <v>0</v>
      </c>
      <c r="P117">
        <f>'RESUMEN TOTAL'!U121</f>
        <v>0</v>
      </c>
      <c r="Q117">
        <f>'RESUMEN TOTAL'!V121</f>
        <v>0</v>
      </c>
      <c r="R117">
        <f>'RESUMEN TOTAL'!W121</f>
        <v>0</v>
      </c>
      <c r="S117">
        <f>'RESUMEN TOTAL'!X121</f>
        <v>0</v>
      </c>
      <c r="T117">
        <f>'RESUMEN TOTAL'!Y121</f>
        <v>0</v>
      </c>
      <c r="U117">
        <f>'RESUMEN TOTAL'!Z121</f>
        <v>0</v>
      </c>
      <c r="V117">
        <f>'RESUMEN TOTAL'!AA121</f>
        <v>0</v>
      </c>
      <c r="W117">
        <f>'RESUMEN TOTAL'!AB121</f>
        <v>0</v>
      </c>
      <c r="X117">
        <f>'RESUMEN TOTAL'!AC121</f>
        <v>0</v>
      </c>
      <c r="Y117">
        <f>'RESUMEN TOTAL'!AD121</f>
        <v>0</v>
      </c>
      <c r="Z117">
        <f>'RESUMEN TOTAL'!AE121</f>
        <v>0</v>
      </c>
      <c r="AA117">
        <f>'RESUMEN TOTAL'!AF121</f>
        <v>0</v>
      </c>
      <c r="AB117">
        <f>'RESUMEN TOTAL'!AG121</f>
        <v>0</v>
      </c>
      <c r="AC117">
        <f>'RESUMEN TOTAL'!AH121</f>
        <v>0</v>
      </c>
      <c r="AD117">
        <f>'RESUMEN TOTAL'!AI121</f>
        <v>0</v>
      </c>
      <c r="AE117">
        <f>'RESUMEN TOTAL'!AJ121</f>
        <v>0</v>
      </c>
      <c r="AF117">
        <f>'RESUMEN TOTAL'!AK121</f>
        <v>0</v>
      </c>
      <c r="AG117">
        <f>'RESUMEN TOTAL'!AL121</f>
        <v>0</v>
      </c>
      <c r="AH117">
        <f>'RESUMEN TOTAL'!AM121</f>
        <v>0</v>
      </c>
      <c r="AI117">
        <f>'RESUMEN TOTAL'!AN121</f>
        <v>0</v>
      </c>
    </row>
    <row r="118" spans="1:35" x14ac:dyDescent="0.3">
      <c r="A118" t="str">
        <f>'RESUMEN TOTAL'!A122</f>
        <v>EL PARQUE</v>
      </c>
      <c r="B118" t="str">
        <f>'RESUMEN TOTAL'!B122</f>
        <v>EPQ 03</v>
      </c>
      <c r="C118" t="str">
        <f>'RESUMEN TOTAL'!D122</f>
        <v>1282 Y RP 36</v>
      </c>
      <c r="D118" t="str">
        <f>'RESUMEN TOTAL'!E122</f>
        <v>Domo</v>
      </c>
      <c r="E118" t="str">
        <f>'RESUMEN TOTAL'!F122</f>
        <v>Fibra Optica</v>
      </c>
      <c r="F118" t="str">
        <f>'RESUMEN TOTAL'!K122</f>
        <v>APAGADO</v>
      </c>
      <c r="G118" t="str">
        <f>'RESUMEN TOTAL'!L122</f>
        <v>APAGADO</v>
      </c>
      <c r="H118">
        <f>'RESUMEN TOTAL'!M122</f>
        <v>0</v>
      </c>
      <c r="I118">
        <f>'RESUMEN TOTAL'!N122</f>
        <v>0</v>
      </c>
      <c r="J118">
        <f>'RESUMEN TOTAL'!O122</f>
        <v>0</v>
      </c>
      <c r="K118">
        <f>'RESUMEN TOTAL'!P122</f>
        <v>0</v>
      </c>
      <c r="L118">
        <f>'RESUMEN TOTAL'!Q122</f>
        <v>0</v>
      </c>
      <c r="M118">
        <f>'RESUMEN TOTAL'!R122</f>
        <v>0</v>
      </c>
      <c r="N118">
        <f>'RESUMEN TOTAL'!S122</f>
        <v>0</v>
      </c>
      <c r="O118">
        <f>'RESUMEN TOTAL'!T122</f>
        <v>0</v>
      </c>
      <c r="P118">
        <f>'RESUMEN TOTAL'!U122</f>
        <v>0</v>
      </c>
      <c r="Q118">
        <f>'RESUMEN TOTAL'!V122</f>
        <v>0</v>
      </c>
      <c r="R118">
        <f>'RESUMEN TOTAL'!W122</f>
        <v>0</v>
      </c>
      <c r="S118">
        <f>'RESUMEN TOTAL'!X122</f>
        <v>0</v>
      </c>
      <c r="T118">
        <f>'RESUMEN TOTAL'!Y122</f>
        <v>0</v>
      </c>
      <c r="U118">
        <f>'RESUMEN TOTAL'!Z122</f>
        <v>0</v>
      </c>
      <c r="V118">
        <f>'RESUMEN TOTAL'!AA122</f>
        <v>0</v>
      </c>
      <c r="W118">
        <f>'RESUMEN TOTAL'!AB122</f>
        <v>0</v>
      </c>
      <c r="X118">
        <f>'RESUMEN TOTAL'!AC122</f>
        <v>0</v>
      </c>
      <c r="Y118">
        <f>'RESUMEN TOTAL'!AD122</f>
        <v>0</v>
      </c>
      <c r="Z118">
        <f>'RESUMEN TOTAL'!AE122</f>
        <v>0</v>
      </c>
      <c r="AA118">
        <f>'RESUMEN TOTAL'!AF122</f>
        <v>0</v>
      </c>
      <c r="AB118">
        <f>'RESUMEN TOTAL'!AG122</f>
        <v>0</v>
      </c>
      <c r="AC118">
        <f>'RESUMEN TOTAL'!AH122</f>
        <v>0</v>
      </c>
      <c r="AD118">
        <f>'RESUMEN TOTAL'!AI122</f>
        <v>0</v>
      </c>
      <c r="AE118">
        <f>'RESUMEN TOTAL'!AJ122</f>
        <v>0</v>
      </c>
      <c r="AF118">
        <f>'RESUMEN TOTAL'!AK122</f>
        <v>0</v>
      </c>
      <c r="AG118">
        <f>'RESUMEN TOTAL'!AL122</f>
        <v>0</v>
      </c>
      <c r="AH118">
        <f>'RESUMEN TOTAL'!AM122</f>
        <v>0</v>
      </c>
      <c r="AI118">
        <f>'RESUMEN TOTAL'!AN122</f>
        <v>0</v>
      </c>
    </row>
    <row r="119" spans="1:35" x14ac:dyDescent="0.3">
      <c r="A119" t="str">
        <f>'RESUMEN TOTAL'!A123</f>
        <v>EL PARQUE</v>
      </c>
      <c r="B119" t="str">
        <f>'RESUMEN TOTAL'!B123</f>
        <v>EPQ 04</v>
      </c>
      <c r="C119" t="str">
        <f>'RESUMEN TOTAL'!D123</f>
        <v>1282 Y MORENO</v>
      </c>
      <c r="D119" t="str">
        <f>'RESUMEN TOTAL'!E123</f>
        <v>DOMO</v>
      </c>
      <c r="E119" t="str">
        <f>'RESUMEN TOTAL'!F123</f>
        <v>Fibra Optica</v>
      </c>
      <c r="F119" t="str">
        <f>'RESUMEN TOTAL'!K123</f>
        <v>APAGADO</v>
      </c>
      <c r="G119">
        <f>'RESUMEN TOTAL'!L123</f>
        <v>0</v>
      </c>
      <c r="H119">
        <f>'RESUMEN TOTAL'!M123</f>
        <v>0</v>
      </c>
      <c r="I119">
        <f>'RESUMEN TOTAL'!N123</f>
        <v>0</v>
      </c>
      <c r="J119">
        <f>'RESUMEN TOTAL'!O123</f>
        <v>0</v>
      </c>
      <c r="K119">
        <f>'RESUMEN TOTAL'!P123</f>
        <v>0</v>
      </c>
      <c r="L119">
        <f>'RESUMEN TOTAL'!Q123</f>
        <v>0</v>
      </c>
      <c r="M119">
        <f>'RESUMEN TOTAL'!R123</f>
        <v>0</v>
      </c>
      <c r="N119">
        <f>'RESUMEN TOTAL'!S123</f>
        <v>0</v>
      </c>
      <c r="O119">
        <f>'RESUMEN TOTAL'!T123</f>
        <v>0</v>
      </c>
      <c r="P119">
        <f>'RESUMEN TOTAL'!U123</f>
        <v>0</v>
      </c>
      <c r="Q119">
        <f>'RESUMEN TOTAL'!V123</f>
        <v>0</v>
      </c>
      <c r="R119">
        <f>'RESUMEN TOTAL'!W123</f>
        <v>0</v>
      </c>
      <c r="S119">
        <f>'RESUMEN TOTAL'!X123</f>
        <v>0</v>
      </c>
      <c r="T119">
        <f>'RESUMEN TOTAL'!Y123</f>
        <v>0</v>
      </c>
      <c r="U119">
        <f>'RESUMEN TOTAL'!Z123</f>
        <v>0</v>
      </c>
      <c r="V119">
        <f>'RESUMEN TOTAL'!AA123</f>
        <v>0</v>
      </c>
      <c r="W119">
        <f>'RESUMEN TOTAL'!AB123</f>
        <v>0</v>
      </c>
      <c r="X119">
        <f>'RESUMEN TOTAL'!AC123</f>
        <v>0</v>
      </c>
      <c r="Y119">
        <f>'RESUMEN TOTAL'!AD123</f>
        <v>0</v>
      </c>
      <c r="Z119">
        <f>'RESUMEN TOTAL'!AE123</f>
        <v>0</v>
      </c>
      <c r="AA119">
        <f>'RESUMEN TOTAL'!AF123</f>
        <v>0</v>
      </c>
      <c r="AB119">
        <f>'RESUMEN TOTAL'!AG123</f>
        <v>0</v>
      </c>
      <c r="AC119">
        <f>'RESUMEN TOTAL'!AH123</f>
        <v>0</v>
      </c>
      <c r="AD119">
        <f>'RESUMEN TOTAL'!AI123</f>
        <v>0</v>
      </c>
      <c r="AE119">
        <f>'RESUMEN TOTAL'!AJ123</f>
        <v>0</v>
      </c>
      <c r="AF119">
        <f>'RESUMEN TOTAL'!AK123</f>
        <v>0</v>
      </c>
      <c r="AG119">
        <f>'RESUMEN TOTAL'!AL123</f>
        <v>0</v>
      </c>
      <c r="AH119">
        <f>'RESUMEN TOTAL'!AM123</f>
        <v>0</v>
      </c>
      <c r="AI119">
        <f>'RESUMEN TOTAL'!AN123</f>
        <v>0</v>
      </c>
    </row>
    <row r="120" spans="1:35" x14ac:dyDescent="0.3">
      <c r="A120" t="str">
        <f>'RESUMEN TOTAL'!A131</f>
        <v>LA ESMERALDA</v>
      </c>
      <c r="B120" t="str">
        <f>'RESUMEN TOTAL'!B131</f>
        <v>ESM 08</v>
      </c>
      <c r="C120" t="str">
        <f>'RESUMEN TOTAL'!D131</f>
        <v>DAVINSON Y MORANCHEL</v>
      </c>
      <c r="D120" t="str">
        <f>'RESUMEN TOTAL'!E131</f>
        <v>FIJA</v>
      </c>
      <c r="E120" t="str">
        <f>'RESUMEN TOTAL'!F131</f>
        <v>Radio</v>
      </c>
      <c r="F120">
        <f>'RESUMEN TOTAL'!K131</f>
        <v>0</v>
      </c>
      <c r="G120">
        <f>'RESUMEN TOTAL'!L131</f>
        <v>0</v>
      </c>
      <c r="H120">
        <f>'RESUMEN TOTAL'!M131</f>
        <v>0</v>
      </c>
      <c r="I120">
        <f>'RESUMEN TOTAL'!N131</f>
        <v>0</v>
      </c>
      <c r="J120">
        <f>'RESUMEN TOTAL'!O131</f>
        <v>0</v>
      </c>
      <c r="K120">
        <f>'RESUMEN TOTAL'!P131</f>
        <v>0</v>
      </c>
      <c r="L120">
        <f>'RESUMEN TOTAL'!Q131</f>
        <v>0</v>
      </c>
      <c r="M120">
        <f>'RESUMEN TOTAL'!R131</f>
        <v>0</v>
      </c>
      <c r="N120">
        <f>'RESUMEN TOTAL'!S131</f>
        <v>0</v>
      </c>
      <c r="O120">
        <f>'RESUMEN TOTAL'!T131</f>
        <v>0</v>
      </c>
      <c r="P120">
        <f>'RESUMEN TOTAL'!U131</f>
        <v>0</v>
      </c>
      <c r="Q120">
        <f>'RESUMEN TOTAL'!V131</f>
        <v>0</v>
      </c>
      <c r="R120">
        <f>'RESUMEN TOTAL'!W131</f>
        <v>0</v>
      </c>
      <c r="S120">
        <f>'RESUMEN TOTAL'!X131</f>
        <v>0</v>
      </c>
      <c r="T120">
        <f>'RESUMEN TOTAL'!Y131</f>
        <v>0</v>
      </c>
      <c r="U120">
        <f>'RESUMEN TOTAL'!Z131</f>
        <v>0</v>
      </c>
      <c r="V120">
        <f>'RESUMEN TOTAL'!AA131</f>
        <v>0</v>
      </c>
      <c r="W120">
        <f>'RESUMEN TOTAL'!AB131</f>
        <v>0</v>
      </c>
      <c r="X120">
        <f>'RESUMEN TOTAL'!AC131</f>
        <v>0</v>
      </c>
      <c r="Y120">
        <f>'RESUMEN TOTAL'!AD131</f>
        <v>0</v>
      </c>
      <c r="Z120">
        <f>'RESUMEN TOTAL'!AE131</f>
        <v>0</v>
      </c>
      <c r="AA120">
        <f>'RESUMEN TOTAL'!AF131</f>
        <v>0</v>
      </c>
      <c r="AB120">
        <f>'RESUMEN TOTAL'!AG131</f>
        <v>0</v>
      </c>
      <c r="AC120">
        <f>'RESUMEN TOTAL'!AH131</f>
        <v>0</v>
      </c>
      <c r="AD120">
        <f>'RESUMEN TOTAL'!AI131</f>
        <v>0</v>
      </c>
      <c r="AE120">
        <f>'RESUMEN TOTAL'!AJ131</f>
        <v>0</v>
      </c>
      <c r="AF120">
        <f>'RESUMEN TOTAL'!AK131</f>
        <v>0</v>
      </c>
      <c r="AG120">
        <f>'RESUMEN TOTAL'!AL131</f>
        <v>0</v>
      </c>
      <c r="AH120">
        <f>'RESUMEN TOTAL'!AM131</f>
        <v>0</v>
      </c>
      <c r="AI120">
        <f>'RESUMEN TOTAL'!AN131</f>
        <v>0</v>
      </c>
    </row>
    <row r="121" spans="1:35" x14ac:dyDescent="0.3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 t="str">
        <f>'RESUMEN TOTAL'!K124</f>
        <v>APAGADO</v>
      </c>
      <c r="G121" t="str">
        <f>'RESUMEN TOTAL'!L124</f>
        <v>APAGADO</v>
      </c>
      <c r="H121" t="str">
        <f>'RESUMEN TOTAL'!M124</f>
        <v>APAGADO</v>
      </c>
      <c r="I121" t="str">
        <f>'RESUMEN TOTAL'!N124</f>
        <v>APAGADO</v>
      </c>
      <c r="J121" t="str">
        <f>'RESUMEN TOTAL'!O124</f>
        <v>APAGADO</v>
      </c>
      <c r="K121" t="str">
        <f>'RESUMEN TOTAL'!P124</f>
        <v>APAGADO</v>
      </c>
      <c r="L121" t="str">
        <f>'RESUMEN TOTAL'!Q124</f>
        <v>APAGADO</v>
      </c>
      <c r="M121" t="str">
        <f>'RESUMEN TOTAL'!R124</f>
        <v>APAGADO</v>
      </c>
      <c r="N121" t="str">
        <f>'RESUMEN TOTAL'!S124</f>
        <v>APAGADO</v>
      </c>
      <c r="O121" t="str">
        <f>'RESUMEN TOTAL'!T124</f>
        <v>APAGADO</v>
      </c>
      <c r="P121" t="str">
        <f>'RESUMEN TOTAL'!U124</f>
        <v>APAGADO</v>
      </c>
      <c r="Q121" t="str">
        <f>'RESUMEN TOTAL'!V124</f>
        <v>APAGADO</v>
      </c>
      <c r="R121">
        <f>'RESUMEN TOTAL'!W124</f>
        <v>0</v>
      </c>
      <c r="S121" t="str">
        <f>'RESUMEN TOTAL'!X124</f>
        <v>APAGADO</v>
      </c>
      <c r="T121" t="str">
        <f>'RESUMEN TOTAL'!Y124</f>
        <v>APAGADO</v>
      </c>
      <c r="U121" t="str">
        <f>'RESUMEN TOTAL'!Z124</f>
        <v>APAGADO</v>
      </c>
      <c r="V121" t="str">
        <f>'RESUMEN TOTAL'!AA124</f>
        <v>APAGADO</v>
      </c>
      <c r="W121" t="str">
        <f>'RESUMEN TOTAL'!AB124</f>
        <v>APAGADO</v>
      </c>
      <c r="X121" t="str">
        <f>'RESUMEN TOTAL'!AC124</f>
        <v>APAGADO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3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3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3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3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3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3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3">
      <c r="A128" t="str">
        <f>'RESUMEN TOTAL'!A132</f>
        <v>LA ESMERALDA</v>
      </c>
      <c r="B128" t="str">
        <f>'RESUMEN TOTAL'!B132</f>
        <v>ESM09 (fija 1)</v>
      </c>
      <c r="C128" t="str">
        <f>'RESUMEN TOTAL'!D132</f>
        <v>EEUU Y CABELLO</v>
      </c>
      <c r="D128" t="str">
        <f>'RESUMEN TOTAL'!E132</f>
        <v>Fija</v>
      </c>
      <c r="E128" t="str">
        <f>'RESUMEN TOTAL'!F132</f>
        <v>Fibra Optica</v>
      </c>
      <c r="F128">
        <f>'RESUMEN TOTAL'!K132</f>
        <v>0</v>
      </c>
      <c r="G128">
        <f>'RESUMEN TOTAL'!L132</f>
        <v>0</v>
      </c>
      <c r="H128">
        <f>'RESUMEN TOTAL'!M132</f>
        <v>0</v>
      </c>
      <c r="I128">
        <f>'RESUMEN TOTAL'!N132</f>
        <v>0</v>
      </c>
      <c r="J128">
        <f>'RESUMEN TOTAL'!O132</f>
        <v>0</v>
      </c>
      <c r="K128">
        <f>'RESUMEN TOTAL'!P132</f>
        <v>0</v>
      </c>
      <c r="L128">
        <f>'RESUMEN TOTAL'!Q132</f>
        <v>0</v>
      </c>
      <c r="M128">
        <f>'RESUMEN TOTAL'!R132</f>
        <v>0</v>
      </c>
      <c r="N128">
        <f>'RESUMEN TOTAL'!S132</f>
        <v>0</v>
      </c>
      <c r="O128">
        <f>'RESUMEN TOTAL'!T132</f>
        <v>0</v>
      </c>
      <c r="P128">
        <f>'RESUMEN TOTAL'!U132</f>
        <v>0</v>
      </c>
      <c r="Q128">
        <f>'RESUMEN TOTAL'!V132</f>
        <v>0</v>
      </c>
      <c r="R128">
        <f>'RESUMEN TOTAL'!W132</f>
        <v>0</v>
      </c>
      <c r="S128">
        <f>'RESUMEN TOTAL'!X132</f>
        <v>0</v>
      </c>
      <c r="T128">
        <f>'RESUMEN TOTAL'!Y132</f>
        <v>0</v>
      </c>
      <c r="U128">
        <f>'RESUMEN TOTAL'!Z132</f>
        <v>0</v>
      </c>
      <c r="V128">
        <f>'RESUMEN TOTAL'!AA132</f>
        <v>0</v>
      </c>
      <c r="W128">
        <f>'RESUMEN TOTAL'!AB132</f>
        <v>0</v>
      </c>
      <c r="X128">
        <f>'RESUMEN TOTAL'!AC132</f>
        <v>0</v>
      </c>
      <c r="Y128">
        <f>'RESUMEN TOTAL'!AD132</f>
        <v>0</v>
      </c>
      <c r="Z128">
        <f>'RESUMEN TOTAL'!AE132</f>
        <v>0</v>
      </c>
      <c r="AA128">
        <f>'RESUMEN TOTAL'!AF132</f>
        <v>0</v>
      </c>
      <c r="AB128">
        <f>'RESUMEN TOTAL'!AG132</f>
        <v>0</v>
      </c>
      <c r="AC128">
        <f>'RESUMEN TOTAL'!AH132</f>
        <v>0</v>
      </c>
      <c r="AD128">
        <f>'RESUMEN TOTAL'!AI132</f>
        <v>0</v>
      </c>
      <c r="AE128">
        <f>'RESUMEN TOTAL'!AJ132</f>
        <v>0</v>
      </c>
      <c r="AF128">
        <f>'RESUMEN TOTAL'!AK132</f>
        <v>0</v>
      </c>
      <c r="AG128">
        <f>'RESUMEN TOTAL'!AL132</f>
        <v>0</v>
      </c>
      <c r="AH128">
        <f>'RESUMEN TOTAL'!AM132</f>
        <v>0</v>
      </c>
      <c r="AI128">
        <f>'RESUMEN TOTAL'!AN132</f>
        <v>0</v>
      </c>
    </row>
    <row r="129" spans="1:35" x14ac:dyDescent="0.3">
      <c r="A129" t="str">
        <f>'RESUMEN TOTAL'!A133</f>
        <v>LA ESMERALDA</v>
      </c>
      <c r="B129" t="str">
        <f>'RESUMEN TOTAL'!B133</f>
        <v>ESM10 (fija 2)</v>
      </c>
      <c r="C129" t="str">
        <f>'RESUMEN TOTAL'!D133</f>
        <v>EEUU Y CABELLO</v>
      </c>
      <c r="D129" t="str">
        <f>'RESUMEN TOTAL'!E133</f>
        <v>Fija</v>
      </c>
      <c r="E129" t="str">
        <f>'RESUMEN TOTAL'!F133</f>
        <v>Fibra Optica</v>
      </c>
      <c r="F129">
        <f>'RESUMEN TOTAL'!K133</f>
        <v>0</v>
      </c>
      <c r="G129">
        <f>'RESUMEN TOTAL'!L133</f>
        <v>0</v>
      </c>
      <c r="H129">
        <f>'RESUMEN TOTAL'!M133</f>
        <v>0</v>
      </c>
      <c r="I129">
        <f>'RESUMEN TOTAL'!N133</f>
        <v>0</v>
      </c>
      <c r="J129">
        <f>'RESUMEN TOTAL'!O133</f>
        <v>0</v>
      </c>
      <c r="K129">
        <f>'RESUMEN TOTAL'!P133</f>
        <v>0</v>
      </c>
      <c r="L129">
        <f>'RESUMEN TOTAL'!Q133</f>
        <v>0</v>
      </c>
      <c r="M129">
        <f>'RESUMEN TOTAL'!R133</f>
        <v>0</v>
      </c>
      <c r="N129">
        <f>'RESUMEN TOTAL'!S133</f>
        <v>0</v>
      </c>
      <c r="O129">
        <f>'RESUMEN TOTAL'!T133</f>
        <v>0</v>
      </c>
      <c r="P129">
        <f>'RESUMEN TOTAL'!U133</f>
        <v>0</v>
      </c>
      <c r="Q129">
        <f>'RESUMEN TOTAL'!V133</f>
        <v>0</v>
      </c>
      <c r="R129">
        <f>'RESUMEN TOTAL'!W133</f>
        <v>0</v>
      </c>
      <c r="S129">
        <f>'RESUMEN TOTAL'!X133</f>
        <v>0</v>
      </c>
      <c r="T129">
        <f>'RESUMEN TOTAL'!Y133</f>
        <v>0</v>
      </c>
      <c r="U129">
        <f>'RESUMEN TOTAL'!Z133</f>
        <v>0</v>
      </c>
      <c r="V129">
        <f>'RESUMEN TOTAL'!AA133</f>
        <v>0</v>
      </c>
      <c r="W129">
        <f>'RESUMEN TOTAL'!AB133</f>
        <v>0</v>
      </c>
      <c r="X129">
        <f>'RESUMEN TOTAL'!AC133</f>
        <v>0</v>
      </c>
      <c r="Y129">
        <f>'RESUMEN TOTAL'!AD133</f>
        <v>0</v>
      </c>
      <c r="Z129">
        <f>'RESUMEN TOTAL'!AE133</f>
        <v>0</v>
      </c>
      <c r="AA129">
        <f>'RESUMEN TOTAL'!AF133</f>
        <v>0</v>
      </c>
      <c r="AB129">
        <f>'RESUMEN TOTAL'!AG133</f>
        <v>0</v>
      </c>
      <c r="AC129">
        <f>'RESUMEN TOTAL'!AH133</f>
        <v>0</v>
      </c>
      <c r="AD129">
        <f>'RESUMEN TOTAL'!AI133</f>
        <v>0</v>
      </c>
      <c r="AE129">
        <f>'RESUMEN TOTAL'!AJ133</f>
        <v>0</v>
      </c>
      <c r="AF129">
        <f>'RESUMEN TOTAL'!AK133</f>
        <v>0</v>
      </c>
      <c r="AG129">
        <f>'RESUMEN TOTAL'!AL133</f>
        <v>0</v>
      </c>
      <c r="AH129">
        <f>'RESUMEN TOTAL'!AM133</f>
        <v>0</v>
      </c>
      <c r="AI129">
        <f>'RESUMEN TOTAL'!AN133</f>
        <v>0</v>
      </c>
    </row>
    <row r="130" spans="1:35" x14ac:dyDescent="0.3">
      <c r="A130" t="str">
        <f>'RESUMEN TOTAL'!A134</f>
        <v>LA ESMERALDA</v>
      </c>
      <c r="B130" t="str">
        <f>'RESUMEN TOTAL'!B134</f>
        <v>ESM11 (fija 1)</v>
      </c>
      <c r="C130" t="str">
        <f>'RESUMEN TOTAL'!D134</f>
        <v>NOVAK Y LAMBARDI</v>
      </c>
      <c r="D130" t="str">
        <f>'RESUMEN TOTAL'!E134</f>
        <v>Fija</v>
      </c>
      <c r="E130" t="str">
        <f>'RESUMEN TOTAL'!F134</f>
        <v>Fibra Optica</v>
      </c>
      <c r="F130">
        <f>'RESUMEN TOTAL'!K134</f>
        <v>0</v>
      </c>
      <c r="G130">
        <f>'RESUMEN TOTAL'!L134</f>
        <v>0</v>
      </c>
      <c r="H130">
        <f>'RESUMEN TOTAL'!M134</f>
        <v>0</v>
      </c>
      <c r="I130">
        <f>'RESUMEN TOTAL'!N134</f>
        <v>0</v>
      </c>
      <c r="J130">
        <f>'RESUMEN TOTAL'!O134</f>
        <v>0</v>
      </c>
      <c r="K130">
        <f>'RESUMEN TOTAL'!P134</f>
        <v>0</v>
      </c>
      <c r="L130" t="str">
        <f>'RESUMEN TOTAL'!Q134</f>
        <v>APAGADO</v>
      </c>
      <c r="M130">
        <f>'RESUMEN TOTAL'!R134</f>
        <v>0</v>
      </c>
      <c r="N130" t="str">
        <f>'RESUMEN TOTAL'!S134</f>
        <v>APAGADO</v>
      </c>
      <c r="O130" t="str">
        <f>'RESUMEN TOTAL'!T134</f>
        <v>APAGADO</v>
      </c>
      <c r="P130" t="str">
        <f>'RESUMEN TOTAL'!U134</f>
        <v>APAGADO</v>
      </c>
      <c r="Q130">
        <f>'RESUMEN TOTAL'!V134</f>
        <v>0</v>
      </c>
      <c r="R130">
        <f>'RESUMEN TOTAL'!W134</f>
        <v>0</v>
      </c>
      <c r="S130">
        <f>'RESUMEN TOTAL'!X134</f>
        <v>0</v>
      </c>
      <c r="T130">
        <f>'RESUMEN TOTAL'!Y134</f>
        <v>0</v>
      </c>
      <c r="U130">
        <f>'RESUMEN TOTAL'!Z134</f>
        <v>0</v>
      </c>
      <c r="V130">
        <f>'RESUMEN TOTAL'!AA134</f>
        <v>0</v>
      </c>
      <c r="W130">
        <f>'RESUMEN TOTAL'!AB134</f>
        <v>0</v>
      </c>
      <c r="X130">
        <f>'RESUMEN TOTAL'!AC134</f>
        <v>0</v>
      </c>
      <c r="Y130">
        <f>'RESUMEN TOTAL'!AD134</f>
        <v>0</v>
      </c>
      <c r="Z130">
        <f>'RESUMEN TOTAL'!AE134</f>
        <v>0</v>
      </c>
      <c r="AA130">
        <f>'RESUMEN TOTAL'!AF134</f>
        <v>0</v>
      </c>
      <c r="AB130">
        <f>'RESUMEN TOTAL'!AG134</f>
        <v>0</v>
      </c>
      <c r="AC130">
        <f>'RESUMEN TOTAL'!AH134</f>
        <v>0</v>
      </c>
      <c r="AD130">
        <f>'RESUMEN TOTAL'!AI134</f>
        <v>0</v>
      </c>
      <c r="AE130">
        <f>'RESUMEN TOTAL'!AJ134</f>
        <v>0</v>
      </c>
      <c r="AF130">
        <f>'RESUMEN TOTAL'!AK134</f>
        <v>0</v>
      </c>
      <c r="AG130">
        <f>'RESUMEN TOTAL'!AL134</f>
        <v>0</v>
      </c>
      <c r="AH130">
        <f>'RESUMEN TOTAL'!AM134</f>
        <v>0</v>
      </c>
      <c r="AI130">
        <f>'RESUMEN TOTAL'!AN134</f>
        <v>0</v>
      </c>
    </row>
    <row r="131" spans="1:35" x14ac:dyDescent="0.3">
      <c r="A131" t="str">
        <f>'RESUMEN TOTAL'!A135</f>
        <v>LA ESMERALDA</v>
      </c>
      <c r="B131" t="str">
        <f>'RESUMEN TOTAL'!B135</f>
        <v>ESM12 (fija 2)</v>
      </c>
      <c r="C131" t="str">
        <f>'RESUMEN TOTAL'!D135</f>
        <v>NOVAK Y LAMBARDI</v>
      </c>
      <c r="D131" t="str">
        <f>'RESUMEN TOTAL'!E135</f>
        <v>Fija</v>
      </c>
      <c r="E131" t="str">
        <f>'RESUMEN TOTAL'!F135</f>
        <v>Fibra Optica</v>
      </c>
      <c r="F131">
        <f>'RESUMEN TOTAL'!K135</f>
        <v>0</v>
      </c>
      <c r="G131">
        <f>'RESUMEN TOTAL'!L135</f>
        <v>0</v>
      </c>
      <c r="H131">
        <f>'RESUMEN TOTAL'!M135</f>
        <v>0</v>
      </c>
      <c r="I131">
        <f>'RESUMEN TOTAL'!N135</f>
        <v>0</v>
      </c>
      <c r="J131">
        <f>'RESUMEN TOTAL'!O135</f>
        <v>0</v>
      </c>
      <c r="K131">
        <f>'RESUMEN TOTAL'!P135</f>
        <v>0</v>
      </c>
      <c r="L131" t="str">
        <f>'RESUMEN TOTAL'!Q135</f>
        <v>APAGADO</v>
      </c>
      <c r="M131">
        <f>'RESUMEN TOTAL'!R135</f>
        <v>0</v>
      </c>
      <c r="N131" t="str">
        <f>'RESUMEN TOTAL'!S135</f>
        <v>APAGADO</v>
      </c>
      <c r="O131" t="str">
        <f>'RESUMEN TOTAL'!T135</f>
        <v>APAGADO</v>
      </c>
      <c r="P131" t="str">
        <f>'RESUMEN TOTAL'!U135</f>
        <v>APAGADO</v>
      </c>
      <c r="Q131">
        <f>'RESUMEN TOTAL'!V135</f>
        <v>0</v>
      </c>
      <c r="R131">
        <f>'RESUMEN TOTAL'!W135</f>
        <v>0</v>
      </c>
      <c r="S131">
        <f>'RESUMEN TOTAL'!X135</f>
        <v>0</v>
      </c>
      <c r="T131">
        <f>'RESUMEN TOTAL'!Y135</f>
        <v>0</v>
      </c>
      <c r="U131">
        <f>'RESUMEN TOTAL'!Z135</f>
        <v>0</v>
      </c>
      <c r="V131">
        <f>'RESUMEN TOTAL'!AA135</f>
        <v>0</v>
      </c>
      <c r="W131">
        <f>'RESUMEN TOTAL'!AB135</f>
        <v>0</v>
      </c>
      <c r="X131">
        <f>'RESUMEN TOTAL'!AC135</f>
        <v>0</v>
      </c>
      <c r="Y131">
        <f>'RESUMEN TOTAL'!AD135</f>
        <v>0</v>
      </c>
      <c r="Z131">
        <f>'RESUMEN TOTAL'!AE135</f>
        <v>0</v>
      </c>
      <c r="AA131">
        <f>'RESUMEN TOTAL'!AF135</f>
        <v>0</v>
      </c>
      <c r="AB131">
        <f>'RESUMEN TOTAL'!AG135</f>
        <v>0</v>
      </c>
      <c r="AC131">
        <f>'RESUMEN TOTAL'!AH135</f>
        <v>0</v>
      </c>
      <c r="AD131">
        <f>'RESUMEN TOTAL'!AI135</f>
        <v>0</v>
      </c>
      <c r="AE131">
        <f>'RESUMEN TOTAL'!AJ135</f>
        <v>0</v>
      </c>
      <c r="AF131">
        <f>'RESUMEN TOTAL'!AK135</f>
        <v>0</v>
      </c>
      <c r="AG131">
        <f>'RESUMEN TOTAL'!AL135</f>
        <v>0</v>
      </c>
      <c r="AH131">
        <f>'RESUMEN TOTAL'!AM135</f>
        <v>0</v>
      </c>
      <c r="AI131">
        <f>'RESUMEN TOTAL'!AN135</f>
        <v>0</v>
      </c>
    </row>
    <row r="132" spans="1:35" x14ac:dyDescent="0.3">
      <c r="A132" t="str">
        <f>'RESUMEN TOTAL'!A136</f>
        <v>LA ESMERALDA</v>
      </c>
      <c r="B132" t="str">
        <f>'RESUMEN TOTAL'!B136</f>
        <v>ESM 13</v>
      </c>
      <c r="C132" t="str">
        <f>'RESUMEN TOTAL'!D136</f>
        <v>Barzi y Serrano</v>
      </c>
      <c r="D132" t="str">
        <f>'RESUMEN TOTAL'!E136</f>
        <v>fija</v>
      </c>
      <c r="E132" t="str">
        <f>'RESUMEN TOTAL'!F136</f>
        <v>Fibra Optica</v>
      </c>
      <c r="F132">
        <f>'RESUMEN TOTAL'!K136</f>
        <v>0</v>
      </c>
      <c r="G132">
        <f>'RESUMEN TOTAL'!L136</f>
        <v>0</v>
      </c>
      <c r="H132">
        <f>'RESUMEN TOTAL'!M136</f>
        <v>0</v>
      </c>
      <c r="I132">
        <f>'RESUMEN TOTAL'!N136</f>
        <v>0</v>
      </c>
      <c r="J132">
        <f>'RESUMEN TOTAL'!O136</f>
        <v>0</v>
      </c>
      <c r="K132">
        <f>'RESUMEN TOTAL'!P136</f>
        <v>0</v>
      </c>
      <c r="L132" t="str">
        <f>'RESUMEN TOTAL'!Q136</f>
        <v>APAGADO</v>
      </c>
      <c r="M132">
        <f>'RESUMEN TOTAL'!R136</f>
        <v>0</v>
      </c>
      <c r="N132" t="str">
        <f>'RESUMEN TOTAL'!S136</f>
        <v>APAGADO</v>
      </c>
      <c r="O132" t="str">
        <f>'RESUMEN TOTAL'!T136</f>
        <v>APAGADO</v>
      </c>
      <c r="P132" t="str">
        <f>'RESUMEN TOTAL'!U136</f>
        <v>APAGADO</v>
      </c>
      <c r="Q132">
        <f>'RESUMEN TOTAL'!V136</f>
        <v>0</v>
      </c>
      <c r="R132">
        <f>'RESUMEN TOTAL'!W136</f>
        <v>0</v>
      </c>
      <c r="S132">
        <f>'RESUMEN TOTAL'!X136</f>
        <v>0</v>
      </c>
      <c r="T132">
        <f>'RESUMEN TOTAL'!Y136</f>
        <v>0</v>
      </c>
      <c r="U132">
        <f>'RESUMEN TOTAL'!Z136</f>
        <v>0</v>
      </c>
      <c r="V132">
        <f>'RESUMEN TOTAL'!AA136</f>
        <v>0</v>
      </c>
      <c r="W132">
        <f>'RESUMEN TOTAL'!AB136</f>
        <v>0</v>
      </c>
      <c r="X132">
        <f>'RESUMEN TOTAL'!AC136</f>
        <v>0</v>
      </c>
      <c r="Y132">
        <f>'RESUMEN TOTAL'!AD136</f>
        <v>0</v>
      </c>
      <c r="Z132">
        <f>'RESUMEN TOTAL'!AE136</f>
        <v>0</v>
      </c>
      <c r="AA132">
        <f>'RESUMEN TOTAL'!AF136</f>
        <v>0</v>
      </c>
      <c r="AB132">
        <f>'RESUMEN TOTAL'!AG136</f>
        <v>0</v>
      </c>
      <c r="AC132">
        <f>'RESUMEN TOTAL'!AH136</f>
        <v>0</v>
      </c>
      <c r="AD132">
        <f>'RESUMEN TOTAL'!AI136</f>
        <v>0</v>
      </c>
      <c r="AE132">
        <f>'RESUMEN TOTAL'!AJ136</f>
        <v>0</v>
      </c>
      <c r="AF132">
        <f>'RESUMEN TOTAL'!AK136</f>
        <v>0</v>
      </c>
      <c r="AG132">
        <f>'RESUMEN TOTAL'!AL136</f>
        <v>0</v>
      </c>
      <c r="AH132">
        <f>'RESUMEN TOTAL'!AM136</f>
        <v>0</v>
      </c>
      <c r="AI132">
        <f>'RESUMEN TOTAL'!AN136</f>
        <v>0</v>
      </c>
    </row>
    <row r="133" spans="1:35" x14ac:dyDescent="0.3">
      <c r="A133" t="str">
        <f>'RESUMEN TOTAL'!A137</f>
        <v>LA ESMERALDA</v>
      </c>
      <c r="B133" t="str">
        <f>'RESUMEN TOTAL'!B137</f>
        <v>ESM 14</v>
      </c>
      <c r="C133" t="str">
        <f>'RESUMEN TOTAL'!D137</f>
        <v>Barzi y Serrano</v>
      </c>
      <c r="D133" t="str">
        <f>'RESUMEN TOTAL'!E137</f>
        <v>fija</v>
      </c>
      <c r="E133" t="str">
        <f>'RESUMEN TOTAL'!F137</f>
        <v>Fibra Optica</v>
      </c>
      <c r="F133">
        <f>'RESUMEN TOTAL'!K137</f>
        <v>0</v>
      </c>
      <c r="G133">
        <f>'RESUMEN TOTAL'!L137</f>
        <v>0</v>
      </c>
      <c r="H133">
        <f>'RESUMEN TOTAL'!M137</f>
        <v>0</v>
      </c>
      <c r="I133">
        <f>'RESUMEN TOTAL'!N137</f>
        <v>0</v>
      </c>
      <c r="J133">
        <f>'RESUMEN TOTAL'!O137</f>
        <v>0</v>
      </c>
      <c r="K133">
        <f>'RESUMEN TOTAL'!P137</f>
        <v>0</v>
      </c>
      <c r="L133" t="str">
        <f>'RESUMEN TOTAL'!Q137</f>
        <v>APAGADO</v>
      </c>
      <c r="M133">
        <f>'RESUMEN TOTAL'!R137</f>
        <v>0</v>
      </c>
      <c r="N133" t="str">
        <f>'RESUMEN TOTAL'!S137</f>
        <v>APAGADO</v>
      </c>
      <c r="O133" t="str">
        <f>'RESUMEN TOTAL'!T137</f>
        <v>APAGADO</v>
      </c>
      <c r="P133" t="str">
        <f>'RESUMEN TOTAL'!U137</f>
        <v>APAGADO</v>
      </c>
      <c r="Q133">
        <f>'RESUMEN TOTAL'!V137</f>
        <v>0</v>
      </c>
      <c r="R133">
        <f>'RESUMEN TOTAL'!W137</f>
        <v>0</v>
      </c>
      <c r="S133">
        <f>'RESUMEN TOTAL'!X137</f>
        <v>0</v>
      </c>
      <c r="T133">
        <f>'RESUMEN TOTAL'!Y137</f>
        <v>0</v>
      </c>
      <c r="U133">
        <f>'RESUMEN TOTAL'!Z137</f>
        <v>0</v>
      </c>
      <c r="V133">
        <f>'RESUMEN TOTAL'!AA137</f>
        <v>0</v>
      </c>
      <c r="W133">
        <f>'RESUMEN TOTAL'!AB137</f>
        <v>0</v>
      </c>
      <c r="X133">
        <f>'RESUMEN TOTAL'!AC137</f>
        <v>0</v>
      </c>
      <c r="Y133">
        <f>'RESUMEN TOTAL'!AD137</f>
        <v>0</v>
      </c>
      <c r="Z133">
        <f>'RESUMEN TOTAL'!AE137</f>
        <v>0</v>
      </c>
      <c r="AA133">
        <f>'RESUMEN TOTAL'!AF137</f>
        <v>0</v>
      </c>
      <c r="AB133">
        <f>'RESUMEN TOTAL'!AG137</f>
        <v>0</v>
      </c>
      <c r="AC133">
        <f>'RESUMEN TOTAL'!AH137</f>
        <v>0</v>
      </c>
      <c r="AD133">
        <f>'RESUMEN TOTAL'!AI137</f>
        <v>0</v>
      </c>
      <c r="AE133">
        <f>'RESUMEN TOTAL'!AJ137</f>
        <v>0</v>
      </c>
      <c r="AF133">
        <f>'RESUMEN TOTAL'!AK137</f>
        <v>0</v>
      </c>
      <c r="AG133">
        <f>'RESUMEN TOTAL'!AL137</f>
        <v>0</v>
      </c>
      <c r="AH133">
        <f>'RESUMEN TOTAL'!AM137</f>
        <v>0</v>
      </c>
      <c r="AI133">
        <f>'RESUMEN TOTAL'!AN137</f>
        <v>0</v>
      </c>
    </row>
    <row r="134" spans="1:35" x14ac:dyDescent="0.3">
      <c r="A134" t="str">
        <f>'RESUMEN TOTAL'!A138</f>
        <v>LA ESMERALDA</v>
      </c>
      <c r="B134" t="str">
        <f>'RESUMEN TOTAL'!B138</f>
        <v>ESM 15</v>
      </c>
      <c r="C134" t="str">
        <f>'RESUMEN TOTAL'!D138</f>
        <v>Basualdo y Lieja</v>
      </c>
      <c r="D134" t="str">
        <f>'RESUMEN TOTAL'!E138</f>
        <v>Fija</v>
      </c>
      <c r="E134" t="str">
        <f>'RESUMEN TOTAL'!F138</f>
        <v>Fibra Optica</v>
      </c>
      <c r="F134">
        <f>'RESUMEN TOTAL'!K138</f>
        <v>0</v>
      </c>
      <c r="G134">
        <f>'RESUMEN TOTAL'!L138</f>
        <v>0</v>
      </c>
      <c r="H134">
        <f>'RESUMEN TOTAL'!M138</f>
        <v>0</v>
      </c>
      <c r="I134">
        <f>'RESUMEN TOTAL'!N138</f>
        <v>0</v>
      </c>
      <c r="J134">
        <f>'RESUMEN TOTAL'!O138</f>
        <v>0</v>
      </c>
      <c r="K134">
        <f>'RESUMEN TOTAL'!P138</f>
        <v>0</v>
      </c>
      <c r="L134">
        <f>'RESUMEN TOTAL'!Q138</f>
        <v>0</v>
      </c>
      <c r="M134">
        <f>'RESUMEN TOTAL'!R138</f>
        <v>0</v>
      </c>
      <c r="N134">
        <f>'RESUMEN TOTAL'!S138</f>
        <v>0</v>
      </c>
      <c r="O134">
        <f>'RESUMEN TOTAL'!T138</f>
        <v>0</v>
      </c>
      <c r="P134">
        <f>'RESUMEN TOTAL'!U138</f>
        <v>0</v>
      </c>
      <c r="Q134">
        <f>'RESUMEN TOTAL'!V138</f>
        <v>0</v>
      </c>
      <c r="R134">
        <f>'RESUMEN TOTAL'!W138</f>
        <v>0</v>
      </c>
      <c r="S134">
        <f>'RESUMEN TOTAL'!X138</f>
        <v>0</v>
      </c>
      <c r="T134">
        <f>'RESUMEN TOTAL'!Y138</f>
        <v>0</v>
      </c>
      <c r="U134">
        <f>'RESUMEN TOTAL'!Z138</f>
        <v>0</v>
      </c>
      <c r="V134">
        <f>'RESUMEN TOTAL'!AA138</f>
        <v>0</v>
      </c>
      <c r="W134">
        <f>'RESUMEN TOTAL'!AB138</f>
        <v>0</v>
      </c>
      <c r="X134">
        <f>'RESUMEN TOTAL'!AC138</f>
        <v>0</v>
      </c>
      <c r="Y134">
        <f>'RESUMEN TOTAL'!AD138</f>
        <v>0</v>
      </c>
      <c r="Z134">
        <f>'RESUMEN TOTAL'!AE138</f>
        <v>0</v>
      </c>
      <c r="AA134">
        <f>'RESUMEN TOTAL'!AF138</f>
        <v>0</v>
      </c>
      <c r="AB134">
        <f>'RESUMEN TOTAL'!AG138</f>
        <v>0</v>
      </c>
      <c r="AC134">
        <f>'RESUMEN TOTAL'!AH138</f>
        <v>0</v>
      </c>
      <c r="AD134">
        <f>'RESUMEN TOTAL'!AI138</f>
        <v>0</v>
      </c>
      <c r="AE134">
        <f>'RESUMEN TOTAL'!AJ138</f>
        <v>0</v>
      </c>
      <c r="AF134">
        <f>'RESUMEN TOTAL'!AK138</f>
        <v>0</v>
      </c>
      <c r="AG134">
        <f>'RESUMEN TOTAL'!AL138</f>
        <v>0</v>
      </c>
      <c r="AH134">
        <f>'RESUMEN TOTAL'!AM138</f>
        <v>0</v>
      </c>
      <c r="AI134">
        <f>'RESUMEN TOTAL'!AN138</f>
        <v>0</v>
      </c>
    </row>
    <row r="135" spans="1:35" x14ac:dyDescent="0.3">
      <c r="A135" t="str">
        <f>'RESUMEN TOTAL'!A139</f>
        <v>LA ESMERALDA</v>
      </c>
      <c r="B135" t="str">
        <f>'RESUMEN TOTAL'!B139</f>
        <v>ESM 16</v>
      </c>
      <c r="C135" t="str">
        <f>'RESUMEN TOTAL'!D139</f>
        <v>Basualdo y Lieja</v>
      </c>
      <c r="D135" t="str">
        <f>'RESUMEN TOTAL'!E139</f>
        <v>Fija</v>
      </c>
      <c r="E135" t="str">
        <f>'RESUMEN TOTAL'!F139</f>
        <v>Fibra Optica</v>
      </c>
      <c r="F135">
        <f>'RESUMEN TOTAL'!K139</f>
        <v>0</v>
      </c>
      <c r="G135">
        <f>'RESUMEN TOTAL'!L139</f>
        <v>0</v>
      </c>
      <c r="H135">
        <f>'RESUMEN TOTAL'!M139</f>
        <v>0</v>
      </c>
      <c r="I135">
        <f>'RESUMEN TOTAL'!N139</f>
        <v>0</v>
      </c>
      <c r="J135">
        <f>'RESUMEN TOTAL'!O139</f>
        <v>0</v>
      </c>
      <c r="K135">
        <f>'RESUMEN TOTAL'!P139</f>
        <v>0</v>
      </c>
      <c r="L135">
        <f>'RESUMEN TOTAL'!Q139</f>
        <v>0</v>
      </c>
      <c r="M135">
        <f>'RESUMEN TOTAL'!R139</f>
        <v>0</v>
      </c>
      <c r="N135">
        <f>'RESUMEN TOTAL'!S139</f>
        <v>0</v>
      </c>
      <c r="O135">
        <f>'RESUMEN TOTAL'!T139</f>
        <v>0</v>
      </c>
      <c r="P135">
        <f>'RESUMEN TOTAL'!U139</f>
        <v>0</v>
      </c>
      <c r="Q135">
        <f>'RESUMEN TOTAL'!V139</f>
        <v>0</v>
      </c>
      <c r="R135">
        <f>'RESUMEN TOTAL'!W139</f>
        <v>0</v>
      </c>
      <c r="S135">
        <f>'RESUMEN TOTAL'!X139</f>
        <v>0</v>
      </c>
      <c r="T135">
        <f>'RESUMEN TOTAL'!Y139</f>
        <v>0</v>
      </c>
      <c r="U135">
        <f>'RESUMEN TOTAL'!Z139</f>
        <v>0</v>
      </c>
      <c r="V135">
        <f>'RESUMEN TOTAL'!AA139</f>
        <v>0</v>
      </c>
      <c r="W135">
        <f>'RESUMEN TOTAL'!AB139</f>
        <v>0</v>
      </c>
      <c r="X135">
        <f>'RESUMEN TOTAL'!AC139</f>
        <v>0</v>
      </c>
      <c r="Y135">
        <f>'RESUMEN TOTAL'!AD139</f>
        <v>0</v>
      </c>
      <c r="Z135">
        <f>'RESUMEN TOTAL'!AE139</f>
        <v>0</v>
      </c>
      <c r="AA135">
        <f>'RESUMEN TOTAL'!AF139</f>
        <v>0</v>
      </c>
      <c r="AB135">
        <f>'RESUMEN TOTAL'!AG139</f>
        <v>0</v>
      </c>
      <c r="AC135">
        <f>'RESUMEN TOTAL'!AH139</f>
        <v>0</v>
      </c>
      <c r="AD135">
        <f>'RESUMEN TOTAL'!AI139</f>
        <v>0</v>
      </c>
      <c r="AE135">
        <f>'RESUMEN TOTAL'!AJ139</f>
        <v>0</v>
      </c>
      <c r="AF135">
        <f>'RESUMEN TOTAL'!AK139</f>
        <v>0</v>
      </c>
      <c r="AG135">
        <f>'RESUMEN TOTAL'!AL139</f>
        <v>0</v>
      </c>
      <c r="AH135">
        <f>'RESUMEN TOTAL'!AM139</f>
        <v>0</v>
      </c>
      <c r="AI135">
        <f>'RESUMEN TOTAL'!AN139</f>
        <v>0</v>
      </c>
    </row>
    <row r="136" spans="1:35" x14ac:dyDescent="0.3">
      <c r="A136" t="str">
        <f>'RESUMEN TOTAL'!A140</f>
        <v>INGENIERO ALLAN</v>
      </c>
      <c r="B136" t="str">
        <f>'RESUMEN TOTAL'!B140</f>
        <v>INA 01</v>
      </c>
      <c r="C136" t="str">
        <f>'RESUMEN TOTAL'!D140</f>
        <v>1138 Y 1155</v>
      </c>
      <c r="D136" t="str">
        <f>'RESUMEN TOTAL'!E140</f>
        <v>DOMO</v>
      </c>
      <c r="E136" t="str">
        <f>'RESUMEN TOTAL'!F140</f>
        <v>Fibra Optica</v>
      </c>
      <c r="F136" t="str">
        <f>'RESUMEN TOTAL'!K140</f>
        <v>APAGADO</v>
      </c>
      <c r="G136">
        <f>'RESUMEN TOTAL'!L140</f>
        <v>0</v>
      </c>
      <c r="H136">
        <f>'RESUMEN TOTAL'!M140</f>
        <v>0</v>
      </c>
      <c r="I136">
        <f>'RESUMEN TOTAL'!N140</f>
        <v>0</v>
      </c>
      <c r="J136">
        <f>'RESUMEN TOTAL'!O140</f>
        <v>0</v>
      </c>
      <c r="K136">
        <f>'RESUMEN TOTAL'!P140</f>
        <v>0</v>
      </c>
      <c r="L136">
        <f>'RESUMEN TOTAL'!Q140</f>
        <v>0</v>
      </c>
      <c r="M136">
        <f>'RESUMEN TOTAL'!R140</f>
        <v>0</v>
      </c>
      <c r="N136">
        <f>'RESUMEN TOTAL'!S140</f>
        <v>0</v>
      </c>
      <c r="O136">
        <f>'RESUMEN TOTAL'!T140</f>
        <v>0</v>
      </c>
      <c r="P136">
        <f>'RESUMEN TOTAL'!U140</f>
        <v>0</v>
      </c>
      <c r="Q136">
        <f>'RESUMEN TOTAL'!V140</f>
        <v>0</v>
      </c>
      <c r="R136">
        <f>'RESUMEN TOTAL'!W140</f>
        <v>0</v>
      </c>
      <c r="S136">
        <f>'RESUMEN TOTAL'!X140</f>
        <v>0</v>
      </c>
      <c r="T136">
        <f>'RESUMEN TOTAL'!Y140</f>
        <v>0</v>
      </c>
      <c r="U136">
        <f>'RESUMEN TOTAL'!Z140</f>
        <v>0</v>
      </c>
      <c r="V136">
        <f>'RESUMEN TOTAL'!AA140</f>
        <v>0</v>
      </c>
      <c r="W136">
        <f>'RESUMEN TOTAL'!AB140</f>
        <v>0</v>
      </c>
      <c r="X136">
        <f>'RESUMEN TOTAL'!AC140</f>
        <v>0</v>
      </c>
      <c r="Y136">
        <f>'RESUMEN TOTAL'!AD140</f>
        <v>0</v>
      </c>
      <c r="Z136">
        <f>'RESUMEN TOTAL'!AE140</f>
        <v>0</v>
      </c>
      <c r="AA136">
        <f>'RESUMEN TOTAL'!AF140</f>
        <v>0</v>
      </c>
      <c r="AB136">
        <f>'RESUMEN TOTAL'!AG140</f>
        <v>0</v>
      </c>
      <c r="AC136">
        <f>'RESUMEN TOTAL'!AH140</f>
        <v>0</v>
      </c>
      <c r="AD136">
        <f>'RESUMEN TOTAL'!AI140</f>
        <v>0</v>
      </c>
      <c r="AE136">
        <f>'RESUMEN TOTAL'!AJ140</f>
        <v>0</v>
      </c>
      <c r="AF136">
        <f>'RESUMEN TOTAL'!AK140</f>
        <v>0</v>
      </c>
      <c r="AG136">
        <f>'RESUMEN TOTAL'!AL140</f>
        <v>0</v>
      </c>
      <c r="AH136">
        <f>'RESUMEN TOTAL'!AM140</f>
        <v>0</v>
      </c>
      <c r="AI136">
        <f>'RESUMEN TOTAL'!AN140</f>
        <v>0</v>
      </c>
    </row>
    <row r="137" spans="1:35" x14ac:dyDescent="0.3">
      <c r="A137" t="str">
        <f>'RESUMEN TOTAL'!A141</f>
        <v>INGENIERO ALLAN</v>
      </c>
      <c r="B137" t="str">
        <f>'RESUMEN TOTAL'!B141</f>
        <v>INA 02</v>
      </c>
      <c r="C137" t="str">
        <f>'RESUMEN TOTAL'!D141</f>
        <v>1144 Y 1155</v>
      </c>
      <c r="D137" t="str">
        <f>'RESUMEN TOTAL'!E141</f>
        <v>DOMO</v>
      </c>
      <c r="E137" t="str">
        <f>'RESUMEN TOTAL'!F141</f>
        <v>Fibra Optica</v>
      </c>
      <c r="F137" t="str">
        <f>'RESUMEN TOTAL'!K141</f>
        <v>APAGADO</v>
      </c>
      <c r="G137">
        <f>'RESUMEN TOTAL'!L141</f>
        <v>0</v>
      </c>
      <c r="H137">
        <f>'RESUMEN TOTAL'!M141</f>
        <v>0</v>
      </c>
      <c r="I137">
        <f>'RESUMEN TOTAL'!N141</f>
        <v>0</v>
      </c>
      <c r="J137">
        <f>'RESUMEN TOTAL'!O141</f>
        <v>0</v>
      </c>
      <c r="K137">
        <f>'RESUMEN TOTAL'!P141</f>
        <v>0</v>
      </c>
      <c r="L137">
        <f>'RESUMEN TOTAL'!Q141</f>
        <v>0</v>
      </c>
      <c r="M137">
        <f>'RESUMEN TOTAL'!R141</f>
        <v>0</v>
      </c>
      <c r="N137">
        <f>'RESUMEN TOTAL'!S141</f>
        <v>0</v>
      </c>
      <c r="O137">
        <f>'RESUMEN TOTAL'!T141</f>
        <v>0</v>
      </c>
      <c r="P137">
        <f>'RESUMEN TOTAL'!U141</f>
        <v>0</v>
      </c>
      <c r="Q137">
        <f>'RESUMEN TOTAL'!V141</f>
        <v>0</v>
      </c>
      <c r="R137">
        <f>'RESUMEN TOTAL'!W141</f>
        <v>0</v>
      </c>
      <c r="S137">
        <f>'RESUMEN TOTAL'!X141</f>
        <v>0</v>
      </c>
      <c r="T137">
        <f>'RESUMEN TOTAL'!Y141</f>
        <v>0</v>
      </c>
      <c r="U137">
        <f>'RESUMEN TOTAL'!Z141</f>
        <v>0</v>
      </c>
      <c r="V137">
        <f>'RESUMEN TOTAL'!AA141</f>
        <v>0</v>
      </c>
      <c r="W137">
        <f>'RESUMEN TOTAL'!AB141</f>
        <v>0</v>
      </c>
      <c r="X137">
        <f>'RESUMEN TOTAL'!AC141</f>
        <v>0</v>
      </c>
      <c r="Y137">
        <f>'RESUMEN TOTAL'!AD141</f>
        <v>0</v>
      </c>
      <c r="Z137">
        <f>'RESUMEN TOTAL'!AE141</f>
        <v>0</v>
      </c>
      <c r="AA137">
        <f>'RESUMEN TOTAL'!AF141</f>
        <v>0</v>
      </c>
      <c r="AB137">
        <f>'RESUMEN TOTAL'!AG141</f>
        <v>0</v>
      </c>
      <c r="AC137">
        <f>'RESUMEN TOTAL'!AH141</f>
        <v>0</v>
      </c>
      <c r="AD137">
        <f>'RESUMEN TOTAL'!AI141</f>
        <v>0</v>
      </c>
      <c r="AE137">
        <f>'RESUMEN TOTAL'!AJ141</f>
        <v>0</v>
      </c>
      <c r="AF137">
        <f>'RESUMEN TOTAL'!AK141</f>
        <v>0</v>
      </c>
      <c r="AG137">
        <f>'RESUMEN TOTAL'!AL141</f>
        <v>0</v>
      </c>
      <c r="AH137">
        <f>'RESUMEN TOTAL'!AM141</f>
        <v>0</v>
      </c>
      <c r="AI137">
        <f>'RESUMEN TOTAL'!AN141</f>
        <v>0</v>
      </c>
    </row>
    <row r="138" spans="1:35" x14ac:dyDescent="0.3">
      <c r="A138" t="str">
        <f>'RESUMEN TOTAL'!A142</f>
        <v>INFICO</v>
      </c>
      <c r="B138" t="str">
        <f>'RESUMEN TOTAL'!B142</f>
        <v>INF 01</v>
      </c>
      <c r="C138" t="str">
        <f>'RESUMEN TOTAL'!D142</f>
        <v>AV. HUDSON Y CARIBONI</v>
      </c>
      <c r="D138">
        <f>'RESUMEN TOTAL'!E142</f>
        <v>0</v>
      </c>
      <c r="E138" t="str">
        <f>'RESUMEN TOTAL'!F142</f>
        <v>Fibra Optica</v>
      </c>
      <c r="F138">
        <f>'RESUMEN TOTAL'!K142</f>
        <v>0</v>
      </c>
      <c r="G138">
        <f>'RESUMEN TOTAL'!L142</f>
        <v>0</v>
      </c>
      <c r="H138">
        <f>'RESUMEN TOTAL'!M142</f>
        <v>0</v>
      </c>
      <c r="I138">
        <f>'RESUMEN TOTAL'!N142</f>
        <v>0</v>
      </c>
      <c r="J138">
        <f>'RESUMEN TOTAL'!O142</f>
        <v>0</v>
      </c>
      <c r="K138">
        <f>'RESUMEN TOTAL'!P142</f>
        <v>0</v>
      </c>
      <c r="L138">
        <f>'RESUMEN TOTAL'!Q142</f>
        <v>0</v>
      </c>
      <c r="M138">
        <f>'RESUMEN TOTAL'!R142</f>
        <v>0</v>
      </c>
      <c r="N138">
        <f>'RESUMEN TOTAL'!S142</f>
        <v>0</v>
      </c>
      <c r="O138">
        <f>'RESUMEN TOTAL'!T142</f>
        <v>0</v>
      </c>
      <c r="P138">
        <f>'RESUMEN TOTAL'!U142</f>
        <v>0</v>
      </c>
      <c r="Q138">
        <f>'RESUMEN TOTAL'!V142</f>
        <v>0</v>
      </c>
      <c r="R138">
        <f>'RESUMEN TOTAL'!W142</f>
        <v>0</v>
      </c>
      <c r="S138">
        <f>'RESUMEN TOTAL'!X142</f>
        <v>0</v>
      </c>
      <c r="T138">
        <f>'RESUMEN TOTAL'!Y142</f>
        <v>0</v>
      </c>
      <c r="U138">
        <f>'RESUMEN TOTAL'!Z142</f>
        <v>0</v>
      </c>
      <c r="V138">
        <f>'RESUMEN TOTAL'!AA142</f>
        <v>0</v>
      </c>
      <c r="W138">
        <f>'RESUMEN TOTAL'!AB142</f>
        <v>0</v>
      </c>
      <c r="X138">
        <f>'RESUMEN TOTAL'!AC142</f>
        <v>0</v>
      </c>
      <c r="Y138">
        <f>'RESUMEN TOTAL'!AD142</f>
        <v>0</v>
      </c>
      <c r="Z138">
        <f>'RESUMEN TOTAL'!AE142</f>
        <v>0</v>
      </c>
      <c r="AA138">
        <f>'RESUMEN TOTAL'!AF142</f>
        <v>0</v>
      </c>
      <c r="AB138">
        <f>'RESUMEN TOTAL'!AG142</f>
        <v>0</v>
      </c>
      <c r="AC138">
        <f>'RESUMEN TOTAL'!AH142</f>
        <v>0</v>
      </c>
      <c r="AD138">
        <f>'RESUMEN TOTAL'!AI142</f>
        <v>0</v>
      </c>
      <c r="AE138">
        <f>'RESUMEN TOTAL'!AJ142</f>
        <v>0</v>
      </c>
      <c r="AF138">
        <f>'RESUMEN TOTAL'!AK142</f>
        <v>0</v>
      </c>
      <c r="AG138">
        <f>'RESUMEN TOTAL'!AL142</f>
        <v>0</v>
      </c>
      <c r="AH138">
        <f>'RESUMEN TOTAL'!AM142</f>
        <v>0</v>
      </c>
      <c r="AI138">
        <f>'RESUMEN TOTAL'!AN142</f>
        <v>0</v>
      </c>
    </row>
    <row r="139" spans="1:35" x14ac:dyDescent="0.3">
      <c r="A139" t="str">
        <f>'RESUMEN TOTAL'!A149</f>
        <v>KM 26700 (JULIO A. COSTA)</v>
      </c>
      <c r="B139" t="str">
        <f>'RESUMEN TOTAL'!B149</f>
        <v>KM 07</v>
      </c>
      <c r="C139" t="str">
        <f>'RESUMEN TOTAL'!D149</f>
        <v>EL ALJIBE E/ EL ZONDA Y DON SEGUNDO SOMBRA</v>
      </c>
      <c r="D139" t="str">
        <f>'RESUMEN TOTAL'!E149</f>
        <v>DOMO</v>
      </c>
      <c r="E139" t="str">
        <f>'RESUMEN TOTAL'!F149</f>
        <v>Radio</v>
      </c>
      <c r="F139">
        <f>'RESUMEN TOTAL'!K149</f>
        <v>0</v>
      </c>
      <c r="G139">
        <f>'RESUMEN TOTAL'!L149</f>
        <v>0</v>
      </c>
      <c r="H139">
        <f>'RESUMEN TOTAL'!M149</f>
        <v>0</v>
      </c>
      <c r="I139">
        <f>'RESUMEN TOTAL'!N149</f>
        <v>0</v>
      </c>
      <c r="J139">
        <f>'RESUMEN TOTAL'!O149</f>
        <v>0</v>
      </c>
      <c r="K139">
        <f>'RESUMEN TOTAL'!P149</f>
        <v>0</v>
      </c>
      <c r="L139">
        <f>'RESUMEN TOTAL'!Q149</f>
        <v>0</v>
      </c>
      <c r="M139">
        <f>'RESUMEN TOTAL'!R149</f>
        <v>0</v>
      </c>
      <c r="N139">
        <f>'RESUMEN TOTAL'!S149</f>
        <v>0</v>
      </c>
      <c r="O139">
        <f>'RESUMEN TOTAL'!T149</f>
        <v>0</v>
      </c>
      <c r="P139">
        <f>'RESUMEN TOTAL'!U149</f>
        <v>0</v>
      </c>
      <c r="Q139">
        <f>'RESUMEN TOTAL'!V149</f>
        <v>0</v>
      </c>
      <c r="R139">
        <f>'RESUMEN TOTAL'!W149</f>
        <v>0</v>
      </c>
      <c r="S139">
        <f>'RESUMEN TOTAL'!X149</f>
        <v>0</v>
      </c>
      <c r="T139">
        <f>'RESUMEN TOTAL'!Y149</f>
        <v>0</v>
      </c>
      <c r="U139">
        <f>'RESUMEN TOTAL'!Z149</f>
        <v>0</v>
      </c>
      <c r="V139">
        <f>'RESUMEN TOTAL'!AA149</f>
        <v>0</v>
      </c>
      <c r="W139">
        <f>'RESUMEN TOTAL'!AB149</f>
        <v>0</v>
      </c>
      <c r="X139">
        <f>'RESUMEN TOTAL'!AC149</f>
        <v>0</v>
      </c>
      <c r="Y139">
        <f>'RESUMEN TOTAL'!AD149</f>
        <v>0</v>
      </c>
      <c r="Z139">
        <f>'RESUMEN TOTAL'!AE149</f>
        <v>0</v>
      </c>
      <c r="AA139">
        <f>'RESUMEN TOTAL'!AF149</f>
        <v>0</v>
      </c>
      <c r="AB139">
        <f>'RESUMEN TOTAL'!AG149</f>
        <v>0</v>
      </c>
      <c r="AC139">
        <f>'RESUMEN TOTAL'!AH149</f>
        <v>0</v>
      </c>
      <c r="AD139">
        <f>'RESUMEN TOTAL'!AI149</f>
        <v>0</v>
      </c>
      <c r="AE139">
        <f>'RESUMEN TOTAL'!AJ149</f>
        <v>0</v>
      </c>
      <c r="AF139">
        <f>'RESUMEN TOTAL'!AK149</f>
        <v>0</v>
      </c>
      <c r="AG139">
        <f>'RESUMEN TOTAL'!AL149</f>
        <v>0</v>
      </c>
      <c r="AH139">
        <f>'RESUMEN TOTAL'!AM149</f>
        <v>0</v>
      </c>
      <c r="AI139">
        <f>'RESUMEN TOTAL'!AN149</f>
        <v>0</v>
      </c>
    </row>
    <row r="140" spans="1:35" x14ac:dyDescent="0.3">
      <c r="A140" t="str">
        <f>'RESUMEN TOTAL'!A152</f>
        <v>KM 26700 (JULIO A. COSTA)</v>
      </c>
      <c r="B140" t="str">
        <f>'RESUMEN TOTAL'!B152</f>
        <v>KM 10 / UPA 2</v>
      </c>
      <c r="C140" t="str">
        <f>'RESUMEN TOTAL'!D152</f>
        <v>PLAYA DE ESTACIONAMIENTO INTERNA E/ HOSP. MODULAR Y UPA 11.</v>
      </c>
      <c r="D140" t="str">
        <f>'RESUMEN TOTAL'!E152</f>
        <v>DOMO</v>
      </c>
      <c r="E140" t="str">
        <f>'RESUMEN TOTAL'!F152</f>
        <v>Radio</v>
      </c>
      <c r="F140">
        <f>'RESUMEN TOTAL'!K152</f>
        <v>0</v>
      </c>
      <c r="G140">
        <f>'RESUMEN TOTAL'!L152</f>
        <v>0</v>
      </c>
      <c r="H140">
        <f>'RESUMEN TOTAL'!M152</f>
        <v>0</v>
      </c>
      <c r="I140">
        <f>'RESUMEN TOTAL'!N152</f>
        <v>0</v>
      </c>
      <c r="J140">
        <f>'RESUMEN TOTAL'!O152</f>
        <v>0</v>
      </c>
      <c r="K140">
        <f>'RESUMEN TOTAL'!P152</f>
        <v>0</v>
      </c>
      <c r="L140">
        <f>'RESUMEN TOTAL'!Q152</f>
        <v>0</v>
      </c>
      <c r="M140">
        <f>'RESUMEN TOTAL'!R152</f>
        <v>0</v>
      </c>
      <c r="N140">
        <f>'RESUMEN TOTAL'!S152</f>
        <v>0</v>
      </c>
      <c r="O140">
        <f>'RESUMEN TOTAL'!T152</f>
        <v>0</v>
      </c>
      <c r="P140">
        <f>'RESUMEN TOTAL'!U152</f>
        <v>0</v>
      </c>
      <c r="Q140">
        <f>'RESUMEN TOTAL'!V152</f>
        <v>0</v>
      </c>
      <c r="R140">
        <f>'RESUMEN TOTAL'!W152</f>
        <v>0</v>
      </c>
      <c r="S140">
        <f>'RESUMEN TOTAL'!X152</f>
        <v>0</v>
      </c>
      <c r="T140">
        <f>'RESUMEN TOTAL'!Y152</f>
        <v>0</v>
      </c>
      <c r="U140">
        <f>'RESUMEN TOTAL'!Z152</f>
        <v>0</v>
      </c>
      <c r="V140">
        <f>'RESUMEN TOTAL'!AA152</f>
        <v>0</v>
      </c>
      <c r="W140">
        <f>'RESUMEN TOTAL'!AB152</f>
        <v>0</v>
      </c>
      <c r="X140">
        <f>'RESUMEN TOTAL'!AC152</f>
        <v>0</v>
      </c>
      <c r="Y140">
        <f>'RESUMEN TOTAL'!AD152</f>
        <v>0</v>
      </c>
      <c r="Z140">
        <f>'RESUMEN TOTAL'!AE152</f>
        <v>0</v>
      </c>
      <c r="AA140">
        <f>'RESUMEN TOTAL'!AF152</f>
        <v>0</v>
      </c>
      <c r="AB140">
        <f>'RESUMEN TOTAL'!AG152</f>
        <v>0</v>
      </c>
      <c r="AC140">
        <f>'RESUMEN TOTAL'!AH152</f>
        <v>0</v>
      </c>
      <c r="AD140">
        <f>'RESUMEN TOTAL'!AI152</f>
        <v>0</v>
      </c>
      <c r="AE140">
        <f>'RESUMEN TOTAL'!AJ152</f>
        <v>0</v>
      </c>
      <c r="AF140">
        <f>'RESUMEN TOTAL'!AK152</f>
        <v>0</v>
      </c>
      <c r="AG140">
        <f>'RESUMEN TOTAL'!AL152</f>
        <v>0</v>
      </c>
      <c r="AH140">
        <f>'RESUMEN TOTAL'!AM152</f>
        <v>0</v>
      </c>
      <c r="AI140">
        <f>'RESUMEN TOTAL'!AN152</f>
        <v>0</v>
      </c>
    </row>
    <row r="141" spans="1:35" x14ac:dyDescent="0.3">
      <c r="A141" t="str">
        <f>'RESUMEN TOTAL'!A154</f>
        <v>KM 26700 (JULIO A. COSTA)</v>
      </c>
      <c r="B141" t="str">
        <f>'RESUMEN TOTAL'!B154</f>
        <v>KM 12 FIJA 1</v>
      </c>
      <c r="C141" t="str">
        <f>'RESUMEN TOTAL'!D154</f>
        <v>BLANDENGUES Y LA ZAMBA</v>
      </c>
      <c r="D141" t="str">
        <f>'RESUMEN TOTAL'!E154</f>
        <v>Fija</v>
      </c>
      <c r="E141" t="str">
        <f>'RESUMEN TOTAL'!F154</f>
        <v>PTO A FO</v>
      </c>
      <c r="F141">
        <f>'RESUMEN TOTAL'!K154</f>
        <v>0</v>
      </c>
      <c r="G141">
        <f>'RESUMEN TOTAL'!L154</f>
        <v>0</v>
      </c>
      <c r="H141">
        <f>'RESUMEN TOTAL'!M154</f>
        <v>0</v>
      </c>
      <c r="I141">
        <f>'RESUMEN TOTAL'!N154</f>
        <v>0</v>
      </c>
      <c r="J141">
        <f>'RESUMEN TOTAL'!O154</f>
        <v>0</v>
      </c>
      <c r="K141">
        <f>'RESUMEN TOTAL'!P154</f>
        <v>0</v>
      </c>
      <c r="L141">
        <f>'RESUMEN TOTAL'!Q154</f>
        <v>0</v>
      </c>
      <c r="M141">
        <f>'RESUMEN TOTAL'!R154</f>
        <v>0</v>
      </c>
      <c r="N141">
        <f>'RESUMEN TOTAL'!S154</f>
        <v>0</v>
      </c>
      <c r="O141">
        <f>'RESUMEN TOTAL'!T154</f>
        <v>0</v>
      </c>
      <c r="P141">
        <f>'RESUMEN TOTAL'!U154</f>
        <v>0</v>
      </c>
      <c r="Q141">
        <f>'RESUMEN TOTAL'!V154</f>
        <v>0</v>
      </c>
      <c r="R141">
        <f>'RESUMEN TOTAL'!W154</f>
        <v>0</v>
      </c>
      <c r="S141">
        <f>'RESUMEN TOTAL'!X154</f>
        <v>0</v>
      </c>
      <c r="T141">
        <f>'RESUMEN TOTAL'!Y154</f>
        <v>0</v>
      </c>
      <c r="U141">
        <f>'RESUMEN TOTAL'!Z154</f>
        <v>0</v>
      </c>
      <c r="V141">
        <f>'RESUMEN TOTAL'!AA154</f>
        <v>0</v>
      </c>
      <c r="W141">
        <f>'RESUMEN TOTAL'!AB154</f>
        <v>0</v>
      </c>
      <c r="X141">
        <f>'RESUMEN TOTAL'!AC154</f>
        <v>0</v>
      </c>
      <c r="Y141">
        <f>'RESUMEN TOTAL'!AD154</f>
        <v>0</v>
      </c>
      <c r="Z141">
        <f>'RESUMEN TOTAL'!AE154</f>
        <v>0</v>
      </c>
      <c r="AA141">
        <f>'RESUMEN TOTAL'!AF154</f>
        <v>0</v>
      </c>
      <c r="AB141">
        <f>'RESUMEN TOTAL'!AG154</f>
        <v>0</v>
      </c>
      <c r="AC141">
        <f>'RESUMEN TOTAL'!AH154</f>
        <v>0</v>
      </c>
      <c r="AD141">
        <f>'RESUMEN TOTAL'!AI154</f>
        <v>0</v>
      </c>
      <c r="AE141">
        <f>'RESUMEN TOTAL'!AJ154</f>
        <v>0</v>
      </c>
      <c r="AF141">
        <f>'RESUMEN TOTAL'!AK154</f>
        <v>0</v>
      </c>
      <c r="AG141">
        <f>'RESUMEN TOTAL'!AL154</f>
        <v>0</v>
      </c>
      <c r="AH141">
        <f>'RESUMEN TOTAL'!AM154</f>
        <v>0</v>
      </c>
      <c r="AI141">
        <f>'RESUMEN TOTAL'!AN154</f>
        <v>0</v>
      </c>
    </row>
    <row r="142" spans="1:35" x14ac:dyDescent="0.3">
      <c r="A142" t="str">
        <f>'RESUMEN TOTAL'!A155</f>
        <v>KM 26700 (JULIO A. COSTA)</v>
      </c>
      <c r="B142" t="str">
        <f>'RESUMEN TOTAL'!B155</f>
        <v>KM 13 FIJA 2</v>
      </c>
      <c r="C142" t="str">
        <f>'RESUMEN TOTAL'!D155</f>
        <v>BLANDENGUES Y LA ZAMBA</v>
      </c>
      <c r="D142" t="str">
        <f>'RESUMEN TOTAL'!E155</f>
        <v>Fija</v>
      </c>
      <c r="E142" t="str">
        <f>'RESUMEN TOTAL'!F155</f>
        <v>PTO A FO</v>
      </c>
      <c r="F142">
        <f>'RESUMEN TOTAL'!K155</f>
        <v>0</v>
      </c>
      <c r="G142">
        <f>'RESUMEN TOTAL'!L155</f>
        <v>0</v>
      </c>
      <c r="H142">
        <f>'RESUMEN TOTAL'!M155</f>
        <v>0</v>
      </c>
      <c r="I142">
        <f>'RESUMEN TOTAL'!N155</f>
        <v>0</v>
      </c>
      <c r="J142">
        <f>'RESUMEN TOTAL'!O155</f>
        <v>0</v>
      </c>
      <c r="K142">
        <f>'RESUMEN TOTAL'!P155</f>
        <v>0</v>
      </c>
      <c r="L142">
        <f>'RESUMEN TOTAL'!Q155</f>
        <v>0</v>
      </c>
      <c r="M142">
        <f>'RESUMEN TOTAL'!R155</f>
        <v>0</v>
      </c>
      <c r="N142">
        <f>'RESUMEN TOTAL'!S155</f>
        <v>0</v>
      </c>
      <c r="O142">
        <f>'RESUMEN TOTAL'!T155</f>
        <v>0</v>
      </c>
      <c r="P142">
        <f>'RESUMEN TOTAL'!U155</f>
        <v>0</v>
      </c>
      <c r="Q142">
        <f>'RESUMEN TOTAL'!V155</f>
        <v>0</v>
      </c>
      <c r="R142">
        <f>'RESUMEN TOTAL'!W155</f>
        <v>0</v>
      </c>
      <c r="S142">
        <f>'RESUMEN TOTAL'!X155</f>
        <v>0</v>
      </c>
      <c r="T142">
        <f>'RESUMEN TOTAL'!Y155</f>
        <v>0</v>
      </c>
      <c r="U142">
        <f>'RESUMEN TOTAL'!Z155</f>
        <v>0</v>
      </c>
      <c r="V142">
        <f>'RESUMEN TOTAL'!AA155</f>
        <v>0</v>
      </c>
      <c r="W142">
        <f>'RESUMEN TOTAL'!AB155</f>
        <v>0</v>
      </c>
      <c r="X142">
        <f>'RESUMEN TOTAL'!AC155</f>
        <v>0</v>
      </c>
      <c r="Y142">
        <f>'RESUMEN TOTAL'!AD155</f>
        <v>0</v>
      </c>
      <c r="Z142">
        <f>'RESUMEN TOTAL'!AE155</f>
        <v>0</v>
      </c>
      <c r="AA142">
        <f>'RESUMEN TOTAL'!AF155</f>
        <v>0</v>
      </c>
      <c r="AB142">
        <f>'RESUMEN TOTAL'!AG155</f>
        <v>0</v>
      </c>
      <c r="AC142">
        <f>'RESUMEN TOTAL'!AH155</f>
        <v>0</v>
      </c>
      <c r="AD142">
        <f>'RESUMEN TOTAL'!AI155</f>
        <v>0</v>
      </c>
      <c r="AE142">
        <f>'RESUMEN TOTAL'!AJ155</f>
        <v>0</v>
      </c>
      <c r="AF142">
        <f>'RESUMEN TOTAL'!AK155</f>
        <v>0</v>
      </c>
      <c r="AG142">
        <f>'RESUMEN TOTAL'!AL155</f>
        <v>0</v>
      </c>
      <c r="AH142">
        <f>'RESUMEN TOTAL'!AM155</f>
        <v>0</v>
      </c>
      <c r="AI142">
        <f>'RESUMEN TOTAL'!AN155</f>
        <v>0</v>
      </c>
    </row>
    <row r="143" spans="1:35" x14ac:dyDescent="0.3">
      <c r="A143" t="str">
        <f>'RESUMEN TOTAL'!A156</f>
        <v>KM 26700 (JULIO A. COSTA)</v>
      </c>
      <c r="B143" t="str">
        <f>'RESUMEN TOTAL'!B156</f>
        <v>KM 14 (fija 1)</v>
      </c>
      <c r="C143" t="str">
        <f>'RESUMEN TOTAL'!D156</f>
        <v>EL GAUCHO Y EL ZONDA</v>
      </c>
      <c r="D143" t="str">
        <f>'RESUMEN TOTAL'!E156</f>
        <v>Fija</v>
      </c>
      <c r="E143" t="str">
        <f>'RESUMEN TOTAL'!F156</f>
        <v>PTO A FO</v>
      </c>
      <c r="F143">
        <f>'RESUMEN TOTAL'!K156</f>
        <v>0</v>
      </c>
      <c r="G143">
        <f>'RESUMEN TOTAL'!L156</f>
        <v>0</v>
      </c>
      <c r="H143">
        <f>'RESUMEN TOTAL'!M156</f>
        <v>0</v>
      </c>
      <c r="I143">
        <f>'RESUMEN TOTAL'!N156</f>
        <v>0</v>
      </c>
      <c r="J143">
        <f>'RESUMEN TOTAL'!O156</f>
        <v>0</v>
      </c>
      <c r="K143">
        <f>'RESUMEN TOTAL'!P156</f>
        <v>0</v>
      </c>
      <c r="L143">
        <f>'RESUMEN TOTAL'!Q156</f>
        <v>0</v>
      </c>
      <c r="M143">
        <f>'RESUMEN TOTAL'!R156</f>
        <v>0</v>
      </c>
      <c r="N143">
        <f>'RESUMEN TOTAL'!S156</f>
        <v>0</v>
      </c>
      <c r="O143">
        <f>'RESUMEN TOTAL'!T156</f>
        <v>0</v>
      </c>
      <c r="P143">
        <f>'RESUMEN TOTAL'!U156</f>
        <v>0</v>
      </c>
      <c r="Q143">
        <f>'RESUMEN TOTAL'!V156</f>
        <v>0</v>
      </c>
      <c r="R143">
        <f>'RESUMEN TOTAL'!W156</f>
        <v>0</v>
      </c>
      <c r="S143">
        <f>'RESUMEN TOTAL'!X156</f>
        <v>0</v>
      </c>
      <c r="T143">
        <f>'RESUMEN TOTAL'!Y156</f>
        <v>0</v>
      </c>
      <c r="U143">
        <f>'RESUMEN TOTAL'!Z156</f>
        <v>0</v>
      </c>
      <c r="V143">
        <f>'RESUMEN TOTAL'!AA156</f>
        <v>0</v>
      </c>
      <c r="W143">
        <f>'RESUMEN TOTAL'!AB156</f>
        <v>0</v>
      </c>
      <c r="X143">
        <f>'RESUMEN TOTAL'!AC156</f>
        <v>0</v>
      </c>
      <c r="Y143">
        <f>'RESUMEN TOTAL'!AD156</f>
        <v>0</v>
      </c>
      <c r="Z143">
        <f>'RESUMEN TOTAL'!AE156</f>
        <v>0</v>
      </c>
      <c r="AA143">
        <f>'RESUMEN TOTAL'!AF156</f>
        <v>0</v>
      </c>
      <c r="AB143">
        <f>'RESUMEN TOTAL'!AG156</f>
        <v>0</v>
      </c>
      <c r="AC143">
        <f>'RESUMEN TOTAL'!AH156</f>
        <v>0</v>
      </c>
      <c r="AD143">
        <f>'RESUMEN TOTAL'!AI156</f>
        <v>0</v>
      </c>
      <c r="AE143">
        <f>'RESUMEN TOTAL'!AJ156</f>
        <v>0</v>
      </c>
      <c r="AF143">
        <f>'RESUMEN TOTAL'!AK156</f>
        <v>0</v>
      </c>
      <c r="AG143">
        <f>'RESUMEN TOTAL'!AL156</f>
        <v>0</v>
      </c>
      <c r="AH143">
        <f>'RESUMEN TOTAL'!AM156</f>
        <v>0</v>
      </c>
      <c r="AI143">
        <f>'RESUMEN TOTAL'!AN156</f>
        <v>0</v>
      </c>
    </row>
    <row r="144" spans="1:35" x14ac:dyDescent="0.3">
      <c r="A144" t="str">
        <f>'RESUMEN TOTAL'!A157</f>
        <v>KM 26700 (JULIO A. COSTA)</v>
      </c>
      <c r="B144" t="str">
        <f>'RESUMEN TOTAL'!B157</f>
        <v>KM 15 (fija 2)</v>
      </c>
      <c r="C144" t="str">
        <f>'RESUMEN TOTAL'!D157</f>
        <v>EL GAUCHO Y EL ZONDA</v>
      </c>
      <c r="D144" t="str">
        <f>'RESUMEN TOTAL'!E157</f>
        <v>Fija</v>
      </c>
      <c r="E144" t="str">
        <f>'RESUMEN TOTAL'!F157</f>
        <v>PTO A FO</v>
      </c>
      <c r="F144">
        <f>'RESUMEN TOTAL'!K157</f>
        <v>0</v>
      </c>
      <c r="G144">
        <f>'RESUMEN TOTAL'!L157</f>
        <v>0</v>
      </c>
      <c r="H144">
        <f>'RESUMEN TOTAL'!M157</f>
        <v>0</v>
      </c>
      <c r="I144">
        <f>'RESUMEN TOTAL'!N157</f>
        <v>0</v>
      </c>
      <c r="J144">
        <f>'RESUMEN TOTAL'!O157</f>
        <v>0</v>
      </c>
      <c r="K144">
        <f>'RESUMEN TOTAL'!P157</f>
        <v>0</v>
      </c>
      <c r="L144">
        <f>'RESUMEN TOTAL'!Q157</f>
        <v>0</v>
      </c>
      <c r="M144">
        <f>'RESUMEN TOTAL'!R157</f>
        <v>0</v>
      </c>
      <c r="N144">
        <f>'RESUMEN TOTAL'!S157</f>
        <v>0</v>
      </c>
      <c r="O144">
        <f>'RESUMEN TOTAL'!T157</f>
        <v>0</v>
      </c>
      <c r="P144">
        <f>'RESUMEN TOTAL'!U157</f>
        <v>0</v>
      </c>
      <c r="Q144">
        <f>'RESUMEN TOTAL'!V157</f>
        <v>0</v>
      </c>
      <c r="R144">
        <f>'RESUMEN TOTAL'!W157</f>
        <v>0</v>
      </c>
      <c r="S144">
        <f>'RESUMEN TOTAL'!X157</f>
        <v>0</v>
      </c>
      <c r="T144">
        <f>'RESUMEN TOTAL'!Y157</f>
        <v>0</v>
      </c>
      <c r="U144">
        <f>'RESUMEN TOTAL'!Z157</f>
        <v>0</v>
      </c>
      <c r="V144">
        <f>'RESUMEN TOTAL'!AA157</f>
        <v>0</v>
      </c>
      <c r="W144">
        <f>'RESUMEN TOTAL'!AB157</f>
        <v>0</v>
      </c>
      <c r="X144">
        <f>'RESUMEN TOTAL'!AC157</f>
        <v>0</v>
      </c>
      <c r="Y144">
        <f>'RESUMEN TOTAL'!AD157</f>
        <v>0</v>
      </c>
      <c r="Z144">
        <f>'RESUMEN TOTAL'!AE157</f>
        <v>0</v>
      </c>
      <c r="AA144">
        <f>'RESUMEN TOTAL'!AF157</f>
        <v>0</v>
      </c>
      <c r="AB144">
        <f>'RESUMEN TOTAL'!AG157</f>
        <v>0</v>
      </c>
      <c r="AC144">
        <f>'RESUMEN TOTAL'!AH157</f>
        <v>0</v>
      </c>
      <c r="AD144">
        <f>'RESUMEN TOTAL'!AI157</f>
        <v>0</v>
      </c>
      <c r="AE144">
        <f>'RESUMEN TOTAL'!AJ157</f>
        <v>0</v>
      </c>
      <c r="AF144">
        <f>'RESUMEN TOTAL'!AK157</f>
        <v>0</v>
      </c>
      <c r="AG144">
        <f>'RESUMEN TOTAL'!AL157</f>
        <v>0</v>
      </c>
      <c r="AH144">
        <f>'RESUMEN TOTAL'!AM157</f>
        <v>0</v>
      </c>
      <c r="AI144">
        <f>'RESUMEN TOTAL'!AN157</f>
        <v>0</v>
      </c>
    </row>
    <row r="145" spans="1:35" x14ac:dyDescent="0.3">
      <c r="A145" t="str">
        <f>'RESUMEN TOTAL'!A158</f>
        <v>KM 26700 (JULIO A. COSTA)</v>
      </c>
      <c r="B145" t="str">
        <f>'RESUMEN TOTAL'!B158</f>
        <v>KM 16 (fija 1)</v>
      </c>
      <c r="C145" t="str">
        <f>'RESUMEN TOTAL'!D158</f>
        <v>EL GAUCHO Y MARTIN FIERRO</v>
      </c>
      <c r="D145" t="str">
        <f>'RESUMEN TOTAL'!E158</f>
        <v>Fija</v>
      </c>
      <c r="E145" t="str">
        <f>'RESUMEN TOTAL'!F158</f>
        <v>PTO A FO</v>
      </c>
      <c r="F145">
        <f>'RESUMEN TOTAL'!K158</f>
        <v>0</v>
      </c>
      <c r="G145">
        <f>'RESUMEN TOTAL'!L158</f>
        <v>0</v>
      </c>
      <c r="H145">
        <f>'RESUMEN TOTAL'!M158</f>
        <v>0</v>
      </c>
      <c r="I145">
        <f>'RESUMEN TOTAL'!N158</f>
        <v>0</v>
      </c>
      <c r="J145">
        <f>'RESUMEN TOTAL'!O158</f>
        <v>0</v>
      </c>
      <c r="K145">
        <f>'RESUMEN TOTAL'!P158</f>
        <v>0</v>
      </c>
      <c r="L145">
        <f>'RESUMEN TOTAL'!Q158</f>
        <v>0</v>
      </c>
      <c r="M145">
        <f>'RESUMEN TOTAL'!R158</f>
        <v>0</v>
      </c>
      <c r="N145">
        <f>'RESUMEN TOTAL'!S158</f>
        <v>0</v>
      </c>
      <c r="O145">
        <f>'RESUMEN TOTAL'!T158</f>
        <v>0</v>
      </c>
      <c r="P145">
        <f>'RESUMEN TOTAL'!U158</f>
        <v>0</v>
      </c>
      <c r="Q145">
        <f>'RESUMEN TOTAL'!V158</f>
        <v>0</v>
      </c>
      <c r="R145">
        <f>'RESUMEN TOTAL'!W158</f>
        <v>0</v>
      </c>
      <c r="S145">
        <f>'RESUMEN TOTAL'!X158</f>
        <v>0</v>
      </c>
      <c r="T145">
        <f>'RESUMEN TOTAL'!Y158</f>
        <v>0</v>
      </c>
      <c r="U145">
        <f>'RESUMEN TOTAL'!Z158</f>
        <v>0</v>
      </c>
      <c r="V145">
        <f>'RESUMEN TOTAL'!AA158</f>
        <v>0</v>
      </c>
      <c r="W145">
        <f>'RESUMEN TOTAL'!AB158</f>
        <v>0</v>
      </c>
      <c r="X145">
        <f>'RESUMEN TOTAL'!AC158</f>
        <v>0</v>
      </c>
      <c r="Y145">
        <f>'RESUMEN TOTAL'!AD158</f>
        <v>0</v>
      </c>
      <c r="Z145">
        <f>'RESUMEN TOTAL'!AE158</f>
        <v>0</v>
      </c>
      <c r="AA145">
        <f>'RESUMEN TOTAL'!AF158</f>
        <v>0</v>
      </c>
      <c r="AB145">
        <f>'RESUMEN TOTAL'!AG158</f>
        <v>0</v>
      </c>
      <c r="AC145">
        <f>'RESUMEN TOTAL'!AH158</f>
        <v>0</v>
      </c>
      <c r="AD145">
        <f>'RESUMEN TOTAL'!AI158</f>
        <v>0</v>
      </c>
      <c r="AE145">
        <f>'RESUMEN TOTAL'!AJ158</f>
        <v>0</v>
      </c>
      <c r="AF145">
        <f>'RESUMEN TOTAL'!AK158</f>
        <v>0</v>
      </c>
      <c r="AG145">
        <f>'RESUMEN TOTAL'!AL158</f>
        <v>0</v>
      </c>
      <c r="AH145">
        <f>'RESUMEN TOTAL'!AM158</f>
        <v>0</v>
      </c>
      <c r="AI145">
        <f>'RESUMEN TOTAL'!AN158</f>
        <v>0</v>
      </c>
    </row>
    <row r="146" spans="1:35" x14ac:dyDescent="0.3">
      <c r="A146" t="str">
        <f>'RESUMEN TOTAL'!A159</f>
        <v>KM 26700 (JULIO A. COSTA)</v>
      </c>
      <c r="B146" t="str">
        <f>'RESUMEN TOTAL'!B159</f>
        <v>KM 17 (fija 2)</v>
      </c>
      <c r="C146" t="str">
        <f>'RESUMEN TOTAL'!D159</f>
        <v>EL GAUCHO Y MARTIN FIERRO</v>
      </c>
      <c r="D146" t="str">
        <f>'RESUMEN TOTAL'!E159</f>
        <v>Fija</v>
      </c>
      <c r="E146" t="str">
        <f>'RESUMEN TOTAL'!F159</f>
        <v>PTO A FO</v>
      </c>
      <c r="F146">
        <f>'RESUMEN TOTAL'!K159</f>
        <v>0</v>
      </c>
      <c r="G146">
        <f>'RESUMEN TOTAL'!L159</f>
        <v>0</v>
      </c>
      <c r="H146">
        <f>'RESUMEN TOTAL'!M159</f>
        <v>0</v>
      </c>
      <c r="I146">
        <f>'RESUMEN TOTAL'!N159</f>
        <v>0</v>
      </c>
      <c r="J146">
        <f>'RESUMEN TOTAL'!O159</f>
        <v>0</v>
      </c>
      <c r="K146">
        <f>'RESUMEN TOTAL'!P159</f>
        <v>0</v>
      </c>
      <c r="L146">
        <f>'RESUMEN TOTAL'!Q159</f>
        <v>0</v>
      </c>
      <c r="M146">
        <f>'RESUMEN TOTAL'!R159</f>
        <v>0</v>
      </c>
      <c r="N146">
        <f>'RESUMEN TOTAL'!S159</f>
        <v>0</v>
      </c>
      <c r="O146">
        <f>'RESUMEN TOTAL'!T159</f>
        <v>0</v>
      </c>
      <c r="P146">
        <f>'RESUMEN TOTAL'!U159</f>
        <v>0</v>
      </c>
      <c r="Q146">
        <f>'RESUMEN TOTAL'!V159</f>
        <v>0</v>
      </c>
      <c r="R146">
        <f>'RESUMEN TOTAL'!W159</f>
        <v>0</v>
      </c>
      <c r="S146">
        <f>'RESUMEN TOTAL'!X159</f>
        <v>0</v>
      </c>
      <c r="T146">
        <f>'RESUMEN TOTAL'!Y159</f>
        <v>0</v>
      </c>
      <c r="U146">
        <f>'RESUMEN TOTAL'!Z159</f>
        <v>0</v>
      </c>
      <c r="V146">
        <f>'RESUMEN TOTAL'!AA159</f>
        <v>0</v>
      </c>
      <c r="W146">
        <f>'RESUMEN TOTAL'!AB159</f>
        <v>0</v>
      </c>
      <c r="X146">
        <f>'RESUMEN TOTAL'!AC159</f>
        <v>0</v>
      </c>
      <c r="Y146">
        <f>'RESUMEN TOTAL'!AD159</f>
        <v>0</v>
      </c>
      <c r="Z146">
        <f>'RESUMEN TOTAL'!AE159</f>
        <v>0</v>
      </c>
      <c r="AA146">
        <f>'RESUMEN TOTAL'!AF159</f>
        <v>0</v>
      </c>
      <c r="AB146">
        <f>'RESUMEN TOTAL'!AG159</f>
        <v>0</v>
      </c>
      <c r="AC146">
        <f>'RESUMEN TOTAL'!AH159</f>
        <v>0</v>
      </c>
      <c r="AD146">
        <f>'RESUMEN TOTAL'!AI159</f>
        <v>0</v>
      </c>
      <c r="AE146">
        <f>'RESUMEN TOTAL'!AJ159</f>
        <v>0</v>
      </c>
      <c r="AF146">
        <f>'RESUMEN TOTAL'!AK159</f>
        <v>0</v>
      </c>
      <c r="AG146">
        <f>'RESUMEN TOTAL'!AL159</f>
        <v>0</v>
      </c>
      <c r="AH146">
        <f>'RESUMEN TOTAL'!AM159</f>
        <v>0</v>
      </c>
      <c r="AI146">
        <f>'RESUMEN TOTAL'!AN159</f>
        <v>0</v>
      </c>
    </row>
    <row r="147" spans="1:35" x14ac:dyDescent="0.3">
      <c r="A147" t="str">
        <f>'RESUMEN TOTAL'!A143</f>
        <v>VILLA ARGENTINA</v>
      </c>
      <c r="B147" t="str">
        <f>'RESUMEN TOTAL'!B143</f>
        <v>KM01</v>
      </c>
      <c r="C147" t="str">
        <f>'RESUMEN TOTAL'!D143</f>
        <v>Vias FFCC y La Pulperia</v>
      </c>
      <c r="D147" t="str">
        <f>'RESUMEN TOTAL'!E143</f>
        <v>DOMO</v>
      </c>
      <c r="E147" t="str">
        <f>'RESUMEN TOTAL'!F143</f>
        <v>Radio</v>
      </c>
      <c r="F147" t="str">
        <f>'RESUMEN TOTAL'!K143</f>
        <v>APAGADO</v>
      </c>
      <c r="G147" t="str">
        <f>'RESUMEN TOTAL'!L143</f>
        <v>APAGADO</v>
      </c>
      <c r="H147">
        <f>'RESUMEN TOTAL'!M143</f>
        <v>0</v>
      </c>
      <c r="I147">
        <f>'RESUMEN TOTAL'!N143</f>
        <v>0</v>
      </c>
      <c r="J147">
        <f>'RESUMEN TOTAL'!O143</f>
        <v>0</v>
      </c>
      <c r="K147">
        <f>'RESUMEN TOTAL'!P143</f>
        <v>0</v>
      </c>
      <c r="L147">
        <f>'RESUMEN TOTAL'!Q143</f>
        <v>0</v>
      </c>
      <c r="M147">
        <f>'RESUMEN TOTAL'!R143</f>
        <v>0</v>
      </c>
      <c r="N147">
        <f>'RESUMEN TOTAL'!S143</f>
        <v>0</v>
      </c>
      <c r="O147">
        <f>'RESUMEN TOTAL'!T143</f>
        <v>0</v>
      </c>
      <c r="P147">
        <f>'RESUMEN TOTAL'!U143</f>
        <v>0</v>
      </c>
      <c r="Q147">
        <f>'RESUMEN TOTAL'!V143</f>
        <v>0</v>
      </c>
      <c r="R147">
        <f>'RESUMEN TOTAL'!W143</f>
        <v>0</v>
      </c>
      <c r="S147">
        <f>'RESUMEN TOTAL'!X143</f>
        <v>0</v>
      </c>
      <c r="T147">
        <f>'RESUMEN TOTAL'!Y143</f>
        <v>0</v>
      </c>
      <c r="U147">
        <f>'RESUMEN TOTAL'!Z143</f>
        <v>0</v>
      </c>
      <c r="V147">
        <f>'RESUMEN TOTAL'!AA143</f>
        <v>0</v>
      </c>
      <c r="W147">
        <f>'RESUMEN TOTAL'!AB143</f>
        <v>0</v>
      </c>
      <c r="X147">
        <f>'RESUMEN TOTAL'!AC143</f>
        <v>0</v>
      </c>
      <c r="Y147">
        <f>'RESUMEN TOTAL'!AD143</f>
        <v>0</v>
      </c>
      <c r="Z147">
        <f>'RESUMEN TOTAL'!AE143</f>
        <v>0</v>
      </c>
      <c r="AA147">
        <f>'RESUMEN TOTAL'!AF143</f>
        <v>0</v>
      </c>
      <c r="AB147">
        <f>'RESUMEN TOTAL'!AG143</f>
        <v>0</v>
      </c>
      <c r="AC147">
        <f>'RESUMEN TOTAL'!AH143</f>
        <v>0</v>
      </c>
      <c r="AD147">
        <f>'RESUMEN TOTAL'!AI143</f>
        <v>0</v>
      </c>
      <c r="AE147">
        <f>'RESUMEN TOTAL'!AJ143</f>
        <v>0</v>
      </c>
      <c r="AF147">
        <f>'RESUMEN TOTAL'!AK143</f>
        <v>0</v>
      </c>
      <c r="AG147">
        <f>'RESUMEN TOTAL'!AL143</f>
        <v>0</v>
      </c>
      <c r="AH147">
        <f>'RESUMEN TOTAL'!AM143</f>
        <v>0</v>
      </c>
      <c r="AI147">
        <f>'RESUMEN TOTAL'!AN143</f>
        <v>0</v>
      </c>
    </row>
    <row r="148" spans="1:35" x14ac:dyDescent="0.3">
      <c r="A148" t="str">
        <f>'RESUMEN TOTAL'!A144</f>
        <v>CHACABUCO</v>
      </c>
      <c r="B148" t="str">
        <f>'RESUMEN TOTAL'!B144</f>
        <v>KM02</v>
      </c>
      <c r="C148" t="str">
        <f>'RESUMEN TOTAL'!D144</f>
        <v>Novak e/El Overo y el Mangrullo</v>
      </c>
      <c r="D148" t="str">
        <f>'RESUMEN TOTAL'!E144</f>
        <v>Domo</v>
      </c>
      <c r="E148" t="str">
        <f>'RESUMEN TOTAL'!F144</f>
        <v>Radio</v>
      </c>
      <c r="F148">
        <f>'RESUMEN TOTAL'!K144</f>
        <v>0</v>
      </c>
      <c r="G148">
        <f>'RESUMEN TOTAL'!L144</f>
        <v>0</v>
      </c>
      <c r="H148">
        <f>'RESUMEN TOTAL'!M144</f>
        <v>0</v>
      </c>
      <c r="I148">
        <f>'RESUMEN TOTAL'!N144</f>
        <v>0</v>
      </c>
      <c r="J148">
        <f>'RESUMEN TOTAL'!O144</f>
        <v>0</v>
      </c>
      <c r="K148">
        <f>'RESUMEN TOTAL'!P144</f>
        <v>0</v>
      </c>
      <c r="L148">
        <f>'RESUMEN TOTAL'!Q144</f>
        <v>0</v>
      </c>
      <c r="M148">
        <f>'RESUMEN TOTAL'!R144</f>
        <v>0</v>
      </c>
      <c r="N148">
        <f>'RESUMEN TOTAL'!S144</f>
        <v>0</v>
      </c>
      <c r="O148">
        <f>'RESUMEN TOTAL'!T144</f>
        <v>0</v>
      </c>
      <c r="P148">
        <f>'RESUMEN TOTAL'!U144</f>
        <v>0</v>
      </c>
      <c r="Q148">
        <f>'RESUMEN TOTAL'!V144</f>
        <v>0</v>
      </c>
      <c r="R148">
        <f>'RESUMEN TOTAL'!W144</f>
        <v>0</v>
      </c>
      <c r="S148">
        <f>'RESUMEN TOTAL'!X144</f>
        <v>0</v>
      </c>
      <c r="T148">
        <f>'RESUMEN TOTAL'!Y144</f>
        <v>0</v>
      </c>
      <c r="U148">
        <f>'RESUMEN TOTAL'!Z144</f>
        <v>0</v>
      </c>
      <c r="V148">
        <f>'RESUMEN TOTAL'!AA144</f>
        <v>0</v>
      </c>
      <c r="W148">
        <f>'RESUMEN TOTAL'!AB144</f>
        <v>0</v>
      </c>
      <c r="X148">
        <f>'RESUMEN TOTAL'!AC144</f>
        <v>0</v>
      </c>
      <c r="Y148">
        <f>'RESUMEN TOTAL'!AD144</f>
        <v>0</v>
      </c>
      <c r="Z148">
        <f>'RESUMEN TOTAL'!AE144</f>
        <v>0</v>
      </c>
      <c r="AA148">
        <f>'RESUMEN TOTAL'!AF144</f>
        <v>0</v>
      </c>
      <c r="AB148">
        <f>'RESUMEN TOTAL'!AG144</f>
        <v>0</v>
      </c>
      <c r="AC148">
        <f>'RESUMEN TOTAL'!AH144</f>
        <v>0</v>
      </c>
      <c r="AD148">
        <f>'RESUMEN TOTAL'!AI144</f>
        <v>0</v>
      </c>
      <c r="AE148">
        <f>'RESUMEN TOTAL'!AJ144</f>
        <v>0</v>
      </c>
      <c r="AF148">
        <f>'RESUMEN TOTAL'!AK144</f>
        <v>0</v>
      </c>
      <c r="AG148">
        <f>'RESUMEN TOTAL'!AL144</f>
        <v>0</v>
      </c>
      <c r="AH148">
        <f>'RESUMEN TOTAL'!AM144</f>
        <v>0</v>
      </c>
      <c r="AI148">
        <f>'RESUMEN TOTAL'!AN144</f>
        <v>0</v>
      </c>
    </row>
    <row r="149" spans="1:35" x14ac:dyDescent="0.3">
      <c r="A149" t="str">
        <f>'RESUMEN TOTAL'!A145</f>
        <v>KM 26700 (JULIO A. COSTA)</v>
      </c>
      <c r="B149" t="str">
        <f>'RESUMEN TOTAL'!B145</f>
        <v>KM03</v>
      </c>
      <c r="C149" t="str">
        <f>'RESUMEN TOTAL'!D145</f>
        <v>Novak y La Pulperia</v>
      </c>
      <c r="D149" t="str">
        <f>'RESUMEN TOTAL'!E145</f>
        <v>Domo</v>
      </c>
      <c r="E149" t="str">
        <f>'RESUMEN TOTAL'!F145</f>
        <v>Radio</v>
      </c>
      <c r="F149">
        <f>'RESUMEN TOTAL'!K145</f>
        <v>0</v>
      </c>
      <c r="G149">
        <f>'RESUMEN TOTAL'!L145</f>
        <v>0</v>
      </c>
      <c r="H149">
        <f>'RESUMEN TOTAL'!M145</f>
        <v>0</v>
      </c>
      <c r="I149">
        <f>'RESUMEN TOTAL'!N145</f>
        <v>0</v>
      </c>
      <c r="J149">
        <f>'RESUMEN TOTAL'!O145</f>
        <v>0</v>
      </c>
      <c r="K149">
        <f>'RESUMEN TOTAL'!P145</f>
        <v>0</v>
      </c>
      <c r="L149">
        <f>'RESUMEN TOTAL'!Q145</f>
        <v>0</v>
      </c>
      <c r="M149">
        <f>'RESUMEN TOTAL'!R145</f>
        <v>0</v>
      </c>
      <c r="N149">
        <f>'RESUMEN TOTAL'!S145</f>
        <v>0</v>
      </c>
      <c r="O149">
        <f>'RESUMEN TOTAL'!T145</f>
        <v>0</v>
      </c>
      <c r="P149">
        <f>'RESUMEN TOTAL'!U145</f>
        <v>0</v>
      </c>
      <c r="Q149">
        <f>'RESUMEN TOTAL'!V145</f>
        <v>0</v>
      </c>
      <c r="R149">
        <f>'RESUMEN TOTAL'!W145</f>
        <v>0</v>
      </c>
      <c r="S149">
        <f>'RESUMEN TOTAL'!X145</f>
        <v>0</v>
      </c>
      <c r="T149">
        <f>'RESUMEN TOTAL'!Y145</f>
        <v>0</v>
      </c>
      <c r="U149">
        <f>'RESUMEN TOTAL'!Z145</f>
        <v>0</v>
      </c>
      <c r="V149">
        <f>'RESUMEN TOTAL'!AA145</f>
        <v>0</v>
      </c>
      <c r="W149">
        <f>'RESUMEN TOTAL'!AB145</f>
        <v>0</v>
      </c>
      <c r="X149">
        <f>'RESUMEN TOTAL'!AC145</f>
        <v>0</v>
      </c>
      <c r="Y149">
        <f>'RESUMEN TOTAL'!AD145</f>
        <v>0</v>
      </c>
      <c r="Z149">
        <f>'RESUMEN TOTAL'!AE145</f>
        <v>0</v>
      </c>
      <c r="AA149">
        <f>'RESUMEN TOTAL'!AF145</f>
        <v>0</v>
      </c>
      <c r="AB149">
        <f>'RESUMEN TOTAL'!AG145</f>
        <v>0</v>
      </c>
      <c r="AC149">
        <f>'RESUMEN TOTAL'!AH145</f>
        <v>0</v>
      </c>
      <c r="AD149">
        <f>'RESUMEN TOTAL'!AI145</f>
        <v>0</v>
      </c>
      <c r="AE149">
        <f>'RESUMEN TOTAL'!AJ145</f>
        <v>0</v>
      </c>
      <c r="AF149">
        <f>'RESUMEN TOTAL'!AK145</f>
        <v>0</v>
      </c>
      <c r="AG149">
        <f>'RESUMEN TOTAL'!AL145</f>
        <v>0</v>
      </c>
      <c r="AH149">
        <f>'RESUMEN TOTAL'!AM145</f>
        <v>0</v>
      </c>
      <c r="AI149">
        <f>'RESUMEN TOTAL'!AN145</f>
        <v>0</v>
      </c>
    </row>
    <row r="150" spans="1:35" x14ac:dyDescent="0.3">
      <c r="A150" t="str">
        <f>'RESUMEN TOTAL'!A146</f>
        <v>KM 26700 (JULIO A. COSTA)</v>
      </c>
      <c r="B150" t="str">
        <f>'RESUMEN TOTAL'!B146</f>
        <v>KM04</v>
      </c>
      <c r="C150" t="str">
        <f>'RESUMEN TOTAL'!D146</f>
        <v>El Ombu y El Zonda</v>
      </c>
      <c r="D150" t="str">
        <f>'RESUMEN TOTAL'!E146</f>
        <v>Domo</v>
      </c>
      <c r="E150" t="str">
        <f>'RESUMEN TOTAL'!F146</f>
        <v>Radio</v>
      </c>
      <c r="F150">
        <f>'RESUMEN TOTAL'!K146</f>
        <v>0</v>
      </c>
      <c r="G150">
        <f>'RESUMEN TOTAL'!L146</f>
        <v>0</v>
      </c>
      <c r="H150">
        <f>'RESUMEN TOTAL'!M146</f>
        <v>0</v>
      </c>
      <c r="I150">
        <f>'RESUMEN TOTAL'!N146</f>
        <v>0</v>
      </c>
      <c r="J150">
        <f>'RESUMEN TOTAL'!O146</f>
        <v>0</v>
      </c>
      <c r="K150">
        <f>'RESUMEN TOTAL'!P146</f>
        <v>0</v>
      </c>
      <c r="L150">
        <f>'RESUMEN TOTAL'!Q146</f>
        <v>0</v>
      </c>
      <c r="M150">
        <f>'RESUMEN TOTAL'!R146</f>
        <v>0</v>
      </c>
      <c r="N150">
        <f>'RESUMEN TOTAL'!S146</f>
        <v>0</v>
      </c>
      <c r="O150">
        <f>'RESUMEN TOTAL'!T146</f>
        <v>0</v>
      </c>
      <c r="P150">
        <f>'RESUMEN TOTAL'!U146</f>
        <v>0</v>
      </c>
      <c r="Q150">
        <f>'RESUMEN TOTAL'!V146</f>
        <v>0</v>
      </c>
      <c r="R150">
        <f>'RESUMEN TOTAL'!W146</f>
        <v>0</v>
      </c>
      <c r="S150">
        <f>'RESUMEN TOTAL'!X146</f>
        <v>0</v>
      </c>
      <c r="T150">
        <f>'RESUMEN TOTAL'!Y146</f>
        <v>0</v>
      </c>
      <c r="U150">
        <f>'RESUMEN TOTAL'!Z146</f>
        <v>0</v>
      </c>
      <c r="V150">
        <f>'RESUMEN TOTAL'!AA146</f>
        <v>0</v>
      </c>
      <c r="W150">
        <f>'RESUMEN TOTAL'!AB146</f>
        <v>0</v>
      </c>
      <c r="X150">
        <f>'RESUMEN TOTAL'!AC146</f>
        <v>0</v>
      </c>
      <c r="Y150">
        <f>'RESUMEN TOTAL'!AD146</f>
        <v>0</v>
      </c>
      <c r="Z150">
        <f>'RESUMEN TOTAL'!AE146</f>
        <v>0</v>
      </c>
      <c r="AA150">
        <f>'RESUMEN TOTAL'!AF146</f>
        <v>0</v>
      </c>
      <c r="AB150">
        <f>'RESUMEN TOTAL'!AG146</f>
        <v>0</v>
      </c>
      <c r="AC150">
        <f>'RESUMEN TOTAL'!AH146</f>
        <v>0</v>
      </c>
      <c r="AD150">
        <f>'RESUMEN TOTAL'!AI146</f>
        <v>0</v>
      </c>
      <c r="AE150">
        <f>'RESUMEN TOTAL'!AJ146</f>
        <v>0</v>
      </c>
      <c r="AF150">
        <f>'RESUMEN TOTAL'!AK146</f>
        <v>0</v>
      </c>
      <c r="AG150">
        <f>'RESUMEN TOTAL'!AL146</f>
        <v>0</v>
      </c>
      <c r="AH150">
        <f>'RESUMEN TOTAL'!AM146</f>
        <v>0</v>
      </c>
      <c r="AI150">
        <f>'RESUMEN TOTAL'!AN146</f>
        <v>0</v>
      </c>
    </row>
    <row r="151" spans="1:35" x14ac:dyDescent="0.3">
      <c r="A151" t="str">
        <f>'RESUMEN TOTAL'!A147</f>
        <v>KM 26700 (JULIO A. COSTA)</v>
      </c>
      <c r="B151" t="str">
        <f>'RESUMEN TOTAL'!B147</f>
        <v>KM05</v>
      </c>
      <c r="C151" t="str">
        <f>'RESUMEN TOTAL'!D147</f>
        <v>El Ombu y Los Charruas</v>
      </c>
      <c r="D151" t="str">
        <f>'RESUMEN TOTAL'!E147</f>
        <v>Domo</v>
      </c>
      <c r="E151" t="str">
        <f>'RESUMEN TOTAL'!F147</f>
        <v>Radio</v>
      </c>
      <c r="F151">
        <f>'RESUMEN TOTAL'!K147</f>
        <v>0</v>
      </c>
      <c r="G151">
        <f>'RESUMEN TOTAL'!L147</f>
        <v>0</v>
      </c>
      <c r="H151">
        <f>'RESUMEN TOTAL'!M147</f>
        <v>0</v>
      </c>
      <c r="I151">
        <f>'RESUMEN TOTAL'!N147</f>
        <v>0</v>
      </c>
      <c r="J151">
        <f>'RESUMEN TOTAL'!O147</f>
        <v>0</v>
      </c>
      <c r="K151">
        <f>'RESUMEN TOTAL'!P147</f>
        <v>0</v>
      </c>
      <c r="L151">
        <f>'RESUMEN TOTAL'!Q147</f>
        <v>0</v>
      </c>
      <c r="M151">
        <f>'RESUMEN TOTAL'!R147</f>
        <v>0</v>
      </c>
      <c r="N151">
        <f>'RESUMEN TOTAL'!S147</f>
        <v>0</v>
      </c>
      <c r="O151">
        <f>'RESUMEN TOTAL'!T147</f>
        <v>0</v>
      </c>
      <c r="P151">
        <f>'RESUMEN TOTAL'!U147</f>
        <v>0</v>
      </c>
      <c r="Q151">
        <f>'RESUMEN TOTAL'!V147</f>
        <v>0</v>
      </c>
      <c r="R151">
        <f>'RESUMEN TOTAL'!W147</f>
        <v>0</v>
      </c>
      <c r="S151">
        <f>'RESUMEN TOTAL'!X147</f>
        <v>0</v>
      </c>
      <c r="T151">
        <f>'RESUMEN TOTAL'!Y147</f>
        <v>0</v>
      </c>
      <c r="U151">
        <f>'RESUMEN TOTAL'!Z147</f>
        <v>0</v>
      </c>
      <c r="V151">
        <f>'RESUMEN TOTAL'!AA147</f>
        <v>0</v>
      </c>
      <c r="W151">
        <f>'RESUMEN TOTAL'!AB147</f>
        <v>0</v>
      </c>
      <c r="X151">
        <f>'RESUMEN TOTAL'!AC147</f>
        <v>0</v>
      </c>
      <c r="Y151">
        <f>'RESUMEN TOTAL'!AD147</f>
        <v>0</v>
      </c>
      <c r="Z151">
        <f>'RESUMEN TOTAL'!AE147</f>
        <v>0</v>
      </c>
      <c r="AA151">
        <f>'RESUMEN TOTAL'!AF147</f>
        <v>0</v>
      </c>
      <c r="AB151">
        <f>'RESUMEN TOTAL'!AG147</f>
        <v>0</v>
      </c>
      <c r="AC151">
        <f>'RESUMEN TOTAL'!AH147</f>
        <v>0</v>
      </c>
      <c r="AD151">
        <f>'RESUMEN TOTAL'!AI147</f>
        <v>0</v>
      </c>
      <c r="AE151">
        <f>'RESUMEN TOTAL'!AJ147</f>
        <v>0</v>
      </c>
      <c r="AF151">
        <f>'RESUMEN TOTAL'!AK147</f>
        <v>0</v>
      </c>
      <c r="AG151">
        <f>'RESUMEN TOTAL'!AL147</f>
        <v>0</v>
      </c>
      <c r="AH151">
        <f>'RESUMEN TOTAL'!AM147</f>
        <v>0</v>
      </c>
      <c r="AI151">
        <f>'RESUMEN TOTAL'!AN147</f>
        <v>0</v>
      </c>
    </row>
    <row r="152" spans="1:35" x14ac:dyDescent="0.3">
      <c r="A152" t="str">
        <f>'RESUMEN TOTAL'!A148</f>
        <v>KM 26700 (JULIO A. COSTA)</v>
      </c>
      <c r="B152" t="str">
        <f>'RESUMEN TOTAL'!B148</f>
        <v>KM06</v>
      </c>
      <c r="C152" t="str">
        <f>'RESUMEN TOTAL'!D148</f>
        <v>El Ombu y La Cautiva</v>
      </c>
      <c r="D152" t="str">
        <f>'RESUMEN TOTAL'!E148</f>
        <v>DOMO</v>
      </c>
      <c r="E152" t="str">
        <f>'RESUMEN TOTAL'!F148</f>
        <v>Radio</v>
      </c>
      <c r="F152">
        <f>'RESUMEN TOTAL'!K148</f>
        <v>0</v>
      </c>
      <c r="G152">
        <f>'RESUMEN TOTAL'!L148</f>
        <v>0</v>
      </c>
      <c r="H152">
        <f>'RESUMEN TOTAL'!M148</f>
        <v>0</v>
      </c>
      <c r="I152">
        <f>'RESUMEN TOTAL'!N148</f>
        <v>0</v>
      </c>
      <c r="J152">
        <f>'RESUMEN TOTAL'!O148</f>
        <v>0</v>
      </c>
      <c r="K152">
        <f>'RESUMEN TOTAL'!P148</f>
        <v>0</v>
      </c>
      <c r="L152">
        <f>'RESUMEN TOTAL'!Q148</f>
        <v>0</v>
      </c>
      <c r="M152">
        <f>'RESUMEN TOTAL'!R148</f>
        <v>0</v>
      </c>
      <c r="N152">
        <f>'RESUMEN TOTAL'!S148</f>
        <v>0</v>
      </c>
      <c r="O152">
        <f>'RESUMEN TOTAL'!T148</f>
        <v>0</v>
      </c>
      <c r="P152">
        <f>'RESUMEN TOTAL'!U148</f>
        <v>0</v>
      </c>
      <c r="Q152">
        <f>'RESUMEN TOTAL'!V148</f>
        <v>0</v>
      </c>
      <c r="R152">
        <f>'RESUMEN TOTAL'!W148</f>
        <v>0</v>
      </c>
      <c r="S152">
        <f>'RESUMEN TOTAL'!X148</f>
        <v>0</v>
      </c>
      <c r="T152">
        <f>'RESUMEN TOTAL'!Y148</f>
        <v>0</v>
      </c>
      <c r="U152">
        <f>'RESUMEN TOTAL'!Z148</f>
        <v>0</v>
      </c>
      <c r="V152">
        <f>'RESUMEN TOTAL'!AA148</f>
        <v>0</v>
      </c>
      <c r="W152">
        <f>'RESUMEN TOTAL'!AB148</f>
        <v>0</v>
      </c>
      <c r="X152">
        <f>'RESUMEN TOTAL'!AC148</f>
        <v>0</v>
      </c>
      <c r="Y152">
        <f>'RESUMEN TOTAL'!AD148</f>
        <v>0</v>
      </c>
      <c r="Z152">
        <f>'RESUMEN TOTAL'!AE148</f>
        <v>0</v>
      </c>
      <c r="AA152">
        <f>'RESUMEN TOTAL'!AF148</f>
        <v>0</v>
      </c>
      <c r="AB152">
        <f>'RESUMEN TOTAL'!AG148</f>
        <v>0</v>
      </c>
      <c r="AC152">
        <f>'RESUMEN TOTAL'!AH148</f>
        <v>0</v>
      </c>
      <c r="AD152">
        <f>'RESUMEN TOTAL'!AI148</f>
        <v>0</v>
      </c>
      <c r="AE152">
        <f>'RESUMEN TOTAL'!AJ148</f>
        <v>0</v>
      </c>
      <c r="AF152">
        <f>'RESUMEN TOTAL'!AK148</f>
        <v>0</v>
      </c>
      <c r="AG152">
        <f>'RESUMEN TOTAL'!AL148</f>
        <v>0</v>
      </c>
      <c r="AH152">
        <f>'RESUMEN TOTAL'!AM148</f>
        <v>0</v>
      </c>
      <c r="AI152">
        <f>'RESUMEN TOTAL'!AN148</f>
        <v>0</v>
      </c>
    </row>
    <row r="153" spans="1:35" x14ac:dyDescent="0.3">
      <c r="A153" t="str">
        <f>'RESUMEN TOTAL'!A150</f>
        <v>KM 26700 (JULIO A. COSTA)</v>
      </c>
      <c r="B153" t="str">
        <f>'RESUMEN TOTAL'!B150</f>
        <v>KM08 / UPA 03</v>
      </c>
      <c r="C153" t="str">
        <f>'RESUMEN TOTAL'!D150</f>
        <v>LOS CHARRUAS Y BLANDENGUES</v>
      </c>
      <c r="D153" t="str">
        <f>'RESUMEN TOTAL'!E150</f>
        <v>DOMO</v>
      </c>
      <c r="E153" t="str">
        <f>'RESUMEN TOTAL'!F150</f>
        <v>Radio</v>
      </c>
      <c r="F153">
        <f>'RESUMEN TOTAL'!K150</f>
        <v>0</v>
      </c>
      <c r="G153">
        <f>'RESUMEN TOTAL'!L150</f>
        <v>0</v>
      </c>
      <c r="H153">
        <f>'RESUMEN TOTAL'!M150</f>
        <v>0</v>
      </c>
      <c r="I153">
        <f>'RESUMEN TOTAL'!N150</f>
        <v>0</v>
      </c>
      <c r="J153">
        <f>'RESUMEN TOTAL'!O150</f>
        <v>0</v>
      </c>
      <c r="K153">
        <f>'RESUMEN TOTAL'!P150</f>
        <v>0</v>
      </c>
      <c r="L153">
        <f>'RESUMEN TOTAL'!Q150</f>
        <v>0</v>
      </c>
      <c r="M153">
        <f>'RESUMEN TOTAL'!R150</f>
        <v>0</v>
      </c>
      <c r="N153">
        <f>'RESUMEN TOTAL'!S150</f>
        <v>0</v>
      </c>
      <c r="O153">
        <f>'RESUMEN TOTAL'!T150</f>
        <v>0</v>
      </c>
      <c r="P153">
        <f>'RESUMEN TOTAL'!U150</f>
        <v>0</v>
      </c>
      <c r="Q153">
        <f>'RESUMEN TOTAL'!V150</f>
        <v>0</v>
      </c>
      <c r="R153">
        <f>'RESUMEN TOTAL'!W150</f>
        <v>0</v>
      </c>
      <c r="S153">
        <f>'RESUMEN TOTAL'!X150</f>
        <v>0</v>
      </c>
      <c r="T153">
        <f>'RESUMEN TOTAL'!Y150</f>
        <v>0</v>
      </c>
      <c r="U153">
        <f>'RESUMEN TOTAL'!Z150</f>
        <v>0</v>
      </c>
      <c r="V153">
        <f>'RESUMEN TOTAL'!AA150</f>
        <v>0</v>
      </c>
      <c r="W153">
        <f>'RESUMEN TOTAL'!AB150</f>
        <v>0</v>
      </c>
      <c r="X153">
        <f>'RESUMEN TOTAL'!AC150</f>
        <v>0</v>
      </c>
      <c r="Y153">
        <f>'RESUMEN TOTAL'!AD150</f>
        <v>0</v>
      </c>
      <c r="Z153">
        <f>'RESUMEN TOTAL'!AE150</f>
        <v>0</v>
      </c>
      <c r="AA153">
        <f>'RESUMEN TOTAL'!AF150</f>
        <v>0</v>
      </c>
      <c r="AB153">
        <f>'RESUMEN TOTAL'!AG150</f>
        <v>0</v>
      </c>
      <c r="AC153">
        <f>'RESUMEN TOTAL'!AH150</f>
        <v>0</v>
      </c>
      <c r="AD153">
        <f>'RESUMEN TOTAL'!AI150</f>
        <v>0</v>
      </c>
      <c r="AE153">
        <f>'RESUMEN TOTAL'!AJ150</f>
        <v>0</v>
      </c>
      <c r="AF153">
        <f>'RESUMEN TOTAL'!AK150</f>
        <v>0</v>
      </c>
      <c r="AG153">
        <f>'RESUMEN TOTAL'!AL150</f>
        <v>0</v>
      </c>
      <c r="AH153">
        <f>'RESUMEN TOTAL'!AM150</f>
        <v>0</v>
      </c>
      <c r="AI153">
        <f>'RESUMEN TOTAL'!AN150</f>
        <v>0</v>
      </c>
    </row>
    <row r="154" spans="1:35" x14ac:dyDescent="0.3">
      <c r="A154" t="str">
        <f>'RESUMEN TOTAL'!A151</f>
        <v>KM 26700 (JULIO A. COSTA)</v>
      </c>
      <c r="B154" t="str">
        <f>'RESUMEN TOTAL'!B151</f>
        <v>KM09 / UPA 1</v>
      </c>
      <c r="C154" t="str">
        <f>'RESUMEN TOTAL'!D151</f>
        <v>NOVAK Y LA POSTA</v>
      </c>
      <c r="D154" t="str">
        <f>'RESUMEN TOTAL'!E151</f>
        <v>DOMO</v>
      </c>
      <c r="E154" t="str">
        <f>'RESUMEN TOTAL'!F151</f>
        <v>Radio</v>
      </c>
      <c r="F154">
        <f>'RESUMEN TOTAL'!K151</f>
        <v>0</v>
      </c>
      <c r="G154">
        <f>'RESUMEN TOTAL'!L151</f>
        <v>0</v>
      </c>
      <c r="H154">
        <f>'RESUMEN TOTAL'!M151</f>
        <v>0</v>
      </c>
      <c r="I154">
        <f>'RESUMEN TOTAL'!N151</f>
        <v>0</v>
      </c>
      <c r="J154">
        <f>'RESUMEN TOTAL'!O151</f>
        <v>0</v>
      </c>
      <c r="K154">
        <f>'RESUMEN TOTAL'!P151</f>
        <v>0</v>
      </c>
      <c r="L154">
        <f>'RESUMEN TOTAL'!Q151</f>
        <v>0</v>
      </c>
      <c r="M154">
        <f>'RESUMEN TOTAL'!R151</f>
        <v>0</v>
      </c>
      <c r="N154">
        <f>'RESUMEN TOTAL'!S151</f>
        <v>0</v>
      </c>
      <c r="O154">
        <f>'RESUMEN TOTAL'!T151</f>
        <v>0</v>
      </c>
      <c r="P154">
        <f>'RESUMEN TOTAL'!U151</f>
        <v>0</v>
      </c>
      <c r="Q154">
        <f>'RESUMEN TOTAL'!V151</f>
        <v>0</v>
      </c>
      <c r="R154">
        <f>'RESUMEN TOTAL'!W151</f>
        <v>0</v>
      </c>
      <c r="S154">
        <f>'RESUMEN TOTAL'!X151</f>
        <v>0</v>
      </c>
      <c r="T154">
        <f>'RESUMEN TOTAL'!Y151</f>
        <v>0</v>
      </c>
      <c r="U154">
        <f>'RESUMEN TOTAL'!Z151</f>
        <v>0</v>
      </c>
      <c r="V154">
        <f>'RESUMEN TOTAL'!AA151</f>
        <v>0</v>
      </c>
      <c r="W154">
        <f>'RESUMEN TOTAL'!AB151</f>
        <v>0</v>
      </c>
      <c r="X154">
        <f>'RESUMEN TOTAL'!AC151</f>
        <v>0</v>
      </c>
      <c r="Y154">
        <f>'RESUMEN TOTAL'!AD151</f>
        <v>0</v>
      </c>
      <c r="Z154">
        <f>'RESUMEN TOTAL'!AE151</f>
        <v>0</v>
      </c>
      <c r="AA154">
        <f>'RESUMEN TOTAL'!AF151</f>
        <v>0</v>
      </c>
      <c r="AB154">
        <f>'RESUMEN TOTAL'!AG151</f>
        <v>0</v>
      </c>
      <c r="AC154">
        <f>'RESUMEN TOTAL'!AH151</f>
        <v>0</v>
      </c>
      <c r="AD154">
        <f>'RESUMEN TOTAL'!AI151</f>
        <v>0</v>
      </c>
      <c r="AE154">
        <f>'RESUMEN TOTAL'!AJ151</f>
        <v>0</v>
      </c>
      <c r="AF154">
        <f>'RESUMEN TOTAL'!AK151</f>
        <v>0</v>
      </c>
      <c r="AG154">
        <f>'RESUMEN TOTAL'!AL151</f>
        <v>0</v>
      </c>
      <c r="AH154">
        <f>'RESUMEN TOTAL'!AM151</f>
        <v>0</v>
      </c>
      <c r="AI154">
        <f>'RESUMEN TOTAL'!AN151</f>
        <v>0</v>
      </c>
    </row>
    <row r="155" spans="1:35" x14ac:dyDescent="0.3">
      <c r="A155" t="str">
        <f>'RESUMEN TOTAL'!A153</f>
        <v>KM 26700 (JULIO A. COSTA)</v>
      </c>
      <c r="B155" t="str">
        <f>'RESUMEN TOTAL'!B153</f>
        <v>KM11</v>
      </c>
      <c r="C155" t="str">
        <f>'RESUMEN TOTAL'!D153</f>
        <v>NOVAK Y EL OVERO</v>
      </c>
      <c r="D155" t="str">
        <f>'RESUMEN TOTAL'!E153</f>
        <v>DOMO</v>
      </c>
      <c r="E155" t="str">
        <f>'RESUMEN TOTAL'!F153</f>
        <v>Fibra Optica</v>
      </c>
      <c r="F155">
        <f>'RESUMEN TOTAL'!K153</f>
        <v>0</v>
      </c>
      <c r="G155">
        <f>'RESUMEN TOTAL'!L153</f>
        <v>0</v>
      </c>
      <c r="H155">
        <f>'RESUMEN TOTAL'!M153</f>
        <v>0</v>
      </c>
      <c r="I155">
        <f>'RESUMEN TOTAL'!N153</f>
        <v>0</v>
      </c>
      <c r="J155">
        <f>'RESUMEN TOTAL'!O153</f>
        <v>0</v>
      </c>
      <c r="K155">
        <f>'RESUMEN TOTAL'!P153</f>
        <v>0</v>
      </c>
      <c r="L155">
        <f>'RESUMEN TOTAL'!Q153</f>
        <v>0</v>
      </c>
      <c r="M155">
        <f>'RESUMEN TOTAL'!R153</f>
        <v>0</v>
      </c>
      <c r="N155">
        <f>'RESUMEN TOTAL'!S153</f>
        <v>0</v>
      </c>
      <c r="O155">
        <f>'RESUMEN TOTAL'!T153</f>
        <v>0</v>
      </c>
      <c r="P155">
        <f>'RESUMEN TOTAL'!U153</f>
        <v>0</v>
      </c>
      <c r="Q155">
        <f>'RESUMEN TOTAL'!V153</f>
        <v>0</v>
      </c>
      <c r="R155">
        <f>'RESUMEN TOTAL'!W153</f>
        <v>0</v>
      </c>
      <c r="S155">
        <f>'RESUMEN TOTAL'!X153</f>
        <v>0</v>
      </c>
      <c r="T155">
        <f>'RESUMEN TOTAL'!Y153</f>
        <v>0</v>
      </c>
      <c r="U155">
        <f>'RESUMEN TOTAL'!Z153</f>
        <v>0</v>
      </c>
      <c r="V155">
        <f>'RESUMEN TOTAL'!AA153</f>
        <v>0</v>
      </c>
      <c r="W155">
        <f>'RESUMEN TOTAL'!AB153</f>
        <v>0</v>
      </c>
      <c r="X155">
        <f>'RESUMEN TOTAL'!AC153</f>
        <v>0</v>
      </c>
      <c r="Y155">
        <f>'RESUMEN TOTAL'!AD153</f>
        <v>0</v>
      </c>
      <c r="Z155">
        <f>'RESUMEN TOTAL'!AE153</f>
        <v>0</v>
      </c>
      <c r="AA155">
        <f>'RESUMEN TOTAL'!AF153</f>
        <v>0</v>
      </c>
      <c r="AB155">
        <f>'RESUMEN TOTAL'!AG153</f>
        <v>0</v>
      </c>
      <c r="AC155">
        <f>'RESUMEN TOTAL'!AH153</f>
        <v>0</v>
      </c>
      <c r="AD155">
        <f>'RESUMEN TOTAL'!AI153</f>
        <v>0</v>
      </c>
      <c r="AE155">
        <f>'RESUMEN TOTAL'!AJ153</f>
        <v>0</v>
      </c>
      <c r="AF155">
        <f>'RESUMEN TOTAL'!AK153</f>
        <v>0</v>
      </c>
      <c r="AG155">
        <f>'RESUMEN TOTAL'!AL153</f>
        <v>0</v>
      </c>
      <c r="AH155">
        <f>'RESUMEN TOTAL'!AM153</f>
        <v>0</v>
      </c>
      <c r="AI155">
        <f>'RESUMEN TOTAL'!AN153</f>
        <v>0</v>
      </c>
    </row>
    <row r="156" spans="1:35" x14ac:dyDescent="0.3">
      <c r="A156" t="str">
        <f>'RESUMEN TOTAL'!A160</f>
        <v>LOMAS DE MONTEVERDE</v>
      </c>
      <c r="B156" t="str">
        <f>'RESUMEN TOTAL'!B160</f>
        <v>LDM 01</v>
      </c>
      <c r="C156" t="str">
        <f>'RESUMEN TOTAL'!D160</f>
        <v>ILLIA Y BOUREL</v>
      </c>
      <c r="D156" t="str">
        <f>'RESUMEN TOTAL'!E160</f>
        <v>DOMO</v>
      </c>
      <c r="E156" t="str">
        <f>'RESUMEN TOTAL'!F160</f>
        <v>PTO A FO</v>
      </c>
      <c r="F156">
        <f>'RESUMEN TOTAL'!K160</f>
        <v>0</v>
      </c>
      <c r="G156">
        <f>'RESUMEN TOTAL'!L160</f>
        <v>0</v>
      </c>
      <c r="H156">
        <f>'RESUMEN TOTAL'!M160</f>
        <v>0</v>
      </c>
      <c r="I156">
        <f>'RESUMEN TOTAL'!N160</f>
        <v>0</v>
      </c>
      <c r="J156">
        <f>'RESUMEN TOTAL'!O160</f>
        <v>0</v>
      </c>
      <c r="K156">
        <f>'RESUMEN TOTAL'!P160</f>
        <v>0</v>
      </c>
      <c r="L156">
        <f>'RESUMEN TOTAL'!Q160</f>
        <v>0</v>
      </c>
      <c r="M156">
        <f>'RESUMEN TOTAL'!R160</f>
        <v>0</v>
      </c>
      <c r="N156">
        <f>'RESUMEN TOTAL'!S160</f>
        <v>0</v>
      </c>
      <c r="O156">
        <f>'RESUMEN TOTAL'!T160</f>
        <v>0</v>
      </c>
      <c r="P156">
        <f>'RESUMEN TOTAL'!U160</f>
        <v>0</v>
      </c>
      <c r="Q156">
        <f>'RESUMEN TOTAL'!V160</f>
        <v>0</v>
      </c>
      <c r="R156">
        <f>'RESUMEN TOTAL'!W160</f>
        <v>0</v>
      </c>
      <c r="S156">
        <f>'RESUMEN TOTAL'!X160</f>
        <v>0</v>
      </c>
      <c r="T156">
        <f>'RESUMEN TOTAL'!Y160</f>
        <v>0</v>
      </c>
      <c r="U156">
        <f>'RESUMEN TOTAL'!Z160</f>
        <v>0</v>
      </c>
      <c r="V156">
        <f>'RESUMEN TOTAL'!AA160</f>
        <v>0</v>
      </c>
      <c r="W156">
        <f>'RESUMEN TOTAL'!AB160</f>
        <v>0</v>
      </c>
      <c r="X156">
        <f>'RESUMEN TOTAL'!AC160</f>
        <v>0</v>
      </c>
      <c r="Y156">
        <f>'RESUMEN TOTAL'!AD160</f>
        <v>0</v>
      </c>
      <c r="Z156">
        <f>'RESUMEN TOTAL'!AE160</f>
        <v>0</v>
      </c>
      <c r="AA156">
        <f>'RESUMEN TOTAL'!AF160</f>
        <v>0</v>
      </c>
      <c r="AB156">
        <f>'RESUMEN TOTAL'!AG160</f>
        <v>0</v>
      </c>
      <c r="AC156">
        <f>'RESUMEN TOTAL'!AH160</f>
        <v>0</v>
      </c>
      <c r="AD156">
        <f>'RESUMEN TOTAL'!AI160</f>
        <v>0</v>
      </c>
      <c r="AE156">
        <f>'RESUMEN TOTAL'!AJ160</f>
        <v>0</v>
      </c>
      <c r="AF156">
        <f>'RESUMEN TOTAL'!AK160</f>
        <v>0</v>
      </c>
      <c r="AG156">
        <f>'RESUMEN TOTAL'!AL160</f>
        <v>0</v>
      </c>
      <c r="AH156">
        <f>'RESUMEN TOTAL'!AM160</f>
        <v>0</v>
      </c>
      <c r="AI156">
        <f>'RESUMEN TOTAL'!AN160</f>
        <v>0</v>
      </c>
    </row>
    <row r="157" spans="1:35" x14ac:dyDescent="0.3">
      <c r="A157" t="str">
        <f>'RESUMEN TOTAL'!A161</f>
        <v>LOMAS DE MONTEVERDE</v>
      </c>
      <c r="B157" t="str">
        <f>'RESUMEN TOTAL'!B161</f>
        <v>LDM 02</v>
      </c>
      <c r="C157" t="str">
        <f>'RESUMEN TOTAL'!D161</f>
        <v>LAS HERAS Y EDISON</v>
      </c>
      <c r="D157" t="str">
        <f>'RESUMEN TOTAL'!E161</f>
        <v>DOMO</v>
      </c>
      <c r="E157" t="str">
        <f>'RESUMEN TOTAL'!F161</f>
        <v>PTO A FO</v>
      </c>
      <c r="F157">
        <f>'RESUMEN TOTAL'!K161</f>
        <v>0</v>
      </c>
      <c r="G157" t="str">
        <f>'RESUMEN TOTAL'!L161</f>
        <v>APAGADO</v>
      </c>
      <c r="H157" t="str">
        <f>'RESUMEN TOTAL'!M161</f>
        <v>APAGADO</v>
      </c>
      <c r="I157" t="str">
        <f>'RESUMEN TOTAL'!N161</f>
        <v>APAGADO</v>
      </c>
      <c r="J157" t="str">
        <f>'RESUMEN TOTAL'!O161</f>
        <v>APAGADO</v>
      </c>
      <c r="K157">
        <f>'RESUMEN TOTAL'!P161</f>
        <v>0</v>
      </c>
      <c r="L157" t="str">
        <f>'RESUMEN TOTAL'!Q161</f>
        <v>APAGADO</v>
      </c>
      <c r="M157">
        <f>'RESUMEN TOTAL'!R161</f>
        <v>0</v>
      </c>
      <c r="N157">
        <f>'RESUMEN TOTAL'!S161</f>
        <v>0</v>
      </c>
      <c r="O157">
        <f>'RESUMEN TOTAL'!T161</f>
        <v>0</v>
      </c>
      <c r="P157">
        <f>'RESUMEN TOTAL'!U161</f>
        <v>0</v>
      </c>
      <c r="Q157">
        <f>'RESUMEN TOTAL'!V161</f>
        <v>0</v>
      </c>
      <c r="R157">
        <f>'RESUMEN TOTAL'!W161</f>
        <v>0</v>
      </c>
      <c r="S157">
        <f>'RESUMEN TOTAL'!X161</f>
        <v>0</v>
      </c>
      <c r="T157">
        <f>'RESUMEN TOTAL'!Y161</f>
        <v>0</v>
      </c>
      <c r="U157">
        <f>'RESUMEN TOTAL'!Z161</f>
        <v>0</v>
      </c>
      <c r="V157">
        <f>'RESUMEN TOTAL'!AA161</f>
        <v>0</v>
      </c>
      <c r="W157">
        <f>'RESUMEN TOTAL'!AB161</f>
        <v>0</v>
      </c>
      <c r="X157">
        <f>'RESUMEN TOTAL'!AC161</f>
        <v>0</v>
      </c>
      <c r="Y157">
        <f>'RESUMEN TOTAL'!AD161</f>
        <v>0</v>
      </c>
      <c r="Z157">
        <f>'RESUMEN TOTAL'!AE161</f>
        <v>0</v>
      </c>
      <c r="AA157">
        <f>'RESUMEN TOTAL'!AF161</f>
        <v>0</v>
      </c>
      <c r="AB157">
        <f>'RESUMEN TOTAL'!AG161</f>
        <v>0</v>
      </c>
      <c r="AC157">
        <f>'RESUMEN TOTAL'!AH161</f>
        <v>0</v>
      </c>
      <c r="AD157">
        <f>'RESUMEN TOTAL'!AI161</f>
        <v>0</v>
      </c>
      <c r="AE157">
        <f>'RESUMEN TOTAL'!AJ161</f>
        <v>0</v>
      </c>
      <c r="AF157">
        <f>'RESUMEN TOTAL'!AK161</f>
        <v>0</v>
      </c>
      <c r="AG157">
        <f>'RESUMEN TOTAL'!AL161</f>
        <v>0</v>
      </c>
      <c r="AH157">
        <f>'RESUMEN TOTAL'!AM161</f>
        <v>0</v>
      </c>
      <c r="AI157">
        <f>'RESUMEN TOTAL'!AN161</f>
        <v>0</v>
      </c>
    </row>
    <row r="158" spans="1:35" x14ac:dyDescent="0.3">
      <c r="A158" t="str">
        <f>'RESUMEN TOTAL'!A162</f>
        <v>LOMAS DE MONTEVERDE</v>
      </c>
      <c r="B158" t="str">
        <f>'RESUMEN TOTAL'!B162</f>
        <v>LDM 03</v>
      </c>
      <c r="C158" t="str">
        <f>'RESUMEN TOTAL'!D162</f>
        <v>LAS HERAS Y FRANKLIN</v>
      </c>
      <c r="D158" t="str">
        <f>'RESUMEN TOTAL'!E162</f>
        <v>DOMO</v>
      </c>
      <c r="E158" t="str">
        <f>'RESUMEN TOTAL'!F162</f>
        <v>PTO A FO</v>
      </c>
      <c r="F158" t="str">
        <f>'RESUMEN TOTAL'!K162</f>
        <v>APAGADO</v>
      </c>
      <c r="G158">
        <f>'RESUMEN TOTAL'!L162</f>
        <v>0</v>
      </c>
      <c r="H158">
        <f>'RESUMEN TOTAL'!M162</f>
        <v>0</v>
      </c>
      <c r="I158">
        <f>'RESUMEN TOTAL'!N162</f>
        <v>0</v>
      </c>
      <c r="J158">
        <f>'RESUMEN TOTAL'!O162</f>
        <v>0</v>
      </c>
      <c r="K158">
        <f>'RESUMEN TOTAL'!P162</f>
        <v>0</v>
      </c>
      <c r="L158" t="str">
        <f>'RESUMEN TOTAL'!Q162</f>
        <v>APAGADO</v>
      </c>
      <c r="M158">
        <f>'RESUMEN TOTAL'!R162</f>
        <v>0</v>
      </c>
      <c r="N158">
        <f>'RESUMEN TOTAL'!S162</f>
        <v>0</v>
      </c>
      <c r="O158">
        <f>'RESUMEN TOTAL'!T162</f>
        <v>0</v>
      </c>
      <c r="P158">
        <f>'RESUMEN TOTAL'!U162</f>
        <v>0</v>
      </c>
      <c r="Q158">
        <f>'RESUMEN TOTAL'!V162</f>
        <v>0</v>
      </c>
      <c r="R158">
        <f>'RESUMEN TOTAL'!W162</f>
        <v>0</v>
      </c>
      <c r="S158">
        <f>'RESUMEN TOTAL'!X162</f>
        <v>0</v>
      </c>
      <c r="T158">
        <f>'RESUMEN TOTAL'!Y162</f>
        <v>0</v>
      </c>
      <c r="U158">
        <f>'RESUMEN TOTAL'!Z162</f>
        <v>0</v>
      </c>
      <c r="V158">
        <f>'RESUMEN TOTAL'!AA162</f>
        <v>0</v>
      </c>
      <c r="W158">
        <f>'RESUMEN TOTAL'!AB162</f>
        <v>0</v>
      </c>
      <c r="X158">
        <f>'RESUMEN TOTAL'!AC162</f>
        <v>0</v>
      </c>
      <c r="Y158">
        <f>'RESUMEN TOTAL'!AD162</f>
        <v>0</v>
      </c>
      <c r="Z158">
        <f>'RESUMEN TOTAL'!AE162</f>
        <v>0</v>
      </c>
      <c r="AA158">
        <f>'RESUMEN TOTAL'!AF162</f>
        <v>0</v>
      </c>
      <c r="AB158">
        <f>'RESUMEN TOTAL'!AG162</f>
        <v>0</v>
      </c>
      <c r="AC158">
        <f>'RESUMEN TOTAL'!AH162</f>
        <v>0</v>
      </c>
      <c r="AD158">
        <f>'RESUMEN TOTAL'!AI162</f>
        <v>0</v>
      </c>
      <c r="AE158">
        <f>'RESUMEN TOTAL'!AJ162</f>
        <v>0</v>
      </c>
      <c r="AF158">
        <f>'RESUMEN TOTAL'!AK162</f>
        <v>0</v>
      </c>
      <c r="AG158">
        <f>'RESUMEN TOTAL'!AL162</f>
        <v>0</v>
      </c>
      <c r="AH158">
        <f>'RESUMEN TOTAL'!AM162</f>
        <v>0</v>
      </c>
      <c r="AI158">
        <f>'RESUMEN TOTAL'!AN162</f>
        <v>0</v>
      </c>
    </row>
    <row r="159" spans="1:35" x14ac:dyDescent="0.3">
      <c r="A159" t="str">
        <f>'RESUMEN TOTAL'!A163</f>
        <v>LIBERTAD</v>
      </c>
      <c r="B159" t="str">
        <f>'RESUMEN TOTAL'!B163</f>
        <v>LIBER 01</v>
      </c>
      <c r="C159" t="str">
        <f>'RESUMEN TOTAL'!D163</f>
        <v>511 Y 574 FIJA 01</v>
      </c>
      <c r="D159" t="str">
        <f>'RESUMEN TOTAL'!E163</f>
        <v>Fija</v>
      </c>
      <c r="E159" t="str">
        <f>'RESUMEN TOTAL'!F163</f>
        <v>RADIO</v>
      </c>
      <c r="F159">
        <f>'RESUMEN TOTAL'!K163</f>
        <v>0</v>
      </c>
      <c r="G159">
        <f>'RESUMEN TOTAL'!L163</f>
        <v>0</v>
      </c>
      <c r="H159">
        <f>'RESUMEN TOTAL'!M163</f>
        <v>0</v>
      </c>
      <c r="I159">
        <f>'RESUMEN TOTAL'!N163</f>
        <v>0</v>
      </c>
      <c r="J159">
        <f>'RESUMEN TOTAL'!O163</f>
        <v>0</v>
      </c>
      <c r="K159">
        <f>'RESUMEN TOTAL'!P163</f>
        <v>0</v>
      </c>
      <c r="L159">
        <f>'RESUMEN TOTAL'!Q163</f>
        <v>0</v>
      </c>
      <c r="M159">
        <f>'RESUMEN TOTAL'!R163</f>
        <v>0</v>
      </c>
      <c r="N159">
        <f>'RESUMEN TOTAL'!S163</f>
        <v>0</v>
      </c>
      <c r="O159">
        <f>'RESUMEN TOTAL'!T163</f>
        <v>0</v>
      </c>
      <c r="P159">
        <f>'RESUMEN TOTAL'!U163</f>
        <v>0</v>
      </c>
      <c r="Q159">
        <f>'RESUMEN TOTAL'!V163</f>
        <v>0</v>
      </c>
      <c r="R159">
        <f>'RESUMEN TOTAL'!W163</f>
        <v>0</v>
      </c>
      <c r="S159">
        <f>'RESUMEN TOTAL'!X163</f>
        <v>0</v>
      </c>
      <c r="T159">
        <f>'RESUMEN TOTAL'!Y163</f>
        <v>0</v>
      </c>
      <c r="U159">
        <f>'RESUMEN TOTAL'!Z163</f>
        <v>0</v>
      </c>
      <c r="V159">
        <f>'RESUMEN TOTAL'!AA163</f>
        <v>0</v>
      </c>
      <c r="W159">
        <f>'RESUMEN TOTAL'!AB163</f>
        <v>0</v>
      </c>
      <c r="X159">
        <f>'RESUMEN TOTAL'!AC163</f>
        <v>0</v>
      </c>
      <c r="Y159">
        <f>'RESUMEN TOTAL'!AD163</f>
        <v>0</v>
      </c>
      <c r="Z159">
        <f>'RESUMEN TOTAL'!AE163</f>
        <v>0</v>
      </c>
      <c r="AA159">
        <f>'RESUMEN TOTAL'!AF163</f>
        <v>0</v>
      </c>
      <c r="AB159">
        <f>'RESUMEN TOTAL'!AG163</f>
        <v>0</v>
      </c>
      <c r="AC159">
        <f>'RESUMEN TOTAL'!AH163</f>
        <v>0</v>
      </c>
      <c r="AD159">
        <f>'RESUMEN TOTAL'!AI163</f>
        <v>0</v>
      </c>
      <c r="AE159">
        <f>'RESUMEN TOTAL'!AJ163</f>
        <v>0</v>
      </c>
      <c r="AF159">
        <f>'RESUMEN TOTAL'!AK163</f>
        <v>0</v>
      </c>
      <c r="AG159">
        <f>'RESUMEN TOTAL'!AL163</f>
        <v>0</v>
      </c>
      <c r="AH159">
        <f>'RESUMEN TOTAL'!AM163</f>
        <v>0</v>
      </c>
      <c r="AI159">
        <f>'RESUMEN TOTAL'!AN163</f>
        <v>0</v>
      </c>
    </row>
    <row r="160" spans="1:35" x14ac:dyDescent="0.3">
      <c r="A160" t="str">
        <f>'RESUMEN TOTAL'!A164</f>
        <v>LIBERTAD</v>
      </c>
      <c r="B160" t="str">
        <f>'RESUMEN TOTAL'!B164</f>
        <v>LIBER 02</v>
      </c>
      <c r="C160" t="str">
        <f>'RESUMEN TOTAL'!D164</f>
        <v>511 Y 574 FIJA 02</v>
      </c>
      <c r="D160" t="str">
        <f>'RESUMEN TOTAL'!E164</f>
        <v>Fija</v>
      </c>
      <c r="E160" t="str">
        <f>'RESUMEN TOTAL'!F164</f>
        <v>Radio</v>
      </c>
      <c r="F160">
        <f>'RESUMEN TOTAL'!K164</f>
        <v>0</v>
      </c>
      <c r="G160">
        <f>'RESUMEN TOTAL'!L164</f>
        <v>0</v>
      </c>
      <c r="H160">
        <f>'RESUMEN TOTAL'!M164</f>
        <v>0</v>
      </c>
      <c r="I160">
        <f>'RESUMEN TOTAL'!N164</f>
        <v>0</v>
      </c>
      <c r="J160">
        <f>'RESUMEN TOTAL'!O164</f>
        <v>0</v>
      </c>
      <c r="K160">
        <f>'RESUMEN TOTAL'!P164</f>
        <v>0</v>
      </c>
      <c r="L160">
        <f>'RESUMEN TOTAL'!Q164</f>
        <v>0</v>
      </c>
      <c r="M160">
        <f>'RESUMEN TOTAL'!R164</f>
        <v>0</v>
      </c>
      <c r="N160">
        <f>'RESUMEN TOTAL'!S164</f>
        <v>0</v>
      </c>
      <c r="O160">
        <f>'RESUMEN TOTAL'!T164</f>
        <v>0</v>
      </c>
      <c r="P160">
        <f>'RESUMEN TOTAL'!U164</f>
        <v>0</v>
      </c>
      <c r="Q160">
        <f>'RESUMEN TOTAL'!V164</f>
        <v>0</v>
      </c>
      <c r="R160">
        <f>'RESUMEN TOTAL'!W164</f>
        <v>0</v>
      </c>
      <c r="S160">
        <f>'RESUMEN TOTAL'!X164</f>
        <v>0</v>
      </c>
      <c r="T160">
        <f>'RESUMEN TOTAL'!Y164</f>
        <v>0</v>
      </c>
      <c r="U160">
        <f>'RESUMEN TOTAL'!Z164</f>
        <v>0</v>
      </c>
      <c r="V160">
        <f>'RESUMEN TOTAL'!AA164</f>
        <v>0</v>
      </c>
      <c r="W160">
        <f>'RESUMEN TOTAL'!AB164</f>
        <v>0</v>
      </c>
      <c r="X160">
        <f>'RESUMEN TOTAL'!AC164</f>
        <v>0</v>
      </c>
      <c r="Y160">
        <f>'RESUMEN TOTAL'!AD164</f>
        <v>0</v>
      </c>
      <c r="Z160">
        <f>'RESUMEN TOTAL'!AE164</f>
        <v>0</v>
      </c>
      <c r="AA160">
        <f>'RESUMEN TOTAL'!AF164</f>
        <v>0</v>
      </c>
      <c r="AB160">
        <f>'RESUMEN TOTAL'!AG164</f>
        <v>0</v>
      </c>
      <c r="AC160">
        <f>'RESUMEN TOTAL'!AH164</f>
        <v>0</v>
      </c>
      <c r="AD160">
        <f>'RESUMEN TOTAL'!AI164</f>
        <v>0</v>
      </c>
      <c r="AE160">
        <f>'RESUMEN TOTAL'!AJ164</f>
        <v>0</v>
      </c>
      <c r="AF160">
        <f>'RESUMEN TOTAL'!AK164</f>
        <v>0</v>
      </c>
      <c r="AG160">
        <f>'RESUMEN TOTAL'!AL164</f>
        <v>0</v>
      </c>
      <c r="AH160">
        <f>'RESUMEN TOTAL'!AM164</f>
        <v>0</v>
      </c>
      <c r="AI160">
        <f>'RESUMEN TOTAL'!AN164</f>
        <v>0</v>
      </c>
    </row>
    <row r="161" spans="1:35" x14ac:dyDescent="0.3">
      <c r="A161" t="str">
        <f>'RESUMEN TOTAL'!A165</f>
        <v>CHACABUCO</v>
      </c>
      <c r="B161" t="str">
        <f>'RESUMEN TOTAL'!B165</f>
        <v>LPI 01</v>
      </c>
      <c r="C161" t="str">
        <f>'RESUMEN TOTAL'!D165</f>
        <v>Maipu y Posadas</v>
      </c>
      <c r="D161" t="str">
        <f>'RESUMEN TOTAL'!E165</f>
        <v>Domo</v>
      </c>
      <c r="E161" t="str">
        <f>'RESUMEN TOTAL'!F165</f>
        <v>Radio</v>
      </c>
      <c r="F161">
        <f>'RESUMEN TOTAL'!K165</f>
        <v>0</v>
      </c>
      <c r="G161">
        <f>'RESUMEN TOTAL'!L165</f>
        <v>0</v>
      </c>
      <c r="H161">
        <f>'RESUMEN TOTAL'!M165</f>
        <v>0</v>
      </c>
      <c r="I161">
        <f>'RESUMEN TOTAL'!N165</f>
        <v>0</v>
      </c>
      <c r="J161">
        <f>'RESUMEN TOTAL'!O165</f>
        <v>0</v>
      </c>
      <c r="K161">
        <f>'RESUMEN TOTAL'!P165</f>
        <v>0</v>
      </c>
      <c r="L161">
        <f>'RESUMEN TOTAL'!Q165</f>
        <v>0</v>
      </c>
      <c r="M161" t="str">
        <f>'RESUMEN TOTAL'!R165</f>
        <v>APAGADO</v>
      </c>
      <c r="N161">
        <f>'RESUMEN TOTAL'!S165</f>
        <v>0</v>
      </c>
      <c r="O161">
        <f>'RESUMEN TOTAL'!T165</f>
        <v>0</v>
      </c>
      <c r="P161">
        <f>'RESUMEN TOTAL'!U165</f>
        <v>0</v>
      </c>
      <c r="Q161">
        <f>'RESUMEN TOTAL'!V165</f>
        <v>0</v>
      </c>
      <c r="R161">
        <f>'RESUMEN TOTAL'!W165</f>
        <v>0</v>
      </c>
      <c r="S161">
        <f>'RESUMEN TOTAL'!X165</f>
        <v>0</v>
      </c>
      <c r="T161">
        <f>'RESUMEN TOTAL'!Y165</f>
        <v>0</v>
      </c>
      <c r="U161">
        <f>'RESUMEN TOTAL'!Z165</f>
        <v>0</v>
      </c>
      <c r="V161">
        <f>'RESUMEN TOTAL'!AA165</f>
        <v>0</v>
      </c>
      <c r="W161">
        <f>'RESUMEN TOTAL'!AB165</f>
        <v>0</v>
      </c>
      <c r="X161">
        <f>'RESUMEN TOTAL'!AC165</f>
        <v>0</v>
      </c>
      <c r="Y161">
        <f>'RESUMEN TOTAL'!AD165</f>
        <v>0</v>
      </c>
      <c r="Z161">
        <f>'RESUMEN TOTAL'!AE165</f>
        <v>0</v>
      </c>
      <c r="AA161">
        <f>'RESUMEN TOTAL'!AF165</f>
        <v>0</v>
      </c>
      <c r="AB161">
        <f>'RESUMEN TOTAL'!AG165</f>
        <v>0</v>
      </c>
      <c r="AC161">
        <f>'RESUMEN TOTAL'!AH165</f>
        <v>0</v>
      </c>
      <c r="AD161">
        <f>'RESUMEN TOTAL'!AI165</f>
        <v>0</v>
      </c>
      <c r="AE161">
        <f>'RESUMEN TOTAL'!AJ165</f>
        <v>0</v>
      </c>
      <c r="AF161">
        <f>'RESUMEN TOTAL'!AK165</f>
        <v>0</v>
      </c>
      <c r="AG161">
        <f>'RESUMEN TOTAL'!AL165</f>
        <v>0</v>
      </c>
      <c r="AH161">
        <f>'RESUMEN TOTAL'!AM165</f>
        <v>0</v>
      </c>
      <c r="AI161">
        <f>'RESUMEN TOTAL'!AN165</f>
        <v>0</v>
      </c>
    </row>
    <row r="162" spans="1:35" x14ac:dyDescent="0.3">
      <c r="A162" t="str">
        <f>'RESUMEN TOTAL'!A166</f>
        <v>CHACABUCO</v>
      </c>
      <c r="B162" t="str">
        <f>'RESUMEN TOTAL'!B166</f>
        <v>LPI02</v>
      </c>
      <c r="C162" t="str">
        <f>'RESUMEN TOTAL'!D166</f>
        <v>EE.UU y Ayacucho</v>
      </c>
      <c r="D162" t="str">
        <f>'RESUMEN TOTAL'!E166</f>
        <v>Domo</v>
      </c>
      <c r="E162" t="str">
        <f>'RESUMEN TOTAL'!F166</f>
        <v>Radio</v>
      </c>
      <c r="F162">
        <f>'RESUMEN TOTAL'!K166</f>
        <v>0</v>
      </c>
      <c r="G162">
        <f>'RESUMEN TOTAL'!L166</f>
        <v>0</v>
      </c>
      <c r="H162">
        <f>'RESUMEN TOTAL'!M166</f>
        <v>0</v>
      </c>
      <c r="I162">
        <f>'RESUMEN TOTAL'!N166</f>
        <v>0</v>
      </c>
      <c r="J162">
        <f>'RESUMEN TOTAL'!O166</f>
        <v>0</v>
      </c>
      <c r="K162">
        <f>'RESUMEN TOTAL'!P166</f>
        <v>0</v>
      </c>
      <c r="L162">
        <f>'RESUMEN TOTAL'!Q166</f>
        <v>0</v>
      </c>
      <c r="M162">
        <f>'RESUMEN TOTAL'!R166</f>
        <v>0</v>
      </c>
      <c r="N162">
        <f>'RESUMEN TOTAL'!S166</f>
        <v>0</v>
      </c>
      <c r="O162">
        <f>'RESUMEN TOTAL'!T166</f>
        <v>0</v>
      </c>
      <c r="P162">
        <f>'RESUMEN TOTAL'!U166</f>
        <v>0</v>
      </c>
      <c r="Q162">
        <f>'RESUMEN TOTAL'!V166</f>
        <v>0</v>
      </c>
      <c r="R162">
        <f>'RESUMEN TOTAL'!W166</f>
        <v>0</v>
      </c>
      <c r="S162">
        <f>'RESUMEN TOTAL'!X166</f>
        <v>0</v>
      </c>
      <c r="T162">
        <f>'RESUMEN TOTAL'!Y166</f>
        <v>0</v>
      </c>
      <c r="U162">
        <f>'RESUMEN TOTAL'!Z166</f>
        <v>0</v>
      </c>
      <c r="V162">
        <f>'RESUMEN TOTAL'!AA166</f>
        <v>0</v>
      </c>
      <c r="W162">
        <f>'RESUMEN TOTAL'!AB166</f>
        <v>0</v>
      </c>
      <c r="X162">
        <f>'RESUMEN TOTAL'!AC166</f>
        <v>0</v>
      </c>
      <c r="Y162">
        <f>'RESUMEN TOTAL'!AD166</f>
        <v>0</v>
      </c>
      <c r="Z162">
        <f>'RESUMEN TOTAL'!AE166</f>
        <v>0</v>
      </c>
      <c r="AA162">
        <f>'RESUMEN TOTAL'!AF166</f>
        <v>0</v>
      </c>
      <c r="AB162">
        <f>'RESUMEN TOTAL'!AG166</f>
        <v>0</v>
      </c>
      <c r="AC162">
        <f>'RESUMEN TOTAL'!AH166</f>
        <v>0</v>
      </c>
      <c r="AD162">
        <f>'RESUMEN TOTAL'!AI166</f>
        <v>0</v>
      </c>
      <c r="AE162">
        <f>'RESUMEN TOTAL'!AJ166</f>
        <v>0</v>
      </c>
      <c r="AF162">
        <f>'RESUMEN TOTAL'!AK166</f>
        <v>0</v>
      </c>
      <c r="AG162">
        <f>'RESUMEN TOTAL'!AL166</f>
        <v>0</v>
      </c>
      <c r="AH162">
        <f>'RESUMEN TOTAL'!AM166</f>
        <v>0</v>
      </c>
      <c r="AI162">
        <f>'RESUMEN TOTAL'!AN166</f>
        <v>0</v>
      </c>
    </row>
    <row r="163" spans="1:35" x14ac:dyDescent="0.3">
      <c r="A163" t="str">
        <f>'RESUMEN TOTAL'!A167</f>
        <v>LA PILETA</v>
      </c>
      <c r="B163" t="str">
        <f>'RESUMEN TOTAL'!B167</f>
        <v>LPI03 (fija 2)</v>
      </c>
      <c r="C163" t="str">
        <f>'RESUMEN TOTAL'!D167</f>
        <v>MAIPU Y POSADAS</v>
      </c>
      <c r="D163" t="str">
        <f>'RESUMEN TOTAL'!E167</f>
        <v>Fija</v>
      </c>
      <c r="E163" t="str">
        <f>'RESUMEN TOTAL'!F167</f>
        <v>Fibra Optica</v>
      </c>
      <c r="F163">
        <f>'RESUMEN TOTAL'!K167</f>
        <v>0</v>
      </c>
      <c r="G163">
        <f>'RESUMEN TOTAL'!L167</f>
        <v>0</v>
      </c>
      <c r="H163">
        <f>'RESUMEN TOTAL'!M167</f>
        <v>0</v>
      </c>
      <c r="I163">
        <f>'RESUMEN TOTAL'!N167</f>
        <v>0</v>
      </c>
      <c r="J163">
        <f>'RESUMEN TOTAL'!O167</f>
        <v>0</v>
      </c>
      <c r="K163">
        <f>'RESUMEN TOTAL'!P167</f>
        <v>0</v>
      </c>
      <c r="L163">
        <f>'RESUMEN TOTAL'!Q167</f>
        <v>0</v>
      </c>
      <c r="M163" t="str">
        <f>'RESUMEN TOTAL'!R167</f>
        <v>APAGADO</v>
      </c>
      <c r="N163">
        <f>'RESUMEN TOTAL'!S167</f>
        <v>0</v>
      </c>
      <c r="O163">
        <f>'RESUMEN TOTAL'!T167</f>
        <v>0</v>
      </c>
      <c r="P163">
        <f>'RESUMEN TOTAL'!U167</f>
        <v>0</v>
      </c>
      <c r="Q163">
        <f>'RESUMEN TOTAL'!V167</f>
        <v>0</v>
      </c>
      <c r="R163">
        <f>'RESUMEN TOTAL'!W167</f>
        <v>0</v>
      </c>
      <c r="S163">
        <f>'RESUMEN TOTAL'!X167</f>
        <v>0</v>
      </c>
      <c r="T163">
        <f>'RESUMEN TOTAL'!Y167</f>
        <v>0</v>
      </c>
      <c r="U163">
        <f>'RESUMEN TOTAL'!Z167</f>
        <v>0</v>
      </c>
      <c r="V163">
        <f>'RESUMEN TOTAL'!AA167</f>
        <v>0</v>
      </c>
      <c r="W163">
        <f>'RESUMEN TOTAL'!AB167</f>
        <v>0</v>
      </c>
      <c r="X163">
        <f>'RESUMEN TOTAL'!AC167</f>
        <v>0</v>
      </c>
      <c r="Y163">
        <f>'RESUMEN TOTAL'!AD167</f>
        <v>0</v>
      </c>
      <c r="Z163">
        <f>'RESUMEN TOTAL'!AE167</f>
        <v>0</v>
      </c>
      <c r="AA163">
        <f>'RESUMEN TOTAL'!AF167</f>
        <v>0</v>
      </c>
      <c r="AB163">
        <f>'RESUMEN TOTAL'!AG167</f>
        <v>0</v>
      </c>
      <c r="AC163">
        <f>'RESUMEN TOTAL'!AH167</f>
        <v>0</v>
      </c>
      <c r="AD163">
        <f>'RESUMEN TOTAL'!AI167</f>
        <v>0</v>
      </c>
      <c r="AE163">
        <f>'RESUMEN TOTAL'!AJ167</f>
        <v>0</v>
      </c>
      <c r="AF163">
        <f>'RESUMEN TOTAL'!AK167</f>
        <v>0</v>
      </c>
      <c r="AG163">
        <f>'RESUMEN TOTAL'!AL167</f>
        <v>0</v>
      </c>
      <c r="AH163">
        <f>'RESUMEN TOTAL'!AM167</f>
        <v>0</v>
      </c>
      <c r="AI163">
        <f>'RESUMEN TOTAL'!AN167</f>
        <v>0</v>
      </c>
    </row>
    <row r="164" spans="1:35" x14ac:dyDescent="0.3">
      <c r="A164" t="str">
        <f>'RESUMEN TOTAL'!A168</f>
        <v>LA PILETA</v>
      </c>
      <c r="B164" t="str">
        <f>'RESUMEN TOTAL'!B168</f>
        <v>LPI04 (fija 1)</v>
      </c>
      <c r="C164" t="str">
        <f>'RESUMEN TOTAL'!D168</f>
        <v>MAIPU Y POSADAS</v>
      </c>
      <c r="D164" t="str">
        <f>'RESUMEN TOTAL'!E168</f>
        <v>FIJA</v>
      </c>
      <c r="E164" t="str">
        <f>'RESUMEN TOTAL'!F168</f>
        <v>Fibra Optica</v>
      </c>
      <c r="F164">
        <f>'RESUMEN TOTAL'!K168</f>
        <v>0</v>
      </c>
      <c r="G164">
        <f>'RESUMEN TOTAL'!L168</f>
        <v>0</v>
      </c>
      <c r="H164">
        <f>'RESUMEN TOTAL'!M168</f>
        <v>0</v>
      </c>
      <c r="I164">
        <f>'RESUMEN TOTAL'!N168</f>
        <v>0</v>
      </c>
      <c r="J164">
        <f>'RESUMEN TOTAL'!O168</f>
        <v>0</v>
      </c>
      <c r="K164">
        <f>'RESUMEN TOTAL'!P168</f>
        <v>0</v>
      </c>
      <c r="L164">
        <f>'RESUMEN TOTAL'!Q168</f>
        <v>0</v>
      </c>
      <c r="M164" t="str">
        <f>'RESUMEN TOTAL'!R168</f>
        <v>APAGADO</v>
      </c>
      <c r="N164">
        <f>'RESUMEN TOTAL'!S168</f>
        <v>0</v>
      </c>
      <c r="O164">
        <f>'RESUMEN TOTAL'!T168</f>
        <v>0</v>
      </c>
      <c r="P164">
        <f>'RESUMEN TOTAL'!U168</f>
        <v>0</v>
      </c>
      <c r="Q164">
        <f>'RESUMEN TOTAL'!V168</f>
        <v>0</v>
      </c>
      <c r="R164">
        <f>'RESUMEN TOTAL'!W168</f>
        <v>0</v>
      </c>
      <c r="S164">
        <f>'RESUMEN TOTAL'!X168</f>
        <v>0</v>
      </c>
      <c r="T164">
        <f>'RESUMEN TOTAL'!Y168</f>
        <v>0</v>
      </c>
      <c r="U164">
        <f>'RESUMEN TOTAL'!Z168</f>
        <v>0</v>
      </c>
      <c r="V164">
        <f>'RESUMEN TOTAL'!AA168</f>
        <v>0</v>
      </c>
      <c r="W164">
        <f>'RESUMEN TOTAL'!AB168</f>
        <v>0</v>
      </c>
      <c r="X164">
        <f>'RESUMEN TOTAL'!AC168</f>
        <v>0</v>
      </c>
      <c r="Y164">
        <f>'RESUMEN TOTAL'!AD168</f>
        <v>0</v>
      </c>
      <c r="Z164">
        <f>'RESUMEN TOTAL'!AE168</f>
        <v>0</v>
      </c>
      <c r="AA164">
        <f>'RESUMEN TOTAL'!AF168</f>
        <v>0</v>
      </c>
      <c r="AB164">
        <f>'RESUMEN TOTAL'!AG168</f>
        <v>0</v>
      </c>
      <c r="AC164">
        <f>'RESUMEN TOTAL'!AH168</f>
        <v>0</v>
      </c>
      <c r="AD164">
        <f>'RESUMEN TOTAL'!AI168</f>
        <v>0</v>
      </c>
      <c r="AE164">
        <f>'RESUMEN TOTAL'!AJ168</f>
        <v>0</v>
      </c>
      <c r="AF164">
        <f>'RESUMEN TOTAL'!AK168</f>
        <v>0</v>
      </c>
      <c r="AG164">
        <f>'RESUMEN TOTAL'!AL168</f>
        <v>0</v>
      </c>
      <c r="AH164">
        <f>'RESUMEN TOTAL'!AM168</f>
        <v>0</v>
      </c>
      <c r="AI164">
        <f>'RESUMEN TOTAL'!AN168</f>
        <v>0</v>
      </c>
    </row>
    <row r="165" spans="1:35" x14ac:dyDescent="0.3">
      <c r="A165" t="str">
        <f>'RESUMEN TOTAL'!A169</f>
        <v>LOS PILARES</v>
      </c>
      <c r="B165" t="str">
        <f>'RESUMEN TOTAL'!B169</f>
        <v>LPR 01</v>
      </c>
      <c r="C165" t="str">
        <f>'RESUMEN TOTAL'!D169</f>
        <v>EVA PERON E/ CACHEUTA Y 1406</v>
      </c>
      <c r="D165" t="str">
        <f>'RESUMEN TOTAL'!E169</f>
        <v>DOMO</v>
      </c>
      <c r="E165" t="str">
        <f>'RESUMEN TOTAL'!F169</f>
        <v>FIBRA OPTICA</v>
      </c>
      <c r="F165">
        <f>'RESUMEN TOTAL'!K169</f>
        <v>0</v>
      </c>
      <c r="G165">
        <f>'RESUMEN TOTAL'!L169</f>
        <v>0</v>
      </c>
      <c r="H165">
        <f>'RESUMEN TOTAL'!M169</f>
        <v>0</v>
      </c>
      <c r="I165">
        <f>'RESUMEN TOTAL'!N169</f>
        <v>0</v>
      </c>
      <c r="J165">
        <f>'RESUMEN TOTAL'!O169</f>
        <v>0</v>
      </c>
      <c r="K165">
        <f>'RESUMEN TOTAL'!P169</f>
        <v>0</v>
      </c>
      <c r="L165">
        <f>'RESUMEN TOTAL'!Q169</f>
        <v>0</v>
      </c>
      <c r="M165">
        <f>'RESUMEN TOTAL'!R169</f>
        <v>0</v>
      </c>
      <c r="N165">
        <f>'RESUMEN TOTAL'!S169</f>
        <v>0</v>
      </c>
      <c r="O165" t="str">
        <f>'RESUMEN TOTAL'!T169</f>
        <v>APAGADO</v>
      </c>
      <c r="P165" t="str">
        <f>'RESUMEN TOTAL'!U169</f>
        <v>APAGADO</v>
      </c>
      <c r="Q165">
        <f>'RESUMEN TOTAL'!V169</f>
        <v>0</v>
      </c>
      <c r="R165">
        <f>'RESUMEN TOTAL'!W169</f>
        <v>0</v>
      </c>
      <c r="S165">
        <f>'RESUMEN TOTAL'!X169</f>
        <v>0</v>
      </c>
      <c r="T165">
        <f>'RESUMEN TOTAL'!Y169</f>
        <v>0</v>
      </c>
      <c r="U165">
        <f>'RESUMEN TOTAL'!Z169</f>
        <v>0</v>
      </c>
      <c r="V165">
        <f>'RESUMEN TOTAL'!AA169</f>
        <v>0</v>
      </c>
      <c r="W165">
        <f>'RESUMEN TOTAL'!AB169</f>
        <v>0</v>
      </c>
      <c r="X165">
        <f>'RESUMEN TOTAL'!AC169</f>
        <v>0</v>
      </c>
      <c r="Y165">
        <f>'RESUMEN TOTAL'!AD169</f>
        <v>0</v>
      </c>
      <c r="Z165">
        <f>'RESUMEN TOTAL'!AE169</f>
        <v>0</v>
      </c>
      <c r="AA165">
        <f>'RESUMEN TOTAL'!AF169</f>
        <v>0</v>
      </c>
      <c r="AB165">
        <f>'RESUMEN TOTAL'!AG169</f>
        <v>0</v>
      </c>
      <c r="AC165">
        <f>'RESUMEN TOTAL'!AH169</f>
        <v>0</v>
      </c>
      <c r="AD165">
        <f>'RESUMEN TOTAL'!AI169</f>
        <v>0</v>
      </c>
      <c r="AE165">
        <f>'RESUMEN TOTAL'!AJ169</f>
        <v>0</v>
      </c>
      <c r="AF165">
        <f>'RESUMEN TOTAL'!AK169</f>
        <v>0</v>
      </c>
      <c r="AG165">
        <f>'RESUMEN TOTAL'!AL169</f>
        <v>0</v>
      </c>
      <c r="AH165">
        <f>'RESUMEN TOTAL'!AM169</f>
        <v>0</v>
      </c>
      <c r="AI165">
        <f>'RESUMEN TOTAL'!AN169</f>
        <v>0</v>
      </c>
    </row>
    <row r="166" spans="1:35" x14ac:dyDescent="0.3">
      <c r="A166" t="str">
        <f>'RESUMEN TOTAL'!A170</f>
        <v>LOS PILARES</v>
      </c>
      <c r="B166" t="str">
        <f>'RESUMEN TOTAL'!B170</f>
        <v>LPR02 (fija 1)</v>
      </c>
      <c r="C166" t="str">
        <f>'RESUMEN TOTAL'!D170</f>
        <v>EVA PERON Y CACHEUTA</v>
      </c>
      <c r="D166" t="str">
        <f>'RESUMEN TOTAL'!E170</f>
        <v>Fija</v>
      </c>
      <c r="E166" t="str">
        <f>'RESUMEN TOTAL'!F170</f>
        <v>Fibra Optica</v>
      </c>
      <c r="F166">
        <f>'RESUMEN TOTAL'!K170</f>
        <v>0</v>
      </c>
      <c r="G166">
        <f>'RESUMEN TOTAL'!L170</f>
        <v>0</v>
      </c>
      <c r="H166">
        <f>'RESUMEN TOTAL'!M170</f>
        <v>0</v>
      </c>
      <c r="I166">
        <f>'RESUMEN TOTAL'!N170</f>
        <v>0</v>
      </c>
      <c r="J166">
        <f>'RESUMEN TOTAL'!O170</f>
        <v>0</v>
      </c>
      <c r="K166">
        <f>'RESUMEN TOTAL'!P170</f>
        <v>0</v>
      </c>
      <c r="L166">
        <f>'RESUMEN TOTAL'!Q170</f>
        <v>0</v>
      </c>
      <c r="M166">
        <f>'RESUMEN TOTAL'!R170</f>
        <v>0</v>
      </c>
      <c r="N166">
        <f>'RESUMEN TOTAL'!S170</f>
        <v>0</v>
      </c>
      <c r="O166">
        <f>'RESUMEN TOTAL'!T170</f>
        <v>0</v>
      </c>
      <c r="P166">
        <f>'RESUMEN TOTAL'!U170</f>
        <v>0</v>
      </c>
      <c r="Q166">
        <f>'RESUMEN TOTAL'!V170</f>
        <v>0</v>
      </c>
      <c r="R166">
        <f>'RESUMEN TOTAL'!W170</f>
        <v>0</v>
      </c>
      <c r="S166">
        <f>'RESUMEN TOTAL'!X170</f>
        <v>0</v>
      </c>
      <c r="T166">
        <f>'RESUMEN TOTAL'!Y170</f>
        <v>0</v>
      </c>
      <c r="U166">
        <f>'RESUMEN TOTAL'!Z170</f>
        <v>0</v>
      </c>
      <c r="V166">
        <f>'RESUMEN TOTAL'!AA170</f>
        <v>0</v>
      </c>
      <c r="W166">
        <f>'RESUMEN TOTAL'!AB170</f>
        <v>0</v>
      </c>
      <c r="X166">
        <f>'RESUMEN TOTAL'!AC170</f>
        <v>0</v>
      </c>
      <c r="Y166">
        <f>'RESUMEN TOTAL'!AD170</f>
        <v>0</v>
      </c>
      <c r="Z166">
        <f>'RESUMEN TOTAL'!AE170</f>
        <v>0</v>
      </c>
      <c r="AA166">
        <f>'RESUMEN TOTAL'!AF170</f>
        <v>0</v>
      </c>
      <c r="AB166">
        <f>'RESUMEN TOTAL'!AG170</f>
        <v>0</v>
      </c>
      <c r="AC166">
        <f>'RESUMEN TOTAL'!AH170</f>
        <v>0</v>
      </c>
      <c r="AD166">
        <f>'RESUMEN TOTAL'!AI170</f>
        <v>0</v>
      </c>
      <c r="AE166">
        <f>'RESUMEN TOTAL'!AJ170</f>
        <v>0</v>
      </c>
      <c r="AF166">
        <f>'RESUMEN TOTAL'!AK170</f>
        <v>0</v>
      </c>
      <c r="AG166">
        <f>'RESUMEN TOTAL'!AL170</f>
        <v>0</v>
      </c>
      <c r="AH166">
        <f>'RESUMEN TOTAL'!AM170</f>
        <v>0</v>
      </c>
      <c r="AI166">
        <f>'RESUMEN TOTAL'!AN170</f>
        <v>0</v>
      </c>
    </row>
    <row r="167" spans="1:35" x14ac:dyDescent="0.3">
      <c r="A167" t="str">
        <f>'RESUMEN TOTAL'!A171</f>
        <v>LOS PILARES</v>
      </c>
      <c r="B167" t="str">
        <f>'RESUMEN TOTAL'!B171</f>
        <v>LPR03 (fija 2)</v>
      </c>
      <c r="C167" t="str">
        <f>'RESUMEN TOTAL'!D171</f>
        <v>EVA PERON Y CACHEUTA</v>
      </c>
      <c r="D167" t="str">
        <f>'RESUMEN TOTAL'!E171</f>
        <v>Fija</v>
      </c>
      <c r="E167" t="str">
        <f>'RESUMEN TOTAL'!F171</f>
        <v>Fibra Optica</v>
      </c>
      <c r="F167">
        <f>'RESUMEN TOTAL'!K171</f>
        <v>0</v>
      </c>
      <c r="G167">
        <f>'RESUMEN TOTAL'!L171</f>
        <v>0</v>
      </c>
      <c r="H167">
        <f>'RESUMEN TOTAL'!M171</f>
        <v>0</v>
      </c>
      <c r="I167">
        <f>'RESUMEN TOTAL'!N171</f>
        <v>0</v>
      </c>
      <c r="J167">
        <f>'RESUMEN TOTAL'!O171</f>
        <v>0</v>
      </c>
      <c r="K167">
        <f>'RESUMEN TOTAL'!P171</f>
        <v>0</v>
      </c>
      <c r="L167">
        <f>'RESUMEN TOTAL'!Q171</f>
        <v>0</v>
      </c>
      <c r="M167">
        <f>'RESUMEN TOTAL'!R171</f>
        <v>0</v>
      </c>
      <c r="N167">
        <f>'RESUMEN TOTAL'!S171</f>
        <v>0</v>
      </c>
      <c r="O167">
        <f>'RESUMEN TOTAL'!T171</f>
        <v>0</v>
      </c>
      <c r="P167">
        <f>'RESUMEN TOTAL'!U171</f>
        <v>0</v>
      </c>
      <c r="Q167">
        <f>'RESUMEN TOTAL'!V171</f>
        <v>0</v>
      </c>
      <c r="R167">
        <f>'RESUMEN TOTAL'!W171</f>
        <v>0</v>
      </c>
      <c r="S167">
        <f>'RESUMEN TOTAL'!X171</f>
        <v>0</v>
      </c>
      <c r="T167">
        <f>'RESUMEN TOTAL'!Y171</f>
        <v>0</v>
      </c>
      <c r="U167">
        <f>'RESUMEN TOTAL'!Z171</f>
        <v>0</v>
      </c>
      <c r="V167">
        <f>'RESUMEN TOTAL'!AA171</f>
        <v>0</v>
      </c>
      <c r="W167">
        <f>'RESUMEN TOTAL'!AB171</f>
        <v>0</v>
      </c>
      <c r="X167">
        <f>'RESUMEN TOTAL'!AC171</f>
        <v>0</v>
      </c>
      <c r="Y167">
        <f>'RESUMEN TOTAL'!AD171</f>
        <v>0</v>
      </c>
      <c r="Z167">
        <f>'RESUMEN TOTAL'!AE171</f>
        <v>0</v>
      </c>
      <c r="AA167">
        <f>'RESUMEN TOTAL'!AF171</f>
        <v>0</v>
      </c>
      <c r="AB167">
        <f>'RESUMEN TOTAL'!AG171</f>
        <v>0</v>
      </c>
      <c r="AC167">
        <f>'RESUMEN TOTAL'!AH171</f>
        <v>0</v>
      </c>
      <c r="AD167">
        <f>'RESUMEN TOTAL'!AI171</f>
        <v>0</v>
      </c>
      <c r="AE167">
        <f>'RESUMEN TOTAL'!AJ171</f>
        <v>0</v>
      </c>
      <c r="AF167">
        <f>'RESUMEN TOTAL'!AK171</f>
        <v>0</v>
      </c>
      <c r="AG167">
        <f>'RESUMEN TOTAL'!AL171</f>
        <v>0</v>
      </c>
      <c r="AH167">
        <f>'RESUMEN TOTAL'!AM171</f>
        <v>0</v>
      </c>
      <c r="AI167">
        <f>'RESUMEN TOTAL'!AN171</f>
        <v>0</v>
      </c>
    </row>
    <row r="168" spans="1:35" x14ac:dyDescent="0.3">
      <c r="A168" t="str">
        <f>'RESUMEN TOTAL'!A172</f>
        <v>LOPEZ ROMERO</v>
      </c>
      <c r="B168" t="str">
        <f>'RESUMEN TOTAL'!B172</f>
        <v>LRO 05</v>
      </c>
      <c r="C168" t="str">
        <f>'RESUMEN TOTAL'!D172</f>
        <v>Calchaqui y Las Americas</v>
      </c>
      <c r="D168" t="str">
        <f>'RESUMEN TOTAL'!E172</f>
        <v>Fija</v>
      </c>
      <c r="E168" t="str">
        <f>'RESUMEN TOTAL'!F172</f>
        <v>Fibra Optica</v>
      </c>
      <c r="F168" t="str">
        <f>'RESUMEN TOTAL'!K172</f>
        <v>APAGADO</v>
      </c>
      <c r="G168" t="str">
        <f>'RESUMEN TOTAL'!L172</f>
        <v>APAGADO</v>
      </c>
      <c r="H168" t="str">
        <f>'RESUMEN TOTAL'!M172</f>
        <v>APAGADO</v>
      </c>
      <c r="I168" t="str">
        <f>'RESUMEN TOTAL'!N172</f>
        <v>APAGADO</v>
      </c>
      <c r="J168" t="str">
        <f>'RESUMEN TOTAL'!O172</f>
        <v>APAGADO</v>
      </c>
      <c r="K168" t="str">
        <f>'RESUMEN TOTAL'!P172</f>
        <v>APAGADO</v>
      </c>
      <c r="L168" t="str">
        <f>'RESUMEN TOTAL'!Q172</f>
        <v>APAGADO</v>
      </c>
      <c r="M168" t="str">
        <f>'RESUMEN TOTAL'!R172</f>
        <v>APAGADO</v>
      </c>
      <c r="N168" t="str">
        <f>'RESUMEN TOTAL'!S172</f>
        <v>APAGADO</v>
      </c>
      <c r="O168" t="str">
        <f>'RESUMEN TOTAL'!T172</f>
        <v>APAGADO</v>
      </c>
      <c r="P168" t="str">
        <f>'RESUMEN TOTAL'!U172</f>
        <v>APAGADO</v>
      </c>
      <c r="Q168" t="str">
        <f>'RESUMEN TOTAL'!V172</f>
        <v>APAGADO</v>
      </c>
      <c r="R168" t="str">
        <f>'RESUMEN TOTAL'!W172</f>
        <v>APAGADO</v>
      </c>
      <c r="S168" t="str">
        <f>'RESUMEN TOTAL'!X172</f>
        <v>APAGADO</v>
      </c>
      <c r="T168">
        <f>'RESUMEN TOTAL'!Y172</f>
        <v>0</v>
      </c>
      <c r="U168">
        <f>'RESUMEN TOTAL'!Z172</f>
        <v>0</v>
      </c>
      <c r="V168">
        <f>'RESUMEN TOTAL'!AA172</f>
        <v>0</v>
      </c>
      <c r="W168">
        <f>'RESUMEN TOTAL'!AB172</f>
        <v>0</v>
      </c>
      <c r="X168">
        <f>'RESUMEN TOTAL'!AC172</f>
        <v>0</v>
      </c>
      <c r="Y168">
        <f>'RESUMEN TOTAL'!AD172</f>
        <v>0</v>
      </c>
      <c r="Z168">
        <f>'RESUMEN TOTAL'!AE172</f>
        <v>0</v>
      </c>
      <c r="AA168">
        <f>'RESUMEN TOTAL'!AF172</f>
        <v>0</v>
      </c>
      <c r="AB168">
        <f>'RESUMEN TOTAL'!AG172</f>
        <v>0</v>
      </c>
      <c r="AC168">
        <f>'RESUMEN TOTAL'!AH172</f>
        <v>0</v>
      </c>
      <c r="AD168">
        <f>'RESUMEN TOTAL'!AI172</f>
        <v>0</v>
      </c>
      <c r="AE168">
        <f>'RESUMEN TOTAL'!AJ172</f>
        <v>0</v>
      </c>
      <c r="AF168">
        <f>'RESUMEN TOTAL'!AK172</f>
        <v>0</v>
      </c>
      <c r="AG168">
        <f>'RESUMEN TOTAL'!AL172</f>
        <v>0</v>
      </c>
      <c r="AH168">
        <f>'RESUMEN TOTAL'!AM172</f>
        <v>0</v>
      </c>
      <c r="AI168">
        <f>'RESUMEN TOTAL'!AN172</f>
        <v>0</v>
      </c>
    </row>
    <row r="169" spans="1:35" x14ac:dyDescent="0.3">
      <c r="A169" t="str">
        <f>'RESUMEN TOTAL'!A173</f>
        <v>LOPEZ ROMERO</v>
      </c>
      <c r="B169" t="str">
        <f>'RESUMEN TOTAL'!B173</f>
        <v>LRO 09</v>
      </c>
      <c r="C169" t="str">
        <f>'RESUMEN TOTAL'!D173</f>
        <v>Las Americas y Braile</v>
      </c>
      <c r="D169" t="str">
        <f>'RESUMEN TOTAL'!E173</f>
        <v>Domo</v>
      </c>
      <c r="E169" t="str">
        <f>'RESUMEN TOTAL'!F173</f>
        <v>Fibra Optica</v>
      </c>
      <c r="F169" t="str">
        <f>'RESUMEN TOTAL'!K173</f>
        <v>APAGADO</v>
      </c>
      <c r="G169" t="str">
        <f>'RESUMEN TOTAL'!L173</f>
        <v>APAGADO</v>
      </c>
      <c r="H169" t="str">
        <f>'RESUMEN TOTAL'!M173</f>
        <v>APAGADO</v>
      </c>
      <c r="I169" t="str">
        <f>'RESUMEN TOTAL'!N173</f>
        <v>APAGADO</v>
      </c>
      <c r="J169" t="str">
        <f>'RESUMEN TOTAL'!O173</f>
        <v>APAGADO</v>
      </c>
      <c r="K169" t="str">
        <f>'RESUMEN TOTAL'!P173</f>
        <v>APAGADO</v>
      </c>
      <c r="L169" t="str">
        <f>'RESUMEN TOTAL'!Q173</f>
        <v>APAGADO</v>
      </c>
      <c r="M169" t="str">
        <f>'RESUMEN TOTAL'!R173</f>
        <v>APAGADO</v>
      </c>
      <c r="N169" t="str">
        <f>'RESUMEN TOTAL'!S173</f>
        <v>APAGADO</v>
      </c>
      <c r="O169" t="str">
        <f>'RESUMEN TOTAL'!T173</f>
        <v>APAGADO</v>
      </c>
      <c r="P169" t="str">
        <f>'RESUMEN TOTAL'!U173</f>
        <v>APAGADO</v>
      </c>
      <c r="Q169" t="str">
        <f>'RESUMEN TOTAL'!V173</f>
        <v>APAGADO</v>
      </c>
      <c r="R169" t="str">
        <f>'RESUMEN TOTAL'!W173</f>
        <v>APAGADO</v>
      </c>
      <c r="S169" t="str">
        <f>'RESUMEN TOTAL'!X173</f>
        <v>APAGADO</v>
      </c>
      <c r="T169">
        <f>'RESUMEN TOTAL'!Y173</f>
        <v>0</v>
      </c>
      <c r="U169">
        <f>'RESUMEN TOTAL'!Z173</f>
        <v>0</v>
      </c>
      <c r="V169">
        <f>'RESUMEN TOTAL'!AA173</f>
        <v>0</v>
      </c>
      <c r="W169">
        <f>'RESUMEN TOTAL'!AB173</f>
        <v>0</v>
      </c>
      <c r="X169">
        <f>'RESUMEN TOTAL'!AC173</f>
        <v>0</v>
      </c>
      <c r="Y169">
        <f>'RESUMEN TOTAL'!AD173</f>
        <v>0</v>
      </c>
      <c r="Z169">
        <f>'RESUMEN TOTAL'!AE173</f>
        <v>0</v>
      </c>
      <c r="AA169">
        <f>'RESUMEN TOTAL'!AF173</f>
        <v>0</v>
      </c>
      <c r="AB169">
        <f>'RESUMEN TOTAL'!AG173</f>
        <v>0</v>
      </c>
      <c r="AC169">
        <f>'RESUMEN TOTAL'!AH173</f>
        <v>0</v>
      </c>
      <c r="AD169">
        <f>'RESUMEN TOTAL'!AI173</f>
        <v>0</v>
      </c>
      <c r="AE169">
        <f>'RESUMEN TOTAL'!AJ173</f>
        <v>0</v>
      </c>
      <c r="AF169">
        <f>'RESUMEN TOTAL'!AK173</f>
        <v>0</v>
      </c>
      <c r="AG169">
        <f>'RESUMEN TOTAL'!AL173</f>
        <v>0</v>
      </c>
      <c r="AH169">
        <f>'RESUMEN TOTAL'!AM173</f>
        <v>0</v>
      </c>
      <c r="AI169">
        <f>'RESUMEN TOTAL'!AN173</f>
        <v>0</v>
      </c>
    </row>
    <row r="170" spans="1:35" x14ac:dyDescent="0.3">
      <c r="A170" t="str">
        <f>'RESUMEN TOTAL'!A174</f>
        <v>LOPEZ ROMERO</v>
      </c>
      <c r="B170" t="str">
        <f>'RESUMEN TOTAL'!B174</f>
        <v>LRO 10</v>
      </c>
      <c r="C170" t="str">
        <f>'RESUMEN TOTAL'!D174</f>
        <v>Con. Gral. Belgrano y Balcarce</v>
      </c>
      <c r="D170" t="str">
        <f>'RESUMEN TOTAL'!E174</f>
        <v>Domo</v>
      </c>
      <c r="E170" t="str">
        <f>'RESUMEN TOTAL'!F174</f>
        <v>Fibra Optica</v>
      </c>
      <c r="F170" t="str">
        <f>'RESUMEN TOTAL'!K174</f>
        <v>APAGADO</v>
      </c>
      <c r="G170" t="str">
        <f>'RESUMEN TOTAL'!L174</f>
        <v>APAGADO</v>
      </c>
      <c r="H170" t="str">
        <f>'RESUMEN TOTAL'!M174</f>
        <v>APAGADO</v>
      </c>
      <c r="I170" t="str">
        <f>'RESUMEN TOTAL'!N174</f>
        <v>APAGADO</v>
      </c>
      <c r="J170" t="str">
        <f>'RESUMEN TOTAL'!O174</f>
        <v>APAGADO</v>
      </c>
      <c r="K170" t="str">
        <f>'RESUMEN TOTAL'!P174</f>
        <v>APAGADO</v>
      </c>
      <c r="L170" t="str">
        <f>'RESUMEN TOTAL'!Q174</f>
        <v>APAGADO</v>
      </c>
      <c r="M170" t="str">
        <f>'RESUMEN TOTAL'!R174</f>
        <v>APAGADO</v>
      </c>
      <c r="N170" t="str">
        <f>'RESUMEN TOTAL'!S174</f>
        <v>APAGADO</v>
      </c>
      <c r="O170" t="str">
        <f>'RESUMEN TOTAL'!T174</f>
        <v>APAGADO</v>
      </c>
      <c r="P170" t="str">
        <f>'RESUMEN TOTAL'!U174</f>
        <v>APAGADO</v>
      </c>
      <c r="Q170" t="str">
        <f>'RESUMEN TOTAL'!V174</f>
        <v>APAGADO</v>
      </c>
      <c r="R170" t="str">
        <f>'RESUMEN TOTAL'!W174</f>
        <v>APAGADO</v>
      </c>
      <c r="S170" t="str">
        <f>'RESUMEN TOTAL'!X174</f>
        <v>APAGADO</v>
      </c>
      <c r="T170" t="str">
        <f>'RESUMEN TOTAL'!Y174</f>
        <v>APAGADO</v>
      </c>
      <c r="U170">
        <f>'RESUMEN TOTAL'!Z174</f>
        <v>0</v>
      </c>
      <c r="V170">
        <f>'RESUMEN TOTAL'!AA174</f>
        <v>0</v>
      </c>
      <c r="W170">
        <f>'RESUMEN TOTAL'!AB174</f>
        <v>0</v>
      </c>
      <c r="X170">
        <f>'RESUMEN TOTAL'!AC174</f>
        <v>0</v>
      </c>
      <c r="Y170">
        <f>'RESUMEN TOTAL'!AD174</f>
        <v>0</v>
      </c>
      <c r="Z170">
        <f>'RESUMEN TOTAL'!AE174</f>
        <v>0</v>
      </c>
      <c r="AA170">
        <f>'RESUMEN TOTAL'!AF174</f>
        <v>0</v>
      </c>
      <c r="AB170">
        <f>'RESUMEN TOTAL'!AG174</f>
        <v>0</v>
      </c>
      <c r="AC170">
        <f>'RESUMEN TOTAL'!AH174</f>
        <v>0</v>
      </c>
      <c r="AD170">
        <f>'RESUMEN TOTAL'!AI174</f>
        <v>0</v>
      </c>
      <c r="AE170">
        <f>'RESUMEN TOTAL'!AJ174</f>
        <v>0</v>
      </c>
      <c r="AF170">
        <f>'RESUMEN TOTAL'!AK174</f>
        <v>0</v>
      </c>
      <c r="AG170">
        <f>'RESUMEN TOTAL'!AL174</f>
        <v>0</v>
      </c>
      <c r="AH170">
        <f>'RESUMEN TOTAL'!AM174</f>
        <v>0</v>
      </c>
      <c r="AI170">
        <f>'RESUMEN TOTAL'!AN174</f>
        <v>0</v>
      </c>
    </row>
    <row r="171" spans="1:35" x14ac:dyDescent="0.3">
      <c r="A171" t="str">
        <f>'RESUMEN TOTAL'!A175</f>
        <v>LOPEZ ROMERO</v>
      </c>
      <c r="B171" t="str">
        <f>'RESUMEN TOTAL'!B175</f>
        <v>LRO 12 (fija 1)</v>
      </c>
      <c r="C171" t="str">
        <f>'RESUMEN TOTAL'!D175</f>
        <v>LAS AMERICAS E/ BRAILLE Y ALVARADO</v>
      </c>
      <c r="D171" t="str">
        <f>'RESUMEN TOTAL'!E175</f>
        <v>Fija</v>
      </c>
      <c r="E171" t="str">
        <f>'RESUMEN TOTAL'!F175</f>
        <v>Fibra Optica</v>
      </c>
      <c r="F171" t="str">
        <f>'RESUMEN TOTAL'!K175</f>
        <v>APAGADO</v>
      </c>
      <c r="G171" t="str">
        <f>'RESUMEN TOTAL'!L175</f>
        <v>APAGADO</v>
      </c>
      <c r="H171" t="str">
        <f>'RESUMEN TOTAL'!M175</f>
        <v>APAGADO</v>
      </c>
      <c r="I171" t="str">
        <f>'RESUMEN TOTAL'!N175</f>
        <v>APAGADO</v>
      </c>
      <c r="J171" t="str">
        <f>'RESUMEN TOTAL'!O175</f>
        <v>APAGADO</v>
      </c>
      <c r="K171" t="str">
        <f>'RESUMEN TOTAL'!P175</f>
        <v>APAGADO</v>
      </c>
      <c r="L171" t="str">
        <f>'RESUMEN TOTAL'!Q175</f>
        <v>APAGADO</v>
      </c>
      <c r="M171" t="str">
        <f>'RESUMEN TOTAL'!R175</f>
        <v>APAGADO</v>
      </c>
      <c r="N171" t="str">
        <f>'RESUMEN TOTAL'!S175</f>
        <v>APAGADO</v>
      </c>
      <c r="O171" t="str">
        <f>'RESUMEN TOTAL'!T175</f>
        <v>APAGADO</v>
      </c>
      <c r="P171" t="str">
        <f>'RESUMEN TOTAL'!U175</f>
        <v>APAGADO</v>
      </c>
      <c r="Q171" t="str">
        <f>'RESUMEN TOTAL'!V175</f>
        <v>APAGADO</v>
      </c>
      <c r="R171" t="str">
        <f>'RESUMEN TOTAL'!W175</f>
        <v>APAGADO</v>
      </c>
      <c r="S171" t="str">
        <f>'RESUMEN TOTAL'!X175</f>
        <v>APAGADO</v>
      </c>
      <c r="T171">
        <f>'RESUMEN TOTAL'!Y175</f>
        <v>0</v>
      </c>
      <c r="U171">
        <f>'RESUMEN TOTAL'!Z175</f>
        <v>0</v>
      </c>
      <c r="V171">
        <f>'RESUMEN TOTAL'!AA175</f>
        <v>0</v>
      </c>
      <c r="W171">
        <f>'RESUMEN TOTAL'!AB175</f>
        <v>0</v>
      </c>
      <c r="X171">
        <f>'RESUMEN TOTAL'!AC175</f>
        <v>0</v>
      </c>
      <c r="Y171">
        <f>'RESUMEN TOTAL'!AD175</f>
        <v>0</v>
      </c>
      <c r="Z171">
        <f>'RESUMEN TOTAL'!AE175</f>
        <v>0</v>
      </c>
      <c r="AA171">
        <f>'RESUMEN TOTAL'!AF175</f>
        <v>0</v>
      </c>
      <c r="AB171">
        <f>'RESUMEN TOTAL'!AG175</f>
        <v>0</v>
      </c>
      <c r="AC171">
        <f>'RESUMEN TOTAL'!AH175</f>
        <v>0</v>
      </c>
      <c r="AD171">
        <f>'RESUMEN TOTAL'!AI175</f>
        <v>0</v>
      </c>
      <c r="AE171">
        <f>'RESUMEN TOTAL'!AJ175</f>
        <v>0</v>
      </c>
      <c r="AF171">
        <f>'RESUMEN TOTAL'!AK175</f>
        <v>0</v>
      </c>
      <c r="AG171">
        <f>'RESUMEN TOTAL'!AL175</f>
        <v>0</v>
      </c>
      <c r="AH171">
        <f>'RESUMEN TOTAL'!AM175</f>
        <v>0</v>
      </c>
      <c r="AI171">
        <f>'RESUMEN TOTAL'!AN175</f>
        <v>0</v>
      </c>
    </row>
    <row r="172" spans="1:35" x14ac:dyDescent="0.3">
      <c r="A172" t="str">
        <f>'RESUMEN TOTAL'!A176</f>
        <v>LOPEZ ROMERO</v>
      </c>
      <c r="B172" t="str">
        <f>'RESUMEN TOTAL'!B176</f>
        <v>LRO 13 (fija 2)</v>
      </c>
      <c r="C172" t="str">
        <f>'RESUMEN TOTAL'!D176</f>
        <v>LAS AMERICAS E/ BRAILLE Y ALVARADO</v>
      </c>
      <c r="D172" t="str">
        <f>'RESUMEN TOTAL'!E176</f>
        <v>Fija</v>
      </c>
      <c r="E172" t="str">
        <f>'RESUMEN TOTAL'!F176</f>
        <v>Fibra Optica</v>
      </c>
      <c r="F172" t="str">
        <f>'RESUMEN TOTAL'!K176</f>
        <v>APAGADO</v>
      </c>
      <c r="G172" t="str">
        <f>'RESUMEN TOTAL'!L176</f>
        <v>APAGADO</v>
      </c>
      <c r="H172" t="str">
        <f>'RESUMEN TOTAL'!M176</f>
        <v>APAGADO</v>
      </c>
      <c r="I172" t="str">
        <f>'RESUMEN TOTAL'!N176</f>
        <v>APAGADO</v>
      </c>
      <c r="J172" t="str">
        <f>'RESUMEN TOTAL'!O176</f>
        <v>APAGADO</v>
      </c>
      <c r="K172" t="str">
        <f>'RESUMEN TOTAL'!P176</f>
        <v>APAGADO</v>
      </c>
      <c r="L172" t="str">
        <f>'RESUMEN TOTAL'!Q176</f>
        <v>APAGADO</v>
      </c>
      <c r="M172" t="str">
        <f>'RESUMEN TOTAL'!R176</f>
        <v>APAGADO</v>
      </c>
      <c r="N172" t="str">
        <f>'RESUMEN TOTAL'!S176</f>
        <v>APAGADO</v>
      </c>
      <c r="O172" t="str">
        <f>'RESUMEN TOTAL'!T176</f>
        <v>APAGADO</v>
      </c>
      <c r="P172" t="str">
        <f>'RESUMEN TOTAL'!U176</f>
        <v>APAGADO</v>
      </c>
      <c r="Q172" t="str">
        <f>'RESUMEN TOTAL'!V176</f>
        <v>APAGADO</v>
      </c>
      <c r="R172" t="str">
        <f>'RESUMEN TOTAL'!W176</f>
        <v>APAGADO</v>
      </c>
      <c r="S172" t="str">
        <f>'RESUMEN TOTAL'!X176</f>
        <v>APAGADO</v>
      </c>
      <c r="T172">
        <f>'RESUMEN TOTAL'!Y176</f>
        <v>0</v>
      </c>
      <c r="U172">
        <f>'RESUMEN TOTAL'!Z176</f>
        <v>0</v>
      </c>
      <c r="V172">
        <f>'RESUMEN TOTAL'!AA176</f>
        <v>0</v>
      </c>
      <c r="W172">
        <f>'RESUMEN TOTAL'!AB176</f>
        <v>0</v>
      </c>
      <c r="X172">
        <f>'RESUMEN TOTAL'!AC176</f>
        <v>0</v>
      </c>
      <c r="Y172">
        <f>'RESUMEN TOTAL'!AD176</f>
        <v>0</v>
      </c>
      <c r="Z172">
        <f>'RESUMEN TOTAL'!AE176</f>
        <v>0</v>
      </c>
      <c r="AA172">
        <f>'RESUMEN TOTAL'!AF176</f>
        <v>0</v>
      </c>
      <c r="AB172">
        <f>'RESUMEN TOTAL'!AG176</f>
        <v>0</v>
      </c>
      <c r="AC172">
        <f>'RESUMEN TOTAL'!AH176</f>
        <v>0</v>
      </c>
      <c r="AD172">
        <f>'RESUMEN TOTAL'!AI176</f>
        <v>0</v>
      </c>
      <c r="AE172">
        <f>'RESUMEN TOTAL'!AJ176</f>
        <v>0</v>
      </c>
      <c r="AF172">
        <f>'RESUMEN TOTAL'!AK176</f>
        <v>0</v>
      </c>
      <c r="AG172">
        <f>'RESUMEN TOTAL'!AL176</f>
        <v>0</v>
      </c>
      <c r="AH172">
        <f>'RESUMEN TOTAL'!AM176</f>
        <v>0</v>
      </c>
      <c r="AI172">
        <f>'RESUMEN TOTAL'!AN176</f>
        <v>0</v>
      </c>
    </row>
    <row r="173" spans="1:35" x14ac:dyDescent="0.3">
      <c r="A173" t="str">
        <f>'RESUMEN TOTAL'!A177</f>
        <v>LOPEZ ROMERO</v>
      </c>
      <c r="B173" t="str">
        <f>'RESUMEN TOTAL'!B177</f>
        <v>LRO01</v>
      </c>
      <c r="C173" t="str">
        <f>'RESUMEN TOTAL'!D177</f>
        <v>H. IRIGOYEN Y BRAILE</v>
      </c>
      <c r="D173" t="str">
        <f>'RESUMEN TOTAL'!E177</f>
        <v>FIJA</v>
      </c>
      <c r="E173" t="str">
        <f>'RESUMEN TOTAL'!F177</f>
        <v>FIBRA OPTICA</v>
      </c>
      <c r="F173" t="str">
        <f>'RESUMEN TOTAL'!K177</f>
        <v>APAGADO</v>
      </c>
      <c r="G173" t="str">
        <f>'RESUMEN TOTAL'!L177</f>
        <v>APAGADO</v>
      </c>
      <c r="H173">
        <f>'RESUMEN TOTAL'!M177</f>
        <v>0</v>
      </c>
      <c r="I173" t="str">
        <f>'RESUMEN TOTAL'!N177</f>
        <v>APAGADO</v>
      </c>
      <c r="J173" t="str">
        <f>'RESUMEN TOTAL'!O177</f>
        <v>APAGADO</v>
      </c>
      <c r="K173" t="str">
        <f>'RESUMEN TOTAL'!P177</f>
        <v>APAGADO</v>
      </c>
      <c r="L173" t="str">
        <f>'RESUMEN TOTAL'!Q177</f>
        <v>APAGADO</v>
      </c>
      <c r="M173" t="str">
        <f>'RESUMEN TOTAL'!R177</f>
        <v>APAGADO</v>
      </c>
      <c r="N173" t="str">
        <f>'RESUMEN TOTAL'!S177</f>
        <v>APAGADO</v>
      </c>
      <c r="O173" t="str">
        <f>'RESUMEN TOTAL'!T177</f>
        <v>APAGADO</v>
      </c>
      <c r="P173" t="str">
        <f>'RESUMEN TOTAL'!U177</f>
        <v>APAGADO</v>
      </c>
      <c r="Q173" t="str">
        <f>'RESUMEN TOTAL'!V177</f>
        <v>APAGADO</v>
      </c>
      <c r="R173" t="str">
        <f>'RESUMEN TOTAL'!W177</f>
        <v>APAGADO</v>
      </c>
      <c r="S173" t="str">
        <f>'RESUMEN TOTAL'!X177</f>
        <v>APAGADO</v>
      </c>
      <c r="T173" t="str">
        <f>'RESUMEN TOTAL'!Y177</f>
        <v>APAGADO</v>
      </c>
      <c r="U173" t="str">
        <f>'RESUMEN TOTAL'!Z177</f>
        <v>APAGADO</v>
      </c>
      <c r="V173" t="str">
        <f>'RESUMEN TOTAL'!AA177</f>
        <v>APAGADO</v>
      </c>
      <c r="W173" t="str">
        <f>'RESUMEN TOTAL'!AB177</f>
        <v>APAGADO</v>
      </c>
      <c r="X173" t="str">
        <f>'RESUMEN TOTAL'!AC177</f>
        <v>APAGADO</v>
      </c>
      <c r="Y173">
        <f>'RESUMEN TOTAL'!AD177</f>
        <v>0</v>
      </c>
      <c r="Z173">
        <f>'RESUMEN TOTAL'!AE177</f>
        <v>0</v>
      </c>
      <c r="AA173">
        <f>'RESUMEN TOTAL'!AF177</f>
        <v>0</v>
      </c>
      <c r="AB173">
        <f>'RESUMEN TOTAL'!AG177</f>
        <v>0</v>
      </c>
      <c r="AC173">
        <f>'RESUMEN TOTAL'!AH177</f>
        <v>0</v>
      </c>
      <c r="AD173">
        <f>'RESUMEN TOTAL'!AI177</f>
        <v>0</v>
      </c>
      <c r="AE173">
        <f>'RESUMEN TOTAL'!AJ177</f>
        <v>0</v>
      </c>
      <c r="AF173">
        <f>'RESUMEN TOTAL'!AK177</f>
        <v>0</v>
      </c>
      <c r="AG173">
        <f>'RESUMEN TOTAL'!AL177</f>
        <v>0</v>
      </c>
      <c r="AH173">
        <f>'RESUMEN TOTAL'!AM177</f>
        <v>0</v>
      </c>
      <c r="AI173">
        <f>'RESUMEN TOTAL'!AN177</f>
        <v>0</v>
      </c>
    </row>
    <row r="174" spans="1:35" x14ac:dyDescent="0.3">
      <c r="A174" t="str">
        <f>'RESUMEN TOTAL'!A178</f>
        <v>PRESIDENTE SARMIENTO</v>
      </c>
      <c r="B174" t="str">
        <f>'RESUMEN TOTAL'!B178</f>
        <v>LRO02</v>
      </c>
      <c r="C174" t="str">
        <f>'RESUMEN TOTAL'!D178</f>
        <v>H. Irigoyen e Islas Orcadas</v>
      </c>
      <c r="D174" t="str">
        <f>'RESUMEN TOTAL'!E178</f>
        <v>Domo</v>
      </c>
      <c r="E174" t="str">
        <f>'RESUMEN TOTAL'!F178</f>
        <v>FIBRA OPTICA</v>
      </c>
      <c r="F174" t="str">
        <f>'RESUMEN TOTAL'!K178</f>
        <v>APAGADO</v>
      </c>
      <c r="G174" t="str">
        <f>'RESUMEN TOTAL'!L178</f>
        <v>APAGADO</v>
      </c>
      <c r="H174">
        <f>'RESUMEN TOTAL'!M178</f>
        <v>0</v>
      </c>
      <c r="I174">
        <f>'RESUMEN TOTAL'!N178</f>
        <v>0</v>
      </c>
      <c r="J174">
        <f>'RESUMEN TOTAL'!O178</f>
        <v>0</v>
      </c>
      <c r="K174">
        <f>'RESUMEN TOTAL'!P178</f>
        <v>0</v>
      </c>
      <c r="L174">
        <f>'RESUMEN TOTAL'!Q178</f>
        <v>0</v>
      </c>
      <c r="M174" t="str">
        <f>'RESUMEN TOTAL'!R178</f>
        <v>APAGADO</v>
      </c>
      <c r="N174" t="str">
        <f>'RESUMEN TOTAL'!S178</f>
        <v>APAGADO</v>
      </c>
      <c r="O174" t="str">
        <f>'RESUMEN TOTAL'!T178</f>
        <v>APAGADO</v>
      </c>
      <c r="P174" t="str">
        <f>'RESUMEN TOTAL'!U178</f>
        <v>APAGADO</v>
      </c>
      <c r="Q174" t="str">
        <f>'RESUMEN TOTAL'!V178</f>
        <v>APAGADO</v>
      </c>
      <c r="R174" t="str">
        <f>'RESUMEN TOTAL'!W178</f>
        <v>APAGADO</v>
      </c>
      <c r="S174" t="str">
        <f>'RESUMEN TOTAL'!X178</f>
        <v>APAGADO</v>
      </c>
      <c r="T174" t="str">
        <f>'RESUMEN TOTAL'!Y178</f>
        <v>APAGADO</v>
      </c>
      <c r="U174" t="str">
        <f>'RESUMEN TOTAL'!Z178</f>
        <v>APAGADO</v>
      </c>
      <c r="V174" t="str">
        <f>'RESUMEN TOTAL'!AA178</f>
        <v>APAGADO</v>
      </c>
      <c r="W174" t="str">
        <f>'RESUMEN TOTAL'!AB178</f>
        <v>APAGADO</v>
      </c>
      <c r="X174">
        <f>'RESUMEN TOTAL'!AC178</f>
        <v>0</v>
      </c>
      <c r="Y174">
        <f>'RESUMEN TOTAL'!AD178</f>
        <v>0</v>
      </c>
      <c r="Z174">
        <f>'RESUMEN TOTAL'!AE178</f>
        <v>0</v>
      </c>
      <c r="AA174">
        <f>'RESUMEN TOTAL'!AF178</f>
        <v>0</v>
      </c>
      <c r="AB174">
        <f>'RESUMEN TOTAL'!AG178</f>
        <v>0</v>
      </c>
      <c r="AC174">
        <f>'RESUMEN TOTAL'!AH178</f>
        <v>0</v>
      </c>
      <c r="AD174">
        <f>'RESUMEN TOTAL'!AI178</f>
        <v>0</v>
      </c>
      <c r="AE174">
        <f>'RESUMEN TOTAL'!AJ178</f>
        <v>0</v>
      </c>
      <c r="AF174">
        <f>'RESUMEN TOTAL'!AK178</f>
        <v>0</v>
      </c>
      <c r="AG174">
        <f>'RESUMEN TOTAL'!AL178</f>
        <v>0</v>
      </c>
      <c r="AH174">
        <f>'RESUMEN TOTAL'!AM178</f>
        <v>0</v>
      </c>
      <c r="AI174">
        <f>'RESUMEN TOTAL'!AN178</f>
        <v>0</v>
      </c>
    </row>
    <row r="175" spans="1:35" x14ac:dyDescent="0.3">
      <c r="A175" t="str">
        <f>'RESUMEN TOTAL'!A179</f>
        <v>LOPEZ ROMERO</v>
      </c>
      <c r="B175" t="str">
        <f>'RESUMEN TOTAL'!B179</f>
        <v>LRO03</v>
      </c>
      <c r="C175" t="str">
        <f>'RESUMEN TOTAL'!D179</f>
        <v>H. Irigoyen y Parravicini</v>
      </c>
      <c r="D175" t="str">
        <f>'RESUMEN TOTAL'!E179</f>
        <v>Fija</v>
      </c>
      <c r="E175" t="str">
        <f>'RESUMEN TOTAL'!F179</f>
        <v>Fibra Optica</v>
      </c>
      <c r="F175" t="str">
        <f>'RESUMEN TOTAL'!K179</f>
        <v>APAGADO</v>
      </c>
      <c r="G175" t="str">
        <f>'RESUMEN TOTAL'!L179</f>
        <v>APAGADO</v>
      </c>
      <c r="H175">
        <f>'RESUMEN TOTAL'!M179</f>
        <v>0</v>
      </c>
      <c r="I175">
        <f>'RESUMEN TOTAL'!N179</f>
        <v>0</v>
      </c>
      <c r="J175" t="str">
        <f>'RESUMEN TOTAL'!O179</f>
        <v>APAGADO</v>
      </c>
      <c r="K175" t="str">
        <f>'RESUMEN TOTAL'!P179</f>
        <v>APAGADO</v>
      </c>
      <c r="L175" t="str">
        <f>'RESUMEN TOTAL'!Q179</f>
        <v>APAGADO</v>
      </c>
      <c r="M175" t="str">
        <f>'RESUMEN TOTAL'!R179</f>
        <v>APAGADO</v>
      </c>
      <c r="N175" t="str">
        <f>'RESUMEN TOTAL'!S179</f>
        <v>APAGADO</v>
      </c>
      <c r="O175" t="str">
        <f>'RESUMEN TOTAL'!T179</f>
        <v>APAGADO</v>
      </c>
      <c r="P175" t="str">
        <f>'RESUMEN TOTAL'!U179</f>
        <v>APAGADO</v>
      </c>
      <c r="Q175" t="str">
        <f>'RESUMEN TOTAL'!V179</f>
        <v>APAGADO</v>
      </c>
      <c r="R175" t="str">
        <f>'RESUMEN TOTAL'!W179</f>
        <v>APAGADO</v>
      </c>
      <c r="S175" t="str">
        <f>'RESUMEN TOTAL'!X179</f>
        <v>APAGADO</v>
      </c>
      <c r="T175" t="str">
        <f>'RESUMEN TOTAL'!Y179</f>
        <v>APAGADO</v>
      </c>
      <c r="U175" t="str">
        <f>'RESUMEN TOTAL'!Z179</f>
        <v>APAGADO</v>
      </c>
      <c r="V175" t="str">
        <f>'RESUMEN TOTAL'!AA179</f>
        <v>APAGADO</v>
      </c>
      <c r="W175" t="str">
        <f>'RESUMEN TOTAL'!AB179</f>
        <v>APAGADO</v>
      </c>
      <c r="X175" t="str">
        <f>'RESUMEN TOTAL'!AC179</f>
        <v>APAGADO</v>
      </c>
      <c r="Y175">
        <f>'RESUMEN TOTAL'!AD179</f>
        <v>0</v>
      </c>
      <c r="Z175">
        <f>'RESUMEN TOTAL'!AE179</f>
        <v>0</v>
      </c>
      <c r="AA175">
        <f>'RESUMEN TOTAL'!AF179</f>
        <v>0</v>
      </c>
      <c r="AB175">
        <f>'RESUMEN TOTAL'!AG179</f>
        <v>0</v>
      </c>
      <c r="AC175">
        <f>'RESUMEN TOTAL'!AH179</f>
        <v>0</v>
      </c>
      <c r="AD175">
        <f>'RESUMEN TOTAL'!AI179</f>
        <v>0</v>
      </c>
      <c r="AE175">
        <f>'RESUMEN TOTAL'!AJ179</f>
        <v>0</v>
      </c>
      <c r="AF175">
        <f>'RESUMEN TOTAL'!AK179</f>
        <v>0</v>
      </c>
      <c r="AG175">
        <f>'RESUMEN TOTAL'!AL179</f>
        <v>0</v>
      </c>
      <c r="AH175">
        <f>'RESUMEN TOTAL'!AM179</f>
        <v>0</v>
      </c>
      <c r="AI175">
        <f>'RESUMEN TOTAL'!AN179</f>
        <v>0</v>
      </c>
    </row>
    <row r="176" spans="1:35" x14ac:dyDescent="0.3">
      <c r="A176" t="str">
        <f>'RESUMEN TOTAL'!A180</f>
        <v>LOPEZ ROMERO</v>
      </c>
      <c r="B176" t="str">
        <f>'RESUMEN TOTAL'!B180</f>
        <v>LRO04</v>
      </c>
      <c r="C176" t="str">
        <f>'RESUMEN TOTAL'!D180</f>
        <v>H. Irigoyen y Alvarado</v>
      </c>
      <c r="D176" t="str">
        <f>'RESUMEN TOTAL'!E180</f>
        <v>FIJA</v>
      </c>
      <c r="E176" t="str">
        <f>'RESUMEN TOTAL'!F180</f>
        <v>Fibra Optica</v>
      </c>
      <c r="F176">
        <f>'RESUMEN TOTAL'!K180</f>
        <v>0</v>
      </c>
      <c r="G176">
        <f>'RESUMEN TOTAL'!L180</f>
        <v>0</v>
      </c>
      <c r="H176">
        <f>'RESUMEN TOTAL'!M180</f>
        <v>0</v>
      </c>
      <c r="I176">
        <f>'RESUMEN TOTAL'!N180</f>
        <v>0</v>
      </c>
      <c r="J176">
        <f>'RESUMEN TOTAL'!O180</f>
        <v>0</v>
      </c>
      <c r="K176">
        <f>'RESUMEN TOTAL'!P180</f>
        <v>0</v>
      </c>
      <c r="L176">
        <f>'RESUMEN TOTAL'!Q180</f>
        <v>0</v>
      </c>
      <c r="M176" t="str">
        <f>'RESUMEN TOTAL'!R180</f>
        <v>APAGADO</v>
      </c>
      <c r="N176">
        <f>'RESUMEN TOTAL'!S180</f>
        <v>0</v>
      </c>
      <c r="O176" t="str">
        <f>'RESUMEN TOTAL'!T180</f>
        <v>APAGADO</v>
      </c>
      <c r="P176">
        <f>'RESUMEN TOTAL'!U180</f>
        <v>0</v>
      </c>
      <c r="Q176">
        <f>'RESUMEN TOTAL'!V180</f>
        <v>0</v>
      </c>
      <c r="R176">
        <f>'RESUMEN TOTAL'!W180</f>
        <v>0</v>
      </c>
      <c r="S176">
        <f>'RESUMEN TOTAL'!X180</f>
        <v>0</v>
      </c>
      <c r="T176">
        <f>'RESUMEN TOTAL'!Y180</f>
        <v>0</v>
      </c>
      <c r="U176">
        <f>'RESUMEN TOTAL'!Z180</f>
        <v>0</v>
      </c>
      <c r="V176">
        <f>'RESUMEN TOTAL'!AA180</f>
        <v>0</v>
      </c>
      <c r="W176">
        <f>'RESUMEN TOTAL'!AB180</f>
        <v>0</v>
      </c>
      <c r="X176">
        <f>'RESUMEN TOTAL'!AC180</f>
        <v>0</v>
      </c>
      <c r="Y176">
        <f>'RESUMEN TOTAL'!AD180</f>
        <v>0</v>
      </c>
      <c r="Z176">
        <f>'RESUMEN TOTAL'!AE180</f>
        <v>0</v>
      </c>
      <c r="AA176">
        <f>'RESUMEN TOTAL'!AF180</f>
        <v>0</v>
      </c>
      <c r="AB176">
        <f>'RESUMEN TOTAL'!AG180</f>
        <v>0</v>
      </c>
      <c r="AC176">
        <f>'RESUMEN TOTAL'!AH180</f>
        <v>0</v>
      </c>
      <c r="AD176">
        <f>'RESUMEN TOTAL'!AI180</f>
        <v>0</v>
      </c>
      <c r="AE176">
        <f>'RESUMEN TOTAL'!AJ180</f>
        <v>0</v>
      </c>
      <c r="AF176">
        <f>'RESUMEN TOTAL'!AK180</f>
        <v>0</v>
      </c>
      <c r="AG176">
        <f>'RESUMEN TOTAL'!AL180</f>
        <v>0</v>
      </c>
      <c r="AH176">
        <f>'RESUMEN TOTAL'!AM180</f>
        <v>0</v>
      </c>
      <c r="AI176">
        <f>'RESUMEN TOTAL'!AN180</f>
        <v>0</v>
      </c>
    </row>
    <row r="177" spans="1:35" x14ac:dyDescent="0.3">
      <c r="A177" t="str">
        <f>'RESUMEN TOTAL'!A181</f>
        <v>PRESIDENTE SARMIENTO</v>
      </c>
      <c r="B177" t="str">
        <f>'RESUMEN TOTAL'!B181</f>
        <v>LRO06</v>
      </c>
      <c r="C177" t="str">
        <f>'RESUMEN TOTAL'!D181</f>
        <v>H. Irigoyen y Belgrano</v>
      </c>
      <c r="D177" t="str">
        <f>'RESUMEN TOTAL'!E181</f>
        <v>Domo</v>
      </c>
      <c r="E177" t="str">
        <f>'RESUMEN TOTAL'!F181</f>
        <v>Fibra Optica</v>
      </c>
      <c r="F177" t="str">
        <f>'RESUMEN TOTAL'!K181</f>
        <v>APAGADO</v>
      </c>
      <c r="G177" t="str">
        <f>'RESUMEN TOTAL'!L181</f>
        <v>APAGADO</v>
      </c>
      <c r="H177" t="str">
        <f>'RESUMEN TOTAL'!M181</f>
        <v>APAGADO</v>
      </c>
      <c r="I177" t="str">
        <f>'RESUMEN TOTAL'!N181</f>
        <v>APAGADO</v>
      </c>
      <c r="J177" t="str">
        <f>'RESUMEN TOTAL'!O181</f>
        <v>APAGADO</v>
      </c>
      <c r="K177" t="str">
        <f>'RESUMEN TOTAL'!P181</f>
        <v>APAGADO</v>
      </c>
      <c r="L177" t="str">
        <f>'RESUMEN TOTAL'!Q181</f>
        <v>APAGADO</v>
      </c>
      <c r="M177" t="str">
        <f>'RESUMEN TOTAL'!R181</f>
        <v>APAGADO</v>
      </c>
      <c r="N177" t="str">
        <f>'RESUMEN TOTAL'!S181</f>
        <v>APAGADO</v>
      </c>
      <c r="O177" t="str">
        <f>'RESUMEN TOTAL'!T181</f>
        <v>APAGADO</v>
      </c>
      <c r="P177" t="str">
        <f>'RESUMEN TOTAL'!U181</f>
        <v>APAGADO</v>
      </c>
      <c r="Q177" t="str">
        <f>'RESUMEN TOTAL'!V181</f>
        <v>APAGADO</v>
      </c>
      <c r="R177" t="str">
        <f>'RESUMEN TOTAL'!W181</f>
        <v>APAGADO</v>
      </c>
      <c r="S177" t="str">
        <f>'RESUMEN TOTAL'!X181</f>
        <v>APAGADO</v>
      </c>
      <c r="T177" t="str">
        <f>'RESUMEN TOTAL'!Y181</f>
        <v>APAGADO</v>
      </c>
      <c r="U177">
        <f>'RESUMEN TOTAL'!Z181</f>
        <v>0</v>
      </c>
      <c r="V177">
        <f>'RESUMEN TOTAL'!AA181</f>
        <v>0</v>
      </c>
      <c r="W177">
        <f>'RESUMEN TOTAL'!AB181</f>
        <v>0</v>
      </c>
      <c r="X177">
        <f>'RESUMEN TOTAL'!AC181</f>
        <v>0</v>
      </c>
      <c r="Y177">
        <f>'RESUMEN TOTAL'!AD181</f>
        <v>0</v>
      </c>
      <c r="Z177">
        <f>'RESUMEN TOTAL'!AE181</f>
        <v>0</v>
      </c>
      <c r="AA177">
        <f>'RESUMEN TOTAL'!AF181</f>
        <v>0</v>
      </c>
      <c r="AB177">
        <f>'RESUMEN TOTAL'!AG181</f>
        <v>0</v>
      </c>
      <c r="AC177">
        <f>'RESUMEN TOTAL'!AH181</f>
        <v>0</v>
      </c>
      <c r="AD177">
        <f>'RESUMEN TOTAL'!AI181</f>
        <v>0</v>
      </c>
      <c r="AE177">
        <f>'RESUMEN TOTAL'!AJ181</f>
        <v>0</v>
      </c>
      <c r="AF177">
        <f>'RESUMEN TOTAL'!AK181</f>
        <v>0</v>
      </c>
      <c r="AG177">
        <f>'RESUMEN TOTAL'!AL181</f>
        <v>0</v>
      </c>
      <c r="AH177">
        <f>'RESUMEN TOTAL'!AM181</f>
        <v>0</v>
      </c>
      <c r="AI177">
        <f>'RESUMEN TOTAL'!AN181</f>
        <v>0</v>
      </c>
    </row>
    <row r="178" spans="1:35" x14ac:dyDescent="0.3">
      <c r="A178" t="str">
        <f>'RESUMEN TOTAL'!A182</f>
        <v>LOPEZ ROMERO</v>
      </c>
      <c r="B178" t="str">
        <f>'RESUMEN TOTAL'!B182</f>
        <v>LRO07</v>
      </c>
      <c r="C178" t="str">
        <f>'RESUMEN TOTAL'!D182</f>
        <v>H. Irigoyen y Remedios de Escalada</v>
      </c>
      <c r="D178" t="str">
        <f>'RESUMEN TOTAL'!E182</f>
        <v>Domo</v>
      </c>
      <c r="E178" t="str">
        <f>'RESUMEN TOTAL'!F182</f>
        <v>Fibra Optica</v>
      </c>
      <c r="F178" t="str">
        <f>'RESUMEN TOTAL'!K182</f>
        <v>APAGADO</v>
      </c>
      <c r="G178" t="str">
        <f>'RESUMEN TOTAL'!L182</f>
        <v>APAGADO</v>
      </c>
      <c r="H178" t="str">
        <f>'RESUMEN TOTAL'!M182</f>
        <v>APAGADO</v>
      </c>
      <c r="I178" t="str">
        <f>'RESUMEN TOTAL'!N182</f>
        <v>APAGADO</v>
      </c>
      <c r="J178" t="str">
        <f>'RESUMEN TOTAL'!O182</f>
        <v>APAGADO</v>
      </c>
      <c r="K178" t="str">
        <f>'RESUMEN TOTAL'!P182</f>
        <v>APAGADO</v>
      </c>
      <c r="L178" t="str">
        <f>'RESUMEN TOTAL'!Q182</f>
        <v>APAGADO</v>
      </c>
      <c r="M178" t="str">
        <f>'RESUMEN TOTAL'!R182</f>
        <v>APAGADO</v>
      </c>
      <c r="N178" t="str">
        <f>'RESUMEN TOTAL'!S182</f>
        <v>APAGADO</v>
      </c>
      <c r="O178" t="str">
        <f>'RESUMEN TOTAL'!T182</f>
        <v>APAGADO</v>
      </c>
      <c r="P178" t="str">
        <f>'RESUMEN TOTAL'!U182</f>
        <v>APAGADO</v>
      </c>
      <c r="Q178" t="str">
        <f>'RESUMEN TOTAL'!V182</f>
        <v>APAGADO</v>
      </c>
      <c r="R178" t="str">
        <f>'RESUMEN TOTAL'!W182</f>
        <v>APAGADO</v>
      </c>
      <c r="S178" t="str">
        <f>'RESUMEN TOTAL'!X182</f>
        <v>APAGADO</v>
      </c>
      <c r="T178">
        <f>'RESUMEN TOTAL'!Y182</f>
        <v>0</v>
      </c>
      <c r="U178">
        <f>'RESUMEN TOTAL'!Z182</f>
        <v>0</v>
      </c>
      <c r="V178">
        <f>'RESUMEN TOTAL'!AA182</f>
        <v>0</v>
      </c>
      <c r="W178">
        <f>'RESUMEN TOTAL'!AB182</f>
        <v>0</v>
      </c>
      <c r="X178">
        <f>'RESUMEN TOTAL'!AC182</f>
        <v>0</v>
      </c>
      <c r="Y178">
        <f>'RESUMEN TOTAL'!AD182</f>
        <v>0</v>
      </c>
      <c r="Z178">
        <f>'RESUMEN TOTAL'!AE182</f>
        <v>0</v>
      </c>
      <c r="AA178">
        <f>'RESUMEN TOTAL'!AF182</f>
        <v>0</v>
      </c>
      <c r="AB178">
        <f>'RESUMEN TOTAL'!AG182</f>
        <v>0</v>
      </c>
      <c r="AC178">
        <f>'RESUMEN TOTAL'!AH182</f>
        <v>0</v>
      </c>
      <c r="AD178">
        <f>'RESUMEN TOTAL'!AI182</f>
        <v>0</v>
      </c>
      <c r="AE178">
        <f>'RESUMEN TOTAL'!AJ182</f>
        <v>0</v>
      </c>
      <c r="AF178">
        <f>'RESUMEN TOTAL'!AK182</f>
        <v>0</v>
      </c>
      <c r="AG178">
        <f>'RESUMEN TOTAL'!AL182</f>
        <v>0</v>
      </c>
      <c r="AH178">
        <f>'RESUMEN TOTAL'!AM182</f>
        <v>0</v>
      </c>
      <c r="AI178">
        <f>'RESUMEN TOTAL'!AN182</f>
        <v>0</v>
      </c>
    </row>
    <row r="179" spans="1:35" x14ac:dyDescent="0.3">
      <c r="A179" t="str">
        <f>'RESUMEN TOTAL'!A183</f>
        <v>LOPEZ ROMERO</v>
      </c>
      <c r="B179" t="str">
        <f>'RESUMEN TOTAL'!B183</f>
        <v>LRO08</v>
      </c>
      <c r="C179" t="str">
        <f>'RESUMEN TOTAL'!D183</f>
        <v>Remedios de Escalada y Finochieto</v>
      </c>
      <c r="D179" t="str">
        <f>'RESUMEN TOTAL'!E183</f>
        <v>Domo</v>
      </c>
      <c r="E179" t="str">
        <f>'RESUMEN TOTAL'!F183</f>
        <v>Fibra Optica</v>
      </c>
      <c r="F179" t="str">
        <f>'RESUMEN TOTAL'!K183</f>
        <v>APAGADO</v>
      </c>
      <c r="G179" t="str">
        <f>'RESUMEN TOTAL'!L183</f>
        <v>APAGADO</v>
      </c>
      <c r="H179" t="str">
        <f>'RESUMEN TOTAL'!M183</f>
        <v>APAGADO</v>
      </c>
      <c r="I179" t="str">
        <f>'RESUMEN TOTAL'!N183</f>
        <v>APAGADO</v>
      </c>
      <c r="J179" t="str">
        <f>'RESUMEN TOTAL'!O183</f>
        <v>APAGADO</v>
      </c>
      <c r="K179" t="str">
        <f>'RESUMEN TOTAL'!P183</f>
        <v>APAGADO</v>
      </c>
      <c r="L179" t="str">
        <f>'RESUMEN TOTAL'!Q183</f>
        <v>APAGADO</v>
      </c>
      <c r="M179" t="str">
        <f>'RESUMEN TOTAL'!R183</f>
        <v>APAGADO</v>
      </c>
      <c r="N179" t="str">
        <f>'RESUMEN TOTAL'!S183</f>
        <v>APAGADO</v>
      </c>
      <c r="O179" t="str">
        <f>'RESUMEN TOTAL'!T183</f>
        <v>APAGADO</v>
      </c>
      <c r="P179" t="str">
        <f>'RESUMEN TOTAL'!U183</f>
        <v>APAGADO</v>
      </c>
      <c r="Q179" t="str">
        <f>'RESUMEN TOTAL'!V183</f>
        <v>APAGADO</v>
      </c>
      <c r="R179" t="str">
        <f>'RESUMEN TOTAL'!W183</f>
        <v>APAGADO</v>
      </c>
      <c r="S179" t="str">
        <f>'RESUMEN TOTAL'!X183</f>
        <v>APAGADO</v>
      </c>
      <c r="T179">
        <f>'RESUMEN TOTAL'!Y183</f>
        <v>0</v>
      </c>
      <c r="U179">
        <f>'RESUMEN TOTAL'!Z183</f>
        <v>0</v>
      </c>
      <c r="V179">
        <f>'RESUMEN TOTAL'!AA183</f>
        <v>0</v>
      </c>
      <c r="W179">
        <f>'RESUMEN TOTAL'!AB183</f>
        <v>0</v>
      </c>
      <c r="X179">
        <f>'RESUMEN TOTAL'!AC183</f>
        <v>0</v>
      </c>
      <c r="Y179">
        <f>'RESUMEN TOTAL'!AD183</f>
        <v>0</v>
      </c>
      <c r="Z179">
        <f>'RESUMEN TOTAL'!AE183</f>
        <v>0</v>
      </c>
      <c r="AA179">
        <f>'RESUMEN TOTAL'!AF183</f>
        <v>0</v>
      </c>
      <c r="AB179">
        <f>'RESUMEN TOTAL'!AG183</f>
        <v>0</v>
      </c>
      <c r="AC179">
        <f>'RESUMEN TOTAL'!AH183</f>
        <v>0</v>
      </c>
      <c r="AD179">
        <f>'RESUMEN TOTAL'!AI183</f>
        <v>0</v>
      </c>
      <c r="AE179">
        <f>'RESUMEN TOTAL'!AJ183</f>
        <v>0</v>
      </c>
      <c r="AF179">
        <f>'RESUMEN TOTAL'!AK183</f>
        <v>0</v>
      </c>
      <c r="AG179">
        <f>'RESUMEN TOTAL'!AL183</f>
        <v>0</v>
      </c>
      <c r="AH179">
        <f>'RESUMEN TOTAL'!AM183</f>
        <v>0</v>
      </c>
      <c r="AI179">
        <f>'RESUMEN TOTAL'!AN183</f>
        <v>0</v>
      </c>
    </row>
    <row r="180" spans="1:35" x14ac:dyDescent="0.3">
      <c r="A180" t="str">
        <f>'RESUMEN TOTAL'!A184</f>
        <v>LOPEZ ROMERO</v>
      </c>
      <c r="B180" t="str">
        <f>'RESUMEN TOTAL'!B184</f>
        <v>LRO11</v>
      </c>
      <c r="C180" t="str">
        <f>'RESUMEN TOTAL'!D184</f>
        <v>Av. Yrigoyen y Braile</v>
      </c>
      <c r="D180" t="e">
        <f>'RESUMEN TOTAL'!#REF!</f>
        <v>#REF!</v>
      </c>
      <c r="E180" t="str">
        <f>'RESUMEN TOTAL'!F184</f>
        <v>FIBRA OPTICA</v>
      </c>
      <c r="F180" t="str">
        <f>'RESUMEN TOTAL'!K184</f>
        <v>APAGADO</v>
      </c>
      <c r="G180" t="str">
        <f>'RESUMEN TOTAL'!L184</f>
        <v>APAGADO</v>
      </c>
      <c r="H180" t="str">
        <f>'RESUMEN TOTAL'!M184</f>
        <v>APAGADO</v>
      </c>
      <c r="I180" t="str">
        <f>'RESUMEN TOTAL'!N184</f>
        <v>APAGADO</v>
      </c>
      <c r="J180" t="str">
        <f>'RESUMEN TOTAL'!O184</f>
        <v>APAGADO</v>
      </c>
      <c r="K180" t="str">
        <f>'RESUMEN TOTAL'!P184</f>
        <v>APAGADO</v>
      </c>
      <c r="L180" t="str">
        <f>'RESUMEN TOTAL'!Q184</f>
        <v>APAGADO</v>
      </c>
      <c r="M180" t="str">
        <f>'RESUMEN TOTAL'!R184</f>
        <v>APAGADO</v>
      </c>
      <c r="N180" t="str">
        <f>'RESUMEN TOTAL'!S184</f>
        <v>APAGADO</v>
      </c>
      <c r="O180" t="str">
        <f>'RESUMEN TOTAL'!T184</f>
        <v>APAGADO</v>
      </c>
      <c r="P180" t="str">
        <f>'RESUMEN TOTAL'!U184</f>
        <v>APAGADO</v>
      </c>
      <c r="Q180" t="str">
        <f>'RESUMEN TOTAL'!V184</f>
        <v>APAGADO</v>
      </c>
      <c r="R180" t="str">
        <f>'RESUMEN TOTAL'!W184</f>
        <v>APAGADO</v>
      </c>
      <c r="S180" t="str">
        <f>'RESUMEN TOTAL'!X184</f>
        <v>APAGADO</v>
      </c>
      <c r="T180" t="str">
        <f>'RESUMEN TOTAL'!Y184</f>
        <v>APAGADO</v>
      </c>
      <c r="U180" t="str">
        <f>'RESUMEN TOTAL'!Z184</f>
        <v>APAGADO</v>
      </c>
      <c r="V180" t="str">
        <f>'RESUMEN TOTAL'!AA184</f>
        <v>APAGADO</v>
      </c>
      <c r="W180" t="str">
        <f>'RESUMEN TOTAL'!AB184</f>
        <v>APAGADO</v>
      </c>
      <c r="X180" t="str">
        <f>'RESUMEN TOTAL'!AC184</f>
        <v>APAGADO</v>
      </c>
      <c r="Y180">
        <f>'RESUMEN TOTAL'!AD184</f>
        <v>0</v>
      </c>
      <c r="Z180">
        <f>'RESUMEN TOTAL'!AE184</f>
        <v>0</v>
      </c>
      <c r="AA180">
        <f>'RESUMEN TOTAL'!AF184</f>
        <v>0</v>
      </c>
      <c r="AB180">
        <f>'RESUMEN TOTAL'!AG184</f>
        <v>0</v>
      </c>
      <c r="AC180">
        <f>'RESUMEN TOTAL'!AH184</f>
        <v>0</v>
      </c>
      <c r="AD180">
        <f>'RESUMEN TOTAL'!AI184</f>
        <v>0</v>
      </c>
      <c r="AE180">
        <f>'RESUMEN TOTAL'!AJ184</f>
        <v>0</v>
      </c>
      <c r="AF180">
        <f>'RESUMEN TOTAL'!AK184</f>
        <v>0</v>
      </c>
      <c r="AG180">
        <f>'RESUMEN TOTAL'!AL184</f>
        <v>0</v>
      </c>
      <c r="AH180">
        <f>'RESUMEN TOTAL'!AM184</f>
        <v>0</v>
      </c>
      <c r="AI180">
        <f>'RESUMEN TOTAL'!AN184</f>
        <v>0</v>
      </c>
    </row>
    <row r="181" spans="1:35" x14ac:dyDescent="0.3">
      <c r="A181" t="str">
        <f>'RESUMEN TOTAL'!A185</f>
        <v>LOPEZ ROMERO</v>
      </c>
      <c r="B181" t="str">
        <f>'RESUMEN TOTAL'!B185</f>
        <v>LRO14</v>
      </c>
      <c r="C181" t="str">
        <f>'RESUMEN TOTAL'!D185</f>
        <v>YRIGOYEN Y STORNI</v>
      </c>
      <c r="D181" t="str">
        <f>'RESUMEN TOTAL'!E185</f>
        <v>DOMO</v>
      </c>
      <c r="E181" t="str">
        <f>'RESUMEN TOTAL'!F185</f>
        <v>Fibra Optica</v>
      </c>
      <c r="F181" t="str">
        <f>'RESUMEN TOTAL'!K185</f>
        <v>APAGADO</v>
      </c>
      <c r="G181">
        <f>'RESUMEN TOTAL'!L185</f>
        <v>0</v>
      </c>
      <c r="H181" t="str">
        <f>'RESUMEN TOTAL'!M185</f>
        <v>APAGADO</v>
      </c>
      <c r="I181" t="str">
        <f>'RESUMEN TOTAL'!N185</f>
        <v>APAGADO</v>
      </c>
      <c r="J181" t="str">
        <f>'RESUMEN TOTAL'!O185</f>
        <v>APAGADO</v>
      </c>
      <c r="K181" t="str">
        <f>'RESUMEN TOTAL'!P185</f>
        <v>APAGADO</v>
      </c>
      <c r="L181" t="str">
        <f>'RESUMEN TOTAL'!Q185</f>
        <v>APAGADO</v>
      </c>
      <c r="M181" t="str">
        <f>'RESUMEN TOTAL'!R185</f>
        <v>APAGADO</v>
      </c>
      <c r="N181" t="str">
        <f>'RESUMEN TOTAL'!S185</f>
        <v>APAGADO</v>
      </c>
      <c r="O181" t="str">
        <f>'RESUMEN TOTAL'!T185</f>
        <v>APAGADO</v>
      </c>
      <c r="P181" t="str">
        <f>'RESUMEN TOTAL'!U185</f>
        <v>APAGADO</v>
      </c>
      <c r="Q181" t="str">
        <f>'RESUMEN TOTAL'!V185</f>
        <v>APAGADO</v>
      </c>
      <c r="R181" t="str">
        <f>'RESUMEN TOTAL'!W185</f>
        <v>APAGADO</v>
      </c>
      <c r="S181" t="str">
        <f>'RESUMEN TOTAL'!X185</f>
        <v>APAGADO</v>
      </c>
      <c r="T181">
        <f>'RESUMEN TOTAL'!Y185</f>
        <v>0</v>
      </c>
      <c r="U181">
        <f>'RESUMEN TOTAL'!Z185</f>
        <v>0</v>
      </c>
      <c r="V181">
        <f>'RESUMEN TOTAL'!AA185</f>
        <v>0</v>
      </c>
      <c r="W181">
        <f>'RESUMEN TOTAL'!AB185</f>
        <v>0</v>
      </c>
      <c r="X181">
        <f>'RESUMEN TOTAL'!AC185</f>
        <v>0</v>
      </c>
      <c r="Y181">
        <f>'RESUMEN TOTAL'!AD185</f>
        <v>0</v>
      </c>
      <c r="Z181">
        <f>'RESUMEN TOTAL'!AE185</f>
        <v>0</v>
      </c>
      <c r="AA181">
        <f>'RESUMEN TOTAL'!AF185</f>
        <v>0</v>
      </c>
      <c r="AB181">
        <f>'RESUMEN TOTAL'!AG185</f>
        <v>0</v>
      </c>
      <c r="AC181">
        <f>'RESUMEN TOTAL'!AH185</f>
        <v>0</v>
      </c>
      <c r="AD181">
        <f>'RESUMEN TOTAL'!AI185</f>
        <v>0</v>
      </c>
      <c r="AE181">
        <f>'RESUMEN TOTAL'!AJ185</f>
        <v>0</v>
      </c>
      <c r="AF181">
        <f>'RESUMEN TOTAL'!AK185</f>
        <v>0</v>
      </c>
      <c r="AG181">
        <f>'RESUMEN TOTAL'!AL185</f>
        <v>0</v>
      </c>
      <c r="AH181">
        <f>'RESUMEN TOTAL'!AM185</f>
        <v>0</v>
      </c>
      <c r="AI181">
        <f>'RESUMEN TOTAL'!AN185</f>
        <v>0</v>
      </c>
    </row>
    <row r="182" spans="1:35" x14ac:dyDescent="0.3">
      <c r="A182" t="str">
        <f>'RESUMEN TOTAL'!A186</f>
        <v>LUJAN</v>
      </c>
      <c r="B182" t="str">
        <f>'RESUMEN TOTAL'!B186</f>
        <v>LUJ 01</v>
      </c>
      <c r="C182" t="str">
        <f>'RESUMEN TOTAL'!D186</f>
        <v>ñandu y Los Pinos</v>
      </c>
      <c r="D182" t="str">
        <f>'RESUMEN TOTAL'!E186</f>
        <v>Domo</v>
      </c>
      <c r="E182" t="str">
        <f>'RESUMEN TOTAL'!F186</f>
        <v>Radio</v>
      </c>
      <c r="F182" t="str">
        <f>'RESUMEN TOTAL'!K186</f>
        <v>APAGADO</v>
      </c>
      <c r="G182">
        <f>'RESUMEN TOTAL'!L186</f>
        <v>0</v>
      </c>
      <c r="H182" t="str">
        <f>'RESUMEN TOTAL'!M186</f>
        <v>APAGADO</v>
      </c>
      <c r="I182" t="str">
        <f>'RESUMEN TOTAL'!N186</f>
        <v>APAGADO</v>
      </c>
      <c r="J182" t="str">
        <f>'RESUMEN TOTAL'!O186</f>
        <v>APAGADO</v>
      </c>
      <c r="K182" t="str">
        <f>'RESUMEN TOTAL'!P186</f>
        <v>APAGADO</v>
      </c>
      <c r="L182" t="str">
        <f>'RESUMEN TOTAL'!Q186</f>
        <v>APAGADO</v>
      </c>
      <c r="M182" t="str">
        <f>'RESUMEN TOTAL'!R186</f>
        <v>APAGADO</v>
      </c>
      <c r="N182" t="str">
        <f>'RESUMEN TOTAL'!S186</f>
        <v>APAGADO</v>
      </c>
      <c r="O182">
        <f>'RESUMEN TOTAL'!T186</f>
        <v>0</v>
      </c>
      <c r="P182">
        <f>'RESUMEN TOTAL'!U186</f>
        <v>0</v>
      </c>
      <c r="Q182">
        <f>'RESUMEN TOTAL'!V186</f>
        <v>0</v>
      </c>
      <c r="R182">
        <f>'RESUMEN TOTAL'!W186</f>
        <v>0</v>
      </c>
      <c r="S182">
        <f>'RESUMEN TOTAL'!X186</f>
        <v>0</v>
      </c>
      <c r="T182">
        <f>'RESUMEN TOTAL'!Y186</f>
        <v>0</v>
      </c>
      <c r="U182">
        <f>'RESUMEN TOTAL'!Z186</f>
        <v>0</v>
      </c>
      <c r="V182">
        <f>'RESUMEN TOTAL'!AA186</f>
        <v>0</v>
      </c>
      <c r="W182">
        <f>'RESUMEN TOTAL'!AB186</f>
        <v>0</v>
      </c>
      <c r="X182">
        <f>'RESUMEN TOTAL'!AC186</f>
        <v>0</v>
      </c>
      <c r="Y182">
        <f>'RESUMEN TOTAL'!AD186</f>
        <v>0</v>
      </c>
      <c r="Z182">
        <f>'RESUMEN TOTAL'!AE186</f>
        <v>0</v>
      </c>
      <c r="AA182">
        <f>'RESUMEN TOTAL'!AF186</f>
        <v>0</v>
      </c>
      <c r="AB182">
        <f>'RESUMEN TOTAL'!AG186</f>
        <v>0</v>
      </c>
      <c r="AC182">
        <f>'RESUMEN TOTAL'!AH186</f>
        <v>0</v>
      </c>
      <c r="AD182">
        <f>'RESUMEN TOTAL'!AI186</f>
        <v>0</v>
      </c>
      <c r="AE182">
        <f>'RESUMEN TOTAL'!AJ186</f>
        <v>0</v>
      </c>
      <c r="AF182">
        <f>'RESUMEN TOTAL'!AK186</f>
        <v>0</v>
      </c>
      <c r="AG182">
        <f>'RESUMEN TOTAL'!AL186</f>
        <v>0</v>
      </c>
      <c r="AH182">
        <f>'RESUMEN TOTAL'!AM186</f>
        <v>0</v>
      </c>
      <c r="AI182">
        <f>'RESUMEN TOTAL'!AN186</f>
        <v>0</v>
      </c>
    </row>
    <row r="183" spans="1:35" x14ac:dyDescent="0.3">
      <c r="A183" t="str">
        <f>'RESUMEN TOTAL'!A187</f>
        <v>VILLA ARGENTINA</v>
      </c>
      <c r="B183" t="str">
        <f>'RESUMEN TOTAL'!B187</f>
        <v>LUJ 02</v>
      </c>
      <c r="C183" t="str">
        <f>'RESUMEN TOTAL'!D187</f>
        <v>DIAG. LOS TILOS Y 527</v>
      </c>
      <c r="D183" t="str">
        <f>'RESUMEN TOTAL'!E187</f>
        <v>DOMO</v>
      </c>
      <c r="E183" t="str">
        <f>'RESUMEN TOTAL'!F187</f>
        <v>Fibra Optica</v>
      </c>
      <c r="F183" t="str">
        <f>'RESUMEN TOTAL'!K187</f>
        <v>APAGADO</v>
      </c>
      <c r="G183" t="str">
        <f>'RESUMEN TOTAL'!L187</f>
        <v>APAGADO</v>
      </c>
      <c r="H183" t="str">
        <f>'RESUMEN TOTAL'!M187</f>
        <v>APAGADO</v>
      </c>
      <c r="I183" t="str">
        <f>'RESUMEN TOTAL'!N187</f>
        <v>APAGADO</v>
      </c>
      <c r="J183" t="str">
        <f>'RESUMEN TOTAL'!O187</f>
        <v>APAGADO</v>
      </c>
      <c r="K183" t="str">
        <f>'RESUMEN TOTAL'!P187</f>
        <v>APAGADO</v>
      </c>
      <c r="L183" t="str">
        <f>'RESUMEN TOTAL'!Q187</f>
        <v>APAGADO</v>
      </c>
      <c r="M183" t="str">
        <f>'RESUMEN TOTAL'!R187</f>
        <v>APAGADO</v>
      </c>
      <c r="N183" t="str">
        <f>'RESUMEN TOTAL'!S187</f>
        <v>APAGADO</v>
      </c>
      <c r="O183" t="str">
        <f>'RESUMEN TOTAL'!T187</f>
        <v>APAGADO</v>
      </c>
      <c r="P183" t="str">
        <f>'RESUMEN TOTAL'!U187</f>
        <v>APAGADO</v>
      </c>
      <c r="Q183" t="str">
        <f>'RESUMEN TOTAL'!V187</f>
        <v>APAGADO</v>
      </c>
      <c r="R183" t="str">
        <f>'RESUMEN TOTAL'!W187</f>
        <v>APAGADO</v>
      </c>
      <c r="S183" t="str">
        <f>'RESUMEN TOTAL'!X187</f>
        <v>APAGADO</v>
      </c>
      <c r="T183" t="str">
        <f>'RESUMEN TOTAL'!Y187</f>
        <v>APAGADO</v>
      </c>
      <c r="U183" t="str">
        <f>'RESUMEN TOTAL'!Z187</f>
        <v>APAGADO</v>
      </c>
      <c r="V183" t="str">
        <f>'RESUMEN TOTAL'!AA187</f>
        <v>APAGADO</v>
      </c>
      <c r="W183" t="str">
        <f>'RESUMEN TOTAL'!AB187</f>
        <v>APAGADO</v>
      </c>
      <c r="X183" t="str">
        <f>'RESUMEN TOTAL'!AC187</f>
        <v>APAGADO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>
        <f>'RESUMEN TOTAL'!AM187</f>
        <v>0</v>
      </c>
      <c r="AI183">
        <f>'RESUMEN TOTAL'!AN187</f>
        <v>0</v>
      </c>
    </row>
    <row r="184" spans="1:35" x14ac:dyDescent="0.3">
      <c r="A184" t="str">
        <f>'RESUMEN TOTAL'!A188</f>
        <v>LUJAN</v>
      </c>
      <c r="B184" t="str">
        <f>'RESUMEN TOTAL'!B188</f>
        <v>LUJ03</v>
      </c>
      <c r="C184" t="str">
        <f>'RESUMEN TOTAL'!D188</f>
        <v>LOS PINOS Y LOS TILOS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>
        <f>'RESUMEN TOTAL'!AM188</f>
        <v>0</v>
      </c>
      <c r="AI184">
        <f>'RESUMEN TOTAL'!AN188</f>
        <v>0</v>
      </c>
    </row>
    <row r="185" spans="1:35" x14ac:dyDescent="0.3">
      <c r="A185" t="str">
        <f>'RESUMEN TOTAL'!A189</f>
        <v>PRESIDENTE PERON (PEPSI)</v>
      </c>
      <c r="B185" t="str">
        <f>'RESUMEN TOTAL'!B189</f>
        <v>MAR 01</v>
      </c>
      <c r="C185" t="str">
        <f>'RESUMEN TOTAL'!D189</f>
        <v>RP36 Y LA ESMERALDA</v>
      </c>
      <c r="D185" t="str">
        <f>'RESUMEN TOTAL'!E189</f>
        <v>DOMO</v>
      </c>
      <c r="E185" t="str">
        <f>'RESUMEN TOTAL'!F189</f>
        <v>FIBRA OPTICA</v>
      </c>
      <c r="F185" t="str">
        <f>'RESUMEN TOTAL'!K189</f>
        <v>APAGADO</v>
      </c>
      <c r="G185" t="str">
        <f>'RESUMEN TOTAL'!L189</f>
        <v>APAGADO</v>
      </c>
      <c r="H185" t="str">
        <f>'RESUMEN TOTAL'!M189</f>
        <v>APAGADO</v>
      </c>
      <c r="I185" t="str">
        <f>'RESUMEN TOTAL'!N189</f>
        <v>APAGADO</v>
      </c>
      <c r="J185" t="str">
        <f>'RESUMEN TOTAL'!O189</f>
        <v>APAGADO</v>
      </c>
      <c r="K185" t="str">
        <f>'RESUMEN TOTAL'!P189</f>
        <v>APAGADO</v>
      </c>
      <c r="L185" t="str">
        <f>'RESUMEN TOTAL'!Q189</f>
        <v>APAGADO</v>
      </c>
      <c r="M185" t="str">
        <f>'RESUMEN TOTAL'!R189</f>
        <v>APAGADO</v>
      </c>
      <c r="N185" t="str">
        <f>'RESUMEN TOTAL'!S189</f>
        <v>APAGADO</v>
      </c>
      <c r="O185" t="str">
        <f>'RESUMEN TOTAL'!T189</f>
        <v>APAGADO</v>
      </c>
      <c r="P185" t="str">
        <f>'RESUMEN TOTAL'!U189</f>
        <v>APAGADO</v>
      </c>
      <c r="Q185" t="str">
        <f>'RESUMEN TOTAL'!V189</f>
        <v>APAGADO</v>
      </c>
      <c r="R185" t="str">
        <f>'RESUMEN TOTAL'!W189</f>
        <v>APAGADO</v>
      </c>
      <c r="S185" t="str">
        <f>'RESUMEN TOTAL'!X189</f>
        <v>APAGADO</v>
      </c>
      <c r="T185" t="str">
        <f>'RESUMEN TOTAL'!Y189</f>
        <v>APAGADO</v>
      </c>
      <c r="U185" t="str">
        <f>'RESUMEN TOTAL'!Z189</f>
        <v>APAGADO</v>
      </c>
      <c r="V185" t="str">
        <f>'RESUMEN TOTAL'!AA189</f>
        <v>APAGADO</v>
      </c>
      <c r="W185" t="str">
        <f>'RESUMEN TOTAL'!AB189</f>
        <v>APAGADO</v>
      </c>
      <c r="X185" t="str">
        <f>'RESUMEN TOTAL'!AC189</f>
        <v>APAGADO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>
        <f>'RESUMEN TOTAL'!AM189</f>
        <v>0</v>
      </c>
      <c r="AI185">
        <f>'RESUMEN TOTAL'!AN189</f>
        <v>0</v>
      </c>
    </row>
    <row r="186" spans="1:35" x14ac:dyDescent="0.3">
      <c r="A186" t="str">
        <f>'RESUMEN TOTAL'!A190</f>
        <v>RICARDO ROJAS</v>
      </c>
      <c r="B186" t="str">
        <f>'RESUMEN TOTAL'!B190</f>
        <v>MAR 02 (FIJA1)</v>
      </c>
      <c r="C186" t="str">
        <f>'RESUMEN TOTAL'!D190</f>
        <v>LUJAN Y PATAGONES</v>
      </c>
      <c r="D186" t="str">
        <f>'RESUMEN TOTAL'!E190</f>
        <v>Fija</v>
      </c>
      <c r="E186" t="str">
        <f>'RESUMEN TOTAL'!F190</f>
        <v>Fibra Optica</v>
      </c>
      <c r="F186" t="str">
        <f>'RESUMEN TOTAL'!K190</f>
        <v>APAGADO</v>
      </c>
      <c r="G186" t="str">
        <f>'RESUMEN TOTAL'!L190</f>
        <v>APAGADO</v>
      </c>
      <c r="H186" t="str">
        <f>'RESUMEN TOTAL'!M190</f>
        <v>APAGADO</v>
      </c>
      <c r="I186" t="str">
        <f>'RESUMEN TOTAL'!N190</f>
        <v>APAGADO</v>
      </c>
      <c r="J186" t="str">
        <f>'RESUMEN TOTAL'!O190</f>
        <v>APAGADO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>
        <f>'RESUMEN TOTAL'!W190</f>
        <v>0</v>
      </c>
      <c r="S186">
        <f>'RESUMEN TOTAL'!X190</f>
        <v>0</v>
      </c>
      <c r="T186">
        <f>'RESUMEN TOTAL'!Y190</f>
        <v>0</v>
      </c>
      <c r="U186">
        <f>'RESUMEN TOTAL'!Z190</f>
        <v>0</v>
      </c>
      <c r="V186" t="str">
        <f>'RESUMEN TOTAL'!AA190</f>
        <v>APAGADO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>
        <f>'RESUMEN TOTAL'!AM190</f>
        <v>0</v>
      </c>
      <c r="AI186">
        <f>'RESUMEN TOTAL'!AN190</f>
        <v>0</v>
      </c>
    </row>
    <row r="187" spans="1:35" x14ac:dyDescent="0.3">
      <c r="A187" t="str">
        <f>'RESUMEN TOTAL'!A191</f>
        <v>LAS MARGARITAS</v>
      </c>
      <c r="B187" t="str">
        <f>'RESUMEN TOTAL'!B191</f>
        <v>MAR 03(FIJA 2)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 t="str">
        <f>'RESUMEN TOTAL'!K191</f>
        <v>APAGADO</v>
      </c>
      <c r="G187" t="str">
        <f>'RESUMEN TOTAL'!L191</f>
        <v>APAGADO</v>
      </c>
      <c r="H187" t="str">
        <f>'RESUMEN TOTAL'!M191</f>
        <v>APAGADO</v>
      </c>
      <c r="I187" t="str">
        <f>'RESUMEN TOTAL'!N191</f>
        <v>APAGADO</v>
      </c>
      <c r="J187" t="str">
        <f>'RESUMEN TOTAL'!O191</f>
        <v>APAGADO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>
        <f>'RESUMEN TOTAL'!W191</f>
        <v>0</v>
      </c>
      <c r="S187">
        <f>'RESUMEN TOTAL'!X191</f>
        <v>0</v>
      </c>
      <c r="T187">
        <f>'RESUMEN TOTAL'!Y191</f>
        <v>0</v>
      </c>
      <c r="U187">
        <f>'RESUMEN TOTAL'!Z191</f>
        <v>0</v>
      </c>
      <c r="V187" t="str">
        <f>'RESUMEN TOTAL'!AA191</f>
        <v>APAGADO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>
        <f>'RESUMEN TOTAL'!AM191</f>
        <v>0</v>
      </c>
      <c r="AI187">
        <f>'RESUMEN TOTAL'!AN191</f>
        <v>0</v>
      </c>
    </row>
    <row r="188" spans="1:35" x14ac:dyDescent="0.3">
      <c r="A188" t="str">
        <f>'RESUMEN TOTAL'!A192</f>
        <v>MAYOL</v>
      </c>
      <c r="B188" t="str">
        <f>'RESUMEN TOTAL'!B192</f>
        <v>MAY 01</v>
      </c>
      <c r="C188" t="str">
        <f>'RESUMEN TOTAL'!D192</f>
        <v>Eva Peron y Cabildo</v>
      </c>
      <c r="D188" t="str">
        <f>'RESUMEN TOTAL'!E192</f>
        <v>Domo</v>
      </c>
      <c r="E188" t="str">
        <f>'RESUMEN TOTAL'!F192</f>
        <v>Radio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>
        <f>'RESUMEN TOTAL'!W192</f>
        <v>0</v>
      </c>
      <c r="S188">
        <f>'RESUMEN TOTAL'!X192</f>
        <v>0</v>
      </c>
      <c r="T188">
        <f>'RESUMEN TOTAL'!Y192</f>
        <v>0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>
        <f>'RESUMEN TOTAL'!AM192</f>
        <v>0</v>
      </c>
      <c r="AI188">
        <f>'RESUMEN TOTAL'!AN192</f>
        <v>0</v>
      </c>
    </row>
    <row r="189" spans="1:35" x14ac:dyDescent="0.3">
      <c r="A189" t="str">
        <f>'RESUMEN TOTAL'!A193</f>
        <v>MAYOL</v>
      </c>
      <c r="B189" t="str">
        <f>'RESUMEN TOTAL'!B193</f>
        <v>MAY 02</v>
      </c>
      <c r="C189" t="str">
        <f>'RESUMEN TOTAL'!D193</f>
        <v>EVA PERON Y MONTEVIDEO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>
        <f>'RESUMEN TOTAL'!AM193</f>
        <v>0</v>
      </c>
      <c r="AI189">
        <f>'RESUMEN TOTAL'!AN193</f>
        <v>0</v>
      </c>
    </row>
    <row r="190" spans="1:35" x14ac:dyDescent="0.3">
      <c r="A190" t="str">
        <f>'RESUMEN TOTAL'!A194</f>
        <v>MAYOL</v>
      </c>
      <c r="B190" t="str">
        <f>'RESUMEN TOTAL'!B194</f>
        <v>MAY 03</v>
      </c>
      <c r="C190" t="str">
        <f>'RESUMEN TOTAL'!D194</f>
        <v>CHAÑAR Y SAN NICOLAS</v>
      </c>
      <c r="D190" t="str">
        <f>'RESUMEN TOTAL'!E194</f>
        <v>DOMO</v>
      </c>
      <c r="E190" t="str">
        <f>'RESUMEN TOTAL'!F194</f>
        <v>PTO A FO</v>
      </c>
      <c r="F190" t="str">
        <f>'RESUMEN TOTAL'!K194</f>
        <v>APAGADO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>
        <f>'RESUMEN TOTAL'!R194</f>
        <v>0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>
        <f>'RESUMEN TOTAL'!AM194</f>
        <v>0</v>
      </c>
      <c r="AI190">
        <f>'RESUMEN TOTAL'!AN194</f>
        <v>0</v>
      </c>
    </row>
    <row r="191" spans="1:35" x14ac:dyDescent="0.3">
      <c r="A191" t="str">
        <f>'RESUMEN TOTAL'!A195</f>
        <v>MAYOL</v>
      </c>
      <c r="B191" t="str">
        <f>'RESUMEN TOTAL'!B195</f>
        <v>MAY 04</v>
      </c>
      <c r="C191" t="str">
        <f>'RESUMEN TOTAL'!D195</f>
        <v>MAR CHIQUITA Y RIO JACHAL</v>
      </c>
      <c r="D191" t="str">
        <f>'RESUMEN TOTAL'!E195</f>
        <v>DOMO</v>
      </c>
      <c r="E191" t="str">
        <f>'RESUMEN TOTAL'!F195</f>
        <v>Radio</v>
      </c>
      <c r="F191" t="str">
        <f>'RESUMEN TOTAL'!K195</f>
        <v>APAGADO</v>
      </c>
      <c r="G191" t="str">
        <f>'RESUMEN TOTAL'!L195</f>
        <v>APAGADO</v>
      </c>
      <c r="H191" t="str">
        <f>'RESUMEN TOTAL'!M195</f>
        <v>APAGADO</v>
      </c>
      <c r="I191" t="str">
        <f>'RESUMEN TOTAL'!N195</f>
        <v>APAGADO</v>
      </c>
      <c r="J191" t="str">
        <f>'RESUMEN TOTAL'!O195</f>
        <v>APAGADO</v>
      </c>
      <c r="K191" t="str">
        <f>'RESUMEN TOTAL'!P195</f>
        <v>APAGADO</v>
      </c>
      <c r="L191" t="str">
        <f>'RESUMEN TOTAL'!Q195</f>
        <v>APAGADO</v>
      </c>
      <c r="M191" t="str">
        <f>'RESUMEN TOTAL'!R195</f>
        <v>APAGADO</v>
      </c>
      <c r="N191" t="str">
        <f>'RESUMEN TOTAL'!S195</f>
        <v>APAGADO</v>
      </c>
      <c r="O191" t="str">
        <f>'RESUMEN TOTAL'!T195</f>
        <v>APAGADO</v>
      </c>
      <c r="P191" t="str">
        <f>'RESUMEN TOTAL'!U195</f>
        <v>APAGADO</v>
      </c>
      <c r="Q191" t="str">
        <f>'RESUMEN TOTAL'!V195</f>
        <v>APAGADO</v>
      </c>
      <c r="R191" t="str">
        <f>'RESUMEN TOTAL'!W195</f>
        <v>APAGADO</v>
      </c>
      <c r="S191" t="str">
        <f>'RESUMEN TOTAL'!X195</f>
        <v>APAGADO</v>
      </c>
      <c r="T191" t="str">
        <f>'RESUMEN TOTAL'!Y195</f>
        <v>APAGADO</v>
      </c>
      <c r="U191" t="str">
        <f>'RESUMEN TOTAL'!Z195</f>
        <v>APAGADO</v>
      </c>
      <c r="V191" t="str">
        <f>'RESUMEN TOTAL'!AA195</f>
        <v>APAGADO</v>
      </c>
      <c r="W191" t="str">
        <f>'RESUMEN TOTAL'!AB195</f>
        <v>APAGADO</v>
      </c>
      <c r="X191" t="str">
        <f>'RESUMEN TOTAL'!AC195</f>
        <v>APAGADO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>
        <f>'RESUMEN TOTAL'!AM195</f>
        <v>0</v>
      </c>
      <c r="AI191">
        <f>'RESUMEN TOTAL'!AN195</f>
        <v>0</v>
      </c>
    </row>
    <row r="192" spans="1:35" x14ac:dyDescent="0.3">
      <c r="A192" t="str">
        <f>'RESUMEN TOTAL'!A196</f>
        <v>MARTIN FIERRO</v>
      </c>
      <c r="B192" t="str">
        <f>'RESUMEN TOTAL'!B196</f>
        <v>MFI 01</v>
      </c>
      <c r="C192" t="str">
        <f>'RESUMEN TOTAL'!D196</f>
        <v>Belgrano y Sgto. Cabral</v>
      </c>
      <c r="D192" t="str">
        <f>'RESUMEN TOTAL'!E196</f>
        <v>Fija</v>
      </c>
      <c r="E192" t="str">
        <f>'RESUMEN TOTAL'!F196</f>
        <v>Fibra Optica</v>
      </c>
      <c r="F192" t="str">
        <f>'RESUMEN TOTAL'!K196</f>
        <v>APAGADO</v>
      </c>
      <c r="G192" t="str">
        <f>'RESUMEN TOTAL'!L196</f>
        <v>APAGADO</v>
      </c>
      <c r="H192" t="str">
        <f>'RESUMEN TOTAL'!M196</f>
        <v>APAGADO</v>
      </c>
      <c r="I192" t="str">
        <f>'RESUMEN TOTAL'!N196</f>
        <v>APAGADO</v>
      </c>
      <c r="J192" t="str">
        <f>'RESUMEN TOTAL'!O196</f>
        <v>APAGADO</v>
      </c>
      <c r="K192" t="str">
        <f>'RESUMEN TOTAL'!P196</f>
        <v>APAGADO</v>
      </c>
      <c r="L192" t="str">
        <f>'RESUMEN TOTAL'!Q196</f>
        <v>APAGADO</v>
      </c>
      <c r="M192" t="str">
        <f>'RESUMEN TOTAL'!R196</f>
        <v>APAGADO</v>
      </c>
      <c r="N192" t="str">
        <f>'RESUMEN TOTAL'!S196</f>
        <v>APAGADO</v>
      </c>
      <c r="O192" t="str">
        <f>'RESUMEN TOTAL'!T196</f>
        <v>APAGADO</v>
      </c>
      <c r="P192" t="str">
        <f>'RESUMEN TOTAL'!U196</f>
        <v>APAGADO</v>
      </c>
      <c r="Q192" t="str">
        <f>'RESUMEN TOTAL'!V196</f>
        <v>APAGADO</v>
      </c>
      <c r="R192" t="str">
        <f>'RESUMEN TOTAL'!W196</f>
        <v>APAGADO</v>
      </c>
      <c r="S192" t="str">
        <f>'RESUMEN TOTAL'!X196</f>
        <v>APAGADO</v>
      </c>
      <c r="T192" t="str">
        <f>'RESUMEN TOTAL'!Y196</f>
        <v>APAGADO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>
        <f>'RESUMEN TOTAL'!AM196</f>
        <v>0</v>
      </c>
      <c r="AI192">
        <f>'RESUMEN TOTAL'!AN196</f>
        <v>0</v>
      </c>
    </row>
    <row r="193" spans="1:35" x14ac:dyDescent="0.3">
      <c r="A193" t="str">
        <f>'RESUMEN TOTAL'!A197</f>
        <v>LOPEZ ROMERO</v>
      </c>
      <c r="B193" t="str">
        <f>'RESUMEN TOTAL'!B197</f>
        <v>MFI02</v>
      </c>
      <c r="C193" t="str">
        <f>'RESUMEN TOTAL'!D197</f>
        <v>Calchaqui y Balcarce</v>
      </c>
      <c r="D193" t="str">
        <f>'RESUMEN TOTAL'!E197</f>
        <v>Fija</v>
      </c>
      <c r="E193" t="str">
        <f>'RESUMEN TOTAL'!F197</f>
        <v>Fibra Optica</v>
      </c>
      <c r="F193" t="str">
        <f>'RESUMEN TOTAL'!K197</f>
        <v>APAGADO</v>
      </c>
      <c r="G193" t="str">
        <f>'RESUMEN TOTAL'!L197</f>
        <v>APAGADO</v>
      </c>
      <c r="H193" t="str">
        <f>'RESUMEN TOTAL'!M197</f>
        <v>APAGADO</v>
      </c>
      <c r="I193" t="str">
        <f>'RESUMEN TOTAL'!N197</f>
        <v>APAGADO</v>
      </c>
      <c r="J193" t="str">
        <f>'RESUMEN TOTAL'!O197</f>
        <v>APAGADO</v>
      </c>
      <c r="K193" t="str">
        <f>'RESUMEN TOTAL'!P197</f>
        <v>APAGADO</v>
      </c>
      <c r="L193" t="str">
        <f>'RESUMEN TOTAL'!Q197</f>
        <v>APAGADO</v>
      </c>
      <c r="M193" t="str">
        <f>'RESUMEN TOTAL'!R197</f>
        <v>APAGADO</v>
      </c>
      <c r="N193" t="str">
        <f>'RESUMEN TOTAL'!S197</f>
        <v>APAGADO</v>
      </c>
      <c r="O193" t="str">
        <f>'RESUMEN TOTAL'!T197</f>
        <v>APAGADO</v>
      </c>
      <c r="P193" t="str">
        <f>'RESUMEN TOTAL'!U197</f>
        <v>APAGADO</v>
      </c>
      <c r="Q193" t="str">
        <f>'RESUMEN TOTAL'!V197</f>
        <v>APAGADO</v>
      </c>
      <c r="R193" t="str">
        <f>'RESUMEN TOTAL'!W197</f>
        <v>APAGADO</v>
      </c>
      <c r="S193" t="str">
        <f>'RESUMEN TOTAL'!X197</f>
        <v>APAGADO</v>
      </c>
      <c r="T193" t="str">
        <f>'RESUMEN TOTAL'!Y197</f>
        <v>APAGADO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>
        <f>'RESUMEN TOTAL'!AM197</f>
        <v>0</v>
      </c>
      <c r="AI193">
        <f>'RESUMEN TOTAL'!AN197</f>
        <v>0</v>
      </c>
    </row>
    <row r="194" spans="1:35" x14ac:dyDescent="0.3">
      <c r="A194" t="str">
        <f>'RESUMEN TOTAL'!A198</f>
        <v>SAN EMILIO</v>
      </c>
      <c r="B194" t="str">
        <f>'RESUMEN TOTAL'!B198</f>
        <v>MFI 03</v>
      </c>
      <c r="C194" t="str">
        <f>'RESUMEN TOTAL'!D198</f>
        <v>Cno. Gral. Belgrano y Av. del Trabajo</v>
      </c>
      <c r="D194" t="str">
        <f>'RESUMEN TOTAL'!E198</f>
        <v>Domo</v>
      </c>
      <c r="E194" t="str">
        <f>'RESUMEN TOTAL'!F198</f>
        <v>Fibra Optica</v>
      </c>
      <c r="F194" t="str">
        <f>'RESUMEN TOTAL'!K198</f>
        <v>APAGADO</v>
      </c>
      <c r="G194" t="str">
        <f>'RESUMEN TOTAL'!L198</f>
        <v>APAGADO</v>
      </c>
      <c r="H194" t="str">
        <f>'RESUMEN TOTAL'!M198</f>
        <v>APAGADO</v>
      </c>
      <c r="I194" t="str">
        <f>'RESUMEN TOTAL'!N198</f>
        <v>APAGADO</v>
      </c>
      <c r="J194" t="str">
        <f>'RESUMEN TOTAL'!O198</f>
        <v>APAGADO</v>
      </c>
      <c r="K194" t="str">
        <f>'RESUMEN TOTAL'!P198</f>
        <v>APAGADO</v>
      </c>
      <c r="L194" t="str">
        <f>'RESUMEN TOTAL'!Q198</f>
        <v>APAGADO</v>
      </c>
      <c r="M194" t="str">
        <f>'RESUMEN TOTAL'!R198</f>
        <v>APAGADO</v>
      </c>
      <c r="N194" t="str">
        <f>'RESUMEN TOTAL'!S198</f>
        <v>APAGADO</v>
      </c>
      <c r="O194" t="str">
        <f>'RESUMEN TOTAL'!T198</f>
        <v>APAGADO</v>
      </c>
      <c r="P194" t="str">
        <f>'RESUMEN TOTAL'!U198</f>
        <v>APAGADO</v>
      </c>
      <c r="Q194" t="str">
        <f>'RESUMEN TOTAL'!V198</f>
        <v>APAGADO</v>
      </c>
      <c r="R194" t="str">
        <f>'RESUMEN TOTAL'!W198</f>
        <v>APAGADO</v>
      </c>
      <c r="S194" t="str">
        <f>'RESUMEN TOTAL'!X198</f>
        <v>APAGADO</v>
      </c>
      <c r="T194" t="str">
        <f>'RESUMEN TOTAL'!Y198</f>
        <v>APAGADO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>
        <f>'RESUMEN TOTAL'!AM198</f>
        <v>0</v>
      </c>
      <c r="AI194">
        <f>'RESUMEN TOTAL'!AN198</f>
        <v>0</v>
      </c>
    </row>
    <row r="195" spans="1:35" x14ac:dyDescent="0.3">
      <c r="A195" t="str">
        <f>'RESUMEN TOTAL'!A199</f>
        <v>MARTIN FIERRO</v>
      </c>
      <c r="B195" t="str">
        <f>'RESUMEN TOTAL'!B199</f>
        <v>MFI04</v>
      </c>
      <c r="C195" t="str">
        <f>'RESUMEN TOTAL'!D199</f>
        <v>Calchaqui y balcarce</v>
      </c>
      <c r="D195" t="str">
        <f>'RESUMEN TOTAL'!E199</f>
        <v>Domo</v>
      </c>
      <c r="E195" t="str">
        <f>'RESUMEN TOTAL'!F199</f>
        <v>FIBRA OPTICA</v>
      </c>
      <c r="F195" t="str">
        <f>'RESUMEN TOTAL'!K199</f>
        <v>APAGADO</v>
      </c>
      <c r="G195" t="str">
        <f>'RESUMEN TOTAL'!L199</f>
        <v>APAGADO</v>
      </c>
      <c r="H195" t="str">
        <f>'RESUMEN TOTAL'!M199</f>
        <v>APAGADO</v>
      </c>
      <c r="I195" t="str">
        <f>'RESUMEN TOTAL'!N199</f>
        <v>APAGADO</v>
      </c>
      <c r="J195" t="str">
        <f>'RESUMEN TOTAL'!O199</f>
        <v>APAGADO</v>
      </c>
      <c r="K195" t="str">
        <f>'RESUMEN TOTAL'!P199</f>
        <v>APAGADO</v>
      </c>
      <c r="L195" t="str">
        <f>'RESUMEN TOTAL'!Q199</f>
        <v>APAGADO</v>
      </c>
      <c r="M195" t="str">
        <f>'RESUMEN TOTAL'!R199</f>
        <v>APAGADO</v>
      </c>
      <c r="N195" t="str">
        <f>'RESUMEN TOTAL'!S199</f>
        <v>APAGADO</v>
      </c>
      <c r="O195" t="str">
        <f>'RESUMEN TOTAL'!T199</f>
        <v>APAGADO</v>
      </c>
      <c r="P195" t="str">
        <f>'RESUMEN TOTAL'!U199</f>
        <v>APAGADO</v>
      </c>
      <c r="Q195" t="str">
        <f>'RESUMEN TOTAL'!V199</f>
        <v>APAGADO</v>
      </c>
      <c r="R195" t="str">
        <f>'RESUMEN TOTAL'!W199</f>
        <v>APAGADO</v>
      </c>
      <c r="S195" t="str">
        <f>'RESUMEN TOTAL'!X199</f>
        <v>APAGADO</v>
      </c>
      <c r="T195" t="str">
        <f>'RESUMEN TOTAL'!Y199</f>
        <v>APAGADO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>
        <f>'RESUMEN TOTAL'!AM199</f>
        <v>0</v>
      </c>
      <c r="AI195">
        <f>'RESUMEN TOTAL'!AN199</f>
        <v>0</v>
      </c>
    </row>
    <row r="196" spans="1:35" x14ac:dyDescent="0.3">
      <c r="A196" t="str">
        <f>'RESUMEN TOTAL'!A200</f>
        <v>SAN EMILIO</v>
      </c>
      <c r="B196" t="str">
        <f>'RESUMEN TOTAL'!B200</f>
        <v>MFI 05</v>
      </c>
      <c r="C196" t="str">
        <f>'RESUMEN TOTAL'!D200</f>
        <v>Cno. Gral. Belgrano y Guayaquil</v>
      </c>
      <c r="D196" t="str">
        <f>'RESUMEN TOTAL'!E200</f>
        <v>Domo</v>
      </c>
      <c r="E196" t="str">
        <f>'RESUMEN TOTAL'!F200</f>
        <v>FIBRA OPTICA</v>
      </c>
      <c r="F196" t="str">
        <f>'RESUMEN TOTAL'!K200</f>
        <v>APAGADO</v>
      </c>
      <c r="G196" t="str">
        <f>'RESUMEN TOTAL'!L200</f>
        <v>APAGADO</v>
      </c>
      <c r="H196" t="str">
        <f>'RESUMEN TOTAL'!M200</f>
        <v>APAGADO</v>
      </c>
      <c r="I196" t="str">
        <f>'RESUMEN TOTAL'!N200</f>
        <v>APAGADO</v>
      </c>
      <c r="J196" t="str">
        <f>'RESUMEN TOTAL'!O200</f>
        <v>APAGADO</v>
      </c>
      <c r="K196" t="str">
        <f>'RESUMEN TOTAL'!P200</f>
        <v>APAGADO</v>
      </c>
      <c r="L196" t="str">
        <f>'RESUMEN TOTAL'!Q200</f>
        <v>APAGADO</v>
      </c>
      <c r="M196" t="str">
        <f>'RESUMEN TOTAL'!R200</f>
        <v>APAGADO</v>
      </c>
      <c r="N196" t="str">
        <f>'RESUMEN TOTAL'!S200</f>
        <v>APAGADO</v>
      </c>
      <c r="O196" t="str">
        <f>'RESUMEN TOTAL'!T200</f>
        <v>APAGADO</v>
      </c>
      <c r="P196" t="str">
        <f>'RESUMEN TOTAL'!U200</f>
        <v>APAGADO</v>
      </c>
      <c r="Q196" t="str">
        <f>'RESUMEN TOTAL'!V200</f>
        <v>APAGADO</v>
      </c>
      <c r="R196" t="str">
        <f>'RESUMEN TOTAL'!W200</f>
        <v>APAGADO</v>
      </c>
      <c r="S196" t="str">
        <f>'RESUMEN TOTAL'!X200</f>
        <v>APAGADO</v>
      </c>
      <c r="T196" t="str">
        <f>'RESUMEN TOTAL'!Y200</f>
        <v>APAGADO</v>
      </c>
      <c r="U196" t="str">
        <f>'RESUMEN TOTAL'!Z200</f>
        <v>APAGADO</v>
      </c>
      <c r="V196" t="str">
        <f>'RESUMEN TOTAL'!AA200</f>
        <v>APAGADO</v>
      </c>
      <c r="W196" t="str">
        <f>'RESUMEN TOTAL'!AB200</f>
        <v>APAGADO</v>
      </c>
      <c r="X196" t="str">
        <f>'RESUMEN TOTAL'!AC200</f>
        <v>APAGADO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>
        <f>'RESUMEN TOTAL'!AM200</f>
        <v>0</v>
      </c>
      <c r="AI196">
        <f>'RESUMEN TOTAL'!AN200</f>
        <v>0</v>
      </c>
    </row>
    <row r="197" spans="1:35" x14ac:dyDescent="0.3">
      <c r="A197" t="str">
        <f>'RESUMEN TOTAL'!A201</f>
        <v>SAN EMILIO</v>
      </c>
      <c r="B197" t="str">
        <f>'RESUMEN TOTAL'!B201</f>
        <v>MFI06</v>
      </c>
      <c r="C197" t="str">
        <f>'RESUMEN TOTAL'!D201</f>
        <v>Con. Gral. Belgrano y Bombero Galarza</v>
      </c>
      <c r="D197" t="str">
        <f>'RESUMEN TOTAL'!E201</f>
        <v>DOMO</v>
      </c>
      <c r="E197" t="str">
        <f>'RESUMEN TOTAL'!F201</f>
        <v>FIBRA OPTICA</v>
      </c>
      <c r="F197" t="str">
        <f>'RESUMEN TOTAL'!K201</f>
        <v>APAGADO</v>
      </c>
      <c r="G197" t="str">
        <f>'RESUMEN TOTAL'!L201</f>
        <v>APAGADO</v>
      </c>
      <c r="H197" t="str">
        <f>'RESUMEN TOTAL'!M201</f>
        <v>APAGADO</v>
      </c>
      <c r="I197" t="str">
        <f>'RESUMEN TOTAL'!N201</f>
        <v>APAGADO</v>
      </c>
      <c r="J197" t="str">
        <f>'RESUMEN TOTAL'!O201</f>
        <v>APAGADO</v>
      </c>
      <c r="K197" t="str">
        <f>'RESUMEN TOTAL'!P201</f>
        <v>APAGADO</v>
      </c>
      <c r="L197" t="str">
        <f>'RESUMEN TOTAL'!Q201</f>
        <v>APAGADO</v>
      </c>
      <c r="M197" t="str">
        <f>'RESUMEN TOTAL'!R201</f>
        <v>APAGADO</v>
      </c>
      <c r="N197" t="str">
        <f>'RESUMEN TOTAL'!S201</f>
        <v>APAGADO</v>
      </c>
      <c r="O197" t="str">
        <f>'RESUMEN TOTAL'!T201</f>
        <v>APAGADO</v>
      </c>
      <c r="P197" t="str">
        <f>'RESUMEN TOTAL'!U201</f>
        <v>APAGADO</v>
      </c>
      <c r="Q197" t="str">
        <f>'RESUMEN TOTAL'!V201</f>
        <v>APAGADO</v>
      </c>
      <c r="R197" t="str">
        <f>'RESUMEN TOTAL'!W201</f>
        <v>APAGADO</v>
      </c>
      <c r="S197" t="str">
        <f>'RESUMEN TOTAL'!X201</f>
        <v>APAGADO</v>
      </c>
      <c r="T197" t="str">
        <f>'RESUMEN TOTAL'!Y201</f>
        <v>APAGADO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>
        <f>'RESUMEN TOTAL'!AM201</f>
        <v>0</v>
      </c>
      <c r="AI197">
        <f>'RESUMEN TOTAL'!AN201</f>
        <v>0</v>
      </c>
    </row>
    <row r="198" spans="1:35" x14ac:dyDescent="0.3">
      <c r="A198" t="str">
        <f>'RESUMEN TOTAL'!A202</f>
        <v>GOBERNADOR MONTEVERDE</v>
      </c>
      <c r="B198" t="str">
        <f>'RESUMEN TOTAL'!B202</f>
        <v>MON01</v>
      </c>
      <c r="C198" t="str">
        <f>'RESUMEN TOTAL'!D202</f>
        <v>San Martin y Patricias Argentinas</v>
      </c>
      <c r="D198" t="str">
        <f>'RESUMEN TOTAL'!E202</f>
        <v>Fija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>
        <f>'RESUMEN TOTAL'!AM202</f>
        <v>0</v>
      </c>
      <c r="AI198">
        <f>'RESUMEN TOTAL'!AN202</f>
        <v>0</v>
      </c>
    </row>
    <row r="199" spans="1:35" x14ac:dyDescent="0.3">
      <c r="A199" t="str">
        <f>'RESUMEN TOTAL'!A203</f>
        <v>GOBERNADOR MONTEVERDE</v>
      </c>
      <c r="B199" t="str">
        <f>'RESUMEN TOTAL'!B203</f>
        <v>MON02</v>
      </c>
      <c r="C199" t="str">
        <f>'RESUMEN TOTAL'!D203</f>
        <v>Senzabello y Famatina</v>
      </c>
      <c r="D199" t="str">
        <f>'RESUMEN TOTAL'!E203</f>
        <v>Domo</v>
      </c>
      <c r="E199" t="str">
        <f>'RESUMEN TOTAL'!F203</f>
        <v>Radio</v>
      </c>
      <c r="F199" t="str">
        <f>'RESUMEN TOTAL'!K203</f>
        <v>APAGADO</v>
      </c>
      <c r="G199" t="str">
        <f>'RESUMEN TOTAL'!L203</f>
        <v>APAGADO</v>
      </c>
      <c r="H199" t="str">
        <f>'RESUMEN TOTAL'!M203</f>
        <v>APAGADO</v>
      </c>
      <c r="I199" t="str">
        <f>'RESUMEN TOTAL'!N203</f>
        <v>APAGADO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>
        <f>'RESUMEN TOTAL'!U203</f>
        <v>0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>
        <f>'RESUMEN TOTAL'!AM203</f>
        <v>0</v>
      </c>
      <c r="AI199">
        <f>'RESUMEN TOTAL'!AN203</f>
        <v>0</v>
      </c>
    </row>
    <row r="200" spans="1:35" x14ac:dyDescent="0.3">
      <c r="A200" t="str">
        <f>'RESUMEN TOTAL'!A204</f>
        <v>GOBERNADOR MONTEVERDE</v>
      </c>
      <c r="B200" t="str">
        <f>'RESUMEN TOTAL'!B204</f>
        <v>MON03</v>
      </c>
      <c r="C200" t="str">
        <f>'RESUMEN TOTAL'!D204</f>
        <v>Senzabello y Guemes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 t="str">
        <f>'RESUMEN TOTAL'!V204</f>
        <v>APAGADO</v>
      </c>
      <c r="R200" t="str">
        <f>'RESUMEN TOTAL'!W204</f>
        <v>APAGADO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>
        <f>'RESUMEN TOTAL'!AM204</f>
        <v>0</v>
      </c>
      <c r="AI200">
        <f>'RESUMEN TOTAL'!AN204</f>
        <v>0</v>
      </c>
    </row>
    <row r="201" spans="1:35" x14ac:dyDescent="0.3">
      <c r="A201" t="str">
        <f>'RESUMEN TOTAL'!A205</f>
        <v>GOBERNADOR MONTEVERDE</v>
      </c>
      <c r="B201" t="str">
        <f>'RESUMEN TOTAL'!B205</f>
        <v>MON04</v>
      </c>
      <c r="C201" t="str">
        <f>'RESUMEN TOTAL'!D205</f>
        <v>Av. Yrigoyen y San Lorenzo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 t="str">
        <f>'RESUMEN TOTAL'!P205</f>
        <v>APAGADO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>
        <f>'RESUMEN TOTAL'!AM205</f>
        <v>0</v>
      </c>
      <c r="AI201">
        <f>'RESUMEN TOTAL'!AN205</f>
        <v>0</v>
      </c>
    </row>
    <row r="202" spans="1:35" x14ac:dyDescent="0.3">
      <c r="A202" t="str">
        <f>'RESUMEN TOTAL'!A206</f>
        <v>9 DE JULIO</v>
      </c>
      <c r="B202" t="str">
        <f>'RESUMEN TOTAL'!B206</f>
        <v>NJU 01</v>
      </c>
      <c r="C202" t="str">
        <f>'RESUMEN TOTAL'!D206</f>
        <v>Sallares y Parrillo</v>
      </c>
      <c r="D202" t="str">
        <f>'RESUMEN TOTAL'!E206</f>
        <v>Domo</v>
      </c>
      <c r="E202" t="str">
        <f>'RESUMEN TOTAL'!F206</f>
        <v>Fibra Optica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 t="str">
        <f>'RESUMEN TOTAL'!AB206</f>
        <v>APAGADO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>
        <f>'RESUMEN TOTAL'!AM206</f>
        <v>0</v>
      </c>
      <c r="AI202">
        <f>'RESUMEN TOTAL'!AN206</f>
        <v>0</v>
      </c>
    </row>
    <row r="203" spans="1:35" x14ac:dyDescent="0.3">
      <c r="A203" t="str">
        <f>'RESUMEN TOTAL'!A207</f>
        <v>9 DE JULIO</v>
      </c>
      <c r="B203" t="str">
        <f>'RESUMEN TOTAL'!B207</f>
        <v>NJU02</v>
      </c>
      <c r="C203" t="str">
        <f>'RESUMEN TOTAL'!D207</f>
        <v>Ituzaingo y Boccuzzi</v>
      </c>
      <c r="D203" t="str">
        <f>'RESUMEN TOTAL'!E207</f>
        <v>Domo</v>
      </c>
      <c r="E203" t="str">
        <f>'RESUMEN TOTAL'!F207</f>
        <v>Radio</v>
      </c>
      <c r="F203">
        <f>'RESUMEN TOTAL'!K207</f>
        <v>0</v>
      </c>
      <c r="G203">
        <f>'RESUMEN TOTAL'!L207</f>
        <v>0</v>
      </c>
      <c r="H203">
        <f>'RESUMEN TOTAL'!M207</f>
        <v>0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>
        <f>'RESUMEN TOTAL'!U207</f>
        <v>0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>
        <f>'RESUMEN TOTAL'!Y207</f>
        <v>0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>
        <f>'RESUMEN TOTAL'!AM207</f>
        <v>0</v>
      </c>
      <c r="AI203">
        <f>'RESUMEN TOTAL'!AN207</f>
        <v>0</v>
      </c>
    </row>
    <row r="204" spans="1:35" x14ac:dyDescent="0.3">
      <c r="A204" t="str">
        <f>'RESUMEN TOTAL'!A208</f>
        <v>9 DE JULIO</v>
      </c>
      <c r="B204" t="str">
        <f>'RESUMEN TOTAL'!B208</f>
        <v>NJU03</v>
      </c>
      <c r="C204" t="str">
        <f>'RESUMEN TOTAL'!D208</f>
        <v>San Juan y Parrillo</v>
      </c>
      <c r="D204" t="str">
        <f>'RESUMEN TOTAL'!E208</f>
        <v>Domo</v>
      </c>
      <c r="E204" t="str">
        <f>'RESUMEN TOTAL'!F208</f>
        <v>PTO A FO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 t="str">
        <f>'RESUMEN TOTAL'!AB208</f>
        <v>APAGADO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>
        <f>'RESUMEN TOTAL'!AM208</f>
        <v>0</v>
      </c>
      <c r="AI204">
        <f>'RESUMEN TOTAL'!AN208</f>
        <v>0</v>
      </c>
    </row>
    <row r="205" spans="1:35" x14ac:dyDescent="0.3">
      <c r="A205" t="str">
        <f>'RESUMEN TOTAL'!A209</f>
        <v>9 DE JULIO</v>
      </c>
      <c r="B205" t="str">
        <f>'RESUMEN TOTAL'!B209</f>
        <v>NJU04</v>
      </c>
      <c r="C205" t="str">
        <f>'RESUMEN TOTAL'!D209</f>
        <v>Ituzaingo y 214 A</v>
      </c>
      <c r="D205" t="str">
        <f>'RESUMEN TOTAL'!E209</f>
        <v>Domo</v>
      </c>
      <c r="E205" t="str">
        <f>'RESUMEN TOTAL'!F209</f>
        <v>Radio</v>
      </c>
      <c r="F205">
        <f>'RESUMEN TOTAL'!K209</f>
        <v>0</v>
      </c>
      <c r="G205" t="str">
        <f>'RESUMEN TOTAL'!L209</f>
        <v>APAGADO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>
        <f>'RESUMEN TOTAL'!U209</f>
        <v>0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>
        <f>'RESUMEN TOTAL'!AM209</f>
        <v>0</v>
      </c>
      <c r="AI205">
        <f>'RESUMEN TOTAL'!AN209</f>
        <v>0</v>
      </c>
    </row>
    <row r="206" spans="1:35" x14ac:dyDescent="0.3">
      <c r="A206" t="str">
        <f>'RESUMEN TOTAL'!A210</f>
        <v>ZEBALLOS CENTRO</v>
      </c>
      <c r="B206" t="str">
        <f>'RESUMEN TOTAL'!B210</f>
        <v>NJU05</v>
      </c>
      <c r="C206" t="str">
        <f>'RESUMEN TOTAL'!D210</f>
        <v>Ituzaingo y Alem</v>
      </c>
      <c r="D206" t="str">
        <f>'RESUMEN TOTAL'!E210</f>
        <v>Domo</v>
      </c>
      <c r="E206" t="str">
        <f>'RESUMEN TOTAL'!F210</f>
        <v>Radio</v>
      </c>
      <c r="F206" t="str">
        <f>'RESUMEN TOTAL'!K210</f>
        <v>APAGADO</v>
      </c>
      <c r="G206" t="str">
        <f>'RESUMEN TOTAL'!L210</f>
        <v>APAGADO</v>
      </c>
      <c r="H206" t="str">
        <f>'RESUMEN TOTAL'!M210</f>
        <v>APAGADO</v>
      </c>
      <c r="I206">
        <f>'RESUMEN TOTAL'!N210</f>
        <v>0</v>
      </c>
      <c r="J206">
        <f>'RESUMEN TOTAL'!O210</f>
        <v>0</v>
      </c>
      <c r="K206" t="str">
        <f>'RESUMEN TOTAL'!P210</f>
        <v>APAGADO</v>
      </c>
      <c r="L206">
        <f>'RESUMEN TOTAL'!Q210</f>
        <v>0</v>
      </c>
      <c r="M206" t="str">
        <f>'RESUMEN TOTAL'!R210</f>
        <v>APAGADO</v>
      </c>
      <c r="N206">
        <f>'RESUMEN TOTAL'!S210</f>
        <v>0</v>
      </c>
      <c r="O206" t="str">
        <f>'RESUMEN TOTAL'!T210</f>
        <v>APAGADO</v>
      </c>
      <c r="P206">
        <f>'RESUMEN TOTAL'!U210</f>
        <v>0</v>
      </c>
      <c r="Q206" t="str">
        <f>'RESUMEN TOTAL'!V210</f>
        <v>APAGADO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 t="str">
        <f>'RESUMEN TOTAL'!AA210</f>
        <v>APAGADO</v>
      </c>
      <c r="W206" t="str">
        <f>'RESUMEN TOTAL'!AB210</f>
        <v>APAGADO</v>
      </c>
      <c r="X206" t="str">
        <f>'RESUMEN TOTAL'!AC210</f>
        <v>APAGADO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>
        <f>'RESUMEN TOTAL'!AM210</f>
        <v>0</v>
      </c>
      <c r="AI206">
        <f>'RESUMEN TOTAL'!AN210</f>
        <v>0</v>
      </c>
    </row>
    <row r="207" spans="1:35" x14ac:dyDescent="0.3">
      <c r="A207" t="str">
        <f>'RESUMEN TOTAL'!A211</f>
        <v>CENTRO</v>
      </c>
      <c r="B207" t="str">
        <f>'RESUMEN TOTAL'!B211</f>
        <v>NJU06</v>
      </c>
      <c r="C207" t="str">
        <f>'RESUMEN TOTAL'!D211</f>
        <v>Sallares y Rodo</v>
      </c>
      <c r="D207" t="str">
        <f>'RESUMEN TOTAL'!E211</f>
        <v>Domo</v>
      </c>
      <c r="E207" t="str">
        <f>'RESUMEN TOTAL'!F211</f>
        <v>FIBRA OPTICA</v>
      </c>
      <c r="F207">
        <f>'RESUMEN TOTAL'!K211</f>
        <v>0</v>
      </c>
      <c r="G207">
        <f>'RESUMEN TOTAL'!L211</f>
        <v>0</v>
      </c>
      <c r="H207">
        <f>'RESUMEN TOTAL'!M211</f>
        <v>0</v>
      </c>
      <c r="I207">
        <f>'RESUMEN TOTAL'!N211</f>
        <v>0</v>
      </c>
      <c r="J207">
        <f>'RESUMEN TOTAL'!O211</f>
        <v>0</v>
      </c>
      <c r="K207">
        <f>'RESUMEN TOTAL'!P211</f>
        <v>0</v>
      </c>
      <c r="L207">
        <f>'RESUMEN TOTAL'!Q211</f>
        <v>0</v>
      </c>
      <c r="M207">
        <f>'RESUMEN TOTAL'!R211</f>
        <v>0</v>
      </c>
      <c r="N207">
        <f>'RESUMEN TOTAL'!S211</f>
        <v>0</v>
      </c>
      <c r="O207">
        <f>'RESUMEN TOTAL'!T211</f>
        <v>0</v>
      </c>
      <c r="P207">
        <f>'RESUMEN TOTAL'!U211</f>
        <v>0</v>
      </c>
      <c r="Q207">
        <f>'RESUMEN TOTAL'!V211</f>
        <v>0</v>
      </c>
      <c r="R207">
        <f>'RESUMEN TOTAL'!W211</f>
        <v>0</v>
      </c>
      <c r="S207">
        <f>'RESUMEN TOTAL'!X211</f>
        <v>0</v>
      </c>
      <c r="T207">
        <f>'RESUMEN TOTAL'!Y211</f>
        <v>0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>
        <f>'RESUMEN TOTAL'!AM211</f>
        <v>0</v>
      </c>
      <c r="AI207">
        <f>'RESUMEN TOTAL'!AN211</f>
        <v>0</v>
      </c>
    </row>
    <row r="208" spans="1:35" x14ac:dyDescent="0.3">
      <c r="A208" t="str">
        <f>'RESUMEN TOTAL'!A212</f>
        <v>9 DE JULIO</v>
      </c>
      <c r="B208" t="str">
        <f>'RESUMEN TOTAL'!B212</f>
        <v>NJU07</v>
      </c>
      <c r="C208" t="str">
        <f>'RESUMEN TOTAL'!D212</f>
        <v>Gral. Juan Domingo Peron y Parrillo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>
        <f>'RESUMEN TOTAL'!U212</f>
        <v>0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>
        <f>'RESUMEN TOTAL'!AM212</f>
        <v>0</v>
      </c>
      <c r="AI208">
        <f>'RESUMEN TOTAL'!AN212</f>
        <v>0</v>
      </c>
    </row>
    <row r="209" spans="1:35" x14ac:dyDescent="0.3">
      <c r="A209" t="str">
        <f>'RESUMEN TOTAL'!A213</f>
        <v>9 DE JULIO</v>
      </c>
      <c r="B209" t="str">
        <f>'RESUMEN TOTAL'!B213</f>
        <v>NJU 08</v>
      </c>
      <c r="C209" t="str">
        <f>'RESUMEN TOTAL'!D213</f>
        <v>BOCCUZZI Y O HIGGINS</v>
      </c>
      <c r="D209" t="str">
        <f>'RESUMEN TOTAL'!E213</f>
        <v>DOMO</v>
      </c>
      <c r="E209" t="str">
        <f>'RESUMEN TOTAL'!F213</f>
        <v>Radio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 t="str">
        <f>'RESUMEN TOTAL'!T213</f>
        <v>APAGADO</v>
      </c>
      <c r="P209" t="str">
        <f>'RESUMEN TOTAL'!U213</f>
        <v>APAGADO</v>
      </c>
      <c r="Q209">
        <f>'RESUMEN TOTAL'!V213</f>
        <v>0</v>
      </c>
      <c r="R209" t="str">
        <f>'RESUMEN TOTAL'!W213</f>
        <v>APAGADO</v>
      </c>
      <c r="S209" t="str">
        <f>'RESUMEN TOTAL'!X213</f>
        <v>APAGADO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>
        <f>'RESUMEN TOTAL'!AM213</f>
        <v>0</v>
      </c>
      <c r="AI209">
        <f>'RESUMEN TOTAL'!AN213</f>
        <v>0</v>
      </c>
    </row>
    <row r="210" spans="1:35" x14ac:dyDescent="0.3">
      <c r="A210" t="str">
        <f>'RESUMEN TOTAL'!A214</f>
        <v>9 DE JULIO</v>
      </c>
      <c r="B210" t="str">
        <f>'RESUMEN TOTAL'!B214</f>
        <v>NJU09</v>
      </c>
      <c r="C210" t="str">
        <f>'RESUMEN TOTAL'!D214</f>
        <v>PARRILLO Y CONTRERAS</v>
      </c>
      <c r="D210" t="str">
        <f>'RESUMEN TOTAL'!E214</f>
        <v>DOMO</v>
      </c>
      <c r="E210" t="str">
        <f>'RESUMEN TOTAL'!F214</f>
        <v>Fibra Optica</v>
      </c>
      <c r="F210" t="str">
        <f>'RESUMEN TOTAL'!K214</f>
        <v>APAGADO</v>
      </c>
      <c r="G210" t="str">
        <f>'RESUMEN TOTAL'!L214</f>
        <v>APAGADO</v>
      </c>
      <c r="H210" t="str">
        <f>'RESUMEN TOTAL'!M214</f>
        <v>APAGADO</v>
      </c>
      <c r="I210" t="str">
        <f>'RESUMEN TOTAL'!N214</f>
        <v>APAGADO</v>
      </c>
      <c r="J210" t="str">
        <f>'RESUMEN TOTAL'!O214</f>
        <v>APAGADO</v>
      </c>
      <c r="K210" t="str">
        <f>'RESUMEN TOTAL'!P214</f>
        <v>APAGADO</v>
      </c>
      <c r="L210" t="str">
        <f>'RESUMEN TOTAL'!Q214</f>
        <v>APAGADO</v>
      </c>
      <c r="M210" t="str">
        <f>'RESUMEN TOTAL'!R214</f>
        <v>APAGADO</v>
      </c>
      <c r="N210" t="str">
        <f>'RESUMEN TOTAL'!S214</f>
        <v>APAGADO</v>
      </c>
      <c r="O210" t="str">
        <f>'RESUMEN TOTAL'!T214</f>
        <v>APAGADO</v>
      </c>
      <c r="P210" t="str">
        <f>'RESUMEN TOTAL'!U214</f>
        <v>APAGADO</v>
      </c>
      <c r="Q210" t="str">
        <f>'RESUMEN TOTAL'!V214</f>
        <v>APAGADO</v>
      </c>
      <c r="R210" t="str">
        <f>'RESUMEN TOTAL'!W214</f>
        <v>APAGADO</v>
      </c>
      <c r="S210" t="str">
        <f>'RESUMEN TOTAL'!X214</f>
        <v>APAGADO</v>
      </c>
      <c r="T210" t="str">
        <f>'RESUMEN TOTAL'!Y214</f>
        <v>APAGADO</v>
      </c>
      <c r="U210" t="str">
        <f>'RESUMEN TOTAL'!Z214</f>
        <v>APAGADO</v>
      </c>
      <c r="V210" t="str">
        <f>'RESUMEN TOTAL'!AA214</f>
        <v>APAGADO</v>
      </c>
      <c r="W210" t="str">
        <f>'RESUMEN TOTAL'!AB214</f>
        <v>APAGADO</v>
      </c>
      <c r="X210" t="str">
        <f>'RESUMEN TOTAL'!AC214</f>
        <v>APAGADO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>
        <f>'RESUMEN TOTAL'!AM214</f>
        <v>0</v>
      </c>
      <c r="AI210">
        <f>'RESUMEN TOTAL'!AN214</f>
        <v>0</v>
      </c>
    </row>
    <row r="211" spans="1:35" x14ac:dyDescent="0.3">
      <c r="A211" t="str">
        <f>'RESUMEN TOTAL'!A215</f>
        <v>PICO DE ORO</v>
      </c>
      <c r="B211" t="str">
        <f>'RESUMEN TOTAL'!B215</f>
        <v>PCO 01</v>
      </c>
      <c r="C211" t="str">
        <f>'RESUMEN TOTAL'!D215</f>
        <v>CEMENTERIO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>
        <f>'RESUMEN TOTAL'!M215</f>
        <v>0</v>
      </c>
      <c r="I211">
        <f>'RESUMEN TOTAL'!N215</f>
        <v>0</v>
      </c>
      <c r="J211">
        <f>'RESUMEN TOTAL'!O215</f>
        <v>0</v>
      </c>
      <c r="K211">
        <f>'RESUMEN TOTAL'!P215</f>
        <v>0</v>
      </c>
      <c r="L211">
        <f>'RESUMEN TOTAL'!Q215</f>
        <v>0</v>
      </c>
      <c r="M211">
        <f>'RESUMEN TOTAL'!R215</f>
        <v>0</v>
      </c>
      <c r="N211">
        <f>'RESUMEN TOTAL'!S215</f>
        <v>0</v>
      </c>
      <c r="O211">
        <f>'RESUMEN TOTAL'!T215</f>
        <v>0</v>
      </c>
      <c r="P211">
        <f>'RESUMEN TOTAL'!U215</f>
        <v>0</v>
      </c>
      <c r="Q211">
        <f>'RESUMEN TOTAL'!V215</f>
        <v>0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>
        <f>'RESUMEN TOTAL'!AM215</f>
        <v>0</v>
      </c>
      <c r="AI211">
        <f>'RESUMEN TOTAL'!AN215</f>
        <v>0</v>
      </c>
    </row>
    <row r="212" spans="1:35" x14ac:dyDescent="0.3">
      <c r="A212" t="str">
        <f>'RESUMEN TOTAL'!A216</f>
        <v>PICO DE ORO</v>
      </c>
      <c r="B212" t="str">
        <f>'RESUMEN TOTAL'!B216</f>
        <v>PCO02 (fija 1)</v>
      </c>
      <c r="C212" t="str">
        <f>'RESUMEN TOTAL'!D216</f>
        <v>SICILIA E/ VIENA Y VARSOVIA</v>
      </c>
      <c r="D212" t="str">
        <f>'RESUMEN TOTAL'!E216</f>
        <v>Fija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>
        <f>'RESUMEN TOTAL'!AM216</f>
        <v>0</v>
      </c>
      <c r="AI212">
        <f>'RESUMEN TOTAL'!AN216</f>
        <v>0</v>
      </c>
    </row>
    <row r="213" spans="1:35" x14ac:dyDescent="0.3">
      <c r="A213" t="str">
        <f>'RESUMEN TOTAL'!A217</f>
        <v>PICO DE ORO</v>
      </c>
      <c r="B213" t="str">
        <f>'RESUMEN TOTAL'!B217</f>
        <v>PCO03 (fija 2)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>
        <f>'RESUMEN TOTAL'!AM217</f>
        <v>0</v>
      </c>
      <c r="AI213">
        <f>'RESUMEN TOTAL'!AN217</f>
        <v>0</v>
      </c>
    </row>
    <row r="214" spans="1:35" x14ac:dyDescent="0.3">
      <c r="A214" t="str">
        <f>'RESUMEN TOTAL'!A218</f>
        <v>PICO DE ORO</v>
      </c>
      <c r="B214" t="str">
        <f>'RESUMEN TOTAL'!B218</f>
        <v>PCO04 (fija 1)</v>
      </c>
      <c r="C214" t="str">
        <f>'RESUMEN TOTAL'!D218</f>
        <v>BERNA Y POLONIA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>
        <f>'RESUMEN TOTAL'!AM218</f>
        <v>0</v>
      </c>
      <c r="AI214">
        <f>'RESUMEN TOTAL'!AN218</f>
        <v>0</v>
      </c>
    </row>
    <row r="215" spans="1:35" x14ac:dyDescent="0.3">
      <c r="A215" t="str">
        <f>'RESUMEN TOTAL'!A219</f>
        <v>PICO DE ORO</v>
      </c>
      <c r="B215" t="str">
        <f>'RESUMEN TOTAL'!B219</f>
        <v>PCO05 (fija 2)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>
        <f>'RESUMEN TOTAL'!AM219</f>
        <v>0</v>
      </c>
      <c r="AI215">
        <f>'RESUMEN TOTAL'!AN219</f>
        <v>0</v>
      </c>
    </row>
    <row r="216" spans="1:35" x14ac:dyDescent="0.3">
      <c r="A216" t="str">
        <f>'RESUMEN TOTAL'!A220</f>
        <v>AGUSTIN RAMIREZ</v>
      </c>
      <c r="B216" t="str">
        <f>'RESUMEN TOTAL'!B220</f>
        <v>PUNTO SEGURO - AGUSTIN RAMIREZ (domo)</v>
      </c>
      <c r="C216" t="str">
        <f>'RESUMEN TOTAL'!D220</f>
        <v>EL MALAMBO Y LA TRANQUERA</v>
      </c>
      <c r="D216" t="str">
        <f>'RESUMEN TOTAL'!E220</f>
        <v>DOMO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>
        <f>'RESUMEN TOTAL'!AM220</f>
        <v>0</v>
      </c>
      <c r="AI216">
        <f>'RESUMEN TOTAL'!AN220</f>
        <v>0</v>
      </c>
    </row>
    <row r="217" spans="1:35" x14ac:dyDescent="0.3">
      <c r="A217" t="str">
        <f>'RESUMEN TOTAL'!A221</f>
        <v>AGUSTIN RAMIREZ</v>
      </c>
      <c r="B217" t="str">
        <f>'RESUMEN TOTAL'!B221</f>
        <v>PUNTO SEGURO - AGUSTIN RAMIREZ (fija)</v>
      </c>
      <c r="C217" t="str">
        <f>'RESUMEN TOTAL'!D221</f>
        <v>EL MALAMBO Y LA TRANQUERA</v>
      </c>
      <c r="D217" t="str">
        <f>'RESUMEN TOTAL'!E221</f>
        <v>Fija</v>
      </c>
      <c r="E217" t="str">
        <f>'RESUMEN TOTAL'!F221</f>
        <v>Fibra Optica</v>
      </c>
      <c r="F217" t="str">
        <f>'RESUMEN TOTAL'!K221</f>
        <v>APAGADO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>
        <f>'RESUMEN TOTAL'!AM221</f>
        <v>0</v>
      </c>
      <c r="AI217">
        <f>'RESUMEN TOTAL'!AN221</f>
        <v>0</v>
      </c>
    </row>
    <row r="218" spans="1:35" x14ac:dyDescent="0.3">
      <c r="A218" t="str">
        <f>'RESUMEN TOTAL'!A222</f>
        <v>EL PARQUE</v>
      </c>
      <c r="B218" t="str">
        <f>'RESUMEN TOTAL'!B222</f>
        <v>PUNTO SEGURO - EL PARQUE (domo)</v>
      </c>
      <c r="C218" t="str">
        <f>'RESUMEN TOTAL'!D222</f>
        <v>CALLE 1282 Y 1201</v>
      </c>
      <c r="D218" t="str">
        <f>'RESUMEN TOTAL'!E222</f>
        <v>DOMO</v>
      </c>
      <c r="E218" t="str">
        <f>'RESUMEN TOTAL'!F222</f>
        <v>Fibra Optica</v>
      </c>
      <c r="F218" t="str">
        <f>'RESUMEN TOTAL'!K222</f>
        <v>APAGADO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>
        <f>'RESUMEN TOTAL'!AM222</f>
        <v>0</v>
      </c>
      <c r="AI218">
        <f>'RESUMEN TOTAL'!AN222</f>
        <v>0</v>
      </c>
    </row>
    <row r="219" spans="1:35" x14ac:dyDescent="0.3">
      <c r="A219" t="str">
        <f>'RESUMEN TOTAL'!A223</f>
        <v>EL PARQUE</v>
      </c>
      <c r="B219" t="str">
        <f>'RESUMEN TOTAL'!B223</f>
        <v>PUNTO SEGURO - EL PARQUE (fija)</v>
      </c>
      <c r="C219" t="str">
        <f>'RESUMEN TOTAL'!D223</f>
        <v>CALLE 1282 Y 1201</v>
      </c>
      <c r="D219" t="str">
        <f>'RESUMEN TOTAL'!E223</f>
        <v>Fija</v>
      </c>
      <c r="E219" t="str">
        <f>'RESUMEN TOTAL'!F223</f>
        <v>Fibra Optica</v>
      </c>
      <c r="F219" t="str">
        <f>'RESUMEN TOTAL'!K223</f>
        <v>APAGADO</v>
      </c>
      <c r="G219">
        <f>'RESUMEN TOTAL'!L223</f>
        <v>0</v>
      </c>
      <c r="H219">
        <f>'RESUMEN TOTAL'!M223</f>
        <v>0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>
        <f>'RESUMEN TOTAL'!Q223</f>
        <v>0</v>
      </c>
      <c r="M219">
        <f>'RESUMEN TOTAL'!R223</f>
        <v>0</v>
      </c>
      <c r="N219">
        <f>'RESUMEN TOTAL'!S223</f>
        <v>0</v>
      </c>
      <c r="O219">
        <f>'RESUMEN TOTAL'!T223</f>
        <v>0</v>
      </c>
      <c r="P219">
        <f>'RESUMEN TOTAL'!U223</f>
        <v>0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>
        <f>'RESUMEN TOTAL'!AM223</f>
        <v>0</v>
      </c>
      <c r="AI219">
        <f>'RESUMEN TOTAL'!AN223</f>
        <v>0</v>
      </c>
    </row>
    <row r="220" spans="1:35" x14ac:dyDescent="0.3">
      <c r="A220" t="str">
        <f>'RESUMEN TOTAL'!A224</f>
        <v>INGENIERO ALLAN</v>
      </c>
      <c r="B220" t="str">
        <f>'RESUMEN TOTAL'!B224</f>
        <v>PUNTO SEGURO - ING. ALLAN (domo)</v>
      </c>
      <c r="C220" t="str">
        <f>'RESUMEN TOTAL'!D224</f>
        <v>DIAG. LOS YAGANES Y 1148</v>
      </c>
      <c r="D220" t="str">
        <f>'RESUMEN TOTAL'!E224</f>
        <v>DOMO</v>
      </c>
      <c r="E220" t="str">
        <f>'RESUMEN TOTAL'!F224</f>
        <v>Fibra Optica</v>
      </c>
      <c r="F220" t="str">
        <f>'RESUMEN TOTAL'!K224</f>
        <v>APAGADO</v>
      </c>
      <c r="G220">
        <f>'RESUMEN TOTAL'!L224</f>
        <v>0</v>
      </c>
      <c r="H220">
        <f>'RESUMEN TOTAL'!M224</f>
        <v>0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>
        <f>'RESUMEN TOTAL'!Q224</f>
        <v>0</v>
      </c>
      <c r="M220">
        <f>'RESUMEN TOTAL'!R224</f>
        <v>0</v>
      </c>
      <c r="N220">
        <f>'RESUMEN TOTAL'!S224</f>
        <v>0</v>
      </c>
      <c r="O220">
        <f>'RESUMEN TOTAL'!T224</f>
        <v>0</v>
      </c>
      <c r="P220">
        <f>'RESUMEN TOTAL'!U224</f>
        <v>0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>
        <f>'RESUMEN TOTAL'!AM224</f>
        <v>0</v>
      </c>
      <c r="AI220">
        <f>'RESUMEN TOTAL'!AN224</f>
        <v>0</v>
      </c>
    </row>
    <row r="221" spans="1:35" x14ac:dyDescent="0.3">
      <c r="A221" t="str">
        <f>'RESUMEN TOTAL'!A225</f>
        <v>INGENIERO ALLAN</v>
      </c>
      <c r="B221" t="str">
        <f>'RESUMEN TOTAL'!B225</f>
        <v>PUNTO SEGURO - ING. ALLAN (fija)</v>
      </c>
      <c r="C221" t="str">
        <f>'RESUMEN TOTAL'!D225</f>
        <v>DIAG. LOS YAGANES Y 1148</v>
      </c>
      <c r="D221" t="str">
        <f>'RESUMEN TOTAL'!E225</f>
        <v>Fija</v>
      </c>
      <c r="E221" t="str">
        <f>'RESUMEN TOTAL'!F225</f>
        <v>Fibra Optica</v>
      </c>
      <c r="F221" t="str">
        <f>'RESUMEN TOTAL'!K225</f>
        <v>APAGADO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>
        <f>'RESUMEN TOTAL'!O225</f>
        <v>0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>
        <f>'RESUMEN TOTAL'!AM225</f>
        <v>0</v>
      </c>
      <c r="AI221">
        <f>'RESUMEN TOTAL'!AN225</f>
        <v>0</v>
      </c>
    </row>
    <row r="222" spans="1:35" x14ac:dyDescent="0.3">
      <c r="A222" t="str">
        <f>'RESUMEN TOTAL'!A226</f>
        <v>VILLA ARGENTINA</v>
      </c>
      <c r="B222" t="str">
        <f>'RESUMEN TOTAL'!B226</f>
        <v>PUNTO SEGURO - KM 26 (domo)</v>
      </c>
      <c r="C222" t="str">
        <f>'RESUMEN TOTAL'!D226</f>
        <v>513 Y PORTELA</v>
      </c>
      <c r="D222" t="str">
        <f>'RESUMEN TOTAL'!E226</f>
        <v>Domo</v>
      </c>
      <c r="E222" t="str">
        <f>'RESUMEN TOTAL'!F226</f>
        <v>Fibra Optica</v>
      </c>
      <c r="F222">
        <f>'RESUMEN TOTAL'!K226</f>
        <v>0</v>
      </c>
      <c r="G222" t="str">
        <f>'RESUMEN TOTAL'!L226</f>
        <v>APAGADO</v>
      </c>
      <c r="H222">
        <f>'RESUMEN TOTAL'!M226</f>
        <v>0</v>
      </c>
      <c r="I222">
        <f>'RESUMEN TOTAL'!N226</f>
        <v>0</v>
      </c>
      <c r="J222">
        <f>'RESUMEN TOTAL'!O226</f>
        <v>0</v>
      </c>
      <c r="K222">
        <f>'RESUMEN TOTAL'!P226</f>
        <v>0</v>
      </c>
      <c r="L222">
        <f>'RESUMEN TOTAL'!Q226</f>
        <v>0</v>
      </c>
      <c r="M222">
        <f>'RESUMEN TOTAL'!R226</f>
        <v>0</v>
      </c>
      <c r="N222">
        <f>'RESUMEN TOTAL'!S226</f>
        <v>0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>
        <f>'RESUMEN TOTAL'!AM226</f>
        <v>0</v>
      </c>
      <c r="AI222">
        <f>'RESUMEN TOTAL'!AN226</f>
        <v>0</v>
      </c>
    </row>
    <row r="223" spans="1:35" x14ac:dyDescent="0.3">
      <c r="A223" t="str">
        <f>'RESUMEN TOTAL'!A227</f>
        <v>VILLA ARGENTINA</v>
      </c>
      <c r="B223" t="str">
        <f>'RESUMEN TOTAL'!B227</f>
        <v>PUNTO SEGURO - KM 26 (fija)</v>
      </c>
      <c r="C223" t="str">
        <f>'RESUMEN TOTAL'!D227</f>
        <v>513 Y PORTELA</v>
      </c>
      <c r="D223" t="str">
        <f>'RESUMEN TOTAL'!E227</f>
        <v>Fija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>
        <f>'RESUMEN TOTAL'!AM227</f>
        <v>0</v>
      </c>
      <c r="AI223">
        <f>'RESUMEN TOTAL'!AN227</f>
        <v>0</v>
      </c>
    </row>
    <row r="224" spans="1:35" x14ac:dyDescent="0.3">
      <c r="A224" t="str">
        <f>'RESUMEN TOTAL'!A228</f>
        <v>LUJAN</v>
      </c>
      <c r="B224" t="str">
        <f>'RESUMEN TOTAL'!B228</f>
        <v>PUNTO SEGURO - LUJAN (fija)</v>
      </c>
      <c r="C224" t="str">
        <f>'RESUMEN TOTAL'!D228</f>
        <v>DIAG. LOS TILOS Y LOS ALGARROBOS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>
        <f>'RESUMEN TOTAL'!AM228</f>
        <v>0</v>
      </c>
      <c r="AI224">
        <f>'RESUMEN TOTAL'!AN228</f>
        <v>0</v>
      </c>
    </row>
    <row r="225" spans="1:35" x14ac:dyDescent="0.3">
      <c r="A225" t="str">
        <f>'RESUMEN TOTAL'!A229</f>
        <v>ZONA RURAL SANTA ROSA</v>
      </c>
      <c r="B225" t="str">
        <f>'RESUMEN TOTAL'!B229</f>
        <v>PUNTO SEGURO - PICO DE ORO (domo)</v>
      </c>
      <c r="C225" t="str">
        <f>'RESUMEN TOTAL'!D229</f>
        <v>PISANI Y BULGARIA</v>
      </c>
      <c r="D225" t="str">
        <f>'RESUMEN TOTAL'!E229</f>
        <v>DOMO</v>
      </c>
      <c r="E225" t="str">
        <f>'RESUMEN TOTAL'!F229</f>
        <v>Fibra Optica</v>
      </c>
      <c r="F225" t="str">
        <f>'RESUMEN TOTAL'!K229</f>
        <v>APAGADO</v>
      </c>
      <c r="G225" t="str">
        <f>'RESUMEN TOTAL'!L229</f>
        <v>APAGADO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 t="str">
        <f>'RESUMEN TOTAL'!AA229</f>
        <v>APAGADO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>
        <f>'RESUMEN TOTAL'!AM229</f>
        <v>0</v>
      </c>
      <c r="AI225">
        <f>'RESUMEN TOTAL'!AN229</f>
        <v>0</v>
      </c>
    </row>
    <row r="226" spans="1:35" x14ac:dyDescent="0.3">
      <c r="A226" t="str">
        <f>'RESUMEN TOTAL'!A230</f>
        <v>ZONA RURAL SANTA ROSA</v>
      </c>
      <c r="B226" t="str">
        <f>'RESUMEN TOTAL'!B230</f>
        <v>PUNTO SEGURO - PICO DE ORO (fija)</v>
      </c>
      <c r="C226" t="str">
        <f>'RESUMEN TOTAL'!D230</f>
        <v>PISANI Y BULGARIA</v>
      </c>
      <c r="D226" t="str">
        <f>'RESUMEN TOTAL'!E230</f>
        <v>Fija</v>
      </c>
      <c r="E226" t="str">
        <f>'RESUMEN TOTAL'!F230</f>
        <v>Fibra Optica</v>
      </c>
      <c r="F226" t="str">
        <f>'RESUMEN TOTAL'!K230</f>
        <v>APAGADO</v>
      </c>
      <c r="G226" t="str">
        <f>'RESUMEN TOTAL'!L230</f>
        <v>APAGADO</v>
      </c>
      <c r="H226">
        <f>'RESUMEN TOTAL'!M230</f>
        <v>0</v>
      </c>
      <c r="I226">
        <f>'RESUMEN TOTAL'!N230</f>
        <v>0</v>
      </c>
      <c r="J226">
        <f>'RESUMEN TOTAL'!O230</f>
        <v>0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 t="str">
        <f>'RESUMEN TOTAL'!AA230</f>
        <v>APAGADO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>
        <f>'RESUMEN TOTAL'!AM230</f>
        <v>0</v>
      </c>
      <c r="AI226">
        <f>'RESUMEN TOTAL'!AN230</f>
        <v>0</v>
      </c>
    </row>
    <row r="227" spans="1:35" x14ac:dyDescent="0.3">
      <c r="A227" t="str">
        <f>'RESUMEN TOTAL'!A231</f>
        <v>SAN FRANCISCO ESTE (CHICO)</v>
      </c>
      <c r="B227" t="str">
        <f>'RESUMEN TOTAL'!B231</f>
        <v>PUNTO SEGURO - SAN FRANCISCO (domo)</v>
      </c>
      <c r="C227" t="str">
        <f>'RESUMEN TOTAL'!D231</f>
        <v>RP 53 Y 1332</v>
      </c>
      <c r="D227" t="str">
        <f>'RESUMEN TOTAL'!E231</f>
        <v>DOMO</v>
      </c>
      <c r="E227" t="str">
        <f>'RESUMEN TOTAL'!F231</f>
        <v>Fibra Optica</v>
      </c>
      <c r="F227" t="str">
        <f>'RESUMEN TOTAL'!K231</f>
        <v>APAGADO</v>
      </c>
      <c r="G227" t="str">
        <f>'RESUMEN TOTAL'!L231</f>
        <v>APAGADO</v>
      </c>
      <c r="H227" t="str">
        <f>'RESUMEN TOTAL'!M231</f>
        <v>APAGADO</v>
      </c>
      <c r="I227" t="str">
        <f>'RESUMEN TOTAL'!N231</f>
        <v>APAGADO</v>
      </c>
      <c r="J227" t="str">
        <f>'RESUMEN TOTAL'!O231</f>
        <v>APAGADO</v>
      </c>
      <c r="K227" t="str">
        <f>'RESUMEN TOTAL'!P231</f>
        <v>APAGADO</v>
      </c>
      <c r="L227" t="str">
        <f>'RESUMEN TOTAL'!Q231</f>
        <v>APAGADO</v>
      </c>
      <c r="M227" t="str">
        <f>'RESUMEN TOTAL'!R231</f>
        <v>APAGADO</v>
      </c>
      <c r="N227" t="str">
        <f>'RESUMEN TOTAL'!S231</f>
        <v>APAGADO</v>
      </c>
      <c r="O227" t="str">
        <f>'RESUMEN TOTAL'!T231</f>
        <v>APAGADO</v>
      </c>
      <c r="P227" t="str">
        <f>'RESUMEN TOTAL'!U231</f>
        <v>APAGADO</v>
      </c>
      <c r="Q227" t="str">
        <f>'RESUMEN TOTAL'!V231</f>
        <v>APAGADO</v>
      </c>
      <c r="R227" t="str">
        <f>'RESUMEN TOTAL'!W231</f>
        <v>APAGADO</v>
      </c>
      <c r="S227" t="str">
        <f>'RESUMEN TOTAL'!X231</f>
        <v>APAGADO</v>
      </c>
      <c r="T227" t="str">
        <f>'RESUMEN TOTAL'!Y231</f>
        <v>APAGADO</v>
      </c>
      <c r="U227" t="str">
        <f>'RESUMEN TOTAL'!Z231</f>
        <v>APAGADO</v>
      </c>
      <c r="V227" t="str">
        <f>'RESUMEN TOTAL'!AA231</f>
        <v>APAGADO</v>
      </c>
      <c r="W227" t="str">
        <f>'RESUMEN TOTAL'!AB231</f>
        <v>APAGADO</v>
      </c>
      <c r="X227" t="str">
        <f>'RESUMEN TOTAL'!AC231</f>
        <v>APAGADO</v>
      </c>
      <c r="Y227">
        <f>'RESUMEN TOTAL'!AD231</f>
        <v>0</v>
      </c>
      <c r="Z227">
        <f>'RESUMEN TOTAL'!AE231</f>
        <v>0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>
        <f>'RESUMEN TOTAL'!AM231</f>
        <v>0</v>
      </c>
      <c r="AI227">
        <f>'RESUMEN TOTAL'!AN231</f>
        <v>0</v>
      </c>
    </row>
    <row r="228" spans="1:35" x14ac:dyDescent="0.3">
      <c r="A228" t="str">
        <f>'RESUMEN TOTAL'!A232</f>
        <v>SAN JORGE</v>
      </c>
      <c r="B228" t="str">
        <f>'RESUMEN TOTAL'!B232</f>
        <v>Punto Seguro - San Jorge (Domo)</v>
      </c>
      <c r="C228" t="str">
        <f>'RESUMEN TOTAL'!D232</f>
        <v>CALLE 523 E/ 554 Y 556</v>
      </c>
      <c r="D228" t="str">
        <f>'RESUMEN TOTAL'!E232</f>
        <v>DOMO</v>
      </c>
      <c r="E228" t="str">
        <f>'RESUMEN TOTAL'!F232</f>
        <v>PTO A FO</v>
      </c>
      <c r="F228">
        <f>'RESUMEN TOTAL'!K232</f>
        <v>0</v>
      </c>
      <c r="G228">
        <f>'RESUMEN TOTAL'!L232</f>
        <v>0</v>
      </c>
      <c r="H228">
        <f>'RESUMEN TOTAL'!M232</f>
        <v>0</v>
      </c>
      <c r="I228">
        <f>'RESUMEN TOTAL'!N232</f>
        <v>0</v>
      </c>
      <c r="J228">
        <f>'RESUMEN TOTAL'!O232</f>
        <v>0</v>
      </c>
      <c r="K228">
        <f>'RESUMEN TOTAL'!P232</f>
        <v>0</v>
      </c>
      <c r="L228">
        <f>'RESUMEN TOTAL'!Q232</f>
        <v>0</v>
      </c>
      <c r="M228">
        <f>'RESUMEN TOTAL'!R232</f>
        <v>0</v>
      </c>
      <c r="N228">
        <f>'RESUMEN TOTAL'!S232</f>
        <v>0</v>
      </c>
      <c r="O228">
        <f>'RESUMEN TOTAL'!T232</f>
        <v>0</v>
      </c>
      <c r="P228">
        <f>'RESUMEN TOTAL'!U232</f>
        <v>0</v>
      </c>
      <c r="Q228">
        <f>'RESUMEN TOTAL'!V232</f>
        <v>0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>
        <f>'RESUMEN TOTAL'!AM232</f>
        <v>0</v>
      </c>
      <c r="AI228">
        <f>'RESUMEN TOTAL'!AN232</f>
        <v>0</v>
      </c>
    </row>
    <row r="229" spans="1:35" x14ac:dyDescent="0.3">
      <c r="A229" t="str">
        <f>'RESUMEN TOTAL'!A233</f>
        <v>SAN JORGE</v>
      </c>
      <c r="B229" t="str">
        <f>'RESUMEN TOTAL'!B233</f>
        <v>Punto Seguro - San Jorge (Fija)</v>
      </c>
      <c r="C229" t="str">
        <f>'RESUMEN TOTAL'!D233</f>
        <v>CALLE 523 E/ 554 Y 556</v>
      </c>
      <c r="D229" t="str">
        <f>'RESUMEN TOTAL'!E233</f>
        <v>Fija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>
        <f>'RESUMEN TOTAL'!AM233</f>
        <v>0</v>
      </c>
      <c r="AI229">
        <f>'RESUMEN TOTAL'!AN233</f>
        <v>0</v>
      </c>
    </row>
    <row r="230" spans="1:35" x14ac:dyDescent="0.3">
      <c r="A230" t="str">
        <f>'RESUMEN TOTAL'!A234</f>
        <v>SAN RUDECINDO</v>
      </c>
      <c r="B230" t="str">
        <f>'RESUMEN TOTAL'!B234</f>
        <v>PUNTO SEGURO- SAN RUDECINDO (domo)</v>
      </c>
      <c r="C230" t="str">
        <f>'RESUMEN TOTAL'!D234</f>
        <v>SANTA SOFIA Y ALVAR NUÃ‘EZ</v>
      </c>
      <c r="D230" t="str">
        <f>'RESUMEN TOTAL'!E234</f>
        <v>DOMO</v>
      </c>
      <c r="E230" t="str">
        <f>'RESUMEN TOTAL'!F234</f>
        <v>Fibra Optica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 t="str">
        <f>'RESUMEN TOTAL'!R234</f>
        <v>APAGADO</v>
      </c>
      <c r="N230" t="str">
        <f>'RESUMEN TOTAL'!S234</f>
        <v>APAGADO</v>
      </c>
      <c r="O230" t="str">
        <f>'RESUMEN TOTAL'!T234</f>
        <v>APAGADO</v>
      </c>
      <c r="P230" t="str">
        <f>'RESUMEN TOTAL'!U234</f>
        <v>APAGADO</v>
      </c>
      <c r="Q230" t="str">
        <f>'RESUMEN TOTAL'!V234</f>
        <v>APAGADO</v>
      </c>
      <c r="R230" t="str">
        <f>'RESUMEN TOTAL'!W234</f>
        <v>APAGADO</v>
      </c>
      <c r="S230" t="str">
        <f>'RESUMEN TOTAL'!X234</f>
        <v>APAGADO</v>
      </c>
      <c r="T230" t="str">
        <f>'RESUMEN TOTAL'!Y234</f>
        <v>APAGADO</v>
      </c>
      <c r="U230" t="str">
        <f>'RESUMEN TOTAL'!Z234</f>
        <v>APAGADO</v>
      </c>
      <c r="V230" t="str">
        <f>'RESUMEN TOTAL'!AA234</f>
        <v>APAGADO</v>
      </c>
      <c r="W230" t="str">
        <f>'RESUMEN TOTAL'!AB234</f>
        <v>APAGADO</v>
      </c>
      <c r="X230" t="str">
        <f>'RESUMEN TOTAL'!AC234</f>
        <v>APAGADO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>
        <f>'RESUMEN TOTAL'!AM234</f>
        <v>0</v>
      </c>
      <c r="AI230">
        <f>'RESUMEN TOTAL'!AN234</f>
        <v>0</v>
      </c>
    </row>
    <row r="231" spans="1:35" x14ac:dyDescent="0.3">
      <c r="A231" t="str">
        <f>'RESUMEN TOTAL'!A235</f>
        <v>SAN RUDECINDO</v>
      </c>
      <c r="B231" t="str">
        <f>'RESUMEN TOTAL'!B235</f>
        <v>PUNTO SEGURO - SAN RUDECINDO (fija)</v>
      </c>
      <c r="C231" t="str">
        <f>'RESUMEN TOTAL'!D235</f>
        <v>SANTA SOFIA Y ALVAR NUÃ‘EZ</v>
      </c>
      <c r="D231" t="str">
        <f>'RESUMEN TOTAL'!E235</f>
        <v>Fija</v>
      </c>
      <c r="E231" t="str">
        <f>'RESUMEN TOTAL'!F235</f>
        <v>Fibra Optica</v>
      </c>
      <c r="F231">
        <f>'RESUMEN TOTAL'!K235</f>
        <v>0</v>
      </c>
      <c r="G231">
        <f>'RESUMEN TOTAL'!L235</f>
        <v>0</v>
      </c>
      <c r="H231">
        <f>'RESUMEN TOTAL'!M235</f>
        <v>0</v>
      </c>
      <c r="I231">
        <f>'RESUMEN TOTAL'!N235</f>
        <v>0</v>
      </c>
      <c r="J231">
        <f>'RESUMEN TOTAL'!O235</f>
        <v>0</v>
      </c>
      <c r="K231">
        <f>'RESUMEN TOTAL'!P235</f>
        <v>0</v>
      </c>
      <c r="L231">
        <f>'RESUMEN TOTAL'!Q235</f>
        <v>0</v>
      </c>
      <c r="M231" t="str">
        <f>'RESUMEN TOTAL'!R235</f>
        <v>APAGADO</v>
      </c>
      <c r="N231" t="str">
        <f>'RESUMEN TOTAL'!S235</f>
        <v>APAGADO</v>
      </c>
      <c r="O231" t="str">
        <f>'RESUMEN TOTAL'!T235</f>
        <v>APAGADO</v>
      </c>
      <c r="P231" t="str">
        <f>'RESUMEN TOTAL'!U235</f>
        <v>APAGADO</v>
      </c>
      <c r="Q231" t="str">
        <f>'RESUMEN TOTAL'!V235</f>
        <v>APAGADO</v>
      </c>
      <c r="R231" t="str">
        <f>'RESUMEN TOTAL'!W235</f>
        <v>APAGADO</v>
      </c>
      <c r="S231" t="str">
        <f>'RESUMEN TOTAL'!X235</f>
        <v>APAGADO</v>
      </c>
      <c r="T231" t="str">
        <f>'RESUMEN TOTAL'!Y235</f>
        <v>APAGADO</v>
      </c>
      <c r="U231" t="str">
        <f>'RESUMEN TOTAL'!Z235</f>
        <v>APAGADO</v>
      </c>
      <c r="V231" t="str">
        <f>'RESUMEN TOTAL'!AA235</f>
        <v>APAGADO</v>
      </c>
      <c r="W231" t="str">
        <f>'RESUMEN TOTAL'!AB235</f>
        <v>APAGADO</v>
      </c>
      <c r="X231" t="str">
        <f>'RESUMEN TOTAL'!AC235</f>
        <v>APAGADO</v>
      </c>
      <c r="Y231">
        <f>'RESUMEN TOTAL'!AD235</f>
        <v>0</v>
      </c>
      <c r="Z231">
        <f>'RESUMEN TOTAL'!AE235</f>
        <v>0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>
        <f>'RESUMEN TOTAL'!AM235</f>
        <v>0</v>
      </c>
      <c r="AI231">
        <f>'RESUMEN TOTAL'!AN235</f>
        <v>0</v>
      </c>
    </row>
    <row r="232" spans="1:35" x14ac:dyDescent="0.3">
      <c r="A232" t="str">
        <f>'RESUMEN TOTAL'!A236</f>
        <v>ZONA RURAL SANTA ROSA</v>
      </c>
      <c r="B232" t="str">
        <f>'RESUMEN TOTAL'!B236</f>
        <v>PUNTO SEGURO - SANTA ROSA (domo)</v>
      </c>
      <c r="C232" t="str">
        <f>'RESUMEN TOTAL'!D236</f>
        <v>BRUSELAS Y SICILIA</v>
      </c>
      <c r="D232" t="str">
        <f>'RESUMEN TOTAL'!E236</f>
        <v>DOMO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>
        <f>'RESUMEN TOTAL'!AM236</f>
        <v>0</v>
      </c>
      <c r="AI232">
        <f>'RESUMEN TOTAL'!AN236</f>
        <v>0</v>
      </c>
    </row>
    <row r="233" spans="1:35" x14ac:dyDescent="0.3">
      <c r="A233" t="str">
        <f>'RESUMEN TOTAL'!A237</f>
        <v>ZONA RURAL SANTA ROSA</v>
      </c>
      <c r="B233" t="str">
        <f>'RESUMEN TOTAL'!B237</f>
        <v>PUNTO SEGURO - SANTA ROSA (fija)</v>
      </c>
      <c r="C233" t="str">
        <f>'RESUMEN TOTAL'!D237</f>
        <v>BRUSELAS Y SICILIA</v>
      </c>
      <c r="D233" t="str">
        <f>'RESUMEN TOTAL'!E237</f>
        <v>Fija</v>
      </c>
      <c r="E233" t="str">
        <f>'RESUMEN TOTAL'!F237</f>
        <v>Fibra Optica</v>
      </c>
      <c r="F233">
        <f>'RESUMEN TOTAL'!K237</f>
        <v>0</v>
      </c>
      <c r="G233">
        <f>'RESUMEN TOTAL'!L237</f>
        <v>0</v>
      </c>
      <c r="H233">
        <f>'RESUMEN TOTAL'!M237</f>
        <v>0</v>
      </c>
      <c r="I233">
        <f>'RESUMEN TOTAL'!N237</f>
        <v>0</v>
      </c>
      <c r="J233">
        <f>'RESUMEN TOTAL'!O237</f>
        <v>0</v>
      </c>
      <c r="K233">
        <f>'RESUMEN TOTAL'!P237</f>
        <v>0</v>
      </c>
      <c r="L233">
        <f>'RESUMEN TOTAL'!Q237</f>
        <v>0</v>
      </c>
      <c r="M233">
        <f>'RESUMEN TOTAL'!R237</f>
        <v>0</v>
      </c>
      <c r="N233">
        <f>'RESUMEN TOTAL'!S237</f>
        <v>0</v>
      </c>
      <c r="O233">
        <f>'RESUMEN TOTAL'!T237</f>
        <v>0</v>
      </c>
      <c r="P233">
        <f>'RESUMEN TOTAL'!U237</f>
        <v>0</v>
      </c>
      <c r="Q233">
        <f>'RESUMEN TOTAL'!V237</f>
        <v>0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>
        <f>'RESUMEN TOTAL'!AM237</f>
        <v>0</v>
      </c>
      <c r="AI233">
        <f>'RESUMEN TOTAL'!AN237</f>
        <v>0</v>
      </c>
    </row>
    <row r="234" spans="1:35" x14ac:dyDescent="0.3">
      <c r="A234" t="str">
        <f>'RESUMEN TOTAL'!A238</f>
        <v>DON JOSE</v>
      </c>
      <c r="B234" t="str">
        <f>'RESUMEN TOTAL'!B238</f>
        <v>PUNTO SEGURO AGUSTIN RAMIREZ INTERCOMUNICADOR</v>
      </c>
      <c r="C234" t="str">
        <f>'RESUMEN TOTAL'!D238</f>
        <v>MALAMBO Y LA TRANQUERA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 t="str">
        <f>'RESUMEN TOTAL'!N238</f>
        <v>APAGADO</v>
      </c>
      <c r="J234" t="str">
        <f>'RESUMEN TOTAL'!O238</f>
        <v>APAGADO</v>
      </c>
      <c r="K234" t="str">
        <f>'RESUMEN TOTAL'!P238</f>
        <v>APAGADO</v>
      </c>
      <c r="L234" t="str">
        <f>'RESUMEN TOTAL'!Q238</f>
        <v>APAGADO</v>
      </c>
      <c r="M234" t="str">
        <f>'RESUMEN TOTAL'!R238</f>
        <v>APAGADO</v>
      </c>
      <c r="N234" t="str">
        <f>'RESUMEN TOTAL'!S238</f>
        <v>APAGADO</v>
      </c>
      <c r="O234" t="str">
        <f>'RESUMEN TOTAL'!T238</f>
        <v>APAGADO</v>
      </c>
      <c r="P234" t="str">
        <f>'RESUMEN TOTAL'!U238</f>
        <v>APAGADO</v>
      </c>
      <c r="Q234" t="str">
        <f>'RESUMEN TOTAL'!V238</f>
        <v>APAGADO</v>
      </c>
      <c r="R234" t="str">
        <f>'RESUMEN TOTAL'!W238</f>
        <v>APAGADO</v>
      </c>
      <c r="S234" t="str">
        <f>'RESUMEN TOTAL'!X238</f>
        <v>APAGADO</v>
      </c>
      <c r="T234" t="str">
        <f>'RESUMEN TOTAL'!Y238</f>
        <v>APAGADO</v>
      </c>
      <c r="U234" t="str">
        <f>'RESUMEN TOTAL'!Z238</f>
        <v>APAGADO</v>
      </c>
      <c r="V234" t="str">
        <f>'RESUMEN TOTAL'!AA238</f>
        <v>APAGADO</v>
      </c>
      <c r="W234" t="str">
        <f>'RESUMEN TOTAL'!AB238</f>
        <v>APAGADO</v>
      </c>
      <c r="X234" t="str">
        <f>'RESUMEN TOTAL'!AC238</f>
        <v>APAGADO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>
        <f>'RESUMEN TOTAL'!AM238</f>
        <v>0</v>
      </c>
      <c r="AI234">
        <f>'RESUMEN TOTAL'!AN238</f>
        <v>0</v>
      </c>
    </row>
    <row r="235" spans="1:35" x14ac:dyDescent="0.3">
      <c r="A235" t="str">
        <f>'RESUMEN TOTAL'!A239</f>
        <v>EL PARQUE</v>
      </c>
      <c r="B235" t="str">
        <f>'RESUMEN TOTAL'!B239</f>
        <v>PUNTO SEGURO EL PARQUE INTERCOMUNICADOR</v>
      </c>
      <c r="C235" t="str">
        <f>'RESUMEN TOTAL'!D239</f>
        <v>1282 Y 1201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>
        <f>'RESUMEN TOTAL'!L239</f>
        <v>0</v>
      </c>
      <c r="H235">
        <f>'RESUMEN TOTAL'!M239</f>
        <v>0</v>
      </c>
      <c r="I235">
        <f>'RESUMEN TOTAL'!N239</f>
        <v>0</v>
      </c>
      <c r="J235">
        <f>'RESUMEN TOTAL'!O239</f>
        <v>0</v>
      </c>
      <c r="K235">
        <f>'RESUMEN TOTAL'!P239</f>
        <v>0</v>
      </c>
      <c r="L235">
        <f>'RESUMEN TOTAL'!Q239</f>
        <v>0</v>
      </c>
      <c r="M235">
        <f>'RESUMEN TOTAL'!R239</f>
        <v>0</v>
      </c>
      <c r="N235">
        <f>'RESUMEN TOTAL'!S239</f>
        <v>0</v>
      </c>
      <c r="O235">
        <f>'RESUMEN TOTAL'!T239</f>
        <v>0</v>
      </c>
      <c r="P235">
        <f>'RESUMEN TOTAL'!U239</f>
        <v>0</v>
      </c>
      <c r="Q235">
        <f>'RESUMEN TOTAL'!V239</f>
        <v>0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>
        <f>'RESUMEN TOTAL'!AM239</f>
        <v>0</v>
      </c>
      <c r="AI235">
        <f>'RESUMEN TOTAL'!AN239</f>
        <v>0</v>
      </c>
    </row>
    <row r="236" spans="1:35" x14ac:dyDescent="0.3">
      <c r="A236" t="str">
        <f>'RESUMEN TOTAL'!A240</f>
        <v>INGENIERO ALLAN</v>
      </c>
      <c r="B236" t="str">
        <f>'RESUMEN TOTAL'!B240</f>
        <v>PUNTO SEGURO INGENIERO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 t="str">
        <f>'RESUMEN TOTAL'!K240</f>
        <v>APAGADO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>
        <f>'RESUMEN TOTAL'!U240</f>
        <v>0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>
        <f>'RESUMEN TOTAL'!AM240</f>
        <v>0</v>
      </c>
      <c r="AI236">
        <f>'RESUMEN TOTAL'!AN240</f>
        <v>0</v>
      </c>
    </row>
    <row r="237" spans="1:35" x14ac:dyDescent="0.3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>
        <f>'RESUMEN TOTAL'!U241</f>
        <v>0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>
        <f>'RESUMEN TOTAL'!AM241</f>
        <v>0</v>
      </c>
      <c r="AI237">
        <f>'RESUMEN TOTAL'!AN241</f>
        <v>0</v>
      </c>
    </row>
    <row r="238" spans="1:35" x14ac:dyDescent="0.3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>
        <f>'RESUMEN TOTAL'!AM242</f>
        <v>0</v>
      </c>
      <c r="AI238">
        <f>'RESUMEN TOTAL'!AN242</f>
        <v>0</v>
      </c>
    </row>
    <row r="239" spans="1:35" x14ac:dyDescent="0.3">
      <c r="A239" t="str">
        <f>'RESUMEN TOTAL'!A243</f>
        <v>ZONA RURAL SANTA ROSA</v>
      </c>
      <c r="B239" t="str">
        <f>'RESUMEN TOTAL'!B243</f>
        <v>PUNTO SEGURO PICO DE ORO INTERCOMUNICADOR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 t="str">
        <f>'RESUMEN TOTAL'!K243</f>
        <v>APAGADO</v>
      </c>
      <c r="G239" t="str">
        <f>'RESUMEN TOTAL'!L243</f>
        <v>APAGADO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 t="str">
        <f>'RESUMEN TOTAL'!R243</f>
        <v>APAGADO</v>
      </c>
      <c r="N239">
        <f>'RESUMEN TOTAL'!S243</f>
        <v>0</v>
      </c>
      <c r="O239" t="str">
        <f>'RESUMEN TOTAL'!T243</f>
        <v>APAGADO</v>
      </c>
      <c r="P239" t="str">
        <f>'RESUMEN TOTAL'!U243</f>
        <v>APAGADO</v>
      </c>
      <c r="Q239" t="str">
        <f>'RESUMEN TOTAL'!V243</f>
        <v>APAGADO</v>
      </c>
      <c r="R239" t="str">
        <f>'RESUMEN TOTAL'!W243</f>
        <v>APAGADO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 t="str">
        <f>'RESUMEN TOTAL'!AA243</f>
        <v>APAGADO</v>
      </c>
      <c r="W239">
        <f>'RESUMEN TOTAL'!AB243</f>
        <v>0</v>
      </c>
      <c r="X239" t="str">
        <f>'RESUMEN TOTAL'!AC243</f>
        <v>APAGADO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>
        <f>'RESUMEN TOTAL'!AM243</f>
        <v>0</v>
      </c>
      <c r="AI239">
        <f>'RESUMEN TOTAL'!AN243</f>
        <v>0</v>
      </c>
    </row>
    <row r="240" spans="1:35" x14ac:dyDescent="0.3">
      <c r="A240" t="str">
        <f>'RESUMEN TOTAL'!A244</f>
        <v>SAN JORGE</v>
      </c>
      <c r="B240" t="str">
        <f>'RESUMEN TOTAL'!B244</f>
        <v>PUNTO SEGURO SAN JORGE INTERCOMUNICADOR</v>
      </c>
      <c r="C240" t="str">
        <f>'RESUMEN TOTAL'!D244</f>
        <v>CALLE 554 Y 523</v>
      </c>
      <c r="D240" t="str">
        <f>'RESUMEN TOTAL'!E244</f>
        <v>Fija</v>
      </c>
      <c r="E240" t="str">
        <f>'RESUMEN TOTAL'!F244</f>
        <v>Fibra Optica</v>
      </c>
      <c r="F240">
        <f>'RESUMEN TOTAL'!K244</f>
        <v>0</v>
      </c>
      <c r="G240">
        <f>'RESUMEN TOTAL'!L244</f>
        <v>0</v>
      </c>
      <c r="H240">
        <f>'RESUMEN TOTAL'!M244</f>
        <v>0</v>
      </c>
      <c r="I240">
        <f>'RESUMEN TOTAL'!N244</f>
        <v>0</v>
      </c>
      <c r="J240">
        <f>'RESUMEN TOTAL'!O244</f>
        <v>0</v>
      </c>
      <c r="K240">
        <f>'RESUMEN TOTAL'!P244</f>
        <v>0</v>
      </c>
      <c r="L240">
        <f>'RESUMEN TOTAL'!Q244</f>
        <v>0</v>
      </c>
      <c r="M240">
        <f>'RESUMEN TOTAL'!R244</f>
        <v>0</v>
      </c>
      <c r="N240">
        <f>'RESUMEN TOTAL'!S244</f>
        <v>0</v>
      </c>
      <c r="O240">
        <f>'RESUMEN TOTAL'!T244</f>
        <v>0</v>
      </c>
      <c r="P240">
        <f>'RESUMEN TOTAL'!U244</f>
        <v>0</v>
      </c>
      <c r="Q240">
        <f>'RESUMEN TOTAL'!V244</f>
        <v>0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>
        <f>'RESUMEN TOTAL'!AM244</f>
        <v>0</v>
      </c>
      <c r="AI240">
        <f>'RESUMEN TOTAL'!AN244</f>
        <v>0</v>
      </c>
    </row>
    <row r="241" spans="1:35" x14ac:dyDescent="0.3">
      <c r="A241" t="str">
        <f>'RESUMEN TOTAL'!A245</f>
        <v>SAN RUDECINDO</v>
      </c>
      <c r="B241" t="str">
        <f>'RESUMEN TOTAL'!B245</f>
        <v>PUNTO SEGURO SAN RUDECINDO INTERCOMUNICADOR</v>
      </c>
      <c r="C241" t="str">
        <f>'RESUMEN TOTAL'!D245</f>
        <v>SABTA SOFIA Y ALVAR NUÃ‘EZ</v>
      </c>
      <c r="D241" t="str">
        <f>'RESUMEN TOTAL'!E245</f>
        <v>Domo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 t="str">
        <f>'RESUMEN TOTAL'!R245</f>
        <v>APAGADO</v>
      </c>
      <c r="N241" t="str">
        <f>'RESUMEN TOTAL'!S245</f>
        <v>APAGADO</v>
      </c>
      <c r="O241" t="str">
        <f>'RESUMEN TOTAL'!T245</f>
        <v>APAGADO</v>
      </c>
      <c r="P241" t="str">
        <f>'RESUMEN TOTAL'!U245</f>
        <v>APAGADO</v>
      </c>
      <c r="Q241" t="str">
        <f>'RESUMEN TOTAL'!V245</f>
        <v>APAGADO</v>
      </c>
      <c r="R241" t="str">
        <f>'RESUMEN TOTAL'!W245</f>
        <v>APAGADO</v>
      </c>
      <c r="S241" t="str">
        <f>'RESUMEN TOTAL'!X245</f>
        <v>APAGADO</v>
      </c>
      <c r="T241" t="str">
        <f>'RESUMEN TOTAL'!Y245</f>
        <v>APAGADO</v>
      </c>
      <c r="U241" t="str">
        <f>'RESUMEN TOTAL'!Z245</f>
        <v>APAGADO</v>
      </c>
      <c r="V241" t="str">
        <f>'RESUMEN TOTAL'!AA245</f>
        <v>APAGADO</v>
      </c>
      <c r="W241" t="str">
        <f>'RESUMEN TOTAL'!AB245</f>
        <v>APAGADO</v>
      </c>
      <c r="X241" t="str">
        <f>'RESUMEN TOTAL'!AC245</f>
        <v>APAGADO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>
        <f>'RESUMEN TOTAL'!AM245</f>
        <v>0</v>
      </c>
      <c r="AI241">
        <f>'RESUMEN TOTAL'!AN245</f>
        <v>0</v>
      </c>
    </row>
    <row r="242" spans="1:35" x14ac:dyDescent="0.3">
      <c r="A242" t="str">
        <f>'RESUMEN TOTAL'!A246</f>
        <v>ZONA RURAL SANTA ROSA</v>
      </c>
      <c r="B242" t="str">
        <f>'RESUMEN TOTAL'!B246</f>
        <v>PUNTO SEGURO SANTA ROSA INTERCOMUNICADOR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>
        <f>'RESUMEN TOTAL'!Y246</f>
        <v>0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>
        <f>'RESUMEN TOTAL'!AM246</f>
        <v>0</v>
      </c>
      <c r="AI242">
        <f>'RESUMEN TOTAL'!AN246</f>
        <v>0</v>
      </c>
    </row>
    <row r="243" spans="1:35" x14ac:dyDescent="0.3">
      <c r="A243" t="str">
        <f>'RESUMEN TOTAL'!A247</f>
        <v>VILLA ARGENTINA</v>
      </c>
      <c r="B243" t="str">
        <f>'RESUMEN TOTAL'!B247</f>
        <v>PUNTO SEGURO VILLA ARGENTINA INTERCOMUNICADOR</v>
      </c>
      <c r="C243" t="str">
        <f>'RESUMEN TOTAL'!D247</f>
        <v>CALLE 513 Y DIAG PORTELA</v>
      </c>
      <c r="D243" t="str">
        <f>'RESUMEN TOTAL'!E247</f>
        <v>Fija</v>
      </c>
      <c r="E243" t="str">
        <f>'RESUMEN TOTAL'!F247</f>
        <v>Fibra Optica</v>
      </c>
      <c r="F243">
        <f>'RESUMEN TOTAL'!K247</f>
        <v>0</v>
      </c>
      <c r="G243">
        <f>'RESUMEN TOTAL'!L247</f>
        <v>0</v>
      </c>
      <c r="H243">
        <f>'RESUMEN TOTAL'!M247</f>
        <v>0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>
        <f>'RESUMEN TOTAL'!AM247</f>
        <v>0</v>
      </c>
      <c r="AI243">
        <f>'RESUMEN TOTAL'!AN247</f>
        <v>0</v>
      </c>
    </row>
    <row r="244" spans="1:35" x14ac:dyDescent="0.3">
      <c r="A244" t="str">
        <f>'RESUMEN TOTAL'!A248</f>
        <v>EL ROCIO</v>
      </c>
      <c r="B244" t="str">
        <f>'RESUMEN TOTAL'!B248</f>
        <v>RCO 01</v>
      </c>
      <c r="C244" t="str">
        <f>'RESUMEN TOTAL'!D248</f>
        <v>AV. LUJAN Y LOBOS</v>
      </c>
      <c r="D244" t="str">
        <f>'RESUMEN TOTAL'!E248</f>
        <v>DOMO</v>
      </c>
      <c r="E244" t="str">
        <f>'RESUMEN TOTAL'!F248</f>
        <v>Fibra Optica</v>
      </c>
      <c r="F244" t="str">
        <f>'RESUMEN TOTAL'!K248</f>
        <v>APAGADO</v>
      </c>
      <c r="G244">
        <f>'RESUMEN TOTAL'!L248</f>
        <v>0</v>
      </c>
      <c r="H244" t="str">
        <f>'RESUMEN TOTAL'!M248</f>
        <v>APAGADO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 t="str">
        <f>'RESUMEN TOTAL'!AA248</f>
        <v>APAGADO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>
        <f>'RESUMEN TOTAL'!AM248</f>
        <v>0</v>
      </c>
      <c r="AI244">
        <f>'RESUMEN TOTAL'!AN248</f>
        <v>0</v>
      </c>
    </row>
    <row r="245" spans="1:35" x14ac:dyDescent="0.3">
      <c r="A245" t="str">
        <f>'RESUMEN TOTAL'!A249</f>
        <v>EL ROCIO</v>
      </c>
      <c r="B245" t="str">
        <f>'RESUMEN TOTAL'!B249</f>
        <v>RCO02</v>
      </c>
      <c r="C245" t="str">
        <f>'RESUMEN TOTAL'!D249</f>
        <v>AV. LUJAN Y BRANDSEN</v>
      </c>
      <c r="D245" t="str">
        <f>'RESUMEN TOTAL'!E249</f>
        <v>DOMO</v>
      </c>
      <c r="E245" t="str">
        <f>'RESUMEN TOTAL'!F249</f>
        <v>Fibra Optica</v>
      </c>
      <c r="F245" t="str">
        <f>'RESUMEN TOTAL'!K249</f>
        <v>APAGADO</v>
      </c>
      <c r="G245" t="str">
        <f>'RESUMEN TOTAL'!L249</f>
        <v>APAGADO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>
        <f>'RESUMEN TOTAL'!W249</f>
        <v>0</v>
      </c>
      <c r="S245">
        <f>'RESUMEN TOTAL'!X249</f>
        <v>0</v>
      </c>
      <c r="T245">
        <f>'RESUMEN TOTAL'!Y249</f>
        <v>0</v>
      </c>
      <c r="U245">
        <f>'RESUMEN TOTAL'!Z249</f>
        <v>0</v>
      </c>
      <c r="V245" t="str">
        <f>'RESUMEN TOTAL'!AA249</f>
        <v>APAGADO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>
        <f>'RESUMEN TOTAL'!AM249</f>
        <v>0</v>
      </c>
      <c r="AI245">
        <f>'RESUMEN TOTAL'!AN249</f>
        <v>0</v>
      </c>
    </row>
    <row r="246" spans="1:35" x14ac:dyDescent="0.3">
      <c r="A246" t="str">
        <f>'RESUMEN TOTAL'!A250</f>
        <v>EL ROCIO</v>
      </c>
      <c r="B246" t="str">
        <f>'RESUMEN TOTAL'!B250</f>
        <v>RCO03 (fija 1)</v>
      </c>
      <c r="C246" t="str">
        <f>'RESUMEN TOTAL'!D250</f>
        <v>OLAVARRIA Y CONCORDIA</v>
      </c>
      <c r="D246" t="str">
        <f>'RESUMEN TOTAL'!E250</f>
        <v>Fija</v>
      </c>
      <c r="E246" t="str">
        <f>'RESUMEN TOTAL'!F250</f>
        <v>Fibra Optica</v>
      </c>
      <c r="F246" t="str">
        <f>'RESUMEN TOTAL'!K250</f>
        <v>APAGADO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>
        <f>'RESUMEN TOTAL'!X250</f>
        <v>0</v>
      </c>
      <c r="T246">
        <f>'RESUMEN TOTAL'!Y250</f>
        <v>0</v>
      </c>
      <c r="U246">
        <f>'RESUMEN TOTAL'!Z250</f>
        <v>0</v>
      </c>
      <c r="V246" t="str">
        <f>'RESUMEN TOTAL'!AA250</f>
        <v>APAGADO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>
        <f>'RESUMEN TOTAL'!AM250</f>
        <v>0</v>
      </c>
      <c r="AI246">
        <f>'RESUMEN TOTAL'!AN250</f>
        <v>0</v>
      </c>
    </row>
    <row r="247" spans="1:35" x14ac:dyDescent="0.3">
      <c r="A247" t="str">
        <f>'RESUMEN TOTAL'!A251</f>
        <v>EL ROCIO</v>
      </c>
      <c r="B247" t="str">
        <f>'RESUMEN TOTAL'!B251</f>
        <v>RCO04 (fija 2)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 t="str">
        <f>'RESUMEN TOTAL'!K251</f>
        <v>APAGADO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 t="str">
        <f>'RESUMEN TOTAL'!AA251</f>
        <v>APAGADO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>
        <f>'RESUMEN TOTAL'!AM251</f>
        <v>0</v>
      </c>
      <c r="AI247">
        <f>'RESUMEN TOTAL'!AN251</f>
        <v>0</v>
      </c>
    </row>
    <row r="248" spans="1:35" x14ac:dyDescent="0.3">
      <c r="A248" t="str">
        <f>'RESUMEN TOTAL'!A252</f>
        <v>EL ROCIO</v>
      </c>
      <c r="B248" t="str">
        <f>'RESUMEN TOTAL'!B252</f>
        <v>RCO05 (fija 1)</v>
      </c>
      <c r="C248" t="str">
        <f>'RESUMEN TOTAL'!D252</f>
        <v>LOBOS Y CHASCOMUS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 t="str">
        <f>'RESUMEN TOTAL'!T252</f>
        <v>APAGADO</v>
      </c>
      <c r="P248" t="str">
        <f>'RESUMEN TOTAL'!U252</f>
        <v>APAGADO</v>
      </c>
      <c r="Q248" t="str">
        <f>'RESUMEN TOTAL'!V252</f>
        <v>APAGADO</v>
      </c>
      <c r="R248" t="str">
        <f>'RESUMEN TOTAL'!W252</f>
        <v>APAGADO</v>
      </c>
      <c r="S248" t="str">
        <f>'RESUMEN TOTAL'!X252</f>
        <v>APAGADO</v>
      </c>
      <c r="T248">
        <f>'RESUMEN TOTAL'!Y252</f>
        <v>0</v>
      </c>
      <c r="U248">
        <f>'RESUMEN TOTAL'!Z252</f>
        <v>0</v>
      </c>
      <c r="V248" t="str">
        <f>'RESUMEN TOTAL'!AA252</f>
        <v>APAGADO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>
        <f>'RESUMEN TOTAL'!AM252</f>
        <v>0</v>
      </c>
      <c r="AI248">
        <f>'RESUMEN TOTAL'!AN252</f>
        <v>0</v>
      </c>
    </row>
    <row r="249" spans="1:35" x14ac:dyDescent="0.3">
      <c r="A249" t="str">
        <f>'RESUMEN TOTAL'!A253</f>
        <v>EL ROCIO</v>
      </c>
      <c r="B249" t="str">
        <f>'RESUMEN TOTAL'!B253</f>
        <v>RCO06 (fija 2)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 t="str">
        <f>'RESUMEN TOTAL'!T253</f>
        <v>APAGADO</v>
      </c>
      <c r="P249" t="str">
        <f>'RESUMEN TOTAL'!U253</f>
        <v>APAGADO</v>
      </c>
      <c r="Q249" t="str">
        <f>'RESUMEN TOTAL'!V253</f>
        <v>APAGADO</v>
      </c>
      <c r="R249" t="str">
        <f>'RESUMEN TOTAL'!W253</f>
        <v>APAGADO</v>
      </c>
      <c r="S249" t="str">
        <f>'RESUMEN TOTAL'!X253</f>
        <v>APAGADO</v>
      </c>
      <c r="T249">
        <f>'RESUMEN TOTAL'!Y253</f>
        <v>0</v>
      </c>
      <c r="U249">
        <f>'RESUMEN TOTAL'!Z253</f>
        <v>0</v>
      </c>
      <c r="V249" t="str">
        <f>'RESUMEN TOTAL'!AA253</f>
        <v>APAGADO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>
        <f>'RESUMEN TOTAL'!AM253</f>
        <v>0</v>
      </c>
      <c r="AI249">
        <f>'RESUMEN TOTAL'!AN253</f>
        <v>0</v>
      </c>
    </row>
    <row r="250" spans="1:35" x14ac:dyDescent="0.3">
      <c r="A250" t="str">
        <f>'RESUMEN TOTAL'!A254</f>
        <v>RICARDO ROJAS</v>
      </c>
      <c r="B250" t="str">
        <f>'RESUMEN TOTAL'!B254</f>
        <v>RRJ01</v>
      </c>
      <c r="C250" t="str">
        <f>'RESUMEN TOTAL'!D254</f>
        <v>AV. LUJAN Y BRAGADO</v>
      </c>
      <c r="D250" t="str">
        <f>'RESUMEN TOTAL'!E254</f>
        <v>DOMO</v>
      </c>
      <c r="E250" t="str">
        <f>'RESUMEN TOTAL'!F254</f>
        <v>Fibra Optica</v>
      </c>
      <c r="F250" t="str">
        <f>'RESUMEN TOTAL'!K254</f>
        <v>APAGADO</v>
      </c>
      <c r="G250" t="str">
        <f>'RESUMEN TOTAL'!L254</f>
        <v>APAGADO</v>
      </c>
      <c r="H250" t="str">
        <f>'RESUMEN TOTAL'!M254</f>
        <v>APAGADO</v>
      </c>
      <c r="I250" t="str">
        <f>'RESUMEN TOTAL'!N254</f>
        <v>APAGADO</v>
      </c>
      <c r="J250" t="str">
        <f>'RESUMEN TOTAL'!O254</f>
        <v>APAGADO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>
        <f>'RESUMEN TOTAL'!W254</f>
        <v>0</v>
      </c>
      <c r="S250">
        <f>'RESUMEN TOTAL'!X254</f>
        <v>0</v>
      </c>
      <c r="T250">
        <f>'RESUMEN TOTAL'!Y254</f>
        <v>0</v>
      </c>
      <c r="U250">
        <f>'RESUMEN TOTAL'!Z254</f>
        <v>0</v>
      </c>
      <c r="V250" t="str">
        <f>'RESUMEN TOTAL'!AA254</f>
        <v>APAGADO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>
        <f>'RESUMEN TOTAL'!AM254</f>
        <v>0</v>
      </c>
      <c r="AI250">
        <f>'RESUMEN TOTAL'!AN254</f>
        <v>0</v>
      </c>
    </row>
    <row r="251" spans="1:35" x14ac:dyDescent="0.3">
      <c r="A251" t="str">
        <f>'RESUMEN TOTAL'!A255</f>
        <v>RICARDO ROJAS</v>
      </c>
      <c r="B251" t="str">
        <f>'RESUMEN TOTAL'!B255</f>
        <v>RRJ02</v>
      </c>
      <c r="C251" t="str">
        <f>'RESUMEN TOTAL'!D255</f>
        <v>AV. LUJAN Y DIAG. LOS POETAS</v>
      </c>
      <c r="D251" t="str">
        <f>'RESUMEN TOTAL'!E255</f>
        <v>DOMO</v>
      </c>
      <c r="E251" t="str">
        <f>'RESUMEN TOTAL'!F255</f>
        <v>Fibra Optica</v>
      </c>
      <c r="F251" t="str">
        <f>'RESUMEN TOTAL'!K255</f>
        <v>APAGADO</v>
      </c>
      <c r="G251" t="str">
        <f>'RESUMEN TOTAL'!L255</f>
        <v>APAGADO</v>
      </c>
      <c r="H251" t="str">
        <f>'RESUMEN TOTAL'!M255</f>
        <v>APAGADO</v>
      </c>
      <c r="I251" t="str">
        <f>'RESUMEN TOTAL'!N255</f>
        <v>APAGADO</v>
      </c>
      <c r="J251" t="str">
        <f>'RESUMEN TOTAL'!O255</f>
        <v>APAGADO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 t="str">
        <f>'RESUMEN TOTAL'!AA255</f>
        <v>APAGADO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>
        <f>'RESUMEN TOTAL'!AM255</f>
        <v>0</v>
      </c>
      <c r="AI251">
        <f>'RESUMEN TOTAL'!AN255</f>
        <v>0</v>
      </c>
    </row>
    <row r="252" spans="1:35" x14ac:dyDescent="0.3">
      <c r="A252" t="str">
        <f>'RESUMEN TOTAL'!A256</f>
        <v>RICARDO ROJAS</v>
      </c>
      <c r="B252" t="str">
        <f>'RESUMEN TOTAL'!B256</f>
        <v>RRJ03 (fija 1)</v>
      </c>
      <c r="C252" t="str">
        <f>'RESUMEN TOTAL'!D256</f>
        <v>RUBEN DARIO E/ FADER Y DIAG. LOS POETAS</v>
      </c>
      <c r="D252" t="str">
        <f>'RESUMEN TOTAL'!E256</f>
        <v>Fija</v>
      </c>
      <c r="E252" t="str">
        <f>'RESUMEN TOTAL'!F256</f>
        <v>Fibra Optica</v>
      </c>
      <c r="F252" t="str">
        <f>'RESUMEN TOTAL'!K256</f>
        <v>APAGADO</v>
      </c>
      <c r="G252" t="str">
        <f>'RESUMEN TOTAL'!L256</f>
        <v>APAGADO</v>
      </c>
      <c r="H252" t="str">
        <f>'RESUMEN TOTAL'!M256</f>
        <v>APAGADO</v>
      </c>
      <c r="I252" t="str">
        <f>'RESUMEN TOTAL'!N256</f>
        <v>APAGADO</v>
      </c>
      <c r="J252" t="str">
        <f>'RESUMEN TOTAL'!O256</f>
        <v>APAGADO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 t="str">
        <f>'RESUMEN TOTAL'!AA256</f>
        <v>APAGADO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>
        <f>'RESUMEN TOTAL'!AM256</f>
        <v>0</v>
      </c>
      <c r="AI252">
        <f>'RESUMEN TOTAL'!AN256</f>
        <v>0</v>
      </c>
    </row>
    <row r="253" spans="1:35" x14ac:dyDescent="0.3">
      <c r="A253" t="str">
        <f>'RESUMEN TOTAL'!A257</f>
        <v>RICARDO ROJAS</v>
      </c>
      <c r="B253" t="str">
        <f>'RESUMEN TOTAL'!B257</f>
        <v>RRJ04 (fija 2)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 t="str">
        <f>'RESUMEN TOTAL'!K257</f>
        <v>APAGADO</v>
      </c>
      <c r="G253" t="str">
        <f>'RESUMEN TOTAL'!L257</f>
        <v>APAGADO</v>
      </c>
      <c r="H253" t="str">
        <f>'RESUMEN TOTAL'!M257</f>
        <v>APAGADO</v>
      </c>
      <c r="I253" t="str">
        <f>'RESUMEN TOTAL'!N257</f>
        <v>APAGADO</v>
      </c>
      <c r="J253" t="str">
        <f>'RESUMEN TOTAL'!O257</f>
        <v>APAGADO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>
        <f>'RESUMEN TOTAL'!W257</f>
        <v>0</v>
      </c>
      <c r="S253">
        <f>'RESUMEN TOTAL'!X257</f>
        <v>0</v>
      </c>
      <c r="T253">
        <f>'RESUMEN TOTAL'!Y257</f>
        <v>0</v>
      </c>
      <c r="U253">
        <f>'RESUMEN TOTAL'!Z257</f>
        <v>0</v>
      </c>
      <c r="V253" t="str">
        <f>'RESUMEN TOTAL'!AA257</f>
        <v>APAGADO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>
        <f>'RESUMEN TOTAL'!AM257</f>
        <v>0</v>
      </c>
      <c r="AI253">
        <f>'RESUMEN TOTAL'!AN257</f>
        <v>0</v>
      </c>
    </row>
    <row r="254" spans="1:35" x14ac:dyDescent="0.3">
      <c r="A254" t="str">
        <f>'RESUMEN TOTAL'!A258</f>
        <v>RICARDO ROJAS</v>
      </c>
      <c r="B254" t="str">
        <f>'RESUMEN TOTAL'!B258</f>
        <v>RRJ 05</v>
      </c>
      <c r="C254" t="str">
        <f>'RESUMEN TOTAL'!D258</f>
        <v>LUJAN Y RUTA 36</v>
      </c>
      <c r="D254" t="str">
        <f>'RESUMEN TOTAL'!E258</f>
        <v>DOMO</v>
      </c>
      <c r="E254" t="str">
        <f>'RESUMEN TOTAL'!F258</f>
        <v>Fibra Optica</v>
      </c>
      <c r="F254" t="str">
        <f>'RESUMEN TOTAL'!K258</f>
        <v>APAGADO</v>
      </c>
      <c r="G254" t="str">
        <f>'RESUMEN TOTAL'!L258</f>
        <v>APAGADO</v>
      </c>
      <c r="H254" t="str">
        <f>'RESUMEN TOTAL'!M258</f>
        <v>APAGADO</v>
      </c>
      <c r="I254" t="str">
        <f>'RESUMEN TOTAL'!N258</f>
        <v>APAGADO</v>
      </c>
      <c r="J254" t="str">
        <f>'RESUMEN TOTAL'!O258</f>
        <v>APAGADO</v>
      </c>
      <c r="K254" t="str">
        <f>'RESUMEN TOTAL'!P258</f>
        <v>APAGADO</v>
      </c>
      <c r="L254" t="str">
        <f>'RESUMEN TOTAL'!Q258</f>
        <v>APAGADO</v>
      </c>
      <c r="M254" t="str">
        <f>'RESUMEN TOTAL'!R258</f>
        <v>APAGADO</v>
      </c>
      <c r="N254" t="str">
        <f>'RESUMEN TOTAL'!S258</f>
        <v>APAGADO</v>
      </c>
      <c r="O254" t="str">
        <f>'RESUMEN TOTAL'!T258</f>
        <v>APAGADO</v>
      </c>
      <c r="P254" t="str">
        <f>'RESUMEN TOTAL'!U258</f>
        <v>APAGADO</v>
      </c>
      <c r="Q254" t="str">
        <f>'RESUMEN TOTAL'!V258</f>
        <v>APAGADO</v>
      </c>
      <c r="R254" t="str">
        <f>'RESUMEN TOTAL'!W258</f>
        <v>APAGADO</v>
      </c>
      <c r="S254" t="str">
        <f>'RESUMEN TOTAL'!X258</f>
        <v>APAGADO</v>
      </c>
      <c r="T254" t="str">
        <f>'RESUMEN TOTAL'!Y258</f>
        <v>APAGADO</v>
      </c>
      <c r="U254">
        <f>'RESUMEN TOTAL'!Z258</f>
        <v>0</v>
      </c>
      <c r="V254" t="str">
        <f>'RESUMEN TOTAL'!AA258</f>
        <v>APAGADO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>
        <f>'RESUMEN TOTAL'!AM258</f>
        <v>0</v>
      </c>
      <c r="AI254">
        <f>'RESUMEN TOTAL'!AN258</f>
        <v>0</v>
      </c>
    </row>
    <row r="255" spans="1:35" x14ac:dyDescent="0.3">
      <c r="A255" t="str">
        <f>'RESUMEN TOTAL'!A259</f>
        <v>RICARDO ROJAS</v>
      </c>
      <c r="B255" t="str">
        <f>'RESUMEN TOTAL'!B259</f>
        <v>RRJ 06</v>
      </c>
      <c r="C255" t="str">
        <f>'RESUMEN TOTAL'!D259</f>
        <v>Constancio Vigil y Pablo Groussac</v>
      </c>
      <c r="D255" t="str">
        <f>'RESUMEN TOTAL'!E259</f>
        <v>Domo</v>
      </c>
      <c r="E255" t="str">
        <f>'RESUMEN TOTAL'!F259</f>
        <v>Fibra Optica</v>
      </c>
      <c r="F255" t="str">
        <f>'RESUMEN TOTAL'!K259</f>
        <v>APAGADO</v>
      </c>
      <c r="G255">
        <f>'RESUMEN TOTAL'!L259</f>
        <v>0</v>
      </c>
      <c r="H255" t="str">
        <f>'RESUMEN TOTAL'!M259</f>
        <v>APAGADO</v>
      </c>
      <c r="I255" t="str">
        <f>'RESUMEN TOTAL'!N259</f>
        <v>APAGADO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>
        <f>'RESUMEN TOTAL'!W259</f>
        <v>0</v>
      </c>
      <c r="S255">
        <f>'RESUMEN TOTAL'!X259</f>
        <v>0</v>
      </c>
      <c r="T255" t="str">
        <f>'RESUMEN TOTAL'!Y259</f>
        <v>APAGADO</v>
      </c>
      <c r="U255" t="str">
        <f>'RESUMEN TOTAL'!Z259</f>
        <v>APAGADO</v>
      </c>
      <c r="V255" t="str">
        <f>'RESUMEN TOTAL'!AA259</f>
        <v>APAGADO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>
        <f>'RESUMEN TOTAL'!AM259</f>
        <v>0</v>
      </c>
      <c r="AI255">
        <f>'RESUMEN TOTAL'!AN259</f>
        <v>0</v>
      </c>
    </row>
    <row r="256" spans="1:35" x14ac:dyDescent="0.3">
      <c r="A256" t="str">
        <f>'RESUMEN TOTAL'!A260</f>
        <v>RICARDO ROJAS</v>
      </c>
      <c r="B256" t="str">
        <f>'RESUMEN TOTAL'!B260</f>
        <v>RRJ 07</v>
      </c>
      <c r="C256" t="str">
        <f>'RESUMEN TOTAL'!D260</f>
        <v>Constancio Vigil y Estanislao del Campo</v>
      </c>
      <c r="D256" t="str">
        <f>'RESUMEN TOTAL'!E260</f>
        <v>Domo</v>
      </c>
      <c r="E256" t="str">
        <f>'RESUMEN TOTAL'!F260</f>
        <v>Fibra Optica</v>
      </c>
      <c r="F256" t="str">
        <f>'RESUMEN TOTAL'!K260</f>
        <v>APAGADO</v>
      </c>
      <c r="G256" t="str">
        <f>'RESUMEN TOTAL'!L260</f>
        <v>APAGADO</v>
      </c>
      <c r="H256" t="str">
        <f>'RESUMEN TOTAL'!M260</f>
        <v>APAGADO</v>
      </c>
      <c r="I256" t="str">
        <f>'RESUMEN TOTAL'!N260</f>
        <v>APAGADO</v>
      </c>
      <c r="J256" t="str">
        <f>'RESUMEN TOTAL'!O260</f>
        <v>APAGADO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>
        <f>'RESUMEN TOTAL'!W260</f>
        <v>0</v>
      </c>
      <c r="S256">
        <f>'RESUMEN TOTAL'!X260</f>
        <v>0</v>
      </c>
      <c r="T256">
        <f>'RESUMEN TOTAL'!Y260</f>
        <v>0</v>
      </c>
      <c r="U256">
        <f>'RESUMEN TOTAL'!Z260</f>
        <v>0</v>
      </c>
      <c r="V256" t="str">
        <f>'RESUMEN TOTAL'!AA260</f>
        <v>APAGADO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>
        <f>'RESUMEN TOTAL'!AF260</f>
        <v>0</v>
      </c>
      <c r="AB256">
        <f>'RESUMEN TOTAL'!AG260</f>
        <v>0</v>
      </c>
      <c r="AC256">
        <f>'RESUMEN TOTAL'!AH260</f>
        <v>0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>
        <f>'RESUMEN TOTAL'!AL260</f>
        <v>0</v>
      </c>
      <c r="AH256">
        <f>'RESUMEN TOTAL'!AM260</f>
        <v>0</v>
      </c>
      <c r="AI256">
        <f>'RESUMEN TOTAL'!AN260</f>
        <v>0</v>
      </c>
    </row>
    <row r="257" spans="1:35" x14ac:dyDescent="0.3">
      <c r="A257" t="str">
        <f>'RESUMEN TOTAL'!A261</f>
        <v>RICARDO ROJAS</v>
      </c>
      <c r="B257" t="str">
        <f>'RESUMEN TOTAL'!B261</f>
        <v>RRJ 08</v>
      </c>
      <c r="C257" t="str">
        <f>'RESUMEN TOTAL'!D261</f>
        <v>Constancio Vigil y Pablo Podesta</v>
      </c>
      <c r="D257" t="str">
        <f>'RESUMEN TOTAL'!E261</f>
        <v>Domo</v>
      </c>
      <c r="E257" t="str">
        <f>'RESUMEN TOTAL'!F261</f>
        <v>Fibra Optica</v>
      </c>
      <c r="F257" t="str">
        <f>'RESUMEN TOTAL'!K261</f>
        <v>APAGADO</v>
      </c>
      <c r="G257" t="str">
        <f>'RESUMEN TOTAL'!L261</f>
        <v>APAGADO</v>
      </c>
      <c r="H257" t="str">
        <f>'RESUMEN TOTAL'!M261</f>
        <v>APAGADO</v>
      </c>
      <c r="I257" t="str">
        <f>'RESUMEN TOTAL'!N261</f>
        <v>APAGADO</v>
      </c>
      <c r="J257" t="str">
        <f>'RESUMEN TOTAL'!O261</f>
        <v>APAGADO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>
        <f>'RESUMEN TOTAL'!W261</f>
        <v>0</v>
      </c>
      <c r="S257">
        <f>'RESUMEN TOTAL'!X261</f>
        <v>0</v>
      </c>
      <c r="T257">
        <f>'RESUMEN TOTAL'!Y261</f>
        <v>0</v>
      </c>
      <c r="U257">
        <f>'RESUMEN TOTAL'!Z261</f>
        <v>0</v>
      </c>
      <c r="V257" t="str">
        <f>'RESUMEN TOTAL'!AA261</f>
        <v>APAGADO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>
        <f>'RESUMEN TOTAL'!AF261</f>
        <v>0</v>
      </c>
      <c r="AB257">
        <f>'RESUMEN TOTAL'!AG261</f>
        <v>0</v>
      </c>
      <c r="AC257">
        <f>'RESUMEN TOTAL'!AH261</f>
        <v>0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>
        <f>'RESUMEN TOTAL'!AL261</f>
        <v>0</v>
      </c>
      <c r="AH257">
        <f>'RESUMEN TOTAL'!AM261</f>
        <v>0</v>
      </c>
      <c r="AI257">
        <f>'RESUMEN TOTAL'!AN261</f>
        <v>0</v>
      </c>
    </row>
    <row r="258" spans="1:35" x14ac:dyDescent="0.3">
      <c r="A258" t="str">
        <f>'RESUMEN TOTAL'!A262</f>
        <v>RICARDO ROJAS</v>
      </c>
      <c r="B258" t="str">
        <f>'RESUMEN TOTAL'!B262</f>
        <v>RRJ 09</v>
      </c>
      <c r="C258" t="str">
        <f>'RESUMEN TOTAL'!D262</f>
        <v>Constancio Vigil y Jose Ingeniero</v>
      </c>
      <c r="D258" t="str">
        <f>'RESUMEN TOTAL'!E262</f>
        <v>Domo</v>
      </c>
      <c r="E258" t="str">
        <f>'RESUMEN TOTAL'!F262</f>
        <v>Fibra Optica</v>
      </c>
      <c r="F258" t="str">
        <f>'RESUMEN TOTAL'!K262</f>
        <v>APAGADO</v>
      </c>
      <c r="G258" t="str">
        <f>'RESUMEN TOTAL'!L262</f>
        <v>APAGADO</v>
      </c>
      <c r="H258" t="str">
        <f>'RESUMEN TOTAL'!M262</f>
        <v>APAGADO</v>
      </c>
      <c r="I258" t="str">
        <f>'RESUMEN TOTAL'!N262</f>
        <v>APAGADO</v>
      </c>
      <c r="J258" t="str">
        <f>'RESUMEN TOTAL'!O262</f>
        <v>APAGADO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>
        <f>'RESUMEN TOTAL'!W262</f>
        <v>0</v>
      </c>
      <c r="S258">
        <f>'RESUMEN TOTAL'!X262</f>
        <v>0</v>
      </c>
      <c r="T258">
        <f>'RESUMEN TOTAL'!Y262</f>
        <v>0</v>
      </c>
      <c r="U258">
        <f>'RESUMEN TOTAL'!Z262</f>
        <v>0</v>
      </c>
      <c r="V258" t="str">
        <f>'RESUMEN TOTAL'!AA262</f>
        <v>APAGADO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>
        <f>'RESUMEN TOTAL'!AF262</f>
        <v>0</v>
      </c>
      <c r="AB258">
        <f>'RESUMEN TOTAL'!AG262</f>
        <v>0</v>
      </c>
      <c r="AC258">
        <f>'RESUMEN TOTAL'!AH262</f>
        <v>0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>
        <f>'RESUMEN TOTAL'!AL262</f>
        <v>0</v>
      </c>
      <c r="AH258">
        <f>'RESUMEN TOTAL'!AM262</f>
        <v>0</v>
      </c>
      <c r="AI258">
        <f>'RESUMEN TOTAL'!AN262</f>
        <v>0</v>
      </c>
    </row>
    <row r="259" spans="1:35" x14ac:dyDescent="0.3">
      <c r="A259" t="str">
        <f>'RESUMEN TOTAL'!A263</f>
        <v>RICARDO ROJAS</v>
      </c>
      <c r="B259" t="str">
        <f>'RESUMEN TOTAL'!B263</f>
        <v>RRJ 10</v>
      </c>
      <c r="C259" t="str">
        <f>'RESUMEN TOTAL'!D263</f>
        <v>LUGONES Y OBLIGADO</v>
      </c>
      <c r="D259" t="str">
        <f>'RESUMEN TOTAL'!E263</f>
        <v>Domo</v>
      </c>
      <c r="E259" t="str">
        <f>'RESUMEN TOTAL'!F263</f>
        <v>Fibra Optica</v>
      </c>
      <c r="F259" t="str">
        <f>'RESUMEN TOTAL'!K263</f>
        <v>APAGADO</v>
      </c>
      <c r="G259" t="str">
        <f>'RESUMEN TOTAL'!L263</f>
        <v>APAGADO</v>
      </c>
      <c r="H259" t="str">
        <f>'RESUMEN TOTAL'!M263</f>
        <v>APAGADO</v>
      </c>
      <c r="I259" t="str">
        <f>'RESUMEN TOTAL'!N263</f>
        <v>APAGADO</v>
      </c>
      <c r="J259" t="str">
        <f>'RESUMEN TOTAL'!O263</f>
        <v>APAGADO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>
        <f>'RESUMEN TOTAL'!W263</f>
        <v>0</v>
      </c>
      <c r="S259">
        <f>'RESUMEN TOTAL'!X263</f>
        <v>0</v>
      </c>
      <c r="T259">
        <f>'RESUMEN TOTAL'!Y263</f>
        <v>0</v>
      </c>
      <c r="U259">
        <f>'RESUMEN TOTAL'!Z263</f>
        <v>0</v>
      </c>
      <c r="V259" t="str">
        <f>'RESUMEN TOTAL'!AA263</f>
        <v>APAGADO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>
        <f>'RESUMEN TOTAL'!AF263</f>
        <v>0</v>
      </c>
      <c r="AB259">
        <f>'RESUMEN TOTAL'!AG263</f>
        <v>0</v>
      </c>
      <c r="AC259">
        <f>'RESUMEN TOTAL'!AH263</f>
        <v>0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>
        <f>'RESUMEN TOTAL'!AL263</f>
        <v>0</v>
      </c>
      <c r="AH259">
        <f>'RESUMEN TOTAL'!AM263</f>
        <v>0</v>
      </c>
      <c r="AI259">
        <f>'RESUMEN TOTAL'!AN263</f>
        <v>0</v>
      </c>
    </row>
    <row r="260" spans="1:35" x14ac:dyDescent="0.3">
      <c r="A260" t="str">
        <f>'RESUMEN TOTAL'!A264</f>
        <v>RICARDO ROJAS</v>
      </c>
      <c r="B260" t="str">
        <f>'RESUMEN TOTAL'!B264</f>
        <v>RRJ 11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 t="str">
        <f>'RESUMEN TOTAL'!K264</f>
        <v>APAGADO</v>
      </c>
      <c r="G260" t="str">
        <f>'RESUMEN TOTAL'!L264</f>
        <v>APAGADO</v>
      </c>
      <c r="H260" t="str">
        <f>'RESUMEN TOTAL'!M264</f>
        <v>APAGADO</v>
      </c>
      <c r="I260" t="str">
        <f>'RESUMEN TOTAL'!N264</f>
        <v>APAGADO</v>
      </c>
      <c r="J260" t="str">
        <f>'RESUMEN TOTAL'!O264</f>
        <v>APAGADO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>
        <f>'RESUMEN TOTAL'!W264</f>
        <v>0</v>
      </c>
      <c r="S260">
        <f>'RESUMEN TOTAL'!X264</f>
        <v>0</v>
      </c>
      <c r="T260">
        <f>'RESUMEN TOTAL'!Y264</f>
        <v>0</v>
      </c>
      <c r="U260">
        <f>'RESUMEN TOTAL'!Z264</f>
        <v>0</v>
      </c>
      <c r="V260" t="str">
        <f>'RESUMEN TOTAL'!AA264</f>
        <v>APAGADO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>
        <f>'RESUMEN TOTAL'!AM264</f>
        <v>0</v>
      </c>
      <c r="AI260">
        <f>'RESUMEN TOTAL'!AN264</f>
        <v>0</v>
      </c>
    </row>
    <row r="261" spans="1:35" x14ac:dyDescent="0.3">
      <c r="A261" t="str">
        <f>'RESUMEN TOTAL'!A266</f>
        <v>SANTA ANA</v>
      </c>
      <c r="B261" t="str">
        <f>'RESUMEN TOTAL'!B266</f>
        <v>SAN 02</v>
      </c>
      <c r="C261" t="str">
        <f>'RESUMEN TOTAL'!D266</f>
        <v>HUDSON Y SUIPACHA</v>
      </c>
      <c r="D261" t="str">
        <f>'RESUMEN TOTAL'!E266</f>
        <v>Fija 2</v>
      </c>
      <c r="E261" t="str">
        <f>'RESUMEN TOTAL'!F266</f>
        <v>Fibra Optica</v>
      </c>
      <c r="F261">
        <f>'RESUMEN TOTAL'!K266</f>
        <v>0</v>
      </c>
      <c r="G261">
        <f>'RESUMEN TOTAL'!L266</f>
        <v>0</v>
      </c>
      <c r="H261">
        <f>'RESUMEN TOTAL'!M266</f>
        <v>0</v>
      </c>
      <c r="I261">
        <f>'RESUMEN TOTAL'!N266</f>
        <v>0</v>
      </c>
      <c r="J261">
        <f>'RESUMEN TOTAL'!O266</f>
        <v>0</v>
      </c>
      <c r="K261">
        <f>'RESUMEN TOTAL'!P266</f>
        <v>0</v>
      </c>
      <c r="L261">
        <f>'RESUMEN TOTAL'!Q266</f>
        <v>0</v>
      </c>
      <c r="M261">
        <f>'RESUMEN TOTAL'!R266</f>
        <v>0</v>
      </c>
      <c r="N261">
        <f>'RESUMEN TOTAL'!S266</f>
        <v>0</v>
      </c>
      <c r="O261">
        <f>'RESUMEN TOTAL'!T266</f>
        <v>0</v>
      </c>
      <c r="P261">
        <f>'RESUMEN TOTAL'!U266</f>
        <v>0</v>
      </c>
      <c r="Q261">
        <f>'RESUMEN TOTAL'!V266</f>
        <v>0</v>
      </c>
      <c r="R261">
        <f>'RESUMEN TOTAL'!W266</f>
        <v>0</v>
      </c>
      <c r="S261">
        <f>'RESUMEN TOTAL'!X266</f>
        <v>0</v>
      </c>
      <c r="T261">
        <f>'RESUMEN TOTAL'!Y266</f>
        <v>0</v>
      </c>
      <c r="U261">
        <f>'RESUMEN TOTAL'!Z266</f>
        <v>0</v>
      </c>
      <c r="V261">
        <f>'RESUMEN TOTAL'!AA266</f>
        <v>0</v>
      </c>
      <c r="W261">
        <f>'RESUMEN TOTAL'!AB266</f>
        <v>0</v>
      </c>
      <c r="X261">
        <f>'RESUMEN TOTAL'!AC266</f>
        <v>0</v>
      </c>
      <c r="Y261">
        <f>'RESUMEN TOTAL'!AD266</f>
        <v>0</v>
      </c>
      <c r="Z261">
        <f>'RESUMEN TOTAL'!AE266</f>
        <v>0</v>
      </c>
      <c r="AA261">
        <f>'RESUMEN TOTAL'!AF266</f>
        <v>0</v>
      </c>
      <c r="AB261">
        <f>'RESUMEN TOTAL'!AG266</f>
        <v>0</v>
      </c>
      <c r="AC261">
        <f>'RESUMEN TOTAL'!AH266</f>
        <v>0</v>
      </c>
      <c r="AD261">
        <f>'RESUMEN TOTAL'!AI266</f>
        <v>0</v>
      </c>
      <c r="AE261">
        <f>'RESUMEN TOTAL'!AJ266</f>
        <v>0</v>
      </c>
      <c r="AF261">
        <f>'RESUMEN TOTAL'!AK266</f>
        <v>0</v>
      </c>
      <c r="AG261">
        <f>'RESUMEN TOTAL'!AL266</f>
        <v>0</v>
      </c>
      <c r="AH261">
        <f>'RESUMEN TOTAL'!AM266</f>
        <v>0</v>
      </c>
      <c r="AI261">
        <f>'RESUMEN TOTAL'!AN266</f>
        <v>0</v>
      </c>
    </row>
    <row r="262" spans="1:35" x14ac:dyDescent="0.3">
      <c r="A262" t="str">
        <f>'RESUMEN TOTAL'!A267</f>
        <v>SANTA ANA</v>
      </c>
      <c r="B262" t="str">
        <f>'RESUMEN TOTAL'!B267</f>
        <v>SAN01</v>
      </c>
      <c r="C262" t="str">
        <f>'RESUMEN TOTAL'!D267</f>
        <v>HUDSON Y SUIPACHA</v>
      </c>
      <c r="D262" t="str">
        <f>'RESUMEN TOTAL'!E267</f>
        <v>Fija 1</v>
      </c>
      <c r="E262" t="str">
        <f>'RESUMEN TOTAL'!F267</f>
        <v>Fibra Optica</v>
      </c>
      <c r="F262">
        <f>'RESUMEN TOTAL'!K267</f>
        <v>0</v>
      </c>
      <c r="G262">
        <f>'RESUMEN TOTAL'!L267</f>
        <v>0</v>
      </c>
      <c r="H262">
        <f>'RESUMEN TOTAL'!M267</f>
        <v>0</v>
      </c>
      <c r="I262">
        <f>'RESUMEN TOTAL'!N267</f>
        <v>0</v>
      </c>
      <c r="J262">
        <f>'RESUMEN TOTAL'!O267</f>
        <v>0</v>
      </c>
      <c r="K262">
        <f>'RESUMEN TOTAL'!P267</f>
        <v>0</v>
      </c>
      <c r="L262">
        <f>'RESUMEN TOTAL'!Q267</f>
        <v>0</v>
      </c>
      <c r="M262">
        <f>'RESUMEN TOTAL'!R267</f>
        <v>0</v>
      </c>
      <c r="N262">
        <f>'RESUMEN TOTAL'!S267</f>
        <v>0</v>
      </c>
      <c r="O262">
        <f>'RESUMEN TOTAL'!T267</f>
        <v>0</v>
      </c>
      <c r="P262">
        <f>'RESUMEN TOTAL'!U267</f>
        <v>0</v>
      </c>
      <c r="Q262">
        <f>'RESUMEN TOTAL'!V267</f>
        <v>0</v>
      </c>
      <c r="R262">
        <f>'RESUMEN TOTAL'!W267</f>
        <v>0</v>
      </c>
      <c r="S262">
        <f>'RESUMEN TOTAL'!X267</f>
        <v>0</v>
      </c>
      <c r="T262">
        <f>'RESUMEN TOTAL'!Y267</f>
        <v>0</v>
      </c>
      <c r="U262">
        <f>'RESUMEN TOTAL'!Z267</f>
        <v>0</v>
      </c>
      <c r="V262">
        <f>'RESUMEN TOTAL'!AA267</f>
        <v>0</v>
      </c>
      <c r="W262">
        <f>'RESUMEN TOTAL'!AB267</f>
        <v>0</v>
      </c>
      <c r="X262">
        <f>'RESUMEN TOTAL'!AC267</f>
        <v>0</v>
      </c>
      <c r="Y262">
        <f>'RESUMEN TOTAL'!AD267</f>
        <v>0</v>
      </c>
      <c r="Z262">
        <f>'RESUMEN TOTAL'!AE267</f>
        <v>0</v>
      </c>
      <c r="AA262">
        <f>'RESUMEN TOTAL'!AF267</f>
        <v>0</v>
      </c>
      <c r="AB262">
        <f>'RESUMEN TOTAL'!AG267</f>
        <v>0</v>
      </c>
      <c r="AC262">
        <f>'RESUMEN TOTAL'!AH267</f>
        <v>0</v>
      </c>
      <c r="AD262">
        <f>'RESUMEN TOTAL'!AI267</f>
        <v>0</v>
      </c>
      <c r="AE262">
        <f>'RESUMEN TOTAL'!AJ267</f>
        <v>0</v>
      </c>
      <c r="AF262">
        <f>'RESUMEN TOTAL'!AK267</f>
        <v>0</v>
      </c>
      <c r="AG262">
        <f>'RESUMEN TOTAL'!AL267</f>
        <v>0</v>
      </c>
      <c r="AH262">
        <f>'RESUMEN TOTAL'!AM267</f>
        <v>0</v>
      </c>
      <c r="AI262">
        <f>'RESUMEN TOTAL'!AN267</f>
        <v>0</v>
      </c>
    </row>
    <row r="263" spans="1:35" x14ac:dyDescent="0.3">
      <c r="A263" t="str">
        <f>'RESUMEN TOTAL'!A268</f>
        <v>PRESIDENTE SARMIENTO</v>
      </c>
      <c r="B263" t="str">
        <f>'RESUMEN TOTAL'!B268</f>
        <v>SAR01</v>
      </c>
      <c r="C263" t="str">
        <f>'RESUMEN TOTAL'!D268</f>
        <v>Storni Y Sanchez de Loria</v>
      </c>
      <c r="D263" t="str">
        <f>'RESUMEN TOTAL'!E268</f>
        <v>Domo</v>
      </c>
      <c r="E263" t="str">
        <f>'RESUMEN TOTAL'!F268</f>
        <v>Fibra Optica</v>
      </c>
      <c r="F263" t="str">
        <f>'RESUMEN TOTAL'!K268</f>
        <v>APAGADO</v>
      </c>
      <c r="G263" t="str">
        <f>'RESUMEN TOTAL'!L268</f>
        <v>APAGADO</v>
      </c>
      <c r="H263" t="str">
        <f>'RESUMEN TOTAL'!M268</f>
        <v>APAGADO</v>
      </c>
      <c r="I263" t="str">
        <f>'RESUMEN TOTAL'!N268</f>
        <v>APAGADO</v>
      </c>
      <c r="J263" t="str">
        <f>'RESUMEN TOTAL'!O268</f>
        <v>APAGADO</v>
      </c>
      <c r="K263" t="str">
        <f>'RESUMEN TOTAL'!P268</f>
        <v>APAGADO</v>
      </c>
      <c r="L263" t="str">
        <f>'RESUMEN TOTAL'!Q268</f>
        <v>APAGADO</v>
      </c>
      <c r="M263" t="str">
        <f>'RESUMEN TOTAL'!R268</f>
        <v>APAGADO</v>
      </c>
      <c r="N263" t="str">
        <f>'RESUMEN TOTAL'!S268</f>
        <v>APAGADO</v>
      </c>
      <c r="O263" t="str">
        <f>'RESUMEN TOTAL'!T268</f>
        <v>APAGADO</v>
      </c>
      <c r="P263" t="str">
        <f>'RESUMEN TOTAL'!U268</f>
        <v>APAGADO</v>
      </c>
      <c r="Q263" t="str">
        <f>'RESUMEN TOTAL'!V268</f>
        <v>APAGADO</v>
      </c>
      <c r="R263" t="str">
        <f>'RESUMEN TOTAL'!W268</f>
        <v>APAGADO</v>
      </c>
      <c r="S263" t="str">
        <f>'RESUMEN TOTAL'!X268</f>
        <v>APAGADO</v>
      </c>
      <c r="T263">
        <f>'RESUMEN TOTAL'!Y268</f>
        <v>0</v>
      </c>
      <c r="U263">
        <f>'RESUMEN TOTAL'!Z268</f>
        <v>0</v>
      </c>
      <c r="V263">
        <f>'RESUMEN TOTAL'!AA268</f>
        <v>0</v>
      </c>
      <c r="W263">
        <f>'RESUMEN TOTAL'!AB268</f>
        <v>0</v>
      </c>
      <c r="X263">
        <f>'RESUMEN TOTAL'!AC268</f>
        <v>0</v>
      </c>
      <c r="Y263">
        <f>'RESUMEN TOTAL'!AD268</f>
        <v>0</v>
      </c>
      <c r="Z263">
        <f>'RESUMEN TOTAL'!AE268</f>
        <v>0</v>
      </c>
      <c r="AA263">
        <f>'RESUMEN TOTAL'!AF268</f>
        <v>0</v>
      </c>
      <c r="AB263">
        <f>'RESUMEN TOTAL'!AG268</f>
        <v>0</v>
      </c>
      <c r="AC263">
        <f>'RESUMEN TOTAL'!AH268</f>
        <v>0</v>
      </c>
      <c r="AD263">
        <f>'RESUMEN TOTAL'!AI268</f>
        <v>0</v>
      </c>
      <c r="AE263">
        <f>'RESUMEN TOTAL'!AJ268</f>
        <v>0</v>
      </c>
      <c r="AF263">
        <f>'RESUMEN TOTAL'!AK268</f>
        <v>0</v>
      </c>
      <c r="AG263">
        <f>'RESUMEN TOTAL'!AL268</f>
        <v>0</v>
      </c>
      <c r="AH263">
        <f>'RESUMEN TOTAL'!AM268</f>
        <v>0</v>
      </c>
      <c r="AI263">
        <f>'RESUMEN TOTAL'!AN268</f>
        <v>0</v>
      </c>
    </row>
    <row r="264" spans="1:35" x14ac:dyDescent="0.3">
      <c r="A264" t="str">
        <f>'RESUMEN TOTAL'!A269</f>
        <v>PRESIDENTE SARMIENTO</v>
      </c>
      <c r="B264" t="str">
        <f>'RESUMEN TOTAL'!B269</f>
        <v>SAR 02 (fija 1)</v>
      </c>
      <c r="C264" t="str">
        <f>'RESUMEN TOTAL'!D269</f>
        <v>DARDO ROCHA Y GABRIELA MISTRAL</v>
      </c>
      <c r="D264" t="str">
        <f>'RESUMEN TOTAL'!E269</f>
        <v>Fija</v>
      </c>
      <c r="E264" t="str">
        <f>'RESUMEN TOTAL'!F269</f>
        <v>Fibra Optica</v>
      </c>
      <c r="F264" t="str">
        <f>'RESUMEN TOTAL'!K269</f>
        <v>APAGADO</v>
      </c>
      <c r="G264" t="str">
        <f>'RESUMEN TOTAL'!L269</f>
        <v>APAGADO</v>
      </c>
      <c r="H264" t="str">
        <f>'RESUMEN TOTAL'!M269</f>
        <v>APAGADO</v>
      </c>
      <c r="I264" t="str">
        <f>'RESUMEN TOTAL'!N269</f>
        <v>APAGADO</v>
      </c>
      <c r="J264" t="str">
        <f>'RESUMEN TOTAL'!O269</f>
        <v>APAGADO</v>
      </c>
      <c r="K264" t="str">
        <f>'RESUMEN TOTAL'!P269</f>
        <v>APAGADO</v>
      </c>
      <c r="L264" t="str">
        <f>'RESUMEN TOTAL'!Q269</f>
        <v>APAGADO</v>
      </c>
      <c r="M264" t="str">
        <f>'RESUMEN TOTAL'!R269</f>
        <v>APAGADO</v>
      </c>
      <c r="N264" t="str">
        <f>'RESUMEN TOTAL'!S269</f>
        <v>APAGADO</v>
      </c>
      <c r="O264" t="str">
        <f>'RESUMEN TOTAL'!T269</f>
        <v>APAGADO</v>
      </c>
      <c r="P264" t="str">
        <f>'RESUMEN TOTAL'!U269</f>
        <v>APAGADO</v>
      </c>
      <c r="Q264" t="str">
        <f>'RESUMEN TOTAL'!V269</f>
        <v>APAGADO</v>
      </c>
      <c r="R264" t="str">
        <f>'RESUMEN TOTAL'!W269</f>
        <v>APAGADO</v>
      </c>
      <c r="S264" t="str">
        <f>'RESUMEN TOTAL'!X269</f>
        <v>APAGADO</v>
      </c>
      <c r="T264" t="str">
        <f>'RESUMEN TOTAL'!Y269</f>
        <v>APAGADO</v>
      </c>
      <c r="U264" t="str">
        <f>'RESUMEN TOTAL'!Z269</f>
        <v>APAGADO</v>
      </c>
      <c r="V264" t="str">
        <f>'RESUMEN TOTAL'!AA269</f>
        <v>APAGADO</v>
      </c>
      <c r="W264" t="str">
        <f>'RESUMEN TOTAL'!AB269</f>
        <v>APAGADO</v>
      </c>
      <c r="X264" t="str">
        <f>'RESUMEN TOTAL'!AC269</f>
        <v>APAGADO</v>
      </c>
      <c r="Y264">
        <f>'RESUMEN TOTAL'!AD269</f>
        <v>0</v>
      </c>
      <c r="Z264">
        <f>'RESUMEN TOTAL'!AE269</f>
        <v>0</v>
      </c>
      <c r="AA264">
        <f>'RESUMEN TOTAL'!AF269</f>
        <v>0</v>
      </c>
      <c r="AB264">
        <f>'RESUMEN TOTAL'!AG269</f>
        <v>0</v>
      </c>
      <c r="AC264">
        <f>'RESUMEN TOTAL'!AH269</f>
        <v>0</v>
      </c>
      <c r="AD264">
        <f>'RESUMEN TOTAL'!AI269</f>
        <v>0</v>
      </c>
      <c r="AE264">
        <f>'RESUMEN TOTAL'!AJ269</f>
        <v>0</v>
      </c>
      <c r="AF264">
        <f>'RESUMEN TOTAL'!AK269</f>
        <v>0</v>
      </c>
      <c r="AG264">
        <f>'RESUMEN TOTAL'!AL269</f>
        <v>0</v>
      </c>
      <c r="AH264">
        <f>'RESUMEN TOTAL'!AM269</f>
        <v>0</v>
      </c>
      <c r="AI264">
        <f>'RESUMEN TOTAL'!AN269</f>
        <v>0</v>
      </c>
    </row>
    <row r="265" spans="1:35" x14ac:dyDescent="0.3">
      <c r="A265" t="str">
        <f>'RESUMEN TOTAL'!A270</f>
        <v>PRESIDENTE SARMIENTO</v>
      </c>
      <c r="B265" t="str">
        <f>'RESUMEN TOTAL'!B270</f>
        <v>SAR 03 (fija 2)</v>
      </c>
      <c r="C265" t="str">
        <f>'RESUMEN TOTAL'!D270</f>
        <v>DARDO ROCHA Y GABRIELA MISTRAL</v>
      </c>
      <c r="D265" t="str">
        <f>'RESUMEN TOTAL'!E270</f>
        <v>Fija</v>
      </c>
      <c r="E265" t="str">
        <f>'RESUMEN TOTAL'!F270</f>
        <v>Fibra Optica</v>
      </c>
      <c r="F265" t="str">
        <f>'RESUMEN TOTAL'!K270</f>
        <v>APAGADO</v>
      </c>
      <c r="G265" t="str">
        <f>'RESUMEN TOTAL'!L270</f>
        <v>APAGADO</v>
      </c>
      <c r="H265" t="str">
        <f>'RESUMEN TOTAL'!M270</f>
        <v>APAGADO</v>
      </c>
      <c r="I265" t="str">
        <f>'RESUMEN TOTAL'!N270</f>
        <v>APAGADO</v>
      </c>
      <c r="J265" t="str">
        <f>'RESUMEN TOTAL'!O270</f>
        <v>APAGADO</v>
      </c>
      <c r="K265" t="str">
        <f>'RESUMEN TOTAL'!P270</f>
        <v>APAGADO</v>
      </c>
      <c r="L265" t="str">
        <f>'RESUMEN TOTAL'!Q270</f>
        <v>APAGADO</v>
      </c>
      <c r="M265" t="str">
        <f>'RESUMEN TOTAL'!R270</f>
        <v>APAGADO</v>
      </c>
      <c r="N265" t="str">
        <f>'RESUMEN TOTAL'!S270</f>
        <v>APAGADO</v>
      </c>
      <c r="O265" t="str">
        <f>'RESUMEN TOTAL'!T270</f>
        <v>APAGADO</v>
      </c>
      <c r="P265" t="str">
        <f>'RESUMEN TOTAL'!U270</f>
        <v>APAGADO</v>
      </c>
      <c r="Q265" t="str">
        <f>'RESUMEN TOTAL'!V270</f>
        <v>APAGADO</v>
      </c>
      <c r="R265" t="str">
        <f>'RESUMEN TOTAL'!W270</f>
        <v>APAGADO</v>
      </c>
      <c r="S265" t="str">
        <f>'RESUMEN TOTAL'!X270</f>
        <v>APAGADO</v>
      </c>
      <c r="T265" t="str">
        <f>'RESUMEN TOTAL'!Y270</f>
        <v>APAGADO</v>
      </c>
      <c r="U265" t="str">
        <f>'RESUMEN TOTAL'!Z270</f>
        <v>APAGADO</v>
      </c>
      <c r="V265" t="str">
        <f>'RESUMEN TOTAL'!AA270</f>
        <v>APAGADO</v>
      </c>
      <c r="W265" t="str">
        <f>'RESUMEN TOTAL'!AB270</f>
        <v>APAGADO</v>
      </c>
      <c r="X265" t="str">
        <f>'RESUMEN TOTAL'!AC270</f>
        <v>APAGADO</v>
      </c>
      <c r="Y265">
        <f>'RESUMEN TOTAL'!AD270</f>
        <v>0</v>
      </c>
      <c r="Z265">
        <f>'RESUMEN TOTAL'!AE270</f>
        <v>0</v>
      </c>
      <c r="AA265">
        <f>'RESUMEN TOTAL'!AF270</f>
        <v>0</v>
      </c>
      <c r="AB265">
        <f>'RESUMEN TOTAL'!AG270</f>
        <v>0</v>
      </c>
      <c r="AC265">
        <f>'RESUMEN TOTAL'!AH270</f>
        <v>0</v>
      </c>
      <c r="AD265">
        <f>'RESUMEN TOTAL'!AI270</f>
        <v>0</v>
      </c>
      <c r="AE265">
        <f>'RESUMEN TOTAL'!AJ270</f>
        <v>0</v>
      </c>
      <c r="AF265">
        <f>'RESUMEN TOTAL'!AK270</f>
        <v>0</v>
      </c>
      <c r="AG265">
        <f>'RESUMEN TOTAL'!AL270</f>
        <v>0</v>
      </c>
      <c r="AH265">
        <f>'RESUMEN TOTAL'!AM270</f>
        <v>0</v>
      </c>
      <c r="AI265">
        <f>'RESUMEN TOTAL'!AN270</f>
        <v>0</v>
      </c>
    </row>
    <row r="266" spans="1:35" x14ac:dyDescent="0.3">
      <c r="A266" t="str">
        <f>'RESUMEN TOTAL'!A271</f>
        <v>PRESIDENTE SARMIENTO</v>
      </c>
      <c r="B266" t="str">
        <f>'RESUMEN TOTAL'!B271</f>
        <v>SAR 04</v>
      </c>
      <c r="C266" t="str">
        <f>'RESUMEN TOTAL'!D271</f>
        <v>MONTES DE OCA Y ALVARADO</v>
      </c>
      <c r="D266" t="str">
        <f>'RESUMEN TOTAL'!E271</f>
        <v>Domo</v>
      </c>
      <c r="E266" t="str">
        <f>'RESUMEN TOTAL'!F271</f>
        <v>Fibra Optica</v>
      </c>
      <c r="F266">
        <f>'RESUMEN TOTAL'!K271</f>
        <v>0</v>
      </c>
      <c r="G266">
        <f>'RESUMEN TOTAL'!L271</f>
        <v>0</v>
      </c>
      <c r="H266">
        <f>'RESUMEN TOTAL'!M271</f>
        <v>0</v>
      </c>
      <c r="I266">
        <f>'RESUMEN TOTAL'!N271</f>
        <v>0</v>
      </c>
      <c r="J266">
        <f>'RESUMEN TOTAL'!O271</f>
        <v>0</v>
      </c>
      <c r="K266">
        <f>'RESUMEN TOTAL'!P271</f>
        <v>0</v>
      </c>
      <c r="L266">
        <f>'RESUMEN TOTAL'!Q271</f>
        <v>0</v>
      </c>
      <c r="M266">
        <f>'RESUMEN TOTAL'!R271</f>
        <v>0</v>
      </c>
      <c r="N266">
        <f>'RESUMEN TOTAL'!S271</f>
        <v>0</v>
      </c>
      <c r="O266">
        <f>'RESUMEN TOTAL'!T271</f>
        <v>0</v>
      </c>
      <c r="P266">
        <f>'RESUMEN TOTAL'!U271</f>
        <v>0</v>
      </c>
      <c r="Q266">
        <f>'RESUMEN TOTAL'!V271</f>
        <v>0</v>
      </c>
      <c r="R266">
        <f>'RESUMEN TOTAL'!W271</f>
        <v>0</v>
      </c>
      <c r="S266">
        <f>'RESUMEN TOTAL'!X271</f>
        <v>0</v>
      </c>
      <c r="T266">
        <f>'RESUMEN TOTAL'!Y271</f>
        <v>0</v>
      </c>
      <c r="U266">
        <f>'RESUMEN TOTAL'!Z271</f>
        <v>0</v>
      </c>
      <c r="V266">
        <f>'RESUMEN TOTAL'!AA271</f>
        <v>0</v>
      </c>
      <c r="W266">
        <f>'RESUMEN TOTAL'!AB271</f>
        <v>0</v>
      </c>
      <c r="X266">
        <f>'RESUMEN TOTAL'!AC271</f>
        <v>0</v>
      </c>
      <c r="Y266">
        <f>'RESUMEN TOTAL'!AD271</f>
        <v>0</v>
      </c>
      <c r="Z266">
        <f>'RESUMEN TOTAL'!AE271</f>
        <v>0</v>
      </c>
      <c r="AA266">
        <f>'RESUMEN TOTAL'!AF271</f>
        <v>0</v>
      </c>
      <c r="AB266">
        <f>'RESUMEN TOTAL'!AG271</f>
        <v>0</v>
      </c>
      <c r="AC266">
        <f>'RESUMEN TOTAL'!AH271</f>
        <v>0</v>
      </c>
      <c r="AD266">
        <f>'RESUMEN TOTAL'!AI271</f>
        <v>0</v>
      </c>
      <c r="AE266">
        <f>'RESUMEN TOTAL'!AJ271</f>
        <v>0</v>
      </c>
      <c r="AF266">
        <f>'RESUMEN TOTAL'!AK271</f>
        <v>0</v>
      </c>
      <c r="AG266">
        <f>'RESUMEN TOTAL'!AL271</f>
        <v>0</v>
      </c>
      <c r="AH266">
        <f>'RESUMEN TOTAL'!AM271</f>
        <v>0</v>
      </c>
      <c r="AI266">
        <f>'RESUMEN TOTAL'!AN271</f>
        <v>0</v>
      </c>
    </row>
    <row r="267" spans="1:35" x14ac:dyDescent="0.3">
      <c r="A267" t="str">
        <f>'RESUMEN TOTAL'!A272</f>
        <v>PRESIDENTE SARMIENTO</v>
      </c>
      <c r="B267" t="str">
        <f>'RESUMEN TOTAL'!B272</f>
        <v>SAR 05</v>
      </c>
      <c r="C267" t="str">
        <f>'RESUMEN TOTAL'!D272</f>
        <v>ALVARADO Y ROCHA</v>
      </c>
      <c r="D267" t="str">
        <f>'RESUMEN TOTAL'!E272</f>
        <v>Domo</v>
      </c>
      <c r="E267" t="str">
        <f>'RESUMEN TOTAL'!F272</f>
        <v>Fibra Optica</v>
      </c>
      <c r="F267">
        <f>'RESUMEN TOTAL'!K272</f>
        <v>0</v>
      </c>
      <c r="G267">
        <f>'RESUMEN TOTAL'!L272</f>
        <v>0</v>
      </c>
      <c r="H267">
        <f>'RESUMEN TOTAL'!M272</f>
        <v>0</v>
      </c>
      <c r="I267">
        <f>'RESUMEN TOTAL'!N272</f>
        <v>0</v>
      </c>
      <c r="J267">
        <f>'RESUMEN TOTAL'!O272</f>
        <v>0</v>
      </c>
      <c r="K267">
        <f>'RESUMEN TOTAL'!P272</f>
        <v>0</v>
      </c>
      <c r="L267">
        <f>'RESUMEN TOTAL'!Q272</f>
        <v>0</v>
      </c>
      <c r="M267">
        <f>'RESUMEN TOTAL'!R272</f>
        <v>0</v>
      </c>
      <c r="N267">
        <f>'RESUMEN TOTAL'!S272</f>
        <v>0</v>
      </c>
      <c r="O267">
        <f>'RESUMEN TOTAL'!T272</f>
        <v>0</v>
      </c>
      <c r="P267">
        <f>'RESUMEN TOTAL'!U272</f>
        <v>0</v>
      </c>
      <c r="Q267">
        <f>'RESUMEN TOTAL'!V272</f>
        <v>0</v>
      </c>
      <c r="R267">
        <f>'RESUMEN TOTAL'!W272</f>
        <v>0</v>
      </c>
      <c r="S267">
        <f>'RESUMEN TOTAL'!X272</f>
        <v>0</v>
      </c>
      <c r="T267">
        <f>'RESUMEN TOTAL'!Y272</f>
        <v>0</v>
      </c>
      <c r="U267">
        <f>'RESUMEN TOTAL'!Z272</f>
        <v>0</v>
      </c>
      <c r="V267">
        <f>'RESUMEN TOTAL'!AA272</f>
        <v>0</v>
      </c>
      <c r="W267">
        <f>'RESUMEN TOTAL'!AB272</f>
        <v>0</v>
      </c>
      <c r="X267">
        <f>'RESUMEN TOTAL'!AC272</f>
        <v>0</v>
      </c>
      <c r="Y267">
        <f>'RESUMEN TOTAL'!AD272</f>
        <v>0</v>
      </c>
      <c r="Z267">
        <f>'RESUMEN TOTAL'!AE272</f>
        <v>0</v>
      </c>
      <c r="AA267">
        <f>'RESUMEN TOTAL'!AF272</f>
        <v>0</v>
      </c>
      <c r="AB267">
        <f>'RESUMEN TOTAL'!AG272</f>
        <v>0</v>
      </c>
      <c r="AC267">
        <f>'RESUMEN TOTAL'!AH272</f>
        <v>0</v>
      </c>
      <c r="AD267">
        <f>'RESUMEN TOTAL'!AI272</f>
        <v>0</v>
      </c>
      <c r="AE267">
        <f>'RESUMEN TOTAL'!AJ272</f>
        <v>0</v>
      </c>
      <c r="AF267">
        <f>'RESUMEN TOTAL'!AK272</f>
        <v>0</v>
      </c>
      <c r="AG267">
        <f>'RESUMEN TOTAL'!AL272</f>
        <v>0</v>
      </c>
      <c r="AH267">
        <f>'RESUMEN TOTAL'!AM272</f>
        <v>0</v>
      </c>
      <c r="AI267">
        <f>'RESUMEN TOTAL'!AN272</f>
        <v>0</v>
      </c>
    </row>
    <row r="268" spans="1:35" x14ac:dyDescent="0.3">
      <c r="A268" t="str">
        <f>'RESUMEN TOTAL'!A273</f>
        <v>PRESIDENTE SARMIENTO</v>
      </c>
      <c r="B268" t="str">
        <f>'RESUMEN TOTAL'!B273</f>
        <v>SAR 06</v>
      </c>
      <c r="C268" t="str">
        <f>'RESUMEN TOTAL'!D273</f>
        <v>Necochea y Lorenzini</v>
      </c>
      <c r="D268" t="str">
        <f>'RESUMEN TOTAL'!E273</f>
        <v>Fija</v>
      </c>
      <c r="E268" t="str">
        <f>'RESUMEN TOTAL'!F273</f>
        <v>Fibra Optica</v>
      </c>
      <c r="F268">
        <f>'RESUMEN TOTAL'!K273</f>
        <v>0</v>
      </c>
      <c r="G268">
        <f>'RESUMEN TOTAL'!L273</f>
        <v>0</v>
      </c>
      <c r="H268">
        <f>'RESUMEN TOTAL'!M273</f>
        <v>0</v>
      </c>
      <c r="I268">
        <f>'RESUMEN TOTAL'!N273</f>
        <v>0</v>
      </c>
      <c r="J268">
        <f>'RESUMEN TOTAL'!O273</f>
        <v>0</v>
      </c>
      <c r="K268">
        <f>'RESUMEN TOTAL'!P273</f>
        <v>0</v>
      </c>
      <c r="L268">
        <f>'RESUMEN TOTAL'!Q273</f>
        <v>0</v>
      </c>
      <c r="M268">
        <f>'RESUMEN TOTAL'!R273</f>
        <v>0</v>
      </c>
      <c r="N268">
        <f>'RESUMEN TOTAL'!S273</f>
        <v>0</v>
      </c>
      <c r="O268">
        <f>'RESUMEN TOTAL'!T273</f>
        <v>0</v>
      </c>
      <c r="P268">
        <f>'RESUMEN TOTAL'!U273</f>
        <v>0</v>
      </c>
      <c r="Q268">
        <f>'RESUMEN TOTAL'!V273</f>
        <v>0</v>
      </c>
      <c r="R268">
        <f>'RESUMEN TOTAL'!W273</f>
        <v>0</v>
      </c>
      <c r="S268">
        <f>'RESUMEN TOTAL'!X273</f>
        <v>0</v>
      </c>
      <c r="T268">
        <f>'RESUMEN TOTAL'!Y273</f>
        <v>0</v>
      </c>
      <c r="U268">
        <f>'RESUMEN TOTAL'!Z273</f>
        <v>0</v>
      </c>
      <c r="V268">
        <f>'RESUMEN TOTAL'!AA273</f>
        <v>0</v>
      </c>
      <c r="W268">
        <f>'RESUMEN TOTAL'!AB273</f>
        <v>0</v>
      </c>
      <c r="X268">
        <f>'RESUMEN TOTAL'!AC273</f>
        <v>0</v>
      </c>
      <c r="Y268">
        <f>'RESUMEN TOTAL'!AD273</f>
        <v>0</v>
      </c>
      <c r="Z268">
        <f>'RESUMEN TOTAL'!AE273</f>
        <v>0</v>
      </c>
      <c r="AA268">
        <f>'RESUMEN TOTAL'!AF273</f>
        <v>0</v>
      </c>
      <c r="AB268">
        <f>'RESUMEN TOTAL'!AG273</f>
        <v>0</v>
      </c>
      <c r="AC268">
        <f>'RESUMEN TOTAL'!AH273</f>
        <v>0</v>
      </c>
      <c r="AD268">
        <f>'RESUMEN TOTAL'!AI273</f>
        <v>0</v>
      </c>
      <c r="AE268">
        <f>'RESUMEN TOTAL'!AJ273</f>
        <v>0</v>
      </c>
      <c r="AF268">
        <f>'RESUMEN TOTAL'!AK273</f>
        <v>0</v>
      </c>
      <c r="AG268">
        <f>'RESUMEN TOTAL'!AL273</f>
        <v>0</v>
      </c>
      <c r="AH268">
        <f>'RESUMEN TOTAL'!AM273</f>
        <v>0</v>
      </c>
      <c r="AI268">
        <f>'RESUMEN TOTAL'!AN273</f>
        <v>0</v>
      </c>
    </row>
    <row r="269" spans="1:35" x14ac:dyDescent="0.3">
      <c r="A269" t="str">
        <f>'RESUMEN TOTAL'!A274</f>
        <v>PRESIDENTE SARMIENTO</v>
      </c>
      <c r="B269" t="str">
        <f>'RESUMEN TOTAL'!B274</f>
        <v>SAR 07</v>
      </c>
      <c r="C269" t="str">
        <f>'RESUMEN TOTAL'!D274</f>
        <v>Necochea y Lorenzini</v>
      </c>
      <c r="D269" t="str">
        <f>'RESUMEN TOTAL'!E274</f>
        <v>Fija</v>
      </c>
      <c r="E269" t="str">
        <f>'RESUMEN TOTAL'!F274</f>
        <v>Fibra Optica</v>
      </c>
      <c r="F269">
        <f>'RESUMEN TOTAL'!K274</f>
        <v>0</v>
      </c>
      <c r="G269">
        <f>'RESUMEN TOTAL'!L274</f>
        <v>0</v>
      </c>
      <c r="H269">
        <f>'RESUMEN TOTAL'!M274</f>
        <v>0</v>
      </c>
      <c r="I269">
        <f>'RESUMEN TOTAL'!N274</f>
        <v>0</v>
      </c>
      <c r="J269">
        <f>'RESUMEN TOTAL'!O274</f>
        <v>0</v>
      </c>
      <c r="K269">
        <f>'RESUMEN TOTAL'!P274</f>
        <v>0</v>
      </c>
      <c r="L269">
        <f>'RESUMEN TOTAL'!Q274</f>
        <v>0</v>
      </c>
      <c r="M269">
        <f>'RESUMEN TOTAL'!R274</f>
        <v>0</v>
      </c>
      <c r="N269">
        <f>'RESUMEN TOTAL'!S274</f>
        <v>0</v>
      </c>
      <c r="O269">
        <f>'RESUMEN TOTAL'!T274</f>
        <v>0</v>
      </c>
      <c r="P269">
        <f>'RESUMEN TOTAL'!U274</f>
        <v>0</v>
      </c>
      <c r="Q269">
        <f>'RESUMEN TOTAL'!V274</f>
        <v>0</v>
      </c>
      <c r="R269">
        <f>'RESUMEN TOTAL'!W274</f>
        <v>0</v>
      </c>
      <c r="S269">
        <f>'RESUMEN TOTAL'!X274</f>
        <v>0</v>
      </c>
      <c r="T269">
        <f>'RESUMEN TOTAL'!Y274</f>
        <v>0</v>
      </c>
      <c r="U269">
        <f>'RESUMEN TOTAL'!Z274</f>
        <v>0</v>
      </c>
      <c r="V269">
        <f>'RESUMEN TOTAL'!AA274</f>
        <v>0</v>
      </c>
      <c r="W269">
        <f>'RESUMEN TOTAL'!AB274</f>
        <v>0</v>
      </c>
      <c r="X269">
        <f>'RESUMEN TOTAL'!AC274</f>
        <v>0</v>
      </c>
      <c r="Y269">
        <f>'RESUMEN TOTAL'!AD274</f>
        <v>0</v>
      </c>
      <c r="Z269">
        <f>'RESUMEN TOTAL'!AE274</f>
        <v>0</v>
      </c>
      <c r="AA269">
        <f>'RESUMEN TOTAL'!AF274</f>
        <v>0</v>
      </c>
      <c r="AB269">
        <f>'RESUMEN TOTAL'!AG274</f>
        <v>0</v>
      </c>
      <c r="AC269">
        <f>'RESUMEN TOTAL'!AH274</f>
        <v>0</v>
      </c>
      <c r="AD269">
        <f>'RESUMEN TOTAL'!AI274</f>
        <v>0</v>
      </c>
      <c r="AE269">
        <f>'RESUMEN TOTAL'!AJ274</f>
        <v>0</v>
      </c>
      <c r="AF269">
        <f>'RESUMEN TOTAL'!AK274</f>
        <v>0</v>
      </c>
      <c r="AG269">
        <f>'RESUMEN TOTAL'!AL274</f>
        <v>0</v>
      </c>
      <c r="AH269">
        <f>'RESUMEN TOTAL'!AM274</f>
        <v>0</v>
      </c>
      <c r="AI269">
        <f>'RESUMEN TOTAL'!AN274</f>
        <v>0</v>
      </c>
    </row>
    <row r="270" spans="1:35" x14ac:dyDescent="0.3">
      <c r="A270" t="str">
        <f>'RESUMEN TOTAL'!A275</f>
        <v>PRESIDENTE SARMIENTO</v>
      </c>
      <c r="B270" t="str">
        <f>'RESUMEN TOTAL'!B275</f>
        <v>SAR 08</v>
      </c>
      <c r="C270" t="str">
        <f>'RESUMEN TOTAL'!D275</f>
        <v>Necochea y Montes de Oca</v>
      </c>
      <c r="D270" t="str">
        <f>'RESUMEN TOTAL'!E275</f>
        <v>Fija</v>
      </c>
      <c r="E270" t="str">
        <f>'RESUMEN TOTAL'!F275</f>
        <v>Fibra Optica</v>
      </c>
      <c r="F270">
        <f>'RESUMEN TOTAL'!K275</f>
        <v>0</v>
      </c>
      <c r="G270">
        <f>'RESUMEN TOTAL'!L275</f>
        <v>0</v>
      </c>
      <c r="H270">
        <f>'RESUMEN TOTAL'!M275</f>
        <v>0</v>
      </c>
      <c r="I270">
        <f>'RESUMEN TOTAL'!N275</f>
        <v>0</v>
      </c>
      <c r="J270">
        <f>'RESUMEN TOTAL'!O275</f>
        <v>0</v>
      </c>
      <c r="K270">
        <f>'RESUMEN TOTAL'!P275</f>
        <v>0</v>
      </c>
      <c r="L270">
        <f>'RESUMEN TOTAL'!Q275</f>
        <v>0</v>
      </c>
      <c r="M270">
        <f>'RESUMEN TOTAL'!R275</f>
        <v>0</v>
      </c>
      <c r="N270">
        <f>'RESUMEN TOTAL'!S275</f>
        <v>0</v>
      </c>
      <c r="O270">
        <f>'RESUMEN TOTAL'!T275</f>
        <v>0</v>
      </c>
      <c r="P270">
        <f>'RESUMEN TOTAL'!U275</f>
        <v>0</v>
      </c>
      <c r="Q270">
        <f>'RESUMEN TOTAL'!V275</f>
        <v>0</v>
      </c>
      <c r="R270">
        <f>'RESUMEN TOTAL'!W275</f>
        <v>0</v>
      </c>
      <c r="S270">
        <f>'RESUMEN TOTAL'!X275</f>
        <v>0</v>
      </c>
      <c r="T270">
        <f>'RESUMEN TOTAL'!Y275</f>
        <v>0</v>
      </c>
      <c r="U270">
        <f>'RESUMEN TOTAL'!Z275</f>
        <v>0</v>
      </c>
      <c r="V270">
        <f>'RESUMEN TOTAL'!AA275</f>
        <v>0</v>
      </c>
      <c r="W270">
        <f>'RESUMEN TOTAL'!AB275</f>
        <v>0</v>
      </c>
      <c r="X270">
        <f>'RESUMEN TOTAL'!AC275</f>
        <v>0</v>
      </c>
      <c r="Y270">
        <f>'RESUMEN TOTAL'!AD275</f>
        <v>0</v>
      </c>
      <c r="Z270">
        <f>'RESUMEN TOTAL'!AE275</f>
        <v>0</v>
      </c>
      <c r="AA270">
        <f>'RESUMEN TOTAL'!AF275</f>
        <v>0</v>
      </c>
      <c r="AB270">
        <f>'RESUMEN TOTAL'!AG275</f>
        <v>0</v>
      </c>
      <c r="AC270">
        <f>'RESUMEN TOTAL'!AH275</f>
        <v>0</v>
      </c>
      <c r="AD270">
        <f>'RESUMEN TOTAL'!AI275</f>
        <v>0</v>
      </c>
      <c r="AE270">
        <f>'RESUMEN TOTAL'!AJ275</f>
        <v>0</v>
      </c>
      <c r="AF270">
        <f>'RESUMEN TOTAL'!AK275</f>
        <v>0</v>
      </c>
      <c r="AG270">
        <f>'RESUMEN TOTAL'!AL275</f>
        <v>0</v>
      </c>
      <c r="AH270">
        <f>'RESUMEN TOTAL'!AM275</f>
        <v>0</v>
      </c>
      <c r="AI270">
        <f>'RESUMEN TOTAL'!AN275</f>
        <v>0</v>
      </c>
    </row>
    <row r="271" spans="1:35" x14ac:dyDescent="0.3">
      <c r="A271" t="str">
        <f>'RESUMEN TOTAL'!A276</f>
        <v>PRESIDENTE SARMIENTO</v>
      </c>
      <c r="B271" t="str">
        <f>'RESUMEN TOTAL'!B276</f>
        <v>SAR 09</v>
      </c>
      <c r="C271" t="str">
        <f>'RESUMEN TOTAL'!D276</f>
        <v>Necochea y Montes de Oca</v>
      </c>
      <c r="D271" t="str">
        <f>'RESUMEN TOTAL'!E276</f>
        <v>Fija</v>
      </c>
      <c r="E271" t="str">
        <f>'RESUMEN TOTAL'!F276</f>
        <v>Fibra Optica</v>
      </c>
      <c r="F271">
        <f>'RESUMEN TOTAL'!K276</f>
        <v>0</v>
      </c>
      <c r="G271">
        <f>'RESUMEN TOTAL'!L276</f>
        <v>0</v>
      </c>
      <c r="H271">
        <f>'RESUMEN TOTAL'!M276</f>
        <v>0</v>
      </c>
      <c r="I271">
        <f>'RESUMEN TOTAL'!N276</f>
        <v>0</v>
      </c>
      <c r="J271">
        <f>'RESUMEN TOTAL'!O276</f>
        <v>0</v>
      </c>
      <c r="K271">
        <f>'RESUMEN TOTAL'!P276</f>
        <v>0</v>
      </c>
      <c r="L271">
        <f>'RESUMEN TOTAL'!Q276</f>
        <v>0</v>
      </c>
      <c r="M271">
        <f>'RESUMEN TOTAL'!R276</f>
        <v>0</v>
      </c>
      <c r="N271">
        <f>'RESUMEN TOTAL'!S276</f>
        <v>0</v>
      </c>
      <c r="O271">
        <f>'RESUMEN TOTAL'!T276</f>
        <v>0</v>
      </c>
      <c r="P271">
        <f>'RESUMEN TOTAL'!U276</f>
        <v>0</v>
      </c>
      <c r="Q271">
        <f>'RESUMEN TOTAL'!V276</f>
        <v>0</v>
      </c>
      <c r="R271">
        <f>'RESUMEN TOTAL'!W276</f>
        <v>0</v>
      </c>
      <c r="S271">
        <f>'RESUMEN TOTAL'!X276</f>
        <v>0</v>
      </c>
      <c r="T271">
        <f>'RESUMEN TOTAL'!Y276</f>
        <v>0</v>
      </c>
      <c r="U271">
        <f>'RESUMEN TOTAL'!Z276</f>
        <v>0</v>
      </c>
      <c r="V271">
        <f>'RESUMEN TOTAL'!AA276</f>
        <v>0</v>
      </c>
      <c r="W271">
        <f>'RESUMEN TOTAL'!AB276</f>
        <v>0</v>
      </c>
      <c r="X271">
        <f>'RESUMEN TOTAL'!AC276</f>
        <v>0</v>
      </c>
      <c r="Y271">
        <f>'RESUMEN TOTAL'!AD276</f>
        <v>0</v>
      </c>
      <c r="Z271">
        <f>'RESUMEN TOTAL'!AE276</f>
        <v>0</v>
      </c>
      <c r="AA271">
        <f>'RESUMEN TOTAL'!AF276</f>
        <v>0</v>
      </c>
      <c r="AB271">
        <f>'RESUMEN TOTAL'!AG276</f>
        <v>0</v>
      </c>
      <c r="AC271">
        <f>'RESUMEN TOTAL'!AH276</f>
        <v>0</v>
      </c>
      <c r="AD271">
        <f>'RESUMEN TOTAL'!AI276</f>
        <v>0</v>
      </c>
      <c r="AE271">
        <f>'RESUMEN TOTAL'!AJ276</f>
        <v>0</v>
      </c>
      <c r="AF271">
        <f>'RESUMEN TOTAL'!AK276</f>
        <v>0</v>
      </c>
      <c r="AG271">
        <f>'RESUMEN TOTAL'!AL276</f>
        <v>0</v>
      </c>
      <c r="AH271">
        <f>'RESUMEN TOTAL'!AM276</f>
        <v>0</v>
      </c>
      <c r="AI271">
        <f>'RESUMEN TOTAL'!AN276</f>
        <v>0</v>
      </c>
    </row>
    <row r="272" spans="1:35" x14ac:dyDescent="0.3">
      <c r="A272" t="str">
        <f>'RESUMEN TOTAL'!A277</f>
        <v>SAN EDUARDO</v>
      </c>
      <c r="B272" t="str">
        <f>'RESUMEN TOTAL'!B277</f>
        <v>SEDU01</v>
      </c>
      <c r="C272" t="str">
        <f>'RESUMEN TOTAL'!D277</f>
        <v>San Martin y Sperandio</v>
      </c>
      <c r="D272" t="str">
        <f>'RESUMEN TOTAL'!E277</f>
        <v>Domo</v>
      </c>
      <c r="E272" t="str">
        <f>'RESUMEN TOTAL'!F277</f>
        <v>Fibra Optica</v>
      </c>
      <c r="F272" t="str">
        <f>'RESUMEN TOTAL'!K277</f>
        <v>APAGADO</v>
      </c>
      <c r="G272" t="str">
        <f>'RESUMEN TOTAL'!L277</f>
        <v>APAGADO</v>
      </c>
      <c r="H272" t="str">
        <f>'RESUMEN TOTAL'!M277</f>
        <v>APAGADO</v>
      </c>
      <c r="I272" t="str">
        <f>'RESUMEN TOTAL'!N277</f>
        <v>APAGADO</v>
      </c>
      <c r="J272" t="str">
        <f>'RESUMEN TOTAL'!O277</f>
        <v>APAGADO</v>
      </c>
      <c r="K272" t="str">
        <f>'RESUMEN TOTAL'!P277</f>
        <v>APAGADO</v>
      </c>
      <c r="L272" t="str">
        <f>'RESUMEN TOTAL'!Q277</f>
        <v>APAGADO</v>
      </c>
      <c r="M272">
        <f>'RESUMEN TOTAL'!R277</f>
        <v>0</v>
      </c>
      <c r="N272">
        <f>'RESUMEN TOTAL'!S277</f>
        <v>0</v>
      </c>
      <c r="O272">
        <f>'RESUMEN TOTAL'!T277</f>
        <v>0</v>
      </c>
      <c r="P272">
        <f>'RESUMEN TOTAL'!U277</f>
        <v>0</v>
      </c>
      <c r="Q272">
        <f>'RESUMEN TOTAL'!V277</f>
        <v>0</v>
      </c>
      <c r="R272">
        <f>'RESUMEN TOTAL'!W277</f>
        <v>0</v>
      </c>
      <c r="S272">
        <f>'RESUMEN TOTAL'!X277</f>
        <v>0</v>
      </c>
      <c r="T272">
        <f>'RESUMEN TOTAL'!Y277</f>
        <v>0</v>
      </c>
      <c r="U272">
        <f>'RESUMEN TOTAL'!Z277</f>
        <v>0</v>
      </c>
      <c r="V272">
        <f>'RESUMEN TOTAL'!AA277</f>
        <v>0</v>
      </c>
      <c r="W272">
        <f>'RESUMEN TOTAL'!AB277</f>
        <v>0</v>
      </c>
      <c r="X272">
        <f>'RESUMEN TOTAL'!AC277</f>
        <v>0</v>
      </c>
      <c r="Y272">
        <f>'RESUMEN TOTAL'!AD277</f>
        <v>0</v>
      </c>
      <c r="Z272">
        <f>'RESUMEN TOTAL'!AE277</f>
        <v>0</v>
      </c>
      <c r="AA272">
        <f>'RESUMEN TOTAL'!AF277</f>
        <v>0</v>
      </c>
      <c r="AB272">
        <f>'RESUMEN TOTAL'!AG277</f>
        <v>0</v>
      </c>
      <c r="AC272">
        <f>'RESUMEN TOTAL'!AH277</f>
        <v>0</v>
      </c>
      <c r="AD272">
        <f>'RESUMEN TOTAL'!AI277</f>
        <v>0</v>
      </c>
      <c r="AE272">
        <f>'RESUMEN TOTAL'!AJ277</f>
        <v>0</v>
      </c>
      <c r="AF272">
        <f>'RESUMEN TOTAL'!AK277</f>
        <v>0</v>
      </c>
      <c r="AG272">
        <f>'RESUMEN TOTAL'!AL277</f>
        <v>0</v>
      </c>
      <c r="AH272">
        <f>'RESUMEN TOTAL'!AM277</f>
        <v>0</v>
      </c>
      <c r="AI272">
        <f>'RESUMEN TOTAL'!AN277</f>
        <v>0</v>
      </c>
    </row>
    <row r="273" spans="1:35" x14ac:dyDescent="0.3">
      <c r="A273" t="str">
        <f>'RESUMEN TOTAL'!A278</f>
        <v>SAN EDUARDO</v>
      </c>
      <c r="B273" t="str">
        <f>'RESUMEN TOTAL'!B278</f>
        <v>SEDU02</v>
      </c>
      <c r="C273" t="str">
        <f>'RESUMEN TOTAL'!D278</f>
        <v>Curva de Berraymundo</v>
      </c>
      <c r="D273" t="str">
        <f>'RESUMEN TOTAL'!E278</f>
        <v>Domo</v>
      </c>
      <c r="E273" t="str">
        <f>'RESUMEN TOTAL'!F278</f>
        <v>Fibra Optica</v>
      </c>
      <c r="F273">
        <f>'RESUMEN TOTAL'!K278</f>
        <v>0</v>
      </c>
      <c r="G273">
        <f>'RESUMEN TOTAL'!L278</f>
        <v>0</v>
      </c>
      <c r="H273">
        <f>'RESUMEN TOTAL'!M278</f>
        <v>0</v>
      </c>
      <c r="I273" t="str">
        <f>'RESUMEN TOTAL'!N278</f>
        <v>APAGADO</v>
      </c>
      <c r="J273">
        <f>'RESUMEN TOTAL'!O278</f>
        <v>0</v>
      </c>
      <c r="K273">
        <f>'RESUMEN TOTAL'!P278</f>
        <v>0</v>
      </c>
      <c r="L273">
        <f>'RESUMEN TOTAL'!Q278</f>
        <v>0</v>
      </c>
      <c r="M273">
        <f>'RESUMEN TOTAL'!R278</f>
        <v>0</v>
      </c>
      <c r="N273">
        <f>'RESUMEN TOTAL'!S278</f>
        <v>0</v>
      </c>
      <c r="O273">
        <f>'RESUMEN TOTAL'!T278</f>
        <v>0</v>
      </c>
      <c r="P273">
        <f>'RESUMEN TOTAL'!U278</f>
        <v>0</v>
      </c>
      <c r="Q273">
        <f>'RESUMEN TOTAL'!V278</f>
        <v>0</v>
      </c>
      <c r="R273">
        <f>'RESUMEN TOTAL'!W278</f>
        <v>0</v>
      </c>
      <c r="S273">
        <f>'RESUMEN TOTAL'!X278</f>
        <v>0</v>
      </c>
      <c r="T273">
        <f>'RESUMEN TOTAL'!Y278</f>
        <v>0</v>
      </c>
      <c r="U273">
        <f>'RESUMEN TOTAL'!Z278</f>
        <v>0</v>
      </c>
      <c r="V273">
        <f>'RESUMEN TOTAL'!AA278</f>
        <v>0</v>
      </c>
      <c r="W273">
        <f>'RESUMEN TOTAL'!AB278</f>
        <v>0</v>
      </c>
      <c r="X273">
        <f>'RESUMEN TOTAL'!AC278</f>
        <v>0</v>
      </c>
      <c r="Y273">
        <f>'RESUMEN TOTAL'!AD278</f>
        <v>0</v>
      </c>
      <c r="Z273">
        <f>'RESUMEN TOTAL'!AE278</f>
        <v>0</v>
      </c>
      <c r="AA273">
        <f>'RESUMEN TOTAL'!AF278</f>
        <v>0</v>
      </c>
      <c r="AB273">
        <f>'RESUMEN TOTAL'!AG278</f>
        <v>0</v>
      </c>
      <c r="AC273">
        <f>'RESUMEN TOTAL'!AH278</f>
        <v>0</v>
      </c>
      <c r="AD273">
        <f>'RESUMEN TOTAL'!AI278</f>
        <v>0</v>
      </c>
      <c r="AE273">
        <f>'RESUMEN TOTAL'!AJ278</f>
        <v>0</v>
      </c>
      <c r="AF273">
        <f>'RESUMEN TOTAL'!AK278</f>
        <v>0</v>
      </c>
      <c r="AG273">
        <f>'RESUMEN TOTAL'!AL278</f>
        <v>0</v>
      </c>
      <c r="AH273">
        <f>'RESUMEN TOTAL'!AM278</f>
        <v>0</v>
      </c>
      <c r="AI273">
        <f>'RESUMEN TOTAL'!AN278</f>
        <v>0</v>
      </c>
    </row>
    <row r="274" spans="1:35" x14ac:dyDescent="0.3">
      <c r="A274" t="str">
        <f>'RESUMEN TOTAL'!A279</f>
        <v>VILLA CIRIO</v>
      </c>
      <c r="B274" t="str">
        <f>'RESUMEN TOTAL'!B279</f>
        <v>SEDU03</v>
      </c>
      <c r="C274" t="str">
        <f>'RESUMEN TOTAL'!D279</f>
        <v>Av. San Martin y Las Americas</v>
      </c>
      <c r="D274" t="str">
        <f>'RESUMEN TOTAL'!E279</f>
        <v>Domo</v>
      </c>
      <c r="E274" t="str">
        <f>'RESUMEN TOTAL'!F279</f>
        <v>Radio</v>
      </c>
      <c r="F274">
        <f>'RESUMEN TOTAL'!K279</f>
        <v>0</v>
      </c>
      <c r="G274">
        <f>'RESUMEN TOTAL'!L279</f>
        <v>0</v>
      </c>
      <c r="H274">
        <f>'RESUMEN TOTAL'!M279</f>
        <v>0</v>
      </c>
      <c r="I274">
        <f>'RESUMEN TOTAL'!N279</f>
        <v>0</v>
      </c>
      <c r="J274">
        <f>'RESUMEN TOTAL'!O279</f>
        <v>0</v>
      </c>
      <c r="K274">
        <f>'RESUMEN TOTAL'!P279</f>
        <v>0</v>
      </c>
      <c r="L274">
        <f>'RESUMEN TOTAL'!Q279</f>
        <v>0</v>
      </c>
      <c r="M274">
        <f>'RESUMEN TOTAL'!R279</f>
        <v>0</v>
      </c>
      <c r="N274">
        <f>'RESUMEN TOTAL'!S279</f>
        <v>0</v>
      </c>
      <c r="O274">
        <f>'RESUMEN TOTAL'!T279</f>
        <v>0</v>
      </c>
      <c r="P274">
        <f>'RESUMEN TOTAL'!U279</f>
        <v>0</v>
      </c>
      <c r="Q274">
        <f>'RESUMEN TOTAL'!V279</f>
        <v>0</v>
      </c>
      <c r="R274">
        <f>'RESUMEN TOTAL'!W279</f>
        <v>0</v>
      </c>
      <c r="S274">
        <f>'RESUMEN TOTAL'!X279</f>
        <v>0</v>
      </c>
      <c r="T274">
        <f>'RESUMEN TOTAL'!Y279</f>
        <v>0</v>
      </c>
      <c r="U274">
        <f>'RESUMEN TOTAL'!Z279</f>
        <v>0</v>
      </c>
      <c r="V274">
        <f>'RESUMEN TOTAL'!AA279</f>
        <v>0</v>
      </c>
      <c r="W274">
        <f>'RESUMEN TOTAL'!AB279</f>
        <v>0</v>
      </c>
      <c r="X274">
        <f>'RESUMEN TOTAL'!AC279</f>
        <v>0</v>
      </c>
      <c r="Y274">
        <f>'RESUMEN TOTAL'!AD279</f>
        <v>0</v>
      </c>
      <c r="Z274">
        <f>'RESUMEN TOTAL'!AE279</f>
        <v>0</v>
      </c>
      <c r="AA274">
        <f>'RESUMEN TOTAL'!AF279</f>
        <v>0</v>
      </c>
      <c r="AB274">
        <f>'RESUMEN TOTAL'!AG279</f>
        <v>0</v>
      </c>
      <c r="AC274">
        <f>'RESUMEN TOTAL'!AH279</f>
        <v>0</v>
      </c>
      <c r="AD274">
        <f>'RESUMEN TOTAL'!AI279</f>
        <v>0</v>
      </c>
      <c r="AE274">
        <f>'RESUMEN TOTAL'!AJ279</f>
        <v>0</v>
      </c>
      <c r="AF274">
        <f>'RESUMEN TOTAL'!AK279</f>
        <v>0</v>
      </c>
      <c r="AG274">
        <f>'RESUMEN TOTAL'!AL279</f>
        <v>0</v>
      </c>
      <c r="AH274">
        <f>'RESUMEN TOTAL'!AM279</f>
        <v>0</v>
      </c>
      <c r="AI274">
        <f>'RESUMEN TOTAL'!AN279</f>
        <v>0</v>
      </c>
    </row>
    <row r="275" spans="1:35" x14ac:dyDescent="0.3">
      <c r="A275" t="str">
        <f>'RESUMEN TOTAL'!A280</f>
        <v>SAN EMILIO</v>
      </c>
      <c r="B275" t="str">
        <f>'RESUMEN TOTAL'!B280</f>
        <v>SEMI01</v>
      </c>
      <c r="C275" t="str">
        <f>'RESUMEN TOTAL'!D280</f>
        <v>San Martin y Av. del Trabajo</v>
      </c>
      <c r="D275" t="str">
        <f>'RESUMEN TOTAL'!E280</f>
        <v>Domo</v>
      </c>
      <c r="E275" t="str">
        <f>'RESUMEN TOTAL'!F280</f>
        <v>Fibra Optica</v>
      </c>
      <c r="F275">
        <f>'RESUMEN TOTAL'!K280</f>
        <v>0</v>
      </c>
      <c r="G275">
        <f>'RESUMEN TOTAL'!L280</f>
        <v>0</v>
      </c>
      <c r="H275">
        <f>'RESUMEN TOTAL'!M280</f>
        <v>0</v>
      </c>
      <c r="I275">
        <f>'RESUMEN TOTAL'!N280</f>
        <v>0</v>
      </c>
      <c r="J275">
        <f>'RESUMEN TOTAL'!O280</f>
        <v>0</v>
      </c>
      <c r="K275">
        <f>'RESUMEN TOTAL'!P280</f>
        <v>0</v>
      </c>
      <c r="L275">
        <f>'RESUMEN TOTAL'!Q280</f>
        <v>0</v>
      </c>
      <c r="M275">
        <f>'RESUMEN TOTAL'!R280</f>
        <v>0</v>
      </c>
      <c r="N275">
        <f>'RESUMEN TOTAL'!S280</f>
        <v>0</v>
      </c>
      <c r="O275">
        <f>'RESUMEN TOTAL'!T280</f>
        <v>0</v>
      </c>
      <c r="P275">
        <f>'RESUMEN TOTAL'!U280</f>
        <v>0</v>
      </c>
      <c r="Q275">
        <f>'RESUMEN TOTAL'!V280</f>
        <v>0</v>
      </c>
      <c r="R275">
        <f>'RESUMEN TOTAL'!W280</f>
        <v>0</v>
      </c>
      <c r="S275">
        <f>'RESUMEN TOTAL'!X280</f>
        <v>0</v>
      </c>
      <c r="T275">
        <f>'RESUMEN TOTAL'!Y280</f>
        <v>0</v>
      </c>
      <c r="U275">
        <f>'RESUMEN TOTAL'!Z280</f>
        <v>0</v>
      </c>
      <c r="V275">
        <f>'RESUMEN TOTAL'!AA280</f>
        <v>0</v>
      </c>
      <c r="W275">
        <f>'RESUMEN TOTAL'!AB280</f>
        <v>0</v>
      </c>
      <c r="X275">
        <f>'RESUMEN TOTAL'!AC280</f>
        <v>0</v>
      </c>
      <c r="Y275">
        <f>'RESUMEN TOTAL'!AD280</f>
        <v>0</v>
      </c>
      <c r="Z275">
        <f>'RESUMEN TOTAL'!AE280</f>
        <v>0</v>
      </c>
      <c r="AA275">
        <f>'RESUMEN TOTAL'!AF280</f>
        <v>0</v>
      </c>
      <c r="AB275">
        <f>'RESUMEN TOTAL'!AG280</f>
        <v>0</v>
      </c>
      <c r="AC275">
        <f>'RESUMEN TOTAL'!AH280</f>
        <v>0</v>
      </c>
      <c r="AD275">
        <f>'RESUMEN TOTAL'!AI280</f>
        <v>0</v>
      </c>
      <c r="AE275">
        <f>'RESUMEN TOTAL'!AJ280</f>
        <v>0</v>
      </c>
      <c r="AF275">
        <f>'RESUMEN TOTAL'!AK280</f>
        <v>0</v>
      </c>
      <c r="AG275">
        <f>'RESUMEN TOTAL'!AL280</f>
        <v>0</v>
      </c>
      <c r="AH275">
        <f>'RESUMEN TOTAL'!AM280</f>
        <v>0</v>
      </c>
      <c r="AI275">
        <f>'RESUMEN TOTAL'!AN280</f>
        <v>0</v>
      </c>
    </row>
    <row r="276" spans="1:35" x14ac:dyDescent="0.3">
      <c r="A276" t="str">
        <f>'RESUMEN TOTAL'!A281</f>
        <v>SAN EMILIO</v>
      </c>
      <c r="B276" t="str">
        <f>'RESUMEN TOTAL'!B281</f>
        <v>SEMI 02</v>
      </c>
      <c r="C276" t="str">
        <f>'RESUMEN TOTAL'!D281</f>
        <v>Cno. Gral. Belgrano y Francia</v>
      </c>
      <c r="D276" t="str">
        <f>'RESUMEN TOTAL'!E281</f>
        <v>Domo</v>
      </c>
      <c r="E276" t="str">
        <f>'RESUMEN TOTAL'!F281</f>
        <v>FIBRA OPTICA</v>
      </c>
      <c r="F276" t="str">
        <f>'RESUMEN TOTAL'!K281</f>
        <v>APAGADO</v>
      </c>
      <c r="G276" t="str">
        <f>'RESUMEN TOTAL'!L281</f>
        <v>APAGADO</v>
      </c>
      <c r="H276" t="str">
        <f>'RESUMEN TOTAL'!M281</f>
        <v>APAGADO</v>
      </c>
      <c r="I276">
        <f>'RESUMEN TOTAL'!N281</f>
        <v>0</v>
      </c>
      <c r="J276" t="str">
        <f>'RESUMEN TOTAL'!O281</f>
        <v>APAGADO</v>
      </c>
      <c r="K276" t="str">
        <f>'RESUMEN TOTAL'!P281</f>
        <v>APAGADO</v>
      </c>
      <c r="L276" t="str">
        <f>'RESUMEN TOTAL'!Q281</f>
        <v>APAGADO</v>
      </c>
      <c r="M276" t="str">
        <f>'RESUMEN TOTAL'!R281</f>
        <v>APAGADO</v>
      </c>
      <c r="N276" t="str">
        <f>'RESUMEN TOTAL'!S281</f>
        <v>APAGADO</v>
      </c>
      <c r="O276" t="str">
        <f>'RESUMEN TOTAL'!T281</f>
        <v>APAGADO</v>
      </c>
      <c r="P276" t="str">
        <f>'RESUMEN TOTAL'!U281</f>
        <v>APAGADO</v>
      </c>
      <c r="Q276" t="str">
        <f>'RESUMEN TOTAL'!V281</f>
        <v>APAGADO</v>
      </c>
      <c r="R276" t="str">
        <f>'RESUMEN TOTAL'!W281</f>
        <v>APAGADO</v>
      </c>
      <c r="S276" t="str">
        <f>'RESUMEN TOTAL'!X281</f>
        <v>APAGADO</v>
      </c>
      <c r="T276" t="str">
        <f>'RESUMEN TOTAL'!Y281</f>
        <v>APAGADO</v>
      </c>
      <c r="U276">
        <f>'RESUMEN TOTAL'!Z281</f>
        <v>0</v>
      </c>
      <c r="V276">
        <f>'RESUMEN TOTAL'!AA281</f>
        <v>0</v>
      </c>
      <c r="W276">
        <f>'RESUMEN TOTAL'!AB281</f>
        <v>0</v>
      </c>
      <c r="X276">
        <f>'RESUMEN TOTAL'!AC281</f>
        <v>0</v>
      </c>
      <c r="Y276">
        <f>'RESUMEN TOTAL'!AD281</f>
        <v>0</v>
      </c>
      <c r="Z276">
        <f>'RESUMEN TOTAL'!AE281</f>
        <v>0</v>
      </c>
      <c r="AA276">
        <f>'RESUMEN TOTAL'!AF281</f>
        <v>0</v>
      </c>
      <c r="AB276">
        <f>'RESUMEN TOTAL'!AG281</f>
        <v>0</v>
      </c>
      <c r="AC276">
        <f>'RESUMEN TOTAL'!AH281</f>
        <v>0</v>
      </c>
      <c r="AD276">
        <f>'RESUMEN TOTAL'!AI281</f>
        <v>0</v>
      </c>
      <c r="AE276">
        <f>'RESUMEN TOTAL'!AJ281</f>
        <v>0</v>
      </c>
      <c r="AF276">
        <f>'RESUMEN TOTAL'!AK281</f>
        <v>0</v>
      </c>
      <c r="AG276">
        <f>'RESUMEN TOTAL'!AL281</f>
        <v>0</v>
      </c>
      <c r="AH276">
        <f>'RESUMEN TOTAL'!AM281</f>
        <v>0</v>
      </c>
      <c r="AI276">
        <f>'RESUMEN TOTAL'!AN281</f>
        <v>0</v>
      </c>
    </row>
    <row r="277" spans="1:35" x14ac:dyDescent="0.3">
      <c r="A277" t="str">
        <f>'RESUMEN TOTAL'!A282</f>
        <v>SAN EMILIO</v>
      </c>
      <c r="B277" t="str">
        <f>'RESUMEN TOTAL'!B282</f>
        <v>SEMI03 (fija 1)</v>
      </c>
      <c r="C277" t="str">
        <f>'RESUMEN TOTAL'!D282</f>
        <v>GORRITI E/ GALARZA Y LOPE DE VEGA</v>
      </c>
      <c r="D277" t="str">
        <f>'RESUMEN TOTAL'!E282</f>
        <v>Fija</v>
      </c>
      <c r="E277" t="str">
        <f>'RESUMEN TOTAL'!F282</f>
        <v>Fibra Optica</v>
      </c>
      <c r="F277">
        <f>'RESUMEN TOTAL'!K282</f>
        <v>0</v>
      </c>
      <c r="G277">
        <f>'RESUMEN TOTAL'!L282</f>
        <v>0</v>
      </c>
      <c r="H277">
        <f>'RESUMEN TOTAL'!M282</f>
        <v>0</v>
      </c>
      <c r="I277">
        <f>'RESUMEN TOTAL'!N282</f>
        <v>0</v>
      </c>
      <c r="J277">
        <f>'RESUMEN TOTAL'!O282</f>
        <v>0</v>
      </c>
      <c r="K277">
        <f>'RESUMEN TOTAL'!P282</f>
        <v>0</v>
      </c>
      <c r="L277">
        <f>'RESUMEN TOTAL'!Q282</f>
        <v>0</v>
      </c>
      <c r="M277">
        <f>'RESUMEN TOTAL'!R282</f>
        <v>0</v>
      </c>
      <c r="N277">
        <f>'RESUMEN TOTAL'!S282</f>
        <v>0</v>
      </c>
      <c r="O277">
        <f>'RESUMEN TOTAL'!T282</f>
        <v>0</v>
      </c>
      <c r="P277">
        <f>'RESUMEN TOTAL'!U282</f>
        <v>0</v>
      </c>
      <c r="Q277">
        <f>'RESUMEN TOTAL'!V282</f>
        <v>0</v>
      </c>
      <c r="R277">
        <f>'RESUMEN TOTAL'!W282</f>
        <v>0</v>
      </c>
      <c r="S277">
        <f>'RESUMEN TOTAL'!X282</f>
        <v>0</v>
      </c>
      <c r="T277">
        <f>'RESUMEN TOTAL'!Y282</f>
        <v>0</v>
      </c>
      <c r="U277">
        <f>'RESUMEN TOTAL'!Z282</f>
        <v>0</v>
      </c>
      <c r="V277">
        <f>'RESUMEN TOTAL'!AA282</f>
        <v>0</v>
      </c>
      <c r="W277">
        <f>'RESUMEN TOTAL'!AB282</f>
        <v>0</v>
      </c>
      <c r="X277">
        <f>'RESUMEN TOTAL'!AC282</f>
        <v>0</v>
      </c>
      <c r="Y277">
        <f>'RESUMEN TOTAL'!AD282</f>
        <v>0</v>
      </c>
      <c r="Z277">
        <f>'RESUMEN TOTAL'!AE282</f>
        <v>0</v>
      </c>
      <c r="AA277">
        <f>'RESUMEN TOTAL'!AF282</f>
        <v>0</v>
      </c>
      <c r="AB277">
        <f>'RESUMEN TOTAL'!AG282</f>
        <v>0</v>
      </c>
      <c r="AC277">
        <f>'RESUMEN TOTAL'!AH282</f>
        <v>0</v>
      </c>
      <c r="AD277">
        <f>'RESUMEN TOTAL'!AI282</f>
        <v>0</v>
      </c>
      <c r="AE277">
        <f>'RESUMEN TOTAL'!AJ282</f>
        <v>0</v>
      </c>
      <c r="AF277">
        <f>'RESUMEN TOTAL'!AK282</f>
        <v>0</v>
      </c>
      <c r="AG277">
        <f>'RESUMEN TOTAL'!AL282</f>
        <v>0</v>
      </c>
      <c r="AH277">
        <f>'RESUMEN TOTAL'!AM282</f>
        <v>0</v>
      </c>
      <c r="AI277">
        <f>'RESUMEN TOTAL'!AN282</f>
        <v>0</v>
      </c>
    </row>
    <row r="278" spans="1:35" x14ac:dyDescent="0.3">
      <c r="A278" t="str">
        <f>'RESUMEN TOTAL'!A283</f>
        <v>SAN EMILIO</v>
      </c>
      <c r="B278" t="str">
        <f>'RESUMEN TOTAL'!B283</f>
        <v>SEMI04 (fija 2)</v>
      </c>
      <c r="C278" t="str">
        <f>'RESUMEN TOTAL'!D283</f>
        <v>GORRITI E/ GALARZA Y LOPE DE VEGA</v>
      </c>
      <c r="D278" t="str">
        <f>'RESUMEN TOTAL'!E283</f>
        <v>Fija</v>
      </c>
      <c r="E278" t="str">
        <f>'RESUMEN TOTAL'!F283</f>
        <v>Fibra Optica</v>
      </c>
      <c r="F278">
        <f>'RESUMEN TOTAL'!K283</f>
        <v>0</v>
      </c>
      <c r="G278">
        <f>'RESUMEN TOTAL'!L283</f>
        <v>0</v>
      </c>
      <c r="H278">
        <f>'RESUMEN TOTAL'!M283</f>
        <v>0</v>
      </c>
      <c r="I278">
        <f>'RESUMEN TOTAL'!N283</f>
        <v>0</v>
      </c>
      <c r="J278">
        <f>'RESUMEN TOTAL'!O283</f>
        <v>0</v>
      </c>
      <c r="K278">
        <f>'RESUMEN TOTAL'!P283</f>
        <v>0</v>
      </c>
      <c r="L278">
        <f>'RESUMEN TOTAL'!Q283</f>
        <v>0</v>
      </c>
      <c r="M278">
        <f>'RESUMEN TOTAL'!R283</f>
        <v>0</v>
      </c>
      <c r="N278">
        <f>'RESUMEN TOTAL'!S283</f>
        <v>0</v>
      </c>
      <c r="O278">
        <f>'RESUMEN TOTAL'!T283</f>
        <v>0</v>
      </c>
      <c r="P278">
        <f>'RESUMEN TOTAL'!U283</f>
        <v>0</v>
      </c>
      <c r="Q278">
        <f>'RESUMEN TOTAL'!V283</f>
        <v>0</v>
      </c>
      <c r="R278">
        <f>'RESUMEN TOTAL'!W283</f>
        <v>0</v>
      </c>
      <c r="S278">
        <f>'RESUMEN TOTAL'!X283</f>
        <v>0</v>
      </c>
      <c r="T278">
        <f>'RESUMEN TOTAL'!Y283</f>
        <v>0</v>
      </c>
      <c r="U278">
        <f>'RESUMEN TOTAL'!Z283</f>
        <v>0</v>
      </c>
      <c r="V278">
        <f>'RESUMEN TOTAL'!AA283</f>
        <v>0</v>
      </c>
      <c r="W278">
        <f>'RESUMEN TOTAL'!AB283</f>
        <v>0</v>
      </c>
      <c r="X278">
        <f>'RESUMEN TOTAL'!AC283</f>
        <v>0</v>
      </c>
      <c r="Y278">
        <f>'RESUMEN TOTAL'!AD283</f>
        <v>0</v>
      </c>
      <c r="Z278">
        <f>'RESUMEN TOTAL'!AE283</f>
        <v>0</v>
      </c>
      <c r="AA278">
        <f>'RESUMEN TOTAL'!AF283</f>
        <v>0</v>
      </c>
      <c r="AB278">
        <f>'RESUMEN TOTAL'!AG283</f>
        <v>0</v>
      </c>
      <c r="AC278">
        <f>'RESUMEN TOTAL'!AH283</f>
        <v>0</v>
      </c>
      <c r="AD278">
        <f>'RESUMEN TOTAL'!AI283</f>
        <v>0</v>
      </c>
      <c r="AE278">
        <f>'RESUMEN TOTAL'!AJ283</f>
        <v>0</v>
      </c>
      <c r="AF278">
        <f>'RESUMEN TOTAL'!AK283</f>
        <v>0</v>
      </c>
      <c r="AG278">
        <f>'RESUMEN TOTAL'!AL283</f>
        <v>0</v>
      </c>
      <c r="AH278">
        <f>'RESUMEN TOTAL'!AM283</f>
        <v>0</v>
      </c>
      <c r="AI278">
        <f>'RESUMEN TOTAL'!AN283</f>
        <v>0</v>
      </c>
    </row>
    <row r="279" spans="1:35" x14ac:dyDescent="0.3">
      <c r="A279" t="str">
        <f>'RESUMEN TOTAL'!A284</f>
        <v>LA SIRENA</v>
      </c>
      <c r="B279" t="str">
        <f>'RESUMEN TOTAL'!B284</f>
        <v>SIR01</v>
      </c>
      <c r="C279" t="str">
        <f>'RESUMEN TOTAL'!D284</f>
        <v>Moran y Calle 14</v>
      </c>
      <c r="D279" t="str">
        <f>'RESUMEN TOTAL'!E284</f>
        <v>DOMO</v>
      </c>
      <c r="E279" t="str">
        <f>'RESUMEN TOTAL'!F284</f>
        <v>Radio</v>
      </c>
      <c r="F279">
        <f>'RESUMEN TOTAL'!K284</f>
        <v>0</v>
      </c>
      <c r="G279">
        <f>'RESUMEN TOTAL'!L284</f>
        <v>0</v>
      </c>
      <c r="H279">
        <f>'RESUMEN TOTAL'!M284</f>
        <v>0</v>
      </c>
      <c r="I279">
        <f>'RESUMEN TOTAL'!N284</f>
        <v>0</v>
      </c>
      <c r="J279">
        <f>'RESUMEN TOTAL'!O284</f>
        <v>0</v>
      </c>
      <c r="K279">
        <f>'RESUMEN TOTAL'!P284</f>
        <v>0</v>
      </c>
      <c r="L279">
        <f>'RESUMEN TOTAL'!Q284</f>
        <v>0</v>
      </c>
      <c r="M279">
        <f>'RESUMEN TOTAL'!R284</f>
        <v>0</v>
      </c>
      <c r="N279">
        <f>'RESUMEN TOTAL'!S284</f>
        <v>0</v>
      </c>
      <c r="O279">
        <f>'RESUMEN TOTAL'!T284</f>
        <v>0</v>
      </c>
      <c r="P279">
        <f>'RESUMEN TOTAL'!U284</f>
        <v>0</v>
      </c>
      <c r="Q279">
        <f>'RESUMEN TOTAL'!V284</f>
        <v>0</v>
      </c>
      <c r="R279">
        <f>'RESUMEN TOTAL'!W284</f>
        <v>0</v>
      </c>
      <c r="S279">
        <f>'RESUMEN TOTAL'!X284</f>
        <v>0</v>
      </c>
      <c r="T279">
        <f>'RESUMEN TOTAL'!Y284</f>
        <v>0</v>
      </c>
      <c r="U279">
        <f>'RESUMEN TOTAL'!Z284</f>
        <v>0</v>
      </c>
      <c r="V279">
        <f>'RESUMEN TOTAL'!AA284</f>
        <v>0</v>
      </c>
      <c r="W279">
        <f>'RESUMEN TOTAL'!AB284</f>
        <v>0</v>
      </c>
      <c r="X279">
        <f>'RESUMEN TOTAL'!AC284</f>
        <v>0</v>
      </c>
      <c r="Y279">
        <f>'RESUMEN TOTAL'!AD284</f>
        <v>0</v>
      </c>
      <c r="Z279">
        <f>'RESUMEN TOTAL'!AE284</f>
        <v>0</v>
      </c>
      <c r="AA279">
        <f>'RESUMEN TOTAL'!AF284</f>
        <v>0</v>
      </c>
      <c r="AB279">
        <f>'RESUMEN TOTAL'!AG284</f>
        <v>0</v>
      </c>
      <c r="AC279">
        <f>'RESUMEN TOTAL'!AH284</f>
        <v>0</v>
      </c>
      <c r="AD279">
        <f>'RESUMEN TOTAL'!AI284</f>
        <v>0</v>
      </c>
      <c r="AE279">
        <f>'RESUMEN TOTAL'!AJ284</f>
        <v>0</v>
      </c>
      <c r="AF279">
        <f>'RESUMEN TOTAL'!AK284</f>
        <v>0</v>
      </c>
      <c r="AG279">
        <f>'RESUMEN TOTAL'!AL284</f>
        <v>0</v>
      </c>
      <c r="AH279">
        <f>'RESUMEN TOTAL'!AM284</f>
        <v>0</v>
      </c>
      <c r="AI279">
        <f>'RESUMEN TOTAL'!AN284</f>
        <v>0</v>
      </c>
    </row>
    <row r="280" spans="1:35" x14ac:dyDescent="0.3">
      <c r="A280" t="str">
        <f>'RESUMEN TOTAL'!A285</f>
        <v>SAN EDUARDO</v>
      </c>
      <c r="B280" t="str">
        <f>'RESUMEN TOTAL'!B285</f>
        <v>SIR 02</v>
      </c>
      <c r="C280" t="str">
        <f>'RESUMEN TOTAL'!D285</f>
        <v>Victorino de la Plaza y Argentina</v>
      </c>
      <c r="D280" t="str">
        <f>'RESUMEN TOTAL'!E285</f>
        <v>Domo</v>
      </c>
      <c r="E280" t="str">
        <f>'RESUMEN TOTAL'!F285</f>
        <v>Radio</v>
      </c>
      <c r="F280">
        <f>'RESUMEN TOTAL'!K285</f>
        <v>0</v>
      </c>
      <c r="G280" t="str">
        <f>'RESUMEN TOTAL'!L285</f>
        <v>APAGADO</v>
      </c>
      <c r="H280">
        <f>'RESUMEN TOTAL'!M285</f>
        <v>0</v>
      </c>
      <c r="I280">
        <f>'RESUMEN TOTAL'!N285</f>
        <v>0</v>
      </c>
      <c r="J280">
        <f>'RESUMEN TOTAL'!O285</f>
        <v>0</v>
      </c>
      <c r="K280">
        <f>'RESUMEN TOTAL'!P285</f>
        <v>0</v>
      </c>
      <c r="L280">
        <f>'RESUMEN TOTAL'!Q285</f>
        <v>0</v>
      </c>
      <c r="M280">
        <f>'RESUMEN TOTAL'!R285</f>
        <v>0</v>
      </c>
      <c r="N280">
        <f>'RESUMEN TOTAL'!S285</f>
        <v>0</v>
      </c>
      <c r="O280">
        <f>'RESUMEN TOTAL'!T285</f>
        <v>0</v>
      </c>
      <c r="P280">
        <f>'RESUMEN TOTAL'!U285</f>
        <v>0</v>
      </c>
      <c r="Q280">
        <f>'RESUMEN TOTAL'!V285</f>
        <v>0</v>
      </c>
      <c r="R280">
        <f>'RESUMEN TOTAL'!W285</f>
        <v>0</v>
      </c>
      <c r="S280">
        <f>'RESUMEN TOTAL'!X285</f>
        <v>0</v>
      </c>
      <c r="T280">
        <f>'RESUMEN TOTAL'!Y285</f>
        <v>0</v>
      </c>
      <c r="U280">
        <f>'RESUMEN TOTAL'!Z285</f>
        <v>0</v>
      </c>
      <c r="V280">
        <f>'RESUMEN TOTAL'!AA285</f>
        <v>0</v>
      </c>
      <c r="W280">
        <f>'RESUMEN TOTAL'!AB285</f>
        <v>0</v>
      </c>
      <c r="X280" t="str">
        <f>'RESUMEN TOTAL'!AC285</f>
        <v>APAGADO</v>
      </c>
      <c r="Y280">
        <f>'RESUMEN TOTAL'!AD285</f>
        <v>0</v>
      </c>
      <c r="Z280">
        <f>'RESUMEN TOTAL'!AE285</f>
        <v>0</v>
      </c>
      <c r="AA280">
        <f>'RESUMEN TOTAL'!AF285</f>
        <v>0</v>
      </c>
      <c r="AB280">
        <f>'RESUMEN TOTAL'!AG285</f>
        <v>0</v>
      </c>
      <c r="AC280">
        <f>'RESUMEN TOTAL'!AH285</f>
        <v>0</v>
      </c>
      <c r="AD280">
        <f>'RESUMEN TOTAL'!AI285</f>
        <v>0</v>
      </c>
      <c r="AE280">
        <f>'RESUMEN TOTAL'!AJ285</f>
        <v>0</v>
      </c>
      <c r="AF280">
        <f>'RESUMEN TOTAL'!AK285</f>
        <v>0</v>
      </c>
      <c r="AG280">
        <f>'RESUMEN TOTAL'!AL285</f>
        <v>0</v>
      </c>
      <c r="AH280">
        <f>'RESUMEN TOTAL'!AM285</f>
        <v>0</v>
      </c>
      <c r="AI280">
        <f>'RESUMEN TOTAL'!AN285</f>
        <v>0</v>
      </c>
    </row>
    <row r="281" spans="1:35" x14ac:dyDescent="0.3">
      <c r="A281" t="str">
        <f>'RESUMEN TOTAL'!A286</f>
        <v>SAN EDUARDO</v>
      </c>
      <c r="B281" t="str">
        <f>'RESUMEN TOTAL'!B286</f>
        <v>SIR 03</v>
      </c>
      <c r="C281" t="str">
        <f>'RESUMEN TOTAL'!D286</f>
        <v>MONTES Y LONARDI</v>
      </c>
      <c r="D281" t="str">
        <f>'RESUMEN TOTAL'!E286</f>
        <v>DOMO</v>
      </c>
      <c r="E281" t="str">
        <f>'RESUMEN TOTAL'!F286</f>
        <v>Radio</v>
      </c>
      <c r="F281">
        <f>'RESUMEN TOTAL'!K286</f>
        <v>0</v>
      </c>
      <c r="G281">
        <f>'RESUMEN TOTAL'!L286</f>
        <v>0</v>
      </c>
      <c r="H281">
        <f>'RESUMEN TOTAL'!M286</f>
        <v>0</v>
      </c>
      <c r="I281">
        <f>'RESUMEN TOTAL'!N286</f>
        <v>0</v>
      </c>
      <c r="J281">
        <f>'RESUMEN TOTAL'!O286</f>
        <v>0</v>
      </c>
      <c r="K281">
        <f>'RESUMEN TOTAL'!P286</f>
        <v>0</v>
      </c>
      <c r="L281">
        <f>'RESUMEN TOTAL'!Q286</f>
        <v>0</v>
      </c>
      <c r="M281">
        <f>'RESUMEN TOTAL'!R286</f>
        <v>0</v>
      </c>
      <c r="N281">
        <f>'RESUMEN TOTAL'!S286</f>
        <v>0</v>
      </c>
      <c r="O281">
        <f>'RESUMEN TOTAL'!T286</f>
        <v>0</v>
      </c>
      <c r="P281">
        <f>'RESUMEN TOTAL'!U286</f>
        <v>0</v>
      </c>
      <c r="Q281">
        <f>'RESUMEN TOTAL'!V286</f>
        <v>0</v>
      </c>
      <c r="R281">
        <f>'RESUMEN TOTAL'!W286</f>
        <v>0</v>
      </c>
      <c r="S281">
        <f>'RESUMEN TOTAL'!X286</f>
        <v>0</v>
      </c>
      <c r="T281">
        <f>'RESUMEN TOTAL'!Y286</f>
        <v>0</v>
      </c>
      <c r="U281">
        <f>'RESUMEN TOTAL'!Z286</f>
        <v>0</v>
      </c>
      <c r="V281">
        <f>'RESUMEN TOTAL'!AA286</f>
        <v>0</v>
      </c>
      <c r="W281">
        <f>'RESUMEN TOTAL'!AB286</f>
        <v>0</v>
      </c>
      <c r="X281">
        <f>'RESUMEN TOTAL'!AC286</f>
        <v>0</v>
      </c>
      <c r="Y281">
        <f>'RESUMEN TOTAL'!AD286</f>
        <v>0</v>
      </c>
      <c r="Z281">
        <f>'RESUMEN TOTAL'!AE286</f>
        <v>0</v>
      </c>
      <c r="AA281">
        <f>'RESUMEN TOTAL'!AF286</f>
        <v>0</v>
      </c>
      <c r="AB281">
        <f>'RESUMEN TOTAL'!AG286</f>
        <v>0</v>
      </c>
      <c r="AC281">
        <f>'RESUMEN TOTAL'!AH286</f>
        <v>0</v>
      </c>
      <c r="AD281">
        <f>'RESUMEN TOTAL'!AI286</f>
        <v>0</v>
      </c>
      <c r="AE281">
        <f>'RESUMEN TOTAL'!AJ286</f>
        <v>0</v>
      </c>
      <c r="AF281">
        <f>'RESUMEN TOTAL'!AK286</f>
        <v>0</v>
      </c>
      <c r="AG281">
        <f>'RESUMEN TOTAL'!AL286</f>
        <v>0</v>
      </c>
      <c r="AH281">
        <f>'RESUMEN TOTAL'!AM286</f>
        <v>0</v>
      </c>
      <c r="AI281">
        <f>'RESUMEN TOTAL'!AN286</f>
        <v>0</v>
      </c>
    </row>
    <row r="282" spans="1:35" x14ac:dyDescent="0.3">
      <c r="A282" t="str">
        <f>'RESUMEN TOTAL'!A287</f>
        <v>LA SIRENA</v>
      </c>
      <c r="B282" t="str">
        <f>'RESUMEN TOTAL'!B287</f>
        <v>SIR 04</v>
      </c>
      <c r="C282" t="str">
        <f>'RESUMEN TOTAL'!D287</f>
        <v>AV. MONTEVERDE Y MORAN</v>
      </c>
      <c r="D282" t="str">
        <f>'RESUMEN TOTAL'!E287</f>
        <v>Domo</v>
      </c>
      <c r="E282" t="str">
        <f>'RESUMEN TOTAL'!F287</f>
        <v>Fibra Optica</v>
      </c>
      <c r="F282">
        <f>'RESUMEN TOTAL'!K287</f>
        <v>0</v>
      </c>
      <c r="G282">
        <f>'RESUMEN TOTAL'!L287</f>
        <v>0</v>
      </c>
      <c r="H282">
        <f>'RESUMEN TOTAL'!M287</f>
        <v>0</v>
      </c>
      <c r="I282">
        <f>'RESUMEN TOTAL'!N287</f>
        <v>0</v>
      </c>
      <c r="J282">
        <f>'RESUMEN TOTAL'!O287</f>
        <v>0</v>
      </c>
      <c r="K282">
        <f>'RESUMEN TOTAL'!P287</f>
        <v>0</v>
      </c>
      <c r="L282">
        <f>'RESUMEN TOTAL'!Q287</f>
        <v>0</v>
      </c>
      <c r="M282">
        <f>'RESUMEN TOTAL'!R287</f>
        <v>0</v>
      </c>
      <c r="N282">
        <f>'RESUMEN TOTAL'!S287</f>
        <v>0</v>
      </c>
      <c r="O282">
        <f>'RESUMEN TOTAL'!T287</f>
        <v>0</v>
      </c>
      <c r="P282">
        <f>'RESUMEN TOTAL'!U287</f>
        <v>0</v>
      </c>
      <c r="Q282">
        <f>'RESUMEN TOTAL'!V287</f>
        <v>0</v>
      </c>
      <c r="R282">
        <f>'RESUMEN TOTAL'!W287</f>
        <v>0</v>
      </c>
      <c r="S282">
        <f>'RESUMEN TOTAL'!X287</f>
        <v>0</v>
      </c>
      <c r="T282">
        <f>'RESUMEN TOTAL'!Y287</f>
        <v>0</v>
      </c>
      <c r="U282">
        <f>'RESUMEN TOTAL'!Z287</f>
        <v>0</v>
      </c>
      <c r="V282">
        <f>'RESUMEN TOTAL'!AA287</f>
        <v>0</v>
      </c>
      <c r="W282">
        <f>'RESUMEN TOTAL'!AB287</f>
        <v>0</v>
      </c>
      <c r="X282">
        <f>'RESUMEN TOTAL'!AC287</f>
        <v>0</v>
      </c>
      <c r="Y282">
        <f>'RESUMEN TOTAL'!AD287</f>
        <v>0</v>
      </c>
      <c r="Z282">
        <f>'RESUMEN TOTAL'!AE287</f>
        <v>0</v>
      </c>
      <c r="AA282">
        <f>'RESUMEN TOTAL'!AF287</f>
        <v>0</v>
      </c>
      <c r="AB282">
        <f>'RESUMEN TOTAL'!AG287</f>
        <v>0</v>
      </c>
      <c r="AC282">
        <f>'RESUMEN TOTAL'!AH287</f>
        <v>0</v>
      </c>
      <c r="AD282">
        <f>'RESUMEN TOTAL'!AI287</f>
        <v>0</v>
      </c>
      <c r="AE282">
        <f>'RESUMEN TOTAL'!AJ287</f>
        <v>0</v>
      </c>
      <c r="AF282">
        <f>'RESUMEN TOTAL'!AK287</f>
        <v>0</v>
      </c>
      <c r="AG282">
        <f>'RESUMEN TOTAL'!AL287</f>
        <v>0</v>
      </c>
      <c r="AH282">
        <f>'RESUMEN TOTAL'!AM287</f>
        <v>0</v>
      </c>
      <c r="AI282">
        <f>'RESUMEN TOTAL'!AN287</f>
        <v>0</v>
      </c>
    </row>
    <row r="283" spans="1:35" x14ac:dyDescent="0.3">
      <c r="A283" t="str">
        <f>'RESUMEN TOTAL'!A288</f>
        <v>LA SIRENA</v>
      </c>
      <c r="B283" t="str">
        <f>'RESUMEN TOTAL'!B288</f>
        <v>SIR 05 (FIJA 01)</v>
      </c>
      <c r="C283" t="str">
        <f>'RESUMEN TOTAL'!D288</f>
        <v>AV. MONTEVERDE Y MORAN</v>
      </c>
      <c r="D283" t="str">
        <f>'RESUMEN TOTAL'!E288</f>
        <v>Fija</v>
      </c>
      <c r="E283" t="str">
        <f>'RESUMEN TOTAL'!F288</f>
        <v>Fibra Optica</v>
      </c>
      <c r="F283">
        <f>'RESUMEN TOTAL'!K288</f>
        <v>0</v>
      </c>
      <c r="G283">
        <f>'RESUMEN TOTAL'!L288</f>
        <v>0</v>
      </c>
      <c r="H283">
        <f>'RESUMEN TOTAL'!M288</f>
        <v>0</v>
      </c>
      <c r="I283">
        <f>'RESUMEN TOTAL'!N288</f>
        <v>0</v>
      </c>
      <c r="J283">
        <f>'RESUMEN TOTAL'!O288</f>
        <v>0</v>
      </c>
      <c r="K283">
        <f>'RESUMEN TOTAL'!P288</f>
        <v>0</v>
      </c>
      <c r="L283">
        <f>'RESUMEN TOTAL'!Q288</f>
        <v>0</v>
      </c>
      <c r="M283">
        <f>'RESUMEN TOTAL'!R288</f>
        <v>0</v>
      </c>
      <c r="N283">
        <f>'RESUMEN TOTAL'!S288</f>
        <v>0</v>
      </c>
      <c r="O283">
        <f>'RESUMEN TOTAL'!T288</f>
        <v>0</v>
      </c>
      <c r="P283">
        <f>'RESUMEN TOTAL'!U288</f>
        <v>0</v>
      </c>
      <c r="Q283">
        <f>'RESUMEN TOTAL'!V288</f>
        <v>0</v>
      </c>
      <c r="R283">
        <f>'RESUMEN TOTAL'!W288</f>
        <v>0</v>
      </c>
      <c r="S283">
        <f>'RESUMEN TOTAL'!X288</f>
        <v>0</v>
      </c>
      <c r="T283">
        <f>'RESUMEN TOTAL'!Y288</f>
        <v>0</v>
      </c>
      <c r="U283">
        <f>'RESUMEN TOTAL'!Z288</f>
        <v>0</v>
      </c>
      <c r="V283">
        <f>'RESUMEN TOTAL'!AA288</f>
        <v>0</v>
      </c>
      <c r="W283">
        <f>'RESUMEN TOTAL'!AB288</f>
        <v>0</v>
      </c>
      <c r="X283">
        <f>'RESUMEN TOTAL'!AC288</f>
        <v>0</v>
      </c>
      <c r="Y283">
        <f>'RESUMEN TOTAL'!AD288</f>
        <v>0</v>
      </c>
      <c r="Z283">
        <f>'RESUMEN TOTAL'!AE288</f>
        <v>0</v>
      </c>
      <c r="AA283">
        <f>'RESUMEN TOTAL'!AF288</f>
        <v>0</v>
      </c>
      <c r="AB283">
        <f>'RESUMEN TOTAL'!AG288</f>
        <v>0</v>
      </c>
      <c r="AC283">
        <f>'RESUMEN TOTAL'!AH288</f>
        <v>0</v>
      </c>
      <c r="AD283">
        <f>'RESUMEN TOTAL'!AI288</f>
        <v>0</v>
      </c>
      <c r="AE283">
        <f>'RESUMEN TOTAL'!AJ288</f>
        <v>0</v>
      </c>
      <c r="AF283">
        <f>'RESUMEN TOTAL'!AK288</f>
        <v>0</v>
      </c>
      <c r="AG283">
        <f>'RESUMEN TOTAL'!AL288</f>
        <v>0</v>
      </c>
      <c r="AH283">
        <f>'RESUMEN TOTAL'!AM288</f>
        <v>0</v>
      </c>
      <c r="AI283">
        <f>'RESUMEN TOTAL'!AN288</f>
        <v>0</v>
      </c>
    </row>
    <row r="284" spans="1:35" x14ac:dyDescent="0.3">
      <c r="A284" t="str">
        <f>'RESUMEN TOTAL'!A289</f>
        <v>LA SIRENA</v>
      </c>
      <c r="B284" t="str">
        <f>'RESUMEN TOTAL'!B289</f>
        <v>SIR 06 (FIJA 02)</v>
      </c>
      <c r="C284" t="str">
        <f>'RESUMEN TOTAL'!D289</f>
        <v>AV. MONTEVERDE Y MORAN</v>
      </c>
      <c r="D284" t="str">
        <f>'RESUMEN TOTAL'!E289</f>
        <v>Fija</v>
      </c>
      <c r="E284" t="str">
        <f>'RESUMEN TOTAL'!F289</f>
        <v>Fibra Optica</v>
      </c>
      <c r="F284">
        <f>'RESUMEN TOTAL'!K289</f>
        <v>0</v>
      </c>
      <c r="G284">
        <f>'RESUMEN TOTAL'!L289</f>
        <v>0</v>
      </c>
      <c r="H284">
        <f>'RESUMEN TOTAL'!M289</f>
        <v>0</v>
      </c>
      <c r="I284">
        <f>'RESUMEN TOTAL'!N289</f>
        <v>0</v>
      </c>
      <c r="J284">
        <f>'RESUMEN TOTAL'!O289</f>
        <v>0</v>
      </c>
      <c r="K284">
        <f>'RESUMEN TOTAL'!P289</f>
        <v>0</v>
      </c>
      <c r="L284">
        <f>'RESUMEN TOTAL'!Q289</f>
        <v>0</v>
      </c>
      <c r="M284">
        <f>'RESUMEN TOTAL'!R289</f>
        <v>0</v>
      </c>
      <c r="N284">
        <f>'RESUMEN TOTAL'!S289</f>
        <v>0</v>
      </c>
      <c r="O284">
        <f>'RESUMEN TOTAL'!T289</f>
        <v>0</v>
      </c>
      <c r="P284">
        <f>'RESUMEN TOTAL'!U289</f>
        <v>0</v>
      </c>
      <c r="Q284">
        <f>'RESUMEN TOTAL'!V289</f>
        <v>0</v>
      </c>
      <c r="R284">
        <f>'RESUMEN TOTAL'!W289</f>
        <v>0</v>
      </c>
      <c r="S284">
        <f>'RESUMEN TOTAL'!X289</f>
        <v>0</v>
      </c>
      <c r="T284">
        <f>'RESUMEN TOTAL'!Y289</f>
        <v>0</v>
      </c>
      <c r="U284">
        <f>'RESUMEN TOTAL'!Z289</f>
        <v>0</v>
      </c>
      <c r="V284">
        <f>'RESUMEN TOTAL'!AA289</f>
        <v>0</v>
      </c>
      <c r="W284">
        <f>'RESUMEN TOTAL'!AB289</f>
        <v>0</v>
      </c>
      <c r="X284">
        <f>'RESUMEN TOTAL'!AC289</f>
        <v>0</v>
      </c>
      <c r="Y284">
        <f>'RESUMEN TOTAL'!AD289</f>
        <v>0</v>
      </c>
      <c r="Z284">
        <f>'RESUMEN TOTAL'!AE289</f>
        <v>0</v>
      </c>
      <c r="AA284">
        <f>'RESUMEN TOTAL'!AF289</f>
        <v>0</v>
      </c>
      <c r="AB284">
        <f>'RESUMEN TOTAL'!AG289</f>
        <v>0</v>
      </c>
      <c r="AC284">
        <f>'RESUMEN TOTAL'!AH289</f>
        <v>0</v>
      </c>
      <c r="AD284">
        <f>'RESUMEN TOTAL'!AI289</f>
        <v>0</v>
      </c>
      <c r="AE284">
        <f>'RESUMEN TOTAL'!AJ289</f>
        <v>0</v>
      </c>
      <c r="AF284">
        <f>'RESUMEN TOTAL'!AK289</f>
        <v>0</v>
      </c>
      <c r="AG284">
        <f>'RESUMEN TOTAL'!AL289</f>
        <v>0</v>
      </c>
      <c r="AH284">
        <f>'RESUMEN TOTAL'!AM289</f>
        <v>0</v>
      </c>
      <c r="AI284">
        <f>'RESUMEN TOTAL'!AN289</f>
        <v>0</v>
      </c>
    </row>
    <row r="285" spans="1:35" x14ac:dyDescent="0.3">
      <c r="A285" t="str">
        <f>'RESUMEN TOTAL'!A290</f>
        <v>VILLA AURORA</v>
      </c>
      <c r="B285" t="str">
        <f>'RESUMEN TOTAL'!B290</f>
        <v>SIR07 (fija 1)</v>
      </c>
      <c r="C285" t="str">
        <f>'RESUMEN TOTAL'!D290</f>
        <v>MONTEVERDE Y URIBURU</v>
      </c>
      <c r="D285" t="str">
        <f>'RESUMEN TOTAL'!E290</f>
        <v>Fija</v>
      </c>
      <c r="E285" t="str">
        <f>'RESUMEN TOTAL'!F290</f>
        <v>Fibra Optica</v>
      </c>
      <c r="F285">
        <f>'RESUMEN TOTAL'!K290</f>
        <v>0</v>
      </c>
      <c r="G285">
        <f>'RESUMEN TOTAL'!L290</f>
        <v>0</v>
      </c>
      <c r="H285">
        <f>'RESUMEN TOTAL'!M290</f>
        <v>0</v>
      </c>
      <c r="I285">
        <f>'RESUMEN TOTAL'!N290</f>
        <v>0</v>
      </c>
      <c r="J285">
        <f>'RESUMEN TOTAL'!O290</f>
        <v>0</v>
      </c>
      <c r="K285">
        <f>'RESUMEN TOTAL'!P290</f>
        <v>0</v>
      </c>
      <c r="L285">
        <f>'RESUMEN TOTAL'!Q290</f>
        <v>0</v>
      </c>
      <c r="M285">
        <f>'RESUMEN TOTAL'!R290</f>
        <v>0</v>
      </c>
      <c r="N285">
        <f>'RESUMEN TOTAL'!S290</f>
        <v>0</v>
      </c>
      <c r="O285">
        <f>'RESUMEN TOTAL'!T290</f>
        <v>0</v>
      </c>
      <c r="P285">
        <f>'RESUMEN TOTAL'!U290</f>
        <v>0</v>
      </c>
      <c r="Q285">
        <f>'RESUMEN TOTAL'!V290</f>
        <v>0</v>
      </c>
      <c r="R285">
        <f>'RESUMEN TOTAL'!W290</f>
        <v>0</v>
      </c>
      <c r="S285">
        <f>'RESUMEN TOTAL'!X290</f>
        <v>0</v>
      </c>
      <c r="T285">
        <f>'RESUMEN TOTAL'!Y290</f>
        <v>0</v>
      </c>
      <c r="U285">
        <f>'RESUMEN TOTAL'!Z290</f>
        <v>0</v>
      </c>
      <c r="V285">
        <f>'RESUMEN TOTAL'!AA290</f>
        <v>0</v>
      </c>
      <c r="W285">
        <f>'RESUMEN TOTAL'!AB290</f>
        <v>0</v>
      </c>
      <c r="X285">
        <f>'RESUMEN TOTAL'!AC290</f>
        <v>0</v>
      </c>
      <c r="Y285">
        <f>'RESUMEN TOTAL'!AD290</f>
        <v>0</v>
      </c>
      <c r="Z285">
        <f>'RESUMEN TOTAL'!AE290</f>
        <v>0</v>
      </c>
      <c r="AA285">
        <f>'RESUMEN TOTAL'!AF290</f>
        <v>0</v>
      </c>
      <c r="AB285">
        <f>'RESUMEN TOTAL'!AG290</f>
        <v>0</v>
      </c>
      <c r="AC285">
        <f>'RESUMEN TOTAL'!AH290</f>
        <v>0</v>
      </c>
      <c r="AD285">
        <f>'RESUMEN TOTAL'!AI290</f>
        <v>0</v>
      </c>
      <c r="AE285">
        <f>'RESUMEN TOTAL'!AJ290</f>
        <v>0</v>
      </c>
      <c r="AF285">
        <f>'RESUMEN TOTAL'!AK290</f>
        <v>0</v>
      </c>
      <c r="AG285">
        <f>'RESUMEN TOTAL'!AL290</f>
        <v>0</v>
      </c>
      <c r="AH285">
        <f>'RESUMEN TOTAL'!AM290</f>
        <v>0</v>
      </c>
      <c r="AI285">
        <f>'RESUMEN TOTAL'!AN290</f>
        <v>0</v>
      </c>
    </row>
    <row r="286" spans="1:35" x14ac:dyDescent="0.3">
      <c r="A286" t="str">
        <f>'RESUMEN TOTAL'!A291</f>
        <v>VILLA AURORA</v>
      </c>
      <c r="B286" t="str">
        <f>'RESUMEN TOTAL'!B291</f>
        <v>SIR08 (fija 2)</v>
      </c>
      <c r="C286" t="str">
        <f>'RESUMEN TOTAL'!D291</f>
        <v>MONTEVERDE Y URIBURU</v>
      </c>
      <c r="D286" t="str">
        <f>'RESUMEN TOTAL'!E291</f>
        <v>Fija</v>
      </c>
      <c r="E286" t="str">
        <f>'RESUMEN TOTAL'!F291</f>
        <v>Fibra Optica</v>
      </c>
      <c r="F286">
        <f>'RESUMEN TOTAL'!K291</f>
        <v>0</v>
      </c>
      <c r="G286">
        <f>'RESUMEN TOTAL'!L291</f>
        <v>0</v>
      </c>
      <c r="H286">
        <f>'RESUMEN TOTAL'!M291</f>
        <v>0</v>
      </c>
      <c r="I286">
        <f>'RESUMEN TOTAL'!N291</f>
        <v>0</v>
      </c>
      <c r="J286">
        <f>'RESUMEN TOTAL'!O291</f>
        <v>0</v>
      </c>
      <c r="K286">
        <f>'RESUMEN TOTAL'!P291</f>
        <v>0</v>
      </c>
      <c r="L286">
        <f>'RESUMEN TOTAL'!Q291</f>
        <v>0</v>
      </c>
      <c r="M286">
        <f>'RESUMEN TOTAL'!R291</f>
        <v>0</v>
      </c>
      <c r="N286">
        <f>'RESUMEN TOTAL'!S291</f>
        <v>0</v>
      </c>
      <c r="O286">
        <f>'RESUMEN TOTAL'!T291</f>
        <v>0</v>
      </c>
      <c r="P286">
        <f>'RESUMEN TOTAL'!U291</f>
        <v>0</v>
      </c>
      <c r="Q286">
        <f>'RESUMEN TOTAL'!V291</f>
        <v>0</v>
      </c>
      <c r="R286">
        <f>'RESUMEN TOTAL'!W291</f>
        <v>0</v>
      </c>
      <c r="S286">
        <f>'RESUMEN TOTAL'!X291</f>
        <v>0</v>
      </c>
      <c r="T286">
        <f>'RESUMEN TOTAL'!Y291</f>
        <v>0</v>
      </c>
      <c r="U286">
        <f>'RESUMEN TOTAL'!Z291</f>
        <v>0</v>
      </c>
      <c r="V286">
        <f>'RESUMEN TOTAL'!AA291</f>
        <v>0</v>
      </c>
      <c r="W286">
        <f>'RESUMEN TOTAL'!AB291</f>
        <v>0</v>
      </c>
      <c r="X286">
        <f>'RESUMEN TOTAL'!AC291</f>
        <v>0</v>
      </c>
      <c r="Y286">
        <f>'RESUMEN TOTAL'!AD291</f>
        <v>0</v>
      </c>
      <c r="Z286">
        <f>'RESUMEN TOTAL'!AE291</f>
        <v>0</v>
      </c>
      <c r="AA286">
        <f>'RESUMEN TOTAL'!AF291</f>
        <v>0</v>
      </c>
      <c r="AB286">
        <f>'RESUMEN TOTAL'!AG291</f>
        <v>0</v>
      </c>
      <c r="AC286">
        <f>'RESUMEN TOTAL'!AH291</f>
        <v>0</v>
      </c>
      <c r="AD286">
        <f>'RESUMEN TOTAL'!AI291</f>
        <v>0</v>
      </c>
      <c r="AE286">
        <f>'RESUMEN TOTAL'!AJ291</f>
        <v>0</v>
      </c>
      <c r="AF286">
        <f>'RESUMEN TOTAL'!AK291</f>
        <v>0</v>
      </c>
      <c r="AG286">
        <f>'RESUMEN TOTAL'!AL291</f>
        <v>0</v>
      </c>
      <c r="AH286">
        <f>'RESUMEN TOTAL'!AM291</f>
        <v>0</v>
      </c>
      <c r="AI286">
        <f>'RESUMEN TOTAL'!AN291</f>
        <v>0</v>
      </c>
    </row>
    <row r="287" spans="1:35" x14ac:dyDescent="0.3">
      <c r="A287" t="str">
        <f>'RESUMEN TOTAL'!A292</f>
        <v>LA SIRENA</v>
      </c>
      <c r="B287" t="str">
        <f>'RESUMEN TOTAL'!B292</f>
        <v>SIR09 (fija 1)</v>
      </c>
      <c r="C287" t="str">
        <f>'RESUMEN TOTAL'!D292</f>
        <v>GUIDO SPANO Y MORAN</v>
      </c>
      <c r="D287" t="str">
        <f>'RESUMEN TOTAL'!E292</f>
        <v>Fija</v>
      </c>
      <c r="E287" t="str">
        <f>'RESUMEN TOTAL'!F292</f>
        <v>Fibra Optica</v>
      </c>
      <c r="F287">
        <f>'RESUMEN TOTAL'!K292</f>
        <v>0</v>
      </c>
      <c r="G287">
        <f>'RESUMEN TOTAL'!L292</f>
        <v>0</v>
      </c>
      <c r="H287">
        <f>'RESUMEN TOTAL'!M292</f>
        <v>0</v>
      </c>
      <c r="I287">
        <f>'RESUMEN TOTAL'!N292</f>
        <v>0</v>
      </c>
      <c r="J287">
        <f>'RESUMEN TOTAL'!O292</f>
        <v>0</v>
      </c>
      <c r="K287">
        <f>'RESUMEN TOTAL'!P292</f>
        <v>0</v>
      </c>
      <c r="L287">
        <f>'RESUMEN TOTAL'!Q292</f>
        <v>0</v>
      </c>
      <c r="M287">
        <f>'RESUMEN TOTAL'!R292</f>
        <v>0</v>
      </c>
      <c r="N287">
        <f>'RESUMEN TOTAL'!S292</f>
        <v>0</v>
      </c>
      <c r="O287">
        <f>'RESUMEN TOTAL'!T292</f>
        <v>0</v>
      </c>
      <c r="P287">
        <f>'RESUMEN TOTAL'!U292</f>
        <v>0</v>
      </c>
      <c r="Q287">
        <f>'RESUMEN TOTAL'!V292</f>
        <v>0</v>
      </c>
      <c r="R287">
        <f>'RESUMEN TOTAL'!W292</f>
        <v>0</v>
      </c>
      <c r="S287">
        <f>'RESUMEN TOTAL'!X292</f>
        <v>0</v>
      </c>
      <c r="T287">
        <f>'RESUMEN TOTAL'!Y292</f>
        <v>0</v>
      </c>
      <c r="U287">
        <f>'RESUMEN TOTAL'!Z292</f>
        <v>0</v>
      </c>
      <c r="V287">
        <f>'RESUMEN TOTAL'!AA292</f>
        <v>0</v>
      </c>
      <c r="W287">
        <f>'RESUMEN TOTAL'!AB292</f>
        <v>0</v>
      </c>
      <c r="X287">
        <f>'RESUMEN TOTAL'!AC292</f>
        <v>0</v>
      </c>
      <c r="Y287">
        <f>'RESUMEN TOTAL'!AD292</f>
        <v>0</v>
      </c>
      <c r="Z287">
        <f>'RESUMEN TOTAL'!AE292</f>
        <v>0</v>
      </c>
      <c r="AA287">
        <f>'RESUMEN TOTAL'!AF292</f>
        <v>0</v>
      </c>
      <c r="AB287">
        <f>'RESUMEN TOTAL'!AG292</f>
        <v>0</v>
      </c>
      <c r="AC287">
        <f>'RESUMEN TOTAL'!AH292</f>
        <v>0</v>
      </c>
      <c r="AD287">
        <f>'RESUMEN TOTAL'!AI292</f>
        <v>0</v>
      </c>
      <c r="AE287">
        <f>'RESUMEN TOTAL'!AJ292</f>
        <v>0</v>
      </c>
      <c r="AF287">
        <f>'RESUMEN TOTAL'!AK292</f>
        <v>0</v>
      </c>
      <c r="AG287">
        <f>'RESUMEN TOTAL'!AL292</f>
        <v>0</v>
      </c>
      <c r="AH287">
        <f>'RESUMEN TOTAL'!AM292</f>
        <v>0</v>
      </c>
      <c r="AI287">
        <f>'RESUMEN TOTAL'!AN292</f>
        <v>0</v>
      </c>
    </row>
    <row r="288" spans="1:35" x14ac:dyDescent="0.3">
      <c r="A288" t="str">
        <f>'RESUMEN TOTAL'!A293</f>
        <v>LA SIRENA</v>
      </c>
      <c r="B288" t="str">
        <f>'RESUMEN TOTAL'!B293</f>
        <v>SIR10 (fija 2)</v>
      </c>
      <c r="C288" t="str">
        <f>'RESUMEN TOTAL'!D293</f>
        <v>GUIDO SPANO Y MORAN</v>
      </c>
      <c r="D288" t="str">
        <f>'RESUMEN TOTAL'!E293</f>
        <v>Fija</v>
      </c>
      <c r="E288" t="str">
        <f>'RESUMEN TOTAL'!F293</f>
        <v>Fibra Optica</v>
      </c>
      <c r="F288">
        <f>'RESUMEN TOTAL'!K293</f>
        <v>0</v>
      </c>
      <c r="G288">
        <f>'RESUMEN TOTAL'!L293</f>
        <v>0</v>
      </c>
      <c r="H288">
        <f>'RESUMEN TOTAL'!M293</f>
        <v>0</v>
      </c>
      <c r="I288">
        <f>'RESUMEN TOTAL'!N293</f>
        <v>0</v>
      </c>
      <c r="J288">
        <f>'RESUMEN TOTAL'!O293</f>
        <v>0</v>
      </c>
      <c r="K288">
        <f>'RESUMEN TOTAL'!P293</f>
        <v>0</v>
      </c>
      <c r="L288">
        <f>'RESUMEN TOTAL'!Q293</f>
        <v>0</v>
      </c>
      <c r="M288">
        <f>'RESUMEN TOTAL'!R293</f>
        <v>0</v>
      </c>
      <c r="N288">
        <f>'RESUMEN TOTAL'!S293</f>
        <v>0</v>
      </c>
      <c r="O288">
        <f>'RESUMEN TOTAL'!T293</f>
        <v>0</v>
      </c>
      <c r="P288">
        <f>'RESUMEN TOTAL'!U293</f>
        <v>0</v>
      </c>
      <c r="Q288">
        <f>'RESUMEN TOTAL'!V293</f>
        <v>0</v>
      </c>
      <c r="R288">
        <f>'RESUMEN TOTAL'!W293</f>
        <v>0</v>
      </c>
      <c r="S288">
        <f>'RESUMEN TOTAL'!X293</f>
        <v>0</v>
      </c>
      <c r="T288">
        <f>'RESUMEN TOTAL'!Y293</f>
        <v>0</v>
      </c>
      <c r="U288">
        <f>'RESUMEN TOTAL'!Z293</f>
        <v>0</v>
      </c>
      <c r="V288">
        <f>'RESUMEN TOTAL'!AA293</f>
        <v>0</v>
      </c>
      <c r="W288">
        <f>'RESUMEN TOTAL'!AB293</f>
        <v>0</v>
      </c>
      <c r="X288">
        <f>'RESUMEN TOTAL'!AC293</f>
        <v>0</v>
      </c>
      <c r="Y288">
        <f>'RESUMEN TOTAL'!AD293</f>
        <v>0</v>
      </c>
      <c r="Z288">
        <f>'RESUMEN TOTAL'!AE293</f>
        <v>0</v>
      </c>
      <c r="AA288">
        <f>'RESUMEN TOTAL'!AF293</f>
        <v>0</v>
      </c>
      <c r="AB288">
        <f>'RESUMEN TOTAL'!AG293</f>
        <v>0</v>
      </c>
      <c r="AC288">
        <f>'RESUMEN TOTAL'!AH293</f>
        <v>0</v>
      </c>
      <c r="AD288">
        <f>'RESUMEN TOTAL'!AI293</f>
        <v>0</v>
      </c>
      <c r="AE288">
        <f>'RESUMEN TOTAL'!AJ293</f>
        <v>0</v>
      </c>
      <c r="AF288">
        <f>'RESUMEN TOTAL'!AK293</f>
        <v>0</v>
      </c>
      <c r="AG288">
        <f>'RESUMEN TOTAL'!AL293</f>
        <v>0</v>
      </c>
      <c r="AH288">
        <f>'RESUMEN TOTAL'!AM293</f>
        <v>0</v>
      </c>
      <c r="AI288">
        <f>'RESUMEN TOTAL'!AN293</f>
        <v>0</v>
      </c>
    </row>
    <row r="289" spans="1:35" x14ac:dyDescent="0.3">
      <c r="A289" t="str">
        <f>'RESUMEN TOTAL'!A294</f>
        <v>LA SIRENA</v>
      </c>
      <c r="B289" t="str">
        <f>'RESUMEN TOTAL'!B294</f>
        <v>SIR11 (fija 1)</v>
      </c>
      <c r="C289" t="str">
        <f>'RESUMEN TOTAL'!D294</f>
        <v>LARREA Y GUARDIA NACIONAL</v>
      </c>
      <c r="D289" t="str">
        <f>'RESUMEN TOTAL'!E294</f>
        <v>Fija</v>
      </c>
      <c r="E289" t="str">
        <f>'RESUMEN TOTAL'!F294</f>
        <v>Fibra Optica</v>
      </c>
      <c r="F289">
        <f>'RESUMEN TOTAL'!K294</f>
        <v>0</v>
      </c>
      <c r="G289">
        <f>'RESUMEN TOTAL'!L294</f>
        <v>0</v>
      </c>
      <c r="H289">
        <f>'RESUMEN TOTAL'!M294</f>
        <v>0</v>
      </c>
      <c r="I289">
        <f>'RESUMEN TOTAL'!N294</f>
        <v>0</v>
      </c>
      <c r="J289">
        <f>'RESUMEN TOTAL'!O294</f>
        <v>0</v>
      </c>
      <c r="K289">
        <f>'RESUMEN TOTAL'!P294</f>
        <v>0</v>
      </c>
      <c r="L289">
        <f>'RESUMEN TOTAL'!Q294</f>
        <v>0</v>
      </c>
      <c r="M289">
        <f>'RESUMEN TOTAL'!R294</f>
        <v>0</v>
      </c>
      <c r="N289">
        <f>'RESUMEN TOTAL'!S294</f>
        <v>0</v>
      </c>
      <c r="O289">
        <f>'RESUMEN TOTAL'!T294</f>
        <v>0</v>
      </c>
      <c r="P289">
        <f>'RESUMEN TOTAL'!U294</f>
        <v>0</v>
      </c>
      <c r="Q289">
        <f>'RESUMEN TOTAL'!V294</f>
        <v>0</v>
      </c>
      <c r="R289">
        <f>'RESUMEN TOTAL'!W294</f>
        <v>0</v>
      </c>
      <c r="S289">
        <f>'RESUMEN TOTAL'!X294</f>
        <v>0</v>
      </c>
      <c r="T289">
        <f>'RESUMEN TOTAL'!Y294</f>
        <v>0</v>
      </c>
      <c r="U289">
        <f>'RESUMEN TOTAL'!Z294</f>
        <v>0</v>
      </c>
      <c r="V289">
        <f>'RESUMEN TOTAL'!AA294</f>
        <v>0</v>
      </c>
      <c r="W289">
        <f>'RESUMEN TOTAL'!AB294</f>
        <v>0</v>
      </c>
      <c r="X289">
        <f>'RESUMEN TOTAL'!AC294</f>
        <v>0</v>
      </c>
      <c r="Y289">
        <f>'RESUMEN TOTAL'!AD294</f>
        <v>0</v>
      </c>
      <c r="Z289">
        <f>'RESUMEN TOTAL'!AE294</f>
        <v>0</v>
      </c>
      <c r="AA289">
        <f>'RESUMEN TOTAL'!AF294</f>
        <v>0</v>
      </c>
      <c r="AB289">
        <f>'RESUMEN TOTAL'!AG294</f>
        <v>0</v>
      </c>
      <c r="AC289">
        <f>'RESUMEN TOTAL'!AH294</f>
        <v>0</v>
      </c>
      <c r="AD289">
        <f>'RESUMEN TOTAL'!AI294</f>
        <v>0</v>
      </c>
      <c r="AE289">
        <f>'RESUMEN TOTAL'!AJ294</f>
        <v>0</v>
      </c>
      <c r="AF289">
        <f>'RESUMEN TOTAL'!AK294</f>
        <v>0</v>
      </c>
      <c r="AG289">
        <f>'RESUMEN TOTAL'!AL294</f>
        <v>0</v>
      </c>
      <c r="AH289">
        <f>'RESUMEN TOTAL'!AM294</f>
        <v>0</v>
      </c>
      <c r="AI289">
        <f>'RESUMEN TOTAL'!AN294</f>
        <v>0</v>
      </c>
    </row>
    <row r="290" spans="1:35" x14ac:dyDescent="0.3">
      <c r="A290" t="str">
        <f>'RESUMEN TOTAL'!A295</f>
        <v>LA SIRENA</v>
      </c>
      <c r="B290" t="str">
        <f>'RESUMEN TOTAL'!B295</f>
        <v>SIR12 (fija 2)</v>
      </c>
      <c r="C290" t="str">
        <f>'RESUMEN TOTAL'!D295</f>
        <v>LARREA Y GUARDIA NACIONAL</v>
      </c>
      <c r="D290" t="str">
        <f>'RESUMEN TOTAL'!E295</f>
        <v>Fija</v>
      </c>
      <c r="E290" t="str">
        <f>'RESUMEN TOTAL'!F295</f>
        <v>Fibra Optica</v>
      </c>
      <c r="F290">
        <f>'RESUMEN TOTAL'!K295</f>
        <v>0</v>
      </c>
      <c r="G290">
        <f>'RESUMEN TOTAL'!L295</f>
        <v>0</v>
      </c>
      <c r="H290">
        <f>'RESUMEN TOTAL'!M295</f>
        <v>0</v>
      </c>
      <c r="I290">
        <f>'RESUMEN TOTAL'!N295</f>
        <v>0</v>
      </c>
      <c r="J290">
        <f>'RESUMEN TOTAL'!O295</f>
        <v>0</v>
      </c>
      <c r="K290">
        <f>'RESUMEN TOTAL'!P295</f>
        <v>0</v>
      </c>
      <c r="L290">
        <f>'RESUMEN TOTAL'!Q295</f>
        <v>0</v>
      </c>
      <c r="M290">
        <f>'RESUMEN TOTAL'!R295</f>
        <v>0</v>
      </c>
      <c r="N290">
        <f>'RESUMEN TOTAL'!S295</f>
        <v>0</v>
      </c>
      <c r="O290">
        <f>'RESUMEN TOTAL'!T295</f>
        <v>0</v>
      </c>
      <c r="P290">
        <f>'RESUMEN TOTAL'!U295</f>
        <v>0</v>
      </c>
      <c r="Q290">
        <f>'RESUMEN TOTAL'!V295</f>
        <v>0</v>
      </c>
      <c r="R290">
        <f>'RESUMEN TOTAL'!W295</f>
        <v>0</v>
      </c>
      <c r="S290">
        <f>'RESUMEN TOTAL'!X295</f>
        <v>0</v>
      </c>
      <c r="T290">
        <f>'RESUMEN TOTAL'!Y295</f>
        <v>0</v>
      </c>
      <c r="U290">
        <f>'RESUMEN TOTAL'!Z295</f>
        <v>0</v>
      </c>
      <c r="V290">
        <f>'RESUMEN TOTAL'!AA295</f>
        <v>0</v>
      </c>
      <c r="W290">
        <f>'RESUMEN TOTAL'!AB295</f>
        <v>0</v>
      </c>
      <c r="X290">
        <f>'RESUMEN TOTAL'!AC295</f>
        <v>0</v>
      </c>
      <c r="Y290">
        <f>'RESUMEN TOTAL'!AD295</f>
        <v>0</v>
      </c>
      <c r="Z290">
        <f>'RESUMEN TOTAL'!AE295</f>
        <v>0</v>
      </c>
      <c r="AA290">
        <f>'RESUMEN TOTAL'!AF295</f>
        <v>0</v>
      </c>
      <c r="AB290">
        <f>'RESUMEN TOTAL'!AG295</f>
        <v>0</v>
      </c>
      <c r="AC290">
        <f>'RESUMEN TOTAL'!AH295</f>
        <v>0</v>
      </c>
      <c r="AD290">
        <f>'RESUMEN TOTAL'!AI295</f>
        <v>0</v>
      </c>
      <c r="AE290">
        <f>'RESUMEN TOTAL'!AJ295</f>
        <v>0</v>
      </c>
      <c r="AF290">
        <f>'RESUMEN TOTAL'!AK295</f>
        <v>0</v>
      </c>
      <c r="AG290">
        <f>'RESUMEN TOTAL'!AL295</f>
        <v>0</v>
      </c>
      <c r="AH290">
        <f>'RESUMEN TOTAL'!AM295</f>
        <v>0</v>
      </c>
      <c r="AI290">
        <f>'RESUMEN TOTAL'!AN295</f>
        <v>0</v>
      </c>
    </row>
    <row r="291" spans="1:35" x14ac:dyDescent="0.3">
      <c r="A291" t="str">
        <f>'RESUMEN TOTAL'!A296</f>
        <v>VILLA AURORA</v>
      </c>
      <c r="B291" t="str">
        <f>'RESUMEN TOTAL'!B296</f>
        <v>SIR 13</v>
      </c>
      <c r="C291" t="str">
        <f>'RESUMEN TOTAL'!D296</f>
        <v>AV MONTEVERDE Y URIBURU</v>
      </c>
      <c r="D291" t="str">
        <f>'RESUMEN TOTAL'!E296</f>
        <v>Domo</v>
      </c>
      <c r="E291" t="str">
        <f>'RESUMEN TOTAL'!F296</f>
        <v>Fibra Optica</v>
      </c>
      <c r="F291">
        <f>'RESUMEN TOTAL'!K296</f>
        <v>0</v>
      </c>
      <c r="G291">
        <f>'RESUMEN TOTAL'!L296</f>
        <v>0</v>
      </c>
      <c r="H291">
        <f>'RESUMEN TOTAL'!M296</f>
        <v>0</v>
      </c>
      <c r="I291">
        <f>'RESUMEN TOTAL'!N296</f>
        <v>0</v>
      </c>
      <c r="J291">
        <f>'RESUMEN TOTAL'!O296</f>
        <v>0</v>
      </c>
      <c r="K291">
        <f>'RESUMEN TOTAL'!P296</f>
        <v>0</v>
      </c>
      <c r="L291">
        <f>'RESUMEN TOTAL'!Q296</f>
        <v>0</v>
      </c>
      <c r="M291">
        <f>'RESUMEN TOTAL'!R296</f>
        <v>0</v>
      </c>
      <c r="N291">
        <f>'RESUMEN TOTAL'!S296</f>
        <v>0</v>
      </c>
      <c r="O291">
        <f>'RESUMEN TOTAL'!T296</f>
        <v>0</v>
      </c>
      <c r="P291">
        <f>'RESUMEN TOTAL'!U296</f>
        <v>0</v>
      </c>
      <c r="Q291">
        <f>'RESUMEN TOTAL'!V296</f>
        <v>0</v>
      </c>
      <c r="R291">
        <f>'RESUMEN TOTAL'!W296</f>
        <v>0</v>
      </c>
      <c r="S291">
        <f>'RESUMEN TOTAL'!X296</f>
        <v>0</v>
      </c>
      <c r="T291">
        <f>'RESUMEN TOTAL'!Y296</f>
        <v>0</v>
      </c>
      <c r="U291">
        <f>'RESUMEN TOTAL'!Z296</f>
        <v>0</v>
      </c>
      <c r="V291">
        <f>'RESUMEN TOTAL'!AA296</f>
        <v>0</v>
      </c>
      <c r="W291">
        <f>'RESUMEN TOTAL'!AB296</f>
        <v>0</v>
      </c>
      <c r="X291">
        <f>'RESUMEN TOTAL'!AC296</f>
        <v>0</v>
      </c>
      <c r="Y291">
        <f>'RESUMEN TOTAL'!AD296</f>
        <v>0</v>
      </c>
      <c r="Z291">
        <f>'RESUMEN TOTAL'!AE296</f>
        <v>0</v>
      </c>
      <c r="AA291">
        <f>'RESUMEN TOTAL'!AF296</f>
        <v>0</v>
      </c>
      <c r="AB291">
        <f>'RESUMEN TOTAL'!AG296</f>
        <v>0</v>
      </c>
      <c r="AC291">
        <f>'RESUMEN TOTAL'!AH296</f>
        <v>0</v>
      </c>
      <c r="AD291">
        <f>'RESUMEN TOTAL'!AI296</f>
        <v>0</v>
      </c>
      <c r="AE291">
        <f>'RESUMEN TOTAL'!AJ296</f>
        <v>0</v>
      </c>
      <c r="AF291">
        <f>'RESUMEN TOTAL'!AK296</f>
        <v>0</v>
      </c>
      <c r="AG291">
        <f>'RESUMEN TOTAL'!AL296</f>
        <v>0</v>
      </c>
      <c r="AH291">
        <f>'RESUMEN TOTAL'!AM296</f>
        <v>0</v>
      </c>
      <c r="AI291">
        <f>'RESUMEN TOTAL'!AN296</f>
        <v>0</v>
      </c>
    </row>
    <row r="292" spans="1:35" x14ac:dyDescent="0.3">
      <c r="A292" t="str">
        <f>'RESUMEN TOTAL'!A297</f>
        <v>LA SIRENA</v>
      </c>
      <c r="B292" t="str">
        <f>'RESUMEN TOTAL'!B297</f>
        <v>SIR 14</v>
      </c>
      <c r="C292" t="str">
        <f>'RESUMEN TOTAL'!D297</f>
        <v>MANUEL IGLESIAS Y PEDRAZA</v>
      </c>
      <c r="D292" t="str">
        <f>'RESUMEN TOTAL'!E297</f>
        <v>Domo</v>
      </c>
      <c r="E292" t="str">
        <f>'RESUMEN TOTAL'!F297</f>
        <v>Fibra Optica</v>
      </c>
      <c r="F292">
        <f>'RESUMEN TOTAL'!K297</f>
        <v>0</v>
      </c>
      <c r="G292">
        <f>'RESUMEN TOTAL'!L297</f>
        <v>0</v>
      </c>
      <c r="H292">
        <f>'RESUMEN TOTAL'!M297</f>
        <v>0</v>
      </c>
      <c r="I292">
        <f>'RESUMEN TOTAL'!N297</f>
        <v>0</v>
      </c>
      <c r="J292">
        <f>'RESUMEN TOTAL'!O297</f>
        <v>0</v>
      </c>
      <c r="K292">
        <f>'RESUMEN TOTAL'!P297</f>
        <v>0</v>
      </c>
      <c r="L292">
        <f>'RESUMEN TOTAL'!Q297</f>
        <v>0</v>
      </c>
      <c r="M292">
        <f>'RESUMEN TOTAL'!R297</f>
        <v>0</v>
      </c>
      <c r="N292">
        <f>'RESUMEN TOTAL'!S297</f>
        <v>0</v>
      </c>
      <c r="O292">
        <f>'RESUMEN TOTAL'!T297</f>
        <v>0</v>
      </c>
      <c r="P292">
        <f>'RESUMEN TOTAL'!U297</f>
        <v>0</v>
      </c>
      <c r="Q292">
        <f>'RESUMEN TOTAL'!V297</f>
        <v>0</v>
      </c>
      <c r="R292">
        <f>'RESUMEN TOTAL'!W297</f>
        <v>0</v>
      </c>
      <c r="S292">
        <f>'RESUMEN TOTAL'!X297</f>
        <v>0</v>
      </c>
      <c r="T292">
        <f>'RESUMEN TOTAL'!Y297</f>
        <v>0</v>
      </c>
      <c r="U292">
        <f>'RESUMEN TOTAL'!Z297</f>
        <v>0</v>
      </c>
      <c r="V292">
        <f>'RESUMEN TOTAL'!AA297</f>
        <v>0</v>
      </c>
      <c r="W292">
        <f>'RESUMEN TOTAL'!AB297</f>
        <v>0</v>
      </c>
      <c r="X292">
        <f>'RESUMEN TOTAL'!AC297</f>
        <v>0</v>
      </c>
      <c r="Y292">
        <f>'RESUMEN TOTAL'!AD297</f>
        <v>0</v>
      </c>
      <c r="Z292">
        <f>'RESUMEN TOTAL'!AE297</f>
        <v>0</v>
      </c>
      <c r="AA292">
        <f>'RESUMEN TOTAL'!AF297</f>
        <v>0</v>
      </c>
      <c r="AB292">
        <f>'RESUMEN TOTAL'!AG297</f>
        <v>0</v>
      </c>
      <c r="AC292">
        <f>'RESUMEN TOTAL'!AH297</f>
        <v>0</v>
      </c>
      <c r="AD292">
        <f>'RESUMEN TOTAL'!AI297</f>
        <v>0</v>
      </c>
      <c r="AE292">
        <f>'RESUMEN TOTAL'!AJ297</f>
        <v>0</v>
      </c>
      <c r="AF292">
        <f>'RESUMEN TOTAL'!AK297</f>
        <v>0</v>
      </c>
      <c r="AG292">
        <f>'RESUMEN TOTAL'!AL297</f>
        <v>0</v>
      </c>
      <c r="AH292">
        <f>'RESUMEN TOTAL'!AM297</f>
        <v>0</v>
      </c>
      <c r="AI292">
        <f>'RESUMEN TOTAL'!AN297</f>
        <v>0</v>
      </c>
    </row>
    <row r="293" spans="1:35" x14ac:dyDescent="0.3">
      <c r="A293" t="str">
        <f>'RESUMEN TOTAL'!A298</f>
        <v>LA SIRENA</v>
      </c>
      <c r="B293" t="str">
        <f>'RESUMEN TOTAL'!B298</f>
        <v>SIR 15</v>
      </c>
      <c r="C293" t="str">
        <f>'RESUMEN TOTAL'!D298</f>
        <v>Monteverde y Azara</v>
      </c>
      <c r="D293" t="str">
        <f>'RESUMEN TOTAL'!E298</f>
        <v>Domo</v>
      </c>
      <c r="E293" t="str">
        <f>'RESUMEN TOTAL'!F298</f>
        <v>Fibra Optica</v>
      </c>
      <c r="F293">
        <f>'RESUMEN TOTAL'!K298</f>
        <v>0</v>
      </c>
      <c r="G293">
        <f>'RESUMEN TOTAL'!L298</f>
        <v>0</v>
      </c>
      <c r="H293">
        <f>'RESUMEN TOTAL'!M298</f>
        <v>0</v>
      </c>
      <c r="I293">
        <f>'RESUMEN TOTAL'!N298</f>
        <v>0</v>
      </c>
      <c r="J293">
        <f>'RESUMEN TOTAL'!O298</f>
        <v>0</v>
      </c>
      <c r="K293">
        <f>'RESUMEN TOTAL'!P298</f>
        <v>0</v>
      </c>
      <c r="L293">
        <f>'RESUMEN TOTAL'!Q298</f>
        <v>0</v>
      </c>
      <c r="M293">
        <f>'RESUMEN TOTAL'!R298</f>
        <v>0</v>
      </c>
      <c r="N293">
        <f>'RESUMEN TOTAL'!S298</f>
        <v>0</v>
      </c>
      <c r="O293">
        <f>'RESUMEN TOTAL'!T298</f>
        <v>0</v>
      </c>
      <c r="P293">
        <f>'RESUMEN TOTAL'!U298</f>
        <v>0</v>
      </c>
      <c r="Q293">
        <f>'RESUMEN TOTAL'!V298</f>
        <v>0</v>
      </c>
      <c r="R293">
        <f>'RESUMEN TOTAL'!W298</f>
        <v>0</v>
      </c>
      <c r="S293">
        <f>'RESUMEN TOTAL'!X298</f>
        <v>0</v>
      </c>
      <c r="T293">
        <f>'RESUMEN TOTAL'!Y298</f>
        <v>0</v>
      </c>
      <c r="U293">
        <f>'RESUMEN TOTAL'!Z298</f>
        <v>0</v>
      </c>
      <c r="V293">
        <f>'RESUMEN TOTAL'!AA298</f>
        <v>0</v>
      </c>
      <c r="W293">
        <f>'RESUMEN TOTAL'!AB298</f>
        <v>0</v>
      </c>
      <c r="X293">
        <f>'RESUMEN TOTAL'!AC298</f>
        <v>0</v>
      </c>
      <c r="Y293">
        <f>'RESUMEN TOTAL'!AD298</f>
        <v>0</v>
      </c>
      <c r="Z293">
        <f>'RESUMEN TOTAL'!AE298</f>
        <v>0</v>
      </c>
      <c r="AA293">
        <f>'RESUMEN TOTAL'!AF298</f>
        <v>0</v>
      </c>
      <c r="AB293">
        <f>'RESUMEN TOTAL'!AG298</f>
        <v>0</v>
      </c>
      <c r="AC293">
        <f>'RESUMEN TOTAL'!AH298</f>
        <v>0</v>
      </c>
      <c r="AD293">
        <f>'RESUMEN TOTAL'!AI298</f>
        <v>0</v>
      </c>
      <c r="AE293">
        <f>'RESUMEN TOTAL'!AJ298</f>
        <v>0</v>
      </c>
      <c r="AF293">
        <f>'RESUMEN TOTAL'!AK298</f>
        <v>0</v>
      </c>
      <c r="AG293">
        <f>'RESUMEN TOTAL'!AL298</f>
        <v>0</v>
      </c>
      <c r="AH293">
        <f>'RESUMEN TOTAL'!AM298</f>
        <v>0</v>
      </c>
      <c r="AI293">
        <f>'RESUMEN TOTAL'!AN298</f>
        <v>0</v>
      </c>
    </row>
    <row r="294" spans="1:35" x14ac:dyDescent="0.3">
      <c r="A294" t="str">
        <f>'RESUMEN TOTAL'!A299</f>
        <v>SAN JORGE</v>
      </c>
      <c r="B294" t="str">
        <f>'RESUMEN TOTAL'!B299</f>
        <v>SJO 03</v>
      </c>
      <c r="C294" t="str">
        <f>'RESUMEN TOTAL'!D299</f>
        <v>517 Y 580</v>
      </c>
      <c r="D294" t="str">
        <f>'RESUMEN TOTAL'!E299</f>
        <v>DOMO</v>
      </c>
      <c r="E294" t="str">
        <f>'RESUMEN TOTAL'!F299</f>
        <v>Radio</v>
      </c>
      <c r="F294">
        <f>'RESUMEN TOTAL'!K299</f>
        <v>0</v>
      </c>
      <c r="G294">
        <f>'RESUMEN TOTAL'!L299</f>
        <v>0</v>
      </c>
      <c r="H294">
        <f>'RESUMEN TOTAL'!M299</f>
        <v>0</v>
      </c>
      <c r="I294">
        <f>'RESUMEN TOTAL'!N299</f>
        <v>0</v>
      </c>
      <c r="J294">
        <f>'RESUMEN TOTAL'!O299</f>
        <v>0</v>
      </c>
      <c r="K294">
        <f>'RESUMEN TOTAL'!P299</f>
        <v>0</v>
      </c>
      <c r="L294">
        <f>'RESUMEN TOTAL'!Q299</f>
        <v>0</v>
      </c>
      <c r="M294">
        <f>'RESUMEN TOTAL'!R299</f>
        <v>0</v>
      </c>
      <c r="N294">
        <f>'RESUMEN TOTAL'!S299</f>
        <v>0</v>
      </c>
      <c r="O294">
        <f>'RESUMEN TOTAL'!T299</f>
        <v>0</v>
      </c>
      <c r="P294">
        <f>'RESUMEN TOTAL'!U299</f>
        <v>0</v>
      </c>
      <c r="Q294">
        <f>'RESUMEN TOTAL'!V299</f>
        <v>0</v>
      </c>
      <c r="R294">
        <f>'RESUMEN TOTAL'!W299</f>
        <v>0</v>
      </c>
      <c r="S294">
        <f>'RESUMEN TOTAL'!X299</f>
        <v>0</v>
      </c>
      <c r="T294">
        <f>'RESUMEN TOTAL'!Y299</f>
        <v>0</v>
      </c>
      <c r="U294">
        <f>'RESUMEN TOTAL'!Z299</f>
        <v>0</v>
      </c>
      <c r="V294">
        <f>'RESUMEN TOTAL'!AA299</f>
        <v>0</v>
      </c>
      <c r="W294">
        <f>'RESUMEN TOTAL'!AB299</f>
        <v>0</v>
      </c>
      <c r="X294">
        <f>'RESUMEN TOTAL'!AC299</f>
        <v>0</v>
      </c>
      <c r="Y294">
        <f>'RESUMEN TOTAL'!AD299</f>
        <v>0</v>
      </c>
      <c r="Z294">
        <f>'RESUMEN TOTAL'!AE299</f>
        <v>0</v>
      </c>
      <c r="AA294">
        <f>'RESUMEN TOTAL'!AF299</f>
        <v>0</v>
      </c>
      <c r="AB294">
        <f>'RESUMEN TOTAL'!AG299</f>
        <v>0</v>
      </c>
      <c r="AC294">
        <f>'RESUMEN TOTAL'!AH299</f>
        <v>0</v>
      </c>
      <c r="AD294">
        <f>'RESUMEN TOTAL'!AI299</f>
        <v>0</v>
      </c>
      <c r="AE294">
        <f>'RESUMEN TOTAL'!AJ299</f>
        <v>0</v>
      </c>
      <c r="AF294">
        <f>'RESUMEN TOTAL'!AK299</f>
        <v>0</v>
      </c>
      <c r="AG294">
        <f>'RESUMEN TOTAL'!AL299</f>
        <v>0</v>
      </c>
      <c r="AH294">
        <f>'RESUMEN TOTAL'!AM299</f>
        <v>0</v>
      </c>
      <c r="AI294">
        <f>'RESUMEN TOTAL'!AN299</f>
        <v>0</v>
      </c>
    </row>
    <row r="295" spans="1:35" x14ac:dyDescent="0.3">
      <c r="A295" t="str">
        <f>'RESUMEN TOTAL'!A300</f>
        <v>SAN JORGE</v>
      </c>
      <c r="B295" t="str">
        <f>'RESUMEN TOTAL'!B300</f>
        <v>SJO 04</v>
      </c>
      <c r="C295" t="str">
        <f>'RESUMEN TOTAL'!D300</f>
        <v>552 Y 519</v>
      </c>
      <c r="D295" t="str">
        <f>'RESUMEN TOTAL'!E300</f>
        <v>DOMO</v>
      </c>
      <c r="E295" t="str">
        <f>'RESUMEN TOTAL'!F300</f>
        <v>Radio</v>
      </c>
      <c r="F295">
        <f>'RESUMEN TOTAL'!K300</f>
        <v>0</v>
      </c>
      <c r="G295">
        <f>'RESUMEN TOTAL'!L300</f>
        <v>0</v>
      </c>
      <c r="H295">
        <f>'RESUMEN TOTAL'!M300</f>
        <v>0</v>
      </c>
      <c r="I295">
        <f>'RESUMEN TOTAL'!N300</f>
        <v>0</v>
      </c>
      <c r="J295">
        <f>'RESUMEN TOTAL'!O300</f>
        <v>0</v>
      </c>
      <c r="K295">
        <f>'RESUMEN TOTAL'!P300</f>
        <v>0</v>
      </c>
      <c r="L295">
        <f>'RESUMEN TOTAL'!Q300</f>
        <v>0</v>
      </c>
      <c r="M295">
        <f>'RESUMEN TOTAL'!R300</f>
        <v>0</v>
      </c>
      <c r="N295">
        <f>'RESUMEN TOTAL'!S300</f>
        <v>0</v>
      </c>
      <c r="O295">
        <f>'RESUMEN TOTAL'!T300</f>
        <v>0</v>
      </c>
      <c r="P295">
        <f>'RESUMEN TOTAL'!U300</f>
        <v>0</v>
      </c>
      <c r="Q295">
        <f>'RESUMEN TOTAL'!V300</f>
        <v>0</v>
      </c>
      <c r="R295">
        <f>'RESUMEN TOTAL'!W300</f>
        <v>0</v>
      </c>
      <c r="S295">
        <f>'RESUMEN TOTAL'!X300</f>
        <v>0</v>
      </c>
      <c r="T295">
        <f>'RESUMEN TOTAL'!Y300</f>
        <v>0</v>
      </c>
      <c r="U295">
        <f>'RESUMEN TOTAL'!Z300</f>
        <v>0</v>
      </c>
      <c r="V295">
        <f>'RESUMEN TOTAL'!AA300</f>
        <v>0</v>
      </c>
      <c r="W295">
        <f>'RESUMEN TOTAL'!AB300</f>
        <v>0</v>
      </c>
      <c r="X295">
        <f>'RESUMEN TOTAL'!AC300</f>
        <v>0</v>
      </c>
      <c r="Y295">
        <f>'RESUMEN TOTAL'!AD300</f>
        <v>0</v>
      </c>
      <c r="Z295">
        <f>'RESUMEN TOTAL'!AE300</f>
        <v>0</v>
      </c>
      <c r="AA295">
        <f>'RESUMEN TOTAL'!AF300</f>
        <v>0</v>
      </c>
      <c r="AB295">
        <f>'RESUMEN TOTAL'!AG300</f>
        <v>0</v>
      </c>
      <c r="AC295">
        <f>'RESUMEN TOTAL'!AH300</f>
        <v>0</v>
      </c>
      <c r="AD295">
        <f>'RESUMEN TOTAL'!AI300</f>
        <v>0</v>
      </c>
      <c r="AE295">
        <f>'RESUMEN TOTAL'!AJ300</f>
        <v>0</v>
      </c>
      <c r="AF295">
        <f>'RESUMEN TOTAL'!AK300</f>
        <v>0</v>
      </c>
      <c r="AG295">
        <f>'RESUMEN TOTAL'!AL300</f>
        <v>0</v>
      </c>
      <c r="AH295">
        <f>'RESUMEN TOTAL'!AM300</f>
        <v>0</v>
      </c>
      <c r="AI295">
        <f>'RESUMEN TOTAL'!AN300</f>
        <v>0</v>
      </c>
    </row>
    <row r="296" spans="1:35" x14ac:dyDescent="0.3">
      <c r="A296" t="str">
        <f>'RESUMEN TOTAL'!A301</f>
        <v>SAN JORGE</v>
      </c>
      <c r="B296" t="str">
        <f>'RESUMEN TOTAL'!B301</f>
        <v>SJO 09 (FIJA 1)</v>
      </c>
      <c r="C296" t="str">
        <f>'RESUMEN TOTAL'!D301</f>
        <v>515 Y 566</v>
      </c>
      <c r="D296" t="str">
        <f>'RESUMEN TOTAL'!E301</f>
        <v>Fija</v>
      </c>
      <c r="E296" t="str">
        <f>'RESUMEN TOTAL'!F301</f>
        <v>Radio</v>
      </c>
      <c r="F296">
        <f>'RESUMEN TOTAL'!K301</f>
        <v>0</v>
      </c>
      <c r="G296">
        <f>'RESUMEN TOTAL'!L301</f>
        <v>0</v>
      </c>
      <c r="H296">
        <f>'RESUMEN TOTAL'!M301</f>
        <v>0</v>
      </c>
      <c r="I296">
        <f>'RESUMEN TOTAL'!N301</f>
        <v>0</v>
      </c>
      <c r="J296">
        <f>'RESUMEN TOTAL'!O301</f>
        <v>0</v>
      </c>
      <c r="K296">
        <f>'RESUMEN TOTAL'!P301</f>
        <v>0</v>
      </c>
      <c r="L296">
        <f>'RESUMEN TOTAL'!Q301</f>
        <v>0</v>
      </c>
      <c r="M296">
        <f>'RESUMEN TOTAL'!R301</f>
        <v>0</v>
      </c>
      <c r="N296">
        <f>'RESUMEN TOTAL'!S301</f>
        <v>0</v>
      </c>
      <c r="O296">
        <f>'RESUMEN TOTAL'!T301</f>
        <v>0</v>
      </c>
      <c r="P296">
        <f>'RESUMEN TOTAL'!U301</f>
        <v>0</v>
      </c>
      <c r="Q296">
        <f>'RESUMEN TOTAL'!V301</f>
        <v>0</v>
      </c>
      <c r="R296">
        <f>'RESUMEN TOTAL'!W301</f>
        <v>0</v>
      </c>
      <c r="S296">
        <f>'RESUMEN TOTAL'!X301</f>
        <v>0</v>
      </c>
      <c r="T296">
        <f>'RESUMEN TOTAL'!Y301</f>
        <v>0</v>
      </c>
      <c r="U296">
        <f>'RESUMEN TOTAL'!Z301</f>
        <v>0</v>
      </c>
      <c r="V296">
        <f>'RESUMEN TOTAL'!AA301</f>
        <v>0</v>
      </c>
      <c r="W296">
        <f>'RESUMEN TOTAL'!AB301</f>
        <v>0</v>
      </c>
      <c r="X296">
        <f>'RESUMEN TOTAL'!AC301</f>
        <v>0</v>
      </c>
      <c r="Y296">
        <f>'RESUMEN TOTAL'!AD301</f>
        <v>0</v>
      </c>
      <c r="Z296">
        <f>'RESUMEN TOTAL'!AE301</f>
        <v>0</v>
      </c>
      <c r="AA296">
        <f>'RESUMEN TOTAL'!AF301</f>
        <v>0</v>
      </c>
      <c r="AB296">
        <f>'RESUMEN TOTAL'!AG301</f>
        <v>0</v>
      </c>
      <c r="AC296">
        <f>'RESUMEN TOTAL'!AH301</f>
        <v>0</v>
      </c>
      <c r="AD296">
        <f>'RESUMEN TOTAL'!AI301</f>
        <v>0</v>
      </c>
      <c r="AE296">
        <f>'RESUMEN TOTAL'!AJ301</f>
        <v>0</v>
      </c>
      <c r="AF296">
        <f>'RESUMEN TOTAL'!AK301</f>
        <v>0</v>
      </c>
      <c r="AG296">
        <f>'RESUMEN TOTAL'!AL301</f>
        <v>0</v>
      </c>
      <c r="AH296">
        <f>'RESUMEN TOTAL'!AM301</f>
        <v>0</v>
      </c>
      <c r="AI296">
        <f>'RESUMEN TOTAL'!AN301</f>
        <v>0</v>
      </c>
    </row>
    <row r="297" spans="1:35" x14ac:dyDescent="0.3">
      <c r="A297" t="str">
        <f>'RESUMEN TOTAL'!A302</f>
        <v>SAN JORGE</v>
      </c>
      <c r="B297" t="str">
        <f>'RESUMEN TOTAL'!B302</f>
        <v>SJO 10 (FIJA 2)</v>
      </c>
      <c r="C297" t="str">
        <f>'RESUMEN TOTAL'!D302</f>
        <v>515 Y 566</v>
      </c>
      <c r="D297" t="str">
        <f>'RESUMEN TOTAL'!E302</f>
        <v>Fija</v>
      </c>
      <c r="E297" t="str">
        <f>'RESUMEN TOTAL'!F302</f>
        <v>Radio</v>
      </c>
      <c r="F297">
        <f>'RESUMEN TOTAL'!K302</f>
        <v>0</v>
      </c>
      <c r="G297">
        <f>'RESUMEN TOTAL'!L302</f>
        <v>0</v>
      </c>
      <c r="H297">
        <f>'RESUMEN TOTAL'!M302</f>
        <v>0</v>
      </c>
      <c r="I297">
        <f>'RESUMEN TOTAL'!N302</f>
        <v>0</v>
      </c>
      <c r="J297">
        <f>'RESUMEN TOTAL'!O302</f>
        <v>0</v>
      </c>
      <c r="K297">
        <f>'RESUMEN TOTAL'!P302</f>
        <v>0</v>
      </c>
      <c r="L297">
        <f>'RESUMEN TOTAL'!Q302</f>
        <v>0</v>
      </c>
      <c r="M297">
        <f>'RESUMEN TOTAL'!R302</f>
        <v>0</v>
      </c>
      <c r="N297">
        <f>'RESUMEN TOTAL'!S302</f>
        <v>0</v>
      </c>
      <c r="O297">
        <f>'RESUMEN TOTAL'!T302</f>
        <v>0</v>
      </c>
      <c r="P297">
        <f>'RESUMEN TOTAL'!U302</f>
        <v>0</v>
      </c>
      <c r="Q297">
        <f>'RESUMEN TOTAL'!V302</f>
        <v>0</v>
      </c>
      <c r="R297">
        <f>'RESUMEN TOTAL'!W302</f>
        <v>0</v>
      </c>
      <c r="S297">
        <f>'RESUMEN TOTAL'!X302</f>
        <v>0</v>
      </c>
      <c r="T297">
        <f>'RESUMEN TOTAL'!Y302</f>
        <v>0</v>
      </c>
      <c r="U297">
        <f>'RESUMEN TOTAL'!Z302</f>
        <v>0</v>
      </c>
      <c r="V297">
        <f>'RESUMEN TOTAL'!AA302</f>
        <v>0</v>
      </c>
      <c r="W297">
        <f>'RESUMEN TOTAL'!AB302</f>
        <v>0</v>
      </c>
      <c r="X297">
        <f>'RESUMEN TOTAL'!AC302</f>
        <v>0</v>
      </c>
      <c r="Y297">
        <f>'RESUMEN TOTAL'!AD302</f>
        <v>0</v>
      </c>
      <c r="Z297">
        <f>'RESUMEN TOTAL'!AE302</f>
        <v>0</v>
      </c>
      <c r="AA297">
        <f>'RESUMEN TOTAL'!AF302</f>
        <v>0</v>
      </c>
      <c r="AB297">
        <f>'RESUMEN TOTAL'!AG302</f>
        <v>0</v>
      </c>
      <c r="AC297">
        <f>'RESUMEN TOTAL'!AH302</f>
        <v>0</v>
      </c>
      <c r="AD297">
        <f>'RESUMEN TOTAL'!AI302</f>
        <v>0</v>
      </c>
      <c r="AE297">
        <f>'RESUMEN TOTAL'!AJ302</f>
        <v>0</v>
      </c>
      <c r="AF297">
        <f>'RESUMEN TOTAL'!AK302</f>
        <v>0</v>
      </c>
      <c r="AG297">
        <f>'RESUMEN TOTAL'!AL302</f>
        <v>0</v>
      </c>
      <c r="AH297">
        <f>'RESUMEN TOTAL'!AM302</f>
        <v>0</v>
      </c>
      <c r="AI297">
        <f>'RESUMEN TOTAL'!AN302</f>
        <v>0</v>
      </c>
    </row>
    <row r="298" spans="1:35" x14ac:dyDescent="0.3">
      <c r="A298" t="str">
        <f>'RESUMEN TOTAL'!A303</f>
        <v>SAN JORGE</v>
      </c>
      <c r="B298" t="str">
        <f>'RESUMEN TOTAL'!B303</f>
        <v>SJO01</v>
      </c>
      <c r="C298" t="str">
        <f>'RESUMEN TOTAL'!D303</f>
        <v>Calle 554 y 527</v>
      </c>
      <c r="D298" t="str">
        <f>'RESUMEN TOTAL'!E303</f>
        <v>Domo</v>
      </c>
      <c r="E298" t="str">
        <f>'RESUMEN TOTAL'!F303</f>
        <v>Radio</v>
      </c>
      <c r="F298">
        <f>'RESUMEN TOTAL'!K303</f>
        <v>0</v>
      </c>
      <c r="G298">
        <f>'RESUMEN TOTAL'!L303</f>
        <v>0</v>
      </c>
      <c r="H298">
        <f>'RESUMEN TOTAL'!M303</f>
        <v>0</v>
      </c>
      <c r="I298">
        <f>'RESUMEN TOTAL'!N303</f>
        <v>0</v>
      </c>
      <c r="J298">
        <f>'RESUMEN TOTAL'!O303</f>
        <v>0</v>
      </c>
      <c r="K298">
        <f>'RESUMEN TOTAL'!P303</f>
        <v>0</v>
      </c>
      <c r="L298">
        <f>'RESUMEN TOTAL'!Q303</f>
        <v>0</v>
      </c>
      <c r="M298">
        <f>'RESUMEN TOTAL'!R303</f>
        <v>0</v>
      </c>
      <c r="N298">
        <f>'RESUMEN TOTAL'!S303</f>
        <v>0</v>
      </c>
      <c r="O298">
        <f>'RESUMEN TOTAL'!T303</f>
        <v>0</v>
      </c>
      <c r="P298">
        <f>'RESUMEN TOTAL'!U303</f>
        <v>0</v>
      </c>
      <c r="Q298">
        <f>'RESUMEN TOTAL'!V303</f>
        <v>0</v>
      </c>
      <c r="R298">
        <f>'RESUMEN TOTAL'!W303</f>
        <v>0</v>
      </c>
      <c r="S298">
        <f>'RESUMEN TOTAL'!X303</f>
        <v>0</v>
      </c>
      <c r="T298">
        <f>'RESUMEN TOTAL'!Y303</f>
        <v>0</v>
      </c>
      <c r="U298">
        <f>'RESUMEN TOTAL'!Z303</f>
        <v>0</v>
      </c>
      <c r="V298">
        <f>'RESUMEN TOTAL'!AA303</f>
        <v>0</v>
      </c>
      <c r="W298">
        <f>'RESUMEN TOTAL'!AB303</f>
        <v>0</v>
      </c>
      <c r="X298">
        <f>'RESUMEN TOTAL'!AC303</f>
        <v>0</v>
      </c>
      <c r="Y298">
        <f>'RESUMEN TOTAL'!AD303</f>
        <v>0</v>
      </c>
      <c r="Z298">
        <f>'RESUMEN TOTAL'!AE303</f>
        <v>0</v>
      </c>
      <c r="AA298">
        <f>'RESUMEN TOTAL'!AF303</f>
        <v>0</v>
      </c>
      <c r="AB298">
        <f>'RESUMEN TOTAL'!AG303</f>
        <v>0</v>
      </c>
      <c r="AC298">
        <f>'RESUMEN TOTAL'!AH303</f>
        <v>0</v>
      </c>
      <c r="AD298">
        <f>'RESUMEN TOTAL'!AI303</f>
        <v>0</v>
      </c>
      <c r="AE298">
        <f>'RESUMEN TOTAL'!AJ303</f>
        <v>0</v>
      </c>
      <c r="AF298">
        <f>'RESUMEN TOTAL'!AK303</f>
        <v>0</v>
      </c>
      <c r="AG298">
        <f>'RESUMEN TOTAL'!AL303</f>
        <v>0</v>
      </c>
      <c r="AH298">
        <f>'RESUMEN TOTAL'!AM303</f>
        <v>0</v>
      </c>
      <c r="AI298">
        <f>'RESUMEN TOTAL'!AN303</f>
        <v>0</v>
      </c>
    </row>
    <row r="299" spans="1:35" x14ac:dyDescent="0.3">
      <c r="A299" t="str">
        <f>'RESUMEN TOTAL'!A304</f>
        <v>SAN JORGE</v>
      </c>
      <c r="B299" t="str">
        <f>'RESUMEN TOTAL'!B304</f>
        <v>SJO02</v>
      </c>
      <c r="C299" t="str">
        <f>'RESUMEN TOTAL'!D304</f>
        <v>Calle 554 y 511</v>
      </c>
      <c r="D299" t="str">
        <f>'RESUMEN TOTAL'!E304</f>
        <v>Domo</v>
      </c>
      <c r="E299" t="str">
        <f>'RESUMEN TOTAL'!F304</f>
        <v>Radio</v>
      </c>
      <c r="F299">
        <f>'RESUMEN TOTAL'!K304</f>
        <v>0</v>
      </c>
      <c r="G299">
        <f>'RESUMEN TOTAL'!L304</f>
        <v>0</v>
      </c>
      <c r="H299">
        <f>'RESUMEN TOTAL'!M304</f>
        <v>0</v>
      </c>
      <c r="I299">
        <f>'RESUMEN TOTAL'!N304</f>
        <v>0</v>
      </c>
      <c r="J299">
        <f>'RESUMEN TOTAL'!O304</f>
        <v>0</v>
      </c>
      <c r="K299">
        <f>'RESUMEN TOTAL'!P304</f>
        <v>0</v>
      </c>
      <c r="L299">
        <f>'RESUMEN TOTAL'!Q304</f>
        <v>0</v>
      </c>
      <c r="M299">
        <f>'RESUMEN TOTAL'!R304</f>
        <v>0</v>
      </c>
      <c r="N299" t="str">
        <f>'RESUMEN TOTAL'!S304</f>
        <v>APAGADO</v>
      </c>
      <c r="O299" t="str">
        <f>'RESUMEN TOTAL'!T304</f>
        <v>APAGADO</v>
      </c>
      <c r="P299" t="str">
        <f>'RESUMEN TOTAL'!U304</f>
        <v>APAGADO</v>
      </c>
      <c r="Q299">
        <f>'RESUMEN TOTAL'!V304</f>
        <v>0</v>
      </c>
      <c r="R299">
        <f>'RESUMEN TOTAL'!W304</f>
        <v>0</v>
      </c>
      <c r="S299">
        <f>'RESUMEN TOTAL'!X304</f>
        <v>0</v>
      </c>
      <c r="T299">
        <f>'RESUMEN TOTAL'!Y304</f>
        <v>0</v>
      </c>
      <c r="U299">
        <f>'RESUMEN TOTAL'!Z304</f>
        <v>0</v>
      </c>
      <c r="V299" t="str">
        <f>'RESUMEN TOTAL'!AA304</f>
        <v>APAGADO</v>
      </c>
      <c r="W299">
        <f>'RESUMEN TOTAL'!AB304</f>
        <v>0</v>
      </c>
      <c r="X299">
        <f>'RESUMEN TOTAL'!AC304</f>
        <v>0</v>
      </c>
      <c r="Y299">
        <f>'RESUMEN TOTAL'!AD304</f>
        <v>0</v>
      </c>
      <c r="Z299">
        <f>'RESUMEN TOTAL'!AE304</f>
        <v>0</v>
      </c>
      <c r="AA299">
        <f>'RESUMEN TOTAL'!AF304</f>
        <v>0</v>
      </c>
      <c r="AB299">
        <f>'RESUMEN TOTAL'!AG304</f>
        <v>0</v>
      </c>
      <c r="AC299">
        <f>'RESUMEN TOTAL'!AH304</f>
        <v>0</v>
      </c>
      <c r="AD299">
        <f>'RESUMEN TOTAL'!AI304</f>
        <v>0</v>
      </c>
      <c r="AE299">
        <f>'RESUMEN TOTAL'!AJ304</f>
        <v>0</v>
      </c>
      <c r="AF299">
        <f>'RESUMEN TOTAL'!AK304</f>
        <v>0</v>
      </c>
      <c r="AG299">
        <f>'RESUMEN TOTAL'!AL304</f>
        <v>0</v>
      </c>
      <c r="AH299">
        <f>'RESUMEN TOTAL'!AM304</f>
        <v>0</v>
      </c>
      <c r="AI299">
        <f>'RESUMEN TOTAL'!AN304</f>
        <v>0</v>
      </c>
    </row>
    <row r="300" spans="1:35" x14ac:dyDescent="0.3">
      <c r="A300" t="str">
        <f>'RESUMEN TOTAL'!A305</f>
        <v>SAN JORGE</v>
      </c>
      <c r="B300" t="str">
        <f>'RESUMEN TOTAL'!B305</f>
        <v>SJO05 (fija 1)</v>
      </c>
      <c r="C300" t="str">
        <f>'RESUMEN TOTAL'!D305</f>
        <v>511 Y 560</v>
      </c>
      <c r="D300" t="str">
        <f>'RESUMEN TOTAL'!E305</f>
        <v>Fija</v>
      </c>
      <c r="E300" t="str">
        <f>'RESUMEN TOTAL'!F305</f>
        <v>Fibra Optica</v>
      </c>
      <c r="F300">
        <f>'RESUMEN TOTAL'!K305</f>
        <v>0</v>
      </c>
      <c r="G300">
        <f>'RESUMEN TOTAL'!L305</f>
        <v>0</v>
      </c>
      <c r="H300">
        <f>'RESUMEN TOTAL'!M305</f>
        <v>0</v>
      </c>
      <c r="I300">
        <f>'RESUMEN TOTAL'!N305</f>
        <v>0</v>
      </c>
      <c r="J300">
        <f>'RESUMEN TOTAL'!O305</f>
        <v>0</v>
      </c>
      <c r="K300">
        <f>'RESUMEN TOTAL'!P305</f>
        <v>0</v>
      </c>
      <c r="L300">
        <f>'RESUMEN TOTAL'!Q305</f>
        <v>0</v>
      </c>
      <c r="M300">
        <f>'RESUMEN TOTAL'!R305</f>
        <v>0</v>
      </c>
      <c r="N300">
        <f>'RESUMEN TOTAL'!S305</f>
        <v>0</v>
      </c>
      <c r="O300">
        <f>'RESUMEN TOTAL'!T305</f>
        <v>0</v>
      </c>
      <c r="P300">
        <f>'RESUMEN TOTAL'!U305</f>
        <v>0</v>
      </c>
      <c r="Q300">
        <f>'RESUMEN TOTAL'!V305</f>
        <v>0</v>
      </c>
      <c r="R300">
        <f>'RESUMEN TOTAL'!W305</f>
        <v>0</v>
      </c>
      <c r="S300">
        <f>'RESUMEN TOTAL'!X305</f>
        <v>0</v>
      </c>
      <c r="T300">
        <f>'RESUMEN TOTAL'!Y305</f>
        <v>0</v>
      </c>
      <c r="U300" t="str">
        <f>'RESUMEN TOTAL'!Z305</f>
        <v>APAGADO</v>
      </c>
      <c r="V300">
        <f>'RESUMEN TOTAL'!AA305</f>
        <v>0</v>
      </c>
      <c r="W300">
        <f>'RESUMEN TOTAL'!AB305</f>
        <v>0</v>
      </c>
      <c r="X300">
        <f>'RESUMEN TOTAL'!AC305</f>
        <v>0</v>
      </c>
      <c r="Y300">
        <f>'RESUMEN TOTAL'!AD305</f>
        <v>0</v>
      </c>
      <c r="Z300">
        <f>'RESUMEN TOTAL'!AE305</f>
        <v>0</v>
      </c>
      <c r="AA300">
        <f>'RESUMEN TOTAL'!AF305</f>
        <v>0</v>
      </c>
      <c r="AB300">
        <f>'RESUMEN TOTAL'!AG305</f>
        <v>0</v>
      </c>
      <c r="AC300">
        <f>'RESUMEN TOTAL'!AH305</f>
        <v>0</v>
      </c>
      <c r="AD300">
        <f>'RESUMEN TOTAL'!AI305</f>
        <v>0</v>
      </c>
      <c r="AE300">
        <f>'RESUMEN TOTAL'!AJ305</f>
        <v>0</v>
      </c>
      <c r="AF300">
        <f>'RESUMEN TOTAL'!AK305</f>
        <v>0</v>
      </c>
      <c r="AG300">
        <f>'RESUMEN TOTAL'!AL305</f>
        <v>0</v>
      </c>
      <c r="AH300">
        <f>'RESUMEN TOTAL'!AM305</f>
        <v>0</v>
      </c>
      <c r="AI300">
        <f>'RESUMEN TOTAL'!AN305</f>
        <v>0</v>
      </c>
    </row>
    <row r="301" spans="1:35" x14ac:dyDescent="0.3">
      <c r="A301" t="str">
        <f>'RESUMEN TOTAL'!A306</f>
        <v>SAN JORGE</v>
      </c>
      <c r="B301" t="str">
        <f>'RESUMEN TOTAL'!B306</f>
        <v>SJO06 (fija 2)</v>
      </c>
      <c r="C301" t="str">
        <f>'RESUMEN TOTAL'!D306</f>
        <v>511 Y 560</v>
      </c>
      <c r="D301" t="str">
        <f>'RESUMEN TOTAL'!E306</f>
        <v>Fija</v>
      </c>
      <c r="E301" t="str">
        <f>'RESUMEN TOTAL'!F306</f>
        <v>Fibra Optica</v>
      </c>
      <c r="F301">
        <f>'RESUMEN TOTAL'!K306</f>
        <v>0</v>
      </c>
      <c r="G301">
        <f>'RESUMEN TOTAL'!L306</f>
        <v>0</v>
      </c>
      <c r="H301">
        <f>'RESUMEN TOTAL'!M306</f>
        <v>0</v>
      </c>
      <c r="I301">
        <f>'RESUMEN TOTAL'!N306</f>
        <v>0</v>
      </c>
      <c r="J301">
        <f>'RESUMEN TOTAL'!O306</f>
        <v>0</v>
      </c>
      <c r="K301">
        <f>'RESUMEN TOTAL'!P306</f>
        <v>0</v>
      </c>
      <c r="L301">
        <f>'RESUMEN TOTAL'!Q306</f>
        <v>0</v>
      </c>
      <c r="M301">
        <f>'RESUMEN TOTAL'!R306</f>
        <v>0</v>
      </c>
      <c r="N301">
        <f>'RESUMEN TOTAL'!S306</f>
        <v>0</v>
      </c>
      <c r="O301">
        <f>'RESUMEN TOTAL'!T306</f>
        <v>0</v>
      </c>
      <c r="P301">
        <f>'RESUMEN TOTAL'!U306</f>
        <v>0</v>
      </c>
      <c r="Q301">
        <f>'RESUMEN TOTAL'!V306</f>
        <v>0</v>
      </c>
      <c r="R301">
        <f>'RESUMEN TOTAL'!W306</f>
        <v>0</v>
      </c>
      <c r="S301">
        <f>'RESUMEN TOTAL'!X306</f>
        <v>0</v>
      </c>
      <c r="T301">
        <f>'RESUMEN TOTAL'!Y306</f>
        <v>0</v>
      </c>
      <c r="U301" t="str">
        <f>'RESUMEN TOTAL'!Z306</f>
        <v>APAGADO</v>
      </c>
      <c r="V301">
        <f>'RESUMEN TOTAL'!AA306</f>
        <v>0</v>
      </c>
      <c r="W301">
        <f>'RESUMEN TOTAL'!AB306</f>
        <v>0</v>
      </c>
      <c r="X301">
        <f>'RESUMEN TOTAL'!AC306</f>
        <v>0</v>
      </c>
      <c r="Y301">
        <f>'RESUMEN TOTAL'!AD306</f>
        <v>0</v>
      </c>
      <c r="Z301">
        <f>'RESUMEN TOTAL'!AE306</f>
        <v>0</v>
      </c>
      <c r="AA301">
        <f>'RESUMEN TOTAL'!AF306</f>
        <v>0</v>
      </c>
      <c r="AB301">
        <f>'RESUMEN TOTAL'!AG306</f>
        <v>0</v>
      </c>
      <c r="AC301">
        <f>'RESUMEN TOTAL'!AH306</f>
        <v>0</v>
      </c>
      <c r="AD301">
        <f>'RESUMEN TOTAL'!AI306</f>
        <v>0</v>
      </c>
      <c r="AE301">
        <f>'RESUMEN TOTAL'!AJ306</f>
        <v>0</v>
      </c>
      <c r="AF301">
        <f>'RESUMEN TOTAL'!AK306</f>
        <v>0</v>
      </c>
      <c r="AG301">
        <f>'RESUMEN TOTAL'!AL306</f>
        <v>0</v>
      </c>
      <c r="AH301">
        <f>'RESUMEN TOTAL'!AM306</f>
        <v>0</v>
      </c>
      <c r="AI301">
        <f>'RESUMEN TOTAL'!AN306</f>
        <v>0</v>
      </c>
    </row>
    <row r="302" spans="1:35" x14ac:dyDescent="0.3">
      <c r="A302" t="str">
        <f>'RESUMEN TOTAL'!A307</f>
        <v>SAN JORGE</v>
      </c>
      <c r="B302" t="str">
        <f>'RESUMEN TOTAL'!B307</f>
        <v>SJO07 (fija 1)</v>
      </c>
      <c r="C302" t="str">
        <f>'RESUMEN TOTAL'!D307</f>
        <v>503 Y 556</v>
      </c>
      <c r="D302" t="str">
        <f>'RESUMEN TOTAL'!E307</f>
        <v>Fija</v>
      </c>
      <c r="E302" t="str">
        <f>'RESUMEN TOTAL'!F307</f>
        <v>Fibra Optica</v>
      </c>
      <c r="F302">
        <f>'RESUMEN TOTAL'!K307</f>
        <v>0</v>
      </c>
      <c r="G302">
        <f>'RESUMEN TOTAL'!L307</f>
        <v>0</v>
      </c>
      <c r="H302">
        <f>'RESUMEN TOTAL'!M307</f>
        <v>0</v>
      </c>
      <c r="I302">
        <f>'RESUMEN TOTAL'!N307</f>
        <v>0</v>
      </c>
      <c r="J302">
        <f>'RESUMEN TOTAL'!O307</f>
        <v>0</v>
      </c>
      <c r="K302">
        <f>'RESUMEN TOTAL'!P307</f>
        <v>0</v>
      </c>
      <c r="L302">
        <f>'RESUMEN TOTAL'!Q307</f>
        <v>0</v>
      </c>
      <c r="M302">
        <f>'RESUMEN TOTAL'!R307</f>
        <v>0</v>
      </c>
      <c r="N302">
        <f>'RESUMEN TOTAL'!S307</f>
        <v>0</v>
      </c>
      <c r="O302">
        <f>'RESUMEN TOTAL'!T307</f>
        <v>0</v>
      </c>
      <c r="P302">
        <f>'RESUMEN TOTAL'!U307</f>
        <v>0</v>
      </c>
      <c r="Q302">
        <f>'RESUMEN TOTAL'!V307</f>
        <v>0</v>
      </c>
      <c r="R302">
        <f>'RESUMEN TOTAL'!W307</f>
        <v>0</v>
      </c>
      <c r="S302">
        <f>'RESUMEN TOTAL'!X307</f>
        <v>0</v>
      </c>
      <c r="T302">
        <f>'RESUMEN TOTAL'!Y307</f>
        <v>0</v>
      </c>
      <c r="U302" t="str">
        <f>'RESUMEN TOTAL'!Z307</f>
        <v>APAGADO</v>
      </c>
      <c r="V302">
        <f>'RESUMEN TOTAL'!AA307</f>
        <v>0</v>
      </c>
      <c r="W302">
        <f>'RESUMEN TOTAL'!AB307</f>
        <v>0</v>
      </c>
      <c r="X302">
        <f>'RESUMEN TOTAL'!AC307</f>
        <v>0</v>
      </c>
      <c r="Y302">
        <f>'RESUMEN TOTAL'!AD307</f>
        <v>0</v>
      </c>
      <c r="Z302">
        <f>'RESUMEN TOTAL'!AE307</f>
        <v>0</v>
      </c>
      <c r="AA302">
        <f>'RESUMEN TOTAL'!AF307</f>
        <v>0</v>
      </c>
      <c r="AB302">
        <f>'RESUMEN TOTAL'!AG307</f>
        <v>0</v>
      </c>
      <c r="AC302">
        <f>'RESUMEN TOTAL'!AH307</f>
        <v>0</v>
      </c>
      <c r="AD302">
        <f>'RESUMEN TOTAL'!AI307</f>
        <v>0</v>
      </c>
      <c r="AE302">
        <f>'RESUMEN TOTAL'!AJ307</f>
        <v>0</v>
      </c>
      <c r="AF302">
        <f>'RESUMEN TOTAL'!AK307</f>
        <v>0</v>
      </c>
      <c r="AG302">
        <f>'RESUMEN TOTAL'!AL307</f>
        <v>0</v>
      </c>
      <c r="AH302">
        <f>'RESUMEN TOTAL'!AM307</f>
        <v>0</v>
      </c>
      <c r="AI302">
        <f>'RESUMEN TOTAL'!AN307</f>
        <v>0</v>
      </c>
    </row>
    <row r="303" spans="1:35" x14ac:dyDescent="0.3">
      <c r="A303" t="str">
        <f>'RESUMEN TOTAL'!A308</f>
        <v>SAN JORGE</v>
      </c>
      <c r="B303" t="str">
        <f>'RESUMEN TOTAL'!B308</f>
        <v>SJO08 (fija 2)</v>
      </c>
      <c r="C303" t="str">
        <f>'RESUMEN TOTAL'!D308</f>
        <v>503 Y 556</v>
      </c>
      <c r="D303" t="str">
        <f>'RESUMEN TOTAL'!E308</f>
        <v>Fija</v>
      </c>
      <c r="E303" t="str">
        <f>'RESUMEN TOTAL'!F308</f>
        <v>Fibra Optica</v>
      </c>
      <c r="F303">
        <f>'RESUMEN TOTAL'!K308</f>
        <v>0</v>
      </c>
      <c r="G303">
        <f>'RESUMEN TOTAL'!L308</f>
        <v>0</v>
      </c>
      <c r="H303">
        <f>'RESUMEN TOTAL'!M308</f>
        <v>0</v>
      </c>
      <c r="I303">
        <f>'RESUMEN TOTAL'!N308</f>
        <v>0</v>
      </c>
      <c r="J303">
        <f>'RESUMEN TOTAL'!O308</f>
        <v>0</v>
      </c>
      <c r="K303">
        <f>'RESUMEN TOTAL'!P308</f>
        <v>0</v>
      </c>
      <c r="L303">
        <f>'RESUMEN TOTAL'!Q308</f>
        <v>0</v>
      </c>
      <c r="M303">
        <f>'RESUMEN TOTAL'!R308</f>
        <v>0</v>
      </c>
      <c r="N303">
        <f>'RESUMEN TOTAL'!S308</f>
        <v>0</v>
      </c>
      <c r="O303">
        <f>'RESUMEN TOTAL'!T308</f>
        <v>0</v>
      </c>
      <c r="P303">
        <f>'RESUMEN TOTAL'!U308</f>
        <v>0</v>
      </c>
      <c r="Q303">
        <f>'RESUMEN TOTAL'!V308</f>
        <v>0</v>
      </c>
      <c r="R303">
        <f>'RESUMEN TOTAL'!W308</f>
        <v>0</v>
      </c>
      <c r="S303">
        <f>'RESUMEN TOTAL'!X308</f>
        <v>0</v>
      </c>
      <c r="T303">
        <f>'RESUMEN TOTAL'!Y308</f>
        <v>0</v>
      </c>
      <c r="U303" t="str">
        <f>'RESUMEN TOTAL'!Z308</f>
        <v>APAGADO</v>
      </c>
      <c r="V303">
        <f>'RESUMEN TOTAL'!AA308</f>
        <v>0</v>
      </c>
      <c r="W303">
        <f>'RESUMEN TOTAL'!AB308</f>
        <v>0</v>
      </c>
      <c r="X303">
        <f>'RESUMEN TOTAL'!AC308</f>
        <v>0</v>
      </c>
      <c r="Y303">
        <f>'RESUMEN TOTAL'!AD308</f>
        <v>0</v>
      </c>
      <c r="Z303">
        <f>'RESUMEN TOTAL'!AE308</f>
        <v>0</v>
      </c>
      <c r="AA303">
        <f>'RESUMEN TOTAL'!AF308</f>
        <v>0</v>
      </c>
      <c r="AB303">
        <f>'RESUMEN TOTAL'!AG308</f>
        <v>0</v>
      </c>
      <c r="AC303">
        <f>'RESUMEN TOTAL'!AH308</f>
        <v>0</v>
      </c>
      <c r="AD303">
        <f>'RESUMEN TOTAL'!AI308</f>
        <v>0</v>
      </c>
      <c r="AE303">
        <f>'RESUMEN TOTAL'!AJ308</f>
        <v>0</v>
      </c>
      <c r="AF303">
        <f>'RESUMEN TOTAL'!AK308</f>
        <v>0</v>
      </c>
      <c r="AG303">
        <f>'RESUMEN TOTAL'!AL308</f>
        <v>0</v>
      </c>
      <c r="AH303">
        <f>'RESUMEN TOTAL'!AM308</f>
        <v>0</v>
      </c>
      <c r="AI303">
        <f>'RESUMEN TOTAL'!AN308</f>
        <v>0</v>
      </c>
    </row>
    <row r="304" spans="1:35" x14ac:dyDescent="0.3">
      <c r="A304" t="str">
        <f>'RESUMEN TOTAL'!A309</f>
        <v>SANTO TOMAS</v>
      </c>
      <c r="B304" t="str">
        <f>'RESUMEN TOTAL'!B309</f>
        <v>SJU01</v>
      </c>
      <c r="C304" t="str">
        <f>'RESUMEN TOTAL'!D309</f>
        <v>Ruta 36 y Pte.Peron</v>
      </c>
      <c r="D304" t="str">
        <f>'RESUMEN TOTAL'!E309</f>
        <v>Domo</v>
      </c>
      <c r="E304" t="str">
        <f>'RESUMEN TOTAL'!F309</f>
        <v>Radio</v>
      </c>
      <c r="F304">
        <f>'RESUMEN TOTAL'!K309</f>
        <v>0</v>
      </c>
      <c r="G304">
        <f>'RESUMEN TOTAL'!L309</f>
        <v>0</v>
      </c>
      <c r="H304">
        <f>'RESUMEN TOTAL'!M309</f>
        <v>0</v>
      </c>
      <c r="I304">
        <f>'RESUMEN TOTAL'!N309</f>
        <v>0</v>
      </c>
      <c r="J304">
        <f>'RESUMEN TOTAL'!O309</f>
        <v>0</v>
      </c>
      <c r="K304">
        <f>'RESUMEN TOTAL'!P309</f>
        <v>0</v>
      </c>
      <c r="L304">
        <f>'RESUMEN TOTAL'!Q309</f>
        <v>0</v>
      </c>
      <c r="M304">
        <f>'RESUMEN TOTAL'!R309</f>
        <v>0</v>
      </c>
      <c r="N304">
        <f>'RESUMEN TOTAL'!S309</f>
        <v>0</v>
      </c>
      <c r="O304" t="str">
        <f>'RESUMEN TOTAL'!T309</f>
        <v>APAGADO</v>
      </c>
      <c r="P304">
        <f>'RESUMEN TOTAL'!U309</f>
        <v>0</v>
      </c>
      <c r="Q304">
        <f>'RESUMEN TOTAL'!V309</f>
        <v>0</v>
      </c>
      <c r="R304">
        <f>'RESUMEN TOTAL'!W309</f>
        <v>0</v>
      </c>
      <c r="S304">
        <f>'RESUMEN TOTAL'!X309</f>
        <v>0</v>
      </c>
      <c r="T304">
        <f>'RESUMEN TOTAL'!Y309</f>
        <v>0</v>
      </c>
      <c r="U304">
        <f>'RESUMEN TOTAL'!Z309</f>
        <v>0</v>
      </c>
      <c r="V304">
        <f>'RESUMEN TOTAL'!AA309</f>
        <v>0</v>
      </c>
      <c r="W304">
        <f>'RESUMEN TOTAL'!AB309</f>
        <v>0</v>
      </c>
      <c r="X304">
        <f>'RESUMEN TOTAL'!AC309</f>
        <v>0</v>
      </c>
      <c r="Y304">
        <f>'RESUMEN TOTAL'!AD309</f>
        <v>0</v>
      </c>
      <c r="Z304">
        <f>'RESUMEN TOTAL'!AE309</f>
        <v>0</v>
      </c>
      <c r="AA304">
        <f>'RESUMEN TOTAL'!AF309</f>
        <v>0</v>
      </c>
      <c r="AB304">
        <f>'RESUMEN TOTAL'!AG309</f>
        <v>0</v>
      </c>
      <c r="AC304">
        <f>'RESUMEN TOTAL'!AH309</f>
        <v>0</v>
      </c>
      <c r="AD304">
        <f>'RESUMEN TOTAL'!AI309</f>
        <v>0</v>
      </c>
      <c r="AE304">
        <f>'RESUMEN TOTAL'!AJ309</f>
        <v>0</v>
      </c>
      <c r="AF304">
        <f>'RESUMEN TOTAL'!AK309</f>
        <v>0</v>
      </c>
      <c r="AG304">
        <f>'RESUMEN TOTAL'!AL309</f>
        <v>0</v>
      </c>
      <c r="AH304">
        <f>'RESUMEN TOTAL'!AM309</f>
        <v>0</v>
      </c>
      <c r="AI304">
        <f>'RESUMEN TOTAL'!AN309</f>
        <v>0</v>
      </c>
    </row>
    <row r="305" spans="1:35" x14ac:dyDescent="0.3">
      <c r="A305" t="str">
        <f>'RESUMEN TOTAL'!A310</f>
        <v>VILLA GENERAL SAN MARTIN</v>
      </c>
      <c r="B305" t="str">
        <f>'RESUMEN TOTAL'!B310</f>
        <v>SMA01</v>
      </c>
      <c r="C305" t="str">
        <f>'RESUMEN TOTAL'!D310</f>
        <v>Hudson y Montevideo</v>
      </c>
      <c r="D305" t="str">
        <f>'RESUMEN TOTAL'!E310</f>
        <v>DOMO</v>
      </c>
      <c r="E305" t="str">
        <f>'RESUMEN TOTAL'!F310</f>
        <v>Radio</v>
      </c>
      <c r="F305" t="str">
        <f>'RESUMEN TOTAL'!K310</f>
        <v>APAGADO</v>
      </c>
      <c r="G305" t="str">
        <f>'RESUMEN TOTAL'!L310</f>
        <v>APAGADO</v>
      </c>
      <c r="H305" t="str">
        <f>'RESUMEN TOTAL'!M310</f>
        <v>APAGADO</v>
      </c>
      <c r="I305" t="str">
        <f>'RESUMEN TOTAL'!N310</f>
        <v>APAGADO</v>
      </c>
      <c r="J305" t="str">
        <f>'RESUMEN TOTAL'!O310</f>
        <v>APAGADO</v>
      </c>
      <c r="K305" t="str">
        <f>'RESUMEN TOTAL'!P310</f>
        <v>APAGADO</v>
      </c>
      <c r="L305" t="str">
        <f>'RESUMEN TOTAL'!Q310</f>
        <v>APAGADO</v>
      </c>
      <c r="M305">
        <f>'RESUMEN TOTAL'!R310</f>
        <v>0</v>
      </c>
      <c r="N305">
        <f>'RESUMEN TOTAL'!S310</f>
        <v>0</v>
      </c>
      <c r="O305">
        <f>'RESUMEN TOTAL'!T310</f>
        <v>0</v>
      </c>
      <c r="P305">
        <f>'RESUMEN TOTAL'!U310</f>
        <v>0</v>
      </c>
      <c r="Q305">
        <f>'RESUMEN TOTAL'!V310</f>
        <v>0</v>
      </c>
      <c r="R305">
        <f>'RESUMEN TOTAL'!W310</f>
        <v>0</v>
      </c>
      <c r="S305">
        <f>'RESUMEN TOTAL'!X310</f>
        <v>0</v>
      </c>
      <c r="T305">
        <f>'RESUMEN TOTAL'!Y310</f>
        <v>0</v>
      </c>
      <c r="U305">
        <f>'RESUMEN TOTAL'!Z310</f>
        <v>0</v>
      </c>
      <c r="V305">
        <f>'RESUMEN TOTAL'!AA310</f>
        <v>0</v>
      </c>
      <c r="W305">
        <f>'RESUMEN TOTAL'!AB310</f>
        <v>0</v>
      </c>
      <c r="X305">
        <f>'RESUMEN TOTAL'!AC310</f>
        <v>0</v>
      </c>
      <c r="Y305">
        <f>'RESUMEN TOTAL'!AD310</f>
        <v>0</v>
      </c>
      <c r="Z305">
        <f>'RESUMEN TOTAL'!AE310</f>
        <v>0</v>
      </c>
      <c r="AA305">
        <f>'RESUMEN TOTAL'!AF310</f>
        <v>0</v>
      </c>
      <c r="AB305">
        <f>'RESUMEN TOTAL'!AG310</f>
        <v>0</v>
      </c>
      <c r="AC305">
        <f>'RESUMEN TOTAL'!AH310</f>
        <v>0</v>
      </c>
      <c r="AD305">
        <f>'RESUMEN TOTAL'!AI310</f>
        <v>0</v>
      </c>
      <c r="AE305">
        <f>'RESUMEN TOTAL'!AJ310</f>
        <v>0</v>
      </c>
      <c r="AF305">
        <f>'RESUMEN TOTAL'!AK310</f>
        <v>0</v>
      </c>
      <c r="AG305">
        <f>'RESUMEN TOTAL'!AL310</f>
        <v>0</v>
      </c>
      <c r="AH305">
        <f>'RESUMEN TOTAL'!AM310</f>
        <v>0</v>
      </c>
      <c r="AI305">
        <f>'RESUMEN TOTAL'!AN310</f>
        <v>0</v>
      </c>
    </row>
    <row r="306" spans="1:35" x14ac:dyDescent="0.3">
      <c r="A306" t="str">
        <f>'RESUMEN TOTAL'!A311</f>
        <v>VILLA GENERAL SAN MARTIN</v>
      </c>
      <c r="B306" t="str">
        <f>'RESUMEN TOTAL'!B311</f>
        <v>SMA02</v>
      </c>
      <c r="C306" t="str">
        <f>'RESUMEN TOTAL'!D311</f>
        <v>Hudson y San Nicolas</v>
      </c>
      <c r="D306" t="str">
        <f>'RESUMEN TOTAL'!E311</f>
        <v>Domo</v>
      </c>
      <c r="E306" t="str">
        <f>'RESUMEN TOTAL'!F311</f>
        <v>Radio</v>
      </c>
      <c r="F306">
        <f>'RESUMEN TOTAL'!K311</f>
        <v>0</v>
      </c>
      <c r="G306">
        <f>'RESUMEN TOTAL'!L311</f>
        <v>0</v>
      </c>
      <c r="H306" t="str">
        <f>'RESUMEN TOTAL'!M311</f>
        <v>APAGADO</v>
      </c>
      <c r="I306">
        <f>'RESUMEN TOTAL'!N311</f>
        <v>0</v>
      </c>
      <c r="J306">
        <f>'RESUMEN TOTAL'!O311</f>
        <v>0</v>
      </c>
      <c r="K306">
        <f>'RESUMEN TOTAL'!P311</f>
        <v>0</v>
      </c>
      <c r="L306">
        <f>'RESUMEN TOTAL'!Q311</f>
        <v>0</v>
      </c>
      <c r="M306">
        <f>'RESUMEN TOTAL'!R311</f>
        <v>0</v>
      </c>
      <c r="N306">
        <f>'RESUMEN TOTAL'!S311</f>
        <v>0</v>
      </c>
      <c r="O306">
        <f>'RESUMEN TOTAL'!T311</f>
        <v>0</v>
      </c>
      <c r="P306">
        <f>'RESUMEN TOTAL'!U311</f>
        <v>0</v>
      </c>
      <c r="Q306" t="str">
        <f>'RESUMEN TOTAL'!V311</f>
        <v>APAGADO</v>
      </c>
      <c r="R306">
        <f>'RESUMEN TOTAL'!W311</f>
        <v>0</v>
      </c>
      <c r="S306">
        <f>'RESUMEN TOTAL'!X311</f>
        <v>0</v>
      </c>
      <c r="T306">
        <f>'RESUMEN TOTAL'!Y311</f>
        <v>0</v>
      </c>
      <c r="U306">
        <f>'RESUMEN TOTAL'!Z311</f>
        <v>0</v>
      </c>
      <c r="V306">
        <f>'RESUMEN TOTAL'!AA311</f>
        <v>0</v>
      </c>
      <c r="W306">
        <f>'RESUMEN TOTAL'!AB311</f>
        <v>0</v>
      </c>
      <c r="X306">
        <f>'RESUMEN TOTAL'!AC311</f>
        <v>0</v>
      </c>
      <c r="Y306">
        <f>'RESUMEN TOTAL'!AD311</f>
        <v>0</v>
      </c>
      <c r="Z306">
        <f>'RESUMEN TOTAL'!AE311</f>
        <v>0</v>
      </c>
      <c r="AA306">
        <f>'RESUMEN TOTAL'!AF311</f>
        <v>0</v>
      </c>
      <c r="AB306">
        <f>'RESUMEN TOTAL'!AG311</f>
        <v>0</v>
      </c>
      <c r="AC306">
        <f>'RESUMEN TOTAL'!AH311</f>
        <v>0</v>
      </c>
      <c r="AD306">
        <f>'RESUMEN TOTAL'!AI311</f>
        <v>0</v>
      </c>
      <c r="AE306">
        <f>'RESUMEN TOTAL'!AJ311</f>
        <v>0</v>
      </c>
      <c r="AF306">
        <f>'RESUMEN TOTAL'!AK311</f>
        <v>0</v>
      </c>
      <c r="AG306">
        <f>'RESUMEN TOTAL'!AL311</f>
        <v>0</v>
      </c>
      <c r="AH306">
        <f>'RESUMEN TOTAL'!AM311</f>
        <v>0</v>
      </c>
      <c r="AI306">
        <f>'RESUMEN TOTAL'!AN311</f>
        <v>0</v>
      </c>
    </row>
    <row r="307" spans="1:35" x14ac:dyDescent="0.3">
      <c r="A307" t="str">
        <f>'RESUMEN TOTAL'!A312</f>
        <v>VILLA GENERAL SAN MARTIN</v>
      </c>
      <c r="B307" t="str">
        <f>'RESUMEN TOTAL'!B312</f>
        <v>SMA 03</v>
      </c>
      <c r="C307" t="str">
        <f>'RESUMEN TOTAL'!D312</f>
        <v>ROSARIO Y SAN NICOLAS</v>
      </c>
      <c r="D307" t="str">
        <f>'RESUMEN TOTAL'!E312</f>
        <v>Domo</v>
      </c>
      <c r="E307" t="str">
        <f>'RESUMEN TOTAL'!F312</f>
        <v>Radio</v>
      </c>
      <c r="F307">
        <f>'RESUMEN TOTAL'!K312</f>
        <v>0</v>
      </c>
      <c r="G307">
        <f>'RESUMEN TOTAL'!L312</f>
        <v>0</v>
      </c>
      <c r="H307" t="str">
        <f>'RESUMEN TOTAL'!M312</f>
        <v>APAGADO</v>
      </c>
      <c r="I307">
        <f>'RESUMEN TOTAL'!N312</f>
        <v>0</v>
      </c>
      <c r="J307">
        <f>'RESUMEN TOTAL'!O312</f>
        <v>0</v>
      </c>
      <c r="K307">
        <f>'RESUMEN TOTAL'!P312</f>
        <v>0</v>
      </c>
      <c r="L307">
        <f>'RESUMEN TOTAL'!Q312</f>
        <v>0</v>
      </c>
      <c r="M307">
        <f>'RESUMEN TOTAL'!R312</f>
        <v>0</v>
      </c>
      <c r="N307">
        <f>'RESUMEN TOTAL'!S312</f>
        <v>0</v>
      </c>
      <c r="O307">
        <f>'RESUMEN TOTAL'!T312</f>
        <v>0</v>
      </c>
      <c r="P307">
        <f>'RESUMEN TOTAL'!U312</f>
        <v>0</v>
      </c>
      <c r="Q307">
        <f>'RESUMEN TOTAL'!V312</f>
        <v>0</v>
      </c>
      <c r="R307">
        <f>'RESUMEN TOTAL'!W312</f>
        <v>0</v>
      </c>
      <c r="S307">
        <f>'RESUMEN TOTAL'!X312</f>
        <v>0</v>
      </c>
      <c r="T307">
        <f>'RESUMEN TOTAL'!Y312</f>
        <v>0</v>
      </c>
      <c r="U307" t="str">
        <f>'RESUMEN TOTAL'!Z312</f>
        <v>APAGADO</v>
      </c>
      <c r="V307">
        <f>'RESUMEN TOTAL'!AA312</f>
        <v>0</v>
      </c>
      <c r="W307">
        <f>'RESUMEN TOTAL'!AB312</f>
        <v>0</v>
      </c>
      <c r="X307">
        <f>'RESUMEN TOTAL'!AC312</f>
        <v>0</v>
      </c>
      <c r="Y307">
        <f>'RESUMEN TOTAL'!AD312</f>
        <v>0</v>
      </c>
      <c r="Z307">
        <f>'RESUMEN TOTAL'!AE312</f>
        <v>0</v>
      </c>
      <c r="AA307">
        <f>'RESUMEN TOTAL'!AF312</f>
        <v>0</v>
      </c>
      <c r="AB307">
        <f>'RESUMEN TOTAL'!AG312</f>
        <v>0</v>
      </c>
      <c r="AC307">
        <f>'RESUMEN TOTAL'!AH312</f>
        <v>0</v>
      </c>
      <c r="AD307">
        <f>'RESUMEN TOTAL'!AI312</f>
        <v>0</v>
      </c>
      <c r="AE307">
        <f>'RESUMEN TOTAL'!AJ312</f>
        <v>0</v>
      </c>
      <c r="AF307">
        <f>'RESUMEN TOTAL'!AK312</f>
        <v>0</v>
      </c>
      <c r="AG307">
        <f>'RESUMEN TOTAL'!AL312</f>
        <v>0</v>
      </c>
      <c r="AH307">
        <f>'RESUMEN TOTAL'!AM312</f>
        <v>0</v>
      </c>
      <c r="AI307">
        <f>'RESUMEN TOTAL'!AN312</f>
        <v>0</v>
      </c>
    </row>
    <row r="308" spans="1:35" x14ac:dyDescent="0.3">
      <c r="A308" t="str">
        <f>'RESUMEN TOTAL'!A313</f>
        <v>VILLA GENERAL SAN MARTIN</v>
      </c>
      <c r="B308" t="str">
        <f>'RESUMEN TOTAL'!B313</f>
        <v>SMA 04</v>
      </c>
      <c r="C308" t="str">
        <f>'RESUMEN TOTAL'!D313</f>
        <v>HUDSON Y MONTEVIDEO</v>
      </c>
      <c r="D308" t="str">
        <f>'RESUMEN TOTAL'!E313</f>
        <v>FIJA</v>
      </c>
      <c r="E308" t="str">
        <f>'RESUMEN TOTAL'!F313</f>
        <v>Radio</v>
      </c>
      <c r="F308" t="str">
        <f>'RESUMEN TOTAL'!K313</f>
        <v>APAGADO</v>
      </c>
      <c r="G308" t="str">
        <f>'RESUMEN TOTAL'!L313</f>
        <v>APAGADO</v>
      </c>
      <c r="H308" t="str">
        <f>'RESUMEN TOTAL'!M313</f>
        <v>APAGADO</v>
      </c>
      <c r="I308" t="str">
        <f>'RESUMEN TOTAL'!N313</f>
        <v>APAGADO</v>
      </c>
      <c r="J308" t="str">
        <f>'RESUMEN TOTAL'!O313</f>
        <v>APAGADO</v>
      </c>
      <c r="K308" t="str">
        <f>'RESUMEN TOTAL'!P313</f>
        <v>APAGADO</v>
      </c>
      <c r="L308" t="str">
        <f>'RESUMEN TOTAL'!Q313</f>
        <v>APAGADO</v>
      </c>
      <c r="M308">
        <f>'RESUMEN TOTAL'!R313</f>
        <v>0</v>
      </c>
      <c r="N308">
        <f>'RESUMEN TOTAL'!S313</f>
        <v>0</v>
      </c>
      <c r="O308">
        <f>'RESUMEN TOTAL'!T313</f>
        <v>0</v>
      </c>
      <c r="P308">
        <f>'RESUMEN TOTAL'!U313</f>
        <v>0</v>
      </c>
      <c r="Q308">
        <f>'RESUMEN TOTAL'!V313</f>
        <v>0</v>
      </c>
      <c r="R308">
        <f>'RESUMEN TOTAL'!W313</f>
        <v>0</v>
      </c>
      <c r="S308">
        <f>'RESUMEN TOTAL'!X313</f>
        <v>0</v>
      </c>
      <c r="T308">
        <f>'RESUMEN TOTAL'!Y313</f>
        <v>0</v>
      </c>
      <c r="U308">
        <f>'RESUMEN TOTAL'!Z313</f>
        <v>0</v>
      </c>
      <c r="V308">
        <f>'RESUMEN TOTAL'!AA313</f>
        <v>0</v>
      </c>
      <c r="W308">
        <f>'RESUMEN TOTAL'!AB313</f>
        <v>0</v>
      </c>
      <c r="X308">
        <f>'RESUMEN TOTAL'!AC313</f>
        <v>0</v>
      </c>
      <c r="Y308">
        <f>'RESUMEN TOTAL'!AD313</f>
        <v>0</v>
      </c>
      <c r="Z308">
        <f>'RESUMEN TOTAL'!AE313</f>
        <v>0</v>
      </c>
      <c r="AA308">
        <f>'RESUMEN TOTAL'!AF313</f>
        <v>0</v>
      </c>
      <c r="AB308">
        <f>'RESUMEN TOTAL'!AG313</f>
        <v>0</v>
      </c>
      <c r="AC308">
        <f>'RESUMEN TOTAL'!AH313</f>
        <v>0</v>
      </c>
      <c r="AD308">
        <f>'RESUMEN TOTAL'!AI313</f>
        <v>0</v>
      </c>
      <c r="AE308">
        <f>'RESUMEN TOTAL'!AJ313</f>
        <v>0</v>
      </c>
      <c r="AF308">
        <f>'RESUMEN TOTAL'!AK313</f>
        <v>0</v>
      </c>
      <c r="AG308">
        <f>'RESUMEN TOTAL'!AL313</f>
        <v>0</v>
      </c>
      <c r="AH308">
        <f>'RESUMEN TOTAL'!AM313</f>
        <v>0</v>
      </c>
      <c r="AI308">
        <f>'RESUMEN TOTAL'!AN313</f>
        <v>0</v>
      </c>
    </row>
    <row r="309" spans="1:35" x14ac:dyDescent="0.3">
      <c r="A309" t="str">
        <f>'RESUMEN TOTAL'!A314</f>
        <v>VILLA GENERAL SAN MARTIN</v>
      </c>
      <c r="B309" t="str">
        <f>'RESUMEN TOTAL'!B314</f>
        <v>SMA05</v>
      </c>
      <c r="C309" t="str">
        <f>'RESUMEN TOTAL'!D314</f>
        <v>MONTEVIDEO Y VILLEGAS</v>
      </c>
      <c r="D309" t="str">
        <f>'RESUMEN TOTAL'!E314</f>
        <v>DOMO</v>
      </c>
      <c r="E309" t="str">
        <f>'RESUMEN TOTAL'!F314</f>
        <v>PTO A FO</v>
      </c>
      <c r="F309">
        <f>'RESUMEN TOTAL'!K314</f>
        <v>0</v>
      </c>
      <c r="G309">
        <f>'RESUMEN TOTAL'!L314</f>
        <v>0</v>
      </c>
      <c r="H309">
        <f>'RESUMEN TOTAL'!M314</f>
        <v>0</v>
      </c>
      <c r="I309" t="str">
        <f>'RESUMEN TOTAL'!N314</f>
        <v>APAGADO</v>
      </c>
      <c r="J309" t="str">
        <f>'RESUMEN TOTAL'!O314</f>
        <v>APAGADO</v>
      </c>
      <c r="K309" t="str">
        <f>'RESUMEN TOTAL'!P314</f>
        <v>APAGADO</v>
      </c>
      <c r="L309">
        <f>'RESUMEN TOTAL'!Q314</f>
        <v>0</v>
      </c>
      <c r="M309">
        <f>'RESUMEN TOTAL'!R314</f>
        <v>0</v>
      </c>
      <c r="N309">
        <f>'RESUMEN TOTAL'!S314</f>
        <v>0</v>
      </c>
      <c r="O309">
        <f>'RESUMEN TOTAL'!T314</f>
        <v>0</v>
      </c>
      <c r="P309">
        <f>'RESUMEN TOTAL'!U314</f>
        <v>0</v>
      </c>
      <c r="Q309">
        <f>'RESUMEN TOTAL'!V314</f>
        <v>0</v>
      </c>
      <c r="R309">
        <f>'RESUMEN TOTAL'!W314</f>
        <v>0</v>
      </c>
      <c r="S309">
        <f>'RESUMEN TOTAL'!X314</f>
        <v>0</v>
      </c>
      <c r="T309">
        <f>'RESUMEN TOTAL'!Y314</f>
        <v>0</v>
      </c>
      <c r="U309">
        <f>'RESUMEN TOTAL'!Z314</f>
        <v>0</v>
      </c>
      <c r="V309">
        <f>'RESUMEN TOTAL'!AA314</f>
        <v>0</v>
      </c>
      <c r="W309">
        <f>'RESUMEN TOTAL'!AB314</f>
        <v>0</v>
      </c>
      <c r="X309">
        <f>'RESUMEN TOTAL'!AC314</f>
        <v>0</v>
      </c>
      <c r="Y309">
        <f>'RESUMEN TOTAL'!AD314</f>
        <v>0</v>
      </c>
      <c r="Z309">
        <f>'RESUMEN TOTAL'!AE314</f>
        <v>0</v>
      </c>
      <c r="AA309">
        <f>'RESUMEN TOTAL'!AF314</f>
        <v>0</v>
      </c>
      <c r="AB309">
        <f>'RESUMEN TOTAL'!AG314</f>
        <v>0</v>
      </c>
      <c r="AC309">
        <f>'RESUMEN TOTAL'!AH314</f>
        <v>0</v>
      </c>
      <c r="AD309">
        <f>'RESUMEN TOTAL'!AI314</f>
        <v>0</v>
      </c>
      <c r="AE309">
        <f>'RESUMEN TOTAL'!AJ314</f>
        <v>0</v>
      </c>
      <c r="AF309">
        <f>'RESUMEN TOTAL'!AK314</f>
        <v>0</v>
      </c>
      <c r="AG309">
        <f>'RESUMEN TOTAL'!AL314</f>
        <v>0</v>
      </c>
      <c r="AH309">
        <f>'RESUMEN TOTAL'!AM314</f>
        <v>0</v>
      </c>
      <c r="AI309">
        <f>'RESUMEN TOTAL'!AN314</f>
        <v>0</v>
      </c>
    </row>
    <row r="310" spans="1:35" x14ac:dyDescent="0.3">
      <c r="A310" t="str">
        <f>'RESUMEN TOTAL'!A315</f>
        <v>VILLA GENERAL SAN MARTIN</v>
      </c>
      <c r="B310" t="str">
        <f>'RESUMEN TOTAL'!B315</f>
        <v>SMA 06</v>
      </c>
      <c r="C310" t="str">
        <f>'RESUMEN TOTAL'!D315</f>
        <v>AV. HUDSON Y RIO IGUAZU</v>
      </c>
      <c r="D310" t="str">
        <f>'RESUMEN TOTAL'!E315</f>
        <v>DOMO</v>
      </c>
      <c r="E310" t="str">
        <f>'RESUMEN TOTAL'!F315</f>
        <v>Fibra Optica</v>
      </c>
      <c r="F310">
        <f>'RESUMEN TOTAL'!K315</f>
        <v>0</v>
      </c>
      <c r="G310">
        <f>'RESUMEN TOTAL'!L315</f>
        <v>0</v>
      </c>
      <c r="H310">
        <f>'RESUMEN TOTAL'!M315</f>
        <v>0</v>
      </c>
      <c r="I310">
        <f>'RESUMEN TOTAL'!N315</f>
        <v>0</v>
      </c>
      <c r="J310">
        <f>'RESUMEN TOTAL'!O315</f>
        <v>0</v>
      </c>
      <c r="K310">
        <f>'RESUMEN TOTAL'!P315</f>
        <v>0</v>
      </c>
      <c r="L310">
        <f>'RESUMEN TOTAL'!Q315</f>
        <v>0</v>
      </c>
      <c r="M310">
        <f>'RESUMEN TOTAL'!R315</f>
        <v>0</v>
      </c>
      <c r="N310">
        <f>'RESUMEN TOTAL'!S315</f>
        <v>0</v>
      </c>
      <c r="O310">
        <f>'RESUMEN TOTAL'!T315</f>
        <v>0</v>
      </c>
      <c r="P310">
        <f>'RESUMEN TOTAL'!U315</f>
        <v>0</v>
      </c>
      <c r="Q310">
        <f>'RESUMEN TOTAL'!V315</f>
        <v>0</v>
      </c>
      <c r="R310">
        <f>'RESUMEN TOTAL'!W315</f>
        <v>0</v>
      </c>
      <c r="S310">
        <f>'RESUMEN TOTAL'!X315</f>
        <v>0</v>
      </c>
      <c r="T310">
        <f>'RESUMEN TOTAL'!Y315</f>
        <v>0</v>
      </c>
      <c r="U310">
        <f>'RESUMEN TOTAL'!Z315</f>
        <v>0</v>
      </c>
      <c r="V310">
        <f>'RESUMEN TOTAL'!AA315</f>
        <v>0</v>
      </c>
      <c r="W310">
        <f>'RESUMEN TOTAL'!AB315</f>
        <v>0</v>
      </c>
      <c r="X310">
        <f>'RESUMEN TOTAL'!AC315</f>
        <v>0</v>
      </c>
      <c r="Y310">
        <f>'RESUMEN TOTAL'!AD315</f>
        <v>0</v>
      </c>
      <c r="Z310">
        <f>'RESUMEN TOTAL'!AE315</f>
        <v>0</v>
      </c>
      <c r="AA310">
        <f>'RESUMEN TOTAL'!AF315</f>
        <v>0</v>
      </c>
      <c r="AB310">
        <f>'RESUMEN TOTAL'!AG315</f>
        <v>0</v>
      </c>
      <c r="AC310">
        <f>'RESUMEN TOTAL'!AH315</f>
        <v>0</v>
      </c>
      <c r="AD310">
        <f>'RESUMEN TOTAL'!AI315</f>
        <v>0</v>
      </c>
      <c r="AE310">
        <f>'RESUMEN TOTAL'!AJ315</f>
        <v>0</v>
      </c>
      <c r="AF310">
        <f>'RESUMEN TOTAL'!AK315</f>
        <v>0</v>
      </c>
      <c r="AG310">
        <f>'RESUMEN TOTAL'!AL315</f>
        <v>0</v>
      </c>
      <c r="AH310">
        <f>'RESUMEN TOTAL'!AM315</f>
        <v>0</v>
      </c>
      <c r="AI310">
        <f>'RESUMEN TOTAL'!AN315</f>
        <v>0</v>
      </c>
    </row>
    <row r="311" spans="1:35" x14ac:dyDescent="0.3">
      <c r="A311" t="str">
        <f>'RESUMEN TOTAL'!A316</f>
        <v>VILLA GENERAL SAN MARTIN</v>
      </c>
      <c r="B311" t="str">
        <f>'RESUMEN TOTAL'!B316</f>
        <v>SMA 07</v>
      </c>
      <c r="C311" t="str">
        <f>'RESUMEN TOTAL'!D316</f>
        <v>AV. HUDSON Y RIO TURBIO</v>
      </c>
      <c r="D311" t="str">
        <f>'RESUMEN TOTAL'!E316</f>
        <v>DOMO</v>
      </c>
      <c r="E311" t="str">
        <f>'RESUMEN TOTAL'!F316</f>
        <v>Fibra Optica</v>
      </c>
      <c r="F311">
        <f>'RESUMEN TOTAL'!K316</f>
        <v>0</v>
      </c>
      <c r="G311">
        <f>'RESUMEN TOTAL'!L316</f>
        <v>0</v>
      </c>
      <c r="H311">
        <f>'RESUMEN TOTAL'!M316</f>
        <v>0</v>
      </c>
      <c r="I311">
        <f>'RESUMEN TOTAL'!N316</f>
        <v>0</v>
      </c>
      <c r="J311">
        <f>'RESUMEN TOTAL'!O316</f>
        <v>0</v>
      </c>
      <c r="K311">
        <f>'RESUMEN TOTAL'!P316</f>
        <v>0</v>
      </c>
      <c r="L311">
        <f>'RESUMEN TOTAL'!Q316</f>
        <v>0</v>
      </c>
      <c r="M311">
        <f>'RESUMEN TOTAL'!R316</f>
        <v>0</v>
      </c>
      <c r="N311">
        <f>'RESUMEN TOTAL'!S316</f>
        <v>0</v>
      </c>
      <c r="O311">
        <f>'RESUMEN TOTAL'!T316</f>
        <v>0</v>
      </c>
      <c r="P311">
        <f>'RESUMEN TOTAL'!U316</f>
        <v>0</v>
      </c>
      <c r="Q311">
        <f>'RESUMEN TOTAL'!V316</f>
        <v>0</v>
      </c>
      <c r="R311">
        <f>'RESUMEN TOTAL'!W316</f>
        <v>0</v>
      </c>
      <c r="S311">
        <f>'RESUMEN TOTAL'!X316</f>
        <v>0</v>
      </c>
      <c r="T311">
        <f>'RESUMEN TOTAL'!Y316</f>
        <v>0</v>
      </c>
      <c r="U311">
        <f>'RESUMEN TOTAL'!Z316</f>
        <v>0</v>
      </c>
      <c r="V311">
        <f>'RESUMEN TOTAL'!AA316</f>
        <v>0</v>
      </c>
      <c r="W311">
        <f>'RESUMEN TOTAL'!AB316</f>
        <v>0</v>
      </c>
      <c r="X311">
        <f>'RESUMEN TOTAL'!AC316</f>
        <v>0</v>
      </c>
      <c r="Y311">
        <f>'RESUMEN TOTAL'!AD316</f>
        <v>0</v>
      </c>
      <c r="Z311">
        <f>'RESUMEN TOTAL'!AE316</f>
        <v>0</v>
      </c>
      <c r="AA311">
        <f>'RESUMEN TOTAL'!AF316</f>
        <v>0</v>
      </c>
      <c r="AB311">
        <f>'RESUMEN TOTAL'!AG316</f>
        <v>0</v>
      </c>
      <c r="AC311">
        <f>'RESUMEN TOTAL'!AH316</f>
        <v>0</v>
      </c>
      <c r="AD311">
        <f>'RESUMEN TOTAL'!AI316</f>
        <v>0</v>
      </c>
      <c r="AE311">
        <f>'RESUMEN TOTAL'!AJ316</f>
        <v>0</v>
      </c>
      <c r="AF311">
        <f>'RESUMEN TOTAL'!AK316</f>
        <v>0</v>
      </c>
      <c r="AG311">
        <f>'RESUMEN TOTAL'!AL316</f>
        <v>0</v>
      </c>
      <c r="AH311">
        <f>'RESUMEN TOTAL'!AM316</f>
        <v>0</v>
      </c>
      <c r="AI311">
        <f>'RESUMEN TOTAL'!AN316</f>
        <v>0</v>
      </c>
    </row>
    <row r="312" spans="1:35" x14ac:dyDescent="0.3">
      <c r="A312" t="str">
        <f>'RESUMEN TOTAL'!A317</f>
        <v>SAN MARTIN</v>
      </c>
      <c r="B312" t="str">
        <f>'RESUMEN TOTAL'!B317</f>
        <v>SMA 08</v>
      </c>
      <c r="C312" t="str">
        <f>'RESUMEN TOTAL'!D317</f>
        <v>12 De Octubre y H. Lagos</v>
      </c>
      <c r="D312" t="str">
        <f>'RESUMEN TOTAL'!E317</f>
        <v>fija</v>
      </c>
      <c r="E312" t="str">
        <f>'RESUMEN TOTAL'!F317</f>
        <v>Fibra Optica</v>
      </c>
      <c r="F312">
        <f>'RESUMEN TOTAL'!K317</f>
        <v>0</v>
      </c>
      <c r="G312">
        <f>'RESUMEN TOTAL'!L317</f>
        <v>0</v>
      </c>
      <c r="H312">
        <f>'RESUMEN TOTAL'!M317</f>
        <v>0</v>
      </c>
      <c r="I312">
        <f>'RESUMEN TOTAL'!N317</f>
        <v>0</v>
      </c>
      <c r="J312">
        <f>'RESUMEN TOTAL'!O317</f>
        <v>0</v>
      </c>
      <c r="K312">
        <f>'RESUMEN TOTAL'!P317</f>
        <v>0</v>
      </c>
      <c r="L312">
        <f>'RESUMEN TOTAL'!Q317</f>
        <v>0</v>
      </c>
      <c r="M312">
        <f>'RESUMEN TOTAL'!R317</f>
        <v>0</v>
      </c>
      <c r="N312">
        <f>'RESUMEN TOTAL'!S317</f>
        <v>0</v>
      </c>
      <c r="O312">
        <f>'RESUMEN TOTAL'!T317</f>
        <v>0</v>
      </c>
      <c r="P312">
        <f>'RESUMEN TOTAL'!U317</f>
        <v>0</v>
      </c>
      <c r="Q312">
        <f>'RESUMEN TOTAL'!V317</f>
        <v>0</v>
      </c>
      <c r="R312">
        <f>'RESUMEN TOTAL'!W317</f>
        <v>0</v>
      </c>
      <c r="S312">
        <f>'RESUMEN TOTAL'!X317</f>
        <v>0</v>
      </c>
      <c r="T312">
        <f>'RESUMEN TOTAL'!Y317</f>
        <v>0</v>
      </c>
      <c r="U312">
        <f>'RESUMEN TOTAL'!Z317</f>
        <v>0</v>
      </c>
      <c r="V312">
        <f>'RESUMEN TOTAL'!AA317</f>
        <v>0</v>
      </c>
      <c r="W312">
        <f>'RESUMEN TOTAL'!AB317</f>
        <v>0</v>
      </c>
      <c r="X312">
        <f>'RESUMEN TOTAL'!AC317</f>
        <v>0</v>
      </c>
      <c r="Y312">
        <f>'RESUMEN TOTAL'!AD317</f>
        <v>0</v>
      </c>
      <c r="Z312">
        <f>'RESUMEN TOTAL'!AE317</f>
        <v>0</v>
      </c>
      <c r="AA312">
        <f>'RESUMEN TOTAL'!AF317</f>
        <v>0</v>
      </c>
      <c r="AB312">
        <f>'RESUMEN TOTAL'!AG317</f>
        <v>0</v>
      </c>
      <c r="AC312">
        <f>'RESUMEN TOTAL'!AH317</f>
        <v>0</v>
      </c>
      <c r="AD312">
        <f>'RESUMEN TOTAL'!AI317</f>
        <v>0</v>
      </c>
      <c r="AE312">
        <f>'RESUMEN TOTAL'!AJ317</f>
        <v>0</v>
      </c>
      <c r="AF312">
        <f>'RESUMEN TOTAL'!AK317</f>
        <v>0</v>
      </c>
      <c r="AG312">
        <f>'RESUMEN TOTAL'!AL317</f>
        <v>0</v>
      </c>
      <c r="AH312">
        <f>'RESUMEN TOTAL'!AM317</f>
        <v>0</v>
      </c>
      <c r="AI312">
        <f>'RESUMEN TOTAL'!AN317</f>
        <v>0</v>
      </c>
    </row>
    <row r="313" spans="1:35" x14ac:dyDescent="0.3">
      <c r="A313" t="str">
        <f>'RESUMEN TOTAL'!A318</f>
        <v>SAN MARTIN</v>
      </c>
      <c r="B313" t="str">
        <f>'RESUMEN TOTAL'!B318</f>
        <v>SMA 09</v>
      </c>
      <c r="C313" t="str">
        <f>'RESUMEN TOTAL'!D318</f>
        <v>12 De Octubre y H. Lagos</v>
      </c>
      <c r="D313" t="str">
        <f>'RESUMEN TOTAL'!E318</f>
        <v>fija</v>
      </c>
      <c r="E313" t="str">
        <f>'RESUMEN TOTAL'!F318</f>
        <v>Fibra Optica</v>
      </c>
      <c r="F313">
        <f>'RESUMEN TOTAL'!K318</f>
        <v>0</v>
      </c>
      <c r="G313">
        <f>'RESUMEN TOTAL'!L318</f>
        <v>0</v>
      </c>
      <c r="H313">
        <f>'RESUMEN TOTAL'!M318</f>
        <v>0</v>
      </c>
      <c r="I313">
        <f>'RESUMEN TOTAL'!N318</f>
        <v>0</v>
      </c>
      <c r="J313">
        <f>'RESUMEN TOTAL'!O318</f>
        <v>0</v>
      </c>
      <c r="K313">
        <f>'RESUMEN TOTAL'!P318</f>
        <v>0</v>
      </c>
      <c r="L313">
        <f>'RESUMEN TOTAL'!Q318</f>
        <v>0</v>
      </c>
      <c r="M313">
        <f>'RESUMEN TOTAL'!R318</f>
        <v>0</v>
      </c>
      <c r="N313">
        <f>'RESUMEN TOTAL'!S318</f>
        <v>0</v>
      </c>
      <c r="O313">
        <f>'RESUMEN TOTAL'!T318</f>
        <v>0</v>
      </c>
      <c r="P313">
        <f>'RESUMEN TOTAL'!U318</f>
        <v>0</v>
      </c>
      <c r="Q313">
        <f>'RESUMEN TOTAL'!V318</f>
        <v>0</v>
      </c>
      <c r="R313">
        <f>'RESUMEN TOTAL'!W318</f>
        <v>0</v>
      </c>
      <c r="S313">
        <f>'RESUMEN TOTAL'!X318</f>
        <v>0</v>
      </c>
      <c r="T313">
        <f>'RESUMEN TOTAL'!Y318</f>
        <v>0</v>
      </c>
      <c r="U313">
        <f>'RESUMEN TOTAL'!Z318</f>
        <v>0</v>
      </c>
      <c r="V313">
        <f>'RESUMEN TOTAL'!AA318</f>
        <v>0</v>
      </c>
      <c r="W313">
        <f>'RESUMEN TOTAL'!AB318</f>
        <v>0</v>
      </c>
      <c r="X313">
        <f>'RESUMEN TOTAL'!AC318</f>
        <v>0</v>
      </c>
      <c r="Y313">
        <f>'RESUMEN TOTAL'!AD318</f>
        <v>0</v>
      </c>
      <c r="Z313">
        <f>'RESUMEN TOTAL'!AE318</f>
        <v>0</v>
      </c>
      <c r="AA313">
        <f>'RESUMEN TOTAL'!AF318</f>
        <v>0</v>
      </c>
      <c r="AB313">
        <f>'RESUMEN TOTAL'!AG318</f>
        <v>0</v>
      </c>
      <c r="AC313">
        <f>'RESUMEN TOTAL'!AH318</f>
        <v>0</v>
      </c>
      <c r="AD313">
        <f>'RESUMEN TOTAL'!AI318</f>
        <v>0</v>
      </c>
      <c r="AE313">
        <f>'RESUMEN TOTAL'!AJ318</f>
        <v>0</v>
      </c>
      <c r="AF313">
        <f>'RESUMEN TOTAL'!AK318</f>
        <v>0</v>
      </c>
      <c r="AG313">
        <f>'RESUMEN TOTAL'!AL318</f>
        <v>0</v>
      </c>
      <c r="AH313">
        <f>'RESUMEN TOTAL'!AM318</f>
        <v>0</v>
      </c>
      <c r="AI313">
        <f>'RESUMEN TOTAL'!AN318</f>
        <v>0</v>
      </c>
    </row>
    <row r="314" spans="1:35" x14ac:dyDescent="0.3">
      <c r="A314" t="str">
        <f>'RESUMEN TOTAL'!A319</f>
        <v>SAN NICOLAS</v>
      </c>
      <c r="B314" t="str">
        <f>'RESUMEN TOTAL'!B319</f>
        <v>SNI01 (fija 1)</v>
      </c>
      <c r="C314" t="str">
        <f>'RESUMEN TOTAL'!D319</f>
        <v>SARRATEA E/ EEUU DE A. Y AGRELO</v>
      </c>
      <c r="D314" t="str">
        <f>'RESUMEN TOTAL'!E319</f>
        <v>Fija</v>
      </c>
      <c r="E314" t="str">
        <f>'RESUMEN TOTAL'!F319</f>
        <v>Fibra Optica</v>
      </c>
      <c r="F314">
        <f>'RESUMEN TOTAL'!K319</f>
        <v>0</v>
      </c>
      <c r="G314">
        <f>'RESUMEN TOTAL'!L319</f>
        <v>0</v>
      </c>
      <c r="H314">
        <f>'RESUMEN TOTAL'!M319</f>
        <v>0</v>
      </c>
      <c r="I314">
        <f>'RESUMEN TOTAL'!N319</f>
        <v>0</v>
      </c>
      <c r="J314">
        <f>'RESUMEN TOTAL'!O319</f>
        <v>0</v>
      </c>
      <c r="K314">
        <f>'RESUMEN TOTAL'!P319</f>
        <v>0</v>
      </c>
      <c r="L314">
        <f>'RESUMEN TOTAL'!Q319</f>
        <v>0</v>
      </c>
      <c r="M314">
        <f>'RESUMEN TOTAL'!R319</f>
        <v>0</v>
      </c>
      <c r="N314">
        <f>'RESUMEN TOTAL'!S319</f>
        <v>0</v>
      </c>
      <c r="O314">
        <f>'RESUMEN TOTAL'!T319</f>
        <v>0</v>
      </c>
      <c r="P314">
        <f>'RESUMEN TOTAL'!U319</f>
        <v>0</v>
      </c>
      <c r="Q314">
        <f>'RESUMEN TOTAL'!V319</f>
        <v>0</v>
      </c>
      <c r="R314">
        <f>'RESUMEN TOTAL'!W319</f>
        <v>0</v>
      </c>
      <c r="S314">
        <f>'RESUMEN TOTAL'!X319</f>
        <v>0</v>
      </c>
      <c r="T314">
        <f>'RESUMEN TOTAL'!Y319</f>
        <v>0</v>
      </c>
      <c r="U314">
        <f>'RESUMEN TOTAL'!Z319</f>
        <v>0</v>
      </c>
      <c r="V314">
        <f>'RESUMEN TOTAL'!AA319</f>
        <v>0</v>
      </c>
      <c r="W314">
        <f>'RESUMEN TOTAL'!AB319</f>
        <v>0</v>
      </c>
      <c r="X314">
        <f>'RESUMEN TOTAL'!AC319</f>
        <v>0</v>
      </c>
      <c r="Y314">
        <f>'RESUMEN TOTAL'!AD319</f>
        <v>0</v>
      </c>
      <c r="Z314">
        <f>'RESUMEN TOTAL'!AE319</f>
        <v>0</v>
      </c>
      <c r="AA314">
        <f>'RESUMEN TOTAL'!AF319</f>
        <v>0</v>
      </c>
      <c r="AB314">
        <f>'RESUMEN TOTAL'!AG319</f>
        <v>0</v>
      </c>
      <c r="AC314">
        <f>'RESUMEN TOTAL'!AH319</f>
        <v>0</v>
      </c>
      <c r="AD314">
        <f>'RESUMEN TOTAL'!AI319</f>
        <v>0</v>
      </c>
      <c r="AE314">
        <f>'RESUMEN TOTAL'!AJ319</f>
        <v>0</v>
      </c>
      <c r="AF314">
        <f>'RESUMEN TOTAL'!AK319</f>
        <v>0</v>
      </c>
      <c r="AG314">
        <f>'RESUMEN TOTAL'!AL319</f>
        <v>0</v>
      </c>
      <c r="AH314">
        <f>'RESUMEN TOTAL'!AM319</f>
        <v>0</v>
      </c>
      <c r="AI314">
        <f>'RESUMEN TOTAL'!AN319</f>
        <v>0</v>
      </c>
    </row>
    <row r="315" spans="1:35" x14ac:dyDescent="0.3">
      <c r="A315" t="str">
        <f>'RESUMEN TOTAL'!A320</f>
        <v>SAN NICOLAS</v>
      </c>
      <c r="B315" t="str">
        <f>'RESUMEN TOTAL'!B320</f>
        <v>SNI02 (fija 2)</v>
      </c>
      <c r="C315" t="str">
        <f>'RESUMEN TOTAL'!D320</f>
        <v>SARRATEA E/ EEUU DE A. Y AGRELO</v>
      </c>
      <c r="D315" t="str">
        <f>'RESUMEN TOTAL'!E320</f>
        <v>Fija</v>
      </c>
      <c r="E315" t="str">
        <f>'RESUMEN TOTAL'!F320</f>
        <v>Fibra Optica</v>
      </c>
      <c r="F315">
        <f>'RESUMEN TOTAL'!K320</f>
        <v>0</v>
      </c>
      <c r="G315">
        <f>'RESUMEN TOTAL'!L320</f>
        <v>0</v>
      </c>
      <c r="H315">
        <f>'RESUMEN TOTAL'!M320</f>
        <v>0</v>
      </c>
      <c r="I315">
        <f>'RESUMEN TOTAL'!N320</f>
        <v>0</v>
      </c>
      <c r="J315">
        <f>'RESUMEN TOTAL'!O320</f>
        <v>0</v>
      </c>
      <c r="K315">
        <f>'RESUMEN TOTAL'!P320</f>
        <v>0</v>
      </c>
      <c r="L315">
        <f>'RESUMEN TOTAL'!Q320</f>
        <v>0</v>
      </c>
      <c r="M315">
        <f>'RESUMEN TOTAL'!R320</f>
        <v>0</v>
      </c>
      <c r="N315">
        <f>'RESUMEN TOTAL'!S320</f>
        <v>0</v>
      </c>
      <c r="O315">
        <f>'RESUMEN TOTAL'!T320</f>
        <v>0</v>
      </c>
      <c r="P315">
        <f>'RESUMEN TOTAL'!U320</f>
        <v>0</v>
      </c>
      <c r="Q315">
        <f>'RESUMEN TOTAL'!V320</f>
        <v>0</v>
      </c>
      <c r="R315">
        <f>'RESUMEN TOTAL'!W320</f>
        <v>0</v>
      </c>
      <c r="S315">
        <f>'RESUMEN TOTAL'!X320</f>
        <v>0</v>
      </c>
      <c r="T315">
        <f>'RESUMEN TOTAL'!Y320</f>
        <v>0</v>
      </c>
      <c r="U315">
        <f>'RESUMEN TOTAL'!Z320</f>
        <v>0</v>
      </c>
      <c r="V315">
        <f>'RESUMEN TOTAL'!AA320</f>
        <v>0</v>
      </c>
      <c r="W315">
        <f>'RESUMEN TOTAL'!AB320</f>
        <v>0</v>
      </c>
      <c r="X315">
        <f>'RESUMEN TOTAL'!AC320</f>
        <v>0</v>
      </c>
      <c r="Y315">
        <f>'RESUMEN TOTAL'!AD320</f>
        <v>0</v>
      </c>
      <c r="Z315">
        <f>'RESUMEN TOTAL'!AE320</f>
        <v>0</v>
      </c>
      <c r="AA315">
        <f>'RESUMEN TOTAL'!AF320</f>
        <v>0</v>
      </c>
      <c r="AB315">
        <f>'RESUMEN TOTAL'!AG320</f>
        <v>0</v>
      </c>
      <c r="AC315">
        <f>'RESUMEN TOTAL'!AH320</f>
        <v>0</v>
      </c>
      <c r="AD315">
        <f>'RESUMEN TOTAL'!AI320</f>
        <v>0</v>
      </c>
      <c r="AE315">
        <f>'RESUMEN TOTAL'!AJ320</f>
        <v>0</v>
      </c>
      <c r="AF315">
        <f>'RESUMEN TOTAL'!AK320</f>
        <v>0</v>
      </c>
      <c r="AG315">
        <f>'RESUMEN TOTAL'!AL320</f>
        <v>0</v>
      </c>
      <c r="AH315">
        <f>'RESUMEN TOTAL'!AM320</f>
        <v>0</v>
      </c>
      <c r="AI315">
        <f>'RESUMEN TOTAL'!AN320</f>
        <v>0</v>
      </c>
    </row>
    <row r="316" spans="1:35" x14ac:dyDescent="0.3">
      <c r="A316" t="str">
        <f>'RESUMEN TOTAL'!A321</f>
        <v>SAN NICOLAS</v>
      </c>
      <c r="B316" t="str">
        <f>'RESUMEN TOTAL'!B321</f>
        <v>SNI 03 (fija 1)</v>
      </c>
      <c r="C316" t="str">
        <f>'RESUMEN TOTAL'!D321</f>
        <v>SARRATEA Y LOS TREBOLES</v>
      </c>
      <c r="D316" t="str">
        <f>'RESUMEN TOTAL'!E321</f>
        <v>Fija</v>
      </c>
      <c r="E316" t="str">
        <f>'RESUMEN TOTAL'!F321</f>
        <v>Fibra Optica</v>
      </c>
      <c r="F316">
        <f>'RESUMEN TOTAL'!K321</f>
        <v>0</v>
      </c>
      <c r="G316">
        <f>'RESUMEN TOTAL'!L321</f>
        <v>0</v>
      </c>
      <c r="H316">
        <f>'RESUMEN TOTAL'!M321</f>
        <v>0</v>
      </c>
      <c r="I316">
        <f>'RESUMEN TOTAL'!N321</f>
        <v>0</v>
      </c>
      <c r="J316">
        <f>'RESUMEN TOTAL'!O321</f>
        <v>0</v>
      </c>
      <c r="K316">
        <f>'RESUMEN TOTAL'!P321</f>
        <v>0</v>
      </c>
      <c r="L316">
        <f>'RESUMEN TOTAL'!Q321</f>
        <v>0</v>
      </c>
      <c r="M316">
        <f>'RESUMEN TOTAL'!R321</f>
        <v>0</v>
      </c>
      <c r="N316">
        <f>'RESUMEN TOTAL'!S321</f>
        <v>0</v>
      </c>
      <c r="O316">
        <f>'RESUMEN TOTAL'!T321</f>
        <v>0</v>
      </c>
      <c r="P316">
        <f>'RESUMEN TOTAL'!U321</f>
        <v>0</v>
      </c>
      <c r="Q316">
        <f>'RESUMEN TOTAL'!V321</f>
        <v>0</v>
      </c>
      <c r="R316">
        <f>'RESUMEN TOTAL'!W321</f>
        <v>0</v>
      </c>
      <c r="S316">
        <f>'RESUMEN TOTAL'!X321</f>
        <v>0</v>
      </c>
      <c r="T316">
        <f>'RESUMEN TOTAL'!Y321</f>
        <v>0</v>
      </c>
      <c r="U316">
        <f>'RESUMEN TOTAL'!Z321</f>
        <v>0</v>
      </c>
      <c r="V316">
        <f>'RESUMEN TOTAL'!AA321</f>
        <v>0</v>
      </c>
      <c r="W316">
        <f>'RESUMEN TOTAL'!AB321</f>
        <v>0</v>
      </c>
      <c r="X316">
        <f>'RESUMEN TOTAL'!AC321</f>
        <v>0</v>
      </c>
      <c r="Y316">
        <f>'RESUMEN TOTAL'!AD321</f>
        <v>0</v>
      </c>
      <c r="Z316">
        <f>'RESUMEN TOTAL'!AE321</f>
        <v>0</v>
      </c>
      <c r="AA316">
        <f>'RESUMEN TOTAL'!AF321</f>
        <v>0</v>
      </c>
      <c r="AB316">
        <f>'RESUMEN TOTAL'!AG321</f>
        <v>0</v>
      </c>
      <c r="AC316">
        <f>'RESUMEN TOTAL'!AH321</f>
        <v>0</v>
      </c>
      <c r="AD316">
        <f>'RESUMEN TOTAL'!AI321</f>
        <v>0</v>
      </c>
      <c r="AE316">
        <f>'RESUMEN TOTAL'!AJ321</f>
        <v>0</v>
      </c>
      <c r="AF316">
        <f>'RESUMEN TOTAL'!AK321</f>
        <v>0</v>
      </c>
      <c r="AG316">
        <f>'RESUMEN TOTAL'!AL321</f>
        <v>0</v>
      </c>
      <c r="AH316">
        <f>'RESUMEN TOTAL'!AM321</f>
        <v>0</v>
      </c>
      <c r="AI316">
        <f>'RESUMEN TOTAL'!AN321</f>
        <v>0</v>
      </c>
    </row>
    <row r="317" spans="1:35" x14ac:dyDescent="0.3">
      <c r="A317" t="str">
        <f>'RESUMEN TOTAL'!A322</f>
        <v>SAN NICOLAS</v>
      </c>
      <c r="B317" t="str">
        <f>'RESUMEN TOTAL'!B322</f>
        <v>SNI 04 (fija 2)</v>
      </c>
      <c r="C317" t="str">
        <f>'RESUMEN TOTAL'!D322</f>
        <v>SARRATEA Y LOS TREBOLES</v>
      </c>
      <c r="D317" t="str">
        <f>'RESUMEN TOTAL'!E322</f>
        <v>Fija</v>
      </c>
      <c r="E317" t="str">
        <f>'RESUMEN TOTAL'!F322</f>
        <v>Fibra Optica</v>
      </c>
      <c r="F317">
        <f>'RESUMEN TOTAL'!K322</f>
        <v>0</v>
      </c>
      <c r="G317">
        <f>'RESUMEN TOTAL'!L322</f>
        <v>0</v>
      </c>
      <c r="H317">
        <f>'RESUMEN TOTAL'!M322</f>
        <v>0</v>
      </c>
      <c r="I317">
        <f>'RESUMEN TOTAL'!N322</f>
        <v>0</v>
      </c>
      <c r="J317">
        <f>'RESUMEN TOTAL'!O322</f>
        <v>0</v>
      </c>
      <c r="K317">
        <f>'RESUMEN TOTAL'!P322</f>
        <v>0</v>
      </c>
      <c r="L317">
        <f>'RESUMEN TOTAL'!Q322</f>
        <v>0</v>
      </c>
      <c r="M317">
        <f>'RESUMEN TOTAL'!R322</f>
        <v>0</v>
      </c>
      <c r="N317">
        <f>'RESUMEN TOTAL'!S322</f>
        <v>0</v>
      </c>
      <c r="O317">
        <f>'RESUMEN TOTAL'!T322</f>
        <v>0</v>
      </c>
      <c r="P317">
        <f>'RESUMEN TOTAL'!U322</f>
        <v>0</v>
      </c>
      <c r="Q317">
        <f>'RESUMEN TOTAL'!V322</f>
        <v>0</v>
      </c>
      <c r="R317">
        <f>'RESUMEN TOTAL'!W322</f>
        <v>0</v>
      </c>
      <c r="S317">
        <f>'RESUMEN TOTAL'!X322</f>
        <v>0</v>
      </c>
      <c r="T317">
        <f>'RESUMEN TOTAL'!Y322</f>
        <v>0</v>
      </c>
      <c r="U317">
        <f>'RESUMEN TOTAL'!Z322</f>
        <v>0</v>
      </c>
      <c r="V317">
        <f>'RESUMEN TOTAL'!AA322</f>
        <v>0</v>
      </c>
      <c r="W317">
        <f>'RESUMEN TOTAL'!AB322</f>
        <v>0</v>
      </c>
      <c r="X317">
        <f>'RESUMEN TOTAL'!AC322</f>
        <v>0</v>
      </c>
      <c r="Y317">
        <f>'RESUMEN TOTAL'!AD322</f>
        <v>0</v>
      </c>
      <c r="Z317">
        <f>'RESUMEN TOTAL'!AE322</f>
        <v>0</v>
      </c>
      <c r="AA317">
        <f>'RESUMEN TOTAL'!AF322</f>
        <v>0</v>
      </c>
      <c r="AB317">
        <f>'RESUMEN TOTAL'!AG322</f>
        <v>0</v>
      </c>
      <c r="AC317">
        <f>'RESUMEN TOTAL'!AH322</f>
        <v>0</v>
      </c>
      <c r="AD317">
        <f>'RESUMEN TOTAL'!AI322</f>
        <v>0</v>
      </c>
      <c r="AE317">
        <f>'RESUMEN TOTAL'!AJ322</f>
        <v>0</v>
      </c>
      <c r="AF317">
        <f>'RESUMEN TOTAL'!AK322</f>
        <v>0</v>
      </c>
      <c r="AG317">
        <f>'RESUMEN TOTAL'!AL322</f>
        <v>0</v>
      </c>
      <c r="AH317">
        <f>'RESUMEN TOTAL'!AM322</f>
        <v>0</v>
      </c>
      <c r="AI317">
        <f>'RESUMEN TOTAL'!AN322</f>
        <v>0</v>
      </c>
    </row>
    <row r="318" spans="1:35" x14ac:dyDescent="0.3">
      <c r="A318" t="str">
        <f>'RESUMEN TOTAL'!A323</f>
        <v>SANTA ROSA</v>
      </c>
      <c r="B318" t="str">
        <f>'RESUMEN TOTAL'!B323</f>
        <v>SRO 04</v>
      </c>
      <c r="C318" t="str">
        <f>'RESUMEN TOTAL'!D323</f>
        <v>Belgica y Andorra</v>
      </c>
      <c r="D318" t="str">
        <f>'RESUMEN TOTAL'!E323</f>
        <v>Domo</v>
      </c>
      <c r="E318" t="str">
        <f>'RESUMEN TOTAL'!F323</f>
        <v>Radio</v>
      </c>
      <c r="F318">
        <f>'RESUMEN TOTAL'!K323</f>
        <v>0</v>
      </c>
      <c r="G318">
        <f>'RESUMEN TOTAL'!L323</f>
        <v>0</v>
      </c>
      <c r="H318">
        <f>'RESUMEN TOTAL'!M323</f>
        <v>0</v>
      </c>
      <c r="I318">
        <f>'RESUMEN TOTAL'!N323</f>
        <v>0</v>
      </c>
      <c r="J318">
        <f>'RESUMEN TOTAL'!O323</f>
        <v>0</v>
      </c>
      <c r="K318">
        <f>'RESUMEN TOTAL'!P323</f>
        <v>0</v>
      </c>
      <c r="L318">
        <f>'RESUMEN TOTAL'!Q323</f>
        <v>0</v>
      </c>
      <c r="M318">
        <f>'RESUMEN TOTAL'!R323</f>
        <v>0</v>
      </c>
      <c r="N318">
        <f>'RESUMEN TOTAL'!S323</f>
        <v>0</v>
      </c>
      <c r="O318">
        <f>'RESUMEN TOTAL'!T323</f>
        <v>0</v>
      </c>
      <c r="P318">
        <f>'RESUMEN TOTAL'!U323</f>
        <v>0</v>
      </c>
      <c r="Q318">
        <f>'RESUMEN TOTAL'!V323</f>
        <v>0</v>
      </c>
      <c r="R318">
        <f>'RESUMEN TOTAL'!W323</f>
        <v>0</v>
      </c>
      <c r="S318">
        <f>'RESUMEN TOTAL'!X323</f>
        <v>0</v>
      </c>
      <c r="T318">
        <f>'RESUMEN TOTAL'!Y323</f>
        <v>0</v>
      </c>
      <c r="U318">
        <f>'RESUMEN TOTAL'!Z323</f>
        <v>0</v>
      </c>
      <c r="V318">
        <f>'RESUMEN TOTAL'!AA323</f>
        <v>0</v>
      </c>
      <c r="W318">
        <f>'RESUMEN TOTAL'!AB323</f>
        <v>0</v>
      </c>
      <c r="X318">
        <f>'RESUMEN TOTAL'!AC323</f>
        <v>0</v>
      </c>
      <c r="Y318">
        <f>'RESUMEN TOTAL'!AD323</f>
        <v>0</v>
      </c>
      <c r="Z318">
        <f>'RESUMEN TOTAL'!AE323</f>
        <v>0</v>
      </c>
      <c r="AA318">
        <f>'RESUMEN TOTAL'!AF323</f>
        <v>0</v>
      </c>
      <c r="AB318">
        <f>'RESUMEN TOTAL'!AG323</f>
        <v>0</v>
      </c>
      <c r="AC318">
        <f>'RESUMEN TOTAL'!AH323</f>
        <v>0</v>
      </c>
      <c r="AD318">
        <f>'RESUMEN TOTAL'!AI323</f>
        <v>0</v>
      </c>
      <c r="AE318">
        <f>'RESUMEN TOTAL'!AJ323</f>
        <v>0</v>
      </c>
      <c r="AF318">
        <f>'RESUMEN TOTAL'!AK323</f>
        <v>0</v>
      </c>
      <c r="AG318">
        <f>'RESUMEN TOTAL'!AL323</f>
        <v>0</v>
      </c>
      <c r="AH318">
        <f>'RESUMEN TOTAL'!AM323</f>
        <v>0</v>
      </c>
      <c r="AI318">
        <f>'RESUMEN TOTAL'!AN323</f>
        <v>0</v>
      </c>
    </row>
    <row r="319" spans="1:35" x14ac:dyDescent="0.3">
      <c r="A319" t="str">
        <f>'RESUMEN TOTAL'!A324</f>
        <v>SANTA ROSA</v>
      </c>
      <c r="B319" t="str">
        <f>'RESUMEN TOTAL'!B324</f>
        <v>SRO 08</v>
      </c>
      <c r="C319" t="str">
        <f>'RESUMEN TOTAL'!D324</f>
        <v>NOVAK E/ DESSY Y BELGICA (POLIDEPORTIVO LA PATRIADA)</v>
      </c>
      <c r="D319" t="str">
        <f>'RESUMEN TOTAL'!E324</f>
        <v>Domo</v>
      </c>
      <c r="E319" t="str">
        <f>'RESUMEN TOTAL'!F324</f>
        <v>Fibra Optica</v>
      </c>
      <c r="F319">
        <f>'RESUMEN TOTAL'!K324</f>
        <v>0</v>
      </c>
      <c r="G319">
        <f>'RESUMEN TOTAL'!L324</f>
        <v>0</v>
      </c>
      <c r="H319">
        <f>'RESUMEN TOTAL'!M324</f>
        <v>0</v>
      </c>
      <c r="I319">
        <f>'RESUMEN TOTAL'!N324</f>
        <v>0</v>
      </c>
      <c r="J319">
        <f>'RESUMEN TOTAL'!O324</f>
        <v>0</v>
      </c>
      <c r="K319">
        <f>'RESUMEN TOTAL'!P324</f>
        <v>0</v>
      </c>
      <c r="L319">
        <f>'RESUMEN TOTAL'!Q324</f>
        <v>0</v>
      </c>
      <c r="M319">
        <f>'RESUMEN TOTAL'!R324</f>
        <v>0</v>
      </c>
      <c r="N319">
        <f>'RESUMEN TOTAL'!S324</f>
        <v>0</v>
      </c>
      <c r="O319">
        <f>'RESUMEN TOTAL'!T324</f>
        <v>0</v>
      </c>
      <c r="P319">
        <f>'RESUMEN TOTAL'!U324</f>
        <v>0</v>
      </c>
      <c r="Q319">
        <f>'RESUMEN TOTAL'!V324</f>
        <v>0</v>
      </c>
      <c r="R319">
        <f>'RESUMEN TOTAL'!W324</f>
        <v>0</v>
      </c>
      <c r="S319">
        <f>'RESUMEN TOTAL'!X324</f>
        <v>0</v>
      </c>
      <c r="T319">
        <f>'RESUMEN TOTAL'!Y324</f>
        <v>0</v>
      </c>
      <c r="U319">
        <f>'RESUMEN TOTAL'!Z324</f>
        <v>0</v>
      </c>
      <c r="V319">
        <f>'RESUMEN TOTAL'!AA324</f>
        <v>0</v>
      </c>
      <c r="W319">
        <f>'RESUMEN TOTAL'!AB324</f>
        <v>0</v>
      </c>
      <c r="X319">
        <f>'RESUMEN TOTAL'!AC324</f>
        <v>0</v>
      </c>
      <c r="Y319">
        <f>'RESUMEN TOTAL'!AD324</f>
        <v>0</v>
      </c>
      <c r="Z319">
        <f>'RESUMEN TOTAL'!AE324</f>
        <v>0</v>
      </c>
      <c r="AA319">
        <f>'RESUMEN TOTAL'!AF324</f>
        <v>0</v>
      </c>
      <c r="AB319">
        <f>'RESUMEN TOTAL'!AG324</f>
        <v>0</v>
      </c>
      <c r="AC319">
        <f>'RESUMEN TOTAL'!AH324</f>
        <v>0</v>
      </c>
      <c r="AD319">
        <f>'RESUMEN TOTAL'!AI324</f>
        <v>0</v>
      </c>
      <c r="AE319">
        <f>'RESUMEN TOTAL'!AJ324</f>
        <v>0</v>
      </c>
      <c r="AF319">
        <f>'RESUMEN TOTAL'!AK324</f>
        <v>0</v>
      </c>
      <c r="AG319">
        <f>'RESUMEN TOTAL'!AL324</f>
        <v>0</v>
      </c>
      <c r="AH319">
        <f>'RESUMEN TOTAL'!AM324</f>
        <v>0</v>
      </c>
      <c r="AI319">
        <f>'RESUMEN TOTAL'!AN324</f>
        <v>0</v>
      </c>
    </row>
    <row r="320" spans="1:35" x14ac:dyDescent="0.3">
      <c r="A320" t="str">
        <f>'RESUMEN TOTAL'!A325</f>
        <v>SANTA ROSA</v>
      </c>
      <c r="B320" t="str">
        <f>'RESUMEN TOTAL'!B325</f>
        <v>SRO 11</v>
      </c>
      <c r="C320" t="str">
        <f>'RESUMEN TOTAL'!D325</f>
        <v>MILAN Y MALLORCA</v>
      </c>
      <c r="D320" t="str">
        <f>'RESUMEN TOTAL'!E325</f>
        <v>DOMO</v>
      </c>
      <c r="E320" t="str">
        <f>'RESUMEN TOTAL'!F325</f>
        <v>Radio</v>
      </c>
      <c r="F320">
        <f>'RESUMEN TOTAL'!K325</f>
        <v>0</v>
      </c>
      <c r="G320">
        <f>'RESUMEN TOTAL'!L325</f>
        <v>0</v>
      </c>
      <c r="H320">
        <f>'RESUMEN TOTAL'!M325</f>
        <v>0</v>
      </c>
      <c r="I320">
        <f>'RESUMEN TOTAL'!N325</f>
        <v>0</v>
      </c>
      <c r="J320">
        <f>'RESUMEN TOTAL'!O325</f>
        <v>0</v>
      </c>
      <c r="K320" t="str">
        <f>'RESUMEN TOTAL'!P325</f>
        <v>APAGADO</v>
      </c>
      <c r="L320">
        <f>'RESUMEN TOTAL'!Q325</f>
        <v>0</v>
      </c>
      <c r="M320">
        <f>'RESUMEN TOTAL'!R325</f>
        <v>0</v>
      </c>
      <c r="N320">
        <f>'RESUMEN TOTAL'!S325</f>
        <v>0</v>
      </c>
      <c r="O320">
        <f>'RESUMEN TOTAL'!T325</f>
        <v>0</v>
      </c>
      <c r="P320">
        <f>'RESUMEN TOTAL'!U325</f>
        <v>0</v>
      </c>
      <c r="Q320">
        <f>'RESUMEN TOTAL'!V325</f>
        <v>0</v>
      </c>
      <c r="R320">
        <f>'RESUMEN TOTAL'!W325</f>
        <v>0</v>
      </c>
      <c r="S320">
        <f>'RESUMEN TOTAL'!X325</f>
        <v>0</v>
      </c>
      <c r="T320">
        <f>'RESUMEN TOTAL'!Y325</f>
        <v>0</v>
      </c>
      <c r="U320">
        <f>'RESUMEN TOTAL'!Z325</f>
        <v>0</v>
      </c>
      <c r="V320">
        <f>'RESUMEN TOTAL'!AA325</f>
        <v>0</v>
      </c>
      <c r="W320">
        <f>'RESUMEN TOTAL'!AB325</f>
        <v>0</v>
      </c>
      <c r="X320">
        <f>'RESUMEN TOTAL'!AC325</f>
        <v>0</v>
      </c>
      <c r="Y320">
        <f>'RESUMEN TOTAL'!AD325</f>
        <v>0</v>
      </c>
      <c r="Z320">
        <f>'RESUMEN TOTAL'!AE325</f>
        <v>0</v>
      </c>
      <c r="AA320">
        <f>'RESUMEN TOTAL'!AF325</f>
        <v>0</v>
      </c>
      <c r="AB320">
        <f>'RESUMEN TOTAL'!AG325</f>
        <v>0</v>
      </c>
      <c r="AC320">
        <f>'RESUMEN TOTAL'!AH325</f>
        <v>0</v>
      </c>
      <c r="AD320">
        <f>'RESUMEN TOTAL'!AI325</f>
        <v>0</v>
      </c>
      <c r="AE320">
        <f>'RESUMEN TOTAL'!AJ325</f>
        <v>0</v>
      </c>
      <c r="AF320">
        <f>'RESUMEN TOTAL'!AK325</f>
        <v>0</v>
      </c>
      <c r="AG320">
        <f>'RESUMEN TOTAL'!AL325</f>
        <v>0</v>
      </c>
      <c r="AH320">
        <f>'RESUMEN TOTAL'!AM325</f>
        <v>0</v>
      </c>
      <c r="AI320">
        <f>'RESUMEN TOTAL'!AN325</f>
        <v>0</v>
      </c>
    </row>
    <row r="321" spans="1:35" x14ac:dyDescent="0.3">
      <c r="A321" t="str">
        <f>'RESUMEN TOTAL'!A326</f>
        <v>ZONA RURAL SANTA ROSA</v>
      </c>
      <c r="B321" t="str">
        <f>'RESUMEN TOTAL'!B326</f>
        <v>SRO 13 (fija 1)</v>
      </c>
      <c r="C321" t="str">
        <f>'RESUMEN TOTAL'!D326</f>
        <v>BRUSELAS E/ GRECIA Y CHECOSLOVAQUIA</v>
      </c>
      <c r="D321" t="str">
        <f>'RESUMEN TOTAL'!E326</f>
        <v>Fija</v>
      </c>
      <c r="E321" t="str">
        <f>'RESUMEN TOTAL'!F326</f>
        <v>RADIO</v>
      </c>
      <c r="F321">
        <f>'RESUMEN TOTAL'!K326</f>
        <v>0</v>
      </c>
      <c r="G321">
        <f>'RESUMEN TOTAL'!L326</f>
        <v>0</v>
      </c>
      <c r="H321">
        <f>'RESUMEN TOTAL'!M326</f>
        <v>0</v>
      </c>
      <c r="I321">
        <f>'RESUMEN TOTAL'!N326</f>
        <v>0</v>
      </c>
      <c r="J321">
        <f>'RESUMEN TOTAL'!O326</f>
        <v>0</v>
      </c>
      <c r="K321">
        <f>'RESUMEN TOTAL'!P326</f>
        <v>0</v>
      </c>
      <c r="L321">
        <f>'RESUMEN TOTAL'!Q326</f>
        <v>0</v>
      </c>
      <c r="M321">
        <f>'RESUMEN TOTAL'!R326</f>
        <v>0</v>
      </c>
      <c r="N321">
        <f>'RESUMEN TOTAL'!S326</f>
        <v>0</v>
      </c>
      <c r="O321">
        <f>'RESUMEN TOTAL'!T326</f>
        <v>0</v>
      </c>
      <c r="P321">
        <f>'RESUMEN TOTAL'!U326</f>
        <v>0</v>
      </c>
      <c r="Q321">
        <f>'RESUMEN TOTAL'!V326</f>
        <v>0</v>
      </c>
      <c r="R321">
        <f>'RESUMEN TOTAL'!W326</f>
        <v>0</v>
      </c>
      <c r="S321">
        <f>'RESUMEN TOTAL'!X326</f>
        <v>0</v>
      </c>
      <c r="T321">
        <f>'RESUMEN TOTAL'!Y326</f>
        <v>0</v>
      </c>
      <c r="U321">
        <f>'RESUMEN TOTAL'!Z326</f>
        <v>0</v>
      </c>
      <c r="V321">
        <f>'RESUMEN TOTAL'!AA326</f>
        <v>0</v>
      </c>
      <c r="W321">
        <f>'RESUMEN TOTAL'!AB326</f>
        <v>0</v>
      </c>
      <c r="X321">
        <f>'RESUMEN TOTAL'!AC326</f>
        <v>0</v>
      </c>
      <c r="Y321">
        <f>'RESUMEN TOTAL'!AD326</f>
        <v>0</v>
      </c>
      <c r="Z321">
        <f>'RESUMEN TOTAL'!AE326</f>
        <v>0</v>
      </c>
      <c r="AA321">
        <f>'RESUMEN TOTAL'!AF326</f>
        <v>0</v>
      </c>
      <c r="AB321">
        <f>'RESUMEN TOTAL'!AG326</f>
        <v>0</v>
      </c>
      <c r="AC321">
        <f>'RESUMEN TOTAL'!AH326</f>
        <v>0</v>
      </c>
      <c r="AD321">
        <f>'RESUMEN TOTAL'!AI326</f>
        <v>0</v>
      </c>
      <c r="AE321">
        <f>'RESUMEN TOTAL'!AJ326</f>
        <v>0</v>
      </c>
      <c r="AF321">
        <f>'RESUMEN TOTAL'!AK326</f>
        <v>0</v>
      </c>
      <c r="AG321">
        <f>'RESUMEN TOTAL'!AL326</f>
        <v>0</v>
      </c>
      <c r="AH321">
        <f>'RESUMEN TOTAL'!AM326</f>
        <v>0</v>
      </c>
      <c r="AI321">
        <f>'RESUMEN TOTAL'!AN326</f>
        <v>0</v>
      </c>
    </row>
    <row r="322" spans="1:35" x14ac:dyDescent="0.3">
      <c r="A322" t="str">
        <f>'RESUMEN TOTAL'!A327</f>
        <v>ZONA RURAL SANTA ROSA</v>
      </c>
      <c r="B322" t="str">
        <f>'RESUMEN TOTAL'!B327</f>
        <v>SRO 14 (fija 2)</v>
      </c>
      <c r="C322" t="str">
        <f>'RESUMEN TOTAL'!D327</f>
        <v>BRUSELAS E/ GRECIA Y CHECOSLOVAQUIA</v>
      </c>
      <c r="D322" t="str">
        <f>'RESUMEN TOTAL'!E327</f>
        <v>Fija</v>
      </c>
      <c r="E322" t="str">
        <f>'RESUMEN TOTAL'!F327</f>
        <v>RADIO</v>
      </c>
      <c r="F322">
        <f>'RESUMEN TOTAL'!K327</f>
        <v>0</v>
      </c>
      <c r="G322">
        <f>'RESUMEN TOTAL'!L327</f>
        <v>0</v>
      </c>
      <c r="H322">
        <f>'RESUMEN TOTAL'!M327</f>
        <v>0</v>
      </c>
      <c r="I322">
        <f>'RESUMEN TOTAL'!N327</f>
        <v>0</v>
      </c>
      <c r="J322">
        <f>'RESUMEN TOTAL'!O327</f>
        <v>0</v>
      </c>
      <c r="K322">
        <f>'RESUMEN TOTAL'!P327</f>
        <v>0</v>
      </c>
      <c r="L322">
        <f>'RESUMEN TOTAL'!Q327</f>
        <v>0</v>
      </c>
      <c r="M322">
        <f>'RESUMEN TOTAL'!R327</f>
        <v>0</v>
      </c>
      <c r="N322">
        <f>'RESUMEN TOTAL'!S327</f>
        <v>0</v>
      </c>
      <c r="O322">
        <f>'RESUMEN TOTAL'!T327</f>
        <v>0</v>
      </c>
      <c r="P322">
        <f>'RESUMEN TOTAL'!U327</f>
        <v>0</v>
      </c>
      <c r="Q322">
        <f>'RESUMEN TOTAL'!V327</f>
        <v>0</v>
      </c>
      <c r="R322">
        <f>'RESUMEN TOTAL'!W327</f>
        <v>0</v>
      </c>
      <c r="S322" t="str">
        <f>'RESUMEN TOTAL'!X327</f>
        <v>APAGADO</v>
      </c>
      <c r="T322">
        <f>'RESUMEN TOTAL'!Y327</f>
        <v>0</v>
      </c>
      <c r="U322">
        <f>'RESUMEN TOTAL'!Z327</f>
        <v>0</v>
      </c>
      <c r="V322">
        <f>'RESUMEN TOTAL'!AA327</f>
        <v>0</v>
      </c>
      <c r="W322">
        <f>'RESUMEN TOTAL'!AB327</f>
        <v>0</v>
      </c>
      <c r="X322">
        <f>'RESUMEN TOTAL'!AC327</f>
        <v>0</v>
      </c>
      <c r="Y322">
        <f>'RESUMEN TOTAL'!AD327</f>
        <v>0</v>
      </c>
      <c r="Z322">
        <f>'RESUMEN TOTAL'!AE327</f>
        <v>0</v>
      </c>
      <c r="AA322">
        <f>'RESUMEN TOTAL'!AF327</f>
        <v>0</v>
      </c>
      <c r="AB322">
        <f>'RESUMEN TOTAL'!AG327</f>
        <v>0</v>
      </c>
      <c r="AC322">
        <f>'RESUMEN TOTAL'!AH327</f>
        <v>0</v>
      </c>
      <c r="AD322">
        <f>'RESUMEN TOTAL'!AI327</f>
        <v>0</v>
      </c>
      <c r="AE322">
        <f>'RESUMEN TOTAL'!AJ327</f>
        <v>0</v>
      </c>
      <c r="AF322">
        <f>'RESUMEN TOTAL'!AK327</f>
        <v>0</v>
      </c>
      <c r="AG322">
        <f>'RESUMEN TOTAL'!AL327</f>
        <v>0</v>
      </c>
      <c r="AH322">
        <f>'RESUMEN TOTAL'!AM327</f>
        <v>0</v>
      </c>
      <c r="AI322">
        <f>'RESUMEN TOTAL'!AN327</f>
        <v>0</v>
      </c>
    </row>
    <row r="323" spans="1:35" x14ac:dyDescent="0.3">
      <c r="A323" t="str">
        <f>'RESUMEN TOTAL'!A328</f>
        <v>SANTA ROSA</v>
      </c>
      <c r="B323" t="str">
        <f>'RESUMEN TOTAL'!B328</f>
        <v>SRO 18 (fija 1)</v>
      </c>
      <c r="C323" t="str">
        <f>'RESUMEN TOTAL'!D328</f>
        <v>GRAN CANARIA Y BUDAPEST</v>
      </c>
      <c r="D323" t="str">
        <f>'RESUMEN TOTAL'!E328</f>
        <v>Fija</v>
      </c>
      <c r="E323" t="str">
        <f>'RESUMEN TOTAL'!F328</f>
        <v>Fibra Optica</v>
      </c>
      <c r="F323">
        <f>'RESUMEN TOTAL'!K328</f>
        <v>0</v>
      </c>
      <c r="G323">
        <f>'RESUMEN TOTAL'!L328</f>
        <v>0</v>
      </c>
      <c r="H323">
        <f>'RESUMEN TOTAL'!M328</f>
        <v>0</v>
      </c>
      <c r="I323">
        <f>'RESUMEN TOTAL'!N328</f>
        <v>0</v>
      </c>
      <c r="J323">
        <f>'RESUMEN TOTAL'!O328</f>
        <v>0</v>
      </c>
      <c r="K323">
        <f>'RESUMEN TOTAL'!P328</f>
        <v>0</v>
      </c>
      <c r="L323">
        <f>'RESUMEN TOTAL'!Q328</f>
        <v>0</v>
      </c>
      <c r="M323">
        <f>'RESUMEN TOTAL'!R328</f>
        <v>0</v>
      </c>
      <c r="N323">
        <f>'RESUMEN TOTAL'!S328</f>
        <v>0</v>
      </c>
      <c r="O323">
        <f>'RESUMEN TOTAL'!T328</f>
        <v>0</v>
      </c>
      <c r="P323">
        <f>'RESUMEN TOTAL'!U328</f>
        <v>0</v>
      </c>
      <c r="Q323">
        <f>'RESUMEN TOTAL'!V328</f>
        <v>0</v>
      </c>
      <c r="R323">
        <f>'RESUMEN TOTAL'!W328</f>
        <v>0</v>
      </c>
      <c r="S323">
        <f>'RESUMEN TOTAL'!X328</f>
        <v>0</v>
      </c>
      <c r="T323">
        <f>'RESUMEN TOTAL'!Y328</f>
        <v>0</v>
      </c>
      <c r="U323">
        <f>'RESUMEN TOTAL'!Z328</f>
        <v>0</v>
      </c>
      <c r="V323">
        <f>'RESUMEN TOTAL'!AA328</f>
        <v>0</v>
      </c>
      <c r="W323">
        <f>'RESUMEN TOTAL'!AB328</f>
        <v>0</v>
      </c>
      <c r="X323">
        <f>'RESUMEN TOTAL'!AC328</f>
        <v>0</v>
      </c>
      <c r="Y323">
        <f>'RESUMEN TOTAL'!AD328</f>
        <v>0</v>
      </c>
      <c r="Z323">
        <f>'RESUMEN TOTAL'!AE328</f>
        <v>0</v>
      </c>
      <c r="AA323">
        <f>'RESUMEN TOTAL'!AF328</f>
        <v>0</v>
      </c>
      <c r="AB323">
        <f>'RESUMEN TOTAL'!AG328</f>
        <v>0</v>
      </c>
      <c r="AC323">
        <f>'RESUMEN TOTAL'!AH328</f>
        <v>0</v>
      </c>
      <c r="AD323">
        <f>'RESUMEN TOTAL'!AI328</f>
        <v>0</v>
      </c>
      <c r="AE323">
        <f>'RESUMEN TOTAL'!AJ328</f>
        <v>0</v>
      </c>
      <c r="AF323">
        <f>'RESUMEN TOTAL'!AK328</f>
        <v>0</v>
      </c>
      <c r="AG323">
        <f>'RESUMEN TOTAL'!AL328</f>
        <v>0</v>
      </c>
      <c r="AH323">
        <f>'RESUMEN TOTAL'!AM328</f>
        <v>0</v>
      </c>
      <c r="AI323">
        <f>'RESUMEN TOTAL'!AN328</f>
        <v>0</v>
      </c>
    </row>
    <row r="324" spans="1:35" x14ac:dyDescent="0.3">
      <c r="A324" t="str">
        <f>'RESUMEN TOTAL'!A329</f>
        <v>SANTA ROSA</v>
      </c>
      <c r="B324" t="str">
        <f>'RESUMEN TOTAL'!B329</f>
        <v>SRO 19 (fija 2)</v>
      </c>
      <c r="C324" t="str">
        <f>'RESUMEN TOTAL'!D329</f>
        <v>GRAN CANARIA Y BUDAPEST</v>
      </c>
      <c r="D324" t="str">
        <f>'RESUMEN TOTAL'!E329</f>
        <v>Fija</v>
      </c>
      <c r="E324" t="str">
        <f>'RESUMEN TOTAL'!F329</f>
        <v>Fibra Optica</v>
      </c>
      <c r="F324">
        <f>'RESUMEN TOTAL'!K329</f>
        <v>0</v>
      </c>
      <c r="G324">
        <f>'RESUMEN TOTAL'!L329</f>
        <v>0</v>
      </c>
      <c r="H324">
        <f>'RESUMEN TOTAL'!M329</f>
        <v>0</v>
      </c>
      <c r="I324">
        <f>'RESUMEN TOTAL'!N329</f>
        <v>0</v>
      </c>
      <c r="J324">
        <f>'RESUMEN TOTAL'!O329</f>
        <v>0</v>
      </c>
      <c r="K324">
        <f>'RESUMEN TOTAL'!P329</f>
        <v>0</v>
      </c>
      <c r="L324">
        <f>'RESUMEN TOTAL'!Q329</f>
        <v>0</v>
      </c>
      <c r="M324">
        <f>'RESUMEN TOTAL'!R329</f>
        <v>0</v>
      </c>
      <c r="N324">
        <f>'RESUMEN TOTAL'!S329</f>
        <v>0</v>
      </c>
      <c r="O324">
        <f>'RESUMEN TOTAL'!T329</f>
        <v>0</v>
      </c>
      <c r="P324">
        <f>'RESUMEN TOTAL'!U329</f>
        <v>0</v>
      </c>
      <c r="Q324">
        <f>'RESUMEN TOTAL'!V329</f>
        <v>0</v>
      </c>
      <c r="R324">
        <f>'RESUMEN TOTAL'!W329</f>
        <v>0</v>
      </c>
      <c r="S324">
        <f>'RESUMEN TOTAL'!X329</f>
        <v>0</v>
      </c>
      <c r="T324">
        <f>'RESUMEN TOTAL'!Y329</f>
        <v>0</v>
      </c>
      <c r="U324">
        <f>'RESUMEN TOTAL'!Z329</f>
        <v>0</v>
      </c>
      <c r="V324">
        <f>'RESUMEN TOTAL'!AA329</f>
        <v>0</v>
      </c>
      <c r="W324">
        <f>'RESUMEN TOTAL'!AB329</f>
        <v>0</v>
      </c>
      <c r="X324">
        <f>'RESUMEN TOTAL'!AC329</f>
        <v>0</v>
      </c>
      <c r="Y324">
        <f>'RESUMEN TOTAL'!AD329</f>
        <v>0</v>
      </c>
      <c r="Z324">
        <f>'RESUMEN TOTAL'!AE329</f>
        <v>0</v>
      </c>
      <c r="AA324">
        <f>'RESUMEN TOTAL'!AF329</f>
        <v>0</v>
      </c>
      <c r="AB324">
        <f>'RESUMEN TOTAL'!AG329</f>
        <v>0</v>
      </c>
      <c r="AC324">
        <f>'RESUMEN TOTAL'!AH329</f>
        <v>0</v>
      </c>
      <c r="AD324">
        <f>'RESUMEN TOTAL'!AI329</f>
        <v>0</v>
      </c>
      <c r="AE324">
        <f>'RESUMEN TOTAL'!AJ329</f>
        <v>0</v>
      </c>
      <c r="AF324">
        <f>'RESUMEN TOTAL'!AK329</f>
        <v>0</v>
      </c>
      <c r="AG324">
        <f>'RESUMEN TOTAL'!AL329</f>
        <v>0</v>
      </c>
      <c r="AH324">
        <f>'RESUMEN TOTAL'!AM329</f>
        <v>0</v>
      </c>
      <c r="AI324">
        <f>'RESUMEN TOTAL'!AN329</f>
        <v>0</v>
      </c>
    </row>
    <row r="325" spans="1:35" x14ac:dyDescent="0.3">
      <c r="A325" t="str">
        <f>'RESUMEN TOTAL'!A330</f>
        <v>SANTA ROSA</v>
      </c>
      <c r="B325" t="str">
        <f>'RESUMEN TOTAL'!B330</f>
        <v>SRO01</v>
      </c>
      <c r="C325" t="str">
        <f>'RESUMEN TOTAL'!D330</f>
        <v>Yugoslavia y MilÃ¡n</v>
      </c>
      <c r="D325" t="str">
        <f>'RESUMEN TOTAL'!E330</f>
        <v>Domo</v>
      </c>
      <c r="E325" t="str">
        <f>'RESUMEN TOTAL'!F330</f>
        <v>Radio</v>
      </c>
      <c r="F325">
        <f>'RESUMEN TOTAL'!K330</f>
        <v>0</v>
      </c>
      <c r="G325">
        <f>'RESUMEN TOTAL'!L330</f>
        <v>0</v>
      </c>
      <c r="H325">
        <f>'RESUMEN TOTAL'!M330</f>
        <v>0</v>
      </c>
      <c r="I325">
        <f>'RESUMEN TOTAL'!N330</f>
        <v>0</v>
      </c>
      <c r="J325">
        <f>'RESUMEN TOTAL'!O330</f>
        <v>0</v>
      </c>
      <c r="K325">
        <f>'RESUMEN TOTAL'!P330</f>
        <v>0</v>
      </c>
      <c r="L325">
        <f>'RESUMEN TOTAL'!Q330</f>
        <v>0</v>
      </c>
      <c r="M325">
        <f>'RESUMEN TOTAL'!R330</f>
        <v>0</v>
      </c>
      <c r="N325">
        <f>'RESUMEN TOTAL'!S330</f>
        <v>0</v>
      </c>
      <c r="O325">
        <f>'RESUMEN TOTAL'!T330</f>
        <v>0</v>
      </c>
      <c r="P325">
        <f>'RESUMEN TOTAL'!U330</f>
        <v>0</v>
      </c>
      <c r="Q325">
        <f>'RESUMEN TOTAL'!V330</f>
        <v>0</v>
      </c>
      <c r="R325">
        <f>'RESUMEN TOTAL'!W330</f>
        <v>0</v>
      </c>
      <c r="S325">
        <f>'RESUMEN TOTAL'!X330</f>
        <v>0</v>
      </c>
      <c r="T325">
        <f>'RESUMEN TOTAL'!Y330</f>
        <v>0</v>
      </c>
      <c r="U325">
        <f>'RESUMEN TOTAL'!Z330</f>
        <v>0</v>
      </c>
      <c r="V325">
        <f>'RESUMEN TOTAL'!AA330</f>
        <v>0</v>
      </c>
      <c r="W325">
        <f>'RESUMEN TOTAL'!AB330</f>
        <v>0</v>
      </c>
      <c r="X325">
        <f>'RESUMEN TOTAL'!AC330</f>
        <v>0</v>
      </c>
      <c r="Y325">
        <f>'RESUMEN TOTAL'!AD330</f>
        <v>0</v>
      </c>
      <c r="Z325">
        <f>'RESUMEN TOTAL'!AE330</f>
        <v>0</v>
      </c>
      <c r="AA325">
        <f>'RESUMEN TOTAL'!AF330</f>
        <v>0</v>
      </c>
      <c r="AB325">
        <f>'RESUMEN TOTAL'!AG330</f>
        <v>0</v>
      </c>
      <c r="AC325">
        <f>'RESUMEN TOTAL'!AH330</f>
        <v>0</v>
      </c>
      <c r="AD325">
        <f>'RESUMEN TOTAL'!AI330</f>
        <v>0</v>
      </c>
      <c r="AE325">
        <f>'RESUMEN TOTAL'!AJ330</f>
        <v>0</v>
      </c>
      <c r="AF325">
        <f>'RESUMEN TOTAL'!AK330</f>
        <v>0</v>
      </c>
      <c r="AG325">
        <f>'RESUMEN TOTAL'!AL330</f>
        <v>0</v>
      </c>
      <c r="AH325">
        <f>'RESUMEN TOTAL'!AM330</f>
        <v>0</v>
      </c>
      <c r="AI325">
        <f>'RESUMEN TOTAL'!AN330</f>
        <v>0</v>
      </c>
    </row>
    <row r="326" spans="1:35" x14ac:dyDescent="0.3">
      <c r="A326" t="str">
        <f>'RESUMEN TOTAL'!A331</f>
        <v>ZONA RURAL SANTA ROSA</v>
      </c>
      <c r="B326" t="str">
        <f>'RESUMEN TOTAL'!B331</f>
        <v>SRO02</v>
      </c>
      <c r="C326" t="str">
        <f>'RESUMEN TOTAL'!D331</f>
        <v>Bruselas y Calle 448</v>
      </c>
      <c r="D326" t="str">
        <f>'RESUMEN TOTAL'!E331</f>
        <v>Domo</v>
      </c>
      <c r="E326" t="str">
        <f>'RESUMEN TOTAL'!F331</f>
        <v>Radio</v>
      </c>
      <c r="F326">
        <f>'RESUMEN TOTAL'!K331</f>
        <v>0</v>
      </c>
      <c r="G326">
        <f>'RESUMEN TOTAL'!L331</f>
        <v>0</v>
      </c>
      <c r="H326">
        <f>'RESUMEN TOTAL'!M331</f>
        <v>0</v>
      </c>
      <c r="I326">
        <f>'RESUMEN TOTAL'!N331</f>
        <v>0</v>
      </c>
      <c r="J326">
        <f>'RESUMEN TOTAL'!O331</f>
        <v>0</v>
      </c>
      <c r="K326">
        <f>'RESUMEN TOTAL'!P331</f>
        <v>0</v>
      </c>
      <c r="L326">
        <f>'RESUMEN TOTAL'!Q331</f>
        <v>0</v>
      </c>
      <c r="M326">
        <f>'RESUMEN TOTAL'!R331</f>
        <v>0</v>
      </c>
      <c r="N326">
        <f>'RESUMEN TOTAL'!S331</f>
        <v>0</v>
      </c>
      <c r="O326">
        <f>'RESUMEN TOTAL'!T331</f>
        <v>0</v>
      </c>
      <c r="P326">
        <f>'RESUMEN TOTAL'!U331</f>
        <v>0</v>
      </c>
      <c r="Q326">
        <f>'RESUMEN TOTAL'!V331</f>
        <v>0</v>
      </c>
      <c r="R326">
        <f>'RESUMEN TOTAL'!W331</f>
        <v>0</v>
      </c>
      <c r="S326">
        <f>'RESUMEN TOTAL'!X331</f>
        <v>0</v>
      </c>
      <c r="T326">
        <f>'RESUMEN TOTAL'!Y331</f>
        <v>0</v>
      </c>
      <c r="U326">
        <f>'RESUMEN TOTAL'!Z331</f>
        <v>0</v>
      </c>
      <c r="V326">
        <f>'RESUMEN TOTAL'!AA331</f>
        <v>0</v>
      </c>
      <c r="W326">
        <f>'RESUMEN TOTAL'!AB331</f>
        <v>0</v>
      </c>
      <c r="X326">
        <f>'RESUMEN TOTAL'!AC331</f>
        <v>0</v>
      </c>
      <c r="Y326">
        <f>'RESUMEN TOTAL'!AD331</f>
        <v>0</v>
      </c>
      <c r="Z326">
        <f>'RESUMEN TOTAL'!AE331</f>
        <v>0</v>
      </c>
      <c r="AA326">
        <f>'RESUMEN TOTAL'!AF331</f>
        <v>0</v>
      </c>
      <c r="AB326">
        <f>'RESUMEN TOTAL'!AG331</f>
        <v>0</v>
      </c>
      <c r="AC326">
        <f>'RESUMEN TOTAL'!AH331</f>
        <v>0</v>
      </c>
      <c r="AD326">
        <f>'RESUMEN TOTAL'!AI331</f>
        <v>0</v>
      </c>
      <c r="AE326">
        <f>'RESUMEN TOTAL'!AJ331</f>
        <v>0</v>
      </c>
      <c r="AF326">
        <f>'RESUMEN TOTAL'!AK331</f>
        <v>0</v>
      </c>
      <c r="AG326">
        <f>'RESUMEN TOTAL'!AL331</f>
        <v>0</v>
      </c>
      <c r="AH326">
        <f>'RESUMEN TOTAL'!AM331</f>
        <v>0</v>
      </c>
      <c r="AI326">
        <f>'RESUMEN TOTAL'!AN331</f>
        <v>0</v>
      </c>
    </row>
    <row r="327" spans="1:35" x14ac:dyDescent="0.3">
      <c r="A327" t="str">
        <f>'RESUMEN TOTAL'!A332</f>
        <v>SANTA ROSA</v>
      </c>
      <c r="B327" t="str">
        <f>'RESUMEN TOTAL'!B332</f>
        <v>SRO03</v>
      </c>
      <c r="C327" t="str">
        <f>'RESUMEN TOTAL'!D332</f>
        <v>Eva Peron y Paysandu</v>
      </c>
      <c r="D327" t="str">
        <f>'RESUMEN TOTAL'!E332</f>
        <v>Domo</v>
      </c>
      <c r="E327" t="str">
        <f>'RESUMEN TOTAL'!F332</f>
        <v>Radio</v>
      </c>
      <c r="F327" t="str">
        <f>'RESUMEN TOTAL'!K332</f>
        <v>APAGADO</v>
      </c>
      <c r="G327">
        <f>'RESUMEN TOTAL'!L332</f>
        <v>0</v>
      </c>
      <c r="H327">
        <f>'RESUMEN TOTAL'!M332</f>
        <v>0</v>
      </c>
      <c r="I327">
        <f>'RESUMEN TOTAL'!N332</f>
        <v>0</v>
      </c>
      <c r="J327">
        <f>'RESUMEN TOTAL'!O332</f>
        <v>0</v>
      </c>
      <c r="K327">
        <f>'RESUMEN TOTAL'!P332</f>
        <v>0</v>
      </c>
      <c r="L327">
        <f>'RESUMEN TOTAL'!Q332</f>
        <v>0</v>
      </c>
      <c r="M327">
        <f>'RESUMEN TOTAL'!R332</f>
        <v>0</v>
      </c>
      <c r="N327">
        <f>'RESUMEN TOTAL'!S332</f>
        <v>0</v>
      </c>
      <c r="O327">
        <f>'RESUMEN TOTAL'!T332</f>
        <v>0</v>
      </c>
      <c r="P327">
        <f>'RESUMEN TOTAL'!U332</f>
        <v>0</v>
      </c>
      <c r="Q327">
        <f>'RESUMEN TOTAL'!V332</f>
        <v>0</v>
      </c>
      <c r="R327">
        <f>'RESUMEN TOTAL'!W332</f>
        <v>0</v>
      </c>
      <c r="S327">
        <f>'RESUMEN TOTAL'!X332</f>
        <v>0</v>
      </c>
      <c r="T327">
        <f>'RESUMEN TOTAL'!Y332</f>
        <v>0</v>
      </c>
      <c r="U327">
        <f>'RESUMEN TOTAL'!Z332</f>
        <v>0</v>
      </c>
      <c r="V327">
        <f>'RESUMEN TOTAL'!AA332</f>
        <v>0</v>
      </c>
      <c r="W327">
        <f>'RESUMEN TOTAL'!AB332</f>
        <v>0</v>
      </c>
      <c r="X327">
        <f>'RESUMEN TOTAL'!AC332</f>
        <v>0</v>
      </c>
      <c r="Y327">
        <f>'RESUMEN TOTAL'!AD332</f>
        <v>0</v>
      </c>
      <c r="Z327">
        <f>'RESUMEN TOTAL'!AE332</f>
        <v>0</v>
      </c>
      <c r="AA327">
        <f>'RESUMEN TOTAL'!AF332</f>
        <v>0</v>
      </c>
      <c r="AB327">
        <f>'RESUMEN TOTAL'!AG332</f>
        <v>0</v>
      </c>
      <c r="AC327">
        <f>'RESUMEN TOTAL'!AH332</f>
        <v>0</v>
      </c>
      <c r="AD327">
        <f>'RESUMEN TOTAL'!AI332</f>
        <v>0</v>
      </c>
      <c r="AE327">
        <f>'RESUMEN TOTAL'!AJ332</f>
        <v>0</v>
      </c>
      <c r="AF327">
        <f>'RESUMEN TOTAL'!AK332</f>
        <v>0</v>
      </c>
      <c r="AG327">
        <f>'RESUMEN TOTAL'!AL332</f>
        <v>0</v>
      </c>
      <c r="AH327">
        <f>'RESUMEN TOTAL'!AM332</f>
        <v>0</v>
      </c>
      <c r="AI327">
        <f>'RESUMEN TOTAL'!AN332</f>
        <v>0</v>
      </c>
    </row>
    <row r="328" spans="1:35" x14ac:dyDescent="0.3">
      <c r="A328" t="str">
        <f>'RESUMEN TOTAL'!A333</f>
        <v>SANTA ROSA</v>
      </c>
      <c r="B328" t="str">
        <f>'RESUMEN TOTAL'!B333</f>
        <v>SRO05</v>
      </c>
      <c r="C328" t="str">
        <f>'RESUMEN TOTAL'!D333</f>
        <v>CAFFERATA Y BONN</v>
      </c>
      <c r="D328" t="str">
        <f>'RESUMEN TOTAL'!E333</f>
        <v>DOMO</v>
      </c>
      <c r="E328" t="str">
        <f>'RESUMEN TOTAL'!F333</f>
        <v>Radio</v>
      </c>
      <c r="F328">
        <f>'RESUMEN TOTAL'!K333</f>
        <v>0</v>
      </c>
      <c r="G328">
        <f>'RESUMEN TOTAL'!L333</f>
        <v>0</v>
      </c>
      <c r="H328">
        <f>'RESUMEN TOTAL'!M333</f>
        <v>0</v>
      </c>
      <c r="I328">
        <f>'RESUMEN TOTAL'!N333</f>
        <v>0</v>
      </c>
      <c r="J328">
        <f>'RESUMEN TOTAL'!O333</f>
        <v>0</v>
      </c>
      <c r="K328">
        <f>'RESUMEN TOTAL'!P333</f>
        <v>0</v>
      </c>
      <c r="L328">
        <f>'RESUMEN TOTAL'!Q333</f>
        <v>0</v>
      </c>
      <c r="M328">
        <f>'RESUMEN TOTAL'!R333</f>
        <v>0</v>
      </c>
      <c r="N328">
        <f>'RESUMEN TOTAL'!S333</f>
        <v>0</v>
      </c>
      <c r="O328">
        <f>'RESUMEN TOTAL'!T333</f>
        <v>0</v>
      </c>
      <c r="P328">
        <f>'RESUMEN TOTAL'!U333</f>
        <v>0</v>
      </c>
      <c r="Q328">
        <f>'RESUMEN TOTAL'!V333</f>
        <v>0</v>
      </c>
      <c r="R328">
        <f>'RESUMEN TOTAL'!W333</f>
        <v>0</v>
      </c>
      <c r="S328">
        <f>'RESUMEN TOTAL'!X333</f>
        <v>0</v>
      </c>
      <c r="T328">
        <f>'RESUMEN TOTAL'!Y333</f>
        <v>0</v>
      </c>
      <c r="U328">
        <f>'RESUMEN TOTAL'!Z333</f>
        <v>0</v>
      </c>
      <c r="V328">
        <f>'RESUMEN TOTAL'!AA333</f>
        <v>0</v>
      </c>
      <c r="W328">
        <f>'RESUMEN TOTAL'!AB333</f>
        <v>0</v>
      </c>
      <c r="X328">
        <f>'RESUMEN TOTAL'!AC333</f>
        <v>0</v>
      </c>
      <c r="Y328">
        <f>'RESUMEN TOTAL'!AD333</f>
        <v>0</v>
      </c>
      <c r="Z328">
        <f>'RESUMEN TOTAL'!AE333</f>
        <v>0</v>
      </c>
      <c r="AA328">
        <f>'RESUMEN TOTAL'!AF333</f>
        <v>0</v>
      </c>
      <c r="AB328">
        <f>'RESUMEN TOTAL'!AG333</f>
        <v>0</v>
      </c>
      <c r="AC328">
        <f>'RESUMEN TOTAL'!AH333</f>
        <v>0</v>
      </c>
      <c r="AD328">
        <f>'RESUMEN TOTAL'!AI333</f>
        <v>0</v>
      </c>
      <c r="AE328">
        <f>'RESUMEN TOTAL'!AJ333</f>
        <v>0</v>
      </c>
      <c r="AF328">
        <f>'RESUMEN TOTAL'!AK333</f>
        <v>0</v>
      </c>
      <c r="AG328">
        <f>'RESUMEN TOTAL'!AL333</f>
        <v>0</v>
      </c>
      <c r="AH328">
        <f>'RESUMEN TOTAL'!AM333</f>
        <v>0</v>
      </c>
      <c r="AI328">
        <f>'RESUMEN TOTAL'!AN333</f>
        <v>0</v>
      </c>
    </row>
    <row r="329" spans="1:35" x14ac:dyDescent="0.3">
      <c r="A329" t="str">
        <f>'RESUMEN TOTAL'!A334</f>
        <v>SANTA ROSA</v>
      </c>
      <c r="B329" t="str">
        <f>'RESUMEN TOTAL'!B334</f>
        <v>SRO06</v>
      </c>
      <c r="C329" t="str">
        <f>'RESUMEN TOTAL'!D334</f>
        <v>Novak y Bonn</v>
      </c>
      <c r="D329" t="str">
        <f>'RESUMEN TOTAL'!E334</f>
        <v>Domo</v>
      </c>
      <c r="E329" t="str">
        <f>'RESUMEN TOTAL'!F334</f>
        <v>Fibra Optica</v>
      </c>
      <c r="F329">
        <f>'RESUMEN TOTAL'!K334</f>
        <v>0</v>
      </c>
      <c r="G329">
        <f>'RESUMEN TOTAL'!L334</f>
        <v>0</v>
      </c>
      <c r="H329">
        <f>'RESUMEN TOTAL'!M334</f>
        <v>0</v>
      </c>
      <c r="I329">
        <f>'RESUMEN TOTAL'!N334</f>
        <v>0</v>
      </c>
      <c r="J329">
        <f>'RESUMEN TOTAL'!O334</f>
        <v>0</v>
      </c>
      <c r="K329">
        <f>'RESUMEN TOTAL'!P334</f>
        <v>0</v>
      </c>
      <c r="L329">
        <f>'RESUMEN TOTAL'!Q334</f>
        <v>0</v>
      </c>
      <c r="M329">
        <f>'RESUMEN TOTAL'!R334</f>
        <v>0</v>
      </c>
      <c r="N329">
        <f>'RESUMEN TOTAL'!S334</f>
        <v>0</v>
      </c>
      <c r="O329">
        <f>'RESUMEN TOTAL'!T334</f>
        <v>0</v>
      </c>
      <c r="P329">
        <f>'RESUMEN TOTAL'!U334</f>
        <v>0</v>
      </c>
      <c r="Q329">
        <f>'RESUMEN TOTAL'!V334</f>
        <v>0</v>
      </c>
      <c r="R329">
        <f>'RESUMEN TOTAL'!W334</f>
        <v>0</v>
      </c>
      <c r="S329">
        <f>'RESUMEN TOTAL'!X334</f>
        <v>0</v>
      </c>
      <c r="T329">
        <f>'RESUMEN TOTAL'!Y334</f>
        <v>0</v>
      </c>
      <c r="U329">
        <f>'RESUMEN TOTAL'!Z334</f>
        <v>0</v>
      </c>
      <c r="V329">
        <f>'RESUMEN TOTAL'!AA334</f>
        <v>0</v>
      </c>
      <c r="W329">
        <f>'RESUMEN TOTAL'!AB334</f>
        <v>0</v>
      </c>
      <c r="X329">
        <f>'RESUMEN TOTAL'!AC334</f>
        <v>0</v>
      </c>
      <c r="Y329">
        <f>'RESUMEN TOTAL'!AD334</f>
        <v>0</v>
      </c>
      <c r="Z329">
        <f>'RESUMEN TOTAL'!AE334</f>
        <v>0</v>
      </c>
      <c r="AA329">
        <f>'RESUMEN TOTAL'!AF334</f>
        <v>0</v>
      </c>
      <c r="AB329">
        <f>'RESUMEN TOTAL'!AG334</f>
        <v>0</v>
      </c>
      <c r="AC329">
        <f>'RESUMEN TOTAL'!AH334</f>
        <v>0</v>
      </c>
      <c r="AD329">
        <f>'RESUMEN TOTAL'!AI334</f>
        <v>0</v>
      </c>
      <c r="AE329">
        <f>'RESUMEN TOTAL'!AJ334</f>
        <v>0</v>
      </c>
      <c r="AF329">
        <f>'RESUMEN TOTAL'!AK334</f>
        <v>0</v>
      </c>
      <c r="AG329">
        <f>'RESUMEN TOTAL'!AL334</f>
        <v>0</v>
      </c>
      <c r="AH329">
        <f>'RESUMEN TOTAL'!AM334</f>
        <v>0</v>
      </c>
      <c r="AI329">
        <f>'RESUMEN TOTAL'!AN334</f>
        <v>0</v>
      </c>
    </row>
    <row r="330" spans="1:35" x14ac:dyDescent="0.3">
      <c r="A330" t="str">
        <f>'RESUMEN TOTAL'!A335</f>
        <v>SANTA ROSA</v>
      </c>
      <c r="B330" t="str">
        <f>'RESUMEN TOTAL'!B335</f>
        <v>SRO07</v>
      </c>
      <c r="C330" t="str">
        <f>'RESUMEN TOTAL'!D335</f>
        <v>NOVAK Y BELGICA</v>
      </c>
      <c r="D330" t="str">
        <f>'RESUMEN TOTAL'!E335</f>
        <v>Domo</v>
      </c>
      <c r="E330" t="str">
        <f>'RESUMEN TOTAL'!F335</f>
        <v>Fibra Optica</v>
      </c>
      <c r="F330">
        <f>'RESUMEN TOTAL'!K335</f>
        <v>0</v>
      </c>
      <c r="G330">
        <f>'RESUMEN TOTAL'!L335</f>
        <v>0</v>
      </c>
      <c r="H330">
        <f>'RESUMEN TOTAL'!M335</f>
        <v>0</v>
      </c>
      <c r="I330">
        <f>'RESUMEN TOTAL'!N335</f>
        <v>0</v>
      </c>
      <c r="J330">
        <f>'RESUMEN TOTAL'!O335</f>
        <v>0</v>
      </c>
      <c r="K330">
        <f>'RESUMEN TOTAL'!P335</f>
        <v>0</v>
      </c>
      <c r="L330">
        <f>'RESUMEN TOTAL'!Q335</f>
        <v>0</v>
      </c>
      <c r="M330">
        <f>'RESUMEN TOTAL'!R335</f>
        <v>0</v>
      </c>
      <c r="N330">
        <f>'RESUMEN TOTAL'!S335</f>
        <v>0</v>
      </c>
      <c r="O330">
        <f>'RESUMEN TOTAL'!T335</f>
        <v>0</v>
      </c>
      <c r="P330">
        <f>'RESUMEN TOTAL'!U335</f>
        <v>0</v>
      </c>
      <c r="Q330">
        <f>'RESUMEN TOTAL'!V335</f>
        <v>0</v>
      </c>
      <c r="R330">
        <f>'RESUMEN TOTAL'!W335</f>
        <v>0</v>
      </c>
      <c r="S330">
        <f>'RESUMEN TOTAL'!X335</f>
        <v>0</v>
      </c>
      <c r="T330">
        <f>'RESUMEN TOTAL'!Y335</f>
        <v>0</v>
      </c>
      <c r="U330">
        <f>'RESUMEN TOTAL'!Z335</f>
        <v>0</v>
      </c>
      <c r="V330">
        <f>'RESUMEN TOTAL'!AA335</f>
        <v>0</v>
      </c>
      <c r="W330">
        <f>'RESUMEN TOTAL'!AB335</f>
        <v>0</v>
      </c>
      <c r="X330">
        <f>'RESUMEN TOTAL'!AC335</f>
        <v>0</v>
      </c>
      <c r="Y330">
        <f>'RESUMEN TOTAL'!AD335</f>
        <v>0</v>
      </c>
      <c r="Z330">
        <f>'RESUMEN TOTAL'!AE335</f>
        <v>0</v>
      </c>
      <c r="AA330">
        <f>'RESUMEN TOTAL'!AF335</f>
        <v>0</v>
      </c>
      <c r="AB330">
        <f>'RESUMEN TOTAL'!AG335</f>
        <v>0</v>
      </c>
      <c r="AC330">
        <f>'RESUMEN TOTAL'!AH335</f>
        <v>0</v>
      </c>
      <c r="AD330">
        <f>'RESUMEN TOTAL'!AI335</f>
        <v>0</v>
      </c>
      <c r="AE330">
        <f>'RESUMEN TOTAL'!AJ335</f>
        <v>0</v>
      </c>
      <c r="AF330">
        <f>'RESUMEN TOTAL'!AK335</f>
        <v>0</v>
      </c>
      <c r="AG330">
        <f>'RESUMEN TOTAL'!AL335</f>
        <v>0</v>
      </c>
      <c r="AH330">
        <f>'RESUMEN TOTAL'!AM335</f>
        <v>0</v>
      </c>
      <c r="AI330">
        <f>'RESUMEN TOTAL'!AN335</f>
        <v>0</v>
      </c>
    </row>
    <row r="331" spans="1:35" x14ac:dyDescent="0.3">
      <c r="A331" t="str">
        <f>'RESUMEN TOTAL'!A336</f>
        <v>SANTA ROSA</v>
      </c>
      <c r="B331" t="str">
        <f>'RESUMEN TOTAL'!B336</f>
        <v>SRO09</v>
      </c>
      <c r="C331" t="str">
        <f>'RESUMEN TOTAL'!D336</f>
        <v>BUCAREST E/ ALEMANIA Y CAFFERATA</v>
      </c>
      <c r="D331" t="str">
        <f>'RESUMEN TOTAL'!E336</f>
        <v>DOMO</v>
      </c>
      <c r="E331" t="str">
        <f>'RESUMEN TOTAL'!F336</f>
        <v>Radio</v>
      </c>
      <c r="F331">
        <f>'RESUMEN TOTAL'!K336</f>
        <v>0</v>
      </c>
      <c r="G331">
        <f>'RESUMEN TOTAL'!L336</f>
        <v>0</v>
      </c>
      <c r="H331">
        <f>'RESUMEN TOTAL'!M336</f>
        <v>0</v>
      </c>
      <c r="I331">
        <f>'RESUMEN TOTAL'!N336</f>
        <v>0</v>
      </c>
      <c r="J331">
        <f>'RESUMEN TOTAL'!O336</f>
        <v>0</v>
      </c>
      <c r="K331" t="str">
        <f>'RESUMEN TOTAL'!P336</f>
        <v>APAGADO</v>
      </c>
      <c r="L331">
        <f>'RESUMEN TOTAL'!Q336</f>
        <v>0</v>
      </c>
      <c r="M331">
        <f>'RESUMEN TOTAL'!R336</f>
        <v>0</v>
      </c>
      <c r="N331">
        <f>'RESUMEN TOTAL'!S336</f>
        <v>0</v>
      </c>
      <c r="O331">
        <f>'RESUMEN TOTAL'!T336</f>
        <v>0</v>
      </c>
      <c r="P331">
        <f>'RESUMEN TOTAL'!U336</f>
        <v>0</v>
      </c>
      <c r="Q331">
        <f>'RESUMEN TOTAL'!V336</f>
        <v>0</v>
      </c>
      <c r="R331">
        <f>'RESUMEN TOTAL'!W336</f>
        <v>0</v>
      </c>
      <c r="S331">
        <f>'RESUMEN TOTAL'!X336</f>
        <v>0</v>
      </c>
      <c r="T331">
        <f>'RESUMEN TOTAL'!Y336</f>
        <v>0</v>
      </c>
      <c r="U331">
        <f>'RESUMEN TOTAL'!Z336</f>
        <v>0</v>
      </c>
      <c r="V331">
        <f>'RESUMEN TOTAL'!AA336</f>
        <v>0</v>
      </c>
      <c r="W331">
        <f>'RESUMEN TOTAL'!AB336</f>
        <v>0</v>
      </c>
      <c r="X331">
        <f>'RESUMEN TOTAL'!AC336</f>
        <v>0</v>
      </c>
      <c r="Y331">
        <f>'RESUMEN TOTAL'!AD336</f>
        <v>0</v>
      </c>
      <c r="Z331">
        <f>'RESUMEN TOTAL'!AE336</f>
        <v>0</v>
      </c>
      <c r="AA331">
        <f>'RESUMEN TOTAL'!AF336</f>
        <v>0</v>
      </c>
      <c r="AB331">
        <f>'RESUMEN TOTAL'!AG336</f>
        <v>0</v>
      </c>
      <c r="AC331">
        <f>'RESUMEN TOTAL'!AH336</f>
        <v>0</v>
      </c>
      <c r="AD331">
        <f>'RESUMEN TOTAL'!AI336</f>
        <v>0</v>
      </c>
      <c r="AE331">
        <f>'RESUMEN TOTAL'!AJ336</f>
        <v>0</v>
      </c>
      <c r="AF331">
        <f>'RESUMEN TOTAL'!AK336</f>
        <v>0</v>
      </c>
      <c r="AG331">
        <f>'RESUMEN TOTAL'!AL336</f>
        <v>0</v>
      </c>
      <c r="AH331">
        <f>'RESUMEN TOTAL'!AM336</f>
        <v>0</v>
      </c>
      <c r="AI331">
        <f>'RESUMEN TOTAL'!AN336</f>
        <v>0</v>
      </c>
    </row>
    <row r="332" spans="1:35" x14ac:dyDescent="0.3">
      <c r="A332" t="str">
        <f>'RESUMEN TOTAL'!A337</f>
        <v>SANTA ROSA</v>
      </c>
      <c r="B332" t="str">
        <f>'RESUMEN TOTAL'!B337</f>
        <v>SRO10</v>
      </c>
      <c r="C332" t="str">
        <f>'RESUMEN TOTAL'!D337</f>
        <v>DINAMARCA Y MILAN</v>
      </c>
      <c r="D332" t="str">
        <f>'RESUMEN TOTAL'!E337</f>
        <v>DOMO</v>
      </c>
      <c r="E332" t="str">
        <f>'RESUMEN TOTAL'!F337</f>
        <v>Radio</v>
      </c>
      <c r="F332">
        <f>'RESUMEN TOTAL'!K337</f>
        <v>0</v>
      </c>
      <c r="G332">
        <f>'RESUMEN TOTAL'!L337</f>
        <v>0</v>
      </c>
      <c r="H332">
        <f>'RESUMEN TOTAL'!M337</f>
        <v>0</v>
      </c>
      <c r="I332">
        <f>'RESUMEN TOTAL'!N337</f>
        <v>0</v>
      </c>
      <c r="J332">
        <f>'RESUMEN TOTAL'!O337</f>
        <v>0</v>
      </c>
      <c r="K332">
        <f>'RESUMEN TOTAL'!P337</f>
        <v>0</v>
      </c>
      <c r="L332">
        <f>'RESUMEN TOTAL'!Q337</f>
        <v>0</v>
      </c>
      <c r="M332">
        <f>'RESUMEN TOTAL'!R337</f>
        <v>0</v>
      </c>
      <c r="N332">
        <f>'RESUMEN TOTAL'!S337</f>
        <v>0</v>
      </c>
      <c r="O332">
        <f>'RESUMEN TOTAL'!T337</f>
        <v>0</v>
      </c>
      <c r="P332">
        <f>'RESUMEN TOTAL'!U337</f>
        <v>0</v>
      </c>
      <c r="Q332">
        <f>'RESUMEN TOTAL'!V337</f>
        <v>0</v>
      </c>
      <c r="R332">
        <f>'RESUMEN TOTAL'!W337</f>
        <v>0</v>
      </c>
      <c r="S332">
        <f>'RESUMEN TOTAL'!X337</f>
        <v>0</v>
      </c>
      <c r="T332">
        <f>'RESUMEN TOTAL'!Y337</f>
        <v>0</v>
      </c>
      <c r="U332">
        <f>'RESUMEN TOTAL'!Z337</f>
        <v>0</v>
      </c>
      <c r="V332">
        <f>'RESUMEN TOTAL'!AA337</f>
        <v>0</v>
      </c>
      <c r="W332">
        <f>'RESUMEN TOTAL'!AB337</f>
        <v>0</v>
      </c>
      <c r="X332">
        <f>'RESUMEN TOTAL'!AC337</f>
        <v>0</v>
      </c>
      <c r="Y332">
        <f>'RESUMEN TOTAL'!AD337</f>
        <v>0</v>
      </c>
      <c r="Z332">
        <f>'RESUMEN TOTAL'!AE337</f>
        <v>0</v>
      </c>
      <c r="AA332">
        <f>'RESUMEN TOTAL'!AF337</f>
        <v>0</v>
      </c>
      <c r="AB332">
        <f>'RESUMEN TOTAL'!AG337</f>
        <v>0</v>
      </c>
      <c r="AC332">
        <f>'RESUMEN TOTAL'!AH337</f>
        <v>0</v>
      </c>
      <c r="AD332">
        <f>'RESUMEN TOTAL'!AI337</f>
        <v>0</v>
      </c>
      <c r="AE332">
        <f>'RESUMEN TOTAL'!AJ337</f>
        <v>0</v>
      </c>
      <c r="AF332">
        <f>'RESUMEN TOTAL'!AK337</f>
        <v>0</v>
      </c>
      <c r="AG332">
        <f>'RESUMEN TOTAL'!AL337</f>
        <v>0</v>
      </c>
      <c r="AH332">
        <f>'RESUMEN TOTAL'!AM337</f>
        <v>0</v>
      </c>
      <c r="AI332">
        <f>'RESUMEN TOTAL'!AN337</f>
        <v>0</v>
      </c>
    </row>
    <row r="333" spans="1:35" x14ac:dyDescent="0.3">
      <c r="A333" t="str">
        <f>'RESUMEN TOTAL'!A338</f>
        <v>SANTA ROSA</v>
      </c>
      <c r="B333" t="str">
        <f>'RESUMEN TOTAL'!B338</f>
        <v>SRO12</v>
      </c>
      <c r="C333" t="str">
        <f>'RESUMEN TOTAL'!D338</f>
        <v>YUGOSLAVIA Y PAYSANDU</v>
      </c>
      <c r="D333" t="str">
        <f>'RESUMEN TOTAL'!E338</f>
        <v>DOMO</v>
      </c>
      <c r="E333" t="str">
        <f>'RESUMEN TOTAL'!F338</f>
        <v>Radio</v>
      </c>
      <c r="F333">
        <f>'RESUMEN TOTAL'!K338</f>
        <v>0</v>
      </c>
      <c r="G333">
        <f>'RESUMEN TOTAL'!L338</f>
        <v>0</v>
      </c>
      <c r="H333">
        <f>'RESUMEN TOTAL'!M338</f>
        <v>0</v>
      </c>
      <c r="I333">
        <f>'RESUMEN TOTAL'!N338</f>
        <v>0</v>
      </c>
      <c r="J333">
        <f>'RESUMEN TOTAL'!O338</f>
        <v>0</v>
      </c>
      <c r="K333">
        <f>'RESUMEN TOTAL'!P338</f>
        <v>0</v>
      </c>
      <c r="L333">
        <f>'RESUMEN TOTAL'!Q338</f>
        <v>0</v>
      </c>
      <c r="M333">
        <f>'RESUMEN TOTAL'!R338</f>
        <v>0</v>
      </c>
      <c r="N333">
        <f>'RESUMEN TOTAL'!S338</f>
        <v>0</v>
      </c>
      <c r="O333">
        <f>'RESUMEN TOTAL'!T338</f>
        <v>0</v>
      </c>
      <c r="P333">
        <f>'RESUMEN TOTAL'!U338</f>
        <v>0</v>
      </c>
      <c r="Q333">
        <f>'RESUMEN TOTAL'!V338</f>
        <v>0</v>
      </c>
      <c r="R333">
        <f>'RESUMEN TOTAL'!W338</f>
        <v>0</v>
      </c>
      <c r="S333">
        <f>'RESUMEN TOTAL'!X338</f>
        <v>0</v>
      </c>
      <c r="T333">
        <f>'RESUMEN TOTAL'!Y338</f>
        <v>0</v>
      </c>
      <c r="U333">
        <f>'RESUMEN TOTAL'!Z338</f>
        <v>0</v>
      </c>
      <c r="V333">
        <f>'RESUMEN TOTAL'!AA338</f>
        <v>0</v>
      </c>
      <c r="W333" t="str">
        <f>'RESUMEN TOTAL'!AB338</f>
        <v>APAGADO</v>
      </c>
      <c r="X333">
        <f>'RESUMEN TOTAL'!AC338</f>
        <v>0</v>
      </c>
      <c r="Y333">
        <f>'RESUMEN TOTAL'!AD338</f>
        <v>0</v>
      </c>
      <c r="Z333">
        <f>'RESUMEN TOTAL'!AE338</f>
        <v>0</v>
      </c>
      <c r="AA333">
        <f>'RESUMEN TOTAL'!AF338</f>
        <v>0</v>
      </c>
      <c r="AB333">
        <f>'RESUMEN TOTAL'!AG338</f>
        <v>0</v>
      </c>
      <c r="AC333">
        <f>'RESUMEN TOTAL'!AH338</f>
        <v>0</v>
      </c>
      <c r="AD333">
        <f>'RESUMEN TOTAL'!AI338</f>
        <v>0</v>
      </c>
      <c r="AE333">
        <f>'RESUMEN TOTAL'!AJ338</f>
        <v>0</v>
      </c>
      <c r="AF333">
        <f>'RESUMEN TOTAL'!AK338</f>
        <v>0</v>
      </c>
      <c r="AG333">
        <f>'RESUMEN TOTAL'!AL338</f>
        <v>0</v>
      </c>
      <c r="AH333">
        <f>'RESUMEN TOTAL'!AM338</f>
        <v>0</v>
      </c>
      <c r="AI333">
        <f>'RESUMEN TOTAL'!AN338</f>
        <v>0</v>
      </c>
    </row>
    <row r="334" spans="1:35" x14ac:dyDescent="0.3">
      <c r="A334" t="str">
        <f>'RESUMEN TOTAL'!A339</f>
        <v>SANTA ROSA</v>
      </c>
      <c r="B334" t="str">
        <f>'RESUMEN TOTAL'!B339</f>
        <v>SRO15</v>
      </c>
      <c r="C334" t="str">
        <f>'RESUMEN TOTAL'!D339</f>
        <v>NOVAK Y TIRANA (614)</v>
      </c>
      <c r="D334" t="str">
        <f>'RESUMEN TOTAL'!E339</f>
        <v>DOMO</v>
      </c>
      <c r="E334" t="str">
        <f>'RESUMEN TOTAL'!F339</f>
        <v>Fibra Optica</v>
      </c>
      <c r="F334">
        <f>'RESUMEN TOTAL'!K339</f>
        <v>0</v>
      </c>
      <c r="G334">
        <f>'RESUMEN TOTAL'!L339</f>
        <v>0</v>
      </c>
      <c r="H334">
        <f>'RESUMEN TOTAL'!M339</f>
        <v>0</v>
      </c>
      <c r="I334">
        <f>'RESUMEN TOTAL'!N339</f>
        <v>0</v>
      </c>
      <c r="J334">
        <f>'RESUMEN TOTAL'!O339</f>
        <v>0</v>
      </c>
      <c r="K334">
        <f>'RESUMEN TOTAL'!P339</f>
        <v>0</v>
      </c>
      <c r="L334">
        <f>'RESUMEN TOTAL'!Q339</f>
        <v>0</v>
      </c>
      <c r="M334">
        <f>'RESUMEN TOTAL'!R339</f>
        <v>0</v>
      </c>
      <c r="N334">
        <f>'RESUMEN TOTAL'!S339</f>
        <v>0</v>
      </c>
      <c r="O334">
        <f>'RESUMEN TOTAL'!T339</f>
        <v>0</v>
      </c>
      <c r="P334">
        <f>'RESUMEN TOTAL'!U339</f>
        <v>0</v>
      </c>
      <c r="Q334">
        <f>'RESUMEN TOTAL'!V339</f>
        <v>0</v>
      </c>
      <c r="R334">
        <f>'RESUMEN TOTAL'!W339</f>
        <v>0</v>
      </c>
      <c r="S334">
        <f>'RESUMEN TOTAL'!X339</f>
        <v>0</v>
      </c>
      <c r="T334">
        <f>'RESUMEN TOTAL'!Y339</f>
        <v>0</v>
      </c>
      <c r="U334">
        <f>'RESUMEN TOTAL'!Z339</f>
        <v>0</v>
      </c>
      <c r="V334">
        <f>'RESUMEN TOTAL'!AA339</f>
        <v>0</v>
      </c>
      <c r="W334">
        <f>'RESUMEN TOTAL'!AB339</f>
        <v>0</v>
      </c>
      <c r="X334">
        <f>'RESUMEN TOTAL'!AC339</f>
        <v>0</v>
      </c>
      <c r="Y334">
        <f>'RESUMEN TOTAL'!AD339</f>
        <v>0</v>
      </c>
      <c r="Z334">
        <f>'RESUMEN TOTAL'!AE339</f>
        <v>0</v>
      </c>
      <c r="AA334">
        <f>'RESUMEN TOTAL'!AF339</f>
        <v>0</v>
      </c>
      <c r="AB334">
        <f>'RESUMEN TOTAL'!AG339</f>
        <v>0</v>
      </c>
      <c r="AC334">
        <f>'RESUMEN TOTAL'!AH339</f>
        <v>0</v>
      </c>
      <c r="AD334">
        <f>'RESUMEN TOTAL'!AI339</f>
        <v>0</v>
      </c>
      <c r="AE334">
        <f>'RESUMEN TOTAL'!AJ339</f>
        <v>0</v>
      </c>
      <c r="AF334">
        <f>'RESUMEN TOTAL'!AK339</f>
        <v>0</v>
      </c>
      <c r="AG334">
        <f>'RESUMEN TOTAL'!AL339</f>
        <v>0</v>
      </c>
      <c r="AH334">
        <f>'RESUMEN TOTAL'!AM339</f>
        <v>0</v>
      </c>
      <c r="AI334">
        <f>'RESUMEN TOTAL'!AN339</f>
        <v>0</v>
      </c>
    </row>
    <row r="335" spans="1:35" x14ac:dyDescent="0.3">
      <c r="A335" t="str">
        <f>'RESUMEN TOTAL'!A340</f>
        <v>SANTA ROSA</v>
      </c>
      <c r="B335" t="str">
        <f>'RESUMEN TOTAL'!B340</f>
        <v>SRO16 (fija 1)</v>
      </c>
      <c r="C335" t="str">
        <f>'RESUMEN TOTAL'!D340</f>
        <v>ANDORRA E/ BELGICA Y SAN MARINO</v>
      </c>
      <c r="D335" t="str">
        <f>'RESUMEN TOTAL'!E340</f>
        <v>Fija</v>
      </c>
      <c r="E335" t="str">
        <f>'RESUMEN TOTAL'!F340</f>
        <v>Fibra Optica</v>
      </c>
      <c r="F335">
        <f>'RESUMEN TOTAL'!K340</f>
        <v>0</v>
      </c>
      <c r="G335">
        <f>'RESUMEN TOTAL'!L340</f>
        <v>0</v>
      </c>
      <c r="H335">
        <f>'RESUMEN TOTAL'!M340</f>
        <v>0</v>
      </c>
      <c r="I335">
        <f>'RESUMEN TOTAL'!N340</f>
        <v>0</v>
      </c>
      <c r="J335">
        <f>'RESUMEN TOTAL'!O340</f>
        <v>0</v>
      </c>
      <c r="K335">
        <f>'RESUMEN TOTAL'!P340</f>
        <v>0</v>
      </c>
      <c r="L335">
        <f>'RESUMEN TOTAL'!Q340</f>
        <v>0</v>
      </c>
      <c r="M335">
        <f>'RESUMEN TOTAL'!R340</f>
        <v>0</v>
      </c>
      <c r="N335">
        <f>'RESUMEN TOTAL'!S340</f>
        <v>0</v>
      </c>
      <c r="O335">
        <f>'RESUMEN TOTAL'!T340</f>
        <v>0</v>
      </c>
      <c r="P335">
        <f>'RESUMEN TOTAL'!U340</f>
        <v>0</v>
      </c>
      <c r="Q335">
        <f>'RESUMEN TOTAL'!V340</f>
        <v>0</v>
      </c>
      <c r="R335" t="str">
        <f>'RESUMEN TOTAL'!W340</f>
        <v>APAGADO</v>
      </c>
      <c r="S335" t="str">
        <f>'RESUMEN TOTAL'!X340</f>
        <v>APAGADO</v>
      </c>
      <c r="T335">
        <f>'RESUMEN TOTAL'!Y340</f>
        <v>0</v>
      </c>
      <c r="U335">
        <f>'RESUMEN TOTAL'!Z340</f>
        <v>0</v>
      </c>
      <c r="V335">
        <f>'RESUMEN TOTAL'!AA340</f>
        <v>0</v>
      </c>
      <c r="W335">
        <f>'RESUMEN TOTAL'!AB340</f>
        <v>0</v>
      </c>
      <c r="X335">
        <f>'RESUMEN TOTAL'!AC340</f>
        <v>0</v>
      </c>
      <c r="Y335">
        <f>'RESUMEN TOTAL'!AD340</f>
        <v>0</v>
      </c>
      <c r="Z335">
        <f>'RESUMEN TOTAL'!AE340</f>
        <v>0</v>
      </c>
      <c r="AA335">
        <f>'RESUMEN TOTAL'!AF340</f>
        <v>0</v>
      </c>
      <c r="AB335">
        <f>'RESUMEN TOTAL'!AG340</f>
        <v>0</v>
      </c>
      <c r="AC335">
        <f>'RESUMEN TOTAL'!AH340</f>
        <v>0</v>
      </c>
      <c r="AD335">
        <f>'RESUMEN TOTAL'!AI340</f>
        <v>0</v>
      </c>
      <c r="AE335">
        <f>'RESUMEN TOTAL'!AJ340</f>
        <v>0</v>
      </c>
      <c r="AF335">
        <f>'RESUMEN TOTAL'!AK340</f>
        <v>0</v>
      </c>
      <c r="AG335">
        <f>'RESUMEN TOTAL'!AL340</f>
        <v>0</v>
      </c>
      <c r="AH335">
        <f>'RESUMEN TOTAL'!AM340</f>
        <v>0</v>
      </c>
      <c r="AI335">
        <f>'RESUMEN TOTAL'!AN340</f>
        <v>0</v>
      </c>
    </row>
    <row r="336" spans="1:35" x14ac:dyDescent="0.3">
      <c r="A336" t="str">
        <f>'RESUMEN TOTAL'!A341</f>
        <v>SANTA ROSA</v>
      </c>
      <c r="B336" t="str">
        <f>'RESUMEN TOTAL'!B341</f>
        <v>SRO17 (fija 2)</v>
      </c>
      <c r="C336" t="str">
        <f>'RESUMEN TOTAL'!D341</f>
        <v>ANDORRA E/ BELGICA Y SAN MARINO</v>
      </c>
      <c r="D336" t="str">
        <f>'RESUMEN TOTAL'!E341</f>
        <v>Fija</v>
      </c>
      <c r="E336" t="str">
        <f>'RESUMEN TOTAL'!F341</f>
        <v>Fibra Optica</v>
      </c>
      <c r="F336">
        <f>'RESUMEN TOTAL'!K341</f>
        <v>0</v>
      </c>
      <c r="G336">
        <f>'RESUMEN TOTAL'!L341</f>
        <v>0</v>
      </c>
      <c r="H336">
        <f>'RESUMEN TOTAL'!M341</f>
        <v>0</v>
      </c>
      <c r="I336">
        <f>'RESUMEN TOTAL'!N341</f>
        <v>0</v>
      </c>
      <c r="J336">
        <f>'RESUMEN TOTAL'!O341</f>
        <v>0</v>
      </c>
      <c r="K336">
        <f>'RESUMEN TOTAL'!P341</f>
        <v>0</v>
      </c>
      <c r="L336">
        <f>'RESUMEN TOTAL'!Q341</f>
        <v>0</v>
      </c>
      <c r="M336">
        <f>'RESUMEN TOTAL'!R341</f>
        <v>0</v>
      </c>
      <c r="N336">
        <f>'RESUMEN TOTAL'!S341</f>
        <v>0</v>
      </c>
      <c r="O336">
        <f>'RESUMEN TOTAL'!T341</f>
        <v>0</v>
      </c>
      <c r="P336">
        <f>'RESUMEN TOTAL'!U341</f>
        <v>0</v>
      </c>
      <c r="Q336">
        <f>'RESUMEN TOTAL'!V341</f>
        <v>0</v>
      </c>
      <c r="R336" t="str">
        <f>'RESUMEN TOTAL'!W341</f>
        <v>APAGADO</v>
      </c>
      <c r="S336" t="str">
        <f>'RESUMEN TOTAL'!X341</f>
        <v>APAGADO</v>
      </c>
      <c r="T336">
        <f>'RESUMEN TOTAL'!Y341</f>
        <v>0</v>
      </c>
      <c r="U336">
        <f>'RESUMEN TOTAL'!Z341</f>
        <v>0</v>
      </c>
      <c r="V336">
        <f>'RESUMEN TOTAL'!AA341</f>
        <v>0</v>
      </c>
      <c r="W336">
        <f>'RESUMEN TOTAL'!AB341</f>
        <v>0</v>
      </c>
      <c r="X336">
        <f>'RESUMEN TOTAL'!AC341</f>
        <v>0</v>
      </c>
      <c r="Y336">
        <f>'RESUMEN TOTAL'!AD341</f>
        <v>0</v>
      </c>
      <c r="Z336">
        <f>'RESUMEN TOTAL'!AE341</f>
        <v>0</v>
      </c>
      <c r="AA336">
        <f>'RESUMEN TOTAL'!AF341</f>
        <v>0</v>
      </c>
      <c r="AB336">
        <f>'RESUMEN TOTAL'!AG341</f>
        <v>0</v>
      </c>
      <c r="AC336">
        <f>'RESUMEN TOTAL'!AH341</f>
        <v>0</v>
      </c>
      <c r="AD336">
        <f>'RESUMEN TOTAL'!AI341</f>
        <v>0</v>
      </c>
      <c r="AE336">
        <f>'RESUMEN TOTAL'!AJ341</f>
        <v>0</v>
      </c>
      <c r="AF336">
        <f>'RESUMEN TOTAL'!AK341</f>
        <v>0</v>
      </c>
      <c r="AG336">
        <f>'RESUMEN TOTAL'!AL341</f>
        <v>0</v>
      </c>
      <c r="AH336">
        <f>'RESUMEN TOTAL'!AM341</f>
        <v>0</v>
      </c>
      <c r="AI336">
        <f>'RESUMEN TOTAL'!AN341</f>
        <v>0</v>
      </c>
    </row>
    <row r="337" spans="1:35" x14ac:dyDescent="0.3">
      <c r="A337" t="str">
        <f>'RESUMEN TOTAL'!A342</f>
        <v>SAN RUDECINDO</v>
      </c>
      <c r="B337" t="str">
        <f>'RESUMEN TOTAL'!B342</f>
        <v>SRU01 (fija 1)</v>
      </c>
      <c r="C337" t="str">
        <f>'RESUMEN TOTAL'!D342</f>
        <v>HERNANDARIAS Y AMBATO</v>
      </c>
      <c r="D337" t="str">
        <f>'RESUMEN TOTAL'!E342</f>
        <v>Fija</v>
      </c>
      <c r="E337" t="str">
        <f>'RESUMEN TOTAL'!F342</f>
        <v>Fibra Optica</v>
      </c>
      <c r="F337" t="str">
        <f>'RESUMEN TOTAL'!K342</f>
        <v>APAGADO</v>
      </c>
      <c r="G337" t="str">
        <f>'RESUMEN TOTAL'!L342</f>
        <v>APAGADO</v>
      </c>
      <c r="H337" t="str">
        <f>'RESUMEN TOTAL'!M342</f>
        <v>APAGADO</v>
      </c>
      <c r="I337" t="str">
        <f>'RESUMEN TOTAL'!N342</f>
        <v>APAGADO</v>
      </c>
      <c r="J337" t="str">
        <f>'RESUMEN TOTAL'!O342</f>
        <v>APAGADO</v>
      </c>
      <c r="K337">
        <f>'RESUMEN TOTAL'!P342</f>
        <v>0</v>
      </c>
      <c r="L337">
        <f>'RESUMEN TOTAL'!Q342</f>
        <v>0</v>
      </c>
      <c r="M337" t="str">
        <f>'RESUMEN TOTAL'!R342</f>
        <v>APAGADO</v>
      </c>
      <c r="N337" t="str">
        <f>'RESUMEN TOTAL'!S342</f>
        <v>APAGADO</v>
      </c>
      <c r="O337" t="str">
        <f>'RESUMEN TOTAL'!T342</f>
        <v>APAGADO</v>
      </c>
      <c r="P337" t="str">
        <f>'RESUMEN TOTAL'!U342</f>
        <v>APAGADO</v>
      </c>
      <c r="Q337" t="str">
        <f>'RESUMEN TOTAL'!V342</f>
        <v>APAGADO</v>
      </c>
      <c r="R337" t="str">
        <f>'RESUMEN TOTAL'!W342</f>
        <v>APAGADO</v>
      </c>
      <c r="S337" t="str">
        <f>'RESUMEN TOTAL'!X342</f>
        <v>APAGADO</v>
      </c>
      <c r="T337" t="str">
        <f>'RESUMEN TOTAL'!Y342</f>
        <v>APAGADO</v>
      </c>
      <c r="U337" t="str">
        <f>'RESUMEN TOTAL'!Z342</f>
        <v>APAGADO</v>
      </c>
      <c r="V337" t="str">
        <f>'RESUMEN TOTAL'!AA342</f>
        <v>APAGADO</v>
      </c>
      <c r="W337" t="str">
        <f>'RESUMEN TOTAL'!AB342</f>
        <v>APAGADO</v>
      </c>
      <c r="X337" t="str">
        <f>'RESUMEN TOTAL'!AC342</f>
        <v>APAGADO</v>
      </c>
      <c r="Y337">
        <f>'RESUMEN TOTAL'!AD342</f>
        <v>0</v>
      </c>
      <c r="Z337">
        <f>'RESUMEN TOTAL'!AE342</f>
        <v>0</v>
      </c>
      <c r="AA337">
        <f>'RESUMEN TOTAL'!AF342</f>
        <v>0</v>
      </c>
      <c r="AB337">
        <f>'RESUMEN TOTAL'!AG342</f>
        <v>0</v>
      </c>
      <c r="AC337">
        <f>'RESUMEN TOTAL'!AH342</f>
        <v>0</v>
      </c>
      <c r="AD337">
        <f>'RESUMEN TOTAL'!AI342</f>
        <v>0</v>
      </c>
      <c r="AE337">
        <f>'RESUMEN TOTAL'!AJ342</f>
        <v>0</v>
      </c>
      <c r="AF337">
        <f>'RESUMEN TOTAL'!AK342</f>
        <v>0</v>
      </c>
      <c r="AG337">
        <f>'RESUMEN TOTAL'!AL342</f>
        <v>0</v>
      </c>
      <c r="AH337">
        <f>'RESUMEN TOTAL'!AM342</f>
        <v>0</v>
      </c>
      <c r="AI337">
        <f>'RESUMEN TOTAL'!AN342</f>
        <v>0</v>
      </c>
    </row>
    <row r="338" spans="1:35" x14ac:dyDescent="0.3">
      <c r="A338" t="str">
        <f>'RESUMEN TOTAL'!A343</f>
        <v>SAN RUDECINDO</v>
      </c>
      <c r="B338" t="str">
        <f>'RESUMEN TOTAL'!B343</f>
        <v>SRU02 (fija 2)</v>
      </c>
      <c r="C338" t="str">
        <f>'RESUMEN TOTAL'!D343</f>
        <v>HERNANDARIAS Y AMBATO</v>
      </c>
      <c r="D338" t="str">
        <f>'RESUMEN TOTAL'!E343</f>
        <v>Fija</v>
      </c>
      <c r="E338" t="str">
        <f>'RESUMEN TOTAL'!F343</f>
        <v>Fibra Optica</v>
      </c>
      <c r="F338" t="str">
        <f>'RESUMEN TOTAL'!K343</f>
        <v>APAGADO</v>
      </c>
      <c r="G338" t="str">
        <f>'RESUMEN TOTAL'!L343</f>
        <v>APAGADO</v>
      </c>
      <c r="H338" t="str">
        <f>'RESUMEN TOTAL'!M343</f>
        <v>APAGADO</v>
      </c>
      <c r="I338" t="str">
        <f>'RESUMEN TOTAL'!N343</f>
        <v>APAGADO</v>
      </c>
      <c r="J338" t="str">
        <f>'RESUMEN TOTAL'!O343</f>
        <v>APAGADO</v>
      </c>
      <c r="K338">
        <f>'RESUMEN TOTAL'!P343</f>
        <v>0</v>
      </c>
      <c r="L338">
        <f>'RESUMEN TOTAL'!Q343</f>
        <v>0</v>
      </c>
      <c r="M338" t="str">
        <f>'RESUMEN TOTAL'!R343</f>
        <v>APAGADO</v>
      </c>
      <c r="N338" t="str">
        <f>'RESUMEN TOTAL'!S343</f>
        <v>APAGADO</v>
      </c>
      <c r="O338" t="str">
        <f>'RESUMEN TOTAL'!T343</f>
        <v>APAGADO</v>
      </c>
      <c r="P338" t="str">
        <f>'RESUMEN TOTAL'!U343</f>
        <v>APAGADO</v>
      </c>
      <c r="Q338" t="str">
        <f>'RESUMEN TOTAL'!V343</f>
        <v>APAGADO</v>
      </c>
      <c r="R338" t="str">
        <f>'RESUMEN TOTAL'!W343</f>
        <v>APAGADO</v>
      </c>
      <c r="S338" t="str">
        <f>'RESUMEN TOTAL'!X343</f>
        <v>APAGADO</v>
      </c>
      <c r="T338" t="str">
        <f>'RESUMEN TOTAL'!Y343</f>
        <v>APAGADO</v>
      </c>
      <c r="U338" t="str">
        <f>'RESUMEN TOTAL'!Z343</f>
        <v>APAGADO</v>
      </c>
      <c r="V338" t="str">
        <f>'RESUMEN TOTAL'!AA343</f>
        <v>APAGADO</v>
      </c>
      <c r="W338" t="str">
        <f>'RESUMEN TOTAL'!AB343</f>
        <v>APAGADO</v>
      </c>
      <c r="X338" t="str">
        <f>'RESUMEN TOTAL'!AC343</f>
        <v>APAGADO</v>
      </c>
      <c r="Y338">
        <f>'RESUMEN TOTAL'!AD343</f>
        <v>0</v>
      </c>
      <c r="Z338">
        <f>'RESUMEN TOTAL'!AE343</f>
        <v>0</v>
      </c>
      <c r="AA338">
        <f>'RESUMEN TOTAL'!AF343</f>
        <v>0</v>
      </c>
      <c r="AB338">
        <f>'RESUMEN TOTAL'!AG343</f>
        <v>0</v>
      </c>
      <c r="AC338">
        <f>'RESUMEN TOTAL'!AH343</f>
        <v>0</v>
      </c>
      <c r="AD338">
        <f>'RESUMEN TOTAL'!AI343</f>
        <v>0</v>
      </c>
      <c r="AE338">
        <f>'RESUMEN TOTAL'!AJ343</f>
        <v>0</v>
      </c>
      <c r="AF338">
        <f>'RESUMEN TOTAL'!AK343</f>
        <v>0</v>
      </c>
      <c r="AG338">
        <f>'RESUMEN TOTAL'!AL343</f>
        <v>0</v>
      </c>
      <c r="AH338">
        <f>'RESUMEN TOTAL'!AM343</f>
        <v>0</v>
      </c>
      <c r="AI338">
        <f>'RESUMEN TOTAL'!AN343</f>
        <v>0</v>
      </c>
    </row>
    <row r="339" spans="1:35" x14ac:dyDescent="0.3">
      <c r="A339" t="str">
        <f>'RESUMEN TOTAL'!A344</f>
        <v>SAN RUDECINDO</v>
      </c>
      <c r="B339" t="str">
        <f>'RESUMEN TOTAL'!B344</f>
        <v>SRU03</v>
      </c>
      <c r="C339" t="str">
        <f>'RESUMEN TOTAL'!D344</f>
        <v>SANTA SOFIA Y LUIS AGOTE</v>
      </c>
      <c r="D339" t="str">
        <f>'RESUMEN TOTAL'!E344</f>
        <v>DOMO</v>
      </c>
      <c r="E339" t="str">
        <f>'RESUMEN TOTAL'!F344</f>
        <v>Fibra Optica</v>
      </c>
      <c r="F339" t="str">
        <f>'RESUMEN TOTAL'!K344</f>
        <v>APAGADO</v>
      </c>
      <c r="G339" t="str">
        <f>'RESUMEN TOTAL'!L344</f>
        <v>APAGADO</v>
      </c>
      <c r="H339" t="str">
        <f>'RESUMEN TOTAL'!M344</f>
        <v>APAGADO</v>
      </c>
      <c r="I339" t="str">
        <f>'RESUMEN TOTAL'!N344</f>
        <v>APAGADO</v>
      </c>
      <c r="J339" t="str">
        <f>'RESUMEN TOTAL'!O344</f>
        <v>APAGADO</v>
      </c>
      <c r="K339">
        <f>'RESUMEN TOTAL'!P344</f>
        <v>0</v>
      </c>
      <c r="L339">
        <f>'RESUMEN TOTAL'!Q344</f>
        <v>0</v>
      </c>
      <c r="M339" t="str">
        <f>'RESUMEN TOTAL'!R344</f>
        <v>APAGADO</v>
      </c>
      <c r="N339" t="str">
        <f>'RESUMEN TOTAL'!S344</f>
        <v>APAGADO</v>
      </c>
      <c r="O339" t="str">
        <f>'RESUMEN TOTAL'!T344</f>
        <v>APAGADO</v>
      </c>
      <c r="P339" t="str">
        <f>'RESUMEN TOTAL'!U344</f>
        <v>APAGADO</v>
      </c>
      <c r="Q339" t="str">
        <f>'RESUMEN TOTAL'!V344</f>
        <v>APAGADO</v>
      </c>
      <c r="R339" t="str">
        <f>'RESUMEN TOTAL'!W344</f>
        <v>APAGADO</v>
      </c>
      <c r="S339" t="str">
        <f>'RESUMEN TOTAL'!X344</f>
        <v>APAGADO</v>
      </c>
      <c r="T339" t="str">
        <f>'RESUMEN TOTAL'!Y344</f>
        <v>APAGADO</v>
      </c>
      <c r="U339" t="str">
        <f>'RESUMEN TOTAL'!Z344</f>
        <v>APAGADO</v>
      </c>
      <c r="V339" t="str">
        <f>'RESUMEN TOTAL'!AA344</f>
        <v>APAGADO</v>
      </c>
      <c r="W339" t="str">
        <f>'RESUMEN TOTAL'!AB344</f>
        <v>APAGADO</v>
      </c>
      <c r="X339" t="str">
        <f>'RESUMEN TOTAL'!AC344</f>
        <v>APAGADO</v>
      </c>
      <c r="Y339">
        <f>'RESUMEN TOTAL'!AD344</f>
        <v>0</v>
      </c>
      <c r="Z339">
        <f>'RESUMEN TOTAL'!AE344</f>
        <v>0</v>
      </c>
      <c r="AA339">
        <f>'RESUMEN TOTAL'!AF344</f>
        <v>0</v>
      </c>
      <c r="AB339">
        <f>'RESUMEN TOTAL'!AG344</f>
        <v>0</v>
      </c>
      <c r="AC339">
        <f>'RESUMEN TOTAL'!AH344</f>
        <v>0</v>
      </c>
      <c r="AD339">
        <f>'RESUMEN TOTAL'!AI344</f>
        <v>0</v>
      </c>
      <c r="AE339">
        <f>'RESUMEN TOTAL'!AJ344</f>
        <v>0</v>
      </c>
      <c r="AF339">
        <f>'RESUMEN TOTAL'!AK344</f>
        <v>0</v>
      </c>
      <c r="AG339">
        <f>'RESUMEN TOTAL'!AL344</f>
        <v>0</v>
      </c>
      <c r="AH339">
        <f>'RESUMEN TOTAL'!AM344</f>
        <v>0</v>
      </c>
      <c r="AI339">
        <f>'RESUMEN TOTAL'!AN344</f>
        <v>0</v>
      </c>
    </row>
    <row r="340" spans="1:35" x14ac:dyDescent="0.3">
      <c r="A340" t="str">
        <f>'RESUMEN TOTAL'!A345</f>
        <v>PRESIDENTE SARMIENTO</v>
      </c>
      <c r="B340" t="str">
        <f>'RESUMEN TOTAL'!B345</f>
        <v>VANG 09</v>
      </c>
      <c r="C340" t="str">
        <f>'RESUMEN TOTAL'!D345</f>
        <v>Ruta 36 y Senzabello</v>
      </c>
      <c r="D340" t="str">
        <f>'RESUMEN TOTAL'!E345</f>
        <v>Domo</v>
      </c>
      <c r="E340" t="str">
        <f>'RESUMEN TOTAL'!F345</f>
        <v>PTO A FO</v>
      </c>
      <c r="F340">
        <f>'RESUMEN TOTAL'!K345</f>
        <v>0</v>
      </c>
      <c r="G340" t="str">
        <f>'RESUMEN TOTAL'!L345</f>
        <v>APAGADO</v>
      </c>
      <c r="H340" t="str">
        <f>'RESUMEN TOTAL'!M345</f>
        <v>APAGADO</v>
      </c>
      <c r="I340" t="str">
        <f>'RESUMEN TOTAL'!N345</f>
        <v>APAGADO</v>
      </c>
      <c r="J340" t="str">
        <f>'RESUMEN TOTAL'!O345</f>
        <v>APAGADO</v>
      </c>
      <c r="K340" t="str">
        <f>'RESUMEN TOTAL'!P345</f>
        <v>APAGADO</v>
      </c>
      <c r="L340" t="str">
        <f>'RESUMEN TOTAL'!Q345</f>
        <v>APAGADO</v>
      </c>
      <c r="M340" t="str">
        <f>'RESUMEN TOTAL'!R345</f>
        <v>APAGADO</v>
      </c>
      <c r="N340" t="str">
        <f>'RESUMEN TOTAL'!S345</f>
        <v>APAGADO</v>
      </c>
      <c r="O340" t="str">
        <f>'RESUMEN TOTAL'!T345</f>
        <v>APAGADO</v>
      </c>
      <c r="P340" t="str">
        <f>'RESUMEN TOTAL'!U345</f>
        <v>APAGADO</v>
      </c>
      <c r="Q340" t="str">
        <f>'RESUMEN TOTAL'!V345</f>
        <v>APAGADO</v>
      </c>
      <c r="R340">
        <f>'RESUMEN TOTAL'!W345</f>
        <v>0</v>
      </c>
      <c r="S340" t="str">
        <f>'RESUMEN TOTAL'!X345</f>
        <v>APAGADO</v>
      </c>
      <c r="T340" t="str">
        <f>'RESUMEN TOTAL'!Y345</f>
        <v>APAGADO</v>
      </c>
      <c r="U340" t="str">
        <f>'RESUMEN TOTAL'!Z345</f>
        <v>APAGADO</v>
      </c>
      <c r="V340">
        <f>'RESUMEN TOTAL'!AA345</f>
        <v>0</v>
      </c>
      <c r="W340">
        <f>'RESUMEN TOTAL'!AB345</f>
        <v>0</v>
      </c>
      <c r="X340">
        <f>'RESUMEN TOTAL'!AC345</f>
        <v>0</v>
      </c>
      <c r="Y340">
        <f>'RESUMEN TOTAL'!AD345</f>
        <v>0</v>
      </c>
      <c r="Z340">
        <f>'RESUMEN TOTAL'!AE345</f>
        <v>0</v>
      </c>
      <c r="AA340">
        <f>'RESUMEN TOTAL'!AF345</f>
        <v>0</v>
      </c>
      <c r="AB340">
        <f>'RESUMEN TOTAL'!AG345</f>
        <v>0</v>
      </c>
      <c r="AC340">
        <f>'RESUMEN TOTAL'!AH345</f>
        <v>0</v>
      </c>
      <c r="AD340">
        <f>'RESUMEN TOTAL'!AI345</f>
        <v>0</v>
      </c>
      <c r="AE340">
        <f>'RESUMEN TOTAL'!AJ345</f>
        <v>0</v>
      </c>
      <c r="AF340">
        <f>'RESUMEN TOTAL'!AK345</f>
        <v>0</v>
      </c>
      <c r="AG340">
        <f>'RESUMEN TOTAL'!AL345</f>
        <v>0</v>
      </c>
      <c r="AH340">
        <f>'RESUMEN TOTAL'!AM345</f>
        <v>0</v>
      </c>
      <c r="AI340">
        <f>'RESUMEN TOTAL'!AN345</f>
        <v>0</v>
      </c>
    </row>
    <row r="341" spans="1:35" x14ac:dyDescent="0.3">
      <c r="A341" t="str">
        <f>'RESUMEN TOTAL'!A346</f>
        <v>VILLA ANGELICA</v>
      </c>
      <c r="B341" t="str">
        <f>'RESUMEN TOTAL'!B346</f>
        <v>VANG01</v>
      </c>
      <c r="C341" t="str">
        <f>'RESUMEN TOTAL'!D346</f>
        <v>Senzabello y Necochea</v>
      </c>
      <c r="D341" t="str">
        <f>'RESUMEN TOTAL'!E346</f>
        <v>Domo</v>
      </c>
      <c r="E341" t="str">
        <f>'RESUMEN TOTAL'!F346</f>
        <v>PTO A FO</v>
      </c>
      <c r="F341" t="str">
        <f>'RESUMEN TOTAL'!K346</f>
        <v>APAGADO</v>
      </c>
      <c r="G341" t="str">
        <f>'RESUMEN TOTAL'!L346</f>
        <v>APAGADO</v>
      </c>
      <c r="H341" t="str">
        <f>'RESUMEN TOTAL'!M346</f>
        <v>APAGADO</v>
      </c>
      <c r="I341" t="str">
        <f>'RESUMEN TOTAL'!N346</f>
        <v>APAGADO</v>
      </c>
      <c r="J341" t="str">
        <f>'RESUMEN TOTAL'!O346</f>
        <v>APAGADO</v>
      </c>
      <c r="K341" t="str">
        <f>'RESUMEN TOTAL'!P346</f>
        <v>APAGADO</v>
      </c>
      <c r="L341" t="str">
        <f>'RESUMEN TOTAL'!Q346</f>
        <v>APAGADO</v>
      </c>
      <c r="M341" t="str">
        <f>'RESUMEN TOTAL'!R346</f>
        <v>APAGADO</v>
      </c>
      <c r="N341" t="str">
        <f>'RESUMEN TOTAL'!S346</f>
        <v>APAGADO</v>
      </c>
      <c r="O341" t="str">
        <f>'RESUMEN TOTAL'!T346</f>
        <v>APAGADO</v>
      </c>
      <c r="P341" t="str">
        <f>'RESUMEN TOTAL'!U346</f>
        <v>APAGADO</v>
      </c>
      <c r="Q341">
        <f>'RESUMEN TOTAL'!V346</f>
        <v>0</v>
      </c>
      <c r="R341" t="str">
        <f>'RESUMEN TOTAL'!W346</f>
        <v>APAGADO</v>
      </c>
      <c r="S341" t="str">
        <f>'RESUMEN TOTAL'!X346</f>
        <v>APAGADO</v>
      </c>
      <c r="T341" t="str">
        <f>'RESUMEN TOTAL'!Y346</f>
        <v>APAGADO</v>
      </c>
      <c r="U341" t="str">
        <f>'RESUMEN TOTAL'!Z346</f>
        <v>APAGADO</v>
      </c>
      <c r="V341">
        <f>'RESUMEN TOTAL'!AA346</f>
        <v>0</v>
      </c>
      <c r="W341">
        <f>'RESUMEN TOTAL'!AB346</f>
        <v>0</v>
      </c>
      <c r="X341">
        <f>'RESUMEN TOTAL'!AC346</f>
        <v>0</v>
      </c>
      <c r="Y341">
        <f>'RESUMEN TOTAL'!AD346</f>
        <v>0</v>
      </c>
      <c r="Z341">
        <f>'RESUMEN TOTAL'!AE346</f>
        <v>0</v>
      </c>
      <c r="AA341">
        <f>'RESUMEN TOTAL'!AF346</f>
        <v>0</v>
      </c>
      <c r="AB341">
        <f>'RESUMEN TOTAL'!AG346</f>
        <v>0</v>
      </c>
      <c r="AC341">
        <f>'RESUMEN TOTAL'!AH346</f>
        <v>0</v>
      </c>
      <c r="AD341">
        <f>'RESUMEN TOTAL'!AI346</f>
        <v>0</v>
      </c>
      <c r="AE341">
        <f>'RESUMEN TOTAL'!AJ346</f>
        <v>0</v>
      </c>
      <c r="AF341">
        <f>'RESUMEN TOTAL'!AK346</f>
        <v>0</v>
      </c>
      <c r="AG341">
        <f>'RESUMEN TOTAL'!AL346</f>
        <v>0</v>
      </c>
      <c r="AH341">
        <f>'RESUMEN TOTAL'!AM346</f>
        <v>0</v>
      </c>
      <c r="AI341">
        <f>'RESUMEN TOTAL'!AN346</f>
        <v>0</v>
      </c>
    </row>
    <row r="342" spans="1:35" x14ac:dyDescent="0.3">
      <c r="A342" t="str">
        <f>'RESUMEN TOTAL'!A347</f>
        <v>VILLA ANGELICA</v>
      </c>
      <c r="B342" t="str">
        <f>'RESUMEN TOTAL'!B347</f>
        <v>VANG02</v>
      </c>
      <c r="C342" t="str">
        <f>'RESUMEN TOTAL'!D347</f>
        <v>Thevenet y Ruta 36</v>
      </c>
      <c r="D342" t="str">
        <f>'RESUMEN TOTAL'!E347</f>
        <v>Domo</v>
      </c>
      <c r="E342" t="str">
        <f>'RESUMEN TOTAL'!F347</f>
        <v>Fibra Optica</v>
      </c>
      <c r="F342">
        <f>'RESUMEN TOTAL'!K347</f>
        <v>0</v>
      </c>
      <c r="G342" t="str">
        <f>'RESUMEN TOTAL'!L347</f>
        <v>APAGADO</v>
      </c>
      <c r="H342">
        <f>'RESUMEN TOTAL'!M347</f>
        <v>0</v>
      </c>
      <c r="I342">
        <f>'RESUMEN TOTAL'!N347</f>
        <v>0</v>
      </c>
      <c r="J342">
        <f>'RESUMEN TOTAL'!O347</f>
        <v>0</v>
      </c>
      <c r="K342">
        <f>'RESUMEN TOTAL'!P347</f>
        <v>0</v>
      </c>
      <c r="L342">
        <f>'RESUMEN TOTAL'!Q347</f>
        <v>0</v>
      </c>
      <c r="M342">
        <f>'RESUMEN TOTAL'!R347</f>
        <v>0</v>
      </c>
      <c r="N342">
        <f>'RESUMEN TOTAL'!S347</f>
        <v>0</v>
      </c>
      <c r="O342">
        <f>'RESUMEN TOTAL'!T347</f>
        <v>0</v>
      </c>
      <c r="P342">
        <f>'RESUMEN TOTAL'!U347</f>
        <v>0</v>
      </c>
      <c r="Q342">
        <f>'RESUMEN TOTAL'!V347</f>
        <v>0</v>
      </c>
      <c r="R342">
        <f>'RESUMEN TOTAL'!W347</f>
        <v>0</v>
      </c>
      <c r="S342">
        <f>'RESUMEN TOTAL'!X347</f>
        <v>0</v>
      </c>
      <c r="T342" t="str">
        <f>'RESUMEN TOTAL'!Y347</f>
        <v>APAGADO</v>
      </c>
      <c r="U342" t="str">
        <f>'RESUMEN TOTAL'!Z347</f>
        <v>APAGADO</v>
      </c>
      <c r="V342" t="str">
        <f>'RESUMEN TOTAL'!AA347</f>
        <v>APAGADO</v>
      </c>
      <c r="W342" t="str">
        <f>'RESUMEN TOTAL'!AB347</f>
        <v>APAGADO</v>
      </c>
      <c r="X342" t="str">
        <f>'RESUMEN TOTAL'!AC347</f>
        <v>APAGADO</v>
      </c>
      <c r="Y342">
        <f>'RESUMEN TOTAL'!AD347</f>
        <v>0</v>
      </c>
      <c r="Z342">
        <f>'RESUMEN TOTAL'!AE347</f>
        <v>0</v>
      </c>
      <c r="AA342">
        <f>'RESUMEN TOTAL'!AF347</f>
        <v>0</v>
      </c>
      <c r="AB342">
        <f>'RESUMEN TOTAL'!AG347</f>
        <v>0</v>
      </c>
      <c r="AC342">
        <f>'RESUMEN TOTAL'!AH347</f>
        <v>0</v>
      </c>
      <c r="AD342">
        <f>'RESUMEN TOTAL'!AI347</f>
        <v>0</v>
      </c>
      <c r="AE342">
        <f>'RESUMEN TOTAL'!AJ347</f>
        <v>0</v>
      </c>
      <c r="AF342">
        <f>'RESUMEN TOTAL'!AK347</f>
        <v>0</v>
      </c>
      <c r="AG342">
        <f>'RESUMEN TOTAL'!AL347</f>
        <v>0</v>
      </c>
      <c r="AH342">
        <f>'RESUMEN TOTAL'!AM347</f>
        <v>0</v>
      </c>
      <c r="AI342">
        <f>'RESUMEN TOTAL'!AN347</f>
        <v>0</v>
      </c>
    </row>
    <row r="343" spans="1:35" x14ac:dyDescent="0.3">
      <c r="A343" t="str">
        <f>'RESUMEN TOTAL'!A348</f>
        <v>VILLA DEL PLATA</v>
      </c>
      <c r="B343" t="str">
        <f>'RESUMEN TOTAL'!B348</f>
        <v>VANG03</v>
      </c>
      <c r="C343" t="str">
        <f>'RESUMEN TOTAL'!D348</f>
        <v>Thevenet 1950</v>
      </c>
      <c r="D343" t="str">
        <f>'RESUMEN TOTAL'!E348</f>
        <v>Domo</v>
      </c>
      <c r="E343" t="str">
        <f>'RESUMEN TOTAL'!F348</f>
        <v>Fibra Optica</v>
      </c>
      <c r="F343">
        <f>'RESUMEN TOTAL'!K348</f>
        <v>0</v>
      </c>
      <c r="G343" t="str">
        <f>'RESUMEN TOTAL'!L348</f>
        <v>APAGADO</v>
      </c>
      <c r="H343">
        <f>'RESUMEN TOTAL'!M348</f>
        <v>0</v>
      </c>
      <c r="I343">
        <f>'RESUMEN TOTAL'!N348</f>
        <v>0</v>
      </c>
      <c r="J343">
        <f>'RESUMEN TOTAL'!O348</f>
        <v>0</v>
      </c>
      <c r="K343">
        <f>'RESUMEN TOTAL'!P348</f>
        <v>0</v>
      </c>
      <c r="L343">
        <f>'RESUMEN TOTAL'!Q348</f>
        <v>0</v>
      </c>
      <c r="M343">
        <f>'RESUMEN TOTAL'!R348</f>
        <v>0</v>
      </c>
      <c r="N343">
        <f>'RESUMEN TOTAL'!S348</f>
        <v>0</v>
      </c>
      <c r="O343">
        <f>'RESUMEN TOTAL'!T348</f>
        <v>0</v>
      </c>
      <c r="P343">
        <f>'RESUMEN TOTAL'!U348</f>
        <v>0</v>
      </c>
      <c r="Q343">
        <f>'RESUMEN TOTAL'!V348</f>
        <v>0</v>
      </c>
      <c r="R343">
        <f>'RESUMEN TOTAL'!W348</f>
        <v>0</v>
      </c>
      <c r="S343">
        <f>'RESUMEN TOTAL'!X348</f>
        <v>0</v>
      </c>
      <c r="T343">
        <f>'RESUMEN TOTAL'!Y348</f>
        <v>0</v>
      </c>
      <c r="U343">
        <f>'RESUMEN TOTAL'!Z348</f>
        <v>0</v>
      </c>
      <c r="V343">
        <f>'RESUMEN TOTAL'!AA348</f>
        <v>0</v>
      </c>
      <c r="W343">
        <f>'RESUMEN TOTAL'!AB348</f>
        <v>0</v>
      </c>
      <c r="X343">
        <f>'RESUMEN TOTAL'!AC348</f>
        <v>0</v>
      </c>
      <c r="Y343">
        <f>'RESUMEN TOTAL'!AD348</f>
        <v>0</v>
      </c>
      <c r="Z343">
        <f>'RESUMEN TOTAL'!AE348</f>
        <v>0</v>
      </c>
      <c r="AA343">
        <f>'RESUMEN TOTAL'!AF348</f>
        <v>0</v>
      </c>
      <c r="AB343">
        <f>'RESUMEN TOTAL'!AG348</f>
        <v>0</v>
      </c>
      <c r="AC343">
        <f>'RESUMEN TOTAL'!AH348</f>
        <v>0</v>
      </c>
      <c r="AD343">
        <f>'RESUMEN TOTAL'!AI348</f>
        <v>0</v>
      </c>
      <c r="AE343">
        <f>'RESUMEN TOTAL'!AJ348</f>
        <v>0</v>
      </c>
      <c r="AF343">
        <f>'RESUMEN TOTAL'!AK348</f>
        <v>0</v>
      </c>
      <c r="AG343">
        <f>'RESUMEN TOTAL'!AL348</f>
        <v>0</v>
      </c>
      <c r="AH343">
        <f>'RESUMEN TOTAL'!AM348</f>
        <v>0</v>
      </c>
      <c r="AI343">
        <f>'RESUMEN TOTAL'!AN348</f>
        <v>0</v>
      </c>
    </row>
    <row r="344" spans="1:35" x14ac:dyDescent="0.3">
      <c r="A344" t="str">
        <f>'RESUMEN TOTAL'!A349</f>
        <v>VILLA ANGELICA</v>
      </c>
      <c r="B344" t="str">
        <f>'RESUMEN TOTAL'!B349</f>
        <v>VANG04</v>
      </c>
      <c r="C344" t="str">
        <f>'RESUMEN TOTAL'!D349</f>
        <v>Storni e/Thevenet y Calle 158</v>
      </c>
      <c r="D344" t="str">
        <f>'RESUMEN TOTAL'!E349</f>
        <v>DOMO</v>
      </c>
      <c r="E344" t="str">
        <f>'RESUMEN TOTAL'!F349</f>
        <v>Fibra Optica</v>
      </c>
      <c r="F344" t="str">
        <f>'RESUMEN TOTAL'!K349</f>
        <v>APAGADO</v>
      </c>
      <c r="G344" t="str">
        <f>'RESUMEN TOTAL'!L349</f>
        <v>APAGADO</v>
      </c>
      <c r="H344" t="str">
        <f>'RESUMEN TOTAL'!M349</f>
        <v>APAGADO</v>
      </c>
      <c r="I344" t="str">
        <f>'RESUMEN TOTAL'!N349</f>
        <v>APAGADO</v>
      </c>
      <c r="J344" t="str">
        <f>'RESUMEN TOTAL'!O349</f>
        <v>APAGADO</v>
      </c>
      <c r="K344" t="str">
        <f>'RESUMEN TOTAL'!P349</f>
        <v>APAGADO</v>
      </c>
      <c r="L344" t="str">
        <f>'RESUMEN TOTAL'!Q349</f>
        <v>APAGADO</v>
      </c>
      <c r="M344" t="str">
        <f>'RESUMEN TOTAL'!R349</f>
        <v>APAGADO</v>
      </c>
      <c r="N344" t="str">
        <f>'RESUMEN TOTAL'!S349</f>
        <v>APAGADO</v>
      </c>
      <c r="O344" t="str">
        <f>'RESUMEN TOTAL'!T349</f>
        <v>APAGADO</v>
      </c>
      <c r="P344" t="str">
        <f>'RESUMEN TOTAL'!U349</f>
        <v>APAGADO</v>
      </c>
      <c r="Q344" t="str">
        <f>'RESUMEN TOTAL'!V349</f>
        <v>APAGADO</v>
      </c>
      <c r="R344" t="str">
        <f>'RESUMEN TOTAL'!W349</f>
        <v>APAGADO</v>
      </c>
      <c r="S344" t="str">
        <f>'RESUMEN TOTAL'!X349</f>
        <v>APAGADO</v>
      </c>
      <c r="T344">
        <f>'RESUMEN TOTAL'!Y349</f>
        <v>0</v>
      </c>
      <c r="U344">
        <f>'RESUMEN TOTAL'!Z349</f>
        <v>0</v>
      </c>
      <c r="V344">
        <f>'RESUMEN TOTAL'!AA349</f>
        <v>0</v>
      </c>
      <c r="W344">
        <f>'RESUMEN TOTAL'!AB349</f>
        <v>0</v>
      </c>
      <c r="X344">
        <f>'RESUMEN TOTAL'!AC349</f>
        <v>0</v>
      </c>
      <c r="Y344">
        <f>'RESUMEN TOTAL'!AD349</f>
        <v>0</v>
      </c>
      <c r="Z344">
        <f>'RESUMEN TOTAL'!AE349</f>
        <v>0</v>
      </c>
      <c r="AA344">
        <f>'RESUMEN TOTAL'!AF349</f>
        <v>0</v>
      </c>
      <c r="AB344">
        <f>'RESUMEN TOTAL'!AG349</f>
        <v>0</v>
      </c>
      <c r="AC344">
        <f>'RESUMEN TOTAL'!AH349</f>
        <v>0</v>
      </c>
      <c r="AD344">
        <f>'RESUMEN TOTAL'!AI349</f>
        <v>0</v>
      </c>
      <c r="AE344">
        <f>'RESUMEN TOTAL'!AJ349</f>
        <v>0</v>
      </c>
      <c r="AF344">
        <f>'RESUMEN TOTAL'!AK349</f>
        <v>0</v>
      </c>
      <c r="AG344">
        <f>'RESUMEN TOTAL'!AL349</f>
        <v>0</v>
      </c>
      <c r="AH344">
        <f>'RESUMEN TOTAL'!AM349</f>
        <v>0</v>
      </c>
      <c r="AI344">
        <f>'RESUMEN TOTAL'!AN349</f>
        <v>0</v>
      </c>
    </row>
    <row r="345" spans="1:35" x14ac:dyDescent="0.3">
      <c r="A345" t="str">
        <f>'RESUMEN TOTAL'!A350</f>
        <v>VILLA ANGELICA</v>
      </c>
      <c r="B345" t="str">
        <f>'RESUMEN TOTAL'!B350</f>
        <v>VANG05</v>
      </c>
      <c r="C345" t="str">
        <f>'RESUMEN TOTAL'!D350</f>
        <v>Storni y Thevenet</v>
      </c>
      <c r="D345" t="str">
        <f>'RESUMEN TOTAL'!E350</f>
        <v>Domo</v>
      </c>
      <c r="E345" t="str">
        <f>'RESUMEN TOTAL'!F350</f>
        <v>Fibra Optica</v>
      </c>
      <c r="F345" t="str">
        <f>'RESUMEN TOTAL'!K350</f>
        <v>APAGADO</v>
      </c>
      <c r="G345" t="str">
        <f>'RESUMEN TOTAL'!L350</f>
        <v>APAGADO</v>
      </c>
      <c r="H345" t="str">
        <f>'RESUMEN TOTAL'!M350</f>
        <v>APAGADO</v>
      </c>
      <c r="I345" t="str">
        <f>'RESUMEN TOTAL'!N350</f>
        <v>APAGADO</v>
      </c>
      <c r="J345" t="str">
        <f>'RESUMEN TOTAL'!O350</f>
        <v>APAGADO</v>
      </c>
      <c r="K345" t="str">
        <f>'RESUMEN TOTAL'!P350</f>
        <v>APAGADO</v>
      </c>
      <c r="L345" t="str">
        <f>'RESUMEN TOTAL'!Q350</f>
        <v>APAGADO</v>
      </c>
      <c r="M345" t="str">
        <f>'RESUMEN TOTAL'!R350</f>
        <v>APAGADO</v>
      </c>
      <c r="N345" t="str">
        <f>'RESUMEN TOTAL'!S350</f>
        <v>APAGADO</v>
      </c>
      <c r="O345" t="str">
        <f>'RESUMEN TOTAL'!T350</f>
        <v>APAGADO</v>
      </c>
      <c r="P345" t="str">
        <f>'RESUMEN TOTAL'!U350</f>
        <v>APAGADO</v>
      </c>
      <c r="Q345" t="str">
        <f>'RESUMEN TOTAL'!V350</f>
        <v>APAGADO</v>
      </c>
      <c r="R345" t="str">
        <f>'RESUMEN TOTAL'!W350</f>
        <v>APAGADO</v>
      </c>
      <c r="S345" t="str">
        <f>'RESUMEN TOTAL'!X350</f>
        <v>APAGADO</v>
      </c>
      <c r="T345">
        <f>'RESUMEN TOTAL'!Y350</f>
        <v>0</v>
      </c>
      <c r="U345">
        <f>'RESUMEN TOTAL'!Z350</f>
        <v>0</v>
      </c>
      <c r="V345">
        <f>'RESUMEN TOTAL'!AA350</f>
        <v>0</v>
      </c>
      <c r="W345">
        <f>'RESUMEN TOTAL'!AB350</f>
        <v>0</v>
      </c>
      <c r="X345">
        <f>'RESUMEN TOTAL'!AC350</f>
        <v>0</v>
      </c>
      <c r="Y345">
        <f>'RESUMEN TOTAL'!AD350</f>
        <v>0</v>
      </c>
      <c r="Z345">
        <f>'RESUMEN TOTAL'!AE350</f>
        <v>0</v>
      </c>
      <c r="AA345">
        <f>'RESUMEN TOTAL'!AF350</f>
        <v>0</v>
      </c>
      <c r="AB345">
        <f>'RESUMEN TOTAL'!AG350</f>
        <v>0</v>
      </c>
      <c r="AC345">
        <f>'RESUMEN TOTAL'!AH350</f>
        <v>0</v>
      </c>
      <c r="AD345">
        <f>'RESUMEN TOTAL'!AI350</f>
        <v>0</v>
      </c>
      <c r="AE345">
        <f>'RESUMEN TOTAL'!AJ350</f>
        <v>0</v>
      </c>
      <c r="AF345">
        <f>'RESUMEN TOTAL'!AK350</f>
        <v>0</v>
      </c>
      <c r="AG345">
        <f>'RESUMEN TOTAL'!AL350</f>
        <v>0</v>
      </c>
      <c r="AH345">
        <f>'RESUMEN TOTAL'!AM350</f>
        <v>0</v>
      </c>
      <c r="AI345">
        <f>'RESUMEN TOTAL'!AN350</f>
        <v>0</v>
      </c>
    </row>
    <row r="346" spans="1:35" x14ac:dyDescent="0.3">
      <c r="A346" t="str">
        <f>'RESUMEN TOTAL'!A351</f>
        <v>VILLA ANGELICA</v>
      </c>
      <c r="B346" t="str">
        <f>'RESUMEN TOTAL'!B351</f>
        <v>VANG06</v>
      </c>
      <c r="C346" t="str">
        <f>'RESUMEN TOTAL'!D351</f>
        <v>Arenales e/Thevenet y Calle 158</v>
      </c>
      <c r="D346" t="str">
        <f>'RESUMEN TOTAL'!E351</f>
        <v>DOMO</v>
      </c>
      <c r="E346" t="str">
        <f>'RESUMEN TOTAL'!F351</f>
        <v>Fibra Optica</v>
      </c>
      <c r="F346" t="str">
        <f>'RESUMEN TOTAL'!K351</f>
        <v>APAGADO</v>
      </c>
      <c r="G346" t="str">
        <f>'RESUMEN TOTAL'!L351</f>
        <v>APAGADO</v>
      </c>
      <c r="H346" t="str">
        <f>'RESUMEN TOTAL'!M351</f>
        <v>APAGADO</v>
      </c>
      <c r="I346" t="str">
        <f>'RESUMEN TOTAL'!N351</f>
        <v>APAGADO</v>
      </c>
      <c r="J346" t="str">
        <f>'RESUMEN TOTAL'!O351</f>
        <v>APAGADO</v>
      </c>
      <c r="K346" t="str">
        <f>'RESUMEN TOTAL'!P351</f>
        <v>APAGADO</v>
      </c>
      <c r="L346" t="str">
        <f>'RESUMEN TOTAL'!Q351</f>
        <v>APAGADO</v>
      </c>
      <c r="M346" t="str">
        <f>'RESUMEN TOTAL'!R351</f>
        <v>APAGADO</v>
      </c>
      <c r="N346" t="str">
        <f>'RESUMEN TOTAL'!S351</f>
        <v>APAGADO</v>
      </c>
      <c r="O346" t="str">
        <f>'RESUMEN TOTAL'!T351</f>
        <v>APAGADO</v>
      </c>
      <c r="P346" t="str">
        <f>'RESUMEN TOTAL'!U351</f>
        <v>APAGADO</v>
      </c>
      <c r="Q346" t="str">
        <f>'RESUMEN TOTAL'!V351</f>
        <v>APAGADO</v>
      </c>
      <c r="R346" t="str">
        <f>'RESUMEN TOTAL'!W351</f>
        <v>APAGADO</v>
      </c>
      <c r="S346" t="str">
        <f>'RESUMEN TOTAL'!X351</f>
        <v>APAGADO</v>
      </c>
      <c r="T346">
        <f>'RESUMEN TOTAL'!Y351</f>
        <v>0</v>
      </c>
      <c r="U346">
        <f>'RESUMEN TOTAL'!Z351</f>
        <v>0</v>
      </c>
      <c r="V346">
        <f>'RESUMEN TOTAL'!AA351</f>
        <v>0</v>
      </c>
      <c r="W346">
        <f>'RESUMEN TOTAL'!AB351</f>
        <v>0</v>
      </c>
      <c r="X346">
        <f>'RESUMEN TOTAL'!AC351</f>
        <v>0</v>
      </c>
      <c r="Y346">
        <f>'RESUMEN TOTAL'!AD351</f>
        <v>0</v>
      </c>
      <c r="Z346">
        <f>'RESUMEN TOTAL'!AE351</f>
        <v>0</v>
      </c>
      <c r="AA346">
        <f>'RESUMEN TOTAL'!AF351</f>
        <v>0</v>
      </c>
      <c r="AB346">
        <f>'RESUMEN TOTAL'!AG351</f>
        <v>0</v>
      </c>
      <c r="AC346">
        <f>'RESUMEN TOTAL'!AH351</f>
        <v>0</v>
      </c>
      <c r="AD346">
        <f>'RESUMEN TOTAL'!AI351</f>
        <v>0</v>
      </c>
      <c r="AE346">
        <f>'RESUMEN TOTAL'!AJ351</f>
        <v>0</v>
      </c>
      <c r="AF346">
        <f>'RESUMEN TOTAL'!AK351</f>
        <v>0</v>
      </c>
      <c r="AG346">
        <f>'RESUMEN TOTAL'!AL351</f>
        <v>0</v>
      </c>
      <c r="AH346">
        <f>'RESUMEN TOTAL'!AM351</f>
        <v>0</v>
      </c>
      <c r="AI346">
        <f>'RESUMEN TOTAL'!AN351</f>
        <v>0</v>
      </c>
    </row>
    <row r="347" spans="1:35" x14ac:dyDescent="0.3">
      <c r="A347" t="str">
        <f>'RESUMEN TOTAL'!A352</f>
        <v>VILLA ANGELICA</v>
      </c>
      <c r="B347" t="str">
        <f>'RESUMEN TOTAL'!B352</f>
        <v>VANG07</v>
      </c>
      <c r="C347" t="str">
        <f>'RESUMEN TOTAL'!D352</f>
        <v>Arenales y Thevenet</v>
      </c>
      <c r="D347" t="str">
        <f>'RESUMEN TOTAL'!E352</f>
        <v>Domo</v>
      </c>
      <c r="E347" t="str">
        <f>'RESUMEN TOTAL'!F352</f>
        <v>Fibra Optica</v>
      </c>
      <c r="F347" t="str">
        <f>'RESUMEN TOTAL'!K352</f>
        <v>APAGADO</v>
      </c>
      <c r="G347" t="str">
        <f>'RESUMEN TOTAL'!L352</f>
        <v>APAGADO</v>
      </c>
      <c r="H347" t="str">
        <f>'RESUMEN TOTAL'!M352</f>
        <v>APAGADO</v>
      </c>
      <c r="I347">
        <f>'RESUMEN TOTAL'!N352</f>
        <v>0</v>
      </c>
      <c r="J347" t="str">
        <f>'RESUMEN TOTAL'!O352</f>
        <v>APAGADO</v>
      </c>
      <c r="K347" t="str">
        <f>'RESUMEN TOTAL'!P352</f>
        <v>APAGADO</v>
      </c>
      <c r="L347" t="str">
        <f>'RESUMEN TOTAL'!Q352</f>
        <v>APAGADO</v>
      </c>
      <c r="M347" t="str">
        <f>'RESUMEN TOTAL'!R352</f>
        <v>APAGADO</v>
      </c>
      <c r="N347" t="str">
        <f>'RESUMEN TOTAL'!S352</f>
        <v>APAGADO</v>
      </c>
      <c r="O347" t="str">
        <f>'RESUMEN TOTAL'!T352</f>
        <v>APAGADO</v>
      </c>
      <c r="P347" t="str">
        <f>'RESUMEN TOTAL'!U352</f>
        <v>APAGADO</v>
      </c>
      <c r="Q347" t="str">
        <f>'RESUMEN TOTAL'!V352</f>
        <v>APAGADO</v>
      </c>
      <c r="R347" t="str">
        <f>'RESUMEN TOTAL'!W352</f>
        <v>APAGADO</v>
      </c>
      <c r="S347" t="str">
        <f>'RESUMEN TOTAL'!X352</f>
        <v>APAGADO</v>
      </c>
      <c r="T347">
        <f>'RESUMEN TOTAL'!Y352</f>
        <v>0</v>
      </c>
      <c r="U347">
        <f>'RESUMEN TOTAL'!Z352</f>
        <v>0</v>
      </c>
      <c r="V347">
        <f>'RESUMEN TOTAL'!AA352</f>
        <v>0</v>
      </c>
      <c r="W347">
        <f>'RESUMEN TOTAL'!AB352</f>
        <v>0</v>
      </c>
      <c r="X347">
        <f>'RESUMEN TOTAL'!AC352</f>
        <v>0</v>
      </c>
      <c r="Y347">
        <f>'RESUMEN TOTAL'!AD352</f>
        <v>0</v>
      </c>
      <c r="Z347">
        <f>'RESUMEN TOTAL'!AE352</f>
        <v>0</v>
      </c>
      <c r="AA347">
        <f>'RESUMEN TOTAL'!AF352</f>
        <v>0</v>
      </c>
      <c r="AB347">
        <f>'RESUMEN TOTAL'!AG352</f>
        <v>0</v>
      </c>
      <c r="AC347">
        <f>'RESUMEN TOTAL'!AH352</f>
        <v>0</v>
      </c>
      <c r="AD347">
        <f>'RESUMEN TOTAL'!AI352</f>
        <v>0</v>
      </c>
      <c r="AE347">
        <f>'RESUMEN TOTAL'!AJ352</f>
        <v>0</v>
      </c>
      <c r="AF347">
        <f>'RESUMEN TOTAL'!AK352</f>
        <v>0</v>
      </c>
      <c r="AG347">
        <f>'RESUMEN TOTAL'!AL352</f>
        <v>0</v>
      </c>
      <c r="AH347">
        <f>'RESUMEN TOTAL'!AM352</f>
        <v>0</v>
      </c>
      <c r="AI347">
        <f>'RESUMEN TOTAL'!AN352</f>
        <v>0</v>
      </c>
    </row>
    <row r="348" spans="1:35" x14ac:dyDescent="0.3">
      <c r="A348" t="str">
        <f>'RESUMEN TOTAL'!A353</f>
        <v>VILLA ANGELICA</v>
      </c>
      <c r="B348" t="str">
        <f>'RESUMEN TOTAL'!B353</f>
        <v>VANG08</v>
      </c>
      <c r="C348" t="str">
        <f>'RESUMEN TOTAL'!D353</f>
        <v>Calle 158 al 2200</v>
      </c>
      <c r="D348" t="str">
        <f>'RESUMEN TOTAL'!E353</f>
        <v>Domo</v>
      </c>
      <c r="E348" t="str">
        <f>'RESUMEN TOTAL'!F353</f>
        <v>PTO A FO</v>
      </c>
      <c r="F348">
        <f>'RESUMEN TOTAL'!K353</f>
        <v>0</v>
      </c>
      <c r="G348" t="str">
        <f>'RESUMEN TOTAL'!L353</f>
        <v>APAGADO</v>
      </c>
      <c r="H348" t="str">
        <f>'RESUMEN TOTAL'!M353</f>
        <v>APAGADO</v>
      </c>
      <c r="I348" t="str">
        <f>'RESUMEN TOTAL'!N353</f>
        <v>APAGADO</v>
      </c>
      <c r="J348" t="str">
        <f>'RESUMEN TOTAL'!O353</f>
        <v>APAGADO</v>
      </c>
      <c r="K348" t="str">
        <f>'RESUMEN TOTAL'!P353</f>
        <v>APAGADO</v>
      </c>
      <c r="L348" t="str">
        <f>'RESUMEN TOTAL'!Q353</f>
        <v>APAGADO</v>
      </c>
      <c r="M348" t="str">
        <f>'RESUMEN TOTAL'!R353</f>
        <v>APAGADO</v>
      </c>
      <c r="N348" t="str">
        <f>'RESUMEN TOTAL'!S353</f>
        <v>APAGADO</v>
      </c>
      <c r="O348" t="str">
        <f>'RESUMEN TOTAL'!T353</f>
        <v>APAGADO</v>
      </c>
      <c r="P348" t="str">
        <f>'RESUMEN TOTAL'!U353</f>
        <v>APAGADO</v>
      </c>
      <c r="Q348" t="str">
        <f>'RESUMEN TOTAL'!V353</f>
        <v>APAGADO</v>
      </c>
      <c r="R348" t="str">
        <f>'RESUMEN TOTAL'!W353</f>
        <v>APAGADO</v>
      </c>
      <c r="S348" t="str">
        <f>'RESUMEN TOTAL'!X353</f>
        <v>APAGADO</v>
      </c>
      <c r="T348">
        <f>'RESUMEN TOTAL'!Y353</f>
        <v>0</v>
      </c>
      <c r="U348">
        <f>'RESUMEN TOTAL'!Z353</f>
        <v>0</v>
      </c>
      <c r="V348">
        <f>'RESUMEN TOTAL'!AA353</f>
        <v>0</v>
      </c>
      <c r="W348">
        <f>'RESUMEN TOTAL'!AB353</f>
        <v>0</v>
      </c>
      <c r="X348">
        <f>'RESUMEN TOTAL'!AC353</f>
        <v>0</v>
      </c>
      <c r="Y348">
        <f>'RESUMEN TOTAL'!AD353</f>
        <v>0</v>
      </c>
      <c r="Z348">
        <f>'RESUMEN TOTAL'!AE353</f>
        <v>0</v>
      </c>
      <c r="AA348">
        <f>'RESUMEN TOTAL'!AF353</f>
        <v>0</v>
      </c>
      <c r="AB348">
        <f>'RESUMEN TOTAL'!AG353</f>
        <v>0</v>
      </c>
      <c r="AC348">
        <f>'RESUMEN TOTAL'!AH353</f>
        <v>0</v>
      </c>
      <c r="AD348">
        <f>'RESUMEN TOTAL'!AI353</f>
        <v>0</v>
      </c>
      <c r="AE348">
        <f>'RESUMEN TOTAL'!AJ353</f>
        <v>0</v>
      </c>
      <c r="AF348">
        <f>'RESUMEN TOTAL'!AK353</f>
        <v>0</v>
      </c>
      <c r="AG348">
        <f>'RESUMEN TOTAL'!AL353</f>
        <v>0</v>
      </c>
      <c r="AH348">
        <f>'RESUMEN TOTAL'!AM353</f>
        <v>0</v>
      </c>
      <c r="AI348">
        <f>'RESUMEN TOTAL'!AN353</f>
        <v>0</v>
      </c>
    </row>
    <row r="349" spans="1:35" x14ac:dyDescent="0.3">
      <c r="A349" t="str">
        <f>'RESUMEN TOTAL'!A354</f>
        <v>VILLA ANGELICA</v>
      </c>
      <c r="B349" t="str">
        <f>'RESUMEN TOTAL'!B354</f>
        <v>VANG10</v>
      </c>
      <c r="C349" t="str">
        <f>'RESUMEN TOTAL'!D354</f>
        <v>Senzabello y Braile</v>
      </c>
      <c r="D349" t="str">
        <f>'RESUMEN TOTAL'!E354</f>
        <v>fija</v>
      </c>
      <c r="E349" t="str">
        <f>'RESUMEN TOTAL'!F354</f>
        <v>Fibra Optica</v>
      </c>
      <c r="F349">
        <f>'RESUMEN TOTAL'!K354</f>
        <v>0</v>
      </c>
      <c r="G349">
        <f>'RESUMEN TOTAL'!L354</f>
        <v>0</v>
      </c>
      <c r="H349">
        <f>'RESUMEN TOTAL'!M354</f>
        <v>0</v>
      </c>
      <c r="I349">
        <f>'RESUMEN TOTAL'!N354</f>
        <v>0</v>
      </c>
      <c r="J349">
        <f>'RESUMEN TOTAL'!O354</f>
        <v>0</v>
      </c>
      <c r="K349">
        <f>'RESUMEN TOTAL'!P354</f>
        <v>0</v>
      </c>
      <c r="L349">
        <f>'RESUMEN TOTAL'!Q354</f>
        <v>0</v>
      </c>
      <c r="M349">
        <f>'RESUMEN TOTAL'!R354</f>
        <v>0</v>
      </c>
      <c r="N349" t="str">
        <f>'RESUMEN TOTAL'!S354</f>
        <v>APAGADO</v>
      </c>
      <c r="O349" t="str">
        <f>'RESUMEN TOTAL'!T354</f>
        <v>APAGADO</v>
      </c>
      <c r="P349">
        <f>'RESUMEN TOTAL'!U354</f>
        <v>0</v>
      </c>
      <c r="Q349">
        <f>'RESUMEN TOTAL'!V354</f>
        <v>0</v>
      </c>
      <c r="R349">
        <f>'RESUMEN TOTAL'!W354</f>
        <v>0</v>
      </c>
      <c r="S349">
        <f>'RESUMEN TOTAL'!X354</f>
        <v>0</v>
      </c>
      <c r="T349">
        <f>'RESUMEN TOTAL'!Y354</f>
        <v>0</v>
      </c>
      <c r="U349">
        <f>'RESUMEN TOTAL'!Z354</f>
        <v>0</v>
      </c>
      <c r="V349">
        <f>'RESUMEN TOTAL'!AA354</f>
        <v>0</v>
      </c>
      <c r="W349">
        <f>'RESUMEN TOTAL'!AB354</f>
        <v>0</v>
      </c>
      <c r="X349">
        <f>'RESUMEN TOTAL'!AC354</f>
        <v>0</v>
      </c>
      <c r="Y349">
        <f>'RESUMEN TOTAL'!AD354</f>
        <v>0</v>
      </c>
      <c r="Z349">
        <f>'RESUMEN TOTAL'!AE354</f>
        <v>0</v>
      </c>
      <c r="AA349">
        <f>'RESUMEN TOTAL'!AF354</f>
        <v>0</v>
      </c>
      <c r="AB349">
        <f>'RESUMEN TOTAL'!AG354</f>
        <v>0</v>
      </c>
      <c r="AC349">
        <f>'RESUMEN TOTAL'!AH354</f>
        <v>0</v>
      </c>
      <c r="AD349">
        <f>'RESUMEN TOTAL'!AI354</f>
        <v>0</v>
      </c>
      <c r="AE349">
        <f>'RESUMEN TOTAL'!AJ354</f>
        <v>0</v>
      </c>
      <c r="AF349">
        <f>'RESUMEN TOTAL'!AK354</f>
        <v>0</v>
      </c>
      <c r="AG349">
        <f>'RESUMEN TOTAL'!AL354</f>
        <v>0</v>
      </c>
      <c r="AH349">
        <f>'RESUMEN TOTAL'!AM354</f>
        <v>0</v>
      </c>
      <c r="AI349">
        <f>'RESUMEN TOTAL'!AN354</f>
        <v>0</v>
      </c>
    </row>
    <row r="350" spans="1:35" x14ac:dyDescent="0.3">
      <c r="A350" t="str">
        <f>'RESUMEN TOTAL'!A355</f>
        <v>VILLA ANGELICA</v>
      </c>
      <c r="B350" t="str">
        <f>'RESUMEN TOTAL'!B355</f>
        <v>VANG11</v>
      </c>
      <c r="C350" t="str">
        <f>'RESUMEN TOTAL'!D355</f>
        <v>Senzabello y Braile</v>
      </c>
      <c r="D350" t="str">
        <f>'RESUMEN TOTAL'!E355</f>
        <v>fija</v>
      </c>
      <c r="E350" t="str">
        <f>'RESUMEN TOTAL'!F355</f>
        <v>Fibra Optica</v>
      </c>
      <c r="F350">
        <f>'RESUMEN TOTAL'!K355</f>
        <v>0</v>
      </c>
      <c r="G350">
        <f>'RESUMEN TOTAL'!L355</f>
        <v>0</v>
      </c>
      <c r="H350">
        <f>'RESUMEN TOTAL'!M355</f>
        <v>0</v>
      </c>
      <c r="I350">
        <f>'RESUMEN TOTAL'!N355</f>
        <v>0</v>
      </c>
      <c r="J350">
        <f>'RESUMEN TOTAL'!O355</f>
        <v>0</v>
      </c>
      <c r="K350">
        <f>'RESUMEN TOTAL'!P355</f>
        <v>0</v>
      </c>
      <c r="L350">
        <f>'RESUMEN TOTAL'!Q355</f>
        <v>0</v>
      </c>
      <c r="M350">
        <f>'RESUMEN TOTAL'!R355</f>
        <v>0</v>
      </c>
      <c r="N350" t="str">
        <f>'RESUMEN TOTAL'!S355</f>
        <v>APAGADO</v>
      </c>
      <c r="O350" t="str">
        <f>'RESUMEN TOTAL'!T355</f>
        <v>APAGADO</v>
      </c>
      <c r="P350">
        <f>'RESUMEN TOTAL'!U355</f>
        <v>0</v>
      </c>
      <c r="Q350">
        <f>'RESUMEN TOTAL'!V355</f>
        <v>0</v>
      </c>
      <c r="R350">
        <f>'RESUMEN TOTAL'!W355</f>
        <v>0</v>
      </c>
      <c r="S350">
        <f>'RESUMEN TOTAL'!X355</f>
        <v>0</v>
      </c>
      <c r="T350">
        <f>'RESUMEN TOTAL'!Y355</f>
        <v>0</v>
      </c>
      <c r="U350">
        <f>'RESUMEN TOTAL'!Z355</f>
        <v>0</v>
      </c>
      <c r="V350">
        <f>'RESUMEN TOTAL'!AA355</f>
        <v>0</v>
      </c>
      <c r="W350">
        <f>'RESUMEN TOTAL'!AB355</f>
        <v>0</v>
      </c>
      <c r="X350">
        <f>'RESUMEN TOTAL'!AC355</f>
        <v>0</v>
      </c>
      <c r="Y350">
        <f>'RESUMEN TOTAL'!AD355</f>
        <v>0</v>
      </c>
      <c r="Z350">
        <f>'RESUMEN TOTAL'!AE355</f>
        <v>0</v>
      </c>
      <c r="AA350">
        <f>'RESUMEN TOTAL'!AF355</f>
        <v>0</v>
      </c>
      <c r="AB350">
        <f>'RESUMEN TOTAL'!AG355</f>
        <v>0</v>
      </c>
      <c r="AC350">
        <f>'RESUMEN TOTAL'!AH355</f>
        <v>0</v>
      </c>
      <c r="AD350">
        <f>'RESUMEN TOTAL'!AI355</f>
        <v>0</v>
      </c>
      <c r="AE350">
        <f>'RESUMEN TOTAL'!AJ355</f>
        <v>0</v>
      </c>
      <c r="AF350">
        <f>'RESUMEN TOTAL'!AK355</f>
        <v>0</v>
      </c>
      <c r="AG350">
        <f>'RESUMEN TOTAL'!AL355</f>
        <v>0</v>
      </c>
      <c r="AH350">
        <f>'RESUMEN TOTAL'!AM355</f>
        <v>0</v>
      </c>
      <c r="AI350">
        <f>'RESUMEN TOTAL'!AN355</f>
        <v>0</v>
      </c>
    </row>
    <row r="351" spans="1:35" x14ac:dyDescent="0.3">
      <c r="A351" t="str">
        <f>'RESUMEN TOTAL'!A356</f>
        <v>VILLA ARGENTINA</v>
      </c>
      <c r="B351" t="str">
        <f>'RESUMEN TOTAL'!B356</f>
        <v>VAR 01</v>
      </c>
      <c r="C351" t="str">
        <f>'RESUMEN TOTAL'!D356</f>
        <v>Calle 519 y 546</v>
      </c>
      <c r="D351" t="str">
        <f>'RESUMEN TOTAL'!E356</f>
        <v>Domo</v>
      </c>
      <c r="E351" t="str">
        <f>'RESUMEN TOTAL'!F356</f>
        <v>Radio</v>
      </c>
      <c r="F351">
        <f>'RESUMEN TOTAL'!K356</f>
        <v>0</v>
      </c>
      <c r="G351">
        <f>'RESUMEN TOTAL'!L356</f>
        <v>0</v>
      </c>
      <c r="H351" t="str">
        <f>'RESUMEN TOTAL'!M356</f>
        <v>APAGADO</v>
      </c>
      <c r="I351" t="str">
        <f>'RESUMEN TOTAL'!N356</f>
        <v>APAGADO</v>
      </c>
      <c r="J351">
        <f>'RESUMEN TOTAL'!O356</f>
        <v>0</v>
      </c>
      <c r="K351">
        <f>'RESUMEN TOTAL'!P356</f>
        <v>0</v>
      </c>
      <c r="L351">
        <f>'RESUMEN TOTAL'!Q356</f>
        <v>0</v>
      </c>
      <c r="M351">
        <f>'RESUMEN TOTAL'!R356</f>
        <v>0</v>
      </c>
      <c r="N351">
        <f>'RESUMEN TOTAL'!S356</f>
        <v>0</v>
      </c>
      <c r="O351">
        <f>'RESUMEN TOTAL'!T356</f>
        <v>0</v>
      </c>
      <c r="P351">
        <f>'RESUMEN TOTAL'!U356</f>
        <v>0</v>
      </c>
      <c r="Q351">
        <f>'RESUMEN TOTAL'!V356</f>
        <v>0</v>
      </c>
      <c r="R351">
        <f>'RESUMEN TOTAL'!W356</f>
        <v>0</v>
      </c>
      <c r="S351">
        <f>'RESUMEN TOTAL'!X356</f>
        <v>0</v>
      </c>
      <c r="T351">
        <f>'RESUMEN TOTAL'!Y356</f>
        <v>0</v>
      </c>
      <c r="U351">
        <f>'RESUMEN TOTAL'!Z356</f>
        <v>0</v>
      </c>
      <c r="V351" t="str">
        <f>'RESUMEN TOTAL'!AA356</f>
        <v>APAGADO</v>
      </c>
      <c r="W351">
        <f>'RESUMEN TOTAL'!AB356</f>
        <v>0</v>
      </c>
      <c r="X351">
        <f>'RESUMEN TOTAL'!AC356</f>
        <v>0</v>
      </c>
      <c r="Y351">
        <f>'RESUMEN TOTAL'!AD356</f>
        <v>0</v>
      </c>
      <c r="Z351">
        <f>'RESUMEN TOTAL'!AE356</f>
        <v>0</v>
      </c>
      <c r="AA351">
        <f>'RESUMEN TOTAL'!AF356</f>
        <v>0</v>
      </c>
      <c r="AB351">
        <f>'RESUMEN TOTAL'!AG356</f>
        <v>0</v>
      </c>
      <c r="AC351">
        <f>'RESUMEN TOTAL'!AH356</f>
        <v>0</v>
      </c>
      <c r="AD351">
        <f>'RESUMEN TOTAL'!AI356</f>
        <v>0</v>
      </c>
      <c r="AE351">
        <f>'RESUMEN TOTAL'!AJ356</f>
        <v>0</v>
      </c>
      <c r="AF351">
        <f>'RESUMEN TOTAL'!AK356</f>
        <v>0</v>
      </c>
      <c r="AG351">
        <f>'RESUMEN TOTAL'!AL356</f>
        <v>0</v>
      </c>
      <c r="AH351">
        <f>'RESUMEN TOTAL'!AM356</f>
        <v>0</v>
      </c>
      <c r="AI351">
        <f>'RESUMEN TOTAL'!AN356</f>
        <v>0</v>
      </c>
    </row>
    <row r="352" spans="1:35" x14ac:dyDescent="0.3">
      <c r="A352" t="str">
        <f>'RESUMEN TOTAL'!A357</f>
        <v>VILLA ARGENTINA</v>
      </c>
      <c r="B352" t="str">
        <f>'RESUMEN TOTAL'!B357</f>
        <v>VAR 02</v>
      </c>
      <c r="C352" t="str">
        <f>'RESUMEN TOTAL'!D357</f>
        <v>DIAGONAL LOS TILOS Y 542</v>
      </c>
      <c r="D352" t="str">
        <f>'RESUMEN TOTAL'!E357</f>
        <v>DOMO</v>
      </c>
      <c r="E352" t="str">
        <f>'RESUMEN TOTAL'!F357</f>
        <v>Radio</v>
      </c>
      <c r="F352">
        <f>'RESUMEN TOTAL'!K357</f>
        <v>0</v>
      </c>
      <c r="G352">
        <f>'RESUMEN TOTAL'!L357</f>
        <v>0</v>
      </c>
      <c r="H352">
        <f>'RESUMEN TOTAL'!M357</f>
        <v>0</v>
      </c>
      <c r="I352">
        <f>'RESUMEN TOTAL'!N357</f>
        <v>0</v>
      </c>
      <c r="J352">
        <f>'RESUMEN TOTAL'!O357</f>
        <v>0</v>
      </c>
      <c r="K352">
        <f>'RESUMEN TOTAL'!P357</f>
        <v>0</v>
      </c>
      <c r="L352">
        <f>'RESUMEN TOTAL'!Q357</f>
        <v>0</v>
      </c>
      <c r="M352">
        <f>'RESUMEN TOTAL'!R357</f>
        <v>0</v>
      </c>
      <c r="N352">
        <f>'RESUMEN TOTAL'!S357</f>
        <v>0</v>
      </c>
      <c r="O352">
        <f>'RESUMEN TOTAL'!T357</f>
        <v>0</v>
      </c>
      <c r="P352">
        <f>'RESUMEN TOTAL'!U357</f>
        <v>0</v>
      </c>
      <c r="Q352">
        <f>'RESUMEN TOTAL'!V357</f>
        <v>0</v>
      </c>
      <c r="R352">
        <f>'RESUMEN TOTAL'!W357</f>
        <v>0</v>
      </c>
      <c r="S352">
        <f>'RESUMEN TOTAL'!X357</f>
        <v>0</v>
      </c>
      <c r="T352">
        <f>'RESUMEN TOTAL'!Y357</f>
        <v>0</v>
      </c>
      <c r="U352">
        <f>'RESUMEN TOTAL'!Z357</f>
        <v>0</v>
      </c>
      <c r="V352">
        <f>'RESUMEN TOTAL'!AA357</f>
        <v>0</v>
      </c>
      <c r="W352">
        <f>'RESUMEN TOTAL'!AB357</f>
        <v>0</v>
      </c>
      <c r="X352">
        <f>'RESUMEN TOTAL'!AC357</f>
        <v>0</v>
      </c>
      <c r="Y352">
        <f>'RESUMEN TOTAL'!AD357</f>
        <v>0</v>
      </c>
      <c r="Z352">
        <f>'RESUMEN TOTAL'!AE357</f>
        <v>0</v>
      </c>
      <c r="AA352">
        <f>'RESUMEN TOTAL'!AF357</f>
        <v>0</v>
      </c>
      <c r="AB352">
        <f>'RESUMEN TOTAL'!AG357</f>
        <v>0</v>
      </c>
      <c r="AC352">
        <f>'RESUMEN TOTAL'!AH357</f>
        <v>0</v>
      </c>
      <c r="AD352">
        <f>'RESUMEN TOTAL'!AI357</f>
        <v>0</v>
      </c>
      <c r="AE352">
        <f>'RESUMEN TOTAL'!AJ357</f>
        <v>0</v>
      </c>
      <c r="AF352">
        <f>'RESUMEN TOTAL'!AK357</f>
        <v>0</v>
      </c>
      <c r="AG352">
        <f>'RESUMEN TOTAL'!AL357</f>
        <v>0</v>
      </c>
      <c r="AH352">
        <f>'RESUMEN TOTAL'!AM357</f>
        <v>0</v>
      </c>
      <c r="AI352">
        <f>'RESUMEN TOTAL'!AN357</f>
        <v>0</v>
      </c>
    </row>
    <row r="353" spans="1:35" x14ac:dyDescent="0.3">
      <c r="A353" t="str">
        <f>'RESUMEN TOTAL'!A358</f>
        <v>VILLA ARGENTINA</v>
      </c>
      <c r="B353" t="str">
        <f>'RESUMEN TOTAL'!B358</f>
        <v>VAR03 (fija 1)</v>
      </c>
      <c r="C353" t="str">
        <f>'RESUMEN TOTAL'!D358</f>
        <v>509 y 546</v>
      </c>
      <c r="D353" t="str">
        <f>'RESUMEN TOTAL'!E358</f>
        <v>Fija</v>
      </c>
      <c r="E353" t="str">
        <f>'RESUMEN TOTAL'!F358</f>
        <v>RADIO</v>
      </c>
      <c r="F353">
        <f>'RESUMEN TOTAL'!K358</f>
        <v>0</v>
      </c>
      <c r="G353">
        <f>'RESUMEN TOTAL'!L358</f>
        <v>0</v>
      </c>
      <c r="H353">
        <f>'RESUMEN TOTAL'!M358</f>
        <v>0</v>
      </c>
      <c r="I353">
        <f>'RESUMEN TOTAL'!N358</f>
        <v>0</v>
      </c>
      <c r="J353">
        <f>'RESUMEN TOTAL'!O358</f>
        <v>0</v>
      </c>
      <c r="K353">
        <f>'RESUMEN TOTAL'!P358</f>
        <v>0</v>
      </c>
      <c r="L353">
        <f>'RESUMEN TOTAL'!Q358</f>
        <v>0</v>
      </c>
      <c r="M353">
        <f>'RESUMEN TOTAL'!R358</f>
        <v>0</v>
      </c>
      <c r="N353">
        <f>'RESUMEN TOTAL'!S358</f>
        <v>0</v>
      </c>
      <c r="O353">
        <f>'RESUMEN TOTAL'!T358</f>
        <v>0</v>
      </c>
      <c r="P353">
        <f>'RESUMEN TOTAL'!U358</f>
        <v>0</v>
      </c>
      <c r="Q353">
        <f>'RESUMEN TOTAL'!V358</f>
        <v>0</v>
      </c>
      <c r="R353">
        <f>'RESUMEN TOTAL'!W358</f>
        <v>0</v>
      </c>
      <c r="S353">
        <f>'RESUMEN TOTAL'!X358</f>
        <v>0</v>
      </c>
      <c r="T353">
        <f>'RESUMEN TOTAL'!Y358</f>
        <v>0</v>
      </c>
      <c r="U353">
        <f>'RESUMEN TOTAL'!Z358</f>
        <v>0</v>
      </c>
      <c r="V353">
        <f>'RESUMEN TOTAL'!AA358</f>
        <v>0</v>
      </c>
      <c r="W353">
        <f>'RESUMEN TOTAL'!AB358</f>
        <v>0</v>
      </c>
      <c r="X353">
        <f>'RESUMEN TOTAL'!AC358</f>
        <v>0</v>
      </c>
      <c r="Y353">
        <f>'RESUMEN TOTAL'!AD358</f>
        <v>0</v>
      </c>
      <c r="Z353">
        <f>'RESUMEN TOTAL'!AE358</f>
        <v>0</v>
      </c>
      <c r="AA353">
        <f>'RESUMEN TOTAL'!AF358</f>
        <v>0</v>
      </c>
      <c r="AB353">
        <f>'RESUMEN TOTAL'!AG358</f>
        <v>0</v>
      </c>
      <c r="AC353">
        <f>'RESUMEN TOTAL'!AH358</f>
        <v>0</v>
      </c>
      <c r="AD353">
        <f>'RESUMEN TOTAL'!AI358</f>
        <v>0</v>
      </c>
      <c r="AE353">
        <f>'RESUMEN TOTAL'!AJ358</f>
        <v>0</v>
      </c>
      <c r="AF353">
        <f>'RESUMEN TOTAL'!AK358</f>
        <v>0</v>
      </c>
      <c r="AG353">
        <f>'RESUMEN TOTAL'!AL358</f>
        <v>0</v>
      </c>
      <c r="AH353">
        <f>'RESUMEN TOTAL'!AM358</f>
        <v>0</v>
      </c>
      <c r="AI353">
        <f>'RESUMEN TOTAL'!AN358</f>
        <v>0</v>
      </c>
    </row>
    <row r="354" spans="1:35" x14ac:dyDescent="0.3">
      <c r="A354" t="str">
        <f>'RESUMEN TOTAL'!A359</f>
        <v>VILLA ARGENTINA</v>
      </c>
      <c r="B354" t="str">
        <f>'RESUMEN TOTAL'!B359</f>
        <v>VAR04 (fija 2)</v>
      </c>
      <c r="C354" t="str">
        <f>'RESUMEN TOTAL'!D359</f>
        <v>509 y 546</v>
      </c>
      <c r="D354" t="str">
        <f>'RESUMEN TOTAL'!E359</f>
        <v>Fija</v>
      </c>
      <c r="E354" t="str">
        <f>'RESUMEN TOTAL'!F359</f>
        <v>RADIO</v>
      </c>
      <c r="F354">
        <f>'RESUMEN TOTAL'!K359</f>
        <v>0</v>
      </c>
      <c r="G354">
        <f>'RESUMEN TOTAL'!L359</f>
        <v>0</v>
      </c>
      <c r="H354">
        <f>'RESUMEN TOTAL'!M359</f>
        <v>0</v>
      </c>
      <c r="I354" t="str">
        <f>'RESUMEN TOTAL'!N359</f>
        <v>APAGADO</v>
      </c>
      <c r="J354">
        <f>'RESUMEN TOTAL'!O359</f>
        <v>0</v>
      </c>
      <c r="K354">
        <f>'RESUMEN TOTAL'!P359</f>
        <v>0</v>
      </c>
      <c r="L354">
        <f>'RESUMEN TOTAL'!Q359</f>
        <v>0</v>
      </c>
      <c r="M354">
        <f>'RESUMEN TOTAL'!R359</f>
        <v>0</v>
      </c>
      <c r="N354">
        <f>'RESUMEN TOTAL'!S359</f>
        <v>0</v>
      </c>
      <c r="O354">
        <f>'RESUMEN TOTAL'!T359</f>
        <v>0</v>
      </c>
      <c r="P354">
        <f>'RESUMEN TOTAL'!U359</f>
        <v>0</v>
      </c>
      <c r="Q354">
        <f>'RESUMEN TOTAL'!V359</f>
        <v>0</v>
      </c>
      <c r="R354">
        <f>'RESUMEN TOTAL'!W359</f>
        <v>0</v>
      </c>
      <c r="S354">
        <f>'RESUMEN TOTAL'!X359</f>
        <v>0</v>
      </c>
      <c r="T354">
        <f>'RESUMEN TOTAL'!Y359</f>
        <v>0</v>
      </c>
      <c r="U354">
        <f>'RESUMEN TOTAL'!Z359</f>
        <v>0</v>
      </c>
      <c r="V354">
        <f>'RESUMEN TOTAL'!AA359</f>
        <v>0</v>
      </c>
      <c r="W354">
        <f>'RESUMEN TOTAL'!AB359</f>
        <v>0</v>
      </c>
      <c r="X354">
        <f>'RESUMEN TOTAL'!AC359</f>
        <v>0</v>
      </c>
      <c r="Y354">
        <f>'RESUMEN TOTAL'!AD359</f>
        <v>0</v>
      </c>
      <c r="Z354">
        <f>'RESUMEN TOTAL'!AE359</f>
        <v>0</v>
      </c>
      <c r="AA354">
        <f>'RESUMEN TOTAL'!AF359</f>
        <v>0</v>
      </c>
      <c r="AB354">
        <f>'RESUMEN TOTAL'!AG359</f>
        <v>0</v>
      </c>
      <c r="AC354">
        <f>'RESUMEN TOTAL'!AH359</f>
        <v>0</v>
      </c>
      <c r="AD354">
        <f>'RESUMEN TOTAL'!AI359</f>
        <v>0</v>
      </c>
      <c r="AE354">
        <f>'RESUMEN TOTAL'!AJ359</f>
        <v>0</v>
      </c>
      <c r="AF354">
        <f>'RESUMEN TOTAL'!AK359</f>
        <v>0</v>
      </c>
      <c r="AG354">
        <f>'RESUMEN TOTAL'!AL359</f>
        <v>0</v>
      </c>
      <c r="AH354">
        <f>'RESUMEN TOTAL'!AM359</f>
        <v>0</v>
      </c>
      <c r="AI354">
        <f>'RESUMEN TOTAL'!AN359</f>
        <v>0</v>
      </c>
    </row>
    <row r="355" spans="1:35" x14ac:dyDescent="0.3">
      <c r="A355" t="str">
        <f>'RESUMEN TOTAL'!A360</f>
        <v>VILLA ARGENTINA</v>
      </c>
      <c r="B355" t="str">
        <f>'RESUMEN TOTAL'!B360</f>
        <v>VAR05 (fija 1)</v>
      </c>
      <c r="C355" t="str">
        <f>'RESUMEN TOTAL'!D360</f>
        <v>511 E/ 544 Y 546</v>
      </c>
      <c r="D355" t="str">
        <f>'RESUMEN TOTAL'!E360</f>
        <v>Fija</v>
      </c>
      <c r="E355" t="str">
        <f>'RESUMEN TOTAL'!F360</f>
        <v>RADIO</v>
      </c>
      <c r="F355">
        <f>'RESUMEN TOTAL'!K360</f>
        <v>0</v>
      </c>
      <c r="G355">
        <f>'RESUMEN TOTAL'!L360</f>
        <v>0</v>
      </c>
      <c r="H355">
        <f>'RESUMEN TOTAL'!M360</f>
        <v>0</v>
      </c>
      <c r="I355">
        <f>'RESUMEN TOTAL'!N360</f>
        <v>0</v>
      </c>
      <c r="J355">
        <f>'RESUMEN TOTAL'!O360</f>
        <v>0</v>
      </c>
      <c r="K355">
        <f>'RESUMEN TOTAL'!P360</f>
        <v>0</v>
      </c>
      <c r="L355">
        <f>'RESUMEN TOTAL'!Q360</f>
        <v>0</v>
      </c>
      <c r="M355">
        <f>'RESUMEN TOTAL'!R360</f>
        <v>0</v>
      </c>
      <c r="N355">
        <f>'RESUMEN TOTAL'!S360</f>
        <v>0</v>
      </c>
      <c r="O355">
        <f>'RESUMEN TOTAL'!T360</f>
        <v>0</v>
      </c>
      <c r="P355">
        <f>'RESUMEN TOTAL'!U360</f>
        <v>0</v>
      </c>
      <c r="Q355">
        <f>'RESUMEN TOTAL'!V360</f>
        <v>0</v>
      </c>
      <c r="R355">
        <f>'RESUMEN TOTAL'!W360</f>
        <v>0</v>
      </c>
      <c r="S355">
        <f>'RESUMEN TOTAL'!X360</f>
        <v>0</v>
      </c>
      <c r="T355">
        <f>'RESUMEN TOTAL'!Y360</f>
        <v>0</v>
      </c>
      <c r="U355">
        <f>'RESUMEN TOTAL'!Z360</f>
        <v>0</v>
      </c>
      <c r="V355">
        <f>'RESUMEN TOTAL'!AA360</f>
        <v>0</v>
      </c>
      <c r="W355">
        <f>'RESUMEN TOTAL'!AB360</f>
        <v>0</v>
      </c>
      <c r="X355">
        <f>'RESUMEN TOTAL'!AC360</f>
        <v>0</v>
      </c>
      <c r="Y355">
        <f>'RESUMEN TOTAL'!AD360</f>
        <v>0</v>
      </c>
      <c r="Z355">
        <f>'RESUMEN TOTAL'!AE360</f>
        <v>0</v>
      </c>
      <c r="AA355">
        <f>'RESUMEN TOTAL'!AF360</f>
        <v>0</v>
      </c>
      <c r="AB355">
        <f>'RESUMEN TOTAL'!AG360</f>
        <v>0</v>
      </c>
      <c r="AC355">
        <f>'RESUMEN TOTAL'!AH360</f>
        <v>0</v>
      </c>
      <c r="AD355">
        <f>'RESUMEN TOTAL'!AI360</f>
        <v>0</v>
      </c>
      <c r="AE355">
        <f>'RESUMEN TOTAL'!AJ360</f>
        <v>0</v>
      </c>
      <c r="AF355">
        <f>'RESUMEN TOTAL'!AK360</f>
        <v>0</v>
      </c>
      <c r="AG355">
        <f>'RESUMEN TOTAL'!AL360</f>
        <v>0</v>
      </c>
      <c r="AH355">
        <f>'RESUMEN TOTAL'!AM360</f>
        <v>0</v>
      </c>
      <c r="AI355">
        <f>'RESUMEN TOTAL'!AN360</f>
        <v>0</v>
      </c>
    </row>
    <row r="356" spans="1:35" x14ac:dyDescent="0.3">
      <c r="A356" t="str">
        <f>'RESUMEN TOTAL'!A361</f>
        <v>VILLA ARGENTINA</v>
      </c>
      <c r="B356" t="str">
        <f>'RESUMEN TOTAL'!B361</f>
        <v>VAR06 (fija 2)</v>
      </c>
      <c r="C356" t="str">
        <f>'RESUMEN TOTAL'!D361</f>
        <v>511 E/ 544 Y 546</v>
      </c>
      <c r="D356" t="str">
        <f>'RESUMEN TOTAL'!E361</f>
        <v>Fija</v>
      </c>
      <c r="E356" t="str">
        <f>'RESUMEN TOTAL'!F361</f>
        <v>RADIO</v>
      </c>
      <c r="F356">
        <f>'RESUMEN TOTAL'!K361</f>
        <v>0</v>
      </c>
      <c r="G356">
        <f>'RESUMEN TOTAL'!L361</f>
        <v>0</v>
      </c>
      <c r="H356">
        <f>'RESUMEN TOTAL'!M361</f>
        <v>0</v>
      </c>
      <c r="I356">
        <f>'RESUMEN TOTAL'!N361</f>
        <v>0</v>
      </c>
      <c r="J356">
        <f>'RESUMEN TOTAL'!O361</f>
        <v>0</v>
      </c>
      <c r="K356">
        <f>'RESUMEN TOTAL'!P361</f>
        <v>0</v>
      </c>
      <c r="L356">
        <f>'RESUMEN TOTAL'!Q361</f>
        <v>0</v>
      </c>
      <c r="M356" t="str">
        <f>'RESUMEN TOTAL'!R361</f>
        <v>APAGADO</v>
      </c>
      <c r="N356" t="str">
        <f>'RESUMEN TOTAL'!S361</f>
        <v>APAGADO</v>
      </c>
      <c r="O356">
        <f>'RESUMEN TOTAL'!T361</f>
        <v>0</v>
      </c>
      <c r="P356">
        <f>'RESUMEN TOTAL'!U361</f>
        <v>0</v>
      </c>
      <c r="Q356">
        <f>'RESUMEN TOTAL'!V361</f>
        <v>0</v>
      </c>
      <c r="R356">
        <f>'RESUMEN TOTAL'!W361</f>
        <v>0</v>
      </c>
      <c r="S356">
        <f>'RESUMEN TOTAL'!X361</f>
        <v>0</v>
      </c>
      <c r="T356">
        <f>'RESUMEN TOTAL'!Y361</f>
        <v>0</v>
      </c>
      <c r="U356">
        <f>'RESUMEN TOTAL'!Z361</f>
        <v>0</v>
      </c>
      <c r="V356">
        <f>'RESUMEN TOTAL'!AA361</f>
        <v>0</v>
      </c>
      <c r="W356">
        <f>'RESUMEN TOTAL'!AB361</f>
        <v>0</v>
      </c>
      <c r="X356">
        <f>'RESUMEN TOTAL'!AC361</f>
        <v>0</v>
      </c>
      <c r="Y356">
        <f>'RESUMEN TOTAL'!AD361</f>
        <v>0</v>
      </c>
      <c r="Z356">
        <f>'RESUMEN TOTAL'!AE361</f>
        <v>0</v>
      </c>
      <c r="AA356">
        <f>'RESUMEN TOTAL'!AF361</f>
        <v>0</v>
      </c>
      <c r="AB356">
        <f>'RESUMEN TOTAL'!AG361</f>
        <v>0</v>
      </c>
      <c r="AC356">
        <f>'RESUMEN TOTAL'!AH361</f>
        <v>0</v>
      </c>
      <c r="AD356">
        <f>'RESUMEN TOTAL'!AI361</f>
        <v>0</v>
      </c>
      <c r="AE356">
        <f>'RESUMEN TOTAL'!AJ361</f>
        <v>0</v>
      </c>
      <c r="AF356">
        <f>'RESUMEN TOTAL'!AK361</f>
        <v>0</v>
      </c>
      <c r="AG356">
        <f>'RESUMEN TOTAL'!AL361</f>
        <v>0</v>
      </c>
      <c r="AH356">
        <f>'RESUMEN TOTAL'!AM361</f>
        <v>0</v>
      </c>
      <c r="AI356">
        <f>'RESUMEN TOTAL'!AN361</f>
        <v>0</v>
      </c>
    </row>
    <row r="357" spans="1:35" x14ac:dyDescent="0.3">
      <c r="A357" t="str">
        <f>'RESUMEN TOTAL'!A362</f>
        <v>VILLA ARGENTINA</v>
      </c>
      <c r="B357" t="str">
        <f>'RESUMEN TOTAL'!B362</f>
        <v>VAR07</v>
      </c>
      <c r="C357" t="str">
        <f>'RESUMEN TOTAL'!D362</f>
        <v>DIAG. LOS TILOS Y 517</v>
      </c>
      <c r="D357" t="str">
        <f>'RESUMEN TOTAL'!E362</f>
        <v>DOMO</v>
      </c>
      <c r="E357" t="str">
        <f>'RESUMEN TOTAL'!F362</f>
        <v>Fibra Optica</v>
      </c>
      <c r="F357" t="str">
        <f>'RESUMEN TOTAL'!K362</f>
        <v>APAGADO</v>
      </c>
      <c r="G357" t="str">
        <f>'RESUMEN TOTAL'!L362</f>
        <v>APAGADO</v>
      </c>
      <c r="H357">
        <f>'RESUMEN TOTAL'!M362</f>
        <v>0</v>
      </c>
      <c r="I357">
        <f>'RESUMEN TOTAL'!N362</f>
        <v>0</v>
      </c>
      <c r="J357">
        <f>'RESUMEN TOTAL'!O362</f>
        <v>0</v>
      </c>
      <c r="K357">
        <f>'RESUMEN TOTAL'!P362</f>
        <v>0</v>
      </c>
      <c r="L357">
        <f>'RESUMEN TOTAL'!Q362</f>
        <v>0</v>
      </c>
      <c r="M357">
        <f>'RESUMEN TOTAL'!R362</f>
        <v>0</v>
      </c>
      <c r="N357">
        <f>'RESUMEN TOTAL'!S362</f>
        <v>0</v>
      </c>
      <c r="O357">
        <f>'RESUMEN TOTAL'!T362</f>
        <v>0</v>
      </c>
      <c r="P357">
        <f>'RESUMEN TOTAL'!U362</f>
        <v>0</v>
      </c>
      <c r="Q357">
        <f>'RESUMEN TOTAL'!V362</f>
        <v>0</v>
      </c>
      <c r="R357">
        <f>'RESUMEN TOTAL'!W362</f>
        <v>0</v>
      </c>
      <c r="S357">
        <f>'RESUMEN TOTAL'!X362</f>
        <v>0</v>
      </c>
      <c r="T357">
        <f>'RESUMEN TOTAL'!Y362</f>
        <v>0</v>
      </c>
      <c r="U357">
        <f>'RESUMEN TOTAL'!Z362</f>
        <v>0</v>
      </c>
      <c r="V357">
        <f>'RESUMEN TOTAL'!AA362</f>
        <v>0</v>
      </c>
      <c r="W357">
        <f>'RESUMEN TOTAL'!AB362</f>
        <v>0</v>
      </c>
      <c r="X357">
        <f>'RESUMEN TOTAL'!AC362</f>
        <v>0</v>
      </c>
      <c r="Y357">
        <f>'RESUMEN TOTAL'!AD362</f>
        <v>0</v>
      </c>
      <c r="Z357">
        <f>'RESUMEN TOTAL'!AE362</f>
        <v>0</v>
      </c>
      <c r="AA357">
        <f>'RESUMEN TOTAL'!AF362</f>
        <v>0</v>
      </c>
      <c r="AB357">
        <f>'RESUMEN TOTAL'!AG362</f>
        <v>0</v>
      </c>
      <c r="AC357">
        <f>'RESUMEN TOTAL'!AH362</f>
        <v>0</v>
      </c>
      <c r="AD357">
        <f>'RESUMEN TOTAL'!AI362</f>
        <v>0</v>
      </c>
      <c r="AE357">
        <f>'RESUMEN TOTAL'!AJ362</f>
        <v>0</v>
      </c>
      <c r="AF357">
        <f>'RESUMEN TOTAL'!AK362</f>
        <v>0</v>
      </c>
      <c r="AG357">
        <f>'RESUMEN TOTAL'!AL362</f>
        <v>0</v>
      </c>
      <c r="AH357">
        <f>'RESUMEN TOTAL'!AM362</f>
        <v>0</v>
      </c>
      <c r="AI357">
        <f>'RESUMEN TOTAL'!AN362</f>
        <v>0</v>
      </c>
    </row>
    <row r="358" spans="1:35" x14ac:dyDescent="0.3">
      <c r="A358" t="str">
        <f>'RESUMEN TOTAL'!A363</f>
        <v>VILLA ARGENTINA</v>
      </c>
      <c r="B358" t="str">
        <f>'RESUMEN TOTAL'!B363</f>
        <v>VAR 08 (fija 1)</v>
      </c>
      <c r="C358" t="str">
        <f>'RESUMEN TOTAL'!D363</f>
        <v>534 Y 523</v>
      </c>
      <c r="D358" t="str">
        <f>'RESUMEN TOTAL'!E363</f>
        <v>Fija</v>
      </c>
      <c r="E358" t="str">
        <f>'RESUMEN TOTAL'!F363</f>
        <v>FIBRA OPTICA</v>
      </c>
      <c r="F358">
        <f>'RESUMEN TOTAL'!K363</f>
        <v>0</v>
      </c>
      <c r="G358">
        <f>'RESUMEN TOTAL'!L363</f>
        <v>0</v>
      </c>
      <c r="H358">
        <f>'RESUMEN TOTAL'!M363</f>
        <v>0</v>
      </c>
      <c r="I358">
        <f>'RESUMEN TOTAL'!N363</f>
        <v>0</v>
      </c>
      <c r="J358">
        <f>'RESUMEN TOTAL'!O363</f>
        <v>0</v>
      </c>
      <c r="K358">
        <f>'RESUMEN TOTAL'!P363</f>
        <v>0</v>
      </c>
      <c r="L358">
        <f>'RESUMEN TOTAL'!Q363</f>
        <v>0</v>
      </c>
      <c r="M358">
        <f>'RESUMEN TOTAL'!R363</f>
        <v>0</v>
      </c>
      <c r="N358">
        <f>'RESUMEN TOTAL'!S363</f>
        <v>0</v>
      </c>
      <c r="O358">
        <f>'RESUMEN TOTAL'!T363</f>
        <v>0</v>
      </c>
      <c r="P358">
        <f>'RESUMEN TOTAL'!U363</f>
        <v>0</v>
      </c>
      <c r="Q358">
        <f>'RESUMEN TOTAL'!V363</f>
        <v>0</v>
      </c>
      <c r="R358">
        <f>'RESUMEN TOTAL'!W363</f>
        <v>0</v>
      </c>
      <c r="S358">
        <f>'RESUMEN TOTAL'!X363</f>
        <v>0</v>
      </c>
      <c r="T358">
        <f>'RESUMEN TOTAL'!Y363</f>
        <v>0</v>
      </c>
      <c r="U358">
        <f>'RESUMEN TOTAL'!Z363</f>
        <v>0</v>
      </c>
      <c r="V358">
        <f>'RESUMEN TOTAL'!AA363</f>
        <v>0</v>
      </c>
      <c r="W358">
        <f>'RESUMEN TOTAL'!AB363</f>
        <v>0</v>
      </c>
      <c r="X358">
        <f>'RESUMEN TOTAL'!AC363</f>
        <v>0</v>
      </c>
      <c r="Y358">
        <f>'RESUMEN TOTAL'!AD363</f>
        <v>0</v>
      </c>
      <c r="Z358">
        <f>'RESUMEN TOTAL'!AE363</f>
        <v>0</v>
      </c>
      <c r="AA358">
        <f>'RESUMEN TOTAL'!AF363</f>
        <v>0</v>
      </c>
      <c r="AB358">
        <f>'RESUMEN TOTAL'!AG363</f>
        <v>0</v>
      </c>
      <c r="AC358">
        <f>'RESUMEN TOTAL'!AH363</f>
        <v>0</v>
      </c>
      <c r="AD358">
        <f>'RESUMEN TOTAL'!AI363</f>
        <v>0</v>
      </c>
      <c r="AE358">
        <f>'RESUMEN TOTAL'!AJ363</f>
        <v>0</v>
      </c>
      <c r="AF358">
        <f>'RESUMEN TOTAL'!AK363</f>
        <v>0</v>
      </c>
      <c r="AG358">
        <f>'RESUMEN TOTAL'!AL363</f>
        <v>0</v>
      </c>
      <c r="AH358">
        <f>'RESUMEN TOTAL'!AM363</f>
        <v>0</v>
      </c>
      <c r="AI358">
        <f>'RESUMEN TOTAL'!AN363</f>
        <v>0</v>
      </c>
    </row>
    <row r="359" spans="1:35" x14ac:dyDescent="0.3">
      <c r="A359" t="str">
        <f>'RESUMEN TOTAL'!A364</f>
        <v>VILLA ARGENTINA</v>
      </c>
      <c r="B359" t="str">
        <f>'RESUMEN TOTAL'!B364</f>
        <v>VAR 09 (fija 2)</v>
      </c>
      <c r="C359" t="str">
        <f>'RESUMEN TOTAL'!D364</f>
        <v>534 Y 523</v>
      </c>
      <c r="D359" t="str">
        <f>'RESUMEN TOTAL'!E364</f>
        <v>Fija</v>
      </c>
      <c r="E359" t="str">
        <f>'RESUMEN TOTAL'!F364</f>
        <v>FIBRA OPTICA</v>
      </c>
      <c r="F359">
        <f>'RESUMEN TOTAL'!K364</f>
        <v>0</v>
      </c>
      <c r="G359">
        <f>'RESUMEN TOTAL'!L364</f>
        <v>0</v>
      </c>
      <c r="H359">
        <f>'RESUMEN TOTAL'!M364</f>
        <v>0</v>
      </c>
      <c r="I359">
        <f>'RESUMEN TOTAL'!N364</f>
        <v>0</v>
      </c>
      <c r="J359">
        <f>'RESUMEN TOTAL'!O364</f>
        <v>0</v>
      </c>
      <c r="K359">
        <f>'RESUMEN TOTAL'!P364</f>
        <v>0</v>
      </c>
      <c r="L359">
        <f>'RESUMEN TOTAL'!Q364</f>
        <v>0</v>
      </c>
      <c r="M359">
        <f>'RESUMEN TOTAL'!R364</f>
        <v>0</v>
      </c>
      <c r="N359">
        <f>'RESUMEN TOTAL'!S364</f>
        <v>0</v>
      </c>
      <c r="O359">
        <f>'RESUMEN TOTAL'!T364</f>
        <v>0</v>
      </c>
      <c r="P359">
        <f>'RESUMEN TOTAL'!U364</f>
        <v>0</v>
      </c>
      <c r="Q359">
        <f>'RESUMEN TOTAL'!V364</f>
        <v>0</v>
      </c>
      <c r="R359">
        <f>'RESUMEN TOTAL'!W364</f>
        <v>0</v>
      </c>
      <c r="S359">
        <f>'RESUMEN TOTAL'!X364</f>
        <v>0</v>
      </c>
      <c r="T359">
        <f>'RESUMEN TOTAL'!Y364</f>
        <v>0</v>
      </c>
      <c r="U359">
        <f>'RESUMEN TOTAL'!Z364</f>
        <v>0</v>
      </c>
      <c r="V359">
        <f>'RESUMEN TOTAL'!AA364</f>
        <v>0</v>
      </c>
      <c r="W359">
        <f>'RESUMEN TOTAL'!AB364</f>
        <v>0</v>
      </c>
      <c r="X359">
        <f>'RESUMEN TOTAL'!AC364</f>
        <v>0</v>
      </c>
      <c r="Y359">
        <f>'RESUMEN TOTAL'!AD364</f>
        <v>0</v>
      </c>
      <c r="Z359">
        <f>'RESUMEN TOTAL'!AE364</f>
        <v>0</v>
      </c>
      <c r="AA359">
        <f>'RESUMEN TOTAL'!AF364</f>
        <v>0</v>
      </c>
      <c r="AB359">
        <f>'RESUMEN TOTAL'!AG364</f>
        <v>0</v>
      </c>
      <c r="AC359">
        <f>'RESUMEN TOTAL'!AH364</f>
        <v>0</v>
      </c>
      <c r="AD359">
        <f>'RESUMEN TOTAL'!AI364</f>
        <v>0</v>
      </c>
      <c r="AE359">
        <f>'RESUMEN TOTAL'!AJ364</f>
        <v>0</v>
      </c>
      <c r="AF359">
        <f>'RESUMEN TOTAL'!AK364</f>
        <v>0</v>
      </c>
      <c r="AG359">
        <f>'RESUMEN TOTAL'!AL364</f>
        <v>0</v>
      </c>
      <c r="AH359">
        <f>'RESUMEN TOTAL'!AM364</f>
        <v>0</v>
      </c>
      <c r="AI359">
        <f>'RESUMEN TOTAL'!AN364</f>
        <v>0</v>
      </c>
    </row>
    <row r="360" spans="1:35" x14ac:dyDescent="0.3">
      <c r="A360" t="str">
        <f>'RESUMEN TOTAL'!A365</f>
        <v>VILLA ARGENTINA</v>
      </c>
      <c r="B360" t="str">
        <f>'RESUMEN TOTAL'!B365</f>
        <v>VAR10 (fija 1)</v>
      </c>
      <c r="C360" t="str">
        <f>'RESUMEN TOTAL'!D365</f>
        <v>532 A Y 523</v>
      </c>
      <c r="D360" t="str">
        <f>'RESUMEN TOTAL'!E365</f>
        <v>Fija</v>
      </c>
      <c r="E360" t="str">
        <f>'RESUMEN TOTAL'!F365</f>
        <v>FIBRA OPTICA</v>
      </c>
      <c r="F360">
        <f>'RESUMEN TOTAL'!K365</f>
        <v>0</v>
      </c>
      <c r="G360">
        <f>'RESUMEN TOTAL'!L365</f>
        <v>0</v>
      </c>
      <c r="H360">
        <f>'RESUMEN TOTAL'!M365</f>
        <v>0</v>
      </c>
      <c r="I360">
        <f>'RESUMEN TOTAL'!N365</f>
        <v>0</v>
      </c>
      <c r="J360">
        <f>'RESUMEN TOTAL'!O365</f>
        <v>0</v>
      </c>
      <c r="K360">
        <f>'RESUMEN TOTAL'!P365</f>
        <v>0</v>
      </c>
      <c r="L360">
        <f>'RESUMEN TOTAL'!Q365</f>
        <v>0</v>
      </c>
      <c r="M360">
        <f>'RESUMEN TOTAL'!R365</f>
        <v>0</v>
      </c>
      <c r="N360">
        <f>'RESUMEN TOTAL'!S365</f>
        <v>0</v>
      </c>
      <c r="O360">
        <f>'RESUMEN TOTAL'!T365</f>
        <v>0</v>
      </c>
      <c r="P360">
        <f>'RESUMEN TOTAL'!U365</f>
        <v>0</v>
      </c>
      <c r="Q360">
        <f>'RESUMEN TOTAL'!V365</f>
        <v>0</v>
      </c>
      <c r="R360">
        <f>'RESUMEN TOTAL'!W365</f>
        <v>0</v>
      </c>
      <c r="S360">
        <f>'RESUMEN TOTAL'!X365</f>
        <v>0</v>
      </c>
      <c r="T360">
        <f>'RESUMEN TOTAL'!Y365</f>
        <v>0</v>
      </c>
      <c r="U360">
        <f>'RESUMEN TOTAL'!Z365</f>
        <v>0</v>
      </c>
      <c r="V360">
        <f>'RESUMEN TOTAL'!AA365</f>
        <v>0</v>
      </c>
      <c r="W360">
        <f>'RESUMEN TOTAL'!AB365</f>
        <v>0</v>
      </c>
      <c r="X360">
        <f>'RESUMEN TOTAL'!AC365</f>
        <v>0</v>
      </c>
      <c r="Y360">
        <f>'RESUMEN TOTAL'!AD365</f>
        <v>0</v>
      </c>
      <c r="Z360">
        <f>'RESUMEN TOTAL'!AE365</f>
        <v>0</v>
      </c>
      <c r="AA360">
        <f>'RESUMEN TOTAL'!AF365</f>
        <v>0</v>
      </c>
      <c r="AB360">
        <f>'RESUMEN TOTAL'!AG365</f>
        <v>0</v>
      </c>
      <c r="AC360">
        <f>'RESUMEN TOTAL'!AH365</f>
        <v>0</v>
      </c>
      <c r="AD360">
        <f>'RESUMEN TOTAL'!AI365</f>
        <v>0</v>
      </c>
      <c r="AE360">
        <f>'RESUMEN TOTAL'!AJ365</f>
        <v>0</v>
      </c>
      <c r="AF360">
        <f>'RESUMEN TOTAL'!AK365</f>
        <v>0</v>
      </c>
      <c r="AG360">
        <f>'RESUMEN TOTAL'!AL365</f>
        <v>0</v>
      </c>
      <c r="AH360">
        <f>'RESUMEN TOTAL'!AM365</f>
        <v>0</v>
      </c>
      <c r="AI360">
        <f>'RESUMEN TOTAL'!AN365</f>
        <v>0</v>
      </c>
    </row>
    <row r="361" spans="1:35" x14ac:dyDescent="0.3">
      <c r="A361" t="str">
        <f>'RESUMEN TOTAL'!A366</f>
        <v>VILLA ARGENTINA</v>
      </c>
      <c r="B361" t="str">
        <f>'RESUMEN TOTAL'!B366</f>
        <v>VAR11 (fija 2)</v>
      </c>
      <c r="C361" t="str">
        <f>'RESUMEN TOTAL'!D366</f>
        <v>532 A Y 523</v>
      </c>
      <c r="D361" t="str">
        <f>'RESUMEN TOTAL'!E366</f>
        <v>Fija</v>
      </c>
      <c r="E361" t="str">
        <f>'RESUMEN TOTAL'!F366</f>
        <v>FIBRA OPTICA</v>
      </c>
      <c r="F361">
        <f>'RESUMEN TOTAL'!K366</f>
        <v>0</v>
      </c>
      <c r="G361">
        <f>'RESUMEN TOTAL'!L366</f>
        <v>0</v>
      </c>
      <c r="H361">
        <f>'RESUMEN TOTAL'!M366</f>
        <v>0</v>
      </c>
      <c r="I361">
        <f>'RESUMEN TOTAL'!N366</f>
        <v>0</v>
      </c>
      <c r="J361">
        <f>'RESUMEN TOTAL'!O366</f>
        <v>0</v>
      </c>
      <c r="K361">
        <f>'RESUMEN TOTAL'!P366</f>
        <v>0</v>
      </c>
      <c r="L361">
        <f>'RESUMEN TOTAL'!Q366</f>
        <v>0</v>
      </c>
      <c r="M361">
        <f>'RESUMEN TOTAL'!R366</f>
        <v>0</v>
      </c>
      <c r="N361">
        <f>'RESUMEN TOTAL'!S366</f>
        <v>0</v>
      </c>
      <c r="O361">
        <f>'RESUMEN TOTAL'!T366</f>
        <v>0</v>
      </c>
      <c r="P361">
        <f>'RESUMEN TOTAL'!U366</f>
        <v>0</v>
      </c>
      <c r="Q361">
        <f>'RESUMEN TOTAL'!V366</f>
        <v>0</v>
      </c>
      <c r="R361">
        <f>'RESUMEN TOTAL'!W366</f>
        <v>0</v>
      </c>
      <c r="S361">
        <f>'RESUMEN TOTAL'!X366</f>
        <v>0</v>
      </c>
      <c r="T361">
        <f>'RESUMEN TOTAL'!Y366</f>
        <v>0</v>
      </c>
      <c r="U361">
        <f>'RESUMEN TOTAL'!Z366</f>
        <v>0</v>
      </c>
      <c r="V361">
        <f>'RESUMEN TOTAL'!AA366</f>
        <v>0</v>
      </c>
      <c r="W361">
        <f>'RESUMEN TOTAL'!AB366</f>
        <v>0</v>
      </c>
      <c r="X361">
        <f>'RESUMEN TOTAL'!AC366</f>
        <v>0</v>
      </c>
      <c r="Y361">
        <f>'RESUMEN TOTAL'!AD366</f>
        <v>0</v>
      </c>
      <c r="Z361">
        <f>'RESUMEN TOTAL'!AE366</f>
        <v>0</v>
      </c>
      <c r="AA361">
        <f>'RESUMEN TOTAL'!AF366</f>
        <v>0</v>
      </c>
      <c r="AB361">
        <f>'RESUMEN TOTAL'!AG366</f>
        <v>0</v>
      </c>
      <c r="AC361">
        <f>'RESUMEN TOTAL'!AH366</f>
        <v>0</v>
      </c>
      <c r="AD361">
        <f>'RESUMEN TOTAL'!AI366</f>
        <v>0</v>
      </c>
      <c r="AE361">
        <f>'RESUMEN TOTAL'!AJ366</f>
        <v>0</v>
      </c>
      <c r="AF361">
        <f>'RESUMEN TOTAL'!AK366</f>
        <v>0</v>
      </c>
      <c r="AG361">
        <f>'RESUMEN TOTAL'!AL366</f>
        <v>0</v>
      </c>
      <c r="AH361">
        <f>'RESUMEN TOTAL'!AM366</f>
        <v>0</v>
      </c>
      <c r="AI361">
        <f>'RESUMEN TOTAL'!AN366</f>
        <v>0</v>
      </c>
    </row>
    <row r="362" spans="1:35" x14ac:dyDescent="0.3">
      <c r="A362" t="str">
        <f>'RESUMEN TOTAL'!A367</f>
        <v>VILLA ARGENTINA</v>
      </c>
      <c r="B362" t="str">
        <f>'RESUMEN TOTAL'!B367</f>
        <v>VAR12</v>
      </c>
      <c r="C362" t="str">
        <f>'RESUMEN TOTAL'!D367</f>
        <v>Calle 527 y Portela</v>
      </c>
      <c r="D362" t="str">
        <f>'RESUMEN TOTAL'!E367</f>
        <v>Domo</v>
      </c>
      <c r="E362" t="str">
        <f>'RESUMEN TOTAL'!F367</f>
        <v>Fibra Optica</v>
      </c>
      <c r="F362">
        <f>'RESUMEN TOTAL'!K367</f>
        <v>0</v>
      </c>
      <c r="G362">
        <f>'RESUMEN TOTAL'!L367</f>
        <v>0</v>
      </c>
      <c r="H362">
        <f>'RESUMEN TOTAL'!M367</f>
        <v>0</v>
      </c>
      <c r="I362">
        <f>'RESUMEN TOTAL'!N367</f>
        <v>0</v>
      </c>
      <c r="J362">
        <f>'RESUMEN TOTAL'!O367</f>
        <v>0</v>
      </c>
      <c r="K362">
        <f>'RESUMEN TOTAL'!P367</f>
        <v>0</v>
      </c>
      <c r="L362">
        <f>'RESUMEN TOTAL'!Q367</f>
        <v>0</v>
      </c>
      <c r="M362">
        <f>'RESUMEN TOTAL'!R367</f>
        <v>0</v>
      </c>
      <c r="N362">
        <f>'RESUMEN TOTAL'!S367</f>
        <v>0</v>
      </c>
      <c r="O362">
        <f>'RESUMEN TOTAL'!T367</f>
        <v>0</v>
      </c>
      <c r="P362">
        <f>'RESUMEN TOTAL'!U367</f>
        <v>0</v>
      </c>
      <c r="Q362">
        <f>'RESUMEN TOTAL'!V367</f>
        <v>0</v>
      </c>
      <c r="R362">
        <f>'RESUMEN TOTAL'!W367</f>
        <v>0</v>
      </c>
      <c r="S362">
        <f>'RESUMEN TOTAL'!X367</f>
        <v>0</v>
      </c>
      <c r="T362">
        <f>'RESUMEN TOTAL'!Y367</f>
        <v>0</v>
      </c>
      <c r="U362">
        <f>'RESUMEN TOTAL'!Z367</f>
        <v>0</v>
      </c>
      <c r="V362">
        <f>'RESUMEN TOTAL'!AA367</f>
        <v>0</v>
      </c>
      <c r="W362">
        <f>'RESUMEN TOTAL'!AB367</f>
        <v>0</v>
      </c>
      <c r="X362">
        <f>'RESUMEN TOTAL'!AC367</f>
        <v>0</v>
      </c>
      <c r="Y362">
        <f>'RESUMEN TOTAL'!AD367</f>
        <v>0</v>
      </c>
      <c r="Z362">
        <f>'RESUMEN TOTAL'!AE367</f>
        <v>0</v>
      </c>
      <c r="AA362">
        <f>'RESUMEN TOTAL'!AF367</f>
        <v>0</v>
      </c>
      <c r="AB362">
        <f>'RESUMEN TOTAL'!AG367</f>
        <v>0</v>
      </c>
      <c r="AC362">
        <f>'RESUMEN TOTAL'!AH367</f>
        <v>0</v>
      </c>
      <c r="AD362">
        <f>'RESUMEN TOTAL'!AI367</f>
        <v>0</v>
      </c>
      <c r="AE362">
        <f>'RESUMEN TOTAL'!AJ367</f>
        <v>0</v>
      </c>
      <c r="AF362">
        <f>'RESUMEN TOTAL'!AK367</f>
        <v>0</v>
      </c>
      <c r="AG362">
        <f>'RESUMEN TOTAL'!AL367</f>
        <v>0</v>
      </c>
      <c r="AH362">
        <f>'RESUMEN TOTAL'!AM367</f>
        <v>0</v>
      </c>
      <c r="AI362">
        <f>'RESUMEN TOTAL'!AN367</f>
        <v>0</v>
      </c>
    </row>
    <row r="363" spans="1:35" x14ac:dyDescent="0.3">
      <c r="A363" t="str">
        <f>'RESUMEN TOTAL'!A368</f>
        <v>VILLA ARGENTINA</v>
      </c>
      <c r="B363" t="str">
        <f>'RESUMEN TOTAL'!B368</f>
        <v>VAR13</v>
      </c>
      <c r="C363" t="str">
        <f>'RESUMEN TOTAL'!D368</f>
        <v>Calle 527 y 532</v>
      </c>
      <c r="D363" t="str">
        <f>'RESUMEN TOTAL'!E368</f>
        <v>Domo</v>
      </c>
      <c r="E363" t="str">
        <f>'RESUMEN TOTAL'!F368</f>
        <v>Fibra Optica</v>
      </c>
      <c r="F363">
        <f>'RESUMEN TOTAL'!K368</f>
        <v>0</v>
      </c>
      <c r="G363">
        <f>'RESUMEN TOTAL'!L368</f>
        <v>0</v>
      </c>
      <c r="H363">
        <f>'RESUMEN TOTAL'!M368</f>
        <v>0</v>
      </c>
      <c r="I363">
        <f>'RESUMEN TOTAL'!N368</f>
        <v>0</v>
      </c>
      <c r="J363">
        <f>'RESUMEN TOTAL'!O368</f>
        <v>0</v>
      </c>
      <c r="K363">
        <f>'RESUMEN TOTAL'!P368</f>
        <v>0</v>
      </c>
      <c r="L363">
        <f>'RESUMEN TOTAL'!Q368</f>
        <v>0</v>
      </c>
      <c r="M363">
        <f>'RESUMEN TOTAL'!R368</f>
        <v>0</v>
      </c>
      <c r="N363">
        <f>'RESUMEN TOTAL'!S368</f>
        <v>0</v>
      </c>
      <c r="O363">
        <f>'RESUMEN TOTAL'!T368</f>
        <v>0</v>
      </c>
      <c r="P363">
        <f>'RESUMEN TOTAL'!U368</f>
        <v>0</v>
      </c>
      <c r="Q363">
        <f>'RESUMEN TOTAL'!V368</f>
        <v>0</v>
      </c>
      <c r="R363">
        <f>'RESUMEN TOTAL'!W368</f>
        <v>0</v>
      </c>
      <c r="S363">
        <f>'RESUMEN TOTAL'!X368</f>
        <v>0</v>
      </c>
      <c r="T363">
        <f>'RESUMEN TOTAL'!Y368</f>
        <v>0</v>
      </c>
      <c r="U363">
        <f>'RESUMEN TOTAL'!Z368</f>
        <v>0</v>
      </c>
      <c r="V363">
        <f>'RESUMEN TOTAL'!AA368</f>
        <v>0</v>
      </c>
      <c r="W363">
        <f>'RESUMEN TOTAL'!AB368</f>
        <v>0</v>
      </c>
      <c r="X363">
        <f>'RESUMEN TOTAL'!AC368</f>
        <v>0</v>
      </c>
      <c r="Y363">
        <f>'RESUMEN TOTAL'!AD368</f>
        <v>0</v>
      </c>
      <c r="Z363">
        <f>'RESUMEN TOTAL'!AE368</f>
        <v>0</v>
      </c>
      <c r="AA363">
        <f>'RESUMEN TOTAL'!AF368</f>
        <v>0</v>
      </c>
      <c r="AB363">
        <f>'RESUMEN TOTAL'!AG368</f>
        <v>0</v>
      </c>
      <c r="AC363">
        <f>'RESUMEN TOTAL'!AH368</f>
        <v>0</v>
      </c>
      <c r="AD363">
        <f>'RESUMEN TOTAL'!AI368</f>
        <v>0</v>
      </c>
      <c r="AE363">
        <f>'RESUMEN TOTAL'!AJ368</f>
        <v>0</v>
      </c>
      <c r="AF363">
        <f>'RESUMEN TOTAL'!AK368</f>
        <v>0</v>
      </c>
      <c r="AG363">
        <f>'RESUMEN TOTAL'!AL368</f>
        <v>0</v>
      </c>
      <c r="AH363">
        <f>'RESUMEN TOTAL'!AM368</f>
        <v>0</v>
      </c>
      <c r="AI363">
        <f>'RESUMEN TOTAL'!AN368</f>
        <v>0</v>
      </c>
    </row>
    <row r="364" spans="1:35" x14ac:dyDescent="0.3">
      <c r="A364" t="str">
        <f>'RESUMEN TOTAL'!A369</f>
        <v>VILLA ARGENTINA</v>
      </c>
      <c r="B364" t="str">
        <f>'RESUMEN TOTAL'!B369</f>
        <v>VAR14</v>
      </c>
      <c r="C364" t="str">
        <f>'RESUMEN TOTAL'!D369</f>
        <v>Pportela y 517</v>
      </c>
      <c r="D364" t="str">
        <f>'RESUMEN TOTAL'!E369</f>
        <v>Domo</v>
      </c>
      <c r="E364" t="str">
        <f>'RESUMEN TOTAL'!F369</f>
        <v>Fibra Optica</v>
      </c>
      <c r="F364" t="str">
        <f>'RESUMEN TOTAL'!K369</f>
        <v>APAGADO</v>
      </c>
      <c r="G364" t="str">
        <f>'RESUMEN TOTAL'!L369</f>
        <v>APAGADO</v>
      </c>
      <c r="H364">
        <f>'RESUMEN TOTAL'!M369</f>
        <v>0</v>
      </c>
      <c r="I364">
        <f>'RESUMEN TOTAL'!N369</f>
        <v>0</v>
      </c>
      <c r="J364">
        <f>'RESUMEN TOTAL'!O369</f>
        <v>0</v>
      </c>
      <c r="K364">
        <f>'RESUMEN TOTAL'!P369</f>
        <v>0</v>
      </c>
      <c r="L364">
        <f>'RESUMEN TOTAL'!Q369</f>
        <v>0</v>
      </c>
      <c r="M364">
        <f>'RESUMEN TOTAL'!R369</f>
        <v>0</v>
      </c>
      <c r="N364">
        <f>'RESUMEN TOTAL'!S369</f>
        <v>0</v>
      </c>
      <c r="O364">
        <f>'RESUMEN TOTAL'!T369</f>
        <v>0</v>
      </c>
      <c r="P364">
        <f>'RESUMEN TOTAL'!U369</f>
        <v>0</v>
      </c>
      <c r="Q364">
        <f>'RESUMEN TOTAL'!V369</f>
        <v>0</v>
      </c>
      <c r="R364">
        <f>'RESUMEN TOTAL'!W369</f>
        <v>0</v>
      </c>
      <c r="S364">
        <f>'RESUMEN TOTAL'!X369</f>
        <v>0</v>
      </c>
      <c r="T364">
        <f>'RESUMEN TOTAL'!Y369</f>
        <v>0</v>
      </c>
      <c r="U364">
        <f>'RESUMEN TOTAL'!Z369</f>
        <v>0</v>
      </c>
      <c r="V364">
        <f>'RESUMEN TOTAL'!AA369</f>
        <v>0</v>
      </c>
      <c r="W364">
        <f>'RESUMEN TOTAL'!AB369</f>
        <v>0</v>
      </c>
      <c r="X364">
        <f>'RESUMEN TOTAL'!AC369</f>
        <v>0</v>
      </c>
      <c r="Y364">
        <f>'RESUMEN TOTAL'!AD369</f>
        <v>0</v>
      </c>
      <c r="Z364">
        <f>'RESUMEN TOTAL'!AE369</f>
        <v>0</v>
      </c>
      <c r="AA364">
        <f>'RESUMEN TOTAL'!AF369</f>
        <v>0</v>
      </c>
      <c r="AB364">
        <f>'RESUMEN TOTAL'!AG369</f>
        <v>0</v>
      </c>
      <c r="AC364">
        <f>'RESUMEN TOTAL'!AH369</f>
        <v>0</v>
      </c>
      <c r="AD364">
        <f>'RESUMEN TOTAL'!AI369</f>
        <v>0</v>
      </c>
      <c r="AE364">
        <f>'RESUMEN TOTAL'!AJ369</f>
        <v>0</v>
      </c>
      <c r="AF364">
        <f>'RESUMEN TOTAL'!AK369</f>
        <v>0</v>
      </c>
      <c r="AG364">
        <f>'RESUMEN TOTAL'!AL369</f>
        <v>0</v>
      </c>
      <c r="AH364">
        <f>'RESUMEN TOTAL'!AM369</f>
        <v>0</v>
      </c>
      <c r="AI364">
        <f>'RESUMEN TOTAL'!AN369</f>
        <v>0</v>
      </c>
    </row>
    <row r="365" spans="1:35" x14ac:dyDescent="0.3">
      <c r="A365" t="str">
        <f>'RESUMEN TOTAL'!A370</f>
        <v>VILLA VATTEONE</v>
      </c>
      <c r="B365" t="str">
        <f>'RESUMEN TOTAL'!B370</f>
        <v>VAT01</v>
      </c>
      <c r="C365" t="str">
        <f>'RESUMEN TOTAL'!D370</f>
        <v>Montevideo y El ChaÃ±ar</v>
      </c>
      <c r="D365" t="str">
        <f>'RESUMEN TOTAL'!E370</f>
        <v>Domo</v>
      </c>
      <c r="E365" t="str">
        <f>'RESUMEN TOTAL'!F370</f>
        <v>Fibra Optica</v>
      </c>
      <c r="F365">
        <f>'RESUMEN TOTAL'!K370</f>
        <v>0</v>
      </c>
      <c r="G365">
        <f>'RESUMEN TOTAL'!L370</f>
        <v>0</v>
      </c>
      <c r="H365">
        <f>'RESUMEN TOTAL'!M370</f>
        <v>0</v>
      </c>
      <c r="I365">
        <f>'RESUMEN TOTAL'!N370</f>
        <v>0</v>
      </c>
      <c r="J365">
        <f>'RESUMEN TOTAL'!O370</f>
        <v>0</v>
      </c>
      <c r="K365">
        <f>'RESUMEN TOTAL'!P370</f>
        <v>0</v>
      </c>
      <c r="L365">
        <f>'RESUMEN TOTAL'!Q370</f>
        <v>0</v>
      </c>
      <c r="M365">
        <f>'RESUMEN TOTAL'!R370</f>
        <v>0</v>
      </c>
      <c r="N365">
        <f>'RESUMEN TOTAL'!S370</f>
        <v>0</v>
      </c>
      <c r="O365">
        <f>'RESUMEN TOTAL'!T370</f>
        <v>0</v>
      </c>
      <c r="P365">
        <f>'RESUMEN TOTAL'!U370</f>
        <v>0</v>
      </c>
      <c r="Q365">
        <f>'RESUMEN TOTAL'!V370</f>
        <v>0</v>
      </c>
      <c r="R365">
        <f>'RESUMEN TOTAL'!W370</f>
        <v>0</v>
      </c>
      <c r="S365">
        <f>'RESUMEN TOTAL'!X370</f>
        <v>0</v>
      </c>
      <c r="T365">
        <f>'RESUMEN TOTAL'!Y370</f>
        <v>0</v>
      </c>
      <c r="U365">
        <f>'RESUMEN TOTAL'!Z370</f>
        <v>0</v>
      </c>
      <c r="V365">
        <f>'RESUMEN TOTAL'!AA370</f>
        <v>0</v>
      </c>
      <c r="W365">
        <f>'RESUMEN TOTAL'!AB370</f>
        <v>0</v>
      </c>
      <c r="X365">
        <f>'RESUMEN TOTAL'!AC370</f>
        <v>0</v>
      </c>
      <c r="Y365">
        <f>'RESUMEN TOTAL'!AD370</f>
        <v>0</v>
      </c>
      <c r="Z365">
        <f>'RESUMEN TOTAL'!AE370</f>
        <v>0</v>
      </c>
      <c r="AA365">
        <f>'RESUMEN TOTAL'!AF370</f>
        <v>0</v>
      </c>
      <c r="AB365">
        <f>'RESUMEN TOTAL'!AG370</f>
        <v>0</v>
      </c>
      <c r="AC365">
        <f>'RESUMEN TOTAL'!AH370</f>
        <v>0</v>
      </c>
      <c r="AD365">
        <f>'RESUMEN TOTAL'!AI370</f>
        <v>0</v>
      </c>
      <c r="AE365">
        <f>'RESUMEN TOTAL'!AJ370</f>
        <v>0</v>
      </c>
      <c r="AF365">
        <f>'RESUMEN TOTAL'!AK370</f>
        <v>0</v>
      </c>
      <c r="AG365">
        <f>'RESUMEN TOTAL'!AL370</f>
        <v>0</v>
      </c>
      <c r="AH365">
        <f>'RESUMEN TOTAL'!AM370</f>
        <v>0</v>
      </c>
      <c r="AI365">
        <f>'RESUMEN TOTAL'!AN370</f>
        <v>0</v>
      </c>
    </row>
    <row r="366" spans="1:35" x14ac:dyDescent="0.3">
      <c r="A366" t="str">
        <f>'RESUMEN TOTAL'!A371</f>
        <v>VILLA VATTEONE CENTRO</v>
      </c>
      <c r="B366" t="str">
        <f>'RESUMEN TOTAL'!B371</f>
        <v>VAT02</v>
      </c>
      <c r="C366" t="str">
        <f>'RESUMEN TOTAL'!D371</f>
        <v>Eva Peron y 12 de Octubre</v>
      </c>
      <c r="D366" t="str">
        <f>'RESUMEN TOTAL'!E371</f>
        <v>Domo</v>
      </c>
      <c r="E366" t="str">
        <f>'RESUMEN TOTAL'!F371</f>
        <v>Fibra Optica</v>
      </c>
      <c r="F366">
        <f>'RESUMEN TOTAL'!K371</f>
        <v>0</v>
      </c>
      <c r="G366">
        <f>'RESUMEN TOTAL'!L371</f>
        <v>0</v>
      </c>
      <c r="H366">
        <f>'RESUMEN TOTAL'!M371</f>
        <v>0</v>
      </c>
      <c r="I366">
        <f>'RESUMEN TOTAL'!N371</f>
        <v>0</v>
      </c>
      <c r="J366">
        <f>'RESUMEN TOTAL'!O371</f>
        <v>0</v>
      </c>
      <c r="K366">
        <f>'RESUMEN TOTAL'!P371</f>
        <v>0</v>
      </c>
      <c r="L366">
        <f>'RESUMEN TOTAL'!Q371</f>
        <v>0</v>
      </c>
      <c r="M366">
        <f>'RESUMEN TOTAL'!R371</f>
        <v>0</v>
      </c>
      <c r="N366">
        <f>'RESUMEN TOTAL'!S371</f>
        <v>0</v>
      </c>
      <c r="O366">
        <f>'RESUMEN TOTAL'!T371</f>
        <v>0</v>
      </c>
      <c r="P366">
        <f>'RESUMEN TOTAL'!U371</f>
        <v>0</v>
      </c>
      <c r="Q366">
        <f>'RESUMEN TOTAL'!V371</f>
        <v>0</v>
      </c>
      <c r="R366">
        <f>'RESUMEN TOTAL'!W371</f>
        <v>0</v>
      </c>
      <c r="S366">
        <f>'RESUMEN TOTAL'!X371</f>
        <v>0</v>
      </c>
      <c r="T366" t="str">
        <f>'RESUMEN TOTAL'!Y371</f>
        <v>APAGADO</v>
      </c>
      <c r="U366" t="str">
        <f>'RESUMEN TOTAL'!Z371</f>
        <v>APAGADO</v>
      </c>
      <c r="V366">
        <f>'RESUMEN TOTAL'!AA371</f>
        <v>0</v>
      </c>
      <c r="W366" t="str">
        <f>'RESUMEN TOTAL'!AB371</f>
        <v>APAGADO</v>
      </c>
      <c r="X366" t="str">
        <f>'RESUMEN TOTAL'!AC371</f>
        <v>APAGADO</v>
      </c>
      <c r="Y366">
        <f>'RESUMEN TOTAL'!AD371</f>
        <v>0</v>
      </c>
      <c r="Z366">
        <f>'RESUMEN TOTAL'!AE371</f>
        <v>0</v>
      </c>
      <c r="AA366">
        <f>'RESUMEN TOTAL'!AF371</f>
        <v>0</v>
      </c>
      <c r="AB366">
        <f>'RESUMEN TOTAL'!AG371</f>
        <v>0</v>
      </c>
      <c r="AC366">
        <f>'RESUMEN TOTAL'!AH371</f>
        <v>0</v>
      </c>
      <c r="AD366">
        <f>'RESUMEN TOTAL'!AI371</f>
        <v>0</v>
      </c>
      <c r="AE366">
        <f>'RESUMEN TOTAL'!AJ371</f>
        <v>0</v>
      </c>
      <c r="AF366">
        <f>'RESUMEN TOTAL'!AK371</f>
        <v>0</v>
      </c>
      <c r="AG366">
        <f>'RESUMEN TOTAL'!AL371</f>
        <v>0</v>
      </c>
      <c r="AH366">
        <f>'RESUMEN TOTAL'!AM371</f>
        <v>0</v>
      </c>
      <c r="AI366">
        <f>'RESUMEN TOTAL'!AN371</f>
        <v>0</v>
      </c>
    </row>
    <row r="367" spans="1:35" x14ac:dyDescent="0.3">
      <c r="A367" t="str">
        <f>'RESUMEN TOTAL'!A372</f>
        <v>VILLA VATTEONE CENTRO</v>
      </c>
      <c r="B367" t="str">
        <f>'RESUMEN TOTAL'!B372</f>
        <v>VAT03</v>
      </c>
      <c r="C367" t="str">
        <f>'RESUMEN TOTAL'!D372</f>
        <v>Lavalle y Belgrano</v>
      </c>
      <c r="D367" t="str">
        <f>'RESUMEN TOTAL'!E372</f>
        <v>Domo</v>
      </c>
      <c r="E367" t="str">
        <f>'RESUMEN TOTAL'!F372</f>
        <v>Fibra Optica</v>
      </c>
      <c r="F367">
        <f>'RESUMEN TOTAL'!K372</f>
        <v>0</v>
      </c>
      <c r="G367">
        <f>'RESUMEN TOTAL'!L372</f>
        <v>0</v>
      </c>
      <c r="H367">
        <f>'RESUMEN TOTAL'!M372</f>
        <v>0</v>
      </c>
      <c r="I367">
        <f>'RESUMEN TOTAL'!N372</f>
        <v>0</v>
      </c>
      <c r="J367">
        <f>'RESUMEN TOTAL'!O372</f>
        <v>0</v>
      </c>
      <c r="K367">
        <f>'RESUMEN TOTAL'!P372</f>
        <v>0</v>
      </c>
      <c r="L367">
        <f>'RESUMEN TOTAL'!Q372</f>
        <v>0</v>
      </c>
      <c r="M367">
        <f>'RESUMEN TOTAL'!R372</f>
        <v>0</v>
      </c>
      <c r="N367">
        <f>'RESUMEN TOTAL'!S372</f>
        <v>0</v>
      </c>
      <c r="O367">
        <f>'RESUMEN TOTAL'!T372</f>
        <v>0</v>
      </c>
      <c r="P367">
        <f>'RESUMEN TOTAL'!U372</f>
        <v>0</v>
      </c>
      <c r="Q367">
        <f>'RESUMEN TOTAL'!V372</f>
        <v>0</v>
      </c>
      <c r="R367">
        <f>'RESUMEN TOTAL'!W372</f>
        <v>0</v>
      </c>
      <c r="S367">
        <f>'RESUMEN TOTAL'!X372</f>
        <v>0</v>
      </c>
      <c r="T367" t="str">
        <f>'RESUMEN TOTAL'!Y372</f>
        <v>APAGADO</v>
      </c>
      <c r="U367">
        <f>'RESUMEN TOTAL'!Z372</f>
        <v>0</v>
      </c>
      <c r="V367">
        <f>'RESUMEN TOTAL'!AA372</f>
        <v>0</v>
      </c>
      <c r="W367">
        <f>'RESUMEN TOTAL'!AB372</f>
        <v>0</v>
      </c>
      <c r="X367">
        <f>'RESUMEN TOTAL'!AC372</f>
        <v>0</v>
      </c>
      <c r="Y367">
        <f>'RESUMEN TOTAL'!AD372</f>
        <v>0</v>
      </c>
      <c r="Z367">
        <f>'RESUMEN TOTAL'!AE372</f>
        <v>0</v>
      </c>
      <c r="AA367">
        <f>'RESUMEN TOTAL'!AF372</f>
        <v>0</v>
      </c>
      <c r="AB367">
        <f>'RESUMEN TOTAL'!AG372</f>
        <v>0</v>
      </c>
      <c r="AC367">
        <f>'RESUMEN TOTAL'!AH372</f>
        <v>0</v>
      </c>
      <c r="AD367">
        <f>'RESUMEN TOTAL'!AI372</f>
        <v>0</v>
      </c>
      <c r="AE367">
        <f>'RESUMEN TOTAL'!AJ372</f>
        <v>0</v>
      </c>
      <c r="AF367">
        <f>'RESUMEN TOTAL'!AK372</f>
        <v>0</v>
      </c>
      <c r="AG367">
        <f>'RESUMEN TOTAL'!AL372</f>
        <v>0</v>
      </c>
      <c r="AH367">
        <f>'RESUMEN TOTAL'!AM372</f>
        <v>0</v>
      </c>
      <c r="AI367">
        <f>'RESUMEN TOTAL'!AN372</f>
        <v>0</v>
      </c>
    </row>
    <row r="368" spans="1:35" x14ac:dyDescent="0.3">
      <c r="A368" t="str">
        <f>'RESUMEN TOTAL'!A373</f>
        <v>VILLA VATTEONE CENTRO</v>
      </c>
      <c r="B368" t="str">
        <f>'RESUMEN TOTAL'!B373</f>
        <v>VAT04</v>
      </c>
      <c r="C368" t="str">
        <f>'RESUMEN TOTAL'!D373</f>
        <v>Lavalle y Entre Rios</v>
      </c>
      <c r="D368" t="str">
        <f>'RESUMEN TOTAL'!E373</f>
        <v>Domo</v>
      </c>
      <c r="E368" t="str">
        <f>'RESUMEN TOTAL'!F373</f>
        <v>Fibra Optica</v>
      </c>
      <c r="F368">
        <f>'RESUMEN TOTAL'!K373</f>
        <v>0</v>
      </c>
      <c r="G368">
        <f>'RESUMEN TOTAL'!L373</f>
        <v>0</v>
      </c>
      <c r="H368">
        <f>'RESUMEN TOTAL'!M373</f>
        <v>0</v>
      </c>
      <c r="I368">
        <f>'RESUMEN TOTAL'!N373</f>
        <v>0</v>
      </c>
      <c r="J368">
        <f>'RESUMEN TOTAL'!O373</f>
        <v>0</v>
      </c>
      <c r="K368">
        <f>'RESUMEN TOTAL'!P373</f>
        <v>0</v>
      </c>
      <c r="L368">
        <f>'RESUMEN TOTAL'!Q373</f>
        <v>0</v>
      </c>
      <c r="M368">
        <f>'RESUMEN TOTAL'!R373</f>
        <v>0</v>
      </c>
      <c r="N368">
        <f>'RESUMEN TOTAL'!S373</f>
        <v>0</v>
      </c>
      <c r="O368">
        <f>'RESUMEN TOTAL'!T373</f>
        <v>0</v>
      </c>
      <c r="P368">
        <f>'RESUMEN TOTAL'!U373</f>
        <v>0</v>
      </c>
      <c r="Q368">
        <f>'RESUMEN TOTAL'!V373</f>
        <v>0</v>
      </c>
      <c r="R368">
        <f>'RESUMEN TOTAL'!W373</f>
        <v>0</v>
      </c>
      <c r="S368">
        <f>'RESUMEN TOTAL'!X373</f>
        <v>0</v>
      </c>
      <c r="T368" t="str">
        <f>'RESUMEN TOTAL'!Y373</f>
        <v>APAGADO</v>
      </c>
      <c r="U368">
        <f>'RESUMEN TOTAL'!Z373</f>
        <v>0</v>
      </c>
      <c r="V368">
        <f>'RESUMEN TOTAL'!AA373</f>
        <v>0</v>
      </c>
      <c r="W368">
        <f>'RESUMEN TOTAL'!AB373</f>
        <v>0</v>
      </c>
      <c r="X368">
        <f>'RESUMEN TOTAL'!AC373</f>
        <v>0</v>
      </c>
      <c r="Y368">
        <f>'RESUMEN TOTAL'!AD373</f>
        <v>0</v>
      </c>
      <c r="Z368">
        <f>'RESUMEN TOTAL'!AE373</f>
        <v>0</v>
      </c>
      <c r="AA368">
        <f>'RESUMEN TOTAL'!AF373</f>
        <v>0</v>
      </c>
      <c r="AB368">
        <f>'RESUMEN TOTAL'!AG373</f>
        <v>0</v>
      </c>
      <c r="AC368">
        <f>'RESUMEN TOTAL'!AH373</f>
        <v>0</v>
      </c>
      <c r="AD368">
        <f>'RESUMEN TOTAL'!AI373</f>
        <v>0</v>
      </c>
      <c r="AE368">
        <f>'RESUMEN TOTAL'!AJ373</f>
        <v>0</v>
      </c>
      <c r="AF368">
        <f>'RESUMEN TOTAL'!AK373</f>
        <v>0</v>
      </c>
      <c r="AG368">
        <f>'RESUMEN TOTAL'!AL373</f>
        <v>0</v>
      </c>
      <c r="AH368">
        <f>'RESUMEN TOTAL'!AM373</f>
        <v>0</v>
      </c>
      <c r="AI368">
        <f>'RESUMEN TOTAL'!AN373</f>
        <v>0</v>
      </c>
    </row>
    <row r="369" spans="1:35" x14ac:dyDescent="0.3">
      <c r="A369" t="str">
        <f>'RESUMEN TOTAL'!A374</f>
        <v>VILLA VATTEONE CENTRO</v>
      </c>
      <c r="B369" t="str">
        <f>'RESUMEN TOTAL'!B374</f>
        <v>VAT05</v>
      </c>
      <c r="C369" t="str">
        <f>'RESUMEN TOTAL'!D374</f>
        <v>Lavalle y Colombia</v>
      </c>
      <c r="D369" t="str">
        <f>'RESUMEN TOTAL'!E374</f>
        <v>Domo</v>
      </c>
      <c r="E369" t="str">
        <f>'RESUMEN TOTAL'!F374</f>
        <v>Radio</v>
      </c>
      <c r="F369">
        <f>'RESUMEN TOTAL'!K374</f>
        <v>0</v>
      </c>
      <c r="G369">
        <f>'RESUMEN TOTAL'!L374</f>
        <v>0</v>
      </c>
      <c r="H369">
        <f>'RESUMEN TOTAL'!M374</f>
        <v>0</v>
      </c>
      <c r="I369">
        <f>'RESUMEN TOTAL'!N374</f>
        <v>0</v>
      </c>
      <c r="J369">
        <f>'RESUMEN TOTAL'!O374</f>
        <v>0</v>
      </c>
      <c r="K369">
        <f>'RESUMEN TOTAL'!P374</f>
        <v>0</v>
      </c>
      <c r="L369">
        <f>'RESUMEN TOTAL'!Q374</f>
        <v>0</v>
      </c>
      <c r="M369">
        <f>'RESUMEN TOTAL'!R374</f>
        <v>0</v>
      </c>
      <c r="N369">
        <f>'RESUMEN TOTAL'!S374</f>
        <v>0</v>
      </c>
      <c r="O369">
        <f>'RESUMEN TOTAL'!T374</f>
        <v>0</v>
      </c>
      <c r="P369">
        <f>'RESUMEN TOTAL'!U374</f>
        <v>0</v>
      </c>
      <c r="Q369">
        <f>'RESUMEN TOTAL'!V374</f>
        <v>0</v>
      </c>
      <c r="R369">
        <f>'RESUMEN TOTAL'!W374</f>
        <v>0</v>
      </c>
      <c r="S369">
        <f>'RESUMEN TOTAL'!X374</f>
        <v>0</v>
      </c>
      <c r="T369">
        <f>'RESUMEN TOTAL'!Y374</f>
        <v>0</v>
      </c>
      <c r="U369">
        <f>'RESUMEN TOTAL'!Z374</f>
        <v>0</v>
      </c>
      <c r="V369">
        <f>'RESUMEN TOTAL'!AA374</f>
        <v>0</v>
      </c>
      <c r="W369">
        <f>'RESUMEN TOTAL'!AB374</f>
        <v>0</v>
      </c>
      <c r="X369">
        <f>'RESUMEN TOTAL'!AC374</f>
        <v>0</v>
      </c>
      <c r="Y369">
        <f>'RESUMEN TOTAL'!AD374</f>
        <v>0</v>
      </c>
      <c r="Z369">
        <f>'RESUMEN TOTAL'!AE374</f>
        <v>0</v>
      </c>
      <c r="AA369">
        <f>'RESUMEN TOTAL'!AF374</f>
        <v>0</v>
      </c>
      <c r="AB369">
        <f>'RESUMEN TOTAL'!AG374</f>
        <v>0</v>
      </c>
      <c r="AC369">
        <f>'RESUMEN TOTAL'!AH374</f>
        <v>0</v>
      </c>
      <c r="AD369">
        <f>'RESUMEN TOTAL'!AI374</f>
        <v>0</v>
      </c>
      <c r="AE369">
        <f>'RESUMEN TOTAL'!AJ374</f>
        <v>0</v>
      </c>
      <c r="AF369">
        <f>'RESUMEN TOTAL'!AK374</f>
        <v>0</v>
      </c>
      <c r="AG369">
        <f>'RESUMEN TOTAL'!AL374</f>
        <v>0</v>
      </c>
      <c r="AH369">
        <f>'RESUMEN TOTAL'!AM374</f>
        <v>0</v>
      </c>
      <c r="AI369">
        <f>'RESUMEN TOTAL'!AN374</f>
        <v>0</v>
      </c>
    </row>
    <row r="370" spans="1:35" x14ac:dyDescent="0.3">
      <c r="A370" t="str">
        <f>'RESUMEN TOTAL'!A375</f>
        <v>VILLA VATTEONE CENTRO</v>
      </c>
      <c r="B370" t="str">
        <f>'RESUMEN TOTAL'!B375</f>
        <v>VAT06</v>
      </c>
      <c r="C370" t="str">
        <f>'RESUMEN TOTAL'!D375</f>
        <v>Eva Peron y Pueyrredon</v>
      </c>
      <c r="D370" t="str">
        <f>'RESUMEN TOTAL'!E375</f>
        <v>Domo</v>
      </c>
      <c r="E370" t="str">
        <f>'RESUMEN TOTAL'!F375</f>
        <v>Fibra Optica</v>
      </c>
      <c r="F370">
        <f>'RESUMEN TOTAL'!K375</f>
        <v>0</v>
      </c>
      <c r="G370">
        <f>'RESUMEN TOTAL'!L375</f>
        <v>0</v>
      </c>
      <c r="H370">
        <f>'RESUMEN TOTAL'!M375</f>
        <v>0</v>
      </c>
      <c r="I370">
        <f>'RESUMEN TOTAL'!N375</f>
        <v>0</v>
      </c>
      <c r="J370">
        <f>'RESUMEN TOTAL'!O375</f>
        <v>0</v>
      </c>
      <c r="K370">
        <f>'RESUMEN TOTAL'!P375</f>
        <v>0</v>
      </c>
      <c r="L370">
        <f>'RESUMEN TOTAL'!Q375</f>
        <v>0</v>
      </c>
      <c r="M370">
        <f>'RESUMEN TOTAL'!R375</f>
        <v>0</v>
      </c>
      <c r="N370">
        <f>'RESUMEN TOTAL'!S375</f>
        <v>0</v>
      </c>
      <c r="O370">
        <f>'RESUMEN TOTAL'!T375</f>
        <v>0</v>
      </c>
      <c r="P370">
        <f>'RESUMEN TOTAL'!U375</f>
        <v>0</v>
      </c>
      <c r="Q370">
        <f>'RESUMEN TOTAL'!V375</f>
        <v>0</v>
      </c>
      <c r="R370">
        <f>'RESUMEN TOTAL'!W375</f>
        <v>0</v>
      </c>
      <c r="S370">
        <f>'RESUMEN TOTAL'!X375</f>
        <v>0</v>
      </c>
      <c r="T370">
        <f>'RESUMEN TOTAL'!Y375</f>
        <v>0</v>
      </c>
      <c r="U370">
        <f>'RESUMEN TOTAL'!Z375</f>
        <v>0</v>
      </c>
      <c r="V370">
        <f>'RESUMEN TOTAL'!AA375</f>
        <v>0</v>
      </c>
      <c r="W370">
        <f>'RESUMEN TOTAL'!AB375</f>
        <v>0</v>
      </c>
      <c r="X370">
        <f>'RESUMEN TOTAL'!AC375</f>
        <v>0</v>
      </c>
      <c r="Y370">
        <f>'RESUMEN TOTAL'!AD375</f>
        <v>0</v>
      </c>
      <c r="Z370">
        <f>'RESUMEN TOTAL'!AE375</f>
        <v>0</v>
      </c>
      <c r="AA370">
        <f>'RESUMEN TOTAL'!AF375</f>
        <v>0</v>
      </c>
      <c r="AB370">
        <f>'RESUMEN TOTAL'!AG375</f>
        <v>0</v>
      </c>
      <c r="AC370">
        <f>'RESUMEN TOTAL'!AH375</f>
        <v>0</v>
      </c>
      <c r="AD370">
        <f>'RESUMEN TOTAL'!AI375</f>
        <v>0</v>
      </c>
      <c r="AE370">
        <f>'RESUMEN TOTAL'!AJ375</f>
        <v>0</v>
      </c>
      <c r="AF370">
        <f>'RESUMEN TOTAL'!AK375</f>
        <v>0</v>
      </c>
      <c r="AG370">
        <f>'RESUMEN TOTAL'!AL375</f>
        <v>0</v>
      </c>
      <c r="AH370">
        <f>'RESUMEN TOTAL'!AM375</f>
        <v>0</v>
      </c>
      <c r="AI370">
        <f>'RESUMEN TOTAL'!AN375</f>
        <v>0</v>
      </c>
    </row>
    <row r="371" spans="1:35" x14ac:dyDescent="0.3">
      <c r="A371" t="str">
        <f>'RESUMEN TOTAL'!A376</f>
        <v>VILLA VATTEONE CENTRO</v>
      </c>
      <c r="B371" t="str">
        <f>'RESUMEN TOTAL'!B376</f>
        <v>VAT07</v>
      </c>
      <c r="C371" t="str">
        <f>'RESUMEN TOTAL'!D376</f>
        <v>Eva Peron y Lavalle</v>
      </c>
      <c r="D371">
        <f>'RESUMEN TOTAL'!E376</f>
        <v>0</v>
      </c>
      <c r="E371" t="str">
        <f>'RESUMEN TOTAL'!F376</f>
        <v>PTO A FO</v>
      </c>
      <c r="F371" t="str">
        <f>'RESUMEN TOTAL'!K376</f>
        <v>APAGADO</v>
      </c>
      <c r="G371" t="str">
        <f>'RESUMEN TOTAL'!L376</f>
        <v>APAGADO</v>
      </c>
      <c r="H371">
        <f>'RESUMEN TOTAL'!M376</f>
        <v>0</v>
      </c>
      <c r="I371">
        <f>'RESUMEN TOTAL'!N376</f>
        <v>0</v>
      </c>
      <c r="J371" t="str">
        <f>'RESUMEN TOTAL'!O376</f>
        <v>APAGADO</v>
      </c>
      <c r="K371" t="str">
        <f>'RESUMEN TOTAL'!P376</f>
        <v>APAGADO</v>
      </c>
      <c r="L371" t="str">
        <f>'RESUMEN TOTAL'!Q376</f>
        <v>APAGADO</v>
      </c>
      <c r="M371">
        <f>'RESUMEN TOTAL'!R376</f>
        <v>0</v>
      </c>
      <c r="N371" t="str">
        <f>'RESUMEN TOTAL'!S376</f>
        <v>APAGADO</v>
      </c>
      <c r="O371" t="str">
        <f>'RESUMEN TOTAL'!T376</f>
        <v>APAGADO</v>
      </c>
      <c r="P371" t="str">
        <f>'RESUMEN TOTAL'!U376</f>
        <v>APAGADO</v>
      </c>
      <c r="Q371">
        <f>'RESUMEN TOTAL'!V376</f>
        <v>0</v>
      </c>
      <c r="R371">
        <f>'RESUMEN TOTAL'!W376</f>
        <v>0</v>
      </c>
      <c r="S371">
        <f>'RESUMEN TOTAL'!X376</f>
        <v>0</v>
      </c>
      <c r="T371">
        <f>'RESUMEN TOTAL'!Y376</f>
        <v>0</v>
      </c>
      <c r="U371">
        <f>'RESUMEN TOTAL'!Z376</f>
        <v>0</v>
      </c>
      <c r="V371" t="str">
        <f>'RESUMEN TOTAL'!AA376</f>
        <v>APAGADO</v>
      </c>
      <c r="W371" t="str">
        <f>'RESUMEN TOTAL'!AB376</f>
        <v>APAGADO</v>
      </c>
      <c r="X371" t="str">
        <f>'RESUMEN TOTAL'!AC376</f>
        <v>APAGADO</v>
      </c>
      <c r="Y371">
        <f>'RESUMEN TOTAL'!AD376</f>
        <v>0</v>
      </c>
      <c r="Z371">
        <f>'RESUMEN TOTAL'!AE376</f>
        <v>0</v>
      </c>
      <c r="AA371">
        <f>'RESUMEN TOTAL'!AF376</f>
        <v>0</v>
      </c>
      <c r="AB371">
        <f>'RESUMEN TOTAL'!AG376</f>
        <v>0</v>
      </c>
      <c r="AC371">
        <f>'RESUMEN TOTAL'!AH376</f>
        <v>0</v>
      </c>
      <c r="AD371">
        <f>'RESUMEN TOTAL'!AI376</f>
        <v>0</v>
      </c>
      <c r="AE371">
        <f>'RESUMEN TOTAL'!AJ376</f>
        <v>0</v>
      </c>
      <c r="AF371">
        <f>'RESUMEN TOTAL'!AK376</f>
        <v>0</v>
      </c>
      <c r="AG371">
        <f>'RESUMEN TOTAL'!AL376</f>
        <v>0</v>
      </c>
      <c r="AH371">
        <f>'RESUMEN TOTAL'!AM376</f>
        <v>0</v>
      </c>
      <c r="AI371">
        <f>'RESUMEN TOTAL'!AN376</f>
        <v>0</v>
      </c>
    </row>
    <row r="372" spans="1:35" x14ac:dyDescent="0.3">
      <c r="A372" t="str">
        <f>'RESUMEN TOTAL'!A377</f>
        <v>VILLA VATTEONE</v>
      </c>
      <c r="B372" t="str">
        <f>'RESUMEN TOTAL'!B377</f>
        <v>VAT08</v>
      </c>
      <c r="C372" t="str">
        <f>'RESUMEN TOTAL'!D377</f>
        <v>12 de Octubre y Florida</v>
      </c>
      <c r="D372" t="str">
        <f>'RESUMEN TOTAL'!E377</f>
        <v>Domo</v>
      </c>
      <c r="E372" t="str">
        <f>'RESUMEN TOTAL'!F377</f>
        <v>FIBRA OPTICA</v>
      </c>
      <c r="F372" t="str">
        <f>'RESUMEN TOTAL'!K377</f>
        <v>APAGADO</v>
      </c>
      <c r="G372">
        <f>'RESUMEN TOTAL'!L377</f>
        <v>0</v>
      </c>
      <c r="H372">
        <f>'RESUMEN TOTAL'!M377</f>
        <v>0</v>
      </c>
      <c r="I372">
        <f>'RESUMEN TOTAL'!N377</f>
        <v>0</v>
      </c>
      <c r="J372">
        <f>'RESUMEN TOTAL'!O377</f>
        <v>0</v>
      </c>
      <c r="K372">
        <f>'RESUMEN TOTAL'!P377</f>
        <v>0</v>
      </c>
      <c r="L372">
        <f>'RESUMEN TOTAL'!Q377</f>
        <v>0</v>
      </c>
      <c r="M372">
        <f>'RESUMEN TOTAL'!R377</f>
        <v>0</v>
      </c>
      <c r="N372">
        <f>'RESUMEN TOTAL'!S377</f>
        <v>0</v>
      </c>
      <c r="O372">
        <f>'RESUMEN TOTAL'!T377</f>
        <v>0</v>
      </c>
      <c r="P372">
        <f>'RESUMEN TOTAL'!U377</f>
        <v>0</v>
      </c>
      <c r="Q372">
        <f>'RESUMEN TOTAL'!V377</f>
        <v>0</v>
      </c>
      <c r="R372">
        <f>'RESUMEN TOTAL'!W377</f>
        <v>0</v>
      </c>
      <c r="S372">
        <f>'RESUMEN TOTAL'!X377</f>
        <v>0</v>
      </c>
      <c r="T372">
        <f>'RESUMEN TOTAL'!Y377</f>
        <v>0</v>
      </c>
      <c r="U372">
        <f>'RESUMEN TOTAL'!Z377</f>
        <v>0</v>
      </c>
      <c r="V372">
        <f>'RESUMEN TOTAL'!AA377</f>
        <v>0</v>
      </c>
      <c r="W372">
        <f>'RESUMEN TOTAL'!AB377</f>
        <v>0</v>
      </c>
      <c r="X372">
        <f>'RESUMEN TOTAL'!AC377</f>
        <v>0</v>
      </c>
      <c r="Y372">
        <f>'RESUMEN TOTAL'!AD377</f>
        <v>0</v>
      </c>
      <c r="Z372">
        <f>'RESUMEN TOTAL'!AE377</f>
        <v>0</v>
      </c>
      <c r="AA372">
        <f>'RESUMEN TOTAL'!AF377</f>
        <v>0</v>
      </c>
      <c r="AB372">
        <f>'RESUMEN TOTAL'!AG377</f>
        <v>0</v>
      </c>
      <c r="AC372">
        <f>'RESUMEN TOTAL'!AH377</f>
        <v>0</v>
      </c>
      <c r="AD372">
        <f>'RESUMEN TOTAL'!AI377</f>
        <v>0</v>
      </c>
      <c r="AE372">
        <f>'RESUMEN TOTAL'!AJ377</f>
        <v>0</v>
      </c>
      <c r="AF372">
        <f>'RESUMEN TOTAL'!AK377</f>
        <v>0</v>
      </c>
      <c r="AG372">
        <f>'RESUMEN TOTAL'!AL377</f>
        <v>0</v>
      </c>
      <c r="AH372">
        <f>'RESUMEN TOTAL'!AM377</f>
        <v>0</v>
      </c>
      <c r="AI372">
        <f>'RESUMEN TOTAL'!AN377</f>
        <v>0</v>
      </c>
    </row>
    <row r="373" spans="1:35" x14ac:dyDescent="0.3">
      <c r="A373" t="str">
        <f>'RESUMEN TOTAL'!A378</f>
        <v>VILLA VATTEONE</v>
      </c>
      <c r="B373" t="str">
        <f>'RESUMEN TOTAL'!B378</f>
        <v>VAT09</v>
      </c>
      <c r="C373" t="str">
        <f>'RESUMEN TOTAL'!D378</f>
        <v>Montevideo y Alsina</v>
      </c>
      <c r="D373" t="str">
        <f>'RESUMEN TOTAL'!E378</f>
        <v>Domo</v>
      </c>
      <c r="E373" t="str">
        <f>'RESUMEN TOTAL'!F378</f>
        <v>Fibra Optica</v>
      </c>
      <c r="F373">
        <f>'RESUMEN TOTAL'!K378</f>
        <v>0</v>
      </c>
      <c r="G373">
        <f>'RESUMEN TOTAL'!L378</f>
        <v>0</v>
      </c>
      <c r="H373">
        <f>'RESUMEN TOTAL'!M378</f>
        <v>0</v>
      </c>
      <c r="I373" t="str">
        <f>'RESUMEN TOTAL'!N378</f>
        <v>APAGADO</v>
      </c>
      <c r="J373" t="str">
        <f>'RESUMEN TOTAL'!O378</f>
        <v>APAGADO</v>
      </c>
      <c r="K373" t="str">
        <f>'RESUMEN TOTAL'!P378</f>
        <v>APAGADO</v>
      </c>
      <c r="L373">
        <f>'RESUMEN TOTAL'!Q378</f>
        <v>0</v>
      </c>
      <c r="M373">
        <f>'RESUMEN TOTAL'!R378</f>
        <v>0</v>
      </c>
      <c r="N373">
        <f>'RESUMEN TOTAL'!S378</f>
        <v>0</v>
      </c>
      <c r="O373">
        <f>'RESUMEN TOTAL'!T378</f>
        <v>0</v>
      </c>
      <c r="P373">
        <f>'RESUMEN TOTAL'!U378</f>
        <v>0</v>
      </c>
      <c r="Q373">
        <f>'RESUMEN TOTAL'!V378</f>
        <v>0</v>
      </c>
      <c r="R373">
        <f>'RESUMEN TOTAL'!W378</f>
        <v>0</v>
      </c>
      <c r="S373">
        <f>'RESUMEN TOTAL'!X378</f>
        <v>0</v>
      </c>
      <c r="T373">
        <f>'RESUMEN TOTAL'!Y378</f>
        <v>0</v>
      </c>
      <c r="U373">
        <f>'RESUMEN TOTAL'!Z378</f>
        <v>0</v>
      </c>
      <c r="V373">
        <f>'RESUMEN TOTAL'!AA378</f>
        <v>0</v>
      </c>
      <c r="W373">
        <f>'RESUMEN TOTAL'!AB378</f>
        <v>0</v>
      </c>
      <c r="X373">
        <f>'RESUMEN TOTAL'!AC378</f>
        <v>0</v>
      </c>
      <c r="Y373">
        <f>'RESUMEN TOTAL'!AD378</f>
        <v>0</v>
      </c>
      <c r="Z373">
        <f>'RESUMEN TOTAL'!AE378</f>
        <v>0</v>
      </c>
      <c r="AA373">
        <f>'RESUMEN TOTAL'!AF378</f>
        <v>0</v>
      </c>
      <c r="AB373">
        <f>'RESUMEN TOTAL'!AG378</f>
        <v>0</v>
      </c>
      <c r="AC373">
        <f>'RESUMEN TOTAL'!AH378</f>
        <v>0</v>
      </c>
      <c r="AD373">
        <f>'RESUMEN TOTAL'!AI378</f>
        <v>0</v>
      </c>
      <c r="AE373">
        <f>'RESUMEN TOTAL'!AJ378</f>
        <v>0</v>
      </c>
      <c r="AF373">
        <f>'RESUMEN TOTAL'!AK378</f>
        <v>0</v>
      </c>
      <c r="AG373">
        <f>'RESUMEN TOTAL'!AL378</f>
        <v>0</v>
      </c>
      <c r="AH373">
        <f>'RESUMEN TOTAL'!AM378</f>
        <v>0</v>
      </c>
      <c r="AI373">
        <f>'RESUMEN TOTAL'!AN378</f>
        <v>0</v>
      </c>
    </row>
    <row r="374" spans="1:35" x14ac:dyDescent="0.3">
      <c r="A374" t="str">
        <f>'RESUMEN TOTAL'!A379</f>
        <v>VILLA VATTEONE CENTRO</v>
      </c>
      <c r="B374" t="str">
        <f>'RESUMEN TOTAL'!B379</f>
        <v>VAT 10</v>
      </c>
      <c r="C374" t="str">
        <f>'RESUMEN TOTAL'!D379</f>
        <v>Belgrano y Quintana</v>
      </c>
      <c r="D374" t="str">
        <f>'RESUMEN TOTAL'!E379</f>
        <v>Domo</v>
      </c>
      <c r="E374" t="str">
        <f>'RESUMEN TOTAL'!F379</f>
        <v>Fibra Optica</v>
      </c>
      <c r="F374">
        <f>'RESUMEN TOTAL'!K379</f>
        <v>0</v>
      </c>
      <c r="G374">
        <f>'RESUMEN TOTAL'!L379</f>
        <v>0</v>
      </c>
      <c r="H374">
        <f>'RESUMEN TOTAL'!M379</f>
        <v>0</v>
      </c>
      <c r="I374">
        <f>'RESUMEN TOTAL'!N379</f>
        <v>0</v>
      </c>
      <c r="J374">
        <f>'RESUMEN TOTAL'!O379</f>
        <v>0</v>
      </c>
      <c r="K374">
        <f>'RESUMEN TOTAL'!P379</f>
        <v>0</v>
      </c>
      <c r="L374">
        <f>'RESUMEN TOTAL'!Q379</f>
        <v>0</v>
      </c>
      <c r="M374">
        <f>'RESUMEN TOTAL'!R379</f>
        <v>0</v>
      </c>
      <c r="N374">
        <f>'RESUMEN TOTAL'!S379</f>
        <v>0</v>
      </c>
      <c r="O374">
        <f>'RESUMEN TOTAL'!T379</f>
        <v>0</v>
      </c>
      <c r="P374">
        <f>'RESUMEN TOTAL'!U379</f>
        <v>0</v>
      </c>
      <c r="Q374">
        <f>'RESUMEN TOTAL'!V379</f>
        <v>0</v>
      </c>
      <c r="R374">
        <f>'RESUMEN TOTAL'!W379</f>
        <v>0</v>
      </c>
      <c r="S374">
        <f>'RESUMEN TOTAL'!X379</f>
        <v>0</v>
      </c>
      <c r="T374" t="str">
        <f>'RESUMEN TOTAL'!Y379</f>
        <v>APAGADO</v>
      </c>
      <c r="U374">
        <f>'RESUMEN TOTAL'!Z379</f>
        <v>0</v>
      </c>
      <c r="V374">
        <f>'RESUMEN TOTAL'!AA379</f>
        <v>0</v>
      </c>
      <c r="W374">
        <f>'RESUMEN TOTAL'!AB379</f>
        <v>0</v>
      </c>
      <c r="X374">
        <f>'RESUMEN TOTAL'!AC379</f>
        <v>0</v>
      </c>
      <c r="Y374">
        <f>'RESUMEN TOTAL'!AD379</f>
        <v>0</v>
      </c>
      <c r="Z374">
        <f>'RESUMEN TOTAL'!AE379</f>
        <v>0</v>
      </c>
      <c r="AA374">
        <f>'RESUMEN TOTAL'!AF379</f>
        <v>0</v>
      </c>
      <c r="AB374">
        <f>'RESUMEN TOTAL'!AG379</f>
        <v>0</v>
      </c>
      <c r="AC374">
        <f>'RESUMEN TOTAL'!AH379</f>
        <v>0</v>
      </c>
      <c r="AD374">
        <f>'RESUMEN TOTAL'!AI379</f>
        <v>0</v>
      </c>
      <c r="AE374">
        <f>'RESUMEN TOTAL'!AJ379</f>
        <v>0</v>
      </c>
      <c r="AF374">
        <f>'RESUMEN TOTAL'!AK379</f>
        <v>0</v>
      </c>
      <c r="AG374">
        <f>'RESUMEN TOTAL'!AL379</f>
        <v>0</v>
      </c>
      <c r="AH374">
        <f>'RESUMEN TOTAL'!AM379</f>
        <v>0</v>
      </c>
      <c r="AI374">
        <f>'RESUMEN TOTAL'!AN379</f>
        <v>0</v>
      </c>
    </row>
    <row r="375" spans="1:35" x14ac:dyDescent="0.3">
      <c r="A375" t="str">
        <f>'RESUMEN TOTAL'!A380</f>
        <v>VILLA VATTEONE</v>
      </c>
      <c r="B375" t="str">
        <f>'RESUMEN TOTAL'!B380</f>
        <v>VAT11</v>
      </c>
      <c r="C375" t="str">
        <f>'RESUMEN TOTAL'!D380</f>
        <v>Mainini y Montevideo</v>
      </c>
      <c r="D375" t="str">
        <f>'RESUMEN TOTAL'!E380</f>
        <v>Domo</v>
      </c>
      <c r="E375" t="str">
        <f>'RESUMEN TOTAL'!F380</f>
        <v>Fibra Optica</v>
      </c>
      <c r="F375" t="str">
        <f>'RESUMEN TOTAL'!K380</f>
        <v>APAGADO</v>
      </c>
      <c r="G375">
        <f>'RESUMEN TOTAL'!L380</f>
        <v>0</v>
      </c>
      <c r="H375">
        <f>'RESUMEN TOTAL'!M380</f>
        <v>0</v>
      </c>
      <c r="I375">
        <f>'RESUMEN TOTAL'!N380</f>
        <v>0</v>
      </c>
      <c r="J375">
        <f>'RESUMEN TOTAL'!O380</f>
        <v>0</v>
      </c>
      <c r="K375">
        <f>'RESUMEN TOTAL'!P380</f>
        <v>0</v>
      </c>
      <c r="L375">
        <f>'RESUMEN TOTAL'!Q380</f>
        <v>0</v>
      </c>
      <c r="M375">
        <f>'RESUMEN TOTAL'!R380</f>
        <v>0</v>
      </c>
      <c r="N375">
        <f>'RESUMEN TOTAL'!S380</f>
        <v>0</v>
      </c>
      <c r="O375">
        <f>'RESUMEN TOTAL'!T380</f>
        <v>0</v>
      </c>
      <c r="P375">
        <f>'RESUMEN TOTAL'!U380</f>
        <v>0</v>
      </c>
      <c r="Q375">
        <f>'RESUMEN TOTAL'!V380</f>
        <v>0</v>
      </c>
      <c r="R375">
        <f>'RESUMEN TOTAL'!W380</f>
        <v>0</v>
      </c>
      <c r="S375">
        <f>'RESUMEN TOTAL'!X380</f>
        <v>0</v>
      </c>
      <c r="T375">
        <f>'RESUMEN TOTAL'!Y380</f>
        <v>0</v>
      </c>
      <c r="U375">
        <f>'RESUMEN TOTAL'!Z380</f>
        <v>0</v>
      </c>
      <c r="V375">
        <f>'RESUMEN TOTAL'!AA380</f>
        <v>0</v>
      </c>
      <c r="W375">
        <f>'RESUMEN TOTAL'!AB380</f>
        <v>0</v>
      </c>
      <c r="X375">
        <f>'RESUMEN TOTAL'!AC380</f>
        <v>0</v>
      </c>
      <c r="Y375">
        <f>'RESUMEN TOTAL'!AD380</f>
        <v>0</v>
      </c>
      <c r="Z375">
        <f>'RESUMEN TOTAL'!AE380</f>
        <v>0</v>
      </c>
      <c r="AA375">
        <f>'RESUMEN TOTAL'!AF380</f>
        <v>0</v>
      </c>
      <c r="AB375">
        <f>'RESUMEN TOTAL'!AG380</f>
        <v>0</v>
      </c>
      <c r="AC375">
        <f>'RESUMEN TOTAL'!AH380</f>
        <v>0</v>
      </c>
      <c r="AD375">
        <f>'RESUMEN TOTAL'!AI380</f>
        <v>0</v>
      </c>
      <c r="AE375">
        <f>'RESUMEN TOTAL'!AJ380</f>
        <v>0</v>
      </c>
      <c r="AF375">
        <f>'RESUMEN TOTAL'!AK380</f>
        <v>0</v>
      </c>
      <c r="AG375">
        <f>'RESUMEN TOTAL'!AL380</f>
        <v>0</v>
      </c>
      <c r="AH375">
        <f>'RESUMEN TOTAL'!AM380</f>
        <v>0</v>
      </c>
      <c r="AI375">
        <f>'RESUMEN TOTAL'!AN380</f>
        <v>0</v>
      </c>
    </row>
    <row r="376" spans="1:35" x14ac:dyDescent="0.3">
      <c r="A376" t="str">
        <f>'RESUMEN TOTAL'!A381</f>
        <v>VILLA VATTEONE</v>
      </c>
      <c r="B376" t="str">
        <f>'RESUMEN TOTAL'!B381</f>
        <v>VAT12</v>
      </c>
      <c r="C376" t="str">
        <f>'RESUMEN TOTAL'!D381</f>
        <v>12 DE OCTUBRE Y CHACO</v>
      </c>
      <c r="D376" t="str">
        <f>'RESUMEN TOTAL'!E381</f>
        <v>DOMO</v>
      </c>
      <c r="E376" t="str">
        <f>'RESUMEN TOTAL'!F381</f>
        <v>PTO A FO</v>
      </c>
      <c r="F376" t="str">
        <f>'RESUMEN TOTAL'!K381</f>
        <v>APAGADO</v>
      </c>
      <c r="G376">
        <f>'RESUMEN TOTAL'!L381</f>
        <v>0</v>
      </c>
      <c r="H376">
        <f>'RESUMEN TOTAL'!M381</f>
        <v>0</v>
      </c>
      <c r="I376">
        <f>'RESUMEN TOTAL'!N381</f>
        <v>0</v>
      </c>
      <c r="J376">
        <f>'RESUMEN TOTAL'!O381</f>
        <v>0</v>
      </c>
      <c r="K376">
        <f>'RESUMEN TOTAL'!P381</f>
        <v>0</v>
      </c>
      <c r="L376">
        <f>'RESUMEN TOTAL'!Q381</f>
        <v>0</v>
      </c>
      <c r="M376">
        <f>'RESUMEN TOTAL'!R381</f>
        <v>0</v>
      </c>
      <c r="N376">
        <f>'RESUMEN TOTAL'!S381</f>
        <v>0</v>
      </c>
      <c r="O376">
        <f>'RESUMEN TOTAL'!T381</f>
        <v>0</v>
      </c>
      <c r="P376">
        <f>'RESUMEN TOTAL'!U381</f>
        <v>0</v>
      </c>
      <c r="Q376">
        <f>'RESUMEN TOTAL'!V381</f>
        <v>0</v>
      </c>
      <c r="R376">
        <f>'RESUMEN TOTAL'!W381</f>
        <v>0</v>
      </c>
      <c r="S376">
        <f>'RESUMEN TOTAL'!X381</f>
        <v>0</v>
      </c>
      <c r="T376">
        <f>'RESUMEN TOTAL'!Y381</f>
        <v>0</v>
      </c>
      <c r="U376">
        <f>'RESUMEN TOTAL'!Z381</f>
        <v>0</v>
      </c>
      <c r="V376">
        <f>'RESUMEN TOTAL'!AA381</f>
        <v>0</v>
      </c>
      <c r="W376">
        <f>'RESUMEN TOTAL'!AB381</f>
        <v>0</v>
      </c>
      <c r="X376">
        <f>'RESUMEN TOTAL'!AC381</f>
        <v>0</v>
      </c>
      <c r="Y376">
        <f>'RESUMEN TOTAL'!AD381</f>
        <v>0</v>
      </c>
      <c r="Z376">
        <f>'RESUMEN TOTAL'!AE381</f>
        <v>0</v>
      </c>
      <c r="AA376">
        <f>'RESUMEN TOTAL'!AF381</f>
        <v>0</v>
      </c>
      <c r="AB376">
        <f>'RESUMEN TOTAL'!AG381</f>
        <v>0</v>
      </c>
      <c r="AC376">
        <f>'RESUMEN TOTAL'!AH381</f>
        <v>0</v>
      </c>
      <c r="AD376">
        <f>'RESUMEN TOTAL'!AI381</f>
        <v>0</v>
      </c>
      <c r="AE376">
        <f>'RESUMEN TOTAL'!AJ381</f>
        <v>0</v>
      </c>
      <c r="AF376">
        <f>'RESUMEN TOTAL'!AK381</f>
        <v>0</v>
      </c>
      <c r="AG376">
        <f>'RESUMEN TOTAL'!AL381</f>
        <v>0</v>
      </c>
      <c r="AH376">
        <f>'RESUMEN TOTAL'!AM381</f>
        <v>0</v>
      </c>
      <c r="AI376">
        <f>'RESUMEN TOTAL'!AN381</f>
        <v>0</v>
      </c>
    </row>
    <row r="377" spans="1:35" x14ac:dyDescent="0.3">
      <c r="A377" t="str">
        <f>'RESUMEN TOTAL'!A382</f>
        <v>VILLA VATTEONE CENTRO</v>
      </c>
      <c r="B377" t="str">
        <f>'RESUMEN TOTAL'!B382</f>
        <v>VAT13</v>
      </c>
      <c r="C377" t="str">
        <f>'RESUMEN TOTAL'!D382</f>
        <v>Av.12 de Octubre y Belgrano</v>
      </c>
      <c r="D377" t="str">
        <f>'RESUMEN TOTAL'!E382</f>
        <v>Domo</v>
      </c>
      <c r="E377" t="str">
        <f>'RESUMEN TOTAL'!F382</f>
        <v>PTO A FO</v>
      </c>
      <c r="F377" t="str">
        <f>'RESUMEN TOTAL'!K382</f>
        <v>APAGADO</v>
      </c>
      <c r="G377">
        <f>'RESUMEN TOTAL'!L382</f>
        <v>0</v>
      </c>
      <c r="H377">
        <f>'RESUMEN TOTAL'!M382</f>
        <v>0</v>
      </c>
      <c r="I377">
        <f>'RESUMEN TOTAL'!N382</f>
        <v>0</v>
      </c>
      <c r="J377">
        <f>'RESUMEN TOTAL'!O382</f>
        <v>0</v>
      </c>
      <c r="K377">
        <f>'RESUMEN TOTAL'!P382</f>
        <v>0</v>
      </c>
      <c r="L377">
        <f>'RESUMEN TOTAL'!Q382</f>
        <v>0</v>
      </c>
      <c r="M377">
        <f>'RESUMEN TOTAL'!R382</f>
        <v>0</v>
      </c>
      <c r="N377">
        <f>'RESUMEN TOTAL'!S382</f>
        <v>0</v>
      </c>
      <c r="O377">
        <f>'RESUMEN TOTAL'!T382</f>
        <v>0</v>
      </c>
      <c r="P377">
        <f>'RESUMEN TOTAL'!U382</f>
        <v>0</v>
      </c>
      <c r="Q377">
        <f>'RESUMEN TOTAL'!V382</f>
        <v>0</v>
      </c>
      <c r="R377">
        <f>'RESUMEN TOTAL'!W382</f>
        <v>0</v>
      </c>
      <c r="S377">
        <f>'RESUMEN TOTAL'!X382</f>
        <v>0</v>
      </c>
      <c r="T377">
        <f>'RESUMEN TOTAL'!Y382</f>
        <v>0</v>
      </c>
      <c r="U377">
        <f>'RESUMEN TOTAL'!Z382</f>
        <v>0</v>
      </c>
      <c r="V377">
        <f>'RESUMEN TOTAL'!AA382</f>
        <v>0</v>
      </c>
      <c r="W377">
        <f>'RESUMEN TOTAL'!AB382</f>
        <v>0</v>
      </c>
      <c r="X377">
        <f>'RESUMEN TOTAL'!AC382</f>
        <v>0</v>
      </c>
      <c r="Y377">
        <f>'RESUMEN TOTAL'!AD382</f>
        <v>0</v>
      </c>
      <c r="Z377">
        <f>'RESUMEN TOTAL'!AE382</f>
        <v>0</v>
      </c>
      <c r="AA377">
        <f>'RESUMEN TOTAL'!AF382</f>
        <v>0</v>
      </c>
      <c r="AB377">
        <f>'RESUMEN TOTAL'!AG382</f>
        <v>0</v>
      </c>
      <c r="AC377">
        <f>'RESUMEN TOTAL'!AH382</f>
        <v>0</v>
      </c>
      <c r="AD377">
        <f>'RESUMEN TOTAL'!AI382</f>
        <v>0</v>
      </c>
      <c r="AE377">
        <f>'RESUMEN TOTAL'!AJ382</f>
        <v>0</v>
      </c>
      <c r="AF377">
        <f>'RESUMEN TOTAL'!AK382</f>
        <v>0</v>
      </c>
      <c r="AG377">
        <f>'RESUMEN TOTAL'!AL382</f>
        <v>0</v>
      </c>
      <c r="AH377">
        <f>'RESUMEN TOTAL'!AM382</f>
        <v>0</v>
      </c>
      <c r="AI377">
        <f>'RESUMEN TOTAL'!AN382</f>
        <v>0</v>
      </c>
    </row>
    <row r="378" spans="1:35" x14ac:dyDescent="0.3">
      <c r="A378" t="str">
        <f>'RESUMEN TOTAL'!A383</f>
        <v>VILLA VATTEONE</v>
      </c>
      <c r="B378" t="str">
        <f>'RESUMEN TOTAL'!B383</f>
        <v>VAT 14</v>
      </c>
      <c r="C378" t="str">
        <f>'RESUMEN TOTAL'!D383</f>
        <v>FLORIDA Y MONTEVIDEO</v>
      </c>
      <c r="D378" t="str">
        <f>'RESUMEN TOTAL'!E383</f>
        <v>DOMO</v>
      </c>
      <c r="E378" t="str">
        <f>'RESUMEN TOTAL'!F383</f>
        <v>FIBRA OPTICA</v>
      </c>
      <c r="F378" t="str">
        <f>'RESUMEN TOTAL'!K383</f>
        <v>APAGADO</v>
      </c>
      <c r="G378">
        <f>'RESUMEN TOTAL'!L383</f>
        <v>0</v>
      </c>
      <c r="H378">
        <f>'RESUMEN TOTAL'!M383</f>
        <v>0</v>
      </c>
      <c r="I378">
        <f>'RESUMEN TOTAL'!N383</f>
        <v>0</v>
      </c>
      <c r="J378">
        <f>'RESUMEN TOTAL'!O383</f>
        <v>0</v>
      </c>
      <c r="K378">
        <f>'RESUMEN TOTAL'!P383</f>
        <v>0</v>
      </c>
      <c r="L378">
        <f>'RESUMEN TOTAL'!Q383</f>
        <v>0</v>
      </c>
      <c r="M378">
        <f>'RESUMEN TOTAL'!R383</f>
        <v>0</v>
      </c>
      <c r="N378">
        <f>'RESUMEN TOTAL'!S383</f>
        <v>0</v>
      </c>
      <c r="O378">
        <f>'RESUMEN TOTAL'!T383</f>
        <v>0</v>
      </c>
      <c r="P378">
        <f>'RESUMEN TOTAL'!U383</f>
        <v>0</v>
      </c>
      <c r="Q378">
        <f>'RESUMEN TOTAL'!V383</f>
        <v>0</v>
      </c>
      <c r="R378">
        <f>'RESUMEN TOTAL'!W383</f>
        <v>0</v>
      </c>
      <c r="S378">
        <f>'RESUMEN TOTAL'!X383</f>
        <v>0</v>
      </c>
      <c r="T378">
        <f>'RESUMEN TOTAL'!Y383</f>
        <v>0</v>
      </c>
      <c r="U378">
        <f>'RESUMEN TOTAL'!Z383</f>
        <v>0</v>
      </c>
      <c r="V378">
        <f>'RESUMEN TOTAL'!AA383</f>
        <v>0</v>
      </c>
      <c r="W378">
        <f>'RESUMEN TOTAL'!AB383</f>
        <v>0</v>
      </c>
      <c r="X378">
        <f>'RESUMEN TOTAL'!AC383</f>
        <v>0</v>
      </c>
      <c r="Y378">
        <f>'RESUMEN TOTAL'!AD383</f>
        <v>0</v>
      </c>
      <c r="Z378">
        <f>'RESUMEN TOTAL'!AE383</f>
        <v>0</v>
      </c>
      <c r="AA378">
        <f>'RESUMEN TOTAL'!AF383</f>
        <v>0</v>
      </c>
      <c r="AB378">
        <f>'RESUMEN TOTAL'!AG383</f>
        <v>0</v>
      </c>
      <c r="AC378">
        <f>'RESUMEN TOTAL'!AH383</f>
        <v>0</v>
      </c>
      <c r="AD378">
        <f>'RESUMEN TOTAL'!AI383</f>
        <v>0</v>
      </c>
      <c r="AE378">
        <f>'RESUMEN TOTAL'!AJ383</f>
        <v>0</v>
      </c>
      <c r="AF378">
        <f>'RESUMEN TOTAL'!AK383</f>
        <v>0</v>
      </c>
      <c r="AG378">
        <f>'RESUMEN TOTAL'!AL383</f>
        <v>0</v>
      </c>
      <c r="AH378">
        <f>'RESUMEN TOTAL'!AM383</f>
        <v>0</v>
      </c>
      <c r="AI378">
        <f>'RESUMEN TOTAL'!AN383</f>
        <v>0</v>
      </c>
    </row>
    <row r="379" spans="1:35" x14ac:dyDescent="0.3">
      <c r="A379" t="str">
        <f>'RESUMEN TOTAL'!A384</f>
        <v>VILLA VATTEONE</v>
      </c>
      <c r="B379" t="str">
        <f>'RESUMEN TOTAL'!B384</f>
        <v>VAT 15</v>
      </c>
      <c r="C379" t="str">
        <f>'RESUMEN TOTAL'!D384</f>
        <v>CORRIENTES Y VICENTE LOPEZ</v>
      </c>
      <c r="D379" t="str">
        <f>'RESUMEN TOTAL'!E384</f>
        <v>DOMO</v>
      </c>
      <c r="E379" t="str">
        <f>'RESUMEN TOTAL'!F384</f>
        <v>PTO A FO</v>
      </c>
      <c r="F379">
        <f>'RESUMEN TOTAL'!K384</f>
        <v>0</v>
      </c>
      <c r="G379">
        <f>'RESUMEN TOTAL'!L384</f>
        <v>0</v>
      </c>
      <c r="H379">
        <f>'RESUMEN TOTAL'!M384</f>
        <v>0</v>
      </c>
      <c r="I379">
        <f>'RESUMEN TOTAL'!N384</f>
        <v>0</v>
      </c>
      <c r="J379">
        <f>'RESUMEN TOTAL'!O384</f>
        <v>0</v>
      </c>
      <c r="K379">
        <f>'RESUMEN TOTAL'!P384</f>
        <v>0</v>
      </c>
      <c r="L379">
        <f>'RESUMEN TOTAL'!Q384</f>
        <v>0</v>
      </c>
      <c r="M379">
        <f>'RESUMEN TOTAL'!R384</f>
        <v>0</v>
      </c>
      <c r="N379">
        <f>'RESUMEN TOTAL'!S384</f>
        <v>0</v>
      </c>
      <c r="O379">
        <f>'RESUMEN TOTAL'!T384</f>
        <v>0</v>
      </c>
      <c r="P379">
        <f>'RESUMEN TOTAL'!U384</f>
        <v>0</v>
      </c>
      <c r="Q379">
        <f>'RESUMEN TOTAL'!V384</f>
        <v>0</v>
      </c>
      <c r="R379">
        <f>'RESUMEN TOTAL'!W384</f>
        <v>0</v>
      </c>
      <c r="S379">
        <f>'RESUMEN TOTAL'!X384</f>
        <v>0</v>
      </c>
      <c r="T379" t="str">
        <f>'RESUMEN TOTAL'!Y384</f>
        <v>APAGADO</v>
      </c>
      <c r="U379">
        <f>'RESUMEN TOTAL'!Z384</f>
        <v>0</v>
      </c>
      <c r="V379">
        <f>'RESUMEN TOTAL'!AA384</f>
        <v>0</v>
      </c>
      <c r="W379">
        <f>'RESUMEN TOTAL'!AB384</f>
        <v>0</v>
      </c>
      <c r="X379">
        <f>'RESUMEN TOTAL'!AC384</f>
        <v>0</v>
      </c>
      <c r="Y379">
        <f>'RESUMEN TOTAL'!AD384</f>
        <v>0</v>
      </c>
      <c r="Z379">
        <f>'RESUMEN TOTAL'!AE384</f>
        <v>0</v>
      </c>
      <c r="AA379">
        <f>'RESUMEN TOTAL'!AF384</f>
        <v>0</v>
      </c>
      <c r="AB379">
        <f>'RESUMEN TOTAL'!AG384</f>
        <v>0</v>
      </c>
      <c r="AC379">
        <f>'RESUMEN TOTAL'!AH384</f>
        <v>0</v>
      </c>
      <c r="AD379">
        <f>'RESUMEN TOTAL'!AI384</f>
        <v>0</v>
      </c>
      <c r="AE379">
        <f>'RESUMEN TOTAL'!AJ384</f>
        <v>0</v>
      </c>
      <c r="AF379">
        <f>'RESUMEN TOTAL'!AK384</f>
        <v>0</v>
      </c>
      <c r="AG379">
        <f>'RESUMEN TOTAL'!AL384</f>
        <v>0</v>
      </c>
      <c r="AH379">
        <f>'RESUMEN TOTAL'!AM384</f>
        <v>0</v>
      </c>
      <c r="AI379">
        <f>'RESUMEN TOTAL'!AN384</f>
        <v>0</v>
      </c>
    </row>
    <row r="380" spans="1:35" x14ac:dyDescent="0.3">
      <c r="A380" t="str">
        <f>'RESUMEN TOTAL'!A385</f>
        <v>VILLA VATTEONE</v>
      </c>
      <c r="B380" t="str">
        <f>'RESUMEN TOTAL'!B385</f>
        <v>VAT 16</v>
      </c>
      <c r="C380" t="str">
        <f>'RESUMEN TOTAL'!D385</f>
        <v>MONTEVIDEO Y CHACO</v>
      </c>
      <c r="D380" t="str">
        <f>'RESUMEN TOTAL'!E385</f>
        <v>DOMO</v>
      </c>
      <c r="E380" t="str">
        <f>'RESUMEN TOTAL'!F385</f>
        <v>PTO A FO</v>
      </c>
      <c r="F380">
        <f>'RESUMEN TOTAL'!K385</f>
        <v>0</v>
      </c>
      <c r="G380">
        <f>'RESUMEN TOTAL'!L385</f>
        <v>0</v>
      </c>
      <c r="H380">
        <f>'RESUMEN TOTAL'!M385</f>
        <v>0</v>
      </c>
      <c r="I380" t="str">
        <f>'RESUMEN TOTAL'!N385</f>
        <v>APAGADO</v>
      </c>
      <c r="J380" t="str">
        <f>'RESUMEN TOTAL'!O385</f>
        <v>APAGADO</v>
      </c>
      <c r="K380" t="str">
        <f>'RESUMEN TOTAL'!P385</f>
        <v>APAGADO</v>
      </c>
      <c r="L380">
        <f>'RESUMEN TOTAL'!Q385</f>
        <v>0</v>
      </c>
      <c r="M380">
        <f>'RESUMEN TOTAL'!R385</f>
        <v>0</v>
      </c>
      <c r="N380">
        <f>'RESUMEN TOTAL'!S385</f>
        <v>0</v>
      </c>
      <c r="O380">
        <f>'RESUMEN TOTAL'!T385</f>
        <v>0</v>
      </c>
      <c r="P380">
        <f>'RESUMEN TOTAL'!U385</f>
        <v>0</v>
      </c>
      <c r="Q380">
        <f>'RESUMEN TOTAL'!V385</f>
        <v>0</v>
      </c>
      <c r="R380">
        <f>'RESUMEN TOTAL'!W385</f>
        <v>0</v>
      </c>
      <c r="S380">
        <f>'RESUMEN TOTAL'!X385</f>
        <v>0</v>
      </c>
      <c r="T380">
        <f>'RESUMEN TOTAL'!Y385</f>
        <v>0</v>
      </c>
      <c r="U380">
        <f>'RESUMEN TOTAL'!Z385</f>
        <v>0</v>
      </c>
      <c r="V380">
        <f>'RESUMEN TOTAL'!AA385</f>
        <v>0</v>
      </c>
      <c r="W380">
        <f>'RESUMEN TOTAL'!AB385</f>
        <v>0</v>
      </c>
      <c r="X380">
        <f>'RESUMEN TOTAL'!AC385</f>
        <v>0</v>
      </c>
      <c r="Y380">
        <f>'RESUMEN TOTAL'!AD385</f>
        <v>0</v>
      </c>
      <c r="Z380">
        <f>'RESUMEN TOTAL'!AE385</f>
        <v>0</v>
      </c>
      <c r="AA380">
        <f>'RESUMEN TOTAL'!AF385</f>
        <v>0</v>
      </c>
      <c r="AB380">
        <f>'RESUMEN TOTAL'!AG385</f>
        <v>0</v>
      </c>
      <c r="AC380">
        <f>'RESUMEN TOTAL'!AH385</f>
        <v>0</v>
      </c>
      <c r="AD380">
        <f>'RESUMEN TOTAL'!AI385</f>
        <v>0</v>
      </c>
      <c r="AE380">
        <f>'RESUMEN TOTAL'!AJ385</f>
        <v>0</v>
      </c>
      <c r="AF380">
        <f>'RESUMEN TOTAL'!AK385</f>
        <v>0</v>
      </c>
      <c r="AG380">
        <f>'RESUMEN TOTAL'!AL385</f>
        <v>0</v>
      </c>
      <c r="AH380">
        <f>'RESUMEN TOTAL'!AM385</f>
        <v>0</v>
      </c>
      <c r="AI380">
        <f>'RESUMEN TOTAL'!AN385</f>
        <v>0</v>
      </c>
    </row>
    <row r="381" spans="1:35" x14ac:dyDescent="0.3">
      <c r="A381" t="str">
        <f>'RESUMEN TOTAL'!A386</f>
        <v>VILLA VATTEONE</v>
      </c>
      <c r="B381" t="str">
        <f>'RESUMEN TOTAL'!B386</f>
        <v>VAT 17</v>
      </c>
      <c r="C381" t="str">
        <f>'RESUMEN TOTAL'!D386</f>
        <v>CHAÑAR Y URUGUAY</v>
      </c>
      <c r="D381" t="str">
        <f>'RESUMEN TOTAL'!E386</f>
        <v>DOMO</v>
      </c>
      <c r="E381" t="str">
        <f>'RESUMEN TOTAL'!F386</f>
        <v>PTO A FO</v>
      </c>
      <c r="F381">
        <f>'RESUMEN TOTAL'!K386</f>
        <v>0</v>
      </c>
      <c r="G381">
        <f>'RESUMEN TOTAL'!L386</f>
        <v>0</v>
      </c>
      <c r="H381">
        <f>'RESUMEN TOTAL'!M386</f>
        <v>0</v>
      </c>
      <c r="I381">
        <f>'RESUMEN TOTAL'!N386</f>
        <v>0</v>
      </c>
      <c r="J381">
        <f>'RESUMEN TOTAL'!O386</f>
        <v>0</v>
      </c>
      <c r="K381">
        <f>'RESUMEN TOTAL'!P386</f>
        <v>0</v>
      </c>
      <c r="L381">
        <f>'RESUMEN TOTAL'!Q386</f>
        <v>0</v>
      </c>
      <c r="M381">
        <f>'RESUMEN TOTAL'!R386</f>
        <v>0</v>
      </c>
      <c r="N381">
        <f>'RESUMEN TOTAL'!S386</f>
        <v>0</v>
      </c>
      <c r="O381">
        <f>'RESUMEN TOTAL'!T386</f>
        <v>0</v>
      </c>
      <c r="P381">
        <f>'RESUMEN TOTAL'!U386</f>
        <v>0</v>
      </c>
      <c r="Q381">
        <f>'RESUMEN TOTAL'!V386</f>
        <v>0</v>
      </c>
      <c r="R381">
        <f>'RESUMEN TOTAL'!W386</f>
        <v>0</v>
      </c>
      <c r="S381">
        <f>'RESUMEN TOTAL'!X386</f>
        <v>0</v>
      </c>
      <c r="T381">
        <f>'RESUMEN TOTAL'!Y386</f>
        <v>0</v>
      </c>
      <c r="U381">
        <f>'RESUMEN TOTAL'!Z386</f>
        <v>0</v>
      </c>
      <c r="V381">
        <f>'RESUMEN TOTAL'!AA386</f>
        <v>0</v>
      </c>
      <c r="W381">
        <f>'RESUMEN TOTAL'!AB386</f>
        <v>0</v>
      </c>
      <c r="X381">
        <f>'RESUMEN TOTAL'!AC386</f>
        <v>0</v>
      </c>
      <c r="Y381">
        <f>'RESUMEN TOTAL'!AD386</f>
        <v>0</v>
      </c>
      <c r="Z381">
        <f>'RESUMEN TOTAL'!AE386</f>
        <v>0</v>
      </c>
      <c r="AA381">
        <f>'RESUMEN TOTAL'!AF386</f>
        <v>0</v>
      </c>
      <c r="AB381">
        <f>'RESUMEN TOTAL'!AG386</f>
        <v>0</v>
      </c>
      <c r="AC381">
        <f>'RESUMEN TOTAL'!AH386</f>
        <v>0</v>
      </c>
      <c r="AD381">
        <f>'RESUMEN TOTAL'!AI386</f>
        <v>0</v>
      </c>
      <c r="AE381">
        <f>'RESUMEN TOTAL'!AJ386</f>
        <v>0</v>
      </c>
      <c r="AF381">
        <f>'RESUMEN TOTAL'!AK386</f>
        <v>0</v>
      </c>
      <c r="AG381">
        <f>'RESUMEN TOTAL'!AL386</f>
        <v>0</v>
      </c>
      <c r="AH381">
        <f>'RESUMEN TOTAL'!AM386</f>
        <v>0</v>
      </c>
      <c r="AI381">
        <f>'RESUMEN TOTAL'!AN386</f>
        <v>0</v>
      </c>
    </row>
    <row r="382" spans="1:35" x14ac:dyDescent="0.3">
      <c r="A382" t="str">
        <f>'RESUMEN TOTAL'!A387</f>
        <v>VILLA VATTEONE CENTRO</v>
      </c>
      <c r="B382" t="str">
        <f>'RESUMEN TOTAL'!B387</f>
        <v>VAT18</v>
      </c>
      <c r="C382" t="str">
        <f>'RESUMEN TOTAL'!D387</f>
        <v>LAVALLE Y FONROUGE</v>
      </c>
      <c r="D382" t="str">
        <f>'RESUMEN TOTAL'!E387</f>
        <v>DOMO</v>
      </c>
      <c r="E382" t="str">
        <f>'RESUMEN TOTAL'!F387</f>
        <v>PTO A FO</v>
      </c>
      <c r="F382">
        <f>'RESUMEN TOTAL'!K387</f>
        <v>0</v>
      </c>
      <c r="G382">
        <f>'RESUMEN TOTAL'!L387</f>
        <v>0</v>
      </c>
      <c r="H382">
        <f>'RESUMEN TOTAL'!M387</f>
        <v>0</v>
      </c>
      <c r="I382">
        <f>'RESUMEN TOTAL'!N387</f>
        <v>0</v>
      </c>
      <c r="J382">
        <f>'RESUMEN TOTAL'!O387</f>
        <v>0</v>
      </c>
      <c r="K382">
        <f>'RESUMEN TOTAL'!P387</f>
        <v>0</v>
      </c>
      <c r="L382">
        <f>'RESUMEN TOTAL'!Q387</f>
        <v>0</v>
      </c>
      <c r="M382">
        <f>'RESUMEN TOTAL'!R387</f>
        <v>0</v>
      </c>
      <c r="N382">
        <f>'RESUMEN TOTAL'!S387</f>
        <v>0</v>
      </c>
      <c r="O382">
        <f>'RESUMEN TOTAL'!T387</f>
        <v>0</v>
      </c>
      <c r="P382">
        <f>'RESUMEN TOTAL'!U387</f>
        <v>0</v>
      </c>
      <c r="Q382">
        <f>'RESUMEN TOTAL'!V387</f>
        <v>0</v>
      </c>
      <c r="R382">
        <f>'RESUMEN TOTAL'!W387</f>
        <v>0</v>
      </c>
      <c r="S382">
        <f>'RESUMEN TOTAL'!X387</f>
        <v>0</v>
      </c>
      <c r="T382" t="str">
        <f>'RESUMEN TOTAL'!Y387</f>
        <v>APAGADO</v>
      </c>
      <c r="U382">
        <f>'RESUMEN TOTAL'!Z387</f>
        <v>0</v>
      </c>
      <c r="V382">
        <f>'RESUMEN TOTAL'!AA387</f>
        <v>0</v>
      </c>
      <c r="W382">
        <f>'RESUMEN TOTAL'!AB387</f>
        <v>0</v>
      </c>
      <c r="X382">
        <f>'RESUMEN TOTAL'!AC387</f>
        <v>0</v>
      </c>
      <c r="Y382">
        <f>'RESUMEN TOTAL'!AD387</f>
        <v>0</v>
      </c>
      <c r="Z382">
        <f>'RESUMEN TOTAL'!AE387</f>
        <v>0</v>
      </c>
      <c r="AA382">
        <f>'RESUMEN TOTAL'!AF387</f>
        <v>0</v>
      </c>
      <c r="AB382">
        <f>'RESUMEN TOTAL'!AG387</f>
        <v>0</v>
      </c>
      <c r="AC382">
        <f>'RESUMEN TOTAL'!AH387</f>
        <v>0</v>
      </c>
      <c r="AD382">
        <f>'RESUMEN TOTAL'!AI387</f>
        <v>0</v>
      </c>
      <c r="AE382">
        <f>'RESUMEN TOTAL'!AJ387</f>
        <v>0</v>
      </c>
      <c r="AF382">
        <f>'RESUMEN TOTAL'!AK387</f>
        <v>0</v>
      </c>
      <c r="AG382">
        <f>'RESUMEN TOTAL'!AL387</f>
        <v>0</v>
      </c>
      <c r="AH382">
        <f>'RESUMEN TOTAL'!AM387</f>
        <v>0</v>
      </c>
      <c r="AI382">
        <f>'RESUMEN TOTAL'!AN387</f>
        <v>0</v>
      </c>
    </row>
    <row r="383" spans="1:35" x14ac:dyDescent="0.3">
      <c r="A383" t="str">
        <f>'RESUMEN TOTAL'!A388</f>
        <v>VILLA VATTEONE CENTRO</v>
      </c>
      <c r="B383" t="str">
        <f>'RESUMEN TOTAL'!B388</f>
        <v>VAT19</v>
      </c>
      <c r="C383" t="str">
        <f>'RESUMEN TOTAL'!D388</f>
        <v>QUINTANA Y FONROUGE ( TUCUMAN )</v>
      </c>
      <c r="D383" t="str">
        <f>'RESUMEN TOTAL'!E388</f>
        <v>DOMO</v>
      </c>
      <c r="E383" t="str">
        <f>'RESUMEN TOTAL'!F388</f>
        <v>Radio</v>
      </c>
      <c r="F383">
        <f>'RESUMEN TOTAL'!K388</f>
        <v>0</v>
      </c>
      <c r="G383">
        <f>'RESUMEN TOTAL'!L388</f>
        <v>0</v>
      </c>
      <c r="H383">
        <f>'RESUMEN TOTAL'!M388</f>
        <v>0</v>
      </c>
      <c r="I383">
        <f>'RESUMEN TOTAL'!N388</f>
        <v>0</v>
      </c>
      <c r="J383">
        <f>'RESUMEN TOTAL'!O388</f>
        <v>0</v>
      </c>
      <c r="K383">
        <f>'RESUMEN TOTAL'!P388</f>
        <v>0</v>
      </c>
      <c r="L383">
        <f>'RESUMEN TOTAL'!Q388</f>
        <v>0</v>
      </c>
      <c r="M383">
        <f>'RESUMEN TOTAL'!R388</f>
        <v>0</v>
      </c>
      <c r="N383">
        <f>'RESUMEN TOTAL'!S388</f>
        <v>0</v>
      </c>
      <c r="O383">
        <f>'RESUMEN TOTAL'!T388</f>
        <v>0</v>
      </c>
      <c r="P383">
        <f>'RESUMEN TOTAL'!U388</f>
        <v>0</v>
      </c>
      <c r="Q383">
        <f>'RESUMEN TOTAL'!V388</f>
        <v>0</v>
      </c>
      <c r="R383">
        <f>'RESUMEN TOTAL'!W388</f>
        <v>0</v>
      </c>
      <c r="S383">
        <f>'RESUMEN TOTAL'!X388</f>
        <v>0</v>
      </c>
      <c r="T383">
        <f>'RESUMEN TOTAL'!Y388</f>
        <v>0</v>
      </c>
      <c r="U383">
        <f>'RESUMEN TOTAL'!Z388</f>
        <v>0</v>
      </c>
      <c r="V383">
        <f>'RESUMEN TOTAL'!AA388</f>
        <v>0</v>
      </c>
      <c r="W383">
        <f>'RESUMEN TOTAL'!AB388</f>
        <v>0</v>
      </c>
      <c r="X383">
        <f>'RESUMEN TOTAL'!AC388</f>
        <v>0</v>
      </c>
      <c r="Y383">
        <f>'RESUMEN TOTAL'!AD388</f>
        <v>0</v>
      </c>
      <c r="Z383">
        <f>'RESUMEN TOTAL'!AE388</f>
        <v>0</v>
      </c>
      <c r="AA383">
        <f>'RESUMEN TOTAL'!AF388</f>
        <v>0</v>
      </c>
      <c r="AB383">
        <f>'RESUMEN TOTAL'!AG388</f>
        <v>0</v>
      </c>
      <c r="AC383">
        <f>'RESUMEN TOTAL'!AH388</f>
        <v>0</v>
      </c>
      <c r="AD383">
        <f>'RESUMEN TOTAL'!AI388</f>
        <v>0</v>
      </c>
      <c r="AE383">
        <f>'RESUMEN TOTAL'!AJ388</f>
        <v>0</v>
      </c>
      <c r="AF383">
        <f>'RESUMEN TOTAL'!AK388</f>
        <v>0</v>
      </c>
      <c r="AG383">
        <f>'RESUMEN TOTAL'!AL388</f>
        <v>0</v>
      </c>
      <c r="AH383">
        <f>'RESUMEN TOTAL'!AM388</f>
        <v>0</v>
      </c>
      <c r="AI383">
        <f>'RESUMEN TOTAL'!AN388</f>
        <v>0</v>
      </c>
    </row>
    <row r="384" spans="1:35" x14ac:dyDescent="0.3">
      <c r="A384" t="str">
        <f>'RESUMEN TOTAL'!A389</f>
        <v>VILLA VATTEONE</v>
      </c>
      <c r="B384" t="str">
        <f>'RESUMEN TOTAL'!B389</f>
        <v>VAT 20</v>
      </c>
      <c r="C384" t="str">
        <f>'RESUMEN TOTAL'!D389</f>
        <v>URUGUAY Y PILCOMAYO</v>
      </c>
      <c r="D384" t="str">
        <f>'RESUMEN TOTAL'!E389</f>
        <v>FIJA</v>
      </c>
      <c r="E384" t="str">
        <f>'RESUMEN TOTAL'!F389</f>
        <v>Radio</v>
      </c>
      <c r="F384">
        <f>'RESUMEN TOTAL'!K389</f>
        <v>0</v>
      </c>
      <c r="G384">
        <f>'RESUMEN TOTAL'!L389</f>
        <v>0</v>
      </c>
      <c r="H384">
        <f>'RESUMEN TOTAL'!M389</f>
        <v>0</v>
      </c>
      <c r="I384">
        <f>'RESUMEN TOTAL'!N389</f>
        <v>0</v>
      </c>
      <c r="J384">
        <f>'RESUMEN TOTAL'!O389</f>
        <v>0</v>
      </c>
      <c r="K384">
        <f>'RESUMEN TOTAL'!P389</f>
        <v>0</v>
      </c>
      <c r="L384">
        <f>'RESUMEN TOTAL'!Q389</f>
        <v>0</v>
      </c>
      <c r="M384">
        <f>'RESUMEN TOTAL'!R389</f>
        <v>0</v>
      </c>
      <c r="N384">
        <f>'RESUMEN TOTAL'!S389</f>
        <v>0</v>
      </c>
      <c r="O384">
        <f>'RESUMEN TOTAL'!T389</f>
        <v>0</v>
      </c>
      <c r="P384">
        <f>'RESUMEN TOTAL'!U389</f>
        <v>0</v>
      </c>
      <c r="Q384">
        <f>'RESUMEN TOTAL'!V389</f>
        <v>0</v>
      </c>
      <c r="R384">
        <f>'RESUMEN TOTAL'!W389</f>
        <v>0</v>
      </c>
      <c r="S384">
        <f>'RESUMEN TOTAL'!X389</f>
        <v>0</v>
      </c>
      <c r="T384">
        <f>'RESUMEN TOTAL'!Y389</f>
        <v>0</v>
      </c>
      <c r="U384">
        <f>'RESUMEN TOTAL'!Z389</f>
        <v>0</v>
      </c>
      <c r="V384">
        <f>'RESUMEN TOTAL'!AA389</f>
        <v>0</v>
      </c>
      <c r="W384">
        <f>'RESUMEN TOTAL'!AB389</f>
        <v>0</v>
      </c>
      <c r="X384">
        <f>'RESUMEN TOTAL'!AC389</f>
        <v>0</v>
      </c>
      <c r="Y384">
        <f>'RESUMEN TOTAL'!AD389</f>
        <v>0</v>
      </c>
      <c r="Z384">
        <f>'RESUMEN TOTAL'!AE389</f>
        <v>0</v>
      </c>
      <c r="AA384">
        <f>'RESUMEN TOTAL'!AF389</f>
        <v>0</v>
      </c>
      <c r="AB384">
        <f>'RESUMEN TOTAL'!AG389</f>
        <v>0</v>
      </c>
      <c r="AC384">
        <f>'RESUMEN TOTAL'!AH389</f>
        <v>0</v>
      </c>
      <c r="AD384">
        <f>'RESUMEN TOTAL'!AI389</f>
        <v>0</v>
      </c>
      <c r="AE384">
        <f>'RESUMEN TOTAL'!AJ389</f>
        <v>0</v>
      </c>
      <c r="AF384">
        <f>'RESUMEN TOTAL'!AK389</f>
        <v>0</v>
      </c>
      <c r="AG384">
        <f>'RESUMEN TOTAL'!AL389</f>
        <v>0</v>
      </c>
      <c r="AH384">
        <f>'RESUMEN TOTAL'!AM389</f>
        <v>0</v>
      </c>
      <c r="AI384">
        <f>'RESUMEN TOTAL'!AN389</f>
        <v>0</v>
      </c>
    </row>
    <row r="385" spans="1:35" x14ac:dyDescent="0.3">
      <c r="A385" t="str">
        <f>'RESUMEN TOTAL'!A390</f>
        <v>VILLA VATTEONE CENTRO</v>
      </c>
      <c r="B385" t="str">
        <f>'RESUMEN TOTAL'!B390</f>
        <v>VAT 21 (fija 1)</v>
      </c>
      <c r="C385" t="str">
        <f>'RESUMEN TOTAL'!D390</f>
        <v>QUINTANA E/ BELGRANO Y FONROUGE</v>
      </c>
      <c r="D385" t="str">
        <f>'RESUMEN TOTAL'!E390</f>
        <v>Fija</v>
      </c>
      <c r="E385" t="str">
        <f>'RESUMEN TOTAL'!F390</f>
        <v>Fibra Optica</v>
      </c>
      <c r="F385">
        <f>'RESUMEN TOTAL'!K390</f>
        <v>0</v>
      </c>
      <c r="G385">
        <f>'RESUMEN TOTAL'!L390</f>
        <v>0</v>
      </c>
      <c r="H385">
        <f>'RESUMEN TOTAL'!M390</f>
        <v>0</v>
      </c>
      <c r="I385">
        <f>'RESUMEN TOTAL'!N390</f>
        <v>0</v>
      </c>
      <c r="J385">
        <f>'RESUMEN TOTAL'!O390</f>
        <v>0</v>
      </c>
      <c r="K385">
        <f>'RESUMEN TOTAL'!P390</f>
        <v>0</v>
      </c>
      <c r="L385">
        <f>'RESUMEN TOTAL'!Q390</f>
        <v>0</v>
      </c>
      <c r="M385">
        <f>'RESUMEN TOTAL'!R390</f>
        <v>0</v>
      </c>
      <c r="N385">
        <f>'RESUMEN TOTAL'!S390</f>
        <v>0</v>
      </c>
      <c r="O385">
        <f>'RESUMEN TOTAL'!T390</f>
        <v>0</v>
      </c>
      <c r="P385">
        <f>'RESUMEN TOTAL'!U390</f>
        <v>0</v>
      </c>
      <c r="Q385">
        <f>'RESUMEN TOTAL'!V390</f>
        <v>0</v>
      </c>
      <c r="R385">
        <f>'RESUMEN TOTAL'!W390</f>
        <v>0</v>
      </c>
      <c r="S385">
        <f>'RESUMEN TOTAL'!X390</f>
        <v>0</v>
      </c>
      <c r="T385" t="str">
        <f>'RESUMEN TOTAL'!Y390</f>
        <v>APAGADO</v>
      </c>
      <c r="U385">
        <f>'RESUMEN TOTAL'!Z390</f>
        <v>0</v>
      </c>
      <c r="V385">
        <f>'RESUMEN TOTAL'!AA390</f>
        <v>0</v>
      </c>
      <c r="W385">
        <f>'RESUMEN TOTAL'!AB390</f>
        <v>0</v>
      </c>
      <c r="X385">
        <f>'RESUMEN TOTAL'!AC390</f>
        <v>0</v>
      </c>
      <c r="Y385">
        <f>'RESUMEN TOTAL'!AD390</f>
        <v>0</v>
      </c>
      <c r="Z385">
        <f>'RESUMEN TOTAL'!AE390</f>
        <v>0</v>
      </c>
      <c r="AA385">
        <f>'RESUMEN TOTAL'!AF390</f>
        <v>0</v>
      </c>
      <c r="AB385">
        <f>'RESUMEN TOTAL'!AG390</f>
        <v>0</v>
      </c>
      <c r="AC385">
        <f>'RESUMEN TOTAL'!AH390</f>
        <v>0</v>
      </c>
      <c r="AD385">
        <f>'RESUMEN TOTAL'!AI390</f>
        <v>0</v>
      </c>
      <c r="AE385">
        <f>'RESUMEN TOTAL'!AJ390</f>
        <v>0</v>
      </c>
      <c r="AF385">
        <f>'RESUMEN TOTAL'!AK390</f>
        <v>0</v>
      </c>
      <c r="AG385">
        <f>'RESUMEN TOTAL'!AL390</f>
        <v>0</v>
      </c>
      <c r="AH385">
        <f>'RESUMEN TOTAL'!AM390</f>
        <v>0</v>
      </c>
      <c r="AI385">
        <f>'RESUMEN TOTAL'!AN390</f>
        <v>0</v>
      </c>
    </row>
    <row r="386" spans="1:35" x14ac:dyDescent="0.3">
      <c r="A386" t="str">
        <f>'RESUMEN TOTAL'!A391</f>
        <v>VILLA VATTEONE CENTRO</v>
      </c>
      <c r="B386" t="str">
        <f>'RESUMEN TOTAL'!B391</f>
        <v>VAT 22 (fija 2)</v>
      </c>
      <c r="C386" t="str">
        <f>'RESUMEN TOTAL'!D391</f>
        <v>QUINTANA E/ BELGRANO Y FONROUGE</v>
      </c>
      <c r="D386" t="str">
        <f>'RESUMEN TOTAL'!E391</f>
        <v>Fija</v>
      </c>
      <c r="E386" t="str">
        <f>'RESUMEN TOTAL'!F391</f>
        <v>Fibra Optica</v>
      </c>
      <c r="F386">
        <f>'RESUMEN TOTAL'!K391</f>
        <v>0</v>
      </c>
      <c r="G386">
        <f>'RESUMEN TOTAL'!L391</f>
        <v>0</v>
      </c>
      <c r="H386">
        <f>'RESUMEN TOTAL'!M391</f>
        <v>0</v>
      </c>
      <c r="I386">
        <f>'RESUMEN TOTAL'!N391</f>
        <v>0</v>
      </c>
      <c r="J386">
        <f>'RESUMEN TOTAL'!O391</f>
        <v>0</v>
      </c>
      <c r="K386">
        <f>'RESUMEN TOTAL'!P391</f>
        <v>0</v>
      </c>
      <c r="L386">
        <f>'RESUMEN TOTAL'!Q391</f>
        <v>0</v>
      </c>
      <c r="M386">
        <f>'RESUMEN TOTAL'!R391</f>
        <v>0</v>
      </c>
      <c r="N386">
        <f>'RESUMEN TOTAL'!S391</f>
        <v>0</v>
      </c>
      <c r="O386">
        <f>'RESUMEN TOTAL'!T391</f>
        <v>0</v>
      </c>
      <c r="P386">
        <f>'RESUMEN TOTAL'!U391</f>
        <v>0</v>
      </c>
      <c r="Q386">
        <f>'RESUMEN TOTAL'!V391</f>
        <v>0</v>
      </c>
      <c r="R386">
        <f>'RESUMEN TOTAL'!W391</f>
        <v>0</v>
      </c>
      <c r="S386">
        <f>'RESUMEN TOTAL'!X391</f>
        <v>0</v>
      </c>
      <c r="T386" t="str">
        <f>'RESUMEN TOTAL'!Y391</f>
        <v>APAGADO</v>
      </c>
      <c r="U386">
        <f>'RESUMEN TOTAL'!Z391</f>
        <v>0</v>
      </c>
      <c r="V386">
        <f>'RESUMEN TOTAL'!AA391</f>
        <v>0</v>
      </c>
      <c r="W386">
        <f>'RESUMEN TOTAL'!AB391</f>
        <v>0</v>
      </c>
      <c r="X386">
        <f>'RESUMEN TOTAL'!AC391</f>
        <v>0</v>
      </c>
      <c r="Y386">
        <f>'RESUMEN TOTAL'!AD391</f>
        <v>0</v>
      </c>
      <c r="Z386">
        <f>'RESUMEN TOTAL'!AE391</f>
        <v>0</v>
      </c>
      <c r="AA386">
        <f>'RESUMEN TOTAL'!AF391</f>
        <v>0</v>
      </c>
      <c r="AB386">
        <f>'RESUMEN TOTAL'!AG391</f>
        <v>0</v>
      </c>
      <c r="AC386">
        <f>'RESUMEN TOTAL'!AH391</f>
        <v>0</v>
      </c>
      <c r="AD386">
        <f>'RESUMEN TOTAL'!AI391</f>
        <v>0</v>
      </c>
      <c r="AE386">
        <f>'RESUMEN TOTAL'!AJ391</f>
        <v>0</v>
      </c>
      <c r="AF386">
        <f>'RESUMEN TOTAL'!AK391</f>
        <v>0</v>
      </c>
      <c r="AG386">
        <f>'RESUMEN TOTAL'!AL391</f>
        <v>0</v>
      </c>
      <c r="AH386">
        <f>'RESUMEN TOTAL'!AM391</f>
        <v>0</v>
      </c>
      <c r="AI386">
        <f>'RESUMEN TOTAL'!AN391</f>
        <v>0</v>
      </c>
    </row>
    <row r="387" spans="1:35" x14ac:dyDescent="0.3">
      <c r="A387" t="str">
        <f>'RESUMEN TOTAL'!A392</f>
        <v>VILLA VATTEONE CENTRO</v>
      </c>
      <c r="B387" t="str">
        <f>'RESUMEN TOTAL'!B392</f>
        <v>VAT23 (fija 1)</v>
      </c>
      <c r="C387" t="str">
        <f>'RESUMEN TOTAL'!D392</f>
        <v>EVA PERON Y "EL TUNEL" (BAJO NIVEL)</v>
      </c>
      <c r="D387" t="str">
        <f>'RESUMEN TOTAL'!E392</f>
        <v>Fija</v>
      </c>
      <c r="E387" t="str">
        <f>'RESUMEN TOTAL'!F392</f>
        <v>Fibra Optica</v>
      </c>
      <c r="F387">
        <f>'RESUMEN TOTAL'!K392</f>
        <v>0</v>
      </c>
      <c r="G387">
        <f>'RESUMEN TOTAL'!L392</f>
        <v>0</v>
      </c>
      <c r="H387">
        <f>'RESUMEN TOTAL'!M392</f>
        <v>0</v>
      </c>
      <c r="I387">
        <f>'RESUMEN TOTAL'!N392</f>
        <v>0</v>
      </c>
      <c r="J387" t="str">
        <f>'RESUMEN TOTAL'!O392</f>
        <v>APAGADO</v>
      </c>
      <c r="K387" t="str">
        <f>'RESUMEN TOTAL'!P392</f>
        <v>APAGADO</v>
      </c>
      <c r="L387" t="str">
        <f>'RESUMEN TOTAL'!Q392</f>
        <v>APAGADO</v>
      </c>
      <c r="M387">
        <f>'RESUMEN TOTAL'!R392</f>
        <v>0</v>
      </c>
      <c r="N387" t="str">
        <f>'RESUMEN TOTAL'!S392</f>
        <v>APAGADO</v>
      </c>
      <c r="O387" t="str">
        <f>'RESUMEN TOTAL'!T392</f>
        <v>APAGADO</v>
      </c>
      <c r="P387" t="str">
        <f>'RESUMEN TOTAL'!U392</f>
        <v>APAGADO</v>
      </c>
      <c r="Q387">
        <f>'RESUMEN TOTAL'!V392</f>
        <v>0</v>
      </c>
      <c r="R387">
        <f>'RESUMEN TOTAL'!W392</f>
        <v>0</v>
      </c>
      <c r="S387" t="str">
        <f>'RESUMEN TOTAL'!X392</f>
        <v>APAGADO</v>
      </c>
      <c r="T387">
        <f>'RESUMEN TOTAL'!Y392</f>
        <v>0</v>
      </c>
      <c r="U387">
        <f>'RESUMEN TOTAL'!Z392</f>
        <v>0</v>
      </c>
      <c r="V387" t="str">
        <f>'RESUMEN TOTAL'!AA392</f>
        <v>APAGADO</v>
      </c>
      <c r="W387" t="str">
        <f>'RESUMEN TOTAL'!AB392</f>
        <v>APAGADO</v>
      </c>
      <c r="X387" t="str">
        <f>'RESUMEN TOTAL'!AC392</f>
        <v>APAGADO</v>
      </c>
      <c r="Y387">
        <f>'RESUMEN TOTAL'!AD392</f>
        <v>0</v>
      </c>
      <c r="Z387">
        <f>'RESUMEN TOTAL'!AE392</f>
        <v>0</v>
      </c>
      <c r="AA387">
        <f>'RESUMEN TOTAL'!AF392</f>
        <v>0</v>
      </c>
      <c r="AB387">
        <f>'RESUMEN TOTAL'!AG392</f>
        <v>0</v>
      </c>
      <c r="AC387">
        <f>'RESUMEN TOTAL'!AH392</f>
        <v>0</v>
      </c>
      <c r="AD387">
        <f>'RESUMEN TOTAL'!AI392</f>
        <v>0</v>
      </c>
      <c r="AE387">
        <f>'RESUMEN TOTAL'!AJ392</f>
        <v>0</v>
      </c>
      <c r="AF387">
        <f>'RESUMEN TOTAL'!AK392</f>
        <v>0</v>
      </c>
      <c r="AG387">
        <f>'RESUMEN TOTAL'!AL392</f>
        <v>0</v>
      </c>
      <c r="AH387">
        <f>'RESUMEN TOTAL'!AM392</f>
        <v>0</v>
      </c>
      <c r="AI387">
        <f>'RESUMEN TOTAL'!AN392</f>
        <v>0</v>
      </c>
    </row>
    <row r="388" spans="1:35" x14ac:dyDescent="0.3">
      <c r="A388" t="str">
        <f>'RESUMEN TOTAL'!A393</f>
        <v>VILLA VATTEONE CENTRO</v>
      </c>
      <c r="B388" t="str">
        <f>'RESUMEN TOTAL'!B393</f>
        <v>VAT24 (fija 2)</v>
      </c>
      <c r="C388" t="str">
        <f>'RESUMEN TOTAL'!D393</f>
        <v>EVA PERON Y "EL TUNEL" (BAJO NIVEL)</v>
      </c>
      <c r="D388" t="str">
        <f>'RESUMEN TOTAL'!E393</f>
        <v>Fija</v>
      </c>
      <c r="E388" t="str">
        <f>'RESUMEN TOTAL'!F393</f>
        <v>Fibra Optica</v>
      </c>
      <c r="F388">
        <f>'RESUMEN TOTAL'!K393</f>
        <v>0</v>
      </c>
      <c r="G388">
        <f>'RESUMEN TOTAL'!L393</f>
        <v>0</v>
      </c>
      <c r="H388">
        <f>'RESUMEN TOTAL'!M393</f>
        <v>0</v>
      </c>
      <c r="I388">
        <f>'RESUMEN TOTAL'!N393</f>
        <v>0</v>
      </c>
      <c r="J388" t="str">
        <f>'RESUMEN TOTAL'!O393</f>
        <v>APAGADO</v>
      </c>
      <c r="K388" t="str">
        <f>'RESUMEN TOTAL'!P393</f>
        <v>APAGADO</v>
      </c>
      <c r="L388" t="str">
        <f>'RESUMEN TOTAL'!Q393</f>
        <v>APAGADO</v>
      </c>
      <c r="M388">
        <f>'RESUMEN TOTAL'!R393</f>
        <v>0</v>
      </c>
      <c r="N388" t="str">
        <f>'RESUMEN TOTAL'!S393</f>
        <v>APAGADO</v>
      </c>
      <c r="O388" t="str">
        <f>'RESUMEN TOTAL'!T393</f>
        <v>APAGADO</v>
      </c>
      <c r="P388" t="str">
        <f>'RESUMEN TOTAL'!U393</f>
        <v>APAGADO</v>
      </c>
      <c r="Q388">
        <f>'RESUMEN TOTAL'!V393</f>
        <v>0</v>
      </c>
      <c r="R388">
        <f>'RESUMEN TOTAL'!W393</f>
        <v>0</v>
      </c>
      <c r="S388" t="str">
        <f>'RESUMEN TOTAL'!X393</f>
        <v>APAGADO</v>
      </c>
      <c r="T388">
        <f>'RESUMEN TOTAL'!Y393</f>
        <v>0</v>
      </c>
      <c r="U388">
        <f>'RESUMEN TOTAL'!Z393</f>
        <v>0</v>
      </c>
      <c r="V388" t="str">
        <f>'RESUMEN TOTAL'!AA393</f>
        <v>APAGADO</v>
      </c>
      <c r="W388" t="str">
        <f>'RESUMEN TOTAL'!AB393</f>
        <v>APAGADO</v>
      </c>
      <c r="X388" t="str">
        <f>'RESUMEN TOTAL'!AC393</f>
        <v>APAGADO</v>
      </c>
      <c r="Y388">
        <f>'RESUMEN TOTAL'!AD393</f>
        <v>0</v>
      </c>
      <c r="Z388">
        <f>'RESUMEN TOTAL'!AE393</f>
        <v>0</v>
      </c>
      <c r="AA388">
        <f>'RESUMEN TOTAL'!AF393</f>
        <v>0</v>
      </c>
      <c r="AB388">
        <f>'RESUMEN TOTAL'!AG393</f>
        <v>0</v>
      </c>
      <c r="AC388">
        <f>'RESUMEN TOTAL'!AH393</f>
        <v>0</v>
      </c>
      <c r="AD388">
        <f>'RESUMEN TOTAL'!AI393</f>
        <v>0</v>
      </c>
      <c r="AE388">
        <f>'RESUMEN TOTAL'!AJ393</f>
        <v>0</v>
      </c>
      <c r="AF388">
        <f>'RESUMEN TOTAL'!AK393</f>
        <v>0</v>
      </c>
      <c r="AG388">
        <f>'RESUMEN TOTAL'!AL393</f>
        <v>0</v>
      </c>
      <c r="AH388">
        <f>'RESUMEN TOTAL'!AM393</f>
        <v>0</v>
      </c>
      <c r="AI388">
        <f>'RESUMEN TOTAL'!AN393</f>
        <v>0</v>
      </c>
    </row>
    <row r="389" spans="1:35" x14ac:dyDescent="0.3">
      <c r="A389" t="str">
        <f>'RESUMEN TOTAL'!A394</f>
        <v>VILLA VATTEONE CENTRO</v>
      </c>
      <c r="B389" t="str">
        <f>'RESUMEN TOTAL'!B394</f>
        <v>VAT 25</v>
      </c>
      <c r="C389" t="str">
        <f>'RESUMEN TOTAL'!D394</f>
        <v>Mainini y Uruguay</v>
      </c>
      <c r="D389" t="str">
        <f>'RESUMEN TOTAL'!E394</f>
        <v>Fija</v>
      </c>
      <c r="E389" t="str">
        <f>'RESUMEN TOTAL'!F394</f>
        <v>Fibra Optica</v>
      </c>
      <c r="F389" t="str">
        <f>'RESUMEN TOTAL'!K394</f>
        <v>APAGADO</v>
      </c>
      <c r="G389">
        <f>'RESUMEN TOTAL'!L394</f>
        <v>0</v>
      </c>
      <c r="H389">
        <f>'RESUMEN TOTAL'!M394</f>
        <v>0</v>
      </c>
      <c r="I389">
        <f>'RESUMEN TOTAL'!N394</f>
        <v>0</v>
      </c>
      <c r="J389">
        <f>'RESUMEN TOTAL'!O394</f>
        <v>0</v>
      </c>
      <c r="K389">
        <f>'RESUMEN TOTAL'!P394</f>
        <v>0</v>
      </c>
      <c r="L389">
        <f>'RESUMEN TOTAL'!Q394</f>
        <v>0</v>
      </c>
      <c r="M389">
        <f>'RESUMEN TOTAL'!R394</f>
        <v>0</v>
      </c>
      <c r="N389">
        <f>'RESUMEN TOTAL'!S394</f>
        <v>0</v>
      </c>
      <c r="O389">
        <f>'RESUMEN TOTAL'!T394</f>
        <v>0</v>
      </c>
      <c r="P389">
        <f>'RESUMEN TOTAL'!U394</f>
        <v>0</v>
      </c>
      <c r="Q389">
        <f>'RESUMEN TOTAL'!V394</f>
        <v>0</v>
      </c>
      <c r="R389">
        <f>'RESUMEN TOTAL'!W394</f>
        <v>0</v>
      </c>
      <c r="S389">
        <f>'RESUMEN TOTAL'!X394</f>
        <v>0</v>
      </c>
      <c r="T389">
        <f>'RESUMEN TOTAL'!Y394</f>
        <v>0</v>
      </c>
      <c r="U389">
        <f>'RESUMEN TOTAL'!Z394</f>
        <v>0</v>
      </c>
      <c r="V389">
        <f>'RESUMEN TOTAL'!AA394</f>
        <v>0</v>
      </c>
      <c r="W389">
        <f>'RESUMEN TOTAL'!AB394</f>
        <v>0</v>
      </c>
      <c r="X389">
        <f>'RESUMEN TOTAL'!AC394</f>
        <v>0</v>
      </c>
      <c r="Y389">
        <f>'RESUMEN TOTAL'!AD394</f>
        <v>0</v>
      </c>
      <c r="Z389">
        <f>'RESUMEN TOTAL'!AE394</f>
        <v>0</v>
      </c>
      <c r="AA389">
        <f>'RESUMEN TOTAL'!AF394</f>
        <v>0</v>
      </c>
      <c r="AB389">
        <f>'RESUMEN TOTAL'!AG394</f>
        <v>0</v>
      </c>
      <c r="AC389">
        <f>'RESUMEN TOTAL'!AH394</f>
        <v>0</v>
      </c>
      <c r="AD389">
        <f>'RESUMEN TOTAL'!AI394</f>
        <v>0</v>
      </c>
      <c r="AE389">
        <f>'RESUMEN TOTAL'!AJ394</f>
        <v>0</v>
      </c>
      <c r="AF389">
        <f>'RESUMEN TOTAL'!AK394</f>
        <v>0</v>
      </c>
      <c r="AG389">
        <f>'RESUMEN TOTAL'!AL394</f>
        <v>0</v>
      </c>
      <c r="AH389">
        <f>'RESUMEN TOTAL'!AM394</f>
        <v>0</v>
      </c>
      <c r="AI389">
        <f>'RESUMEN TOTAL'!AN394</f>
        <v>0</v>
      </c>
    </row>
    <row r="390" spans="1:35" x14ac:dyDescent="0.3">
      <c r="A390" t="str">
        <f>'RESUMEN TOTAL'!A395</f>
        <v>VILLA VATTEONE CENTRO</v>
      </c>
      <c r="B390" t="str">
        <f>'RESUMEN TOTAL'!B395</f>
        <v>VAT 26</v>
      </c>
      <c r="C390" t="str">
        <f>'RESUMEN TOTAL'!D395</f>
        <v>Mainini y Uruguay</v>
      </c>
      <c r="D390" t="str">
        <f>'RESUMEN TOTAL'!E395</f>
        <v>fija</v>
      </c>
      <c r="E390" t="str">
        <f>'RESUMEN TOTAL'!F395</f>
        <v>Fibra Optica</v>
      </c>
      <c r="F390" t="str">
        <f>'RESUMEN TOTAL'!K395</f>
        <v>APAGADO</v>
      </c>
      <c r="G390">
        <f>'RESUMEN TOTAL'!L395</f>
        <v>0</v>
      </c>
      <c r="H390">
        <f>'RESUMEN TOTAL'!M395</f>
        <v>0</v>
      </c>
      <c r="I390">
        <f>'RESUMEN TOTAL'!N395</f>
        <v>0</v>
      </c>
      <c r="J390">
        <f>'RESUMEN TOTAL'!O395</f>
        <v>0</v>
      </c>
      <c r="K390">
        <f>'RESUMEN TOTAL'!P395</f>
        <v>0</v>
      </c>
      <c r="L390">
        <f>'RESUMEN TOTAL'!Q395</f>
        <v>0</v>
      </c>
      <c r="M390">
        <f>'RESUMEN TOTAL'!R395</f>
        <v>0</v>
      </c>
      <c r="N390">
        <f>'RESUMEN TOTAL'!S395</f>
        <v>0</v>
      </c>
      <c r="O390">
        <f>'RESUMEN TOTAL'!T395</f>
        <v>0</v>
      </c>
      <c r="P390">
        <f>'RESUMEN TOTAL'!U395</f>
        <v>0</v>
      </c>
      <c r="Q390">
        <f>'RESUMEN TOTAL'!V395</f>
        <v>0</v>
      </c>
      <c r="R390">
        <f>'RESUMEN TOTAL'!W395</f>
        <v>0</v>
      </c>
      <c r="S390">
        <f>'RESUMEN TOTAL'!X395</f>
        <v>0</v>
      </c>
      <c r="T390">
        <f>'RESUMEN TOTAL'!Y395</f>
        <v>0</v>
      </c>
      <c r="U390">
        <f>'RESUMEN TOTAL'!Z395</f>
        <v>0</v>
      </c>
      <c r="V390">
        <f>'RESUMEN TOTAL'!AA395</f>
        <v>0</v>
      </c>
      <c r="W390">
        <f>'RESUMEN TOTAL'!AB395</f>
        <v>0</v>
      </c>
      <c r="X390">
        <f>'RESUMEN TOTAL'!AC395</f>
        <v>0</v>
      </c>
      <c r="Y390">
        <f>'RESUMEN TOTAL'!AD395</f>
        <v>0</v>
      </c>
      <c r="Z390">
        <f>'RESUMEN TOTAL'!AE395</f>
        <v>0</v>
      </c>
      <c r="AA390">
        <f>'RESUMEN TOTAL'!AF395</f>
        <v>0</v>
      </c>
      <c r="AB390">
        <f>'RESUMEN TOTAL'!AG395</f>
        <v>0</v>
      </c>
      <c r="AC390">
        <f>'RESUMEN TOTAL'!AH395</f>
        <v>0</v>
      </c>
      <c r="AD390">
        <f>'RESUMEN TOTAL'!AI395</f>
        <v>0</v>
      </c>
      <c r="AE390">
        <f>'RESUMEN TOTAL'!AJ395</f>
        <v>0</v>
      </c>
      <c r="AF390">
        <f>'RESUMEN TOTAL'!AK395</f>
        <v>0</v>
      </c>
      <c r="AG390">
        <f>'RESUMEN TOTAL'!AL395</f>
        <v>0</v>
      </c>
      <c r="AH390">
        <f>'RESUMEN TOTAL'!AM395</f>
        <v>0</v>
      </c>
      <c r="AI390">
        <f>'RESUMEN TOTAL'!AN395</f>
        <v>0</v>
      </c>
    </row>
    <row r="391" spans="1:35" x14ac:dyDescent="0.3">
      <c r="A391" t="str">
        <f>'RESUMEN TOTAL'!A397</f>
        <v>VILLA AURORA</v>
      </c>
      <c r="B391" t="str">
        <f>'RESUMEN TOTAL'!B397</f>
        <v>VAU 01</v>
      </c>
      <c r="C391" t="str">
        <f>'RESUMEN TOTAL'!D397</f>
        <v>San Martin y Monteverde</v>
      </c>
      <c r="D391" t="str">
        <f>'RESUMEN TOTAL'!E397</f>
        <v>Domo</v>
      </c>
      <c r="E391" t="str">
        <f>'RESUMEN TOTAL'!F397</f>
        <v>Fibra Optica</v>
      </c>
      <c r="F391">
        <f>'RESUMEN TOTAL'!K397</f>
        <v>0</v>
      </c>
      <c r="G391">
        <f>'RESUMEN TOTAL'!L397</f>
        <v>0</v>
      </c>
      <c r="H391">
        <f>'RESUMEN TOTAL'!M397</f>
        <v>0</v>
      </c>
      <c r="I391">
        <f>'RESUMEN TOTAL'!N397</f>
        <v>0</v>
      </c>
      <c r="J391">
        <f>'RESUMEN TOTAL'!O397</f>
        <v>0</v>
      </c>
      <c r="K391">
        <f>'RESUMEN TOTAL'!P397</f>
        <v>0</v>
      </c>
      <c r="L391">
        <f>'RESUMEN TOTAL'!Q397</f>
        <v>0</v>
      </c>
      <c r="M391">
        <f>'RESUMEN TOTAL'!R397</f>
        <v>0</v>
      </c>
      <c r="N391">
        <f>'RESUMEN TOTAL'!S397</f>
        <v>0</v>
      </c>
      <c r="O391">
        <f>'RESUMEN TOTAL'!T397</f>
        <v>0</v>
      </c>
      <c r="P391">
        <f>'RESUMEN TOTAL'!U397</f>
        <v>0</v>
      </c>
      <c r="Q391">
        <f>'RESUMEN TOTAL'!V397</f>
        <v>0</v>
      </c>
      <c r="R391">
        <f>'RESUMEN TOTAL'!W397</f>
        <v>0</v>
      </c>
      <c r="S391">
        <f>'RESUMEN TOTAL'!X397</f>
        <v>0</v>
      </c>
      <c r="T391">
        <f>'RESUMEN TOTAL'!Y397</f>
        <v>0</v>
      </c>
      <c r="U391">
        <f>'RESUMEN TOTAL'!Z397</f>
        <v>0</v>
      </c>
      <c r="V391">
        <f>'RESUMEN TOTAL'!AA397</f>
        <v>0</v>
      </c>
      <c r="W391">
        <f>'RESUMEN TOTAL'!AB397</f>
        <v>0</v>
      </c>
      <c r="X391">
        <f>'RESUMEN TOTAL'!AC397</f>
        <v>0</v>
      </c>
      <c r="Y391">
        <f>'RESUMEN TOTAL'!AD397</f>
        <v>0</v>
      </c>
      <c r="Z391">
        <f>'RESUMEN TOTAL'!AE397</f>
        <v>0</v>
      </c>
      <c r="AA391">
        <f>'RESUMEN TOTAL'!AF397</f>
        <v>0</v>
      </c>
      <c r="AB391">
        <f>'RESUMEN TOTAL'!AG397</f>
        <v>0</v>
      </c>
      <c r="AC391">
        <f>'RESUMEN TOTAL'!AH397</f>
        <v>0</v>
      </c>
      <c r="AD391">
        <f>'RESUMEN TOTAL'!AI397</f>
        <v>0</v>
      </c>
      <c r="AE391">
        <f>'RESUMEN TOTAL'!AJ397</f>
        <v>0</v>
      </c>
      <c r="AF391">
        <f>'RESUMEN TOTAL'!AK397</f>
        <v>0</v>
      </c>
      <c r="AG391">
        <f>'RESUMEN TOTAL'!AL397</f>
        <v>0</v>
      </c>
      <c r="AH391">
        <f>'RESUMEN TOTAL'!AM397</f>
        <v>0</v>
      </c>
      <c r="AI391">
        <f>'RESUMEN TOTAL'!AN397</f>
        <v>0</v>
      </c>
    </row>
    <row r="392" spans="1:35" x14ac:dyDescent="0.3">
      <c r="A392" t="str">
        <f>'RESUMEN TOTAL'!A398</f>
        <v>SAN EMILIO</v>
      </c>
      <c r="B392" t="str">
        <f>'RESUMEN TOTAL'!B398</f>
        <v>VAU 02</v>
      </c>
      <c r="C392" t="str">
        <f>'RESUMEN TOTAL'!D398</f>
        <v>San Martin y Lope de Vega</v>
      </c>
      <c r="D392" t="str">
        <f>'RESUMEN TOTAL'!E398</f>
        <v>Domo</v>
      </c>
      <c r="E392" t="str">
        <f>'RESUMEN TOTAL'!F398</f>
        <v>Fibra Optica</v>
      </c>
      <c r="F392">
        <f>'RESUMEN TOTAL'!K398</f>
        <v>0</v>
      </c>
      <c r="G392">
        <f>'RESUMEN TOTAL'!L398</f>
        <v>0</v>
      </c>
      <c r="H392">
        <f>'RESUMEN TOTAL'!M398</f>
        <v>0</v>
      </c>
      <c r="I392">
        <f>'RESUMEN TOTAL'!N398</f>
        <v>0</v>
      </c>
      <c r="J392">
        <f>'RESUMEN TOTAL'!O398</f>
        <v>0</v>
      </c>
      <c r="K392">
        <f>'RESUMEN TOTAL'!P398</f>
        <v>0</v>
      </c>
      <c r="L392">
        <f>'RESUMEN TOTAL'!Q398</f>
        <v>0</v>
      </c>
      <c r="M392">
        <f>'RESUMEN TOTAL'!R398</f>
        <v>0</v>
      </c>
      <c r="N392">
        <f>'RESUMEN TOTAL'!S398</f>
        <v>0</v>
      </c>
      <c r="O392">
        <f>'RESUMEN TOTAL'!T398</f>
        <v>0</v>
      </c>
      <c r="P392">
        <f>'RESUMEN TOTAL'!U398</f>
        <v>0</v>
      </c>
      <c r="Q392">
        <f>'RESUMEN TOTAL'!V398</f>
        <v>0</v>
      </c>
      <c r="R392">
        <f>'RESUMEN TOTAL'!W398</f>
        <v>0</v>
      </c>
      <c r="S392">
        <f>'RESUMEN TOTAL'!X398</f>
        <v>0</v>
      </c>
      <c r="T392">
        <f>'RESUMEN TOTAL'!Y398</f>
        <v>0</v>
      </c>
      <c r="U392">
        <f>'RESUMEN TOTAL'!Z398</f>
        <v>0</v>
      </c>
      <c r="V392">
        <f>'RESUMEN TOTAL'!AA398</f>
        <v>0</v>
      </c>
      <c r="W392">
        <f>'RESUMEN TOTAL'!AB398</f>
        <v>0</v>
      </c>
      <c r="X392">
        <f>'RESUMEN TOTAL'!AC398</f>
        <v>0</v>
      </c>
      <c r="Y392">
        <f>'RESUMEN TOTAL'!AD398</f>
        <v>0</v>
      </c>
      <c r="Z392">
        <f>'RESUMEN TOTAL'!AE398</f>
        <v>0</v>
      </c>
      <c r="AA392">
        <f>'RESUMEN TOTAL'!AF398</f>
        <v>0</v>
      </c>
      <c r="AB392">
        <f>'RESUMEN TOTAL'!AG398</f>
        <v>0</v>
      </c>
      <c r="AC392">
        <f>'RESUMEN TOTAL'!AH398</f>
        <v>0</v>
      </c>
      <c r="AD392">
        <f>'RESUMEN TOTAL'!AI398</f>
        <v>0</v>
      </c>
      <c r="AE392">
        <f>'RESUMEN TOTAL'!AJ398</f>
        <v>0</v>
      </c>
      <c r="AF392">
        <f>'RESUMEN TOTAL'!AK398</f>
        <v>0</v>
      </c>
      <c r="AG392">
        <f>'RESUMEN TOTAL'!AL398</f>
        <v>0</v>
      </c>
      <c r="AH392">
        <f>'RESUMEN TOTAL'!AM398</f>
        <v>0</v>
      </c>
      <c r="AI392">
        <f>'RESUMEN TOTAL'!AN398</f>
        <v>0</v>
      </c>
    </row>
    <row r="393" spans="1:35" x14ac:dyDescent="0.3">
      <c r="A393" t="str">
        <f>'RESUMEN TOTAL'!A399</f>
        <v>VILLA AURORA</v>
      </c>
      <c r="B393" t="str">
        <f>'RESUMEN TOTAL'!B399</f>
        <v>VAU03 (fija 1)</v>
      </c>
      <c r="C393" t="str">
        <f>'RESUMEN TOTAL'!D399</f>
        <v>PIZZURNO Y NUESTRAS MALVINAS</v>
      </c>
      <c r="D393" t="str">
        <f>'RESUMEN TOTAL'!E399</f>
        <v>Fija</v>
      </c>
      <c r="E393" t="str">
        <f>'RESUMEN TOTAL'!F399</f>
        <v>Fibra Optica</v>
      </c>
      <c r="F393">
        <f>'RESUMEN TOTAL'!K399</f>
        <v>0</v>
      </c>
      <c r="G393">
        <f>'RESUMEN TOTAL'!L399</f>
        <v>0</v>
      </c>
      <c r="H393">
        <f>'RESUMEN TOTAL'!M399</f>
        <v>0</v>
      </c>
      <c r="I393">
        <f>'RESUMEN TOTAL'!N399</f>
        <v>0</v>
      </c>
      <c r="J393">
        <f>'RESUMEN TOTAL'!O399</f>
        <v>0</v>
      </c>
      <c r="K393">
        <f>'RESUMEN TOTAL'!P399</f>
        <v>0</v>
      </c>
      <c r="L393">
        <f>'RESUMEN TOTAL'!Q399</f>
        <v>0</v>
      </c>
      <c r="M393">
        <f>'RESUMEN TOTAL'!R399</f>
        <v>0</v>
      </c>
      <c r="N393">
        <f>'RESUMEN TOTAL'!S399</f>
        <v>0</v>
      </c>
      <c r="O393">
        <f>'RESUMEN TOTAL'!T399</f>
        <v>0</v>
      </c>
      <c r="P393">
        <f>'RESUMEN TOTAL'!U399</f>
        <v>0</v>
      </c>
      <c r="Q393">
        <f>'RESUMEN TOTAL'!V399</f>
        <v>0</v>
      </c>
      <c r="R393">
        <f>'RESUMEN TOTAL'!W399</f>
        <v>0</v>
      </c>
      <c r="S393">
        <f>'RESUMEN TOTAL'!X399</f>
        <v>0</v>
      </c>
      <c r="T393">
        <f>'RESUMEN TOTAL'!Y399</f>
        <v>0</v>
      </c>
      <c r="U393">
        <f>'RESUMEN TOTAL'!Z399</f>
        <v>0</v>
      </c>
      <c r="V393">
        <f>'RESUMEN TOTAL'!AA399</f>
        <v>0</v>
      </c>
      <c r="W393">
        <f>'RESUMEN TOTAL'!AB399</f>
        <v>0</v>
      </c>
      <c r="X393">
        <f>'RESUMEN TOTAL'!AC399</f>
        <v>0</v>
      </c>
      <c r="Y393">
        <f>'RESUMEN TOTAL'!AD399</f>
        <v>0</v>
      </c>
      <c r="Z393">
        <f>'RESUMEN TOTAL'!AE399</f>
        <v>0</v>
      </c>
      <c r="AA393">
        <f>'RESUMEN TOTAL'!AF399</f>
        <v>0</v>
      </c>
      <c r="AB393">
        <f>'RESUMEN TOTAL'!AG399</f>
        <v>0</v>
      </c>
      <c r="AC393">
        <f>'RESUMEN TOTAL'!AH399</f>
        <v>0</v>
      </c>
      <c r="AD393">
        <f>'RESUMEN TOTAL'!AI399</f>
        <v>0</v>
      </c>
      <c r="AE393">
        <f>'RESUMEN TOTAL'!AJ399</f>
        <v>0</v>
      </c>
      <c r="AF393">
        <f>'RESUMEN TOTAL'!AK399</f>
        <v>0</v>
      </c>
      <c r="AG393">
        <f>'RESUMEN TOTAL'!AL399</f>
        <v>0</v>
      </c>
      <c r="AH393">
        <f>'RESUMEN TOTAL'!AM399</f>
        <v>0</v>
      </c>
      <c r="AI393">
        <f>'RESUMEN TOTAL'!AN399</f>
        <v>0</v>
      </c>
    </row>
    <row r="394" spans="1:35" x14ac:dyDescent="0.3">
      <c r="A394" t="str">
        <f>'RESUMEN TOTAL'!A400</f>
        <v>VILLA AURORA</v>
      </c>
      <c r="B394" t="str">
        <f>'RESUMEN TOTAL'!B400</f>
        <v>VAU04 (fija 2)</v>
      </c>
      <c r="C394" t="str">
        <f>'RESUMEN TOTAL'!D400</f>
        <v>PIZZURNO Y NUESTRAS MALVINAS</v>
      </c>
      <c r="D394" t="str">
        <f>'RESUMEN TOTAL'!E400</f>
        <v>Fija</v>
      </c>
      <c r="E394" t="str">
        <f>'RESUMEN TOTAL'!F400</f>
        <v>Fibra Optica</v>
      </c>
      <c r="F394">
        <f>'RESUMEN TOTAL'!K400</f>
        <v>0</v>
      </c>
      <c r="G394">
        <f>'RESUMEN TOTAL'!L400</f>
        <v>0</v>
      </c>
      <c r="H394">
        <f>'RESUMEN TOTAL'!M400</f>
        <v>0</v>
      </c>
      <c r="I394">
        <f>'RESUMEN TOTAL'!N400</f>
        <v>0</v>
      </c>
      <c r="J394">
        <f>'RESUMEN TOTAL'!O400</f>
        <v>0</v>
      </c>
      <c r="K394">
        <f>'RESUMEN TOTAL'!P400</f>
        <v>0</v>
      </c>
      <c r="L394">
        <f>'RESUMEN TOTAL'!Q400</f>
        <v>0</v>
      </c>
      <c r="M394">
        <f>'RESUMEN TOTAL'!R400</f>
        <v>0</v>
      </c>
      <c r="N394">
        <f>'RESUMEN TOTAL'!S400</f>
        <v>0</v>
      </c>
      <c r="O394">
        <f>'RESUMEN TOTAL'!T400</f>
        <v>0</v>
      </c>
      <c r="P394">
        <f>'RESUMEN TOTAL'!U400</f>
        <v>0</v>
      </c>
      <c r="Q394">
        <f>'RESUMEN TOTAL'!V400</f>
        <v>0</v>
      </c>
      <c r="R394">
        <f>'RESUMEN TOTAL'!W400</f>
        <v>0</v>
      </c>
      <c r="S394">
        <f>'RESUMEN TOTAL'!X400</f>
        <v>0</v>
      </c>
      <c r="T394">
        <f>'RESUMEN TOTAL'!Y400</f>
        <v>0</v>
      </c>
      <c r="U394">
        <f>'RESUMEN TOTAL'!Z400</f>
        <v>0</v>
      </c>
      <c r="V394">
        <f>'RESUMEN TOTAL'!AA400</f>
        <v>0</v>
      </c>
      <c r="W394">
        <f>'RESUMEN TOTAL'!AB400</f>
        <v>0</v>
      </c>
      <c r="X394">
        <f>'RESUMEN TOTAL'!AC400</f>
        <v>0</v>
      </c>
      <c r="Y394">
        <f>'RESUMEN TOTAL'!AD400</f>
        <v>0</v>
      </c>
      <c r="Z394">
        <f>'RESUMEN TOTAL'!AE400</f>
        <v>0</v>
      </c>
      <c r="AA394">
        <f>'RESUMEN TOTAL'!AF400</f>
        <v>0</v>
      </c>
      <c r="AB394">
        <f>'RESUMEN TOTAL'!AG400</f>
        <v>0</v>
      </c>
      <c r="AC394">
        <f>'RESUMEN TOTAL'!AH400</f>
        <v>0</v>
      </c>
      <c r="AD394">
        <f>'RESUMEN TOTAL'!AI400</f>
        <v>0</v>
      </c>
      <c r="AE394">
        <f>'RESUMEN TOTAL'!AJ400</f>
        <v>0</v>
      </c>
      <c r="AF394">
        <f>'RESUMEN TOTAL'!AK400</f>
        <v>0</v>
      </c>
      <c r="AG394">
        <f>'RESUMEN TOTAL'!AL400</f>
        <v>0</v>
      </c>
      <c r="AH394">
        <f>'RESUMEN TOTAL'!AM400</f>
        <v>0</v>
      </c>
      <c r="AI394">
        <f>'RESUMEN TOTAL'!AN400</f>
        <v>0</v>
      </c>
    </row>
    <row r="395" spans="1:35" x14ac:dyDescent="0.3">
      <c r="A395" t="str">
        <f>'RESUMEN TOTAL'!A401</f>
        <v>VILLA AURORA</v>
      </c>
      <c r="B395" t="str">
        <f>'RESUMEN TOTAL'!B401</f>
        <v>VAU05 (fija 1)</v>
      </c>
      <c r="C395" t="str">
        <f>'RESUMEN TOTAL'!D401</f>
        <v>GUIDO SPANO Y VICTORINO DE LA PLAZA</v>
      </c>
      <c r="D395" t="str">
        <f>'RESUMEN TOTAL'!E401</f>
        <v>Fija</v>
      </c>
      <c r="E395" t="str">
        <f>'RESUMEN TOTAL'!F401</f>
        <v>Fibra Optica</v>
      </c>
      <c r="F395">
        <f>'RESUMEN TOTAL'!K401</f>
        <v>0</v>
      </c>
      <c r="G395">
        <f>'RESUMEN TOTAL'!L401</f>
        <v>0</v>
      </c>
      <c r="H395">
        <f>'RESUMEN TOTAL'!M401</f>
        <v>0</v>
      </c>
      <c r="I395">
        <f>'RESUMEN TOTAL'!N401</f>
        <v>0</v>
      </c>
      <c r="J395">
        <f>'RESUMEN TOTAL'!O401</f>
        <v>0</v>
      </c>
      <c r="K395">
        <f>'RESUMEN TOTAL'!P401</f>
        <v>0</v>
      </c>
      <c r="L395">
        <f>'RESUMEN TOTAL'!Q401</f>
        <v>0</v>
      </c>
      <c r="M395">
        <f>'RESUMEN TOTAL'!R401</f>
        <v>0</v>
      </c>
      <c r="N395">
        <f>'RESUMEN TOTAL'!S401</f>
        <v>0</v>
      </c>
      <c r="O395">
        <f>'RESUMEN TOTAL'!T401</f>
        <v>0</v>
      </c>
      <c r="P395">
        <f>'RESUMEN TOTAL'!U401</f>
        <v>0</v>
      </c>
      <c r="Q395">
        <f>'RESUMEN TOTAL'!V401</f>
        <v>0</v>
      </c>
      <c r="R395">
        <f>'RESUMEN TOTAL'!W401</f>
        <v>0</v>
      </c>
      <c r="S395">
        <f>'RESUMEN TOTAL'!X401</f>
        <v>0</v>
      </c>
      <c r="T395">
        <f>'RESUMEN TOTAL'!Y401</f>
        <v>0</v>
      </c>
      <c r="U395">
        <f>'RESUMEN TOTAL'!Z401</f>
        <v>0</v>
      </c>
      <c r="V395">
        <f>'RESUMEN TOTAL'!AA401</f>
        <v>0</v>
      </c>
      <c r="W395">
        <f>'RESUMEN TOTAL'!AB401</f>
        <v>0</v>
      </c>
      <c r="X395">
        <f>'RESUMEN TOTAL'!AC401</f>
        <v>0</v>
      </c>
      <c r="Y395">
        <f>'RESUMEN TOTAL'!AD401</f>
        <v>0</v>
      </c>
      <c r="Z395">
        <f>'RESUMEN TOTAL'!AE401</f>
        <v>0</v>
      </c>
      <c r="AA395">
        <f>'RESUMEN TOTAL'!AF401</f>
        <v>0</v>
      </c>
      <c r="AB395">
        <f>'RESUMEN TOTAL'!AG401</f>
        <v>0</v>
      </c>
      <c r="AC395">
        <f>'RESUMEN TOTAL'!AH401</f>
        <v>0</v>
      </c>
      <c r="AD395">
        <f>'RESUMEN TOTAL'!AI401</f>
        <v>0</v>
      </c>
      <c r="AE395">
        <f>'RESUMEN TOTAL'!AJ401</f>
        <v>0</v>
      </c>
      <c r="AF395">
        <f>'RESUMEN TOTAL'!AK401</f>
        <v>0</v>
      </c>
      <c r="AG395">
        <f>'RESUMEN TOTAL'!AL401</f>
        <v>0</v>
      </c>
      <c r="AH395">
        <f>'RESUMEN TOTAL'!AM401</f>
        <v>0</v>
      </c>
      <c r="AI395">
        <f>'RESUMEN TOTAL'!AN401</f>
        <v>0</v>
      </c>
    </row>
    <row r="396" spans="1:35" x14ac:dyDescent="0.3">
      <c r="A396" t="str">
        <f>'RESUMEN TOTAL'!A402</f>
        <v>VILLA AURORA</v>
      </c>
      <c r="B396" t="str">
        <f>'RESUMEN TOTAL'!B402</f>
        <v>VAU06 (fija 2)</v>
      </c>
      <c r="C396" t="str">
        <f>'RESUMEN TOTAL'!D402</f>
        <v>GUIDO SPANO Y VICTORINO DE LA PLAZA</v>
      </c>
      <c r="D396" t="str">
        <f>'RESUMEN TOTAL'!E402</f>
        <v>Fija</v>
      </c>
      <c r="E396" t="str">
        <f>'RESUMEN TOTAL'!F402</f>
        <v>Fibra Optica</v>
      </c>
      <c r="F396">
        <f>'RESUMEN TOTAL'!K402</f>
        <v>0</v>
      </c>
      <c r="G396">
        <f>'RESUMEN TOTAL'!L402</f>
        <v>0</v>
      </c>
      <c r="H396">
        <f>'RESUMEN TOTAL'!M402</f>
        <v>0</v>
      </c>
      <c r="I396">
        <f>'RESUMEN TOTAL'!N402</f>
        <v>0</v>
      </c>
      <c r="J396">
        <f>'RESUMEN TOTAL'!O402</f>
        <v>0</v>
      </c>
      <c r="K396">
        <f>'RESUMEN TOTAL'!P402</f>
        <v>0</v>
      </c>
      <c r="L396">
        <f>'RESUMEN TOTAL'!Q402</f>
        <v>0</v>
      </c>
      <c r="M396">
        <f>'RESUMEN TOTAL'!R402</f>
        <v>0</v>
      </c>
      <c r="N396">
        <f>'RESUMEN TOTAL'!S402</f>
        <v>0</v>
      </c>
      <c r="O396">
        <f>'RESUMEN TOTAL'!T402</f>
        <v>0</v>
      </c>
      <c r="P396">
        <f>'RESUMEN TOTAL'!U402</f>
        <v>0</v>
      </c>
      <c r="Q396">
        <f>'RESUMEN TOTAL'!V402</f>
        <v>0</v>
      </c>
      <c r="R396">
        <f>'RESUMEN TOTAL'!W402</f>
        <v>0</v>
      </c>
      <c r="S396">
        <f>'RESUMEN TOTAL'!X402</f>
        <v>0</v>
      </c>
      <c r="T396">
        <f>'RESUMEN TOTAL'!Y402</f>
        <v>0</v>
      </c>
      <c r="U396">
        <f>'RESUMEN TOTAL'!Z402</f>
        <v>0</v>
      </c>
      <c r="V396">
        <f>'RESUMEN TOTAL'!AA402</f>
        <v>0</v>
      </c>
      <c r="W396">
        <f>'RESUMEN TOTAL'!AB402</f>
        <v>0</v>
      </c>
      <c r="X396">
        <f>'RESUMEN TOTAL'!AC402</f>
        <v>0</v>
      </c>
      <c r="Y396">
        <f>'RESUMEN TOTAL'!AD402</f>
        <v>0</v>
      </c>
      <c r="Z396">
        <f>'RESUMEN TOTAL'!AE402</f>
        <v>0</v>
      </c>
      <c r="AA396">
        <f>'RESUMEN TOTAL'!AF402</f>
        <v>0</v>
      </c>
      <c r="AB396">
        <f>'RESUMEN TOTAL'!AG402</f>
        <v>0</v>
      </c>
      <c r="AC396">
        <f>'RESUMEN TOTAL'!AH402</f>
        <v>0</v>
      </c>
      <c r="AD396">
        <f>'RESUMEN TOTAL'!AI402</f>
        <v>0</v>
      </c>
      <c r="AE396">
        <f>'RESUMEN TOTAL'!AJ402</f>
        <v>0</v>
      </c>
      <c r="AF396">
        <f>'RESUMEN TOTAL'!AK402</f>
        <v>0</v>
      </c>
      <c r="AG396">
        <f>'RESUMEN TOTAL'!AL402</f>
        <v>0</v>
      </c>
      <c r="AH396">
        <f>'RESUMEN TOTAL'!AM402</f>
        <v>0</v>
      </c>
      <c r="AI396">
        <f>'RESUMEN TOTAL'!AN402</f>
        <v>0</v>
      </c>
    </row>
    <row r="397" spans="1:35" x14ac:dyDescent="0.3">
      <c r="A397" t="str">
        <f>'RESUMEN TOTAL'!A403</f>
        <v>VILLA AURORA</v>
      </c>
      <c r="B397" t="str">
        <f>'RESUMEN TOTAL'!B403</f>
        <v>VAU 07</v>
      </c>
      <c r="C397" t="str">
        <f>'RESUMEN TOTAL'!D403</f>
        <v>VICTORINO DE LA PLAZA Y MONTEVERDE</v>
      </c>
      <c r="D397" t="str">
        <f>'RESUMEN TOTAL'!E403</f>
        <v>Domo</v>
      </c>
      <c r="E397" t="str">
        <f>'RESUMEN TOTAL'!F403</f>
        <v>Fibra Optica</v>
      </c>
      <c r="F397">
        <f>'RESUMEN TOTAL'!K403</f>
        <v>0</v>
      </c>
      <c r="G397">
        <f>'RESUMEN TOTAL'!L403</f>
        <v>0</v>
      </c>
      <c r="H397">
        <f>'RESUMEN TOTAL'!M403</f>
        <v>0</v>
      </c>
      <c r="I397">
        <f>'RESUMEN TOTAL'!N403</f>
        <v>0</v>
      </c>
      <c r="J397">
        <f>'RESUMEN TOTAL'!O403</f>
        <v>0</v>
      </c>
      <c r="K397">
        <f>'RESUMEN TOTAL'!P403</f>
        <v>0</v>
      </c>
      <c r="L397">
        <f>'RESUMEN TOTAL'!Q403</f>
        <v>0</v>
      </c>
      <c r="M397">
        <f>'RESUMEN TOTAL'!R403</f>
        <v>0</v>
      </c>
      <c r="N397">
        <f>'RESUMEN TOTAL'!S403</f>
        <v>0</v>
      </c>
      <c r="O397">
        <f>'RESUMEN TOTAL'!T403</f>
        <v>0</v>
      </c>
      <c r="P397">
        <f>'RESUMEN TOTAL'!U403</f>
        <v>0</v>
      </c>
      <c r="Q397">
        <f>'RESUMEN TOTAL'!V403</f>
        <v>0</v>
      </c>
      <c r="R397">
        <f>'RESUMEN TOTAL'!W403</f>
        <v>0</v>
      </c>
      <c r="S397">
        <f>'RESUMEN TOTAL'!X403</f>
        <v>0</v>
      </c>
      <c r="T397">
        <f>'RESUMEN TOTAL'!Y403</f>
        <v>0</v>
      </c>
      <c r="U397">
        <f>'RESUMEN TOTAL'!Z403</f>
        <v>0</v>
      </c>
      <c r="V397">
        <f>'RESUMEN TOTAL'!AA403</f>
        <v>0</v>
      </c>
      <c r="W397">
        <f>'RESUMEN TOTAL'!AB403</f>
        <v>0</v>
      </c>
      <c r="X397">
        <f>'RESUMEN TOTAL'!AC403</f>
        <v>0</v>
      </c>
      <c r="Y397">
        <f>'RESUMEN TOTAL'!AD403</f>
        <v>0</v>
      </c>
      <c r="Z397">
        <f>'RESUMEN TOTAL'!AE403</f>
        <v>0</v>
      </c>
      <c r="AA397">
        <f>'RESUMEN TOTAL'!AF403</f>
        <v>0</v>
      </c>
      <c r="AB397">
        <f>'RESUMEN TOTAL'!AG403</f>
        <v>0</v>
      </c>
      <c r="AC397">
        <f>'RESUMEN TOTAL'!AH403</f>
        <v>0</v>
      </c>
      <c r="AD397">
        <f>'RESUMEN TOTAL'!AI403</f>
        <v>0</v>
      </c>
      <c r="AE397">
        <f>'RESUMEN TOTAL'!AJ403</f>
        <v>0</v>
      </c>
      <c r="AF397">
        <f>'RESUMEN TOTAL'!AK403</f>
        <v>0</v>
      </c>
      <c r="AG397">
        <f>'RESUMEN TOTAL'!AL403</f>
        <v>0</v>
      </c>
      <c r="AH397">
        <f>'RESUMEN TOTAL'!AM403</f>
        <v>0</v>
      </c>
      <c r="AI397">
        <f>'RESUMEN TOTAL'!AN403</f>
        <v>0</v>
      </c>
    </row>
    <row r="398" spans="1:35" x14ac:dyDescent="0.3">
      <c r="A398" t="str">
        <f>'RESUMEN TOTAL'!A404</f>
        <v>VILLA AURORA</v>
      </c>
      <c r="B398" t="str">
        <f>'RESUMEN TOTAL'!B404</f>
        <v>VAU08</v>
      </c>
      <c r="C398" t="str">
        <f>'RESUMEN TOTAL'!D404</f>
        <v>MONTEVERDE Y WASHINGTON</v>
      </c>
      <c r="D398" t="str">
        <f>'RESUMEN TOTAL'!E404</f>
        <v>DOMO</v>
      </c>
      <c r="E398" t="str">
        <f>'RESUMEN TOTAL'!F404</f>
        <v>Fibra Optica</v>
      </c>
      <c r="F398">
        <f>'RESUMEN TOTAL'!K404</f>
        <v>0</v>
      </c>
      <c r="G398">
        <f>'RESUMEN TOTAL'!L404</f>
        <v>0</v>
      </c>
      <c r="H398">
        <f>'RESUMEN TOTAL'!M404</f>
        <v>0</v>
      </c>
      <c r="I398">
        <f>'RESUMEN TOTAL'!N404</f>
        <v>0</v>
      </c>
      <c r="J398">
        <f>'RESUMEN TOTAL'!O404</f>
        <v>0</v>
      </c>
      <c r="K398">
        <f>'RESUMEN TOTAL'!P404</f>
        <v>0</v>
      </c>
      <c r="L398">
        <f>'RESUMEN TOTAL'!Q404</f>
        <v>0</v>
      </c>
      <c r="M398">
        <f>'RESUMEN TOTAL'!R404</f>
        <v>0</v>
      </c>
      <c r="N398">
        <f>'RESUMEN TOTAL'!S404</f>
        <v>0</v>
      </c>
      <c r="O398">
        <f>'RESUMEN TOTAL'!T404</f>
        <v>0</v>
      </c>
      <c r="P398">
        <f>'RESUMEN TOTAL'!U404</f>
        <v>0</v>
      </c>
      <c r="Q398">
        <f>'RESUMEN TOTAL'!V404</f>
        <v>0</v>
      </c>
      <c r="R398">
        <f>'RESUMEN TOTAL'!W404</f>
        <v>0</v>
      </c>
      <c r="S398">
        <f>'RESUMEN TOTAL'!X404</f>
        <v>0</v>
      </c>
      <c r="T398">
        <f>'RESUMEN TOTAL'!Y404</f>
        <v>0</v>
      </c>
      <c r="U398">
        <f>'RESUMEN TOTAL'!Z404</f>
        <v>0</v>
      </c>
      <c r="V398">
        <f>'RESUMEN TOTAL'!AA404</f>
        <v>0</v>
      </c>
      <c r="W398">
        <f>'RESUMEN TOTAL'!AB404</f>
        <v>0</v>
      </c>
      <c r="X398">
        <f>'RESUMEN TOTAL'!AC404</f>
        <v>0</v>
      </c>
      <c r="Y398">
        <f>'RESUMEN TOTAL'!AD404</f>
        <v>0</v>
      </c>
      <c r="Z398">
        <f>'RESUMEN TOTAL'!AE404</f>
        <v>0</v>
      </c>
      <c r="AA398">
        <f>'RESUMEN TOTAL'!AF404</f>
        <v>0</v>
      </c>
      <c r="AB398">
        <f>'RESUMEN TOTAL'!AG404</f>
        <v>0</v>
      </c>
      <c r="AC398">
        <f>'RESUMEN TOTAL'!AH404</f>
        <v>0</v>
      </c>
      <c r="AD398">
        <f>'RESUMEN TOTAL'!AI404</f>
        <v>0</v>
      </c>
      <c r="AE398">
        <f>'RESUMEN TOTAL'!AJ404</f>
        <v>0</v>
      </c>
      <c r="AF398">
        <f>'RESUMEN TOTAL'!AK404</f>
        <v>0</v>
      </c>
      <c r="AG398">
        <f>'RESUMEN TOTAL'!AL404</f>
        <v>0</v>
      </c>
      <c r="AH398">
        <f>'RESUMEN TOTAL'!AM404</f>
        <v>0</v>
      </c>
      <c r="AI398">
        <f>'RESUMEN TOTAL'!AN404</f>
        <v>0</v>
      </c>
    </row>
    <row r="399" spans="1:35" x14ac:dyDescent="0.3">
      <c r="A399" t="str">
        <f>'RESUMEN TOTAL'!A405</f>
        <v>VILLA DEL PLATA</v>
      </c>
      <c r="B399" t="str">
        <f>'RESUMEN TOTAL'!B405</f>
        <v>VDPL02</v>
      </c>
      <c r="C399" t="str">
        <f>'RESUMEN TOTAL'!D405</f>
        <v>Thevenet y Berutti</v>
      </c>
      <c r="D399" t="str">
        <f>'RESUMEN TOTAL'!E405</f>
        <v>Domo</v>
      </c>
      <c r="E399" t="str">
        <f>'RESUMEN TOTAL'!F405</f>
        <v>Fibra Optica</v>
      </c>
      <c r="F399" t="str">
        <f>'RESUMEN TOTAL'!K405</f>
        <v>APAGADO</v>
      </c>
      <c r="G399" t="str">
        <f>'RESUMEN TOTAL'!L405</f>
        <v>APAGADO</v>
      </c>
      <c r="H399">
        <f>'RESUMEN TOTAL'!M405</f>
        <v>0</v>
      </c>
      <c r="I399">
        <f>'RESUMEN TOTAL'!N405</f>
        <v>0</v>
      </c>
      <c r="J399">
        <f>'RESUMEN TOTAL'!O405</f>
        <v>0</v>
      </c>
      <c r="K399">
        <f>'RESUMEN TOTAL'!P405</f>
        <v>0</v>
      </c>
      <c r="L399" t="str">
        <f>'RESUMEN TOTAL'!Q405</f>
        <v>APAGADO</v>
      </c>
      <c r="M399" t="str">
        <f>'RESUMEN TOTAL'!R405</f>
        <v>APAGADO</v>
      </c>
      <c r="N399" t="str">
        <f>'RESUMEN TOTAL'!S405</f>
        <v>APAGADO</v>
      </c>
      <c r="O399" t="str">
        <f>'RESUMEN TOTAL'!T405</f>
        <v>APAGADO</v>
      </c>
      <c r="P399" t="str">
        <f>'RESUMEN TOTAL'!U405</f>
        <v>APAGADO</v>
      </c>
      <c r="Q399" t="str">
        <f>'RESUMEN TOTAL'!V405</f>
        <v>APAGADO</v>
      </c>
      <c r="R399" t="str">
        <f>'RESUMEN TOTAL'!W405</f>
        <v>APAGADO</v>
      </c>
      <c r="S399">
        <f>'RESUMEN TOTAL'!X405</f>
        <v>0</v>
      </c>
      <c r="T399">
        <f>'RESUMEN TOTAL'!Y405</f>
        <v>0</v>
      </c>
      <c r="U399">
        <f>'RESUMEN TOTAL'!Z405</f>
        <v>0</v>
      </c>
      <c r="V399">
        <f>'RESUMEN TOTAL'!AA405</f>
        <v>0</v>
      </c>
      <c r="W399">
        <f>'RESUMEN TOTAL'!AB405</f>
        <v>0</v>
      </c>
      <c r="X399">
        <f>'RESUMEN TOTAL'!AC405</f>
        <v>0</v>
      </c>
      <c r="Y399">
        <f>'RESUMEN TOTAL'!AD405</f>
        <v>0</v>
      </c>
      <c r="Z399">
        <f>'RESUMEN TOTAL'!AE405</f>
        <v>0</v>
      </c>
      <c r="AA399">
        <f>'RESUMEN TOTAL'!AF405</f>
        <v>0</v>
      </c>
      <c r="AB399">
        <f>'RESUMEN TOTAL'!AG405</f>
        <v>0</v>
      </c>
      <c r="AC399">
        <f>'RESUMEN TOTAL'!AH405</f>
        <v>0</v>
      </c>
      <c r="AD399">
        <f>'RESUMEN TOTAL'!AI405</f>
        <v>0</v>
      </c>
      <c r="AE399">
        <f>'RESUMEN TOTAL'!AJ405</f>
        <v>0</v>
      </c>
      <c r="AF399">
        <f>'RESUMEN TOTAL'!AK405</f>
        <v>0</v>
      </c>
      <c r="AG399">
        <f>'RESUMEN TOTAL'!AL405</f>
        <v>0</v>
      </c>
      <c r="AH399">
        <f>'RESUMEN TOTAL'!AM405</f>
        <v>0</v>
      </c>
      <c r="AI399">
        <f>'RESUMEN TOTAL'!AN405</f>
        <v>0</v>
      </c>
    </row>
    <row r="400" spans="1:35" x14ac:dyDescent="0.3">
      <c r="A400" t="str">
        <f>'RESUMEN TOTAL'!A406</f>
        <v>VILLA DEL PLATA</v>
      </c>
      <c r="B400" t="str">
        <f>'RESUMEN TOTAL'!B406</f>
        <v>VDPL03</v>
      </c>
      <c r="C400" t="str">
        <f>'RESUMEN TOTAL'!D406</f>
        <v>Neuquen y Alvarado</v>
      </c>
      <c r="D400" t="str">
        <f>'RESUMEN TOTAL'!E406</f>
        <v>Domo</v>
      </c>
      <c r="E400" t="str">
        <f>'RESUMEN TOTAL'!F406</f>
        <v>Radio</v>
      </c>
      <c r="F400">
        <f>'RESUMEN TOTAL'!K406</f>
        <v>0</v>
      </c>
      <c r="G400">
        <f>'RESUMEN TOTAL'!L406</f>
        <v>0</v>
      </c>
      <c r="H400">
        <f>'RESUMEN TOTAL'!M406</f>
        <v>0</v>
      </c>
      <c r="I400">
        <f>'RESUMEN TOTAL'!N406</f>
        <v>0</v>
      </c>
      <c r="J400">
        <f>'RESUMEN TOTAL'!O406</f>
        <v>0</v>
      </c>
      <c r="K400">
        <f>'RESUMEN TOTAL'!P406</f>
        <v>0</v>
      </c>
      <c r="L400">
        <f>'RESUMEN TOTAL'!Q406</f>
        <v>0</v>
      </c>
      <c r="M400">
        <f>'RESUMEN TOTAL'!R406</f>
        <v>0</v>
      </c>
      <c r="N400">
        <f>'RESUMEN TOTAL'!S406</f>
        <v>0</v>
      </c>
      <c r="O400">
        <f>'RESUMEN TOTAL'!T406</f>
        <v>0</v>
      </c>
      <c r="P400">
        <f>'RESUMEN TOTAL'!U406</f>
        <v>0</v>
      </c>
      <c r="Q400">
        <f>'RESUMEN TOTAL'!V406</f>
        <v>0</v>
      </c>
      <c r="R400">
        <f>'RESUMEN TOTAL'!W406</f>
        <v>0</v>
      </c>
      <c r="S400">
        <f>'RESUMEN TOTAL'!X406</f>
        <v>0</v>
      </c>
      <c r="T400">
        <f>'RESUMEN TOTAL'!Y406</f>
        <v>0</v>
      </c>
      <c r="U400">
        <f>'RESUMEN TOTAL'!Z406</f>
        <v>0</v>
      </c>
      <c r="V400">
        <f>'RESUMEN TOTAL'!AA406</f>
        <v>0</v>
      </c>
      <c r="W400">
        <f>'RESUMEN TOTAL'!AB406</f>
        <v>0</v>
      </c>
      <c r="X400">
        <f>'RESUMEN TOTAL'!AC406</f>
        <v>0</v>
      </c>
      <c r="Y400">
        <f>'RESUMEN TOTAL'!AD406</f>
        <v>0</v>
      </c>
      <c r="Z400">
        <f>'RESUMEN TOTAL'!AE406</f>
        <v>0</v>
      </c>
      <c r="AA400">
        <f>'RESUMEN TOTAL'!AF406</f>
        <v>0</v>
      </c>
      <c r="AB400">
        <f>'RESUMEN TOTAL'!AG406</f>
        <v>0</v>
      </c>
      <c r="AC400">
        <f>'RESUMEN TOTAL'!AH406</f>
        <v>0</v>
      </c>
      <c r="AD400">
        <f>'RESUMEN TOTAL'!AI406</f>
        <v>0</v>
      </c>
      <c r="AE400">
        <f>'RESUMEN TOTAL'!AJ406</f>
        <v>0</v>
      </c>
      <c r="AF400">
        <f>'RESUMEN TOTAL'!AK406</f>
        <v>0</v>
      </c>
      <c r="AG400">
        <f>'RESUMEN TOTAL'!AL406</f>
        <v>0</v>
      </c>
      <c r="AH400">
        <f>'RESUMEN TOTAL'!AM406</f>
        <v>0</v>
      </c>
      <c r="AI400">
        <f>'RESUMEN TOTAL'!AN406</f>
        <v>0</v>
      </c>
    </row>
    <row r="401" spans="1:35" x14ac:dyDescent="0.3">
      <c r="A401" t="str">
        <f>'RESUMEN TOTAL'!A407</f>
        <v>VILLA DEL PLATA</v>
      </c>
      <c r="B401" t="str">
        <f>'RESUMEN TOTAL'!B407</f>
        <v>VDPL04</v>
      </c>
      <c r="C401" t="str">
        <f>'RESUMEN TOTAL'!D407</f>
        <v>Neuquen y Diagonal Guemes</v>
      </c>
      <c r="D401" t="str">
        <f>'RESUMEN TOTAL'!E407</f>
        <v>Domo</v>
      </c>
      <c r="E401" t="str">
        <f>'RESUMEN TOTAL'!F407</f>
        <v>Radio</v>
      </c>
      <c r="F401">
        <f>'RESUMEN TOTAL'!K407</f>
        <v>0</v>
      </c>
      <c r="G401">
        <f>'RESUMEN TOTAL'!L407</f>
        <v>0</v>
      </c>
      <c r="H401">
        <f>'RESUMEN TOTAL'!M407</f>
        <v>0</v>
      </c>
      <c r="I401">
        <f>'RESUMEN TOTAL'!N407</f>
        <v>0</v>
      </c>
      <c r="J401">
        <f>'RESUMEN TOTAL'!O407</f>
        <v>0</v>
      </c>
      <c r="K401">
        <f>'RESUMEN TOTAL'!P407</f>
        <v>0</v>
      </c>
      <c r="L401">
        <f>'RESUMEN TOTAL'!Q407</f>
        <v>0</v>
      </c>
      <c r="M401">
        <f>'RESUMEN TOTAL'!R407</f>
        <v>0</v>
      </c>
      <c r="N401">
        <f>'RESUMEN TOTAL'!S407</f>
        <v>0</v>
      </c>
      <c r="O401">
        <f>'RESUMEN TOTAL'!T407</f>
        <v>0</v>
      </c>
      <c r="P401">
        <f>'RESUMEN TOTAL'!U407</f>
        <v>0</v>
      </c>
      <c r="Q401">
        <f>'RESUMEN TOTAL'!V407</f>
        <v>0</v>
      </c>
      <c r="R401">
        <f>'RESUMEN TOTAL'!W407</f>
        <v>0</v>
      </c>
      <c r="S401">
        <f>'RESUMEN TOTAL'!X407</f>
        <v>0</v>
      </c>
      <c r="T401">
        <f>'RESUMEN TOTAL'!Y407</f>
        <v>0</v>
      </c>
      <c r="U401">
        <f>'RESUMEN TOTAL'!Z407</f>
        <v>0</v>
      </c>
      <c r="V401">
        <f>'RESUMEN TOTAL'!AA407</f>
        <v>0</v>
      </c>
      <c r="W401">
        <f>'RESUMEN TOTAL'!AB407</f>
        <v>0</v>
      </c>
      <c r="X401">
        <f>'RESUMEN TOTAL'!AC407</f>
        <v>0</v>
      </c>
      <c r="Y401">
        <f>'RESUMEN TOTAL'!AD407</f>
        <v>0</v>
      </c>
      <c r="Z401">
        <f>'RESUMEN TOTAL'!AE407</f>
        <v>0</v>
      </c>
      <c r="AA401">
        <f>'RESUMEN TOTAL'!AF407</f>
        <v>0</v>
      </c>
      <c r="AB401">
        <f>'RESUMEN TOTAL'!AG407</f>
        <v>0</v>
      </c>
      <c r="AC401">
        <f>'RESUMEN TOTAL'!AH407</f>
        <v>0</v>
      </c>
      <c r="AD401">
        <f>'RESUMEN TOTAL'!AI407</f>
        <v>0</v>
      </c>
      <c r="AE401">
        <f>'RESUMEN TOTAL'!AJ407</f>
        <v>0</v>
      </c>
      <c r="AF401">
        <f>'RESUMEN TOTAL'!AK407</f>
        <v>0</v>
      </c>
      <c r="AG401">
        <f>'RESUMEN TOTAL'!AL407</f>
        <v>0</v>
      </c>
      <c r="AH401">
        <f>'RESUMEN TOTAL'!AM407</f>
        <v>0</v>
      </c>
      <c r="AI401">
        <f>'RESUMEN TOTAL'!AN407</f>
        <v>0</v>
      </c>
    </row>
    <row r="402" spans="1:35" x14ac:dyDescent="0.3">
      <c r="A402" t="str">
        <f>'RESUMEN TOTAL'!A408</f>
        <v>VILLA DEL PLATA</v>
      </c>
      <c r="B402" t="str">
        <f>'RESUMEN TOTAL'!B408</f>
        <v>VDPL05</v>
      </c>
      <c r="C402" t="str">
        <f>'RESUMEN TOTAL'!D408</f>
        <v>Ruta 36 y Abraham</v>
      </c>
      <c r="D402" t="str">
        <f>'RESUMEN TOTAL'!E408</f>
        <v>Domo</v>
      </c>
      <c r="E402" t="str">
        <f>'RESUMEN TOTAL'!F408</f>
        <v>PTO A FO</v>
      </c>
      <c r="F402">
        <f>'RESUMEN TOTAL'!K408</f>
        <v>0</v>
      </c>
      <c r="G402" t="str">
        <f>'RESUMEN TOTAL'!L408</f>
        <v>APAGADO</v>
      </c>
      <c r="H402">
        <f>'RESUMEN TOTAL'!M408</f>
        <v>0</v>
      </c>
      <c r="I402">
        <f>'RESUMEN TOTAL'!N408</f>
        <v>0</v>
      </c>
      <c r="J402">
        <f>'RESUMEN TOTAL'!O408</f>
        <v>0</v>
      </c>
      <c r="K402">
        <f>'RESUMEN TOTAL'!P408</f>
        <v>0</v>
      </c>
      <c r="L402">
        <f>'RESUMEN TOTAL'!Q408</f>
        <v>0</v>
      </c>
      <c r="M402">
        <f>'RESUMEN TOTAL'!R408</f>
        <v>0</v>
      </c>
      <c r="N402">
        <f>'RESUMEN TOTAL'!S408</f>
        <v>0</v>
      </c>
      <c r="O402">
        <f>'RESUMEN TOTAL'!T408</f>
        <v>0</v>
      </c>
      <c r="P402">
        <f>'RESUMEN TOTAL'!U408</f>
        <v>0</v>
      </c>
      <c r="Q402" t="str">
        <f>'RESUMEN TOTAL'!V408</f>
        <v>APAGADO</v>
      </c>
      <c r="R402">
        <f>'RESUMEN TOTAL'!W408</f>
        <v>0</v>
      </c>
      <c r="S402">
        <f>'RESUMEN TOTAL'!X408</f>
        <v>0</v>
      </c>
      <c r="T402" t="str">
        <f>'RESUMEN TOTAL'!Y408</f>
        <v>APAGADO</v>
      </c>
      <c r="U402" t="str">
        <f>'RESUMEN TOTAL'!Z408</f>
        <v>APAGADO</v>
      </c>
      <c r="V402">
        <f>'RESUMEN TOTAL'!AA408</f>
        <v>0</v>
      </c>
      <c r="W402" t="str">
        <f>'RESUMEN TOTAL'!AB408</f>
        <v>APAGADO</v>
      </c>
      <c r="X402" t="str">
        <f>'RESUMEN TOTAL'!AC408</f>
        <v>APAGADO</v>
      </c>
      <c r="Y402">
        <f>'RESUMEN TOTAL'!AD408</f>
        <v>0</v>
      </c>
      <c r="Z402">
        <f>'RESUMEN TOTAL'!AE408</f>
        <v>0</v>
      </c>
      <c r="AA402">
        <f>'RESUMEN TOTAL'!AF408</f>
        <v>0</v>
      </c>
      <c r="AB402">
        <f>'RESUMEN TOTAL'!AG408</f>
        <v>0</v>
      </c>
      <c r="AC402">
        <f>'RESUMEN TOTAL'!AH408</f>
        <v>0</v>
      </c>
      <c r="AD402">
        <f>'RESUMEN TOTAL'!AI408</f>
        <v>0</v>
      </c>
      <c r="AE402">
        <f>'RESUMEN TOTAL'!AJ408</f>
        <v>0</v>
      </c>
      <c r="AF402">
        <f>'RESUMEN TOTAL'!AK408</f>
        <v>0</v>
      </c>
      <c r="AG402">
        <f>'RESUMEN TOTAL'!AL408</f>
        <v>0</v>
      </c>
      <c r="AH402">
        <f>'RESUMEN TOTAL'!AM408</f>
        <v>0</v>
      </c>
      <c r="AI402">
        <f>'RESUMEN TOTAL'!AN408</f>
        <v>0</v>
      </c>
    </row>
    <row r="403" spans="1:35" x14ac:dyDescent="0.3">
      <c r="A403" t="str">
        <f>'RESUMEN TOTAL'!A409</f>
        <v>VILLA ANGELICA</v>
      </c>
      <c r="B403" t="str">
        <f>'RESUMEN TOTAL'!B409</f>
        <v>VDPL06</v>
      </c>
      <c r="C403" t="str">
        <f>'RESUMEN TOTAL'!D409</f>
        <v>Thevenet e/ Islas Orcadas y Gardel</v>
      </c>
      <c r="D403" t="str">
        <f>'RESUMEN TOTAL'!E409</f>
        <v>Domo</v>
      </c>
      <c r="E403" t="str">
        <f>'RESUMEN TOTAL'!F409</f>
        <v>Radio</v>
      </c>
      <c r="F403">
        <f>'RESUMEN TOTAL'!K409</f>
        <v>0</v>
      </c>
      <c r="G403">
        <f>'RESUMEN TOTAL'!L409</f>
        <v>0</v>
      </c>
      <c r="H403">
        <f>'RESUMEN TOTAL'!M409</f>
        <v>0</v>
      </c>
      <c r="I403">
        <f>'RESUMEN TOTAL'!N409</f>
        <v>0</v>
      </c>
      <c r="J403">
        <f>'RESUMEN TOTAL'!O409</f>
        <v>0</v>
      </c>
      <c r="K403">
        <f>'RESUMEN TOTAL'!P409</f>
        <v>0</v>
      </c>
      <c r="L403">
        <f>'RESUMEN TOTAL'!Q409</f>
        <v>0</v>
      </c>
      <c r="M403">
        <f>'RESUMEN TOTAL'!R409</f>
        <v>0</v>
      </c>
      <c r="N403">
        <f>'RESUMEN TOTAL'!S409</f>
        <v>0</v>
      </c>
      <c r="O403">
        <f>'RESUMEN TOTAL'!T409</f>
        <v>0</v>
      </c>
      <c r="P403">
        <f>'RESUMEN TOTAL'!U409</f>
        <v>0</v>
      </c>
      <c r="Q403">
        <f>'RESUMEN TOTAL'!V409</f>
        <v>0</v>
      </c>
      <c r="R403">
        <f>'RESUMEN TOTAL'!W409</f>
        <v>0</v>
      </c>
      <c r="S403">
        <f>'RESUMEN TOTAL'!X409</f>
        <v>0</v>
      </c>
      <c r="T403">
        <f>'RESUMEN TOTAL'!Y409</f>
        <v>0</v>
      </c>
      <c r="U403">
        <f>'RESUMEN TOTAL'!Z409</f>
        <v>0</v>
      </c>
      <c r="V403">
        <f>'RESUMEN TOTAL'!AA409</f>
        <v>0</v>
      </c>
      <c r="W403">
        <f>'RESUMEN TOTAL'!AB409</f>
        <v>0</v>
      </c>
      <c r="X403">
        <f>'RESUMEN TOTAL'!AC409</f>
        <v>0</v>
      </c>
      <c r="Y403">
        <f>'RESUMEN TOTAL'!AD409</f>
        <v>0</v>
      </c>
      <c r="Z403">
        <f>'RESUMEN TOTAL'!AE409</f>
        <v>0</v>
      </c>
      <c r="AA403">
        <f>'RESUMEN TOTAL'!AF409</f>
        <v>0</v>
      </c>
      <c r="AB403">
        <f>'RESUMEN TOTAL'!AG409</f>
        <v>0</v>
      </c>
      <c r="AC403">
        <f>'RESUMEN TOTAL'!AH409</f>
        <v>0</v>
      </c>
      <c r="AD403">
        <f>'RESUMEN TOTAL'!AI409</f>
        <v>0</v>
      </c>
      <c r="AE403">
        <f>'RESUMEN TOTAL'!AJ409</f>
        <v>0</v>
      </c>
      <c r="AF403">
        <f>'RESUMEN TOTAL'!AK409</f>
        <v>0</v>
      </c>
      <c r="AG403">
        <f>'RESUMEN TOTAL'!AL409</f>
        <v>0</v>
      </c>
      <c r="AH403">
        <f>'RESUMEN TOTAL'!AM409</f>
        <v>0</v>
      </c>
      <c r="AI403">
        <f>'RESUMEN TOTAL'!AN409</f>
        <v>0</v>
      </c>
    </row>
    <row r="404" spans="1:35" x14ac:dyDescent="0.3">
      <c r="A404" t="str">
        <f>'RESUMEN TOTAL'!A410</f>
        <v>VILLA HUDSON</v>
      </c>
      <c r="B404" t="str">
        <f>'RESUMEN TOTAL'!B410</f>
        <v>VHS 01</v>
      </c>
      <c r="C404" t="str">
        <f>'RESUMEN TOTAL'!D410</f>
        <v>AV. HUDSON Y AV. LUJAN</v>
      </c>
      <c r="D404" t="str">
        <f>'RESUMEN TOTAL'!E410</f>
        <v>DOMO</v>
      </c>
      <c r="E404" t="str">
        <f>'RESUMEN TOTAL'!F410</f>
        <v>Fibra Optica</v>
      </c>
      <c r="F404">
        <f>'RESUMEN TOTAL'!K410</f>
        <v>0</v>
      </c>
      <c r="G404">
        <f>'RESUMEN TOTAL'!L410</f>
        <v>0</v>
      </c>
      <c r="H404">
        <f>'RESUMEN TOTAL'!M410</f>
        <v>0</v>
      </c>
      <c r="I404">
        <f>'RESUMEN TOTAL'!N410</f>
        <v>0</v>
      </c>
      <c r="J404">
        <f>'RESUMEN TOTAL'!O410</f>
        <v>0</v>
      </c>
      <c r="K404">
        <f>'RESUMEN TOTAL'!P410</f>
        <v>0</v>
      </c>
      <c r="L404">
        <f>'RESUMEN TOTAL'!Q410</f>
        <v>0</v>
      </c>
      <c r="M404">
        <f>'RESUMEN TOTAL'!R410</f>
        <v>0</v>
      </c>
      <c r="N404">
        <f>'RESUMEN TOTAL'!S410</f>
        <v>0</v>
      </c>
      <c r="O404">
        <f>'RESUMEN TOTAL'!T410</f>
        <v>0</v>
      </c>
      <c r="P404">
        <f>'RESUMEN TOTAL'!U410</f>
        <v>0</v>
      </c>
      <c r="Q404">
        <f>'RESUMEN TOTAL'!V410</f>
        <v>0</v>
      </c>
      <c r="R404">
        <f>'RESUMEN TOTAL'!W410</f>
        <v>0</v>
      </c>
      <c r="S404">
        <f>'RESUMEN TOTAL'!X410</f>
        <v>0</v>
      </c>
      <c r="T404">
        <f>'RESUMEN TOTAL'!Y410</f>
        <v>0</v>
      </c>
      <c r="U404">
        <f>'RESUMEN TOTAL'!Z410</f>
        <v>0</v>
      </c>
      <c r="V404" t="str">
        <f>'RESUMEN TOTAL'!AA410</f>
        <v>APAGADO</v>
      </c>
      <c r="W404">
        <f>'RESUMEN TOTAL'!AB410</f>
        <v>0</v>
      </c>
      <c r="X404">
        <f>'RESUMEN TOTAL'!AC410</f>
        <v>0</v>
      </c>
      <c r="Y404">
        <f>'RESUMEN TOTAL'!AD410</f>
        <v>0</v>
      </c>
      <c r="Z404">
        <f>'RESUMEN TOTAL'!AE410</f>
        <v>0</v>
      </c>
      <c r="AA404">
        <f>'RESUMEN TOTAL'!AF410</f>
        <v>0</v>
      </c>
      <c r="AB404">
        <f>'RESUMEN TOTAL'!AG410</f>
        <v>0</v>
      </c>
      <c r="AC404">
        <f>'RESUMEN TOTAL'!AH410</f>
        <v>0</v>
      </c>
      <c r="AD404">
        <f>'RESUMEN TOTAL'!AI410</f>
        <v>0</v>
      </c>
      <c r="AE404">
        <f>'RESUMEN TOTAL'!AJ410</f>
        <v>0</v>
      </c>
      <c r="AF404">
        <f>'RESUMEN TOTAL'!AK410</f>
        <v>0</v>
      </c>
      <c r="AG404">
        <f>'RESUMEN TOTAL'!AL410</f>
        <v>0</v>
      </c>
      <c r="AH404">
        <f>'RESUMEN TOTAL'!AM410</f>
        <v>0</v>
      </c>
      <c r="AI404">
        <f>'RESUMEN TOTAL'!AN410</f>
        <v>0</v>
      </c>
    </row>
    <row r="405" spans="1:35" x14ac:dyDescent="0.3">
      <c r="A405" t="str">
        <f>'RESUMEN TOTAL'!A411</f>
        <v>VILLA HUDSON</v>
      </c>
      <c r="B405" t="str">
        <f>'RESUMEN TOTAL'!B411</f>
        <v>VHS 02</v>
      </c>
      <c r="C405" t="str">
        <f>'RESUMEN TOTAL'!D411</f>
        <v>AV. LUJAN Y CALLE 909 A</v>
      </c>
      <c r="D405" t="str">
        <f>'RESUMEN TOTAL'!E411</f>
        <v>DOMO</v>
      </c>
      <c r="E405" t="str">
        <f>'RESUMEN TOTAL'!F411</f>
        <v>Fibra Optica</v>
      </c>
      <c r="F405">
        <f>'RESUMEN TOTAL'!K411</f>
        <v>0</v>
      </c>
      <c r="G405">
        <f>'RESUMEN TOTAL'!L411</f>
        <v>0</v>
      </c>
      <c r="H405">
        <f>'RESUMEN TOTAL'!M411</f>
        <v>0</v>
      </c>
      <c r="I405">
        <f>'RESUMEN TOTAL'!N411</f>
        <v>0</v>
      </c>
      <c r="J405">
        <f>'RESUMEN TOTAL'!O411</f>
        <v>0</v>
      </c>
      <c r="K405">
        <f>'RESUMEN TOTAL'!P411</f>
        <v>0</v>
      </c>
      <c r="L405">
        <f>'RESUMEN TOTAL'!Q411</f>
        <v>0</v>
      </c>
      <c r="M405">
        <f>'RESUMEN TOTAL'!R411</f>
        <v>0</v>
      </c>
      <c r="N405">
        <f>'RESUMEN TOTAL'!S411</f>
        <v>0</v>
      </c>
      <c r="O405">
        <f>'RESUMEN TOTAL'!T411</f>
        <v>0</v>
      </c>
      <c r="P405">
        <f>'RESUMEN TOTAL'!U411</f>
        <v>0</v>
      </c>
      <c r="Q405">
        <f>'RESUMEN TOTAL'!V411</f>
        <v>0</v>
      </c>
      <c r="R405">
        <f>'RESUMEN TOTAL'!W411</f>
        <v>0</v>
      </c>
      <c r="S405">
        <f>'RESUMEN TOTAL'!X411</f>
        <v>0</v>
      </c>
      <c r="T405">
        <f>'RESUMEN TOTAL'!Y411</f>
        <v>0</v>
      </c>
      <c r="U405">
        <f>'RESUMEN TOTAL'!Z411</f>
        <v>0</v>
      </c>
      <c r="V405" t="str">
        <f>'RESUMEN TOTAL'!AA411</f>
        <v>APAGADO</v>
      </c>
      <c r="W405">
        <f>'RESUMEN TOTAL'!AB411</f>
        <v>0</v>
      </c>
      <c r="X405">
        <f>'RESUMEN TOTAL'!AC411</f>
        <v>0</v>
      </c>
      <c r="Y405">
        <f>'RESUMEN TOTAL'!AD411</f>
        <v>0</v>
      </c>
      <c r="Z405">
        <f>'RESUMEN TOTAL'!AE411</f>
        <v>0</v>
      </c>
      <c r="AA405">
        <f>'RESUMEN TOTAL'!AF411</f>
        <v>0</v>
      </c>
      <c r="AB405">
        <f>'RESUMEN TOTAL'!AG411</f>
        <v>0</v>
      </c>
      <c r="AC405">
        <f>'RESUMEN TOTAL'!AH411</f>
        <v>0</v>
      </c>
      <c r="AD405">
        <f>'RESUMEN TOTAL'!AI411</f>
        <v>0</v>
      </c>
      <c r="AE405">
        <f>'RESUMEN TOTAL'!AJ411</f>
        <v>0</v>
      </c>
      <c r="AF405">
        <f>'RESUMEN TOTAL'!AK411</f>
        <v>0</v>
      </c>
      <c r="AG405">
        <f>'RESUMEN TOTAL'!AL411</f>
        <v>0</v>
      </c>
      <c r="AH405">
        <f>'RESUMEN TOTAL'!AM411</f>
        <v>0</v>
      </c>
      <c r="AI405">
        <f>'RESUMEN TOTAL'!AN411</f>
        <v>0</v>
      </c>
    </row>
    <row r="406" spans="1:35" x14ac:dyDescent="0.3">
      <c r="A406" t="str">
        <f>'RESUMEN TOTAL'!A412</f>
        <v>VILLA HUDSON</v>
      </c>
      <c r="B406" t="str">
        <f>'RESUMEN TOTAL'!B412</f>
        <v>VHS 03 (fija 1)</v>
      </c>
      <c r="C406" t="str">
        <f>'RESUMEN TOTAL'!D412</f>
        <v>AV. HUDSON Y LOS INMIGRANTES</v>
      </c>
      <c r="D406" t="str">
        <f>'RESUMEN TOTAL'!E412</f>
        <v>Fija</v>
      </c>
      <c r="E406" t="str">
        <f>'RESUMEN TOTAL'!F412</f>
        <v>Fibra Optica</v>
      </c>
      <c r="F406">
        <f>'RESUMEN TOTAL'!K412</f>
        <v>0</v>
      </c>
      <c r="G406">
        <f>'RESUMEN TOTAL'!L412</f>
        <v>0</v>
      </c>
      <c r="H406">
        <f>'RESUMEN TOTAL'!M412</f>
        <v>0</v>
      </c>
      <c r="I406">
        <f>'RESUMEN TOTAL'!N412</f>
        <v>0</v>
      </c>
      <c r="J406">
        <f>'RESUMEN TOTAL'!O412</f>
        <v>0</v>
      </c>
      <c r="K406">
        <f>'RESUMEN TOTAL'!P412</f>
        <v>0</v>
      </c>
      <c r="L406">
        <f>'RESUMEN TOTAL'!Q412</f>
        <v>0</v>
      </c>
      <c r="M406">
        <f>'RESUMEN TOTAL'!R412</f>
        <v>0</v>
      </c>
      <c r="N406">
        <f>'RESUMEN TOTAL'!S412</f>
        <v>0</v>
      </c>
      <c r="O406">
        <f>'RESUMEN TOTAL'!T412</f>
        <v>0</v>
      </c>
      <c r="P406">
        <f>'RESUMEN TOTAL'!U412</f>
        <v>0</v>
      </c>
      <c r="Q406">
        <f>'RESUMEN TOTAL'!V412</f>
        <v>0</v>
      </c>
      <c r="R406">
        <f>'RESUMEN TOTAL'!W412</f>
        <v>0</v>
      </c>
      <c r="S406">
        <f>'RESUMEN TOTAL'!X412</f>
        <v>0</v>
      </c>
      <c r="T406">
        <f>'RESUMEN TOTAL'!Y412</f>
        <v>0</v>
      </c>
      <c r="U406">
        <f>'RESUMEN TOTAL'!Z412</f>
        <v>0</v>
      </c>
      <c r="V406" t="str">
        <f>'RESUMEN TOTAL'!AA412</f>
        <v>APAGADO</v>
      </c>
      <c r="W406">
        <f>'RESUMEN TOTAL'!AB412</f>
        <v>0</v>
      </c>
      <c r="X406">
        <f>'RESUMEN TOTAL'!AC412</f>
        <v>0</v>
      </c>
      <c r="Y406">
        <f>'RESUMEN TOTAL'!AD412</f>
        <v>0</v>
      </c>
      <c r="Z406">
        <f>'RESUMEN TOTAL'!AE412</f>
        <v>0</v>
      </c>
      <c r="AA406">
        <f>'RESUMEN TOTAL'!AF412</f>
        <v>0</v>
      </c>
      <c r="AB406">
        <f>'RESUMEN TOTAL'!AG412</f>
        <v>0</v>
      </c>
      <c r="AC406">
        <f>'RESUMEN TOTAL'!AH412</f>
        <v>0</v>
      </c>
      <c r="AD406">
        <f>'RESUMEN TOTAL'!AI412</f>
        <v>0</v>
      </c>
      <c r="AE406">
        <f>'RESUMEN TOTAL'!AJ412</f>
        <v>0</v>
      </c>
      <c r="AF406">
        <f>'RESUMEN TOTAL'!AK412</f>
        <v>0</v>
      </c>
      <c r="AG406">
        <f>'RESUMEN TOTAL'!AL412</f>
        <v>0</v>
      </c>
      <c r="AH406">
        <f>'RESUMEN TOTAL'!AM412</f>
        <v>0</v>
      </c>
      <c r="AI406">
        <f>'RESUMEN TOTAL'!AN412</f>
        <v>0</v>
      </c>
    </row>
    <row r="407" spans="1:35" x14ac:dyDescent="0.3">
      <c r="A407" t="str">
        <f>'RESUMEN TOTAL'!A413</f>
        <v>VILLA HUDSON</v>
      </c>
      <c r="B407" t="str">
        <f>'RESUMEN TOTAL'!B413</f>
        <v>VHS 04 (fija 2)</v>
      </c>
      <c r="C407" t="str">
        <f>'RESUMEN TOTAL'!D413</f>
        <v>AV. HUDSON Y LOS INMIGRANTES</v>
      </c>
      <c r="D407" t="str">
        <f>'RESUMEN TOTAL'!E413</f>
        <v>Fija</v>
      </c>
      <c r="E407" t="str">
        <f>'RESUMEN TOTAL'!F413</f>
        <v>Fibra Optica</v>
      </c>
      <c r="F407">
        <f>'RESUMEN TOTAL'!K413</f>
        <v>0</v>
      </c>
      <c r="G407">
        <f>'RESUMEN TOTAL'!L413</f>
        <v>0</v>
      </c>
      <c r="H407">
        <f>'RESUMEN TOTAL'!M413</f>
        <v>0</v>
      </c>
      <c r="I407">
        <f>'RESUMEN TOTAL'!N413</f>
        <v>0</v>
      </c>
      <c r="J407">
        <f>'RESUMEN TOTAL'!O413</f>
        <v>0</v>
      </c>
      <c r="K407">
        <f>'RESUMEN TOTAL'!P413</f>
        <v>0</v>
      </c>
      <c r="L407">
        <f>'RESUMEN TOTAL'!Q413</f>
        <v>0</v>
      </c>
      <c r="M407">
        <f>'RESUMEN TOTAL'!R413</f>
        <v>0</v>
      </c>
      <c r="N407">
        <f>'RESUMEN TOTAL'!S413</f>
        <v>0</v>
      </c>
      <c r="O407">
        <f>'RESUMEN TOTAL'!T413</f>
        <v>0</v>
      </c>
      <c r="P407">
        <f>'RESUMEN TOTAL'!U413</f>
        <v>0</v>
      </c>
      <c r="Q407">
        <f>'RESUMEN TOTAL'!V413</f>
        <v>0</v>
      </c>
      <c r="R407">
        <f>'RESUMEN TOTAL'!W413</f>
        <v>0</v>
      </c>
      <c r="S407">
        <f>'RESUMEN TOTAL'!X413</f>
        <v>0</v>
      </c>
      <c r="T407">
        <f>'RESUMEN TOTAL'!Y413</f>
        <v>0</v>
      </c>
      <c r="U407">
        <f>'RESUMEN TOTAL'!Z413</f>
        <v>0</v>
      </c>
      <c r="V407" t="str">
        <f>'RESUMEN TOTAL'!AA413</f>
        <v>APAGADO</v>
      </c>
      <c r="W407">
        <f>'RESUMEN TOTAL'!AB413</f>
        <v>0</v>
      </c>
      <c r="X407">
        <f>'RESUMEN TOTAL'!AC413</f>
        <v>0</v>
      </c>
      <c r="Y407">
        <f>'RESUMEN TOTAL'!AD413</f>
        <v>0</v>
      </c>
      <c r="Z407">
        <f>'RESUMEN TOTAL'!AE413</f>
        <v>0</v>
      </c>
      <c r="AA407">
        <f>'RESUMEN TOTAL'!AF413</f>
        <v>0</v>
      </c>
      <c r="AB407">
        <f>'RESUMEN TOTAL'!AG413</f>
        <v>0</v>
      </c>
      <c r="AC407">
        <f>'RESUMEN TOTAL'!AH413</f>
        <v>0</v>
      </c>
      <c r="AD407">
        <f>'RESUMEN TOTAL'!AI413</f>
        <v>0</v>
      </c>
      <c r="AE407">
        <f>'RESUMEN TOTAL'!AJ413</f>
        <v>0</v>
      </c>
      <c r="AF407">
        <f>'RESUMEN TOTAL'!AK413</f>
        <v>0</v>
      </c>
      <c r="AG407">
        <f>'RESUMEN TOTAL'!AL413</f>
        <v>0</v>
      </c>
      <c r="AH407">
        <f>'RESUMEN TOTAL'!AM413</f>
        <v>0</v>
      </c>
      <c r="AI407">
        <f>'RESUMEN TOTAL'!AN413</f>
        <v>0</v>
      </c>
    </row>
    <row r="408" spans="1:35" x14ac:dyDescent="0.3">
      <c r="A408" t="str">
        <f>'RESUMEN TOTAL'!A414</f>
        <v>VILLA ARIAS</v>
      </c>
      <c r="B408" t="str">
        <f>'RESUMEN TOTAL'!B414</f>
        <v>VLA 01 (fija 1)</v>
      </c>
      <c r="C408" t="str">
        <f>'RESUMEN TOTAL'!D414</f>
        <v>820 Y SOLER</v>
      </c>
      <c r="D408" t="str">
        <f>'RESUMEN TOTAL'!E414</f>
        <v>Fija</v>
      </c>
      <c r="E408" t="str">
        <f>'RESUMEN TOTAL'!F414</f>
        <v>Fibra Optica</v>
      </c>
      <c r="F408">
        <f>'RESUMEN TOTAL'!K414</f>
        <v>0</v>
      </c>
      <c r="G408">
        <f>'RESUMEN TOTAL'!L414</f>
        <v>0</v>
      </c>
      <c r="H408">
        <f>'RESUMEN TOTAL'!M414</f>
        <v>0</v>
      </c>
      <c r="I408">
        <f>'RESUMEN TOTAL'!N414</f>
        <v>0</v>
      </c>
      <c r="J408">
        <f>'RESUMEN TOTAL'!O414</f>
        <v>0</v>
      </c>
      <c r="K408">
        <f>'RESUMEN TOTAL'!P414</f>
        <v>0</v>
      </c>
      <c r="L408">
        <f>'RESUMEN TOTAL'!Q414</f>
        <v>0</v>
      </c>
      <c r="M408">
        <f>'RESUMEN TOTAL'!R414</f>
        <v>0</v>
      </c>
      <c r="N408">
        <f>'RESUMEN TOTAL'!S414</f>
        <v>0</v>
      </c>
      <c r="O408">
        <f>'RESUMEN TOTAL'!T414</f>
        <v>0</v>
      </c>
      <c r="P408">
        <f>'RESUMEN TOTAL'!U414</f>
        <v>0</v>
      </c>
      <c r="Q408">
        <f>'RESUMEN TOTAL'!V414</f>
        <v>0</v>
      </c>
      <c r="R408">
        <f>'RESUMEN TOTAL'!W414</f>
        <v>0</v>
      </c>
      <c r="S408">
        <f>'RESUMEN TOTAL'!X414</f>
        <v>0</v>
      </c>
      <c r="T408">
        <f>'RESUMEN TOTAL'!Y414</f>
        <v>0</v>
      </c>
      <c r="U408">
        <f>'RESUMEN TOTAL'!Z414</f>
        <v>0</v>
      </c>
      <c r="V408">
        <f>'RESUMEN TOTAL'!AA414</f>
        <v>0</v>
      </c>
      <c r="W408">
        <f>'RESUMEN TOTAL'!AB414</f>
        <v>0</v>
      </c>
      <c r="X408">
        <f>'RESUMEN TOTAL'!AC414</f>
        <v>0</v>
      </c>
      <c r="Y408">
        <f>'RESUMEN TOTAL'!AD414</f>
        <v>0</v>
      </c>
      <c r="Z408">
        <f>'RESUMEN TOTAL'!AE414</f>
        <v>0</v>
      </c>
      <c r="AA408">
        <f>'RESUMEN TOTAL'!AF414</f>
        <v>0</v>
      </c>
      <c r="AB408">
        <f>'RESUMEN TOTAL'!AG414</f>
        <v>0</v>
      </c>
      <c r="AC408">
        <f>'RESUMEN TOTAL'!AH414</f>
        <v>0</v>
      </c>
      <c r="AD408">
        <f>'RESUMEN TOTAL'!AI414</f>
        <v>0</v>
      </c>
      <c r="AE408">
        <f>'RESUMEN TOTAL'!AJ414</f>
        <v>0</v>
      </c>
      <c r="AF408">
        <f>'RESUMEN TOTAL'!AK414</f>
        <v>0</v>
      </c>
      <c r="AG408">
        <f>'RESUMEN TOTAL'!AL414</f>
        <v>0</v>
      </c>
      <c r="AH408">
        <f>'RESUMEN TOTAL'!AM414</f>
        <v>0</v>
      </c>
      <c r="AI408">
        <f>'RESUMEN TOTAL'!AN414</f>
        <v>0</v>
      </c>
    </row>
    <row r="409" spans="1:35" x14ac:dyDescent="0.3">
      <c r="A409" t="str">
        <f>'RESUMEN TOTAL'!A415</f>
        <v>VILLA ARIAS</v>
      </c>
      <c r="B409" t="str">
        <f>'RESUMEN TOTAL'!B415</f>
        <v>VLA 02</v>
      </c>
      <c r="C409" t="str">
        <f>'RESUMEN TOTAL'!D415</f>
        <v>ESPORA Y HUDSON</v>
      </c>
      <c r="D409" t="str">
        <f>'RESUMEN TOTAL'!E415</f>
        <v>DOMO</v>
      </c>
      <c r="E409" t="str">
        <f>'RESUMEN TOTAL'!F415</f>
        <v>Fibra Optica</v>
      </c>
      <c r="F409">
        <f>'RESUMEN TOTAL'!K415</f>
        <v>0</v>
      </c>
      <c r="G409">
        <f>'RESUMEN TOTAL'!L415</f>
        <v>0</v>
      </c>
      <c r="H409">
        <f>'RESUMEN TOTAL'!M415</f>
        <v>0</v>
      </c>
      <c r="I409">
        <f>'RESUMEN TOTAL'!N415</f>
        <v>0</v>
      </c>
      <c r="J409">
        <f>'RESUMEN TOTAL'!O415</f>
        <v>0</v>
      </c>
      <c r="K409">
        <f>'RESUMEN TOTAL'!P415</f>
        <v>0</v>
      </c>
      <c r="L409">
        <f>'RESUMEN TOTAL'!Q415</f>
        <v>0</v>
      </c>
      <c r="M409">
        <f>'RESUMEN TOTAL'!R415</f>
        <v>0</v>
      </c>
      <c r="N409">
        <f>'RESUMEN TOTAL'!S415</f>
        <v>0</v>
      </c>
      <c r="O409">
        <f>'RESUMEN TOTAL'!T415</f>
        <v>0</v>
      </c>
      <c r="P409">
        <f>'RESUMEN TOTAL'!U415</f>
        <v>0</v>
      </c>
      <c r="Q409">
        <f>'RESUMEN TOTAL'!V415</f>
        <v>0</v>
      </c>
      <c r="R409">
        <f>'RESUMEN TOTAL'!W415</f>
        <v>0</v>
      </c>
      <c r="S409">
        <f>'RESUMEN TOTAL'!X415</f>
        <v>0</v>
      </c>
      <c r="T409">
        <f>'RESUMEN TOTAL'!Y415</f>
        <v>0</v>
      </c>
      <c r="U409">
        <f>'RESUMEN TOTAL'!Z415</f>
        <v>0</v>
      </c>
      <c r="V409">
        <f>'RESUMEN TOTAL'!AA415</f>
        <v>0</v>
      </c>
      <c r="W409">
        <f>'RESUMEN TOTAL'!AB415</f>
        <v>0</v>
      </c>
      <c r="X409">
        <f>'RESUMEN TOTAL'!AC415</f>
        <v>0</v>
      </c>
      <c r="Y409">
        <f>'RESUMEN TOTAL'!AD415</f>
        <v>0</v>
      </c>
      <c r="Z409">
        <f>'RESUMEN TOTAL'!AE415</f>
        <v>0</v>
      </c>
      <c r="AA409">
        <f>'RESUMEN TOTAL'!AF415</f>
        <v>0</v>
      </c>
      <c r="AB409">
        <f>'RESUMEN TOTAL'!AG415</f>
        <v>0</v>
      </c>
      <c r="AC409">
        <f>'RESUMEN TOTAL'!AH415</f>
        <v>0</v>
      </c>
      <c r="AD409">
        <f>'RESUMEN TOTAL'!AI415</f>
        <v>0</v>
      </c>
      <c r="AE409">
        <f>'RESUMEN TOTAL'!AJ415</f>
        <v>0</v>
      </c>
      <c r="AF409">
        <f>'RESUMEN TOTAL'!AK415</f>
        <v>0</v>
      </c>
      <c r="AG409">
        <f>'RESUMEN TOTAL'!AL415</f>
        <v>0</v>
      </c>
      <c r="AH409">
        <f>'RESUMEN TOTAL'!AM415</f>
        <v>0</v>
      </c>
      <c r="AI409">
        <f>'RESUMEN TOTAL'!AN415</f>
        <v>0</v>
      </c>
    </row>
    <row r="410" spans="1:35" x14ac:dyDescent="0.3">
      <c r="A410" t="str">
        <f>'RESUMEN TOTAL'!A416</f>
        <v>VILLA ARIAS</v>
      </c>
      <c r="B410" t="str">
        <f>'RESUMEN TOTAL'!B416</f>
        <v>VLA03 (fija 2)</v>
      </c>
      <c r="C410" t="str">
        <f>'RESUMEN TOTAL'!D416</f>
        <v>820 y SOLER</v>
      </c>
      <c r="D410" t="str">
        <f>'RESUMEN TOTAL'!E416</f>
        <v>Fija</v>
      </c>
      <c r="E410" t="str">
        <f>'RESUMEN TOTAL'!F416</f>
        <v>Fibra Optica</v>
      </c>
      <c r="F410">
        <f>'RESUMEN TOTAL'!K416</f>
        <v>0</v>
      </c>
      <c r="G410">
        <f>'RESUMEN TOTAL'!L416</f>
        <v>0</v>
      </c>
      <c r="H410">
        <f>'RESUMEN TOTAL'!M416</f>
        <v>0</v>
      </c>
      <c r="I410">
        <f>'RESUMEN TOTAL'!N416</f>
        <v>0</v>
      </c>
      <c r="J410">
        <f>'RESUMEN TOTAL'!O416</f>
        <v>0</v>
      </c>
      <c r="K410">
        <f>'RESUMEN TOTAL'!P416</f>
        <v>0</v>
      </c>
      <c r="L410">
        <f>'RESUMEN TOTAL'!Q416</f>
        <v>0</v>
      </c>
      <c r="M410">
        <f>'RESUMEN TOTAL'!R416</f>
        <v>0</v>
      </c>
      <c r="N410">
        <f>'RESUMEN TOTAL'!S416</f>
        <v>0</v>
      </c>
      <c r="O410">
        <f>'RESUMEN TOTAL'!T416</f>
        <v>0</v>
      </c>
      <c r="P410">
        <f>'RESUMEN TOTAL'!U416</f>
        <v>0</v>
      </c>
      <c r="Q410">
        <f>'RESUMEN TOTAL'!V416</f>
        <v>0</v>
      </c>
      <c r="R410">
        <f>'RESUMEN TOTAL'!W416</f>
        <v>0</v>
      </c>
      <c r="S410">
        <f>'RESUMEN TOTAL'!X416</f>
        <v>0</v>
      </c>
      <c r="T410">
        <f>'RESUMEN TOTAL'!Y416</f>
        <v>0</v>
      </c>
      <c r="U410">
        <f>'RESUMEN TOTAL'!Z416</f>
        <v>0</v>
      </c>
      <c r="V410">
        <f>'RESUMEN TOTAL'!AA416</f>
        <v>0</v>
      </c>
      <c r="W410">
        <f>'RESUMEN TOTAL'!AB416</f>
        <v>0</v>
      </c>
      <c r="X410">
        <f>'RESUMEN TOTAL'!AC416</f>
        <v>0</v>
      </c>
      <c r="Y410">
        <f>'RESUMEN TOTAL'!AD416</f>
        <v>0</v>
      </c>
      <c r="Z410">
        <f>'RESUMEN TOTAL'!AE416</f>
        <v>0</v>
      </c>
      <c r="AA410">
        <f>'RESUMEN TOTAL'!AF416</f>
        <v>0</v>
      </c>
      <c r="AB410">
        <f>'RESUMEN TOTAL'!AG416</f>
        <v>0</v>
      </c>
      <c r="AC410">
        <f>'RESUMEN TOTAL'!AH416</f>
        <v>0</v>
      </c>
      <c r="AD410">
        <f>'RESUMEN TOTAL'!AI416</f>
        <v>0</v>
      </c>
      <c r="AE410">
        <f>'RESUMEN TOTAL'!AJ416</f>
        <v>0</v>
      </c>
      <c r="AF410">
        <f>'RESUMEN TOTAL'!AK416</f>
        <v>0</v>
      </c>
      <c r="AG410">
        <f>'RESUMEN TOTAL'!AL416</f>
        <v>0</v>
      </c>
      <c r="AH410">
        <f>'RESUMEN TOTAL'!AM416</f>
        <v>0</v>
      </c>
      <c r="AI410">
        <f>'RESUMEN TOTAL'!AN416</f>
        <v>0</v>
      </c>
    </row>
    <row r="411" spans="1:35" x14ac:dyDescent="0.3">
      <c r="A411" t="str">
        <f>'RESUMEN TOTAL'!A417</f>
        <v>VILLA ARIAS</v>
      </c>
      <c r="B411" t="str">
        <f>'RESUMEN TOTAL'!B417</f>
        <v>VLA04</v>
      </c>
      <c r="C411" t="str">
        <f>'RESUMEN TOTAL'!D417</f>
        <v>ESPORA Y MARTIN GRASS</v>
      </c>
      <c r="D411" t="str">
        <f>'RESUMEN TOTAL'!E417</f>
        <v>DOMO</v>
      </c>
      <c r="E411" t="str">
        <f>'RESUMEN TOTAL'!F417</f>
        <v>Fibra Optica</v>
      </c>
      <c r="F411">
        <f>'RESUMEN TOTAL'!K417</f>
        <v>0</v>
      </c>
      <c r="G411">
        <f>'RESUMEN TOTAL'!L417</f>
        <v>0</v>
      </c>
      <c r="H411">
        <f>'RESUMEN TOTAL'!M417</f>
        <v>0</v>
      </c>
      <c r="I411">
        <f>'RESUMEN TOTAL'!N417</f>
        <v>0</v>
      </c>
      <c r="J411">
        <f>'RESUMEN TOTAL'!O417</f>
        <v>0</v>
      </c>
      <c r="K411">
        <f>'RESUMEN TOTAL'!P417</f>
        <v>0</v>
      </c>
      <c r="L411">
        <f>'RESUMEN TOTAL'!Q417</f>
        <v>0</v>
      </c>
      <c r="M411">
        <f>'RESUMEN TOTAL'!R417</f>
        <v>0</v>
      </c>
      <c r="N411">
        <f>'RESUMEN TOTAL'!S417</f>
        <v>0</v>
      </c>
      <c r="O411">
        <f>'RESUMEN TOTAL'!T417</f>
        <v>0</v>
      </c>
      <c r="P411">
        <f>'RESUMEN TOTAL'!U417</f>
        <v>0</v>
      </c>
      <c r="Q411">
        <f>'RESUMEN TOTAL'!V417</f>
        <v>0</v>
      </c>
      <c r="R411">
        <f>'RESUMEN TOTAL'!W417</f>
        <v>0</v>
      </c>
      <c r="S411">
        <f>'RESUMEN TOTAL'!X417</f>
        <v>0</v>
      </c>
      <c r="T411">
        <f>'RESUMEN TOTAL'!Y417</f>
        <v>0</v>
      </c>
      <c r="U411">
        <f>'RESUMEN TOTAL'!Z417</f>
        <v>0</v>
      </c>
      <c r="V411">
        <f>'RESUMEN TOTAL'!AA417</f>
        <v>0</v>
      </c>
      <c r="W411">
        <f>'RESUMEN TOTAL'!AB417</f>
        <v>0</v>
      </c>
      <c r="X411">
        <f>'RESUMEN TOTAL'!AC417</f>
        <v>0</v>
      </c>
      <c r="Y411">
        <f>'RESUMEN TOTAL'!AD417</f>
        <v>0</v>
      </c>
      <c r="Z411">
        <f>'RESUMEN TOTAL'!AE417</f>
        <v>0</v>
      </c>
      <c r="AA411">
        <f>'RESUMEN TOTAL'!AF417</f>
        <v>0</v>
      </c>
      <c r="AB411">
        <f>'RESUMEN TOTAL'!AG417</f>
        <v>0</v>
      </c>
      <c r="AC411">
        <f>'RESUMEN TOTAL'!AH417</f>
        <v>0</v>
      </c>
      <c r="AD411">
        <f>'RESUMEN TOTAL'!AI417</f>
        <v>0</v>
      </c>
      <c r="AE411">
        <f>'RESUMEN TOTAL'!AJ417</f>
        <v>0</v>
      </c>
      <c r="AF411">
        <f>'RESUMEN TOTAL'!AK417</f>
        <v>0</v>
      </c>
      <c r="AG411">
        <f>'RESUMEN TOTAL'!AL417</f>
        <v>0</v>
      </c>
      <c r="AH411">
        <f>'RESUMEN TOTAL'!AM417</f>
        <v>0</v>
      </c>
      <c r="AI411">
        <f>'RESUMEN TOTAL'!AN417</f>
        <v>0</v>
      </c>
    </row>
    <row r="412" spans="1:35" x14ac:dyDescent="0.3">
      <c r="A412" t="str">
        <f>'RESUMEN TOTAL'!A418</f>
        <v>VILLA ARIAS</v>
      </c>
      <c r="B412" t="str">
        <f>'RESUMEN TOTAL'!B418</f>
        <v>VLA05</v>
      </c>
      <c r="C412" t="str">
        <f>'RESUMEN TOTAL'!D418</f>
        <v>ESPORA Y 802</v>
      </c>
      <c r="D412" t="str">
        <f>'RESUMEN TOTAL'!E418</f>
        <v>DOMO</v>
      </c>
      <c r="E412" t="str">
        <f>'RESUMEN TOTAL'!F418</f>
        <v>Fibra Optica</v>
      </c>
      <c r="F412">
        <f>'RESUMEN TOTAL'!K418</f>
        <v>0</v>
      </c>
      <c r="G412">
        <f>'RESUMEN TOTAL'!L418</f>
        <v>0</v>
      </c>
      <c r="H412">
        <f>'RESUMEN TOTAL'!M418</f>
        <v>0</v>
      </c>
      <c r="I412">
        <f>'RESUMEN TOTAL'!N418</f>
        <v>0</v>
      </c>
      <c r="J412">
        <f>'RESUMEN TOTAL'!O418</f>
        <v>0</v>
      </c>
      <c r="K412">
        <f>'RESUMEN TOTAL'!P418</f>
        <v>0</v>
      </c>
      <c r="L412">
        <f>'RESUMEN TOTAL'!Q418</f>
        <v>0</v>
      </c>
      <c r="M412">
        <f>'RESUMEN TOTAL'!R418</f>
        <v>0</v>
      </c>
      <c r="N412">
        <f>'RESUMEN TOTAL'!S418</f>
        <v>0</v>
      </c>
      <c r="O412">
        <f>'RESUMEN TOTAL'!T418</f>
        <v>0</v>
      </c>
      <c r="P412">
        <f>'RESUMEN TOTAL'!U418</f>
        <v>0</v>
      </c>
      <c r="Q412">
        <f>'RESUMEN TOTAL'!V418</f>
        <v>0</v>
      </c>
      <c r="R412">
        <f>'RESUMEN TOTAL'!W418</f>
        <v>0</v>
      </c>
      <c r="S412">
        <f>'RESUMEN TOTAL'!X418</f>
        <v>0</v>
      </c>
      <c r="T412">
        <f>'RESUMEN TOTAL'!Y418</f>
        <v>0</v>
      </c>
      <c r="U412">
        <f>'RESUMEN TOTAL'!Z418</f>
        <v>0</v>
      </c>
      <c r="V412">
        <f>'RESUMEN TOTAL'!AA418</f>
        <v>0</v>
      </c>
      <c r="W412">
        <f>'RESUMEN TOTAL'!AB418</f>
        <v>0</v>
      </c>
      <c r="X412">
        <f>'RESUMEN TOTAL'!AC418</f>
        <v>0</v>
      </c>
      <c r="Y412">
        <f>'RESUMEN TOTAL'!AD418</f>
        <v>0</v>
      </c>
      <c r="Z412">
        <f>'RESUMEN TOTAL'!AE418</f>
        <v>0</v>
      </c>
      <c r="AA412">
        <f>'RESUMEN TOTAL'!AF418</f>
        <v>0</v>
      </c>
      <c r="AB412">
        <f>'RESUMEN TOTAL'!AG418</f>
        <v>0</v>
      </c>
      <c r="AC412">
        <f>'RESUMEN TOTAL'!AH418</f>
        <v>0</v>
      </c>
      <c r="AD412">
        <f>'RESUMEN TOTAL'!AI418</f>
        <v>0</v>
      </c>
      <c r="AE412">
        <f>'RESUMEN TOTAL'!AJ418</f>
        <v>0</v>
      </c>
      <c r="AF412">
        <f>'RESUMEN TOTAL'!AK418</f>
        <v>0</v>
      </c>
      <c r="AG412">
        <f>'RESUMEN TOTAL'!AL418</f>
        <v>0</v>
      </c>
      <c r="AH412">
        <f>'RESUMEN TOTAL'!AM418</f>
        <v>0</v>
      </c>
      <c r="AI412">
        <f>'RESUMEN TOTAL'!AN418</f>
        <v>0</v>
      </c>
    </row>
    <row r="413" spans="1:35" x14ac:dyDescent="0.3">
      <c r="A413" t="str">
        <f>'RESUMEN TOTAL'!A419</f>
        <v>VILLA MONICA NUEVA</v>
      </c>
      <c r="B413" t="str">
        <f>'RESUMEN TOTAL'!B419</f>
        <v>VMO 02</v>
      </c>
      <c r="C413" t="str">
        <f>'RESUMEN TOTAL'!D419</f>
        <v>Rio Carapachay y Oroño</v>
      </c>
      <c r="D413" t="str">
        <f>'RESUMEN TOTAL'!E419</f>
        <v>Domo</v>
      </c>
      <c r="E413" t="str">
        <f>'RESUMEN TOTAL'!F419</f>
        <v>Radio</v>
      </c>
      <c r="F413" t="str">
        <f>'RESUMEN TOTAL'!K419</f>
        <v>APAGADO</v>
      </c>
      <c r="G413">
        <f>'RESUMEN TOTAL'!L419</f>
        <v>0</v>
      </c>
      <c r="H413">
        <f>'RESUMEN TOTAL'!M419</f>
        <v>0</v>
      </c>
      <c r="I413">
        <f>'RESUMEN TOTAL'!N419</f>
        <v>0</v>
      </c>
      <c r="J413">
        <f>'RESUMEN TOTAL'!O419</f>
        <v>0</v>
      </c>
      <c r="K413">
        <f>'RESUMEN TOTAL'!P419</f>
        <v>0</v>
      </c>
      <c r="L413">
        <f>'RESUMEN TOTAL'!Q419</f>
        <v>0</v>
      </c>
      <c r="M413">
        <f>'RESUMEN TOTAL'!R419</f>
        <v>0</v>
      </c>
      <c r="N413">
        <f>'RESUMEN TOTAL'!S419</f>
        <v>0</v>
      </c>
      <c r="O413">
        <f>'RESUMEN TOTAL'!T419</f>
        <v>0</v>
      </c>
      <c r="P413">
        <f>'RESUMEN TOTAL'!U419</f>
        <v>0</v>
      </c>
      <c r="Q413">
        <f>'RESUMEN TOTAL'!V419</f>
        <v>0</v>
      </c>
      <c r="R413">
        <f>'RESUMEN TOTAL'!W419</f>
        <v>0</v>
      </c>
      <c r="S413">
        <f>'RESUMEN TOTAL'!X419</f>
        <v>0</v>
      </c>
      <c r="T413">
        <f>'RESUMEN TOTAL'!Y419</f>
        <v>0</v>
      </c>
      <c r="U413">
        <f>'RESUMEN TOTAL'!Z419</f>
        <v>0</v>
      </c>
      <c r="V413">
        <f>'RESUMEN TOTAL'!AA419</f>
        <v>0</v>
      </c>
      <c r="W413">
        <f>'RESUMEN TOTAL'!AB419</f>
        <v>0</v>
      </c>
      <c r="X413">
        <f>'RESUMEN TOTAL'!AC419</f>
        <v>0</v>
      </c>
      <c r="Y413">
        <f>'RESUMEN TOTAL'!AD419</f>
        <v>0</v>
      </c>
      <c r="Z413">
        <f>'RESUMEN TOTAL'!AE419</f>
        <v>0</v>
      </c>
      <c r="AA413">
        <f>'RESUMEN TOTAL'!AF419</f>
        <v>0</v>
      </c>
      <c r="AB413">
        <f>'RESUMEN TOTAL'!AG419</f>
        <v>0</v>
      </c>
      <c r="AC413">
        <f>'RESUMEN TOTAL'!AH419</f>
        <v>0</v>
      </c>
      <c r="AD413">
        <f>'RESUMEN TOTAL'!AI419</f>
        <v>0</v>
      </c>
      <c r="AE413">
        <f>'RESUMEN TOTAL'!AJ419</f>
        <v>0</v>
      </c>
      <c r="AF413">
        <f>'RESUMEN TOTAL'!AK419</f>
        <v>0</v>
      </c>
      <c r="AG413">
        <f>'RESUMEN TOTAL'!AL419</f>
        <v>0</v>
      </c>
      <c r="AH413">
        <f>'RESUMEN TOTAL'!AM419</f>
        <v>0</v>
      </c>
      <c r="AI413">
        <f>'RESUMEN TOTAL'!AN419</f>
        <v>0</v>
      </c>
    </row>
    <row r="414" spans="1:35" x14ac:dyDescent="0.3">
      <c r="A414" t="str">
        <f>'RESUMEN TOTAL'!A420</f>
        <v>VILLA MONICA NUEVA</v>
      </c>
      <c r="B414" t="str">
        <f>'RESUMEN TOTAL'!B420</f>
        <v>VMO 03 (fija 1)</v>
      </c>
      <c r="C414" t="str">
        <f>'RESUMEN TOTAL'!D420</f>
        <v>EVA PERON E/ OROÑO Y 734 A</v>
      </c>
      <c r="D414" t="str">
        <f>'RESUMEN TOTAL'!E420</f>
        <v>Fija</v>
      </c>
      <c r="E414" t="str">
        <f>'RESUMEN TOTAL'!F420</f>
        <v>Fibra Optica</v>
      </c>
      <c r="F414">
        <f>'RESUMEN TOTAL'!K420</f>
        <v>0</v>
      </c>
      <c r="G414">
        <f>'RESUMEN TOTAL'!L420</f>
        <v>0</v>
      </c>
      <c r="H414">
        <f>'RESUMEN TOTAL'!M420</f>
        <v>0</v>
      </c>
      <c r="I414">
        <f>'RESUMEN TOTAL'!N420</f>
        <v>0</v>
      </c>
      <c r="J414">
        <f>'RESUMEN TOTAL'!O420</f>
        <v>0</v>
      </c>
      <c r="K414">
        <f>'RESUMEN TOTAL'!P420</f>
        <v>0</v>
      </c>
      <c r="L414">
        <f>'RESUMEN TOTAL'!Q420</f>
        <v>0</v>
      </c>
      <c r="M414">
        <f>'RESUMEN TOTAL'!R420</f>
        <v>0</v>
      </c>
      <c r="N414">
        <f>'RESUMEN TOTAL'!S420</f>
        <v>0</v>
      </c>
      <c r="O414">
        <f>'RESUMEN TOTAL'!T420</f>
        <v>0</v>
      </c>
      <c r="P414">
        <f>'RESUMEN TOTAL'!U420</f>
        <v>0</v>
      </c>
      <c r="Q414">
        <f>'RESUMEN TOTAL'!V420</f>
        <v>0</v>
      </c>
      <c r="R414">
        <f>'RESUMEN TOTAL'!W420</f>
        <v>0</v>
      </c>
      <c r="S414">
        <f>'RESUMEN TOTAL'!X420</f>
        <v>0</v>
      </c>
      <c r="T414">
        <f>'RESUMEN TOTAL'!Y420</f>
        <v>0</v>
      </c>
      <c r="U414">
        <f>'RESUMEN TOTAL'!Z420</f>
        <v>0</v>
      </c>
      <c r="V414">
        <f>'RESUMEN TOTAL'!AA420</f>
        <v>0</v>
      </c>
      <c r="W414">
        <f>'RESUMEN TOTAL'!AB420</f>
        <v>0</v>
      </c>
      <c r="X414">
        <f>'RESUMEN TOTAL'!AC420</f>
        <v>0</v>
      </c>
      <c r="Y414">
        <f>'RESUMEN TOTAL'!AD420</f>
        <v>0</v>
      </c>
      <c r="Z414">
        <f>'RESUMEN TOTAL'!AE420</f>
        <v>0</v>
      </c>
      <c r="AA414">
        <f>'RESUMEN TOTAL'!AF420</f>
        <v>0</v>
      </c>
      <c r="AB414">
        <f>'RESUMEN TOTAL'!AG420</f>
        <v>0</v>
      </c>
      <c r="AC414">
        <f>'RESUMEN TOTAL'!AH420</f>
        <v>0</v>
      </c>
      <c r="AD414">
        <f>'RESUMEN TOTAL'!AI420</f>
        <v>0</v>
      </c>
      <c r="AE414">
        <f>'RESUMEN TOTAL'!AJ420</f>
        <v>0</v>
      </c>
      <c r="AF414">
        <f>'RESUMEN TOTAL'!AK420</f>
        <v>0</v>
      </c>
      <c r="AG414">
        <f>'RESUMEN TOTAL'!AL420</f>
        <v>0</v>
      </c>
      <c r="AH414">
        <f>'RESUMEN TOTAL'!AM420</f>
        <v>0</v>
      </c>
      <c r="AI414">
        <f>'RESUMEN TOTAL'!AN420</f>
        <v>0</v>
      </c>
    </row>
    <row r="415" spans="1:35" x14ac:dyDescent="0.3">
      <c r="A415" t="str">
        <f>'RESUMEN TOTAL'!A421</f>
        <v>VILLA MONICA NUEVA</v>
      </c>
      <c r="B415" t="str">
        <f>'RESUMEN TOTAL'!B421</f>
        <v>VMO 04 (fija 2)</v>
      </c>
      <c r="C415" t="str">
        <f>'RESUMEN TOTAL'!D421</f>
        <v>EVA PERON E/ OROÑO Y 734 A</v>
      </c>
      <c r="D415" t="str">
        <f>'RESUMEN TOTAL'!E421</f>
        <v>Fija</v>
      </c>
      <c r="E415" t="str">
        <f>'RESUMEN TOTAL'!F421</f>
        <v>Fibra Optica</v>
      </c>
      <c r="F415">
        <f>'RESUMEN TOTAL'!K421</f>
        <v>0</v>
      </c>
      <c r="G415">
        <f>'RESUMEN TOTAL'!L421</f>
        <v>0</v>
      </c>
      <c r="H415">
        <f>'RESUMEN TOTAL'!M421</f>
        <v>0</v>
      </c>
      <c r="I415">
        <f>'RESUMEN TOTAL'!N421</f>
        <v>0</v>
      </c>
      <c r="J415">
        <f>'RESUMEN TOTAL'!O421</f>
        <v>0</v>
      </c>
      <c r="K415">
        <f>'RESUMEN TOTAL'!P421</f>
        <v>0</v>
      </c>
      <c r="L415">
        <f>'RESUMEN TOTAL'!Q421</f>
        <v>0</v>
      </c>
      <c r="M415">
        <f>'RESUMEN TOTAL'!R421</f>
        <v>0</v>
      </c>
      <c r="N415">
        <f>'RESUMEN TOTAL'!S421</f>
        <v>0</v>
      </c>
      <c r="O415">
        <f>'RESUMEN TOTAL'!T421</f>
        <v>0</v>
      </c>
      <c r="P415">
        <f>'RESUMEN TOTAL'!U421</f>
        <v>0</v>
      </c>
      <c r="Q415">
        <f>'RESUMEN TOTAL'!V421</f>
        <v>0</v>
      </c>
      <c r="R415">
        <f>'RESUMEN TOTAL'!W421</f>
        <v>0</v>
      </c>
      <c r="S415">
        <f>'RESUMEN TOTAL'!X421</f>
        <v>0</v>
      </c>
      <c r="T415">
        <f>'RESUMEN TOTAL'!Y421</f>
        <v>0</v>
      </c>
      <c r="U415">
        <f>'RESUMEN TOTAL'!Z421</f>
        <v>0</v>
      </c>
      <c r="V415">
        <f>'RESUMEN TOTAL'!AA421</f>
        <v>0</v>
      </c>
      <c r="W415">
        <f>'RESUMEN TOTAL'!AB421</f>
        <v>0</v>
      </c>
      <c r="X415">
        <f>'RESUMEN TOTAL'!AC421</f>
        <v>0</v>
      </c>
      <c r="Y415">
        <f>'RESUMEN TOTAL'!AD421</f>
        <v>0</v>
      </c>
      <c r="Z415">
        <f>'RESUMEN TOTAL'!AE421</f>
        <v>0</v>
      </c>
      <c r="AA415">
        <f>'RESUMEN TOTAL'!AF421</f>
        <v>0</v>
      </c>
      <c r="AB415">
        <f>'RESUMEN TOTAL'!AG421</f>
        <v>0</v>
      </c>
      <c r="AC415">
        <f>'RESUMEN TOTAL'!AH421</f>
        <v>0</v>
      </c>
      <c r="AD415">
        <f>'RESUMEN TOTAL'!AI421</f>
        <v>0</v>
      </c>
      <c r="AE415">
        <f>'RESUMEN TOTAL'!AJ421</f>
        <v>0</v>
      </c>
      <c r="AF415">
        <f>'RESUMEN TOTAL'!AK421</f>
        <v>0</v>
      </c>
      <c r="AG415">
        <f>'RESUMEN TOTAL'!AL421</f>
        <v>0</v>
      </c>
      <c r="AH415">
        <f>'RESUMEN TOTAL'!AM421</f>
        <v>0</v>
      </c>
      <c r="AI415">
        <f>'RESUMEN TOTAL'!AN421</f>
        <v>0</v>
      </c>
    </row>
    <row r="416" spans="1:35" x14ac:dyDescent="0.3">
      <c r="A416" t="str">
        <f>'RESUMEN TOTAL'!A422</f>
        <v>VILLA MONICA NUEVA</v>
      </c>
      <c r="B416" t="str">
        <f>'RESUMEN TOTAL'!B422</f>
        <v>VMO 05</v>
      </c>
      <c r="C416" t="str">
        <f>'RESUMEN TOTAL'!D422</f>
        <v>OROÑO Y EVA PERON</v>
      </c>
      <c r="D416" t="str">
        <f>'RESUMEN TOTAL'!E422</f>
        <v>DOMO</v>
      </c>
      <c r="E416" t="str">
        <f>'RESUMEN TOTAL'!F422</f>
        <v>Fibra Optica</v>
      </c>
      <c r="F416">
        <f>'RESUMEN TOTAL'!K422</f>
        <v>0</v>
      </c>
      <c r="G416">
        <f>'RESUMEN TOTAL'!L422</f>
        <v>0</v>
      </c>
      <c r="H416">
        <f>'RESUMEN TOTAL'!M422</f>
        <v>0</v>
      </c>
      <c r="I416">
        <f>'RESUMEN TOTAL'!N422</f>
        <v>0</v>
      </c>
      <c r="J416">
        <f>'RESUMEN TOTAL'!O422</f>
        <v>0</v>
      </c>
      <c r="K416">
        <f>'RESUMEN TOTAL'!P422</f>
        <v>0</v>
      </c>
      <c r="L416">
        <f>'RESUMEN TOTAL'!Q422</f>
        <v>0</v>
      </c>
      <c r="M416">
        <f>'RESUMEN TOTAL'!R422</f>
        <v>0</v>
      </c>
      <c r="N416">
        <f>'RESUMEN TOTAL'!S422</f>
        <v>0</v>
      </c>
      <c r="O416">
        <f>'RESUMEN TOTAL'!T422</f>
        <v>0</v>
      </c>
      <c r="P416">
        <f>'RESUMEN TOTAL'!U422</f>
        <v>0</v>
      </c>
      <c r="Q416">
        <f>'RESUMEN TOTAL'!V422</f>
        <v>0</v>
      </c>
      <c r="R416">
        <f>'RESUMEN TOTAL'!W422</f>
        <v>0</v>
      </c>
      <c r="S416">
        <f>'RESUMEN TOTAL'!X422</f>
        <v>0</v>
      </c>
      <c r="T416">
        <f>'RESUMEN TOTAL'!Y422</f>
        <v>0</v>
      </c>
      <c r="U416">
        <f>'RESUMEN TOTAL'!Z422</f>
        <v>0</v>
      </c>
      <c r="V416">
        <f>'RESUMEN TOTAL'!AA422</f>
        <v>0</v>
      </c>
      <c r="W416">
        <f>'RESUMEN TOTAL'!AB422</f>
        <v>0</v>
      </c>
      <c r="X416">
        <f>'RESUMEN TOTAL'!AC422</f>
        <v>0</v>
      </c>
      <c r="Y416">
        <f>'RESUMEN TOTAL'!AD422</f>
        <v>0</v>
      </c>
      <c r="Z416">
        <f>'RESUMEN TOTAL'!AE422</f>
        <v>0</v>
      </c>
      <c r="AA416">
        <f>'RESUMEN TOTAL'!AF422</f>
        <v>0</v>
      </c>
      <c r="AB416">
        <f>'RESUMEN TOTAL'!AG422</f>
        <v>0</v>
      </c>
      <c r="AC416">
        <f>'RESUMEN TOTAL'!AH422</f>
        <v>0</v>
      </c>
      <c r="AD416">
        <f>'RESUMEN TOTAL'!AI422</f>
        <v>0</v>
      </c>
      <c r="AE416">
        <f>'RESUMEN TOTAL'!AJ422</f>
        <v>0</v>
      </c>
      <c r="AF416">
        <f>'RESUMEN TOTAL'!AK422</f>
        <v>0</v>
      </c>
      <c r="AG416">
        <f>'RESUMEN TOTAL'!AL422</f>
        <v>0</v>
      </c>
      <c r="AH416">
        <f>'RESUMEN TOTAL'!AM422</f>
        <v>0</v>
      </c>
      <c r="AI416">
        <f>'RESUMEN TOTAL'!AN422</f>
        <v>0</v>
      </c>
    </row>
    <row r="417" spans="1:35" x14ac:dyDescent="0.3">
      <c r="A417" t="str">
        <f>'RESUMEN TOTAL'!A423</f>
        <v>VILLA MONICA NUEVA</v>
      </c>
      <c r="B417" t="str">
        <f>'RESUMEN TOTAL'!B423</f>
        <v>VMO01</v>
      </c>
      <c r="C417" t="str">
        <f>'RESUMEN TOTAL'!D423</f>
        <v>Eva Peron y Monseñor de las Casas</v>
      </c>
      <c r="D417" t="str">
        <f>'RESUMEN TOTAL'!E423</f>
        <v>DOMO</v>
      </c>
      <c r="E417" t="str">
        <f>'RESUMEN TOTAL'!F423</f>
        <v>Fibra Optica</v>
      </c>
      <c r="F417" t="str">
        <f>'RESUMEN TOTAL'!K423</f>
        <v>APAGADO</v>
      </c>
      <c r="G417" t="str">
        <f>'RESUMEN TOTAL'!L423</f>
        <v>APAGADO</v>
      </c>
      <c r="H417" t="str">
        <f>'RESUMEN TOTAL'!M423</f>
        <v>APAGADO</v>
      </c>
      <c r="I417" t="str">
        <f>'RESUMEN TOTAL'!N423</f>
        <v>APAGADO</v>
      </c>
      <c r="J417" t="str">
        <f>'RESUMEN TOTAL'!O423</f>
        <v>APAGADO</v>
      </c>
      <c r="K417" t="str">
        <f>'RESUMEN TOTAL'!P423</f>
        <v>APAGADO</v>
      </c>
      <c r="L417" t="str">
        <f>'RESUMEN TOTAL'!Q423</f>
        <v>APAGADO</v>
      </c>
      <c r="M417" t="str">
        <f>'RESUMEN TOTAL'!R423</f>
        <v>APAGADO</v>
      </c>
      <c r="N417" t="str">
        <f>'RESUMEN TOTAL'!S423</f>
        <v>APAGADO</v>
      </c>
      <c r="O417" t="str">
        <f>'RESUMEN TOTAL'!T423</f>
        <v>APAGADO</v>
      </c>
      <c r="P417" t="str">
        <f>'RESUMEN TOTAL'!U423</f>
        <v>APAGADO</v>
      </c>
      <c r="Q417" t="str">
        <f>'RESUMEN TOTAL'!V423</f>
        <v>APAGADO</v>
      </c>
      <c r="R417" t="str">
        <f>'RESUMEN TOTAL'!W423</f>
        <v>APAGADO</v>
      </c>
      <c r="S417" t="str">
        <f>'RESUMEN TOTAL'!X423</f>
        <v>APAGADO</v>
      </c>
      <c r="T417" t="str">
        <f>'RESUMEN TOTAL'!Y423</f>
        <v>APAGADO</v>
      </c>
      <c r="U417" t="str">
        <f>'RESUMEN TOTAL'!Z423</f>
        <v>APAGADO</v>
      </c>
      <c r="V417" t="str">
        <f>'RESUMEN TOTAL'!AA423</f>
        <v>APAGADO</v>
      </c>
      <c r="W417" t="str">
        <f>'RESUMEN TOTAL'!AB423</f>
        <v>APAGADO</v>
      </c>
      <c r="X417" t="str">
        <f>'RESUMEN TOTAL'!AC423</f>
        <v>APAGADO</v>
      </c>
      <c r="Y417">
        <f>'RESUMEN TOTAL'!AD423</f>
        <v>0</v>
      </c>
      <c r="Z417">
        <f>'RESUMEN TOTAL'!AE423</f>
        <v>0</v>
      </c>
      <c r="AA417">
        <f>'RESUMEN TOTAL'!AF423</f>
        <v>0</v>
      </c>
      <c r="AB417">
        <f>'RESUMEN TOTAL'!AG423</f>
        <v>0</v>
      </c>
      <c r="AC417">
        <f>'RESUMEN TOTAL'!AH423</f>
        <v>0</v>
      </c>
      <c r="AD417">
        <f>'RESUMEN TOTAL'!AI423</f>
        <v>0</v>
      </c>
      <c r="AE417">
        <f>'RESUMEN TOTAL'!AJ423</f>
        <v>0</v>
      </c>
      <c r="AF417">
        <f>'RESUMEN TOTAL'!AK423</f>
        <v>0</v>
      </c>
      <c r="AG417">
        <f>'RESUMEN TOTAL'!AL423</f>
        <v>0</v>
      </c>
      <c r="AH417">
        <f>'RESUMEN TOTAL'!AM423</f>
        <v>0</v>
      </c>
      <c r="AI417">
        <f>'RESUMEN TOTAL'!AN423</f>
        <v>0</v>
      </c>
    </row>
    <row r="418" spans="1:35" x14ac:dyDescent="0.3">
      <c r="A418" t="str">
        <f>'RESUMEN TOTAL'!A424</f>
        <v>VILLA MONICA VIEJA</v>
      </c>
      <c r="B418" t="str">
        <f>'RESUMEN TOTAL'!B424</f>
        <v>VMOV01 (fija 1)</v>
      </c>
      <c r="C418" t="str">
        <f>'RESUMEN TOTAL'!D424</f>
        <v>ATENAS E/ CAFFERATA Y ALEMANIA</v>
      </c>
      <c r="D418" t="str">
        <f>'RESUMEN TOTAL'!E424</f>
        <v>Fija</v>
      </c>
      <c r="E418" t="str">
        <f>'RESUMEN TOTAL'!F424</f>
        <v>Fibra Optica</v>
      </c>
      <c r="F418">
        <f>'RESUMEN TOTAL'!K424</f>
        <v>0</v>
      </c>
      <c r="G418">
        <f>'RESUMEN TOTAL'!L424</f>
        <v>0</v>
      </c>
      <c r="H418">
        <f>'RESUMEN TOTAL'!M424</f>
        <v>0</v>
      </c>
      <c r="I418">
        <f>'RESUMEN TOTAL'!N424</f>
        <v>0</v>
      </c>
      <c r="J418">
        <f>'RESUMEN TOTAL'!O424</f>
        <v>0</v>
      </c>
      <c r="K418">
        <f>'RESUMEN TOTAL'!P424</f>
        <v>0</v>
      </c>
      <c r="L418">
        <f>'RESUMEN TOTAL'!Q424</f>
        <v>0</v>
      </c>
      <c r="M418">
        <f>'RESUMEN TOTAL'!R424</f>
        <v>0</v>
      </c>
      <c r="N418">
        <f>'RESUMEN TOTAL'!S424</f>
        <v>0</v>
      </c>
      <c r="O418">
        <f>'RESUMEN TOTAL'!T424</f>
        <v>0</v>
      </c>
      <c r="P418">
        <f>'RESUMEN TOTAL'!U424</f>
        <v>0</v>
      </c>
      <c r="Q418">
        <f>'RESUMEN TOTAL'!V424</f>
        <v>0</v>
      </c>
      <c r="R418">
        <f>'RESUMEN TOTAL'!W424</f>
        <v>0</v>
      </c>
      <c r="S418">
        <f>'RESUMEN TOTAL'!X424</f>
        <v>0</v>
      </c>
      <c r="T418">
        <f>'RESUMEN TOTAL'!Y424</f>
        <v>0</v>
      </c>
      <c r="U418">
        <f>'RESUMEN TOTAL'!Z424</f>
        <v>0</v>
      </c>
      <c r="V418">
        <f>'RESUMEN TOTAL'!AA424</f>
        <v>0</v>
      </c>
      <c r="W418">
        <f>'RESUMEN TOTAL'!AB424</f>
        <v>0</v>
      </c>
      <c r="X418">
        <f>'RESUMEN TOTAL'!AC424</f>
        <v>0</v>
      </c>
      <c r="Y418">
        <f>'RESUMEN TOTAL'!AD424</f>
        <v>0</v>
      </c>
      <c r="Z418">
        <f>'RESUMEN TOTAL'!AE424</f>
        <v>0</v>
      </c>
      <c r="AA418">
        <f>'RESUMEN TOTAL'!AF424</f>
        <v>0</v>
      </c>
      <c r="AB418">
        <f>'RESUMEN TOTAL'!AG424</f>
        <v>0</v>
      </c>
      <c r="AC418">
        <f>'RESUMEN TOTAL'!AH424</f>
        <v>0</v>
      </c>
      <c r="AD418">
        <f>'RESUMEN TOTAL'!AI424</f>
        <v>0</v>
      </c>
      <c r="AE418">
        <f>'RESUMEN TOTAL'!AJ424</f>
        <v>0</v>
      </c>
      <c r="AF418">
        <f>'RESUMEN TOTAL'!AK424</f>
        <v>0</v>
      </c>
      <c r="AG418">
        <f>'RESUMEN TOTAL'!AL424</f>
        <v>0</v>
      </c>
      <c r="AH418">
        <f>'RESUMEN TOTAL'!AM424</f>
        <v>0</v>
      </c>
      <c r="AI418">
        <f>'RESUMEN TOTAL'!AN424</f>
        <v>0</v>
      </c>
    </row>
    <row r="419" spans="1:35" x14ac:dyDescent="0.3">
      <c r="A419" t="str">
        <f>'RESUMEN TOTAL'!A425</f>
        <v>VILLA MONICA VIEJA</v>
      </c>
      <c r="B419" t="str">
        <f>'RESUMEN TOTAL'!B425</f>
        <v>VMOV 02 (fija 2)</v>
      </c>
      <c r="C419" t="str">
        <f>'RESUMEN TOTAL'!D425</f>
        <v>ATENAS E/ CAFFERATA Y ALEMANIA</v>
      </c>
      <c r="D419" t="str">
        <f>'RESUMEN TOTAL'!E425</f>
        <v>Fija</v>
      </c>
      <c r="E419" t="str">
        <f>'RESUMEN TOTAL'!F425</f>
        <v>Fibra Optica</v>
      </c>
      <c r="F419">
        <f>'RESUMEN TOTAL'!K425</f>
        <v>0</v>
      </c>
      <c r="G419">
        <f>'RESUMEN TOTAL'!L425</f>
        <v>0</v>
      </c>
      <c r="H419">
        <f>'RESUMEN TOTAL'!M425</f>
        <v>0</v>
      </c>
      <c r="I419">
        <f>'RESUMEN TOTAL'!N425</f>
        <v>0</v>
      </c>
      <c r="J419">
        <f>'RESUMEN TOTAL'!O425</f>
        <v>0</v>
      </c>
      <c r="K419">
        <f>'RESUMEN TOTAL'!P425</f>
        <v>0</v>
      </c>
      <c r="L419">
        <f>'RESUMEN TOTAL'!Q425</f>
        <v>0</v>
      </c>
      <c r="M419">
        <f>'RESUMEN TOTAL'!R425</f>
        <v>0</v>
      </c>
      <c r="N419">
        <f>'RESUMEN TOTAL'!S425</f>
        <v>0</v>
      </c>
      <c r="O419">
        <f>'RESUMEN TOTAL'!T425</f>
        <v>0</v>
      </c>
      <c r="P419">
        <f>'RESUMEN TOTAL'!U425</f>
        <v>0</v>
      </c>
      <c r="Q419">
        <f>'RESUMEN TOTAL'!V425</f>
        <v>0</v>
      </c>
      <c r="R419">
        <f>'RESUMEN TOTAL'!W425</f>
        <v>0</v>
      </c>
      <c r="S419">
        <f>'RESUMEN TOTAL'!X425</f>
        <v>0</v>
      </c>
      <c r="T419">
        <f>'RESUMEN TOTAL'!Y425</f>
        <v>0</v>
      </c>
      <c r="U419">
        <f>'RESUMEN TOTAL'!Z425</f>
        <v>0</v>
      </c>
      <c r="V419">
        <f>'RESUMEN TOTAL'!AA425</f>
        <v>0</v>
      </c>
      <c r="W419">
        <f>'RESUMEN TOTAL'!AB425</f>
        <v>0</v>
      </c>
      <c r="X419">
        <f>'RESUMEN TOTAL'!AC425</f>
        <v>0</v>
      </c>
      <c r="Y419">
        <f>'RESUMEN TOTAL'!AD425</f>
        <v>0</v>
      </c>
      <c r="Z419">
        <f>'RESUMEN TOTAL'!AE425</f>
        <v>0</v>
      </c>
      <c r="AA419">
        <f>'RESUMEN TOTAL'!AF425</f>
        <v>0</v>
      </c>
      <c r="AB419">
        <f>'RESUMEN TOTAL'!AG425</f>
        <v>0</v>
      </c>
      <c r="AC419">
        <f>'RESUMEN TOTAL'!AH425</f>
        <v>0</v>
      </c>
      <c r="AD419">
        <f>'RESUMEN TOTAL'!AI425</f>
        <v>0</v>
      </c>
      <c r="AE419">
        <f>'RESUMEN TOTAL'!AJ425</f>
        <v>0</v>
      </c>
      <c r="AF419">
        <f>'RESUMEN TOTAL'!AK425</f>
        <v>0</v>
      </c>
      <c r="AG419">
        <f>'RESUMEN TOTAL'!AL425</f>
        <v>0</v>
      </c>
      <c r="AH419">
        <f>'RESUMEN TOTAL'!AM425</f>
        <v>0</v>
      </c>
      <c r="AI419">
        <f>'RESUMEN TOTAL'!AN425</f>
        <v>0</v>
      </c>
    </row>
    <row r="420" spans="1:35" x14ac:dyDescent="0.3">
      <c r="A420" t="str">
        <f>'RESUMEN TOTAL'!A426</f>
        <v>VILLA MONICA VIEJA</v>
      </c>
      <c r="B420" t="str">
        <f>'RESUMEN TOTAL'!B426</f>
        <v>VMOV 03 (fija 1)</v>
      </c>
      <c r="C420" t="str">
        <f>'RESUMEN TOTAL'!D426</f>
        <v>ROMA E/ HOLANDA Y CAFFERATA</v>
      </c>
      <c r="D420" t="str">
        <f>'RESUMEN TOTAL'!E426</f>
        <v>Fija</v>
      </c>
      <c r="E420" t="str">
        <f>'RESUMEN TOTAL'!F426</f>
        <v>Fibra Optica</v>
      </c>
      <c r="F420">
        <f>'RESUMEN TOTAL'!K426</f>
        <v>0</v>
      </c>
      <c r="G420">
        <f>'RESUMEN TOTAL'!L426</f>
        <v>0</v>
      </c>
      <c r="H420">
        <f>'RESUMEN TOTAL'!M426</f>
        <v>0</v>
      </c>
      <c r="I420">
        <f>'RESUMEN TOTAL'!N426</f>
        <v>0</v>
      </c>
      <c r="J420">
        <f>'RESUMEN TOTAL'!O426</f>
        <v>0</v>
      </c>
      <c r="K420">
        <f>'RESUMEN TOTAL'!P426</f>
        <v>0</v>
      </c>
      <c r="L420">
        <f>'RESUMEN TOTAL'!Q426</f>
        <v>0</v>
      </c>
      <c r="M420">
        <f>'RESUMEN TOTAL'!R426</f>
        <v>0</v>
      </c>
      <c r="N420">
        <f>'RESUMEN TOTAL'!S426</f>
        <v>0</v>
      </c>
      <c r="O420">
        <f>'RESUMEN TOTAL'!T426</f>
        <v>0</v>
      </c>
      <c r="P420">
        <f>'RESUMEN TOTAL'!U426</f>
        <v>0</v>
      </c>
      <c r="Q420">
        <f>'RESUMEN TOTAL'!V426</f>
        <v>0</v>
      </c>
      <c r="R420">
        <f>'RESUMEN TOTAL'!W426</f>
        <v>0</v>
      </c>
      <c r="S420">
        <f>'RESUMEN TOTAL'!X426</f>
        <v>0</v>
      </c>
      <c r="T420">
        <f>'RESUMEN TOTAL'!Y426</f>
        <v>0</v>
      </c>
      <c r="U420">
        <f>'RESUMEN TOTAL'!Z426</f>
        <v>0</v>
      </c>
      <c r="V420">
        <f>'RESUMEN TOTAL'!AA426</f>
        <v>0</v>
      </c>
      <c r="W420">
        <f>'RESUMEN TOTAL'!AB426</f>
        <v>0</v>
      </c>
      <c r="X420">
        <f>'RESUMEN TOTAL'!AC426</f>
        <v>0</v>
      </c>
      <c r="Y420">
        <f>'RESUMEN TOTAL'!AD426</f>
        <v>0</v>
      </c>
      <c r="Z420">
        <f>'RESUMEN TOTAL'!AE426</f>
        <v>0</v>
      </c>
      <c r="AA420">
        <f>'RESUMEN TOTAL'!AF426</f>
        <v>0</v>
      </c>
      <c r="AB420">
        <f>'RESUMEN TOTAL'!AG426</f>
        <v>0</v>
      </c>
      <c r="AC420">
        <f>'RESUMEN TOTAL'!AH426</f>
        <v>0</v>
      </c>
      <c r="AD420">
        <f>'RESUMEN TOTAL'!AI426</f>
        <v>0</v>
      </c>
      <c r="AE420">
        <f>'RESUMEN TOTAL'!AJ426</f>
        <v>0</v>
      </c>
      <c r="AF420">
        <f>'RESUMEN TOTAL'!AK426</f>
        <v>0</v>
      </c>
      <c r="AG420">
        <f>'RESUMEN TOTAL'!AL426</f>
        <v>0</v>
      </c>
      <c r="AH420">
        <f>'RESUMEN TOTAL'!AM426</f>
        <v>0</v>
      </c>
      <c r="AI420">
        <f>'RESUMEN TOTAL'!AN426</f>
        <v>0</v>
      </c>
    </row>
    <row r="421" spans="1:35" x14ac:dyDescent="0.3">
      <c r="A421" t="str">
        <f>'RESUMEN TOTAL'!A427</f>
        <v>VILLA MONICA VIEJA</v>
      </c>
      <c r="B421" t="str">
        <f>'RESUMEN TOTAL'!B427</f>
        <v>VMOV04 (fija 2)</v>
      </c>
      <c r="C421" t="str">
        <f>'RESUMEN TOTAL'!D427</f>
        <v>ROMA E/ HOLANDA Y CAFFERATA</v>
      </c>
      <c r="D421" t="str">
        <f>'RESUMEN TOTAL'!E427</f>
        <v>Fija</v>
      </c>
      <c r="E421" t="str">
        <f>'RESUMEN TOTAL'!F427</f>
        <v>Fibra Optica</v>
      </c>
      <c r="F421">
        <f>'RESUMEN TOTAL'!K427</f>
        <v>0</v>
      </c>
      <c r="G421">
        <f>'RESUMEN TOTAL'!L427</f>
        <v>0</v>
      </c>
      <c r="H421">
        <f>'RESUMEN TOTAL'!M427</f>
        <v>0</v>
      </c>
      <c r="I421">
        <f>'RESUMEN TOTAL'!N427</f>
        <v>0</v>
      </c>
      <c r="J421">
        <f>'RESUMEN TOTAL'!O427</f>
        <v>0</v>
      </c>
      <c r="K421">
        <f>'RESUMEN TOTAL'!P427</f>
        <v>0</v>
      </c>
      <c r="L421">
        <f>'RESUMEN TOTAL'!Q427</f>
        <v>0</v>
      </c>
      <c r="M421">
        <f>'RESUMEN TOTAL'!R427</f>
        <v>0</v>
      </c>
      <c r="N421">
        <f>'RESUMEN TOTAL'!S427</f>
        <v>0</v>
      </c>
      <c r="O421">
        <f>'RESUMEN TOTAL'!T427</f>
        <v>0</v>
      </c>
      <c r="P421">
        <f>'RESUMEN TOTAL'!U427</f>
        <v>0</v>
      </c>
      <c r="Q421">
        <f>'RESUMEN TOTAL'!V427</f>
        <v>0</v>
      </c>
      <c r="R421">
        <f>'RESUMEN TOTAL'!W427</f>
        <v>0</v>
      </c>
      <c r="S421">
        <f>'RESUMEN TOTAL'!X427</f>
        <v>0</v>
      </c>
      <c r="T421">
        <f>'RESUMEN TOTAL'!Y427</f>
        <v>0</v>
      </c>
      <c r="U421">
        <f>'RESUMEN TOTAL'!Z427</f>
        <v>0</v>
      </c>
      <c r="V421">
        <f>'RESUMEN TOTAL'!AA427</f>
        <v>0</v>
      </c>
      <c r="W421">
        <f>'RESUMEN TOTAL'!AB427</f>
        <v>0</v>
      </c>
      <c r="X421">
        <f>'RESUMEN TOTAL'!AC427</f>
        <v>0</v>
      </c>
      <c r="Y421">
        <f>'RESUMEN TOTAL'!AD427</f>
        <v>0</v>
      </c>
      <c r="Z421">
        <f>'RESUMEN TOTAL'!AE427</f>
        <v>0</v>
      </c>
      <c r="AA421">
        <f>'RESUMEN TOTAL'!AF427</f>
        <v>0</v>
      </c>
      <c r="AB421">
        <f>'RESUMEN TOTAL'!AG427</f>
        <v>0</v>
      </c>
      <c r="AC421">
        <f>'RESUMEN TOTAL'!AH427</f>
        <v>0</v>
      </c>
      <c r="AD421">
        <f>'RESUMEN TOTAL'!AI427</f>
        <v>0</v>
      </c>
      <c r="AE421">
        <f>'RESUMEN TOTAL'!AJ427</f>
        <v>0</v>
      </c>
      <c r="AF421">
        <f>'RESUMEN TOTAL'!AK427</f>
        <v>0</v>
      </c>
      <c r="AG421">
        <f>'RESUMEN TOTAL'!AL427</f>
        <v>0</v>
      </c>
      <c r="AH421">
        <f>'RESUMEN TOTAL'!AM427</f>
        <v>0</v>
      </c>
      <c r="AI421">
        <f>'RESUMEN TOTAL'!AN427</f>
        <v>0</v>
      </c>
    </row>
    <row r="422" spans="1:35" x14ac:dyDescent="0.3">
      <c r="A422" t="str">
        <f>'RESUMEN TOTAL'!A428</f>
        <v>VILLA SAN LUIS</v>
      </c>
      <c r="B422" t="str">
        <f>'RESUMEN TOTAL'!B428</f>
        <v>VSL 01</v>
      </c>
      <c r="C422" t="str">
        <f>'RESUMEN TOTAL'!D428</f>
        <v>AV. HUDSON Y CACHEUTA</v>
      </c>
      <c r="D422" t="str">
        <f>'RESUMEN TOTAL'!E428</f>
        <v>DOMO</v>
      </c>
      <c r="E422" t="str">
        <f>'RESUMEN TOTAL'!F428</f>
        <v>Fibra Optica</v>
      </c>
      <c r="F422">
        <f>'RESUMEN TOTAL'!K428</f>
        <v>0</v>
      </c>
      <c r="G422">
        <f>'RESUMEN TOTAL'!L428</f>
        <v>0</v>
      </c>
      <c r="H422">
        <f>'RESUMEN TOTAL'!M428</f>
        <v>0</v>
      </c>
      <c r="I422">
        <f>'RESUMEN TOTAL'!N428</f>
        <v>0</v>
      </c>
      <c r="J422">
        <f>'RESUMEN TOTAL'!O428</f>
        <v>0</v>
      </c>
      <c r="K422">
        <f>'RESUMEN TOTAL'!P428</f>
        <v>0</v>
      </c>
      <c r="L422">
        <f>'RESUMEN TOTAL'!Q428</f>
        <v>0</v>
      </c>
      <c r="M422">
        <f>'RESUMEN TOTAL'!R428</f>
        <v>0</v>
      </c>
      <c r="N422">
        <f>'RESUMEN TOTAL'!S428</f>
        <v>0</v>
      </c>
      <c r="O422">
        <f>'RESUMEN TOTAL'!T428</f>
        <v>0</v>
      </c>
      <c r="P422">
        <f>'RESUMEN TOTAL'!U428</f>
        <v>0</v>
      </c>
      <c r="Q422">
        <f>'RESUMEN TOTAL'!V428</f>
        <v>0</v>
      </c>
      <c r="R422">
        <f>'RESUMEN TOTAL'!W428</f>
        <v>0</v>
      </c>
      <c r="S422">
        <f>'RESUMEN TOTAL'!X428</f>
        <v>0</v>
      </c>
      <c r="T422">
        <f>'RESUMEN TOTAL'!Y428</f>
        <v>0</v>
      </c>
      <c r="U422">
        <f>'RESUMEN TOTAL'!Z428</f>
        <v>0</v>
      </c>
      <c r="V422" t="str">
        <f>'RESUMEN TOTAL'!AA428</f>
        <v>APAGADO</v>
      </c>
      <c r="W422">
        <f>'RESUMEN TOTAL'!AB428</f>
        <v>0</v>
      </c>
      <c r="X422">
        <f>'RESUMEN TOTAL'!AC428</f>
        <v>0</v>
      </c>
      <c r="Y422">
        <f>'RESUMEN TOTAL'!AD428</f>
        <v>0</v>
      </c>
      <c r="Z422">
        <f>'RESUMEN TOTAL'!AE428</f>
        <v>0</v>
      </c>
      <c r="AA422">
        <f>'RESUMEN TOTAL'!AF428</f>
        <v>0</v>
      </c>
      <c r="AB422">
        <f>'RESUMEN TOTAL'!AG428</f>
        <v>0</v>
      </c>
      <c r="AC422">
        <f>'RESUMEN TOTAL'!AH428</f>
        <v>0</v>
      </c>
      <c r="AD422">
        <f>'RESUMEN TOTAL'!AI428</f>
        <v>0</v>
      </c>
      <c r="AE422">
        <f>'RESUMEN TOTAL'!AJ428</f>
        <v>0</v>
      </c>
      <c r="AF422">
        <f>'RESUMEN TOTAL'!AK428</f>
        <v>0</v>
      </c>
      <c r="AG422">
        <f>'RESUMEN TOTAL'!AL428</f>
        <v>0</v>
      </c>
      <c r="AH422">
        <f>'RESUMEN TOTAL'!AM428</f>
        <v>0</v>
      </c>
      <c r="AI422">
        <f>'RESUMEN TOTAL'!AN428</f>
        <v>0</v>
      </c>
    </row>
    <row r="423" spans="1:35" x14ac:dyDescent="0.3">
      <c r="A423" t="str">
        <f>'RESUMEN TOTAL'!A429</f>
        <v>VILLA SUSANA</v>
      </c>
      <c r="B423" t="str">
        <f>'RESUMEN TOTAL'!B429</f>
        <v>VSU01</v>
      </c>
      <c r="C423" t="str">
        <f>'RESUMEN TOTAL'!D429</f>
        <v>CJAL. JUAN BROWN Y SANTA FE</v>
      </c>
      <c r="D423" t="str">
        <f>'RESUMEN TOTAL'!E429</f>
        <v>DOMO</v>
      </c>
      <c r="E423" t="str">
        <f>'RESUMEN TOTAL'!F429</f>
        <v>Radio</v>
      </c>
      <c r="F423">
        <f>'RESUMEN TOTAL'!K429</f>
        <v>0</v>
      </c>
      <c r="G423">
        <f>'RESUMEN TOTAL'!L429</f>
        <v>0</v>
      </c>
      <c r="H423">
        <f>'RESUMEN TOTAL'!M429</f>
        <v>0</v>
      </c>
      <c r="I423">
        <f>'RESUMEN TOTAL'!N429</f>
        <v>0</v>
      </c>
      <c r="J423">
        <f>'RESUMEN TOTAL'!O429</f>
        <v>0</v>
      </c>
      <c r="K423">
        <f>'RESUMEN TOTAL'!P429</f>
        <v>0</v>
      </c>
      <c r="L423">
        <f>'RESUMEN TOTAL'!Q429</f>
        <v>0</v>
      </c>
      <c r="M423">
        <f>'RESUMEN TOTAL'!R429</f>
        <v>0</v>
      </c>
      <c r="N423">
        <f>'RESUMEN TOTAL'!S429</f>
        <v>0</v>
      </c>
      <c r="O423">
        <f>'RESUMEN TOTAL'!T429</f>
        <v>0</v>
      </c>
      <c r="P423">
        <f>'RESUMEN TOTAL'!U429</f>
        <v>0</v>
      </c>
      <c r="Q423">
        <f>'RESUMEN TOTAL'!V429</f>
        <v>0</v>
      </c>
      <c r="R423">
        <f>'RESUMEN TOTAL'!W429</f>
        <v>0</v>
      </c>
      <c r="S423">
        <f>'RESUMEN TOTAL'!X429</f>
        <v>0</v>
      </c>
      <c r="T423">
        <f>'RESUMEN TOTAL'!Y429</f>
        <v>0</v>
      </c>
      <c r="U423">
        <f>'RESUMEN TOTAL'!Z429</f>
        <v>0</v>
      </c>
      <c r="V423">
        <f>'RESUMEN TOTAL'!AA429</f>
        <v>0</v>
      </c>
      <c r="W423">
        <f>'RESUMEN TOTAL'!AB429</f>
        <v>0</v>
      </c>
      <c r="X423">
        <f>'RESUMEN TOTAL'!AC429</f>
        <v>0</v>
      </c>
      <c r="Y423">
        <f>'RESUMEN TOTAL'!AD429</f>
        <v>0</v>
      </c>
      <c r="Z423">
        <f>'RESUMEN TOTAL'!AE429</f>
        <v>0</v>
      </c>
      <c r="AA423">
        <f>'RESUMEN TOTAL'!AF429</f>
        <v>0</v>
      </c>
      <c r="AB423">
        <f>'RESUMEN TOTAL'!AG429</f>
        <v>0</v>
      </c>
      <c r="AC423">
        <f>'RESUMEN TOTAL'!AH429</f>
        <v>0</v>
      </c>
      <c r="AD423">
        <f>'RESUMEN TOTAL'!AI429</f>
        <v>0</v>
      </c>
      <c r="AE423">
        <f>'RESUMEN TOTAL'!AJ429</f>
        <v>0</v>
      </c>
      <c r="AF423">
        <f>'RESUMEN TOTAL'!AK429</f>
        <v>0</v>
      </c>
      <c r="AG423">
        <f>'RESUMEN TOTAL'!AL429</f>
        <v>0</v>
      </c>
      <c r="AH423">
        <f>'RESUMEN TOTAL'!AM429</f>
        <v>0</v>
      </c>
      <c r="AI423">
        <f>'RESUMEN TOTAL'!AN429</f>
        <v>0</v>
      </c>
    </row>
    <row r="424" spans="1:35" x14ac:dyDescent="0.3">
      <c r="A424" t="str">
        <f>'RESUMEN TOTAL'!A430</f>
        <v>VILLA SUSANA</v>
      </c>
      <c r="B424" t="str">
        <f>'RESUMEN TOTAL'!B430</f>
        <v>VSU 02</v>
      </c>
      <c r="C424" t="str">
        <f>'RESUMEN TOTAL'!D430</f>
        <v>CABELLO Y SANTA FE</v>
      </c>
      <c r="D424" t="str">
        <f>'RESUMEN TOTAL'!E430</f>
        <v>DOMO</v>
      </c>
      <c r="E424" t="str">
        <f>'RESUMEN TOTAL'!F430</f>
        <v>Radio</v>
      </c>
      <c r="F424">
        <f>'RESUMEN TOTAL'!K430</f>
        <v>0</v>
      </c>
      <c r="G424">
        <f>'RESUMEN TOTAL'!L430</f>
        <v>0</v>
      </c>
      <c r="H424">
        <f>'RESUMEN TOTAL'!M430</f>
        <v>0</v>
      </c>
      <c r="I424">
        <f>'RESUMEN TOTAL'!N430</f>
        <v>0</v>
      </c>
      <c r="J424">
        <f>'RESUMEN TOTAL'!O430</f>
        <v>0</v>
      </c>
      <c r="K424">
        <f>'RESUMEN TOTAL'!P430</f>
        <v>0</v>
      </c>
      <c r="L424">
        <f>'RESUMEN TOTAL'!Q430</f>
        <v>0</v>
      </c>
      <c r="M424">
        <f>'RESUMEN TOTAL'!R430</f>
        <v>0</v>
      </c>
      <c r="N424">
        <f>'RESUMEN TOTAL'!S430</f>
        <v>0</v>
      </c>
      <c r="O424">
        <f>'RESUMEN TOTAL'!T430</f>
        <v>0</v>
      </c>
      <c r="P424">
        <f>'RESUMEN TOTAL'!U430</f>
        <v>0</v>
      </c>
      <c r="Q424">
        <f>'RESUMEN TOTAL'!V430</f>
        <v>0</v>
      </c>
      <c r="R424">
        <f>'RESUMEN TOTAL'!W430</f>
        <v>0</v>
      </c>
      <c r="S424">
        <f>'RESUMEN TOTAL'!X430</f>
        <v>0</v>
      </c>
      <c r="T424">
        <f>'RESUMEN TOTAL'!Y430</f>
        <v>0</v>
      </c>
      <c r="U424">
        <f>'RESUMEN TOTAL'!Z430</f>
        <v>0</v>
      </c>
      <c r="V424">
        <f>'RESUMEN TOTAL'!AA430</f>
        <v>0</v>
      </c>
      <c r="W424">
        <f>'RESUMEN TOTAL'!AB430</f>
        <v>0</v>
      </c>
      <c r="X424">
        <f>'RESUMEN TOTAL'!AC430</f>
        <v>0</v>
      </c>
      <c r="Y424">
        <f>'RESUMEN TOTAL'!AD430</f>
        <v>0</v>
      </c>
      <c r="Z424">
        <f>'RESUMEN TOTAL'!AE430</f>
        <v>0</v>
      </c>
      <c r="AA424">
        <f>'RESUMEN TOTAL'!AF430</f>
        <v>0</v>
      </c>
      <c r="AB424">
        <f>'RESUMEN TOTAL'!AG430</f>
        <v>0</v>
      </c>
      <c r="AC424">
        <f>'RESUMEN TOTAL'!AH430</f>
        <v>0</v>
      </c>
      <c r="AD424">
        <f>'RESUMEN TOTAL'!AI430</f>
        <v>0</v>
      </c>
      <c r="AE424">
        <f>'RESUMEN TOTAL'!AJ430</f>
        <v>0</v>
      </c>
      <c r="AF424">
        <f>'RESUMEN TOTAL'!AK430</f>
        <v>0</v>
      </c>
      <c r="AG424">
        <f>'RESUMEN TOTAL'!AL430</f>
        <v>0</v>
      </c>
      <c r="AH424">
        <f>'RESUMEN TOTAL'!AM430</f>
        <v>0</v>
      </c>
      <c r="AI424">
        <f>'RESUMEN TOTAL'!AN430</f>
        <v>0</v>
      </c>
    </row>
    <row r="425" spans="1:35" x14ac:dyDescent="0.3">
      <c r="A425" t="str">
        <f>'RESUMEN TOTAL'!A431</f>
        <v>VILLA SUSANA</v>
      </c>
      <c r="B425" t="str">
        <f>'RESUMEN TOTAL'!B431</f>
        <v>VSU 03</v>
      </c>
      <c r="C425" t="str">
        <f>'RESUMEN TOTAL'!D431</f>
        <v>EE.UU Y SERRANO</v>
      </c>
      <c r="D425" t="str">
        <f>'RESUMEN TOTAL'!E431</f>
        <v>DOMO</v>
      </c>
      <c r="E425" t="str">
        <f>'RESUMEN TOTAL'!F431</f>
        <v>Radio</v>
      </c>
      <c r="F425">
        <f>'RESUMEN TOTAL'!K431</f>
        <v>0</v>
      </c>
      <c r="G425">
        <f>'RESUMEN TOTAL'!L431</f>
        <v>0</v>
      </c>
      <c r="H425">
        <f>'RESUMEN TOTAL'!M431</f>
        <v>0</v>
      </c>
      <c r="I425">
        <f>'RESUMEN TOTAL'!N431</f>
        <v>0</v>
      </c>
      <c r="J425">
        <f>'RESUMEN TOTAL'!O431</f>
        <v>0</v>
      </c>
      <c r="K425">
        <f>'RESUMEN TOTAL'!P431</f>
        <v>0</v>
      </c>
      <c r="L425">
        <f>'RESUMEN TOTAL'!Q431</f>
        <v>0</v>
      </c>
      <c r="M425">
        <f>'RESUMEN TOTAL'!R431</f>
        <v>0</v>
      </c>
      <c r="N425">
        <f>'RESUMEN TOTAL'!S431</f>
        <v>0</v>
      </c>
      <c r="O425">
        <f>'RESUMEN TOTAL'!T431</f>
        <v>0</v>
      </c>
      <c r="P425">
        <f>'RESUMEN TOTAL'!U431</f>
        <v>0</v>
      </c>
      <c r="Q425">
        <f>'RESUMEN TOTAL'!V431</f>
        <v>0</v>
      </c>
      <c r="R425">
        <f>'RESUMEN TOTAL'!W431</f>
        <v>0</v>
      </c>
      <c r="S425">
        <f>'RESUMEN TOTAL'!X431</f>
        <v>0</v>
      </c>
      <c r="T425">
        <f>'RESUMEN TOTAL'!Y431</f>
        <v>0</v>
      </c>
      <c r="U425">
        <f>'RESUMEN TOTAL'!Z431</f>
        <v>0</v>
      </c>
      <c r="V425">
        <f>'RESUMEN TOTAL'!AA431</f>
        <v>0</v>
      </c>
      <c r="W425">
        <f>'RESUMEN TOTAL'!AB431</f>
        <v>0</v>
      </c>
      <c r="X425">
        <f>'RESUMEN TOTAL'!AC431</f>
        <v>0</v>
      </c>
      <c r="Y425">
        <f>'RESUMEN TOTAL'!AD431</f>
        <v>0</v>
      </c>
      <c r="Z425">
        <f>'RESUMEN TOTAL'!AE431</f>
        <v>0</v>
      </c>
      <c r="AA425">
        <f>'RESUMEN TOTAL'!AF431</f>
        <v>0</v>
      </c>
      <c r="AB425">
        <f>'RESUMEN TOTAL'!AG431</f>
        <v>0</v>
      </c>
      <c r="AC425">
        <f>'RESUMEN TOTAL'!AH431</f>
        <v>0</v>
      </c>
      <c r="AD425">
        <f>'RESUMEN TOTAL'!AI431</f>
        <v>0</v>
      </c>
      <c r="AE425">
        <f>'RESUMEN TOTAL'!AJ431</f>
        <v>0</v>
      </c>
      <c r="AF425">
        <f>'RESUMEN TOTAL'!AK431</f>
        <v>0</v>
      </c>
      <c r="AG425">
        <f>'RESUMEN TOTAL'!AL431</f>
        <v>0</v>
      </c>
      <c r="AH425">
        <f>'RESUMEN TOTAL'!AM431</f>
        <v>0</v>
      </c>
      <c r="AI425">
        <f>'RESUMEN TOTAL'!AN431</f>
        <v>0</v>
      </c>
    </row>
    <row r="426" spans="1:35" x14ac:dyDescent="0.3">
      <c r="A426" t="str">
        <f>'RESUMEN TOTAL'!A432</f>
        <v>VILLA SUSANA</v>
      </c>
      <c r="B426" t="str">
        <f>'RESUMEN TOTAL'!B432</f>
        <v>VSU 04</v>
      </c>
      <c r="C426" t="str">
        <f>'RESUMEN TOTAL'!D432</f>
        <v>Aniceto Diaz y Cordoba</v>
      </c>
      <c r="D426" t="str">
        <f>'RESUMEN TOTAL'!E432</f>
        <v>fija</v>
      </c>
      <c r="E426" t="str">
        <f>'RESUMEN TOTAL'!F432</f>
        <v>Fibra Optica</v>
      </c>
      <c r="F426">
        <f>'RESUMEN TOTAL'!K432</f>
        <v>0</v>
      </c>
      <c r="G426">
        <f>'RESUMEN TOTAL'!L432</f>
        <v>0</v>
      </c>
      <c r="H426">
        <f>'RESUMEN TOTAL'!M432</f>
        <v>0</v>
      </c>
      <c r="I426">
        <f>'RESUMEN TOTAL'!N432</f>
        <v>0</v>
      </c>
      <c r="J426">
        <f>'RESUMEN TOTAL'!O432</f>
        <v>0</v>
      </c>
      <c r="K426">
        <f>'RESUMEN TOTAL'!P432</f>
        <v>0</v>
      </c>
      <c r="L426">
        <f>'RESUMEN TOTAL'!Q432</f>
        <v>0</v>
      </c>
      <c r="M426">
        <f>'RESUMEN TOTAL'!R432</f>
        <v>0</v>
      </c>
      <c r="N426">
        <f>'RESUMEN TOTAL'!S432</f>
        <v>0</v>
      </c>
      <c r="O426">
        <f>'RESUMEN TOTAL'!T432</f>
        <v>0</v>
      </c>
      <c r="P426">
        <f>'RESUMEN TOTAL'!U432</f>
        <v>0</v>
      </c>
      <c r="Q426">
        <f>'RESUMEN TOTAL'!V432</f>
        <v>0</v>
      </c>
      <c r="R426">
        <f>'RESUMEN TOTAL'!W432</f>
        <v>0</v>
      </c>
      <c r="S426">
        <f>'RESUMEN TOTAL'!X432</f>
        <v>0</v>
      </c>
      <c r="T426">
        <f>'RESUMEN TOTAL'!Y432</f>
        <v>0</v>
      </c>
      <c r="U426">
        <f>'RESUMEN TOTAL'!Z432</f>
        <v>0</v>
      </c>
      <c r="V426">
        <f>'RESUMEN TOTAL'!AA432</f>
        <v>0</v>
      </c>
      <c r="W426">
        <f>'RESUMEN TOTAL'!AB432</f>
        <v>0</v>
      </c>
      <c r="X426">
        <f>'RESUMEN TOTAL'!AC432</f>
        <v>0</v>
      </c>
      <c r="Y426">
        <f>'RESUMEN TOTAL'!AD432</f>
        <v>0</v>
      </c>
      <c r="Z426">
        <f>'RESUMEN TOTAL'!AE432</f>
        <v>0</v>
      </c>
      <c r="AA426">
        <f>'RESUMEN TOTAL'!AF432</f>
        <v>0</v>
      </c>
      <c r="AB426">
        <f>'RESUMEN TOTAL'!AG432</f>
        <v>0</v>
      </c>
      <c r="AC426">
        <f>'RESUMEN TOTAL'!AH432</f>
        <v>0</v>
      </c>
      <c r="AD426">
        <f>'RESUMEN TOTAL'!AI432</f>
        <v>0</v>
      </c>
      <c r="AE426">
        <f>'RESUMEN TOTAL'!AJ432</f>
        <v>0</v>
      </c>
      <c r="AF426">
        <f>'RESUMEN TOTAL'!AK432</f>
        <v>0</v>
      </c>
      <c r="AG426">
        <f>'RESUMEN TOTAL'!AL432</f>
        <v>0</v>
      </c>
      <c r="AH426">
        <f>'RESUMEN TOTAL'!AM432</f>
        <v>0</v>
      </c>
      <c r="AI426">
        <f>'RESUMEN TOTAL'!AN432</f>
        <v>0</v>
      </c>
    </row>
    <row r="427" spans="1:35" x14ac:dyDescent="0.3">
      <c r="A427" t="str">
        <f>'RESUMEN TOTAL'!A433</f>
        <v>VILLA SUSANA</v>
      </c>
      <c r="B427" t="str">
        <f>'RESUMEN TOTAL'!B433</f>
        <v>VSU 05</v>
      </c>
      <c r="C427" t="str">
        <f>'RESUMEN TOTAL'!D433</f>
        <v>Aniceto Diaz y Cordoba</v>
      </c>
      <c r="D427" t="str">
        <f>'RESUMEN TOTAL'!E433</f>
        <v>fija</v>
      </c>
      <c r="E427" t="str">
        <f>'RESUMEN TOTAL'!F433</f>
        <v>Fibra Optica</v>
      </c>
      <c r="F427">
        <f>'RESUMEN TOTAL'!K433</f>
        <v>0</v>
      </c>
      <c r="G427">
        <f>'RESUMEN TOTAL'!L433</f>
        <v>0</v>
      </c>
      <c r="H427">
        <f>'RESUMEN TOTAL'!M433</f>
        <v>0</v>
      </c>
      <c r="I427">
        <f>'RESUMEN TOTAL'!N433</f>
        <v>0</v>
      </c>
      <c r="J427">
        <f>'RESUMEN TOTAL'!O433</f>
        <v>0</v>
      </c>
      <c r="K427">
        <f>'RESUMEN TOTAL'!P433</f>
        <v>0</v>
      </c>
      <c r="L427">
        <f>'RESUMEN TOTAL'!Q433</f>
        <v>0</v>
      </c>
      <c r="M427">
        <f>'RESUMEN TOTAL'!R433</f>
        <v>0</v>
      </c>
      <c r="N427">
        <f>'RESUMEN TOTAL'!S433</f>
        <v>0</v>
      </c>
      <c r="O427">
        <f>'RESUMEN TOTAL'!T433</f>
        <v>0</v>
      </c>
      <c r="P427">
        <f>'RESUMEN TOTAL'!U433</f>
        <v>0</v>
      </c>
      <c r="Q427">
        <f>'RESUMEN TOTAL'!V433</f>
        <v>0</v>
      </c>
      <c r="R427">
        <f>'RESUMEN TOTAL'!W433</f>
        <v>0</v>
      </c>
      <c r="S427">
        <f>'RESUMEN TOTAL'!X433</f>
        <v>0</v>
      </c>
      <c r="T427">
        <f>'RESUMEN TOTAL'!Y433</f>
        <v>0</v>
      </c>
      <c r="U427">
        <f>'RESUMEN TOTAL'!Z433</f>
        <v>0</v>
      </c>
      <c r="V427">
        <f>'RESUMEN TOTAL'!AA433</f>
        <v>0</v>
      </c>
      <c r="W427">
        <f>'RESUMEN TOTAL'!AB433</f>
        <v>0</v>
      </c>
      <c r="X427">
        <f>'RESUMEN TOTAL'!AC433</f>
        <v>0</v>
      </c>
      <c r="Y427">
        <f>'RESUMEN TOTAL'!AD433</f>
        <v>0</v>
      </c>
      <c r="Z427">
        <f>'RESUMEN TOTAL'!AE433</f>
        <v>0</v>
      </c>
      <c r="AA427">
        <f>'RESUMEN TOTAL'!AF433</f>
        <v>0</v>
      </c>
      <c r="AB427">
        <f>'RESUMEN TOTAL'!AG433</f>
        <v>0</v>
      </c>
      <c r="AC427">
        <f>'RESUMEN TOTAL'!AH433</f>
        <v>0</v>
      </c>
      <c r="AD427">
        <f>'RESUMEN TOTAL'!AI433</f>
        <v>0</v>
      </c>
      <c r="AE427">
        <f>'RESUMEN TOTAL'!AJ433</f>
        <v>0</v>
      </c>
      <c r="AF427">
        <f>'RESUMEN TOTAL'!AK433</f>
        <v>0</v>
      </c>
      <c r="AG427">
        <f>'RESUMEN TOTAL'!AL433</f>
        <v>0</v>
      </c>
      <c r="AH427">
        <f>'RESUMEN TOTAL'!AM433</f>
        <v>0</v>
      </c>
      <c r="AI427">
        <f>'RESUMEN TOTAL'!AN433</f>
        <v>0</v>
      </c>
    </row>
    <row r="428" spans="1:35" x14ac:dyDescent="0.3">
      <c r="A428" t="str">
        <f>'RESUMEN TOTAL'!A435</f>
        <v>ZEBALLOS</v>
      </c>
      <c r="B428" t="str">
        <f>'RESUMEN TOTAL'!B435</f>
        <v>ZEB02</v>
      </c>
      <c r="C428" t="str">
        <f>'RESUMEN TOTAL'!D435</f>
        <v>Quinquela Martin y Sgo. del Estero</v>
      </c>
      <c r="D428" t="str">
        <f>'RESUMEN TOTAL'!E435</f>
        <v>Domo</v>
      </c>
      <c r="E428" t="str">
        <f>'RESUMEN TOTAL'!F435</f>
        <v>Radio</v>
      </c>
      <c r="F428">
        <f>'RESUMEN TOTAL'!K435</f>
        <v>0</v>
      </c>
      <c r="G428">
        <f>'RESUMEN TOTAL'!L435</f>
        <v>0</v>
      </c>
      <c r="H428">
        <f>'RESUMEN TOTAL'!M435</f>
        <v>0</v>
      </c>
      <c r="I428">
        <f>'RESUMEN TOTAL'!N435</f>
        <v>0</v>
      </c>
      <c r="J428">
        <f>'RESUMEN TOTAL'!O435</f>
        <v>0</v>
      </c>
      <c r="K428">
        <f>'RESUMEN TOTAL'!P435</f>
        <v>0</v>
      </c>
      <c r="L428">
        <f>'RESUMEN TOTAL'!Q435</f>
        <v>0</v>
      </c>
      <c r="M428">
        <f>'RESUMEN TOTAL'!R435</f>
        <v>0</v>
      </c>
      <c r="N428">
        <f>'RESUMEN TOTAL'!S435</f>
        <v>0</v>
      </c>
      <c r="O428">
        <f>'RESUMEN TOTAL'!T435</f>
        <v>0</v>
      </c>
      <c r="P428">
        <f>'RESUMEN TOTAL'!U435</f>
        <v>0</v>
      </c>
      <c r="Q428">
        <f>'RESUMEN TOTAL'!V435</f>
        <v>0</v>
      </c>
      <c r="R428">
        <f>'RESUMEN TOTAL'!W435</f>
        <v>0</v>
      </c>
      <c r="S428">
        <f>'RESUMEN TOTAL'!X435</f>
        <v>0</v>
      </c>
      <c r="T428">
        <f>'RESUMEN TOTAL'!Y435</f>
        <v>0</v>
      </c>
      <c r="U428">
        <f>'RESUMEN TOTAL'!Z435</f>
        <v>0</v>
      </c>
      <c r="V428">
        <f>'RESUMEN TOTAL'!AA435</f>
        <v>0</v>
      </c>
      <c r="W428">
        <f>'RESUMEN TOTAL'!AB435</f>
        <v>0</v>
      </c>
      <c r="X428">
        <f>'RESUMEN TOTAL'!AC435</f>
        <v>0</v>
      </c>
      <c r="Y428">
        <f>'RESUMEN TOTAL'!AD435</f>
        <v>0</v>
      </c>
      <c r="Z428">
        <f>'RESUMEN TOTAL'!AE435</f>
        <v>0</v>
      </c>
      <c r="AA428">
        <f>'RESUMEN TOTAL'!AF435</f>
        <v>0</v>
      </c>
      <c r="AB428">
        <f>'RESUMEN TOTAL'!AG435</f>
        <v>0</v>
      </c>
      <c r="AC428">
        <f>'RESUMEN TOTAL'!AH435</f>
        <v>0</v>
      </c>
      <c r="AD428">
        <f>'RESUMEN TOTAL'!AI435</f>
        <v>0</v>
      </c>
      <c r="AE428">
        <f>'RESUMEN TOTAL'!AJ435</f>
        <v>0</v>
      </c>
      <c r="AF428">
        <f>'RESUMEN TOTAL'!AK435</f>
        <v>0</v>
      </c>
      <c r="AG428">
        <f>'RESUMEN TOTAL'!AL435</f>
        <v>0</v>
      </c>
      <c r="AH428">
        <f>'RESUMEN TOTAL'!AM435</f>
        <v>0</v>
      </c>
      <c r="AI428">
        <f>'RESUMEN TOTAL'!AN435</f>
        <v>0</v>
      </c>
    </row>
    <row r="429" spans="1:35" x14ac:dyDescent="0.3">
      <c r="A429" t="str">
        <f>'RESUMEN TOTAL'!A436</f>
        <v>9 DE JULIO</v>
      </c>
      <c r="B429" t="str">
        <f>'RESUMEN TOTAL'!B436</f>
        <v>ZEB03</v>
      </c>
      <c r="C429" t="str">
        <f>'RESUMEN TOTAL'!D436</f>
        <v>Quinquela Martin y Pte. Peron</v>
      </c>
      <c r="D429" t="str">
        <f>'RESUMEN TOTAL'!E436</f>
        <v>Domo</v>
      </c>
      <c r="E429" t="str">
        <f>'RESUMEN TOTAL'!F436</f>
        <v>Radio</v>
      </c>
      <c r="F429">
        <f>'RESUMEN TOTAL'!K436</f>
        <v>0</v>
      </c>
      <c r="G429">
        <f>'RESUMEN TOTAL'!L436</f>
        <v>0</v>
      </c>
      <c r="H429">
        <f>'RESUMEN TOTAL'!M436</f>
        <v>0</v>
      </c>
      <c r="I429">
        <f>'RESUMEN TOTAL'!N436</f>
        <v>0</v>
      </c>
      <c r="J429">
        <f>'RESUMEN TOTAL'!O436</f>
        <v>0</v>
      </c>
      <c r="K429">
        <f>'RESUMEN TOTAL'!P436</f>
        <v>0</v>
      </c>
      <c r="L429" t="str">
        <f>'RESUMEN TOTAL'!Q436</f>
        <v>APAGADO</v>
      </c>
      <c r="M429">
        <f>'RESUMEN TOTAL'!R436</f>
        <v>0</v>
      </c>
      <c r="N429">
        <f>'RESUMEN TOTAL'!S436</f>
        <v>0</v>
      </c>
      <c r="O429">
        <f>'RESUMEN TOTAL'!T436</f>
        <v>0</v>
      </c>
      <c r="P429">
        <f>'RESUMEN TOTAL'!U436</f>
        <v>0</v>
      </c>
      <c r="Q429">
        <f>'RESUMEN TOTAL'!V436</f>
        <v>0</v>
      </c>
      <c r="R429">
        <f>'RESUMEN TOTAL'!W436</f>
        <v>0</v>
      </c>
      <c r="S429">
        <f>'RESUMEN TOTAL'!X436</f>
        <v>0</v>
      </c>
      <c r="T429">
        <f>'RESUMEN TOTAL'!Y436</f>
        <v>0</v>
      </c>
      <c r="U429">
        <f>'RESUMEN TOTAL'!Z436</f>
        <v>0</v>
      </c>
      <c r="V429">
        <f>'RESUMEN TOTAL'!AA436</f>
        <v>0</v>
      </c>
      <c r="W429">
        <f>'RESUMEN TOTAL'!AB436</f>
        <v>0</v>
      </c>
      <c r="X429">
        <f>'RESUMEN TOTAL'!AC436</f>
        <v>0</v>
      </c>
      <c r="Y429">
        <f>'RESUMEN TOTAL'!AD436</f>
        <v>0</v>
      </c>
      <c r="Z429">
        <f>'RESUMEN TOTAL'!AE436</f>
        <v>0</v>
      </c>
      <c r="AA429">
        <f>'RESUMEN TOTAL'!AF436</f>
        <v>0</v>
      </c>
      <c r="AB429">
        <f>'RESUMEN TOTAL'!AG436</f>
        <v>0</v>
      </c>
      <c r="AC429">
        <f>'RESUMEN TOTAL'!AH436</f>
        <v>0</v>
      </c>
      <c r="AD429">
        <f>'RESUMEN TOTAL'!AI436</f>
        <v>0</v>
      </c>
      <c r="AE429">
        <f>'RESUMEN TOTAL'!AJ436</f>
        <v>0</v>
      </c>
      <c r="AF429">
        <f>'RESUMEN TOTAL'!AK436</f>
        <v>0</v>
      </c>
      <c r="AG429">
        <f>'RESUMEN TOTAL'!AL436</f>
        <v>0</v>
      </c>
      <c r="AH429">
        <f>'RESUMEN TOTAL'!AM436</f>
        <v>0</v>
      </c>
      <c r="AI429">
        <f>'RESUMEN TOTAL'!AN436</f>
        <v>0</v>
      </c>
    </row>
    <row r="430" spans="1:35" x14ac:dyDescent="0.3">
      <c r="A430" t="str">
        <f>'RESUMEN TOTAL'!A437</f>
        <v>ZEBALLOS</v>
      </c>
      <c r="B430" t="str">
        <f>'RESUMEN TOTAL'!B437</f>
        <v>ZEB04</v>
      </c>
      <c r="C430" t="str">
        <f>'RESUMEN TOTAL'!D437</f>
        <v>THEVENET Y DIAGONAL GRANADEROS</v>
      </c>
      <c r="D430" t="str">
        <f>'RESUMEN TOTAL'!E437</f>
        <v>DOMO</v>
      </c>
      <c r="E430" t="str">
        <f>'RESUMEN TOTAL'!F437</f>
        <v>Radio</v>
      </c>
      <c r="F430">
        <f>'RESUMEN TOTAL'!K437</f>
        <v>0</v>
      </c>
      <c r="G430">
        <f>'RESUMEN TOTAL'!L437</f>
        <v>0</v>
      </c>
      <c r="H430">
        <f>'RESUMEN TOTAL'!M437</f>
        <v>0</v>
      </c>
      <c r="I430">
        <f>'RESUMEN TOTAL'!N437</f>
        <v>0</v>
      </c>
      <c r="J430">
        <f>'RESUMEN TOTAL'!O437</f>
        <v>0</v>
      </c>
      <c r="K430">
        <f>'RESUMEN TOTAL'!P437</f>
        <v>0</v>
      </c>
      <c r="L430">
        <f>'RESUMEN TOTAL'!Q437</f>
        <v>0</v>
      </c>
      <c r="M430">
        <f>'RESUMEN TOTAL'!R437</f>
        <v>0</v>
      </c>
      <c r="N430">
        <f>'RESUMEN TOTAL'!S437</f>
        <v>0</v>
      </c>
      <c r="O430">
        <f>'RESUMEN TOTAL'!T437</f>
        <v>0</v>
      </c>
      <c r="P430">
        <f>'RESUMEN TOTAL'!U437</f>
        <v>0</v>
      </c>
      <c r="Q430">
        <f>'RESUMEN TOTAL'!V437</f>
        <v>0</v>
      </c>
      <c r="R430">
        <f>'RESUMEN TOTAL'!W437</f>
        <v>0</v>
      </c>
      <c r="S430">
        <f>'RESUMEN TOTAL'!X437</f>
        <v>0</v>
      </c>
      <c r="T430">
        <f>'RESUMEN TOTAL'!Y437</f>
        <v>0</v>
      </c>
      <c r="U430">
        <f>'RESUMEN TOTAL'!Z437</f>
        <v>0</v>
      </c>
      <c r="V430">
        <f>'RESUMEN TOTAL'!AA437</f>
        <v>0</v>
      </c>
      <c r="W430">
        <f>'RESUMEN TOTAL'!AB437</f>
        <v>0</v>
      </c>
      <c r="X430">
        <f>'RESUMEN TOTAL'!AC437</f>
        <v>0</v>
      </c>
      <c r="Y430">
        <f>'RESUMEN TOTAL'!AD437</f>
        <v>0</v>
      </c>
      <c r="Z430">
        <f>'RESUMEN TOTAL'!AE437</f>
        <v>0</v>
      </c>
      <c r="AA430">
        <f>'RESUMEN TOTAL'!AF437</f>
        <v>0</v>
      </c>
      <c r="AB430">
        <f>'RESUMEN TOTAL'!AG437</f>
        <v>0</v>
      </c>
      <c r="AC430">
        <f>'RESUMEN TOTAL'!AH437</f>
        <v>0</v>
      </c>
      <c r="AD430">
        <f>'RESUMEN TOTAL'!AI437</f>
        <v>0</v>
      </c>
      <c r="AE430">
        <f>'RESUMEN TOTAL'!AJ437</f>
        <v>0</v>
      </c>
      <c r="AF430">
        <f>'RESUMEN TOTAL'!AK437</f>
        <v>0</v>
      </c>
      <c r="AG430">
        <f>'RESUMEN TOTAL'!AL437</f>
        <v>0</v>
      </c>
      <c r="AH430">
        <f>'RESUMEN TOTAL'!AM437</f>
        <v>0</v>
      </c>
      <c r="AI430">
        <f>'RESUMEN TOTAL'!AN437</f>
        <v>0</v>
      </c>
    </row>
    <row r="431" spans="1:35" x14ac:dyDescent="0.3">
      <c r="A431" t="str">
        <f>'RESUMEN TOTAL'!A438</f>
        <v>ZEBALLOS</v>
      </c>
      <c r="B431" t="str">
        <f>'RESUMEN TOTAL'!B438</f>
        <v>ZEB 05</v>
      </c>
      <c r="C431" t="str">
        <f>'RESUMEN TOTAL'!D438</f>
        <v>DIAG. GRANADEROS Y 214 BIS</v>
      </c>
      <c r="D431" t="str">
        <f>'RESUMEN TOTAL'!E438</f>
        <v>Domo</v>
      </c>
      <c r="E431" t="str">
        <f>'RESUMEN TOTAL'!F438</f>
        <v>Radio</v>
      </c>
      <c r="F431">
        <f>'RESUMEN TOTAL'!K438</f>
        <v>0</v>
      </c>
      <c r="G431">
        <f>'RESUMEN TOTAL'!L438</f>
        <v>0</v>
      </c>
      <c r="H431" t="str">
        <f>'RESUMEN TOTAL'!M438</f>
        <v>APAGADO</v>
      </c>
      <c r="I431" t="str">
        <f>'RESUMEN TOTAL'!N438</f>
        <v>APAGADO</v>
      </c>
      <c r="J431">
        <f>'RESUMEN TOTAL'!O438</f>
        <v>0</v>
      </c>
      <c r="K431" t="str">
        <f>'RESUMEN TOTAL'!P438</f>
        <v>APAGADO</v>
      </c>
      <c r="L431" t="str">
        <f>'RESUMEN TOTAL'!Q438</f>
        <v>APAGADO</v>
      </c>
      <c r="M431" t="str">
        <f>'RESUMEN TOTAL'!R438</f>
        <v>APAGADO</v>
      </c>
      <c r="N431" t="str">
        <f>'RESUMEN TOTAL'!S438</f>
        <v>APAGADO</v>
      </c>
      <c r="O431" t="str">
        <f>'RESUMEN TOTAL'!T438</f>
        <v>APAGADO</v>
      </c>
      <c r="P431" t="str">
        <f>'RESUMEN TOTAL'!U438</f>
        <v>APAGADO</v>
      </c>
      <c r="Q431" t="str">
        <f>'RESUMEN TOTAL'!V438</f>
        <v>APAGADO</v>
      </c>
      <c r="R431" t="str">
        <f>'RESUMEN TOTAL'!W438</f>
        <v>APAGADO</v>
      </c>
      <c r="S431" t="str">
        <f>'RESUMEN TOTAL'!X438</f>
        <v>APAGADO</v>
      </c>
      <c r="T431" t="str">
        <f>'RESUMEN TOTAL'!Y438</f>
        <v>APAGADO</v>
      </c>
      <c r="U431" t="str">
        <f>'RESUMEN TOTAL'!Z438</f>
        <v>APAGADO</v>
      </c>
      <c r="V431" t="str">
        <f>'RESUMEN TOTAL'!AA438</f>
        <v>APAGADO</v>
      </c>
      <c r="W431" t="str">
        <f>'RESUMEN TOTAL'!AB438</f>
        <v>APAGADO</v>
      </c>
      <c r="X431" t="str">
        <f>'RESUMEN TOTAL'!AC438</f>
        <v>APAGADO</v>
      </c>
      <c r="Y431">
        <f>'RESUMEN TOTAL'!AD438</f>
        <v>0</v>
      </c>
      <c r="Z431">
        <f>'RESUMEN TOTAL'!AE438</f>
        <v>0</v>
      </c>
      <c r="AA431">
        <f>'RESUMEN TOTAL'!AF438</f>
        <v>0</v>
      </c>
      <c r="AB431">
        <f>'RESUMEN TOTAL'!AG438</f>
        <v>0</v>
      </c>
      <c r="AC431">
        <f>'RESUMEN TOTAL'!AH438</f>
        <v>0</v>
      </c>
      <c r="AD431">
        <f>'RESUMEN TOTAL'!AI438</f>
        <v>0</v>
      </c>
      <c r="AE431">
        <f>'RESUMEN TOTAL'!AJ438</f>
        <v>0</v>
      </c>
      <c r="AF431">
        <f>'RESUMEN TOTAL'!AK438</f>
        <v>0</v>
      </c>
      <c r="AG431">
        <f>'RESUMEN TOTAL'!AL438</f>
        <v>0</v>
      </c>
      <c r="AH431">
        <f>'RESUMEN TOTAL'!AM438</f>
        <v>0</v>
      </c>
      <c r="AI431">
        <f>'RESUMEN TOTAL'!AN438</f>
        <v>0</v>
      </c>
    </row>
    <row r="432" spans="1:35" x14ac:dyDescent="0.3">
      <c r="A432" t="str">
        <f>'RESUMEN TOTAL'!A396</f>
        <v>VILLA VATTEONE</v>
      </c>
      <c r="B432" t="str">
        <f>'RESUMEN TOTAL'!B396</f>
        <v>VAT 27</v>
      </c>
      <c r="C432" t="str">
        <f>'RESUMEN TOTAL'!D396</f>
        <v>12 DE OCTUBRE Y ROSARIO</v>
      </c>
      <c r="D432" t="str">
        <f>'RESUMEN TOTAL'!E396</f>
        <v>DOMO</v>
      </c>
      <c r="E432" t="str">
        <f>'RESUMEN TOTAL'!F396</f>
        <v>Fibra Optica</v>
      </c>
      <c r="F432">
        <f>'RESUMEN TOTAL'!K396</f>
        <v>0</v>
      </c>
      <c r="G432">
        <f>'RESUMEN TOTAL'!L396</f>
        <v>0</v>
      </c>
      <c r="H432">
        <f>'RESUMEN TOTAL'!M396</f>
        <v>0</v>
      </c>
      <c r="I432">
        <f>'RESUMEN TOTAL'!N396</f>
        <v>0</v>
      </c>
      <c r="J432">
        <f>'RESUMEN TOTAL'!O396</f>
        <v>0</v>
      </c>
      <c r="K432">
        <f>'RESUMEN TOTAL'!P396</f>
        <v>0</v>
      </c>
      <c r="L432">
        <f>'RESUMEN TOTAL'!Q396</f>
        <v>0</v>
      </c>
      <c r="M432">
        <f>'RESUMEN TOTAL'!R396</f>
        <v>0</v>
      </c>
      <c r="N432">
        <f>'RESUMEN TOTAL'!S396</f>
        <v>0</v>
      </c>
      <c r="O432">
        <f>'RESUMEN TOTAL'!T396</f>
        <v>0</v>
      </c>
      <c r="P432">
        <f>'RESUMEN TOTAL'!U396</f>
        <v>0</v>
      </c>
      <c r="Q432">
        <f>'RESUMEN TOTAL'!V396</f>
        <v>0</v>
      </c>
      <c r="R432">
        <f>'RESUMEN TOTAL'!W396</f>
        <v>0</v>
      </c>
      <c r="S432">
        <f>'RESUMEN TOTAL'!X396</f>
        <v>0</v>
      </c>
      <c r="T432">
        <f>'RESUMEN TOTAL'!Y396</f>
        <v>0</v>
      </c>
      <c r="U432">
        <f>'RESUMEN TOTAL'!Z396</f>
        <v>0</v>
      </c>
      <c r="V432">
        <f>'RESUMEN TOTAL'!AA396</f>
        <v>0</v>
      </c>
      <c r="W432">
        <f>'RESUMEN TOTAL'!AB396</f>
        <v>0</v>
      </c>
      <c r="X432">
        <f>'RESUMEN TOTAL'!AC396</f>
        <v>0</v>
      </c>
      <c r="Y432">
        <f>'RESUMEN TOTAL'!AD396</f>
        <v>0</v>
      </c>
      <c r="Z432">
        <f>'RESUMEN TOTAL'!AE396</f>
        <v>0</v>
      </c>
      <c r="AA432">
        <f>'RESUMEN TOTAL'!AF396</f>
        <v>0</v>
      </c>
      <c r="AB432">
        <f>'RESUMEN TOTAL'!AG396</f>
        <v>0</v>
      </c>
      <c r="AC432">
        <f>'RESUMEN TOTAL'!AH396</f>
        <v>0</v>
      </c>
      <c r="AD432">
        <f>'RESUMEN TOTAL'!AI396</f>
        <v>0</v>
      </c>
      <c r="AE432">
        <f>'RESUMEN TOTAL'!AJ396</f>
        <v>0</v>
      </c>
      <c r="AF432">
        <f>'RESUMEN TOTAL'!AK396</f>
        <v>0</v>
      </c>
      <c r="AG432">
        <f>'RESUMEN TOTAL'!AL396</f>
        <v>0</v>
      </c>
      <c r="AH432">
        <f>'RESUMEN TOTAL'!AM396</f>
        <v>0</v>
      </c>
      <c r="AI432">
        <f>'RESUMEN TOTAL'!AN396</f>
        <v>0</v>
      </c>
    </row>
    <row r="433" spans="1:35" x14ac:dyDescent="0.3">
      <c r="A433">
        <f>'RESUMEN TOTAL'!A439</f>
        <v>0</v>
      </c>
      <c r="B433" t="str">
        <f>'RESUMEN TOTAL'!B439</f>
        <v>X</v>
      </c>
      <c r="C433" t="str">
        <f>'RESUMEN TOTAL'!D439</f>
        <v>BRAILE Y FINOCCHIETTO</v>
      </c>
      <c r="D433" t="str">
        <f>'RESUMEN TOTAL'!E439</f>
        <v>DOMO</v>
      </c>
      <c r="E433" t="str">
        <f>'RESUMEN TOTAL'!F439</f>
        <v>Fibra Optica</v>
      </c>
      <c r="F433">
        <f>'RESUMEN TOTAL'!K439</f>
        <v>0</v>
      </c>
      <c r="G433">
        <f>'RESUMEN TOTAL'!L439</f>
        <v>0</v>
      </c>
      <c r="H433">
        <f>'RESUMEN TOTAL'!M439</f>
        <v>0</v>
      </c>
      <c r="I433">
        <f>'RESUMEN TOTAL'!N439</f>
        <v>0</v>
      </c>
      <c r="J433">
        <f>'RESUMEN TOTAL'!O439</f>
        <v>0</v>
      </c>
      <c r="K433">
        <f>'RESUMEN TOTAL'!P439</f>
        <v>0</v>
      </c>
      <c r="L433">
        <f>'RESUMEN TOTAL'!Q439</f>
        <v>0</v>
      </c>
      <c r="M433">
        <f>'RESUMEN TOTAL'!R439</f>
        <v>0</v>
      </c>
      <c r="N433">
        <f>'RESUMEN TOTAL'!S439</f>
        <v>0</v>
      </c>
      <c r="O433">
        <f>'RESUMEN TOTAL'!T439</f>
        <v>0</v>
      </c>
      <c r="P433">
        <f>'RESUMEN TOTAL'!U439</f>
        <v>0</v>
      </c>
      <c r="Q433">
        <f>'RESUMEN TOTAL'!V439</f>
        <v>0</v>
      </c>
      <c r="R433">
        <f>'RESUMEN TOTAL'!W439</f>
        <v>0</v>
      </c>
      <c r="S433">
        <f>'RESUMEN TOTAL'!X439</f>
        <v>0</v>
      </c>
      <c r="T433">
        <f>'RESUMEN TOTAL'!Y439</f>
        <v>0</v>
      </c>
      <c r="U433">
        <f>'RESUMEN TOTAL'!Z439</f>
        <v>0</v>
      </c>
      <c r="V433">
        <f>'RESUMEN TOTAL'!AA439</f>
        <v>0</v>
      </c>
      <c r="W433">
        <f>'RESUMEN TOTAL'!AB439</f>
        <v>0</v>
      </c>
      <c r="X433">
        <f>'RESUMEN TOTAL'!AC439</f>
        <v>0</v>
      </c>
      <c r="Y433">
        <f>'RESUMEN TOTAL'!AD439</f>
        <v>0</v>
      </c>
      <c r="Z433">
        <f>'RESUMEN TOTAL'!AE439</f>
        <v>0</v>
      </c>
      <c r="AA433">
        <f>'RESUMEN TOTAL'!AF439</f>
        <v>0</v>
      </c>
      <c r="AB433">
        <f>'RESUMEN TOTAL'!AG439</f>
        <v>0</v>
      </c>
      <c r="AC433">
        <f>'RESUMEN TOTAL'!AH439</f>
        <v>0</v>
      </c>
      <c r="AD433">
        <f>'RESUMEN TOTAL'!AI439</f>
        <v>0</v>
      </c>
      <c r="AE433">
        <f>'RESUMEN TOTAL'!AJ439</f>
        <v>0</v>
      </c>
      <c r="AF433">
        <f>'RESUMEN TOTAL'!AK439</f>
        <v>0</v>
      </c>
      <c r="AG433">
        <f>'RESUMEN TOTAL'!AL439</f>
        <v>0</v>
      </c>
      <c r="AH433">
        <f>'RESUMEN TOTAL'!AM439</f>
        <v>0</v>
      </c>
      <c r="AI433">
        <f>'RESUMEN TOTAL'!AN439</f>
        <v>0</v>
      </c>
    </row>
    <row r="434" spans="1:35" x14ac:dyDescent="0.3">
      <c r="A434">
        <f>'RESUMEN TOTAL'!A440</f>
        <v>0</v>
      </c>
      <c r="B434">
        <f>'RESUMEN TOTAL'!B440</f>
        <v>0</v>
      </c>
      <c r="C434">
        <f>'RESUMEN TOTAL'!D440</f>
        <v>0</v>
      </c>
      <c r="D434">
        <f>'RESUMEN TOTAL'!E440</f>
        <v>0</v>
      </c>
      <c r="E434">
        <f>'RESUMEN TOTAL'!F440</f>
        <v>0</v>
      </c>
      <c r="F434">
        <f>'RESUMEN TOTAL'!K440</f>
        <v>0</v>
      </c>
      <c r="G434">
        <f>'RESUMEN TOTAL'!L440</f>
        <v>0</v>
      </c>
      <c r="H434">
        <f>'RESUMEN TOTAL'!M440</f>
        <v>0</v>
      </c>
      <c r="I434">
        <f>'RESUMEN TOTAL'!N440</f>
        <v>0</v>
      </c>
      <c r="J434">
        <f>'RESUMEN TOTAL'!O440</f>
        <v>0</v>
      </c>
      <c r="K434">
        <f>'RESUMEN TOTAL'!P440</f>
        <v>0</v>
      </c>
      <c r="L434">
        <f>'RESUMEN TOTAL'!Q440</f>
        <v>0</v>
      </c>
      <c r="M434">
        <f>'RESUMEN TOTAL'!R440</f>
        <v>0</v>
      </c>
      <c r="N434">
        <f>'RESUMEN TOTAL'!S440</f>
        <v>0</v>
      </c>
      <c r="O434">
        <f>'RESUMEN TOTAL'!T440</f>
        <v>0</v>
      </c>
      <c r="P434">
        <f>'RESUMEN TOTAL'!U440</f>
        <v>0</v>
      </c>
      <c r="Q434">
        <f>'RESUMEN TOTAL'!V440</f>
        <v>0</v>
      </c>
      <c r="R434">
        <f>'RESUMEN TOTAL'!W440</f>
        <v>0</v>
      </c>
      <c r="S434">
        <f>'RESUMEN TOTAL'!X440</f>
        <v>0</v>
      </c>
      <c r="T434">
        <f>'RESUMEN TOTAL'!Y440</f>
        <v>0</v>
      </c>
      <c r="U434">
        <f>'RESUMEN TOTAL'!Z440</f>
        <v>0</v>
      </c>
      <c r="V434">
        <f>'RESUMEN TOTAL'!AA440</f>
        <v>0</v>
      </c>
      <c r="W434">
        <f>'RESUMEN TOTAL'!AB440</f>
        <v>0</v>
      </c>
      <c r="X434">
        <f>'RESUMEN TOTAL'!AC440</f>
        <v>0</v>
      </c>
      <c r="Y434">
        <f>'RESUMEN TOTAL'!AD440</f>
        <v>0</v>
      </c>
      <c r="Z434">
        <f>'RESUMEN TOTAL'!AE440</f>
        <v>0</v>
      </c>
      <c r="AA434">
        <f>'RESUMEN TOTAL'!AF440</f>
        <v>0</v>
      </c>
      <c r="AB434">
        <f>'RESUMEN TOTAL'!AG440</f>
        <v>0</v>
      </c>
      <c r="AC434">
        <f>'RESUMEN TOTAL'!AH440</f>
        <v>0</v>
      </c>
      <c r="AD434">
        <f>'RESUMEN TOTAL'!AI440</f>
        <v>0</v>
      </c>
      <c r="AE434">
        <f>'RESUMEN TOTAL'!AJ440</f>
        <v>0</v>
      </c>
      <c r="AF434">
        <f>'RESUMEN TOTAL'!AK440</f>
        <v>0</v>
      </c>
      <c r="AG434">
        <f>'RESUMEN TOTAL'!AL440</f>
        <v>0</v>
      </c>
      <c r="AH434">
        <f>'RESUMEN TOTAL'!AM440</f>
        <v>0</v>
      </c>
      <c r="AI434">
        <f>'RESUMEN TOTAL'!AN440</f>
        <v>0</v>
      </c>
    </row>
    <row r="435" spans="1:35" x14ac:dyDescent="0.3">
      <c r="A435">
        <f>'RESUMEN TOTAL'!A441</f>
        <v>0</v>
      </c>
      <c r="B435">
        <f>'RESUMEN TOTAL'!B441</f>
        <v>0</v>
      </c>
      <c r="C435">
        <f>'RESUMEN TOTAL'!D441</f>
        <v>0</v>
      </c>
      <c r="D435">
        <f>'RESUMEN TOTAL'!E441</f>
        <v>0</v>
      </c>
      <c r="E435">
        <f>'RESUMEN TOTAL'!F441</f>
        <v>0</v>
      </c>
      <c r="F435">
        <f>'RESUMEN TOTAL'!K441</f>
        <v>0</v>
      </c>
      <c r="G435">
        <f>'RESUMEN TOTAL'!L441</f>
        <v>0</v>
      </c>
      <c r="H435">
        <f>'RESUMEN TOTAL'!M441</f>
        <v>0</v>
      </c>
      <c r="I435">
        <f>'RESUMEN TOTAL'!N441</f>
        <v>0</v>
      </c>
      <c r="J435">
        <f>'RESUMEN TOTAL'!O441</f>
        <v>0</v>
      </c>
      <c r="K435">
        <f>'RESUMEN TOTAL'!P441</f>
        <v>0</v>
      </c>
      <c r="L435">
        <f>'RESUMEN TOTAL'!Q441</f>
        <v>0</v>
      </c>
      <c r="M435">
        <f>'RESUMEN TOTAL'!R441</f>
        <v>0</v>
      </c>
      <c r="N435">
        <f>'RESUMEN TOTAL'!S441</f>
        <v>0</v>
      </c>
      <c r="O435">
        <f>'RESUMEN TOTAL'!T441</f>
        <v>0</v>
      </c>
      <c r="P435">
        <f>'RESUMEN TOTAL'!U441</f>
        <v>0</v>
      </c>
      <c r="Q435">
        <f>'RESUMEN TOTAL'!V441</f>
        <v>0</v>
      </c>
      <c r="R435">
        <f>'RESUMEN TOTAL'!W441</f>
        <v>0</v>
      </c>
      <c r="S435">
        <f>'RESUMEN TOTAL'!X441</f>
        <v>0</v>
      </c>
      <c r="T435">
        <f>'RESUMEN TOTAL'!Y441</f>
        <v>0</v>
      </c>
      <c r="U435">
        <f>'RESUMEN TOTAL'!Z441</f>
        <v>0</v>
      </c>
      <c r="V435">
        <f>'RESUMEN TOTAL'!AA441</f>
        <v>0</v>
      </c>
      <c r="W435">
        <f>'RESUMEN TOTAL'!AB441</f>
        <v>0</v>
      </c>
      <c r="X435">
        <f>'RESUMEN TOTAL'!AC441</f>
        <v>0</v>
      </c>
      <c r="Y435">
        <f>'RESUMEN TOTAL'!AD441</f>
        <v>0</v>
      </c>
      <c r="Z435">
        <f>'RESUMEN TOTAL'!AE441</f>
        <v>0</v>
      </c>
      <c r="AA435">
        <f>'RESUMEN TOTAL'!AF441</f>
        <v>0</v>
      </c>
      <c r="AB435">
        <f>'RESUMEN TOTAL'!AG441</f>
        <v>0</v>
      </c>
      <c r="AC435">
        <f>'RESUMEN TOTAL'!AH441</f>
        <v>0</v>
      </c>
      <c r="AD435">
        <f>'RESUMEN TOTAL'!AI441</f>
        <v>0</v>
      </c>
      <c r="AE435">
        <f>'RESUMEN TOTAL'!AJ441</f>
        <v>0</v>
      </c>
      <c r="AF435">
        <f>'RESUMEN TOTAL'!AK441</f>
        <v>0</v>
      </c>
      <c r="AG435">
        <f>'RESUMEN TOTAL'!AL441</f>
        <v>0</v>
      </c>
      <c r="AH435">
        <f>'RESUMEN TOTAL'!AM441</f>
        <v>0</v>
      </c>
      <c r="AI435">
        <f>'RESUMEN TOTAL'!AN441</f>
        <v>0</v>
      </c>
    </row>
    <row r="436" spans="1:35" x14ac:dyDescent="0.3">
      <c r="A436">
        <f>'RESUMEN TOTAL'!A442</f>
        <v>0</v>
      </c>
      <c r="B436">
        <f>'RESUMEN TOTAL'!B442</f>
        <v>0</v>
      </c>
      <c r="C436">
        <f>'RESUMEN TOTAL'!D442</f>
        <v>0</v>
      </c>
      <c r="D436">
        <f>'RESUMEN TOTAL'!E442</f>
        <v>0</v>
      </c>
      <c r="E436">
        <f>'RESUMEN TOTAL'!F442</f>
        <v>0</v>
      </c>
      <c r="F436">
        <f>'RESUMEN TOTAL'!K442</f>
        <v>0</v>
      </c>
      <c r="G436">
        <f>'RESUMEN TOTAL'!L442</f>
        <v>0</v>
      </c>
      <c r="H436">
        <f>'RESUMEN TOTAL'!M442</f>
        <v>0</v>
      </c>
      <c r="I436">
        <f>'RESUMEN TOTAL'!N442</f>
        <v>0</v>
      </c>
      <c r="J436">
        <f>'RESUMEN TOTAL'!O442</f>
        <v>0</v>
      </c>
      <c r="K436">
        <f>'RESUMEN TOTAL'!P442</f>
        <v>0</v>
      </c>
      <c r="L436">
        <f>'RESUMEN TOTAL'!Q442</f>
        <v>0</v>
      </c>
      <c r="M436">
        <f>'RESUMEN TOTAL'!R442</f>
        <v>0</v>
      </c>
      <c r="N436">
        <f>'RESUMEN TOTAL'!S442</f>
        <v>0</v>
      </c>
      <c r="O436">
        <f>'RESUMEN TOTAL'!T442</f>
        <v>0</v>
      </c>
      <c r="P436">
        <f>'RESUMEN TOTAL'!U442</f>
        <v>0</v>
      </c>
      <c r="Q436">
        <f>'RESUMEN TOTAL'!V442</f>
        <v>0</v>
      </c>
      <c r="R436">
        <f>'RESUMEN TOTAL'!W442</f>
        <v>0</v>
      </c>
      <c r="S436">
        <f>'RESUMEN TOTAL'!X442</f>
        <v>0</v>
      </c>
      <c r="T436">
        <f>'RESUMEN TOTAL'!Y442</f>
        <v>0</v>
      </c>
      <c r="U436">
        <f>'RESUMEN TOTAL'!Z442</f>
        <v>0</v>
      </c>
      <c r="V436">
        <f>'RESUMEN TOTAL'!AA442</f>
        <v>0</v>
      </c>
      <c r="W436">
        <f>'RESUMEN TOTAL'!AB442</f>
        <v>0</v>
      </c>
      <c r="X436">
        <f>'RESUMEN TOTAL'!AC442</f>
        <v>0</v>
      </c>
      <c r="Y436">
        <f>'RESUMEN TOTAL'!AD442</f>
        <v>0</v>
      </c>
      <c r="Z436">
        <f>'RESUMEN TOTAL'!AE442</f>
        <v>0</v>
      </c>
      <c r="AA436">
        <f>'RESUMEN TOTAL'!AF442</f>
        <v>0</v>
      </c>
      <c r="AB436">
        <f>'RESUMEN TOTAL'!AG442</f>
        <v>0</v>
      </c>
      <c r="AC436">
        <f>'RESUMEN TOTAL'!AH442</f>
        <v>0</v>
      </c>
      <c r="AD436">
        <f>'RESUMEN TOTAL'!AI442</f>
        <v>0</v>
      </c>
      <c r="AE436">
        <f>'RESUMEN TOTAL'!AJ442</f>
        <v>0</v>
      </c>
      <c r="AF436">
        <f>'RESUMEN TOTAL'!AK442</f>
        <v>0</v>
      </c>
      <c r="AG436">
        <f>'RESUMEN TOTAL'!AL442</f>
        <v>0</v>
      </c>
      <c r="AH436">
        <f>'RESUMEN TOTAL'!AM442</f>
        <v>0</v>
      </c>
      <c r="AI436">
        <f>'RESUMEN TOTAL'!AN442</f>
        <v>0</v>
      </c>
    </row>
    <row r="437" spans="1:35" x14ac:dyDescent="0.3">
      <c r="A437">
        <f>'RESUMEN TOTAL'!A443</f>
        <v>0</v>
      </c>
      <c r="B437">
        <f>'RESUMEN TOTAL'!B443</f>
        <v>0</v>
      </c>
      <c r="C437">
        <f>'RESUMEN TOTAL'!D443</f>
        <v>0</v>
      </c>
      <c r="D437">
        <f>'RESUMEN TOTAL'!E443</f>
        <v>0</v>
      </c>
      <c r="E437">
        <f>'RESUMEN TOTAL'!F443</f>
        <v>0</v>
      </c>
      <c r="F437">
        <f>'RESUMEN TOTAL'!K443</f>
        <v>0</v>
      </c>
      <c r="G437">
        <f>'RESUMEN TOTAL'!L443</f>
        <v>0</v>
      </c>
      <c r="H437">
        <f>'RESUMEN TOTAL'!M443</f>
        <v>0</v>
      </c>
      <c r="I437">
        <f>'RESUMEN TOTAL'!N443</f>
        <v>0</v>
      </c>
      <c r="J437">
        <f>'RESUMEN TOTAL'!O443</f>
        <v>0</v>
      </c>
      <c r="K437">
        <f>'RESUMEN TOTAL'!P443</f>
        <v>0</v>
      </c>
      <c r="L437">
        <f>'RESUMEN TOTAL'!Q443</f>
        <v>0</v>
      </c>
      <c r="M437">
        <f>'RESUMEN TOTAL'!R443</f>
        <v>0</v>
      </c>
      <c r="N437">
        <f>'RESUMEN TOTAL'!S443</f>
        <v>0</v>
      </c>
      <c r="O437">
        <f>'RESUMEN TOTAL'!T443</f>
        <v>0</v>
      </c>
      <c r="P437">
        <f>'RESUMEN TOTAL'!U443</f>
        <v>0</v>
      </c>
      <c r="Q437">
        <f>'RESUMEN TOTAL'!V443</f>
        <v>0</v>
      </c>
      <c r="R437">
        <f>'RESUMEN TOTAL'!W443</f>
        <v>0</v>
      </c>
      <c r="S437">
        <f>'RESUMEN TOTAL'!X443</f>
        <v>0</v>
      </c>
      <c r="T437">
        <f>'RESUMEN TOTAL'!Y443</f>
        <v>0</v>
      </c>
      <c r="U437">
        <f>'RESUMEN TOTAL'!Z443</f>
        <v>0</v>
      </c>
      <c r="V437">
        <f>'RESUMEN TOTAL'!AA443</f>
        <v>0</v>
      </c>
      <c r="W437">
        <f>'RESUMEN TOTAL'!AB443</f>
        <v>0</v>
      </c>
      <c r="X437">
        <f>'RESUMEN TOTAL'!AC443</f>
        <v>0</v>
      </c>
      <c r="Y437">
        <f>'RESUMEN TOTAL'!AD443</f>
        <v>0</v>
      </c>
      <c r="Z437">
        <f>'RESUMEN TOTAL'!AE443</f>
        <v>0</v>
      </c>
      <c r="AA437">
        <f>'RESUMEN TOTAL'!AF443</f>
        <v>0</v>
      </c>
      <c r="AB437">
        <f>'RESUMEN TOTAL'!AG443</f>
        <v>0</v>
      </c>
      <c r="AC437">
        <f>'RESUMEN TOTAL'!AH443</f>
        <v>0</v>
      </c>
      <c r="AD437">
        <f>'RESUMEN TOTAL'!AI443</f>
        <v>0</v>
      </c>
      <c r="AE437">
        <f>'RESUMEN TOTAL'!AJ443</f>
        <v>0</v>
      </c>
      <c r="AF437">
        <f>'RESUMEN TOTAL'!AK443</f>
        <v>0</v>
      </c>
      <c r="AG437">
        <f>'RESUMEN TOTAL'!AL443</f>
        <v>0</v>
      </c>
      <c r="AH437">
        <f>'RESUMEN TOTAL'!AM443</f>
        <v>0</v>
      </c>
      <c r="AI437">
        <f>'RESUMEN TOTAL'!AN443</f>
        <v>0</v>
      </c>
    </row>
    <row r="438" spans="1:35" x14ac:dyDescent="0.3">
      <c r="A438">
        <f>'RESUMEN TOTAL'!A444</f>
        <v>0</v>
      </c>
      <c r="B438">
        <f>'RESUMEN TOTAL'!B444</f>
        <v>0</v>
      </c>
      <c r="C438">
        <f>'RESUMEN TOTAL'!D444</f>
        <v>0</v>
      </c>
      <c r="D438">
        <f>'RESUMEN TOTAL'!E444</f>
        <v>0</v>
      </c>
      <c r="E438">
        <f>'RESUMEN TOTAL'!F444</f>
        <v>0</v>
      </c>
      <c r="F438">
        <f>'RESUMEN TOTAL'!K444</f>
        <v>0</v>
      </c>
      <c r="G438">
        <f>'RESUMEN TOTAL'!L444</f>
        <v>0</v>
      </c>
      <c r="H438">
        <f>'RESUMEN TOTAL'!M444</f>
        <v>0</v>
      </c>
      <c r="I438">
        <f>'RESUMEN TOTAL'!N444</f>
        <v>0</v>
      </c>
      <c r="J438">
        <f>'RESUMEN TOTAL'!O444</f>
        <v>0</v>
      </c>
      <c r="K438">
        <f>'RESUMEN TOTAL'!P444</f>
        <v>0</v>
      </c>
      <c r="L438">
        <f>'RESUMEN TOTAL'!Q444</f>
        <v>0</v>
      </c>
      <c r="M438">
        <f>'RESUMEN TOTAL'!R444</f>
        <v>0</v>
      </c>
      <c r="N438">
        <f>'RESUMEN TOTAL'!S444</f>
        <v>0</v>
      </c>
      <c r="O438">
        <f>'RESUMEN TOTAL'!T444</f>
        <v>0</v>
      </c>
      <c r="P438">
        <f>'RESUMEN TOTAL'!U444</f>
        <v>0</v>
      </c>
      <c r="Q438">
        <f>'RESUMEN TOTAL'!V444</f>
        <v>0</v>
      </c>
      <c r="R438">
        <f>'RESUMEN TOTAL'!W444</f>
        <v>0</v>
      </c>
      <c r="S438">
        <f>'RESUMEN TOTAL'!X444</f>
        <v>0</v>
      </c>
      <c r="T438">
        <f>'RESUMEN TOTAL'!Y444</f>
        <v>0</v>
      </c>
      <c r="U438">
        <f>'RESUMEN TOTAL'!Z444</f>
        <v>0</v>
      </c>
      <c r="V438">
        <f>'RESUMEN TOTAL'!AA444</f>
        <v>0</v>
      </c>
      <c r="W438">
        <f>'RESUMEN TOTAL'!AB444</f>
        <v>0</v>
      </c>
      <c r="X438">
        <f>'RESUMEN TOTAL'!AC444</f>
        <v>0</v>
      </c>
      <c r="Y438">
        <f>'RESUMEN TOTAL'!AD444</f>
        <v>0</v>
      </c>
      <c r="Z438">
        <f>'RESUMEN TOTAL'!AE444</f>
        <v>0</v>
      </c>
      <c r="AA438">
        <f>'RESUMEN TOTAL'!AF444</f>
        <v>0</v>
      </c>
      <c r="AB438">
        <f>'RESUMEN TOTAL'!AG444</f>
        <v>0</v>
      </c>
      <c r="AC438">
        <f>'RESUMEN TOTAL'!AH444</f>
        <v>0</v>
      </c>
      <c r="AD438">
        <f>'RESUMEN TOTAL'!AI444</f>
        <v>0</v>
      </c>
      <c r="AE438">
        <f>'RESUMEN TOTAL'!AJ444</f>
        <v>0</v>
      </c>
      <c r="AF438">
        <f>'RESUMEN TOTAL'!AK444</f>
        <v>0</v>
      </c>
      <c r="AG438">
        <f>'RESUMEN TOTAL'!AL444</f>
        <v>0</v>
      </c>
      <c r="AH438">
        <f>'RESUMEN TOTAL'!AM444</f>
        <v>0</v>
      </c>
      <c r="AI438">
        <f>'RESUMEN TOTAL'!AN444</f>
        <v>0</v>
      </c>
    </row>
    <row r="439" spans="1:35" x14ac:dyDescent="0.3">
      <c r="A439">
        <f>'RESUMEN TOTAL'!A445</f>
        <v>0</v>
      </c>
      <c r="B439">
        <f>'RESUMEN TOTAL'!B445</f>
        <v>0</v>
      </c>
      <c r="C439">
        <f>'RESUMEN TOTAL'!D445</f>
        <v>0</v>
      </c>
      <c r="D439">
        <f>'RESUMEN TOTAL'!E445</f>
        <v>0</v>
      </c>
      <c r="E439">
        <f>'RESUMEN TOTAL'!F445</f>
        <v>0</v>
      </c>
      <c r="F439">
        <f>'RESUMEN TOTAL'!K445</f>
        <v>0</v>
      </c>
      <c r="G439">
        <f>'RESUMEN TOTAL'!L445</f>
        <v>0</v>
      </c>
      <c r="H439">
        <f>'RESUMEN TOTAL'!M445</f>
        <v>0</v>
      </c>
      <c r="I439">
        <f>'RESUMEN TOTAL'!N445</f>
        <v>0</v>
      </c>
      <c r="J439">
        <f>'RESUMEN TOTAL'!O445</f>
        <v>0</v>
      </c>
      <c r="K439">
        <f>'RESUMEN TOTAL'!P445</f>
        <v>0</v>
      </c>
      <c r="L439">
        <f>'RESUMEN TOTAL'!Q445</f>
        <v>0</v>
      </c>
      <c r="M439">
        <f>'RESUMEN TOTAL'!R445</f>
        <v>0</v>
      </c>
      <c r="N439">
        <f>'RESUMEN TOTAL'!S445</f>
        <v>0</v>
      </c>
      <c r="O439">
        <f>'RESUMEN TOTAL'!T445</f>
        <v>0</v>
      </c>
      <c r="P439">
        <f>'RESUMEN TOTAL'!U445</f>
        <v>0</v>
      </c>
      <c r="Q439">
        <f>'RESUMEN TOTAL'!V445</f>
        <v>0</v>
      </c>
      <c r="R439">
        <f>'RESUMEN TOTAL'!W445</f>
        <v>0</v>
      </c>
      <c r="S439">
        <f>'RESUMEN TOTAL'!X445</f>
        <v>0</v>
      </c>
      <c r="T439">
        <f>'RESUMEN TOTAL'!Y445</f>
        <v>0</v>
      </c>
      <c r="U439">
        <f>'RESUMEN TOTAL'!Z445</f>
        <v>0</v>
      </c>
      <c r="V439">
        <f>'RESUMEN TOTAL'!AA445</f>
        <v>0</v>
      </c>
      <c r="W439">
        <f>'RESUMEN TOTAL'!AB445</f>
        <v>0</v>
      </c>
      <c r="X439">
        <f>'RESUMEN TOTAL'!AC445</f>
        <v>0</v>
      </c>
      <c r="Y439">
        <f>'RESUMEN TOTAL'!AD445</f>
        <v>0</v>
      </c>
      <c r="Z439">
        <f>'RESUMEN TOTAL'!AE445</f>
        <v>0</v>
      </c>
      <c r="AA439">
        <f>'RESUMEN TOTAL'!AF445</f>
        <v>0</v>
      </c>
      <c r="AB439">
        <f>'RESUMEN TOTAL'!AG445</f>
        <v>0</v>
      </c>
      <c r="AC439">
        <f>'RESUMEN TOTAL'!AH445</f>
        <v>0</v>
      </c>
      <c r="AD439">
        <f>'RESUMEN TOTAL'!AI445</f>
        <v>0</v>
      </c>
      <c r="AE439">
        <f>'RESUMEN TOTAL'!AJ445</f>
        <v>0</v>
      </c>
      <c r="AF439">
        <f>'RESUMEN TOTAL'!AK445</f>
        <v>0</v>
      </c>
      <c r="AG439">
        <f>'RESUMEN TOTAL'!AL445</f>
        <v>0</v>
      </c>
      <c r="AH439">
        <f>'RESUMEN TOTAL'!AM445</f>
        <v>0</v>
      </c>
      <c r="AI439">
        <f>'RESUMEN TOTAL'!AN445</f>
        <v>0</v>
      </c>
    </row>
    <row r="440" spans="1:35" x14ac:dyDescent="0.3">
      <c r="A440">
        <f>'RESUMEN TOTAL'!A446</f>
        <v>0</v>
      </c>
      <c r="B440">
        <f>'RESUMEN TOTAL'!B446</f>
        <v>0</v>
      </c>
      <c r="C440">
        <f>'RESUMEN TOTAL'!D446</f>
        <v>0</v>
      </c>
      <c r="D440">
        <f>'RESUMEN TOTAL'!E446</f>
        <v>0</v>
      </c>
      <c r="E440">
        <f>'RESUMEN TOTAL'!F446</f>
        <v>0</v>
      </c>
      <c r="F440">
        <f>'RESUMEN TOTAL'!K446</f>
        <v>0</v>
      </c>
      <c r="G440">
        <f>'RESUMEN TOTAL'!L446</f>
        <v>0</v>
      </c>
      <c r="H440">
        <f>'RESUMEN TOTAL'!M446</f>
        <v>0</v>
      </c>
      <c r="I440">
        <f>'RESUMEN TOTAL'!N446</f>
        <v>0</v>
      </c>
      <c r="J440">
        <f>'RESUMEN TOTAL'!O446</f>
        <v>0</v>
      </c>
      <c r="K440">
        <f>'RESUMEN TOTAL'!P446</f>
        <v>0</v>
      </c>
      <c r="L440">
        <f>'RESUMEN TOTAL'!Q446</f>
        <v>0</v>
      </c>
      <c r="M440">
        <f>'RESUMEN TOTAL'!R446</f>
        <v>0</v>
      </c>
      <c r="N440">
        <f>'RESUMEN TOTAL'!S446</f>
        <v>0</v>
      </c>
      <c r="O440">
        <f>'RESUMEN TOTAL'!T446</f>
        <v>0</v>
      </c>
      <c r="P440">
        <f>'RESUMEN TOTAL'!U446</f>
        <v>0</v>
      </c>
      <c r="Q440">
        <f>'RESUMEN TOTAL'!V446</f>
        <v>0</v>
      </c>
      <c r="R440">
        <f>'RESUMEN TOTAL'!W446</f>
        <v>0</v>
      </c>
      <c r="S440">
        <f>'RESUMEN TOTAL'!X446</f>
        <v>0</v>
      </c>
      <c r="T440">
        <f>'RESUMEN TOTAL'!Y446</f>
        <v>0</v>
      </c>
      <c r="U440">
        <f>'RESUMEN TOTAL'!Z446</f>
        <v>0</v>
      </c>
      <c r="V440">
        <f>'RESUMEN TOTAL'!AA446</f>
        <v>0</v>
      </c>
      <c r="W440">
        <f>'RESUMEN TOTAL'!AB446</f>
        <v>0</v>
      </c>
      <c r="X440">
        <f>'RESUMEN TOTAL'!AC446</f>
        <v>0</v>
      </c>
      <c r="Y440">
        <f>'RESUMEN TOTAL'!AD446</f>
        <v>0</v>
      </c>
      <c r="Z440">
        <f>'RESUMEN TOTAL'!AE446</f>
        <v>0</v>
      </c>
      <c r="AA440">
        <f>'RESUMEN TOTAL'!AF446</f>
        <v>0</v>
      </c>
      <c r="AB440">
        <f>'RESUMEN TOTAL'!AG446</f>
        <v>0</v>
      </c>
      <c r="AC440">
        <f>'RESUMEN TOTAL'!AH446</f>
        <v>0</v>
      </c>
      <c r="AD440">
        <f>'RESUMEN TOTAL'!AI446</f>
        <v>0</v>
      </c>
      <c r="AE440">
        <f>'RESUMEN TOTAL'!AJ446</f>
        <v>0</v>
      </c>
      <c r="AF440">
        <f>'RESUMEN TOTAL'!AK446</f>
        <v>0</v>
      </c>
      <c r="AG440">
        <f>'RESUMEN TOTAL'!AL446</f>
        <v>0</v>
      </c>
      <c r="AH440">
        <f>'RESUMEN TOTAL'!AM446</f>
        <v>0</v>
      </c>
      <c r="AI440">
        <f>'RESUMEN TOTAL'!AN446</f>
        <v>0</v>
      </c>
    </row>
    <row r="441" spans="1:35" x14ac:dyDescent="0.3">
      <c r="A441">
        <f>'RESUMEN TOTAL'!A447</f>
        <v>0</v>
      </c>
      <c r="B441">
        <f>'RESUMEN TOTAL'!B447</f>
        <v>0</v>
      </c>
      <c r="C441">
        <f>'RESUMEN TOTAL'!D447</f>
        <v>0</v>
      </c>
      <c r="D441">
        <f>'RESUMEN TOTAL'!E447</f>
        <v>0</v>
      </c>
      <c r="E441">
        <f>'RESUMEN TOTAL'!F447</f>
        <v>0</v>
      </c>
      <c r="F441">
        <f>'RESUMEN TOTAL'!K447</f>
        <v>0</v>
      </c>
      <c r="G441">
        <f>'RESUMEN TOTAL'!L447</f>
        <v>0</v>
      </c>
      <c r="H441">
        <f>'RESUMEN TOTAL'!M447</f>
        <v>0</v>
      </c>
      <c r="I441">
        <f>'RESUMEN TOTAL'!N447</f>
        <v>0</v>
      </c>
      <c r="J441">
        <f>'RESUMEN TOTAL'!O447</f>
        <v>0</v>
      </c>
      <c r="K441">
        <f>'RESUMEN TOTAL'!P447</f>
        <v>0</v>
      </c>
      <c r="L441">
        <f>'RESUMEN TOTAL'!Q447</f>
        <v>0</v>
      </c>
      <c r="M441">
        <f>'RESUMEN TOTAL'!R447</f>
        <v>0</v>
      </c>
      <c r="N441">
        <f>'RESUMEN TOTAL'!S447</f>
        <v>0</v>
      </c>
      <c r="O441">
        <f>'RESUMEN TOTAL'!T447</f>
        <v>0</v>
      </c>
      <c r="P441">
        <f>'RESUMEN TOTAL'!U447</f>
        <v>0</v>
      </c>
      <c r="Q441">
        <f>'RESUMEN TOTAL'!V447</f>
        <v>0</v>
      </c>
      <c r="R441">
        <f>'RESUMEN TOTAL'!W447</f>
        <v>0</v>
      </c>
      <c r="S441">
        <f>'RESUMEN TOTAL'!X447</f>
        <v>0</v>
      </c>
      <c r="T441">
        <f>'RESUMEN TOTAL'!Y447</f>
        <v>0</v>
      </c>
      <c r="U441">
        <f>'RESUMEN TOTAL'!Z447</f>
        <v>0</v>
      </c>
      <c r="V441">
        <f>'RESUMEN TOTAL'!AA447</f>
        <v>0</v>
      </c>
      <c r="W441">
        <f>'RESUMEN TOTAL'!AB447</f>
        <v>0</v>
      </c>
      <c r="X441">
        <f>'RESUMEN TOTAL'!AC447</f>
        <v>0</v>
      </c>
      <c r="Y441">
        <f>'RESUMEN TOTAL'!AD447</f>
        <v>0</v>
      </c>
      <c r="Z441">
        <f>'RESUMEN TOTAL'!AE447</f>
        <v>0</v>
      </c>
      <c r="AA441">
        <f>'RESUMEN TOTAL'!AF447</f>
        <v>0</v>
      </c>
      <c r="AB441">
        <f>'RESUMEN TOTAL'!AG447</f>
        <v>0</v>
      </c>
      <c r="AC441">
        <f>'RESUMEN TOTAL'!AH447</f>
        <v>0</v>
      </c>
      <c r="AD441">
        <f>'RESUMEN TOTAL'!AI447</f>
        <v>0</v>
      </c>
      <c r="AE441">
        <f>'RESUMEN TOTAL'!AJ447</f>
        <v>0</v>
      </c>
      <c r="AF441">
        <f>'RESUMEN TOTAL'!AK447</f>
        <v>0</v>
      </c>
      <c r="AG441">
        <f>'RESUMEN TOTAL'!AL447</f>
        <v>0</v>
      </c>
      <c r="AH441">
        <f>'RESUMEN TOTAL'!AM447</f>
        <v>0</v>
      </c>
      <c r="AI441">
        <f>'RESUMEN TOTAL'!AN447</f>
        <v>0</v>
      </c>
    </row>
    <row r="442" spans="1:35" x14ac:dyDescent="0.3">
      <c r="A442">
        <f>'RESUMEN TOTAL'!A448</f>
        <v>0</v>
      </c>
      <c r="B442">
        <f>'RESUMEN TOTAL'!B448</f>
        <v>0</v>
      </c>
      <c r="C442">
        <f>'RESUMEN TOTAL'!D448</f>
        <v>0</v>
      </c>
      <c r="D442">
        <f>'RESUMEN TOTAL'!E448</f>
        <v>0</v>
      </c>
      <c r="E442">
        <f>'RESUMEN TOTAL'!F448</f>
        <v>0</v>
      </c>
      <c r="F442">
        <f>'RESUMEN TOTAL'!K448</f>
        <v>0</v>
      </c>
      <c r="G442">
        <f>'RESUMEN TOTAL'!L448</f>
        <v>0</v>
      </c>
      <c r="H442">
        <f>'RESUMEN TOTAL'!M448</f>
        <v>0</v>
      </c>
      <c r="I442">
        <f>'RESUMEN TOTAL'!N448</f>
        <v>0</v>
      </c>
      <c r="J442">
        <f>'RESUMEN TOTAL'!O448</f>
        <v>0</v>
      </c>
      <c r="K442">
        <f>'RESUMEN TOTAL'!P448</f>
        <v>0</v>
      </c>
      <c r="L442">
        <f>'RESUMEN TOTAL'!Q448</f>
        <v>0</v>
      </c>
      <c r="M442">
        <f>'RESUMEN TOTAL'!R448</f>
        <v>0</v>
      </c>
      <c r="N442">
        <f>'RESUMEN TOTAL'!S448</f>
        <v>0</v>
      </c>
      <c r="O442">
        <f>'RESUMEN TOTAL'!T448</f>
        <v>0</v>
      </c>
      <c r="P442">
        <f>'RESUMEN TOTAL'!U448</f>
        <v>0</v>
      </c>
      <c r="Q442">
        <f>'RESUMEN TOTAL'!V448</f>
        <v>0</v>
      </c>
      <c r="R442">
        <f>'RESUMEN TOTAL'!W448</f>
        <v>0</v>
      </c>
      <c r="S442">
        <f>'RESUMEN TOTAL'!X448</f>
        <v>0</v>
      </c>
      <c r="T442">
        <f>'RESUMEN TOTAL'!Y448</f>
        <v>0</v>
      </c>
      <c r="U442">
        <f>'RESUMEN TOTAL'!Z448</f>
        <v>0</v>
      </c>
      <c r="V442">
        <f>'RESUMEN TOTAL'!AA448</f>
        <v>0</v>
      </c>
      <c r="W442">
        <f>'RESUMEN TOTAL'!AB448</f>
        <v>0</v>
      </c>
      <c r="X442">
        <f>'RESUMEN TOTAL'!AC448</f>
        <v>0</v>
      </c>
      <c r="Y442">
        <f>'RESUMEN TOTAL'!AD448</f>
        <v>0</v>
      </c>
      <c r="Z442">
        <f>'RESUMEN TOTAL'!AE448</f>
        <v>0</v>
      </c>
      <c r="AA442">
        <f>'RESUMEN TOTAL'!AF448</f>
        <v>0</v>
      </c>
      <c r="AB442">
        <f>'RESUMEN TOTAL'!AG448</f>
        <v>0</v>
      </c>
      <c r="AC442">
        <f>'RESUMEN TOTAL'!AH448</f>
        <v>0</v>
      </c>
      <c r="AD442">
        <f>'RESUMEN TOTAL'!AI448</f>
        <v>0</v>
      </c>
      <c r="AE442">
        <f>'RESUMEN TOTAL'!AJ448</f>
        <v>0</v>
      </c>
      <c r="AF442">
        <f>'RESUMEN TOTAL'!AK448</f>
        <v>0</v>
      </c>
      <c r="AG442">
        <f>'RESUMEN TOTAL'!AL448</f>
        <v>0</v>
      </c>
      <c r="AH442">
        <f>'RESUMEN TOTAL'!AM448</f>
        <v>0</v>
      </c>
      <c r="AI442">
        <f>'RESUMEN TOTAL'!AN448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5" ht="21" x14ac:dyDescent="0.4">
      <c r="E1" s="19" t="s">
        <v>618</v>
      </c>
      <c r="F1" s="19">
        <f>COUNTIF(F3:F400, "APAGADO")</f>
        <v>133</v>
      </c>
      <c r="G1" s="19">
        <f t="shared" ref="G1:AG1" si="0">COUNTIF(G3:G400, "APAGADO")</f>
        <v>111</v>
      </c>
      <c r="H1" s="19">
        <f>COUNTIF(H3:H500, "APAGADO")</f>
        <v>97</v>
      </c>
      <c r="I1" s="19">
        <f t="shared" si="0"/>
        <v>93</v>
      </c>
      <c r="J1" s="19">
        <f t="shared" si="0"/>
        <v>97</v>
      </c>
      <c r="K1" s="19">
        <f t="shared" si="0"/>
        <v>79</v>
      </c>
      <c r="L1" s="19">
        <f t="shared" si="0"/>
        <v>79</v>
      </c>
      <c r="M1" s="19">
        <f t="shared" si="0"/>
        <v>80</v>
      </c>
      <c r="N1" s="19">
        <f t="shared" si="0"/>
        <v>90</v>
      </c>
      <c r="O1" s="19">
        <f t="shared" si="0"/>
        <v>97</v>
      </c>
      <c r="P1" s="19">
        <f t="shared" si="0"/>
        <v>89</v>
      </c>
      <c r="Q1" s="19">
        <f t="shared" si="0"/>
        <v>73</v>
      </c>
      <c r="R1" s="19">
        <f t="shared" si="0"/>
        <v>76</v>
      </c>
      <c r="S1" s="19">
        <f t="shared" si="0"/>
        <v>80</v>
      </c>
      <c r="T1" s="19">
        <f t="shared" si="0"/>
        <v>72</v>
      </c>
      <c r="U1" s="19">
        <f t="shared" si="0"/>
        <v>48</v>
      </c>
      <c r="V1" s="19">
        <f t="shared" si="0"/>
        <v>74</v>
      </c>
      <c r="W1" s="19">
        <f t="shared" si="0"/>
        <v>42</v>
      </c>
      <c r="X1" s="19">
        <f t="shared" si="0"/>
        <v>35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44896</v>
      </c>
      <c r="G2" s="43">
        <f>ESTADISTICA!G1</f>
        <v>44897</v>
      </c>
      <c r="H2" s="43">
        <f>ESTADISTICA!H1</f>
        <v>44898</v>
      </c>
      <c r="I2" s="43">
        <f>ESTADISTICA!I1</f>
        <v>44899</v>
      </c>
      <c r="J2" s="43">
        <f>ESTADISTICA!J1</f>
        <v>44900</v>
      </c>
      <c r="K2" s="43">
        <f>ESTADISTICA!K1</f>
        <v>44901</v>
      </c>
      <c r="L2" s="43">
        <f>ESTADISTICA!L1</f>
        <v>44902</v>
      </c>
      <c r="M2" s="43">
        <f>ESTADISTICA!M1</f>
        <v>44903</v>
      </c>
      <c r="N2" s="43">
        <f>ESTADISTICA!N1</f>
        <v>44904</v>
      </c>
      <c r="O2" s="43">
        <f>ESTADISTICA!O1</f>
        <v>44905</v>
      </c>
      <c r="P2" s="43">
        <f>ESTADISTICA!P1</f>
        <v>44906</v>
      </c>
      <c r="Q2" s="43">
        <f>ESTADISTICA!Q1</f>
        <v>44907</v>
      </c>
      <c r="R2" s="43">
        <f>ESTADISTICA!R1</f>
        <v>44908</v>
      </c>
      <c r="S2" s="43">
        <f>ESTADISTICA!S1</f>
        <v>44909</v>
      </c>
      <c r="T2" s="43">
        <f>ESTADISTICA!T1</f>
        <v>44910</v>
      </c>
      <c r="U2" s="43">
        <f>ESTADISTICA!U1</f>
        <v>44911</v>
      </c>
      <c r="V2" s="43">
        <f>ESTADISTICA!V1</f>
        <v>44912</v>
      </c>
      <c r="W2" s="43">
        <f>ESTADISTICA!W1</f>
        <v>44913</v>
      </c>
      <c r="X2" s="43">
        <f>ESTADISTICA!X1</f>
        <v>44914</v>
      </c>
      <c r="Y2" s="43">
        <f>ESTADISTICA!Y1</f>
        <v>44915</v>
      </c>
      <c r="Z2" s="43">
        <f>ESTADISTICA!Z1</f>
        <v>44916</v>
      </c>
      <c r="AA2" s="43">
        <f>ESTADISTICA!AA1</f>
        <v>44917</v>
      </c>
      <c r="AB2" s="43">
        <f>ESTADISTICA!AB1</f>
        <v>44918</v>
      </c>
      <c r="AC2" s="43">
        <f>ESTADISTICA!AC1</f>
        <v>44919</v>
      </c>
      <c r="AD2" s="43">
        <f>ESTADISTICA!AD1</f>
        <v>44920</v>
      </c>
      <c r="AE2" s="43">
        <f>ESTADISTICA!AE1</f>
        <v>44921</v>
      </c>
      <c r="AF2" s="43">
        <f>ESTADISTICA!AF1</f>
        <v>44922</v>
      </c>
      <c r="AG2" s="43">
        <f>ESTADISTICA!AG1</f>
        <v>44923</v>
      </c>
      <c r="AH2" s="43">
        <f>ESTADISTICA!AH1</f>
        <v>44924</v>
      </c>
      <c r="AI2" s="43">
        <f>ESTADISTICA!AI1</f>
        <v>44925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 t="str">
        <f>ESTADISTICA!R2</f>
        <v>APAGADO</v>
      </c>
      <c r="S3" t="str">
        <f>ESTADISTICA!S2</f>
        <v>APAGADO</v>
      </c>
      <c r="T3" t="str">
        <f>ESTADISTICA!T2</f>
        <v>APAGADO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 t="str">
        <f>ESTADISTICA!O7</f>
        <v>APAGADO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 t="str">
        <f>ESTADISTICA!L8</f>
        <v>APAGADO</v>
      </c>
      <c r="M9" t="str">
        <f>ESTADISTICA!M8</f>
        <v>APAGADO</v>
      </c>
      <c r="N9" t="str">
        <f>ESTADISTICA!N8</f>
        <v>APAGADO</v>
      </c>
      <c r="O9" t="str">
        <f>ESTADISTICA!O8</f>
        <v>APAGADO</v>
      </c>
      <c r="P9" t="str">
        <f>ESTADISTICA!P8</f>
        <v>APAGADO</v>
      </c>
      <c r="Q9" t="str">
        <f>ESTADISTICA!Q8</f>
        <v>APAGADO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 t="str">
        <f>ESTADISTICA!G9</f>
        <v>APAGADO</v>
      </c>
      <c r="H10" t="str">
        <f>ESTADISTICA!H9</f>
        <v>APAGADO</v>
      </c>
      <c r="I10" t="str">
        <f>ESTADISTICA!I9</f>
        <v>APAGADO</v>
      </c>
      <c r="J10" t="str">
        <f>ESTADISTICA!J9</f>
        <v>APAGADO</v>
      </c>
      <c r="K10" t="str">
        <f>ESTADISTICA!K9</f>
        <v>APAGADO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 t="str">
        <f>ESTADISTICA!P9</f>
        <v>APAGADO</v>
      </c>
      <c r="Q10" t="str">
        <f>ESTADISTICA!Q9</f>
        <v>APAGADO</v>
      </c>
      <c r="R10" t="str">
        <f>ESTADISTICA!R9</f>
        <v>APAGADO</v>
      </c>
      <c r="S10" t="str">
        <f>ESTADISTICA!S9</f>
        <v>APAGADO</v>
      </c>
      <c r="T10" t="str">
        <f>ESTADISTICA!T9</f>
        <v>APAGADO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 t="str">
        <f>ESTADISTICA!O10</f>
        <v>APAGADO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X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 t="str">
        <f>ESTADISTICA!T15</f>
        <v>APAGADO</v>
      </c>
      <c r="U16" t="str">
        <f>ESTADISTICA!U15</f>
        <v>APAGADO</v>
      </c>
      <c r="V16" t="str">
        <f>ESTADISTICA!V15</f>
        <v>APAGADO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 t="str">
        <f>ESTADISTICA!T16</f>
        <v>APAGADO</v>
      </c>
      <c r="U17" t="str">
        <f>ESTADISTICA!U16</f>
        <v>APAGADO</v>
      </c>
      <c r="V17" t="str">
        <f>ESTADISTICA!V16</f>
        <v>APAGADO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 t="str">
        <f>ESTADISTICA!T17</f>
        <v>APAGADO</v>
      </c>
      <c r="U18" t="str">
        <f>ESTADISTICA!U17</f>
        <v>APAGADO</v>
      </c>
      <c r="V18" t="str">
        <f>ESTADISTICA!V17</f>
        <v>APAGADO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3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 t="str">
        <f>ESTADISTICA!F20</f>
        <v>APAGADO</v>
      </c>
      <c r="G21" t="str">
        <f>ESTADISTICA!G20</f>
        <v>APAGADO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 t="str">
        <f>ESTADISTICA!V21</f>
        <v>APAGADO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 t="str">
        <f>ESTADISTICA!V32</f>
        <v>APAGADO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 t="str">
        <f>ESTADISTICA!V38</f>
        <v>APAGADO</v>
      </c>
      <c r="W39" t="str">
        <f>ESTADISTICA!W38</f>
        <v>APAGADO</v>
      </c>
      <c r="X39" t="str">
        <f>ESTADISTICA!X38</f>
        <v>APAGADO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 t="str">
        <f>ESTADISTICA!P48</f>
        <v>APAGADO</v>
      </c>
      <c r="Q49">
        <f>ESTADISTICA!Q48</f>
        <v>0</v>
      </c>
      <c r="R49" t="str">
        <f>ESTADISTICA!R48</f>
        <v>APAGADO</v>
      </c>
      <c r="S49" t="str">
        <f>ESTADISTICA!S48</f>
        <v>APAGADO</v>
      </c>
      <c r="T49" t="str">
        <f>ESTADISTICA!T48</f>
        <v>APAGADO</v>
      </c>
      <c r="U49" t="str">
        <f>ESTADISTICA!U48</f>
        <v>APAGADO</v>
      </c>
      <c r="V49" t="str">
        <f>ESTADISTICA!V48</f>
        <v>APAGADO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 t="str">
        <f>ESTADISTICA!N62</f>
        <v>APAGADO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 t="str">
        <f>ESTADISTICA!W63</f>
        <v>APAGADO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 t="str">
        <f>ESTADISTICA!W64</f>
        <v>APAGADO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 t="str">
        <f>ESTADISTICA!M65</f>
        <v>APAGADO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 t="str">
        <f>ESTADISTICA!M66</f>
        <v>APAGADO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 t="str">
        <f>ESTADISTICA!W67</f>
        <v>APAGADO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 t="str">
        <f>ESTADISTICA!L73</f>
        <v>APAGADO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 t="str">
        <f>ESTADISTICA!R73</f>
        <v>APAGADO</v>
      </c>
      <c r="S74" t="str">
        <f>ESTADISTICA!S73</f>
        <v>APAGADO</v>
      </c>
      <c r="T74" t="str">
        <f>ESTADISTICA!T73</f>
        <v>APAGADO</v>
      </c>
      <c r="U74" t="str">
        <f>ESTADISTICA!U73</f>
        <v>APAGADO</v>
      </c>
      <c r="V74" t="str">
        <f>ESTADISTICA!V73</f>
        <v>APAGADO</v>
      </c>
      <c r="W74" t="str">
        <f>ESTADISTICA!W73</f>
        <v>APAGADO</v>
      </c>
      <c r="X74" t="str">
        <f>ESTADISTICA!X73</f>
        <v>APAGADO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 t="str">
        <f>ESTADISTICA!F74</f>
        <v>APAGADO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 t="str">
        <f>ESTADISTICA!G75</f>
        <v>APAGADO</v>
      </c>
      <c r="H76" t="str">
        <f>ESTADISTICA!H75</f>
        <v>APAGADO</v>
      </c>
      <c r="I76" t="str">
        <f>ESTADISTICA!I75</f>
        <v>APAGADO</v>
      </c>
      <c r="J76" t="str">
        <f>ESTADISTICA!J75</f>
        <v>APAGADO</v>
      </c>
      <c r="K76" t="str">
        <f>ESTADISTICA!K75</f>
        <v>APAGADO</v>
      </c>
      <c r="L76" t="str">
        <f>ESTADISTICA!L75</f>
        <v>APAGADO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 t="str">
        <f>ESTADISTICA!T75</f>
        <v>APAGADO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 t="str">
        <f>ESTADISTICA!S81</f>
        <v>APAGADO</v>
      </c>
      <c r="T82" t="str">
        <f>ESTADISTICA!T81</f>
        <v>APAGADO</v>
      </c>
      <c r="U82" t="str">
        <f>ESTADISTICA!U81</f>
        <v>APAGADO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>
        <f>ESTADISTICA!U82</f>
        <v>0</v>
      </c>
      <c r="V83" t="str">
        <f>ESTADISTICA!V82</f>
        <v>APAGADO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 t="str">
        <f>ESTADISTICA!V83</f>
        <v>APAGADO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>
        <f>ESTADISTICA!H84</f>
        <v>0</v>
      </c>
      <c r="I85">
        <f>ESTADISTICA!I84</f>
        <v>0</v>
      </c>
      <c r="J85" t="str">
        <f>ESTADISTICA!J84</f>
        <v>APAGADO</v>
      </c>
      <c r="K85" t="str">
        <f>ESTADISTICA!K84</f>
        <v>APAGADO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>
        <f>ESTADISTICA!O85</f>
        <v>0</v>
      </c>
      <c r="P86" t="str">
        <f>ESTADISTICA!P85</f>
        <v>APAGADO</v>
      </c>
      <c r="Q86">
        <f>ESTADISTICA!Q85</f>
        <v>0</v>
      </c>
      <c r="R86">
        <f>ESTADISTICA!R85</f>
        <v>0</v>
      </c>
      <c r="S86" t="str">
        <f>ESTADISTICA!S85</f>
        <v>APAGADO</v>
      </c>
      <c r="T86">
        <f>ESTADISTICA!T85</f>
        <v>0</v>
      </c>
      <c r="U86">
        <f>ESTADISTICA!U85</f>
        <v>0</v>
      </c>
      <c r="V86" t="str">
        <f>ESTADISTICA!V85</f>
        <v>APAGADO</v>
      </c>
      <c r="W86" t="str">
        <f>ESTADISTICA!W85</f>
        <v>APAGADO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>
        <f>ESTADISTICA!M86</f>
        <v>0</v>
      </c>
      <c r="N87" t="str">
        <f>ESTADISTICA!N86</f>
        <v>APAGADO</v>
      </c>
      <c r="O87">
        <f>ESTADISTICA!O86</f>
        <v>0</v>
      </c>
      <c r="P87" t="str">
        <f>ESTADISTICA!P86</f>
        <v>APAGADO</v>
      </c>
      <c r="Q87">
        <f>ESTADISTICA!Q86</f>
        <v>0</v>
      </c>
      <c r="R87">
        <f>ESTADISTICA!R86</f>
        <v>0</v>
      </c>
      <c r="S87" t="str">
        <f>ESTADISTICA!S86</f>
        <v>APAGADO</v>
      </c>
      <c r="T87">
        <f>ESTADISTICA!T86</f>
        <v>0</v>
      </c>
      <c r="U87">
        <f>ESTADISTICA!U86</f>
        <v>0</v>
      </c>
      <c r="V87" t="str">
        <f>ESTADISTICA!V86</f>
        <v>APAGADO</v>
      </c>
      <c r="W87" t="str">
        <f>ESTADISTICA!W86</f>
        <v>APAGADO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 t="str">
        <f>ESTADISTICA!V92</f>
        <v>APAGADO</v>
      </c>
      <c r="W93" t="str">
        <f>ESTADISTICA!W92</f>
        <v>APAGADO</v>
      </c>
      <c r="X93" t="str">
        <f>ESTADISTICA!X92</f>
        <v>APAGADO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 t="str">
        <f>ESTADISTICA!T98</f>
        <v>APAGADO</v>
      </c>
      <c r="U99" t="str">
        <f>ESTADISTICA!U98</f>
        <v>APAGADO</v>
      </c>
      <c r="V99" t="str">
        <f>ESTADISTICA!V98</f>
        <v>APAGADO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 t="str">
        <f>ESTADISTICA!N100</f>
        <v>APAGADO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3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3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 t="str">
        <f>ESTADISTICA!U103</f>
        <v>APAGADO</v>
      </c>
      <c r="V104" t="str">
        <f>ESTADISTICA!V103</f>
        <v>APAGADO</v>
      </c>
      <c r="W104" t="str">
        <f>ESTADISTICA!W103</f>
        <v>APAGADO</v>
      </c>
      <c r="X104" t="str">
        <f>ESTADISTICA!X103</f>
        <v>APAGADO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3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3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3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3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3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3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3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3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3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3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 t="str">
        <f>ESTADISTICA!V113</f>
        <v>APAGADO</v>
      </c>
      <c r="W114" t="str">
        <f>ESTADISTICA!W113</f>
        <v>APAGADO</v>
      </c>
      <c r="X114" t="str">
        <f>ESTADISTICA!X113</f>
        <v>APAGADO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3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3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 t="str">
        <f>ESTADISTICA!F116</f>
        <v>APAGADO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3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 t="str">
        <f>ESTADISTICA!F117</f>
        <v>APAGADO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3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3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3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 t="str">
        <f>ESTADISTICA!F121</f>
        <v>APAGADO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>
        <f>ESTADISTICA!R121</f>
        <v>0</v>
      </c>
      <c r="S122" t="str">
        <f>ESTADISTICA!S121</f>
        <v>APAGADO</v>
      </c>
      <c r="T122" t="str">
        <f>ESTADISTICA!T121</f>
        <v>APAGADO</v>
      </c>
      <c r="U122" t="str">
        <f>ESTADISTICA!U121</f>
        <v>APAGADO</v>
      </c>
      <c r="V122" t="str">
        <f>ESTADISTICA!V121</f>
        <v>APAGADO</v>
      </c>
      <c r="W122" t="str">
        <f>ESTADISTICA!W121</f>
        <v>APAGADO</v>
      </c>
      <c r="X122" t="str">
        <f>ESTADISTICA!X121</f>
        <v>APAGADO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3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3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>
        <f>ESTADISTICA!M130</f>
        <v>0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 t="str">
        <f>ESTADISTICA!L131</f>
        <v>APAGADO</v>
      </c>
      <c r="M132">
        <f>ESTADISTICA!M131</f>
        <v>0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 t="str">
        <f>ESTADISTICA!L132</f>
        <v>APAGADO</v>
      </c>
      <c r="M133">
        <f>ESTADISTICA!M132</f>
        <v>0</v>
      </c>
      <c r="N133" t="str">
        <f>ESTADISTICA!N132</f>
        <v>APAGADO</v>
      </c>
      <c r="O133" t="str">
        <f>ESTADISTICA!O132</f>
        <v>APAGADO</v>
      </c>
      <c r="P133" t="str">
        <f>ESTADISTICA!P132</f>
        <v>APAGADO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 t="str">
        <f>ESTADISTICA!L133</f>
        <v>APAGADO</v>
      </c>
      <c r="M134">
        <f>ESTADISTICA!M133</f>
        <v>0</v>
      </c>
      <c r="N134" t="str">
        <f>ESTADISTICA!N133</f>
        <v>APAGADO</v>
      </c>
      <c r="O134" t="str">
        <f>ESTADISTICA!O133</f>
        <v>APAGADO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3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 t="str">
        <f>ESTADISTICA!F136</f>
        <v>APAGADO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3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3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3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3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3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3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3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3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3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3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3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3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3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3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3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 t="str">
        <f>ESTADISTICA!M161</f>
        <v>APAGADO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3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3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3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3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 t="str">
        <f>ESTADISTICA!O165</f>
        <v>APAGADO</v>
      </c>
      <c r="P166" t="str">
        <f>ESTADISTICA!P165</f>
        <v>APAGADO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3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3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3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 t="str">
        <f>ESTADISTICA!N168</f>
        <v>APAGADO</v>
      </c>
      <c r="O169" t="str">
        <f>ESTADISTICA!O168</f>
        <v>APAGADO</v>
      </c>
      <c r="P169" t="str">
        <f>ESTADISTICA!P168</f>
        <v>APAGADO</v>
      </c>
      <c r="Q169" t="str">
        <f>ESTADISTICA!Q168</f>
        <v>APAGADO</v>
      </c>
      <c r="R169" t="str">
        <f>ESTADISTICA!R168</f>
        <v>APAGADO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3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 t="str">
        <f>ESTADISTICA!K169</f>
        <v>APAGADO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 t="str">
        <f>ESTADISTICA!R169</f>
        <v>APAGADO</v>
      </c>
      <c r="S170" t="str">
        <f>ESTADISTICA!S169</f>
        <v>APAGADO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3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 t="str">
        <f>ESTADISTICA!M170</f>
        <v>APAGADO</v>
      </c>
      <c r="N171" t="str">
        <f>ESTADISTICA!N170</f>
        <v>APAGADO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 t="str">
        <f>ESTADISTICA!R170</f>
        <v>APAGADO</v>
      </c>
      <c r="S171" t="str">
        <f>ESTADISTICA!S170</f>
        <v>APAGADO</v>
      </c>
      <c r="T171" t="str">
        <f>ESTADISTICA!T170</f>
        <v>APAGADO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3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3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 t="str">
        <f>ESTADISTICA!F172</f>
        <v>APAGADO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3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3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>
        <f>ESTADISTICA!H175</f>
        <v>0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3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 t="str">
        <f>ESTADISTICA!M176</f>
        <v>APAGADO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3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3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 t="str">
        <f>ESTADISTICA!H178</f>
        <v>APAGADO</v>
      </c>
      <c r="I179" t="str">
        <f>ESTADISTICA!I178</f>
        <v>APAGADO</v>
      </c>
      <c r="J179" t="str">
        <f>ESTADISTICA!J178</f>
        <v>APAGADO</v>
      </c>
      <c r="K179" t="str">
        <f>ESTADISTICA!K178</f>
        <v>APAGADO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 t="str">
        <f>ESTADISTICA!P178</f>
        <v>APAGADO</v>
      </c>
      <c r="Q179" t="str">
        <f>ESTADISTICA!Q178</f>
        <v>APAGADO</v>
      </c>
      <c r="R179" t="str">
        <f>ESTADISTICA!R178</f>
        <v>APAGADO</v>
      </c>
      <c r="S179" t="str">
        <f>ESTADISTICA!S178</f>
        <v>APAGADO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 t="str">
        <f>ESTADISTICA!F179</f>
        <v>APAGADO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 t="str">
        <f>ESTADISTICA!S179</f>
        <v>APAGADO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e">
        <f>ESTADISTICA!D180</f>
        <v>#REF!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 t="str">
        <f>ESTADISTICA!T180</f>
        <v>APAGADO</v>
      </c>
      <c r="U181" t="str">
        <f>ESTADISTICA!U180</f>
        <v>APAGADO</v>
      </c>
      <c r="V181" t="str">
        <f>ESTADISTICA!V180</f>
        <v>APAGADO</v>
      </c>
      <c r="W181" t="str">
        <f>ESTADISTICA!W180</f>
        <v>APAGADO</v>
      </c>
      <c r="X181" t="str">
        <f>ESTADISTICA!X180</f>
        <v>APAGADO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 t="str">
        <f>ESTADISTICA!F181</f>
        <v>APAGADO</v>
      </c>
      <c r="G182">
        <f>ESTADISTICA!G181</f>
        <v>0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 t="str">
        <f>ESTADISTICA!R181</f>
        <v>APAGADO</v>
      </c>
      <c r="S182" t="str">
        <f>ESTADISTICA!S181</f>
        <v>APAGADO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3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 t="str">
        <f>ESTADISTICA!F182</f>
        <v>APAGADO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3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 t="str">
        <f>ESTADISTICA!T183</f>
        <v>APAGADO</v>
      </c>
      <c r="U184" t="str">
        <f>ESTADISTICA!U183</f>
        <v>APAGADO</v>
      </c>
      <c r="V184" t="str">
        <f>ESTADISTICA!V183</f>
        <v>APAGADO</v>
      </c>
      <c r="W184" t="str">
        <f>ESTADISTICA!W183</f>
        <v>APAGADO</v>
      </c>
      <c r="X184" t="str">
        <f>ESTADISTICA!X183</f>
        <v>APAGADO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3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3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 t="str">
        <f>ESTADISTICA!X185</f>
        <v>APAGADO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3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 t="str">
        <f>ESTADISTICA!F186</f>
        <v>APAGADO</v>
      </c>
      <c r="G187" t="str">
        <f>ESTADISTICA!G186</f>
        <v>APAGADO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 t="str">
        <f>ESTADISTICA!V186</f>
        <v>APAGADO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3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 t="str">
        <f>ESTADISTICA!F187</f>
        <v>APAGADO</v>
      </c>
      <c r="G188" t="str">
        <f>ESTADISTICA!G187</f>
        <v>APAGADO</v>
      </c>
      <c r="H188" t="str">
        <f>ESTADISTICA!H187</f>
        <v>APAGADO</v>
      </c>
      <c r="I188" t="str">
        <f>ESTADISTICA!I187</f>
        <v>APAGADO</v>
      </c>
      <c r="J188" t="str">
        <f>ESTADISTICA!J187</f>
        <v>APAGADO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 t="str">
        <f>ESTADISTICA!V187</f>
        <v>APAGADO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3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3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3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3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3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 t="str">
        <f>ESTADISTICA!P192</f>
        <v>APAGADO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3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3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 t="str">
        <f>ESTADISTICA!R194</f>
        <v>APAGADO</v>
      </c>
      <c r="S195" t="str">
        <f>ESTADISTICA!S194</f>
        <v>APAGADO</v>
      </c>
      <c r="T195" t="str">
        <f>ESTADISTICA!T194</f>
        <v>APAGADO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3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3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 t="str">
        <f>ESTADISTICA!W196</f>
        <v>APAGADO</v>
      </c>
      <c r="X197" t="str">
        <f>ESTADISTICA!X196</f>
        <v>APAGADO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3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 t="str">
        <f>ESTADISTICA!N197</f>
        <v>APAGADO</v>
      </c>
      <c r="O198" t="str">
        <f>ESTADISTICA!O197</f>
        <v>APAGADO</v>
      </c>
      <c r="P198" t="str">
        <f>ESTADISTICA!P197</f>
        <v>APAGADO</v>
      </c>
      <c r="Q198" t="str">
        <f>ESTADISTICA!Q197</f>
        <v>APAGADO</v>
      </c>
      <c r="R198" t="str">
        <f>ESTADISTICA!R197</f>
        <v>APAGADO</v>
      </c>
      <c r="S198" t="str">
        <f>ESTADISTICA!S197</f>
        <v>APAGADO</v>
      </c>
      <c r="T198" t="str">
        <f>ESTADISTICA!T197</f>
        <v>APAGADO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3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3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3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3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3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 t="str">
        <f>ESTADISTICA!W202</f>
        <v>APAGADO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3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3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3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 t="str">
        <f>ESTADISTICA!G205</f>
        <v>APAGADO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3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 t="str">
        <f>ESTADISTICA!Q206</f>
        <v>APAGADO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 t="str">
        <f>ESTADISTICA!V206</f>
        <v>APAGADO</v>
      </c>
      <c r="W207" t="str">
        <f>ESTADISTICA!W206</f>
        <v>APAGADO</v>
      </c>
      <c r="X207" t="str">
        <f>ESTADISTICA!X206</f>
        <v>APAGADO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3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3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3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 t="str">
        <f>ESTADISTICA!R209</f>
        <v>APAGADO</v>
      </c>
      <c r="S210" t="str">
        <f>ESTADISTICA!S209</f>
        <v>APAGADO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3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 t="str">
        <f>ESTADISTICA!T210</f>
        <v>APAGADO</v>
      </c>
      <c r="U211" t="str">
        <f>ESTADISTICA!U210</f>
        <v>APAGADO</v>
      </c>
      <c r="V211" t="str">
        <f>ESTADISTICA!V210</f>
        <v>APAGADO</v>
      </c>
      <c r="W211" t="str">
        <f>ESTADISTICA!W210</f>
        <v>APAGADO</v>
      </c>
      <c r="X211" t="str">
        <f>ESTADISTICA!X210</f>
        <v>APAGADO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3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3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3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3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3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3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3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3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3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 t="str">
        <f>ESTADISTICA!F220</f>
        <v>APAGADO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3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3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3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3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 t="str">
        <f>ESTADISTICA!V225</f>
        <v>APAGADO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 t="str">
        <f>ESTADISTICA!F226</f>
        <v>APAGADO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 t="str">
        <f>ESTADISTICA!V226</f>
        <v>APAGADO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3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 t="str">
        <f>ESTADISTICA!R227</f>
        <v>APAGADO</v>
      </c>
      <c r="S228" t="str">
        <f>ESTADISTICA!S227</f>
        <v>APAGADO</v>
      </c>
      <c r="T228" t="str">
        <f>ESTADISTICA!T227</f>
        <v>APAGADO</v>
      </c>
      <c r="U228" t="str">
        <f>ESTADISTICA!U227</f>
        <v>APAGADO</v>
      </c>
      <c r="V228" t="str">
        <f>ESTADISTICA!V227</f>
        <v>APAGADO</v>
      </c>
      <c r="W228" t="str">
        <f>ESTADISTICA!W227</f>
        <v>APAGADO</v>
      </c>
      <c r="X228" t="str">
        <f>ESTADISTICA!X227</f>
        <v>APAGADO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3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3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3">
      <c r="A231" t="str">
        <f>ESTADISTICA!A230</f>
        <v>SAN RUDECINDO</v>
      </c>
      <c r="B231" t="str">
        <f>ESTADISTICA!B230</f>
        <v>PUNTO SEGURO-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 t="str">
        <f>ESTADISTICA!P230</f>
        <v>APAGADO</v>
      </c>
      <c r="Q231" t="str">
        <f>ESTADISTICA!Q230</f>
        <v>APAGADO</v>
      </c>
      <c r="R231" t="str">
        <f>ESTADISTICA!R230</f>
        <v>APAGADO</v>
      </c>
      <c r="S231" t="str">
        <f>ESTADISTICA!S230</f>
        <v>APAGADO</v>
      </c>
      <c r="T231" t="str">
        <f>ESTADISTICA!T230</f>
        <v>APAGADO</v>
      </c>
      <c r="U231" t="str">
        <f>ESTADISTICA!U230</f>
        <v>APAGADO</v>
      </c>
      <c r="V231" t="str">
        <f>ESTADISTICA!V230</f>
        <v>APAGADO</v>
      </c>
      <c r="W231" t="str">
        <f>ESTADISTICA!W230</f>
        <v>APAGADO</v>
      </c>
      <c r="X231" t="str">
        <f>ESTADISTICA!X230</f>
        <v>APAGADO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3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 t="str">
        <f>ESTADISTICA!M231</f>
        <v>APAGADO</v>
      </c>
      <c r="N232" t="str">
        <f>ESTADISTICA!N231</f>
        <v>APAGADO</v>
      </c>
      <c r="O232" t="str">
        <f>ESTADISTICA!O231</f>
        <v>APAGADO</v>
      </c>
      <c r="P232" t="str">
        <f>ESTADISTICA!P231</f>
        <v>APAGADO</v>
      </c>
      <c r="Q232" t="str">
        <f>ESTADISTICA!Q231</f>
        <v>APAGADO</v>
      </c>
      <c r="R232" t="str">
        <f>ESTADISTICA!R231</f>
        <v>APAGADO</v>
      </c>
      <c r="S232" t="str">
        <f>ESTADISTICA!S231</f>
        <v>APAGADO</v>
      </c>
      <c r="T232" t="str">
        <f>ESTADISTICA!T231</f>
        <v>APAGADO</v>
      </c>
      <c r="U232" t="str">
        <f>ESTADISTICA!U231</f>
        <v>APAGADO</v>
      </c>
      <c r="V232" t="str">
        <f>ESTADISTICA!V231</f>
        <v>APAGADO</v>
      </c>
      <c r="W232" t="str">
        <f>ESTADISTICA!W231</f>
        <v>APAGADO</v>
      </c>
      <c r="X232" t="str">
        <f>ESTADISTICA!X231</f>
        <v>APAGADO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3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3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3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3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3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3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3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 t="str">
        <f>ESTADISTICA!M239</f>
        <v>APAGADO</v>
      </c>
      <c r="N240">
        <f>ESTADISTICA!N239</f>
        <v>0</v>
      </c>
      <c r="O240" t="str">
        <f>ESTADISTICA!O239</f>
        <v>APAGADO</v>
      </c>
      <c r="P240" t="str">
        <f>ESTADISTICA!P239</f>
        <v>APAGADO</v>
      </c>
      <c r="Q240" t="str">
        <f>ESTADISTICA!Q239</f>
        <v>APAGADO</v>
      </c>
      <c r="R240" t="str">
        <f>ESTADISTICA!R239</f>
        <v>APAGADO</v>
      </c>
      <c r="S240">
        <f>ESTADISTICA!S239</f>
        <v>0</v>
      </c>
      <c r="T240">
        <f>ESTADISTICA!T239</f>
        <v>0</v>
      </c>
      <c r="U240">
        <f>ESTADISTICA!U239</f>
        <v>0</v>
      </c>
      <c r="V240" t="str">
        <f>ESTADISTICA!V239</f>
        <v>APAGADO</v>
      </c>
      <c r="W240">
        <f>ESTADISTICA!W239</f>
        <v>0</v>
      </c>
      <c r="X240" t="str">
        <f>ESTADISTICA!X239</f>
        <v>APAGADO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3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3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3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3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3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 t="str">
        <f>ESTADISTICA!F244</f>
        <v>APAGADO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 t="str">
        <f>ESTADISTICA!V244</f>
        <v>APAGADO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3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 t="str">
        <f>ESTADISTICA!F245</f>
        <v>APAGADO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 t="str">
        <f>ESTADISTICA!V245</f>
        <v>APAGADO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3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 t="str">
        <f>ESTADISTICA!V246</f>
        <v>APAGADO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3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 t="str">
        <f>ESTADISTICA!V247</f>
        <v>APAGADO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3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 t="str">
        <f>ESTADISTICA!V248</f>
        <v>APAGADO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3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>
        <f>ESTADISTICA!T249</f>
        <v>0</v>
      </c>
      <c r="U250">
        <f>ESTADISTICA!U249</f>
        <v>0</v>
      </c>
      <c r="V250" t="str">
        <f>ESTADISTICA!V249</f>
        <v>APAGADO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3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 t="str">
        <f>ESTADISTICA!V250</f>
        <v>APAGADO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3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 t="str">
        <f>ESTADISTICA!V251</f>
        <v>APAGADO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3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 t="str">
        <f>ESTADISTICA!V252</f>
        <v>APAGADO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3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 t="str">
        <f>ESTADISTICA!V253</f>
        <v>APAGADO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3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>
        <f>ESTADISTICA!U254</f>
        <v>0</v>
      </c>
      <c r="V255" t="str">
        <f>ESTADISTICA!V254</f>
        <v>APAGADO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3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 t="str">
        <f>ESTADISTICA!H255</f>
        <v>APAGADO</v>
      </c>
      <c r="I256" t="str">
        <f>ESTADISTICA!I255</f>
        <v>APAGADO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 t="str">
        <f>ESTADISTICA!T255</f>
        <v>APAGADO</v>
      </c>
      <c r="U256" t="str">
        <f>ESTADISTICA!U255</f>
        <v>APAGADO</v>
      </c>
      <c r="V256" t="str">
        <f>ESTADISTICA!V255</f>
        <v>APAGADO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3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 t="str">
        <f>ESTADISTICA!V256</f>
        <v>APAGADO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3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 t="str">
        <f>ESTADISTICA!F257</f>
        <v>APAGADO</v>
      </c>
      <c r="G258" t="str">
        <f>ESTADISTICA!G257</f>
        <v>APAGADO</v>
      </c>
      <c r="H258" t="str">
        <f>ESTADISTICA!H257</f>
        <v>APAGADO</v>
      </c>
      <c r="I258" t="str">
        <f>ESTADISTICA!I257</f>
        <v>APAGADO</v>
      </c>
      <c r="J258" t="str">
        <f>ESTADISTICA!J257</f>
        <v>APAGADO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 t="str">
        <f>ESTADISTICA!V257</f>
        <v>APAGADO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3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 t="str">
        <f>ESTADISTICA!V258</f>
        <v>APAGADO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3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 t="str">
        <f>ESTADISTICA!G259</f>
        <v>APAGADO</v>
      </c>
      <c r="H260" t="str">
        <f>ESTADISTICA!H259</f>
        <v>APAGADO</v>
      </c>
      <c r="I260" t="str">
        <f>ESTADISTICA!I259</f>
        <v>APAGADO</v>
      </c>
      <c r="J260" t="str">
        <f>ESTADISTICA!J259</f>
        <v>APAGADO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 t="str">
        <f>ESTADISTICA!V259</f>
        <v>APAGADO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3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 t="str">
        <f>ESTADISTICA!V260</f>
        <v>APAGADO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3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3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3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 t="str">
        <f>ESTADISTICA!M263</f>
        <v>APAGADO</v>
      </c>
      <c r="N264" t="str">
        <f>ESTADISTICA!N263</f>
        <v>APAGADO</v>
      </c>
      <c r="O264" t="str">
        <f>ESTADISTICA!O263</f>
        <v>APAGADO</v>
      </c>
      <c r="P264" t="str">
        <f>ESTADISTICA!P263</f>
        <v>APAGADO</v>
      </c>
      <c r="Q264" t="str">
        <f>ESTADISTICA!Q263</f>
        <v>APAGADO</v>
      </c>
      <c r="R264" t="str">
        <f>ESTADISTICA!R263</f>
        <v>APAGADO</v>
      </c>
      <c r="S264" t="str">
        <f>ESTADISTICA!S263</f>
        <v>APAGADO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3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 t="str">
        <f>ESTADISTICA!F264</f>
        <v>APAGADO</v>
      </c>
      <c r="G265" t="str">
        <f>ESTADISTICA!G264</f>
        <v>APAGADO</v>
      </c>
      <c r="H265" t="str">
        <f>ESTADISTICA!H264</f>
        <v>APAGADO</v>
      </c>
      <c r="I265" t="str">
        <f>ESTADISTICA!I264</f>
        <v>APAGADO</v>
      </c>
      <c r="J265" t="str">
        <f>ESTADISTICA!J264</f>
        <v>APAGADO</v>
      </c>
      <c r="K265" t="str">
        <f>ESTADISTICA!K264</f>
        <v>APAGADO</v>
      </c>
      <c r="L265" t="str">
        <f>ESTADISTICA!L264</f>
        <v>APAGADO</v>
      </c>
      <c r="M265" t="str">
        <f>ESTADISTICA!M264</f>
        <v>APAGADO</v>
      </c>
      <c r="N265" t="str">
        <f>ESTADISTICA!N264</f>
        <v>APAGADO</v>
      </c>
      <c r="O265" t="str">
        <f>ESTADISTICA!O264</f>
        <v>APAGADO</v>
      </c>
      <c r="P265" t="str">
        <f>ESTADISTICA!P264</f>
        <v>APAGADO</v>
      </c>
      <c r="Q265" t="str">
        <f>ESTADISTICA!Q264</f>
        <v>APAGADO</v>
      </c>
      <c r="R265" t="str">
        <f>ESTADISTICA!R264</f>
        <v>APAGADO</v>
      </c>
      <c r="S265" t="str">
        <f>ESTADISTICA!S264</f>
        <v>APAGADO</v>
      </c>
      <c r="T265" t="str">
        <f>ESTADISTICA!T264</f>
        <v>APAGADO</v>
      </c>
      <c r="U265" t="str">
        <f>ESTADISTICA!U264</f>
        <v>APAGADO</v>
      </c>
      <c r="V265" t="str">
        <f>ESTADISTICA!V264</f>
        <v>APAGADO</v>
      </c>
      <c r="W265" t="str">
        <f>ESTADISTICA!W264</f>
        <v>APAGADO</v>
      </c>
      <c r="X265" t="str">
        <f>ESTADISTICA!X264</f>
        <v>APAGADO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3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 t="str">
        <f>ESTADISTICA!F265</f>
        <v>APAGADO</v>
      </c>
      <c r="G266" t="str">
        <f>ESTADISTICA!G265</f>
        <v>APAGADO</v>
      </c>
      <c r="H266" t="str">
        <f>ESTADISTICA!H265</f>
        <v>APAGADO</v>
      </c>
      <c r="I266" t="str">
        <f>ESTADISTICA!I265</f>
        <v>APAGADO</v>
      </c>
      <c r="J266" t="str">
        <f>ESTADISTICA!J265</f>
        <v>APAGADO</v>
      </c>
      <c r="K266" t="str">
        <f>ESTADISTICA!K265</f>
        <v>APAGADO</v>
      </c>
      <c r="L266" t="str">
        <f>ESTADISTICA!L265</f>
        <v>APAGADO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 t="str">
        <f>ESTADISTICA!T265</f>
        <v>APAGADO</v>
      </c>
      <c r="U266" t="str">
        <f>ESTADISTICA!U265</f>
        <v>APAGADO</v>
      </c>
      <c r="V266" t="str">
        <f>ESTADISTICA!V265</f>
        <v>APAGADO</v>
      </c>
      <c r="W266" t="str">
        <f>ESTADISTICA!W265</f>
        <v>APAGADO</v>
      </c>
      <c r="X266" t="str">
        <f>ESTADISTICA!X265</f>
        <v>APAGADO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3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3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3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3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3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3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3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 t="str">
        <f>ESTADISTICA!I272</f>
        <v>APAGADO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3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3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3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3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>
        <f>ESTADISTICA!I276</f>
        <v>0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 t="str">
        <f>ESTADISTICA!Q276</f>
        <v>APAGADO</v>
      </c>
      <c r="R277" t="str">
        <f>ESTADISTICA!R276</f>
        <v>APAGADO</v>
      </c>
      <c r="S277" t="str">
        <f>ESTADISTICA!S276</f>
        <v>APAGADO</v>
      </c>
      <c r="T277" t="str">
        <f>ESTADISTICA!T276</f>
        <v>APAGADO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3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3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3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3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 t="str">
        <f>ESTADISTICA!X280</f>
        <v>APAGADO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3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3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3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3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3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3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3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3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3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3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3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3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3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3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3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3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3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3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3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 t="str">
        <f>ESTADISTICA!V299</f>
        <v>APAGADO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3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 t="str">
        <f>ESTADISTICA!U300</f>
        <v>APAGADO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3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 t="str">
        <f>ESTADISTICA!U301</f>
        <v>APAGADO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3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 t="str">
        <f>ESTADISTICA!U302</f>
        <v>APAGADO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3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 t="str">
        <f>ESTADISTICA!U303</f>
        <v>APAGADO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3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3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3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 t="str">
        <f>ESTADISTICA!Q306</f>
        <v>APAGADO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3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 t="str">
        <f>ESTADISTICA!U307</f>
        <v>APAGADO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3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 t="str">
        <f>ESTADISTICA!F308</f>
        <v>APAGADO</v>
      </c>
      <c r="G309" t="str">
        <f>ESTADISTICA!G308</f>
        <v>APAGADO</v>
      </c>
      <c r="H309" t="str">
        <f>ESTADISTICA!H308</f>
        <v>APAGADO</v>
      </c>
      <c r="I309" t="str">
        <f>ESTADISTICA!I308</f>
        <v>APAGADO</v>
      </c>
      <c r="J309" t="str">
        <f>ESTADISTICA!J308</f>
        <v>APAGADO</v>
      </c>
      <c r="K309" t="str">
        <f>ESTADISTICA!K308</f>
        <v>APAGADO</v>
      </c>
      <c r="L309" t="str">
        <f>ESTADISTICA!L308</f>
        <v>APAGADO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3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 t="str">
        <f>ESTADISTICA!I309</f>
        <v>APAGADO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3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3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3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3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3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3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3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3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3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3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 t="str">
        <f>ESTADISTICA!K320</f>
        <v>APAGADO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3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3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 t="str">
        <f>ESTADISTICA!S322</f>
        <v>APAGADO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3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3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3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3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3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3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3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3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3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3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3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 t="str">
        <f>ESTADISTICA!W333</f>
        <v>APAGADO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3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3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3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3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 t="str">
        <f>ESTADISTICA!T337</f>
        <v>APAGADO</v>
      </c>
      <c r="U338" t="str">
        <f>ESTADISTICA!U337</f>
        <v>APAGADO</v>
      </c>
      <c r="V338" t="str">
        <f>ESTADISTICA!V337</f>
        <v>APAGADO</v>
      </c>
      <c r="W338" t="str">
        <f>ESTADISTICA!W337</f>
        <v>APAGADO</v>
      </c>
      <c r="X338" t="str">
        <f>ESTADISTICA!X337</f>
        <v>APAGADO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3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 t="str">
        <f>ESTADISTICA!T338</f>
        <v>APAGADO</v>
      </c>
      <c r="U339" t="str">
        <f>ESTADISTICA!U338</f>
        <v>APAGADO</v>
      </c>
      <c r="V339" t="str">
        <f>ESTADISTICA!V338</f>
        <v>APAGADO</v>
      </c>
      <c r="W339" t="str">
        <f>ESTADISTICA!W338</f>
        <v>APAGADO</v>
      </c>
      <c r="X339" t="str">
        <f>ESTADISTICA!X338</f>
        <v>APAGADO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3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 t="str">
        <f>ESTADISTICA!I339</f>
        <v>APAGADO</v>
      </c>
      <c r="J340" t="str">
        <f>ESTADISTICA!J339</f>
        <v>APAGADO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 t="str">
        <f>ESTADISTICA!U339</f>
        <v>APAGADO</v>
      </c>
      <c r="V340" t="str">
        <f>ESTADISTICA!V339</f>
        <v>APAGADO</v>
      </c>
      <c r="W340" t="str">
        <f>ESTADISTICA!W339</f>
        <v>APAGADO</v>
      </c>
      <c r="X340" t="str">
        <f>ESTADISTICA!X339</f>
        <v>APAGADO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3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>
        <f>ESTADISTICA!R340</f>
        <v>0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3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 t="str">
        <f>ESTADISTICA!I341</f>
        <v>APAGADO</v>
      </c>
      <c r="J342" t="str">
        <f>ESTADISTICA!J341</f>
        <v>APAGADO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>
        <f>ESTADISTICA!Q341</f>
        <v>0</v>
      </c>
      <c r="R342" t="str">
        <f>ESTADISTICA!R341</f>
        <v>APAGADO</v>
      </c>
      <c r="S342" t="str">
        <f>ESTADISTICA!S341</f>
        <v>APAGADO</v>
      </c>
      <c r="T342" t="str">
        <f>ESTADISTICA!T341</f>
        <v>APAGADO</v>
      </c>
      <c r="U342" t="str">
        <f>ESTADISTICA!U341</f>
        <v>APAGADO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3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 t="str">
        <f>ESTADISTICA!T342</f>
        <v>APAGADO</v>
      </c>
      <c r="U343" t="str">
        <f>ESTADISTICA!U342</f>
        <v>APAGADO</v>
      </c>
      <c r="V343" t="str">
        <f>ESTADISTICA!V342</f>
        <v>APAGADO</v>
      </c>
      <c r="W343" t="str">
        <f>ESTADISTICA!W342</f>
        <v>APAGADO</v>
      </c>
      <c r="X343" t="str">
        <f>ESTADISTICA!X342</f>
        <v>APAGADO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3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3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 t="str">
        <f>ESTADISTICA!Q344</f>
        <v>APAGADO</v>
      </c>
      <c r="R345" t="str">
        <f>ESTADISTICA!R344</f>
        <v>APAGADO</v>
      </c>
      <c r="S345" t="str">
        <f>ESTADISTICA!S344</f>
        <v>APAGADO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3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 t="str">
        <f>ESTADISTICA!Q345</f>
        <v>APAGADO</v>
      </c>
      <c r="R346" t="str">
        <f>ESTADISTICA!R345</f>
        <v>APAGADO</v>
      </c>
      <c r="S346" t="str">
        <f>ESTADISTICA!S345</f>
        <v>APAGADO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3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 t="str">
        <f>ESTADISTICA!Q346</f>
        <v>APAGADO</v>
      </c>
      <c r="R347" t="str">
        <f>ESTADISTICA!R346</f>
        <v>APAGADO</v>
      </c>
      <c r="S347" t="str">
        <f>ESTADISTICA!S346</f>
        <v>APAGADO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3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>
        <f>ESTADISTICA!I347</f>
        <v>0</v>
      </c>
      <c r="J348" t="str">
        <f>ESTADISTICA!J347</f>
        <v>APAGADO</v>
      </c>
      <c r="K348" t="str">
        <f>ESTADISTICA!K347</f>
        <v>APAGADO</v>
      </c>
      <c r="L348" t="str">
        <f>ESTADISTICA!L347</f>
        <v>APAGADO</v>
      </c>
      <c r="M348" t="str">
        <f>ESTADISTICA!M347</f>
        <v>APAGADO</v>
      </c>
      <c r="N348" t="str">
        <f>ESTADISTICA!N347</f>
        <v>APAGADO</v>
      </c>
      <c r="O348" t="str">
        <f>ESTADISTICA!O347</f>
        <v>APAGADO</v>
      </c>
      <c r="P348" t="str">
        <f>ESTADISTICA!P347</f>
        <v>APAGADO</v>
      </c>
      <c r="Q348" t="str">
        <f>ESTADISTICA!Q347</f>
        <v>APAGADO</v>
      </c>
      <c r="R348" t="str">
        <f>ESTADISTICA!R347</f>
        <v>APAGADO</v>
      </c>
      <c r="S348" t="str">
        <f>ESTADISTICA!S347</f>
        <v>APAGADO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3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3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3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 t="str">
        <f>ESTADISTICA!N350</f>
        <v>APAGADO</v>
      </c>
      <c r="O351" t="str">
        <f>ESTADISTICA!O350</f>
        <v>APAGADO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3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 t="str">
        <f>ESTADISTICA!V351</f>
        <v>APAGADO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3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3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3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 t="str">
        <f>ESTADISTICA!I354</f>
        <v>APAGADO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3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3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 t="str">
        <f>ESTADISTICA!N356</f>
        <v>APAGADO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3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3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3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3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3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3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3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3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3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3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 t="str">
        <f>ESTADISTICA!T366</f>
        <v>APAGADO</v>
      </c>
      <c r="U367" t="str">
        <f>ESTADISTICA!U366</f>
        <v>APAGADO</v>
      </c>
      <c r="V367">
        <f>ESTADISTICA!V366</f>
        <v>0</v>
      </c>
      <c r="W367" t="str">
        <f>ESTADISTICA!W366</f>
        <v>APAGADO</v>
      </c>
      <c r="X367" t="str">
        <f>ESTADISTICA!X366</f>
        <v>APAGADO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3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 t="str">
        <f>ESTADISTICA!T367</f>
        <v>APAGADO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 t="str">
        <f>ESTADISTICA!T368</f>
        <v>APAGADO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3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 t="str">
        <f>ESTADISTICA!G371</f>
        <v>APAGADO</v>
      </c>
      <c r="H372">
        <f>ESTADISTICA!H371</f>
        <v>0</v>
      </c>
      <c r="I372">
        <f>ESTADISTICA!I371</f>
        <v>0</v>
      </c>
      <c r="J372" t="str">
        <f>ESTADISTICA!J371</f>
        <v>APAGADO</v>
      </c>
      <c r="K372" t="str">
        <f>ESTADISTICA!K371</f>
        <v>APAGADO</v>
      </c>
      <c r="L372" t="str">
        <f>ESTADISTICA!L371</f>
        <v>APAGADO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 t="str">
        <f>ESTADISTICA!P371</f>
        <v>APAGADO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 t="str">
        <f>ESTADISTICA!V371</f>
        <v>APAGADO</v>
      </c>
      <c r="W372" t="str">
        <f>ESTADISTICA!W371</f>
        <v>APAGADO</v>
      </c>
      <c r="X372" t="str">
        <f>ESTADISTICA!X371</f>
        <v>APAGADO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3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3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3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 t="str">
        <f>ESTADISTICA!T374</f>
        <v>APAGADO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3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3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3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 t="str">
        <f>ESTADISTICA!F377</f>
        <v>APAGADO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3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3">
      <c r="A380" t="str">
        <f>ESTADISTICA!A379</f>
        <v>VILLA VATTEONE</v>
      </c>
      <c r="B380" t="str">
        <f>ESTADISTICA!B379</f>
        <v>VAT 15</v>
      </c>
      <c r="C380" t="str">
        <f>ESTADISTICA!C379</f>
        <v>CORRIENTES Y VICENTE LOPEZ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 t="str">
        <f>ESTADISTICA!T379</f>
        <v>APAGADO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3">
      <c r="A381" t="str">
        <f>ESTADISTICA!A380</f>
        <v>VILLA VATTEONE</v>
      </c>
      <c r="B381" t="str">
        <f>ESTADISTICA!B380</f>
        <v>VAT 16</v>
      </c>
      <c r="C381" t="str">
        <f>ESTADISTICA!C380</f>
        <v>MONTEVIDEO Y CHACO</v>
      </c>
      <c r="D381" t="str">
        <f>ESTADISTICA!D380</f>
        <v>DOMO</v>
      </c>
      <c r="E381" t="str">
        <f>ESTADISTICA!E380</f>
        <v>PTO A FO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 t="str">
        <f>ESTADISTICA!K380</f>
        <v>APAGADO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3">
      <c r="A382" t="str">
        <f>ESTADISTICA!A381</f>
        <v>VILLA VATTEONE</v>
      </c>
      <c r="B382" t="str">
        <f>ESTADISTICA!B381</f>
        <v>VAT 17</v>
      </c>
      <c r="C382" t="str">
        <f>ESTADISTICA!C381</f>
        <v>CHAÑAR Y URUGUAY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3">
      <c r="A383" t="str">
        <f>ESTADISTICA!A382</f>
        <v>VILLA VATTEONE CENTRO</v>
      </c>
      <c r="B383" t="str">
        <f>ESTADISTICA!B382</f>
        <v>VAT18</v>
      </c>
      <c r="C383" t="str">
        <f>ESTADISTICA!C382</f>
        <v>LAVALLE Y FONROUGE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 t="str">
        <f>ESTADISTICA!T382</f>
        <v>APAGADO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3">
      <c r="A384" t="str">
        <f>ESTADISTICA!A383</f>
        <v>VILLA VATTEONE CENTRO</v>
      </c>
      <c r="B384" t="str">
        <f>ESTADISTICA!B383</f>
        <v>VAT19</v>
      </c>
      <c r="C384" t="str">
        <f>ESTADISTICA!C383</f>
        <v>QUINTANA Y FONROUGE ( TUCUMAN )</v>
      </c>
      <c r="D384" t="str">
        <f>ESTADISTICA!D383</f>
        <v>DOMO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3">
      <c r="A385" t="str">
        <f>ESTADISTICA!A384</f>
        <v>VILLA VATTEONE</v>
      </c>
      <c r="B385" t="str">
        <f>ESTADISTICA!B384</f>
        <v>VAT 20</v>
      </c>
      <c r="C385" t="str">
        <f>ESTADISTICA!C384</f>
        <v>URUGUAY Y PILCOMAYO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3">
      <c r="A386" t="str">
        <f>ESTADISTICA!A385</f>
        <v>VILLA VATTEONE CENTRO</v>
      </c>
      <c r="B386" t="str">
        <f>ESTADISTICA!B385</f>
        <v>VAT 21 (fija 1)</v>
      </c>
      <c r="C386" t="str">
        <f>ESTADISTICA!C385</f>
        <v>QUINTANA E/ BELGRANO Y FONROUGE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 t="str">
        <f>ESTADISTICA!T385</f>
        <v>APAGADO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3">
      <c r="A387" t="str">
        <f>ESTADISTICA!A386</f>
        <v>VILLA VATTEONE CENTRO</v>
      </c>
      <c r="B387" t="str">
        <f>ESTADISTICA!B386</f>
        <v>VAT 22 (fija 2)</v>
      </c>
      <c r="C387" t="str">
        <f>ESTADISTICA!C386</f>
        <v>QUINTANA E/ BELGRANO Y FONROUGE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 t="str">
        <f>ESTADISTICA!T386</f>
        <v>APAGADO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3">
      <c r="A388" t="str">
        <f>ESTADISTICA!A387</f>
        <v>VILLA VATTEONE CENTRO</v>
      </c>
      <c r="B388" t="str">
        <f>ESTADISTICA!B387</f>
        <v>VAT23 (fija 1)</v>
      </c>
      <c r="C388" t="str">
        <f>ESTADISTICA!C387</f>
        <v>EVA PERON Y "EL TUNEL" (BAJO NIVEL)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 t="str">
        <f>ESTADISTICA!J387</f>
        <v>APAGADO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 t="str">
        <f>ESTADISTICA!N387</f>
        <v>APAGADO</v>
      </c>
      <c r="O388" t="str">
        <f>ESTADISTICA!O387</f>
        <v>APAGADO</v>
      </c>
      <c r="P388" t="str">
        <f>ESTADISTICA!P387</f>
        <v>APAGADO</v>
      </c>
      <c r="Q388">
        <f>ESTADISTICA!Q387</f>
        <v>0</v>
      </c>
      <c r="R388">
        <f>ESTADISTICA!R387</f>
        <v>0</v>
      </c>
      <c r="S388" t="str">
        <f>ESTADISTICA!S387</f>
        <v>APAGADO</v>
      </c>
      <c r="T388">
        <f>ESTADISTICA!T387</f>
        <v>0</v>
      </c>
      <c r="U388">
        <f>ESTADISTICA!U387</f>
        <v>0</v>
      </c>
      <c r="V388" t="str">
        <f>ESTADISTICA!V387</f>
        <v>APAGADO</v>
      </c>
      <c r="W388" t="str">
        <f>ESTADISTICA!W387</f>
        <v>APAGADO</v>
      </c>
      <c r="X388" t="str">
        <f>ESTADISTICA!X387</f>
        <v>APAGADO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3">
      <c r="A389" t="str">
        <f>ESTADISTICA!A388</f>
        <v>VILLA VATTEONE CENTRO</v>
      </c>
      <c r="B389" t="str">
        <f>ESTADISTICA!B388</f>
        <v>VAT24 (fija 2)</v>
      </c>
      <c r="C389" t="str">
        <f>ESTADISTICA!C388</f>
        <v>EVA PERON Y "EL TUNEL" (BAJO NIVEL)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 t="str">
        <f>ESTADISTICA!J388</f>
        <v>APAGADO</v>
      </c>
      <c r="K389" t="str">
        <f>ESTADISTICA!K388</f>
        <v>APAGADO</v>
      </c>
      <c r="L389" t="str">
        <f>ESTADISTICA!L388</f>
        <v>APAGADO</v>
      </c>
      <c r="M389">
        <f>ESTADISTICA!M388</f>
        <v>0</v>
      </c>
      <c r="N389" t="str">
        <f>ESTADISTICA!N388</f>
        <v>APAGADO</v>
      </c>
      <c r="O389" t="str">
        <f>ESTADISTICA!O388</f>
        <v>APAGADO</v>
      </c>
      <c r="P389" t="str">
        <f>ESTADISTICA!P388</f>
        <v>APAGADO</v>
      </c>
      <c r="Q389">
        <f>ESTADISTICA!Q388</f>
        <v>0</v>
      </c>
      <c r="R389">
        <f>ESTADISTICA!R388</f>
        <v>0</v>
      </c>
      <c r="S389" t="str">
        <f>ESTADISTICA!S388</f>
        <v>APAGADO</v>
      </c>
      <c r="T389">
        <f>ESTADISTICA!T388</f>
        <v>0</v>
      </c>
      <c r="U389">
        <f>ESTADISTICA!U388</f>
        <v>0</v>
      </c>
      <c r="V389" t="str">
        <f>ESTADISTICA!V388</f>
        <v>APAGADO</v>
      </c>
      <c r="W389" t="str">
        <f>ESTADISTICA!W388</f>
        <v>APAGADO</v>
      </c>
      <c r="X389" t="str">
        <f>ESTADISTICA!X388</f>
        <v>APAGADO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3">
      <c r="A390" t="str">
        <f>ESTADISTICA!A389</f>
        <v>VILLA VATTEONE CENTRO</v>
      </c>
      <c r="B390" t="str">
        <f>ESTADISTICA!B389</f>
        <v>VAT 25</v>
      </c>
      <c r="C390" t="str">
        <f>ESTADISTICA!C389</f>
        <v>Mainini y Uruguay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3">
      <c r="A391" t="str">
        <f>ESTADISTICA!A390</f>
        <v>VILLA VATTEONE CENTRO</v>
      </c>
      <c r="B391" t="str">
        <f>ESTADISTICA!B390</f>
        <v>VAT 26</v>
      </c>
      <c r="C391" t="str">
        <f>ESTADISTICA!C390</f>
        <v>Mainini y Uruguay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3">
      <c r="A392" t="str">
        <f>ESTADISTICA!A391</f>
        <v>VILLA AURORA</v>
      </c>
      <c r="B392" t="str">
        <f>ESTADISTICA!B391</f>
        <v>VAU 01</v>
      </c>
      <c r="C392" t="str">
        <f>ESTADISTICA!C391</f>
        <v>San Martin y Monteverde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3">
      <c r="A393" t="str">
        <f>ESTADISTICA!A392</f>
        <v>SAN EMILIO</v>
      </c>
      <c r="B393" t="str">
        <f>ESTADISTICA!B392</f>
        <v>VAU 02</v>
      </c>
      <c r="C393" t="str">
        <f>ESTADISTICA!C392</f>
        <v>San Martin y Lope de Vega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3">
      <c r="A394" t="str">
        <f>ESTADISTICA!A393</f>
        <v>VILLA AURORA</v>
      </c>
      <c r="B394" t="str">
        <f>ESTADISTICA!B393</f>
        <v>VAU03 (fija 1)</v>
      </c>
      <c r="C394" t="str">
        <f>ESTADISTICA!C393</f>
        <v>PIZZURNO Y NUESTRAS MALVINAS</v>
      </c>
      <c r="D394" t="str">
        <f>ESTADISTICA!D393</f>
        <v>Fija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3">
      <c r="A395" t="str">
        <f>ESTADISTICA!A394</f>
        <v>VILLA AURORA</v>
      </c>
      <c r="B395" t="str">
        <f>ESTADISTICA!B394</f>
        <v>VAU04 (fija 2)</v>
      </c>
      <c r="C395" t="str">
        <f>ESTADISTICA!C394</f>
        <v>PIZZURNO Y NUESTRAS MALVINAS</v>
      </c>
      <c r="D395" t="str">
        <f>ESTADISTICA!D394</f>
        <v>Fija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3">
      <c r="A396" t="str">
        <f>ESTADISTICA!A395</f>
        <v>VILLA AURORA</v>
      </c>
      <c r="B396" t="str">
        <f>ESTADISTICA!B395</f>
        <v>VAU05 (fija 1)</v>
      </c>
      <c r="C396" t="str">
        <f>ESTADISTICA!C395</f>
        <v>GUIDO SPANO Y VICTORINO DE LA PLAZA</v>
      </c>
      <c r="D396" t="str">
        <f>ESTADISTICA!D395</f>
        <v>Fija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3">
      <c r="A397" t="str">
        <f>ESTADISTICA!A396</f>
        <v>VILLA AURORA</v>
      </c>
      <c r="B397" t="str">
        <f>ESTADISTICA!B396</f>
        <v>VAU06 (fija 2)</v>
      </c>
      <c r="C397" t="str">
        <f>ESTADISTICA!C396</f>
        <v>GUIDO SPANO Y VICTORINO DE LA PLAZA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3">
      <c r="A398" t="str">
        <f>ESTADISTICA!A397</f>
        <v>VILLA AURORA</v>
      </c>
      <c r="B398" t="str">
        <f>ESTADISTICA!B397</f>
        <v>VAU 07</v>
      </c>
      <c r="C398" t="str">
        <f>ESTADISTICA!C397</f>
        <v>VICTORINO DE LA PLAZA Y MONTEVERDE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3">
      <c r="A399" t="str">
        <f>ESTADISTICA!A398</f>
        <v>VILLA AURORA</v>
      </c>
      <c r="B399" t="str">
        <f>ESTADISTICA!B398</f>
        <v>VAU08</v>
      </c>
      <c r="C399" t="str">
        <f>ESTADISTICA!C398</f>
        <v>MONTEVERDE Y WASHINGTON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3">
      <c r="A400" t="str">
        <f>ESTADISTICA!A399</f>
        <v>VILLA DEL PLATA</v>
      </c>
      <c r="B400" t="str">
        <f>ESTADISTICA!B399</f>
        <v>VDPL02</v>
      </c>
      <c r="C400" t="str">
        <f>ESTADISTICA!C399</f>
        <v>Thevenet y Berutti</v>
      </c>
      <c r="D400" t="str">
        <f>ESTADISTICA!D399</f>
        <v>Domo</v>
      </c>
      <c r="E400" t="str">
        <f>ESTADISTICA!E399</f>
        <v>Fibra Optica</v>
      </c>
      <c r="F400" t="str">
        <f>ESTADISTICA!F399</f>
        <v>APAGADO</v>
      </c>
      <c r="G400" t="str">
        <f>ESTADISTICA!G399</f>
        <v>APAGADO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 t="str">
        <f>ESTADISTICA!L399</f>
        <v>APAGADO</v>
      </c>
      <c r="M400" t="str">
        <f>ESTADISTICA!M399</f>
        <v>APAGADO</v>
      </c>
      <c r="N400" t="str">
        <f>ESTADISTICA!N399</f>
        <v>APAGADO</v>
      </c>
      <c r="O400" t="str">
        <f>ESTADISTICA!O399</f>
        <v>APAGADO</v>
      </c>
      <c r="P400" t="str">
        <f>ESTADISTICA!P399</f>
        <v>APAGADO</v>
      </c>
      <c r="Q400" t="str">
        <f>ESTADISTICA!Q399</f>
        <v>APAGADO</v>
      </c>
      <c r="R400" t="str">
        <f>ESTADISTICA!R399</f>
        <v>APAGADO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3">
      <c r="A401" t="str">
        <f>ESTADISTICA!A400</f>
        <v>VILLA DEL PLATA</v>
      </c>
      <c r="B401" t="str">
        <f>ESTADISTICA!B400</f>
        <v>VDPL03</v>
      </c>
      <c r="C401" t="str">
        <f>ESTADISTICA!C400</f>
        <v>Neuquen y Alvarado</v>
      </c>
      <c r="D401" t="str">
        <f>ESTADISTICA!D400</f>
        <v>Domo</v>
      </c>
      <c r="E401" t="str">
        <f>ESTADISTICA!E400</f>
        <v>Radio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3">
      <c r="A402" t="str">
        <f>ESTADISTICA!A401</f>
        <v>VILLA DEL PLATA</v>
      </c>
      <c r="B402" t="str">
        <f>ESTADISTICA!B401</f>
        <v>VDPL04</v>
      </c>
      <c r="C402" t="str">
        <f>ESTADISTICA!C401</f>
        <v>Neuquen y Diagonal Guemes</v>
      </c>
      <c r="D402" t="str">
        <f>ESTADISTICA!D401</f>
        <v>Domo</v>
      </c>
      <c r="E402" t="str">
        <f>ESTADISTICA!E401</f>
        <v>Radio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3">
      <c r="A403" t="str">
        <f>ESTADISTICA!A402</f>
        <v>VILLA DEL PLATA</v>
      </c>
      <c r="B403" t="str">
        <f>ESTADISTICA!B402</f>
        <v>VDPL05</v>
      </c>
      <c r="C403" t="str">
        <f>ESTADISTICA!C402</f>
        <v>Ruta 36 y Abraham</v>
      </c>
      <c r="D403" t="str">
        <f>ESTADISTICA!D402</f>
        <v>Domo</v>
      </c>
      <c r="E403" t="str">
        <f>ESTADISTICA!E402</f>
        <v>PTO A FO</v>
      </c>
      <c r="F403">
        <f>ESTADISTICA!F402</f>
        <v>0</v>
      </c>
      <c r="G403" t="str">
        <f>ESTADISTICA!G402</f>
        <v>APAGADO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 t="str">
        <f>ESTADISTICA!T402</f>
        <v>APAGADO</v>
      </c>
      <c r="U403" t="str">
        <f>ESTADISTICA!U402</f>
        <v>APAGADO</v>
      </c>
      <c r="V403">
        <f>ESTADISTICA!V402</f>
        <v>0</v>
      </c>
      <c r="W403" t="str">
        <f>ESTADISTICA!W402</f>
        <v>APAGADO</v>
      </c>
      <c r="X403" t="str">
        <f>ESTADISTICA!X402</f>
        <v>APAGADO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3">
      <c r="A404" t="str">
        <f>ESTADISTICA!A403</f>
        <v>VILLA ANGELICA</v>
      </c>
      <c r="B404" t="str">
        <f>ESTADISTICA!B403</f>
        <v>VDPL06</v>
      </c>
      <c r="C404" t="str">
        <f>ESTADISTICA!C403</f>
        <v>Thevenet e/ Islas Orcadas y Gardel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3">
      <c r="A405" t="str">
        <f>ESTADISTICA!A404</f>
        <v>VILLA HUDSON</v>
      </c>
      <c r="B405" t="str">
        <f>ESTADISTICA!B404</f>
        <v>VHS 01</v>
      </c>
      <c r="C405" t="str">
        <f>ESTADISTICA!C404</f>
        <v>AV. HUDSON Y AV. LUJAN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 t="str">
        <f>ESTADISTICA!V404</f>
        <v>APAGADO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3">
      <c r="A406" t="str">
        <f>ESTADISTICA!A405</f>
        <v>VILLA HUDSON</v>
      </c>
      <c r="B406" t="str">
        <f>ESTADISTICA!B405</f>
        <v>VHS 02</v>
      </c>
      <c r="C406" t="str">
        <f>ESTADISTICA!C405</f>
        <v>AV. LUJAN Y CALLE 909 A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 t="str">
        <f>ESTADISTICA!V405</f>
        <v>APAGADO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3">
      <c r="A407" t="str">
        <f>ESTADISTICA!A406</f>
        <v>VILLA HUDSON</v>
      </c>
      <c r="B407" t="str">
        <f>ESTADISTICA!B406</f>
        <v>VHS 03 (fija 1)</v>
      </c>
      <c r="C407" t="str">
        <f>ESTADISTICA!C406</f>
        <v>AV. HUDSON Y LOS INMIGRANTES</v>
      </c>
      <c r="D407" t="str">
        <f>ESTADISTICA!D406</f>
        <v>Fija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 t="str">
        <f>ESTADISTICA!V406</f>
        <v>APAGADO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3">
      <c r="A408" t="str">
        <f>ESTADISTICA!A407</f>
        <v>VILLA HUDSON</v>
      </c>
      <c r="B408" t="str">
        <f>ESTADISTICA!B407</f>
        <v>VHS 04 (fija 2)</v>
      </c>
      <c r="C408" t="str">
        <f>ESTADISTICA!C407</f>
        <v>AV. HUDSON Y LOS INMIGRANTES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 t="str">
        <f>ESTADISTICA!V407</f>
        <v>APAGADO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3">
      <c r="A409" t="str">
        <f>ESTADISTICA!A408</f>
        <v>VILLA ARIAS</v>
      </c>
      <c r="B409" t="str">
        <f>ESTADISTICA!B408</f>
        <v>VLA 01 (fija 1)</v>
      </c>
      <c r="C409" t="str">
        <f>ESTADISTICA!C408</f>
        <v>820 Y SOLER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3">
      <c r="A410" t="str">
        <f>ESTADISTICA!A409</f>
        <v>VILLA ARIAS</v>
      </c>
      <c r="B410" t="str">
        <f>ESTADISTICA!B409</f>
        <v>VLA 02</v>
      </c>
      <c r="C410" t="str">
        <f>ESTADISTICA!C409</f>
        <v>ESPORA Y HUDSON</v>
      </c>
      <c r="D410" t="str">
        <f>ESTADISTICA!D409</f>
        <v>DOMO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3">
      <c r="A411" t="str">
        <f>ESTADISTICA!A410</f>
        <v>VILLA ARIAS</v>
      </c>
      <c r="B411" t="str">
        <f>ESTADISTICA!B410</f>
        <v>VLA03 (fija 2)</v>
      </c>
      <c r="C411" t="str">
        <f>ESTADISTICA!C410</f>
        <v>820 y SOLER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3">
      <c r="A412" t="str">
        <f>ESTADISTICA!A411</f>
        <v>VILLA ARIAS</v>
      </c>
      <c r="B412" t="str">
        <f>ESTADISTICA!B411</f>
        <v>VLA04</v>
      </c>
      <c r="C412" t="str">
        <f>ESTADISTICA!C411</f>
        <v>ESPORA Y MARTIN GRASS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3">
      <c r="A413" t="str">
        <f>ESTADISTICA!A412</f>
        <v>VILLA ARIAS</v>
      </c>
      <c r="B413" t="str">
        <f>ESTADISTICA!B412</f>
        <v>VLA05</v>
      </c>
      <c r="C413" t="str">
        <f>ESTADISTICA!C412</f>
        <v>ESPORA Y 802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3">
      <c r="A414" t="str">
        <f>ESTADISTICA!A413</f>
        <v>VILLA MONICA NUEVA</v>
      </c>
      <c r="B414" t="str">
        <f>ESTADISTICA!B413</f>
        <v>VMO 02</v>
      </c>
      <c r="C414" t="str">
        <f>ESTADISTICA!C413</f>
        <v>Rio Carapachay y Oroño</v>
      </c>
      <c r="D414" t="str">
        <f>ESTADISTICA!D413</f>
        <v>Domo</v>
      </c>
      <c r="E414" t="str">
        <f>ESTADISTICA!E413</f>
        <v>Radio</v>
      </c>
      <c r="F414" t="str">
        <f>ESTADISTICA!F413</f>
        <v>APAGADO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3">
      <c r="A415" t="str">
        <f>ESTADISTICA!A414</f>
        <v>VILLA MONICA NUEVA</v>
      </c>
      <c r="B415" t="str">
        <f>ESTADISTICA!B414</f>
        <v>VMO 03 (fija 1)</v>
      </c>
      <c r="C415" t="str">
        <f>ESTADISTICA!C414</f>
        <v>EVA PERON E/ OROÑO Y 734 A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3">
      <c r="A416" t="str">
        <f>ESTADISTICA!A415</f>
        <v>VILLA MONICA NUEVA</v>
      </c>
      <c r="B416" t="str">
        <f>ESTADISTICA!B415</f>
        <v>VMO 04 (fija 2)</v>
      </c>
      <c r="C416" t="str">
        <f>ESTADISTICA!C415</f>
        <v>EVA PERON E/ OROÑO Y 734 A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3">
      <c r="A417" t="str">
        <f>ESTADISTICA!A416</f>
        <v>VILLA MONICA NUEVA</v>
      </c>
      <c r="B417" t="str">
        <f>ESTADISTICA!B416</f>
        <v>VMO 05</v>
      </c>
      <c r="C417" t="str">
        <f>ESTADISTICA!C416</f>
        <v>OROÑO Y EVA PERON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3">
      <c r="A418" t="str">
        <f>ESTADISTICA!A417</f>
        <v>VILLA MONICA NUEVA</v>
      </c>
      <c r="B418" t="str">
        <f>ESTADISTICA!B417</f>
        <v>VMO01</v>
      </c>
      <c r="C418" t="str">
        <f>ESTADISTICA!C417</f>
        <v>Eva Peron y Monseñor de las Casas</v>
      </c>
      <c r="D418" t="str">
        <f>ESTADISTICA!D417</f>
        <v>DOMO</v>
      </c>
      <c r="E418" t="str">
        <f>ESTADISTICA!E417</f>
        <v>Fibra Optica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 t="str">
        <f>ESTADISTICA!R417</f>
        <v>APAGADO</v>
      </c>
      <c r="S418" t="str">
        <f>ESTADISTICA!S417</f>
        <v>APAGADO</v>
      </c>
      <c r="T418" t="str">
        <f>ESTADISTICA!T417</f>
        <v>APAGADO</v>
      </c>
      <c r="U418" t="str">
        <f>ESTADISTICA!U417</f>
        <v>APAGADO</v>
      </c>
      <c r="V418" t="str">
        <f>ESTADISTICA!V417</f>
        <v>APAGADO</v>
      </c>
      <c r="W418" t="str">
        <f>ESTADISTICA!W417</f>
        <v>APAGADO</v>
      </c>
      <c r="X418" t="str">
        <f>ESTADISTICA!X417</f>
        <v>APAGADO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3">
      <c r="A419" t="str">
        <f>ESTADISTICA!A418</f>
        <v>VILLA MONICA VIEJA</v>
      </c>
      <c r="B419" t="str">
        <f>ESTADISTICA!B418</f>
        <v>VMOV01 (fija 1)</v>
      </c>
      <c r="C419" t="str">
        <f>ESTADISTICA!C418</f>
        <v>ATENAS E/ CAFFERATA Y ALEMANIA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3">
      <c r="A420" t="str">
        <f>ESTADISTICA!A419</f>
        <v>VILLA MONICA VIEJA</v>
      </c>
      <c r="B420" t="str">
        <f>ESTADISTICA!B419</f>
        <v>VMOV 02 (fija 2)</v>
      </c>
      <c r="C420" t="str">
        <f>ESTADISTICA!C419</f>
        <v>ATENAS E/ CAFFERATA Y ALEMANIA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3">
      <c r="A421" t="str">
        <f>ESTADISTICA!A420</f>
        <v>VILLA MONICA VIEJA</v>
      </c>
      <c r="B421" t="str">
        <f>ESTADISTICA!B420</f>
        <v>VMOV 03 (fija 1)</v>
      </c>
      <c r="C421" t="str">
        <f>ESTADISTICA!C420</f>
        <v>ROMA E/ HOLANDA Y CAFFERATA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3">
      <c r="A422" t="str">
        <f>ESTADISTICA!A421</f>
        <v>VILLA MONICA VIEJA</v>
      </c>
      <c r="B422" t="str">
        <f>ESTADISTICA!B421</f>
        <v>VMOV04 (fija 2)</v>
      </c>
      <c r="C422" t="str">
        <f>ESTADISTICA!C421</f>
        <v>ROMA E/ HOLANDA Y CAFFERATA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3">
      <c r="A423" t="str">
        <f>ESTADISTICA!A422</f>
        <v>VILLA SAN LUIS</v>
      </c>
      <c r="B423" t="str">
        <f>ESTADISTICA!B422</f>
        <v>VSL 01</v>
      </c>
      <c r="C423" t="str">
        <f>ESTADISTICA!C422</f>
        <v>AV. HUDSON Y CACHEUTA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 t="str">
        <f>ESTADISTICA!V422</f>
        <v>APAGADO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3">
      <c r="A424" t="str">
        <f>ESTADISTICA!A423</f>
        <v>VILLA SUSANA</v>
      </c>
      <c r="B424" t="str">
        <f>ESTADISTICA!B423</f>
        <v>VSU01</v>
      </c>
      <c r="C424" t="str">
        <f>ESTADISTICA!C423</f>
        <v>CJAL. JUAN BROWN Y SANTA FE</v>
      </c>
      <c r="D424" t="str">
        <f>ESTADISTICA!D423</f>
        <v>DOMO</v>
      </c>
      <c r="E424" t="str">
        <f>ESTADISTICA!E423</f>
        <v>Radio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3">
      <c r="A425" t="str">
        <f>ESTADISTICA!A424</f>
        <v>VILLA SUSANA</v>
      </c>
      <c r="B425" t="str">
        <f>ESTADISTICA!B424</f>
        <v>VSU 02</v>
      </c>
      <c r="C425" t="str">
        <f>ESTADISTICA!C424</f>
        <v>CABELLO Y SANTA FE</v>
      </c>
      <c r="D425" t="str">
        <f>ESTADISTICA!D424</f>
        <v>DOMO</v>
      </c>
      <c r="E425" t="str">
        <f>ESTADISTICA!E424</f>
        <v>Radio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3">
      <c r="A426" t="str">
        <f>ESTADISTICA!A425</f>
        <v>VILLA SUSANA</v>
      </c>
      <c r="B426" t="str">
        <f>ESTADISTICA!B425</f>
        <v>VSU 03</v>
      </c>
      <c r="C426" t="str">
        <f>ESTADISTICA!C425</f>
        <v>EE.UU Y SERRANO</v>
      </c>
      <c r="D426" t="str">
        <f>ESTADISTICA!D425</f>
        <v>DOMO</v>
      </c>
      <c r="E426" t="str">
        <f>ESTADISTICA!E425</f>
        <v>Radio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3">
      <c r="A427" t="str">
        <f>ESTADISTICA!A426</f>
        <v>VILLA SUSANA</v>
      </c>
      <c r="B427" t="str">
        <f>ESTADISTICA!B426</f>
        <v>VSU 04</v>
      </c>
      <c r="C427" t="str">
        <f>ESTADISTICA!C426</f>
        <v>Aniceto Diaz y Cordoba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3">
      <c r="A428" t="str">
        <f>ESTADISTICA!A427</f>
        <v>VILLA SUSANA</v>
      </c>
      <c r="B428" t="str">
        <f>ESTADISTICA!B427</f>
        <v>VSU 05</v>
      </c>
      <c r="C428" t="str">
        <f>ESTADISTICA!C427</f>
        <v>Aniceto Diaz y Cordoba</v>
      </c>
      <c r="D428" t="str">
        <f>ESTADISTICA!D427</f>
        <v>fija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3">
      <c r="A429" t="str">
        <f>ESTADISTICA!A428</f>
        <v>ZEBALLOS</v>
      </c>
      <c r="B429" t="str">
        <f>ESTADISTICA!B428</f>
        <v>ZEB02</v>
      </c>
      <c r="C429" t="str">
        <f>ESTADISTICA!C428</f>
        <v>Quinquela Martin y Sgo. del Estero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3">
      <c r="A430" t="str">
        <f>ESTADISTICA!A429</f>
        <v>9 DE JULIO</v>
      </c>
      <c r="B430" t="str">
        <f>ESTADISTICA!B429</f>
        <v>ZEB03</v>
      </c>
      <c r="C430" t="str">
        <f>ESTADISTICA!C429</f>
        <v>Quinquela Martin y Pte. Peron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 t="str">
        <f>ESTADISTICA!L429</f>
        <v>APAGADO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3">
      <c r="A431" t="str">
        <f>ESTADISTICA!A430</f>
        <v>ZEBALLOS</v>
      </c>
      <c r="B431" t="str">
        <f>ESTADISTICA!B430</f>
        <v>ZEB04</v>
      </c>
      <c r="C431" t="str">
        <f>ESTADISTICA!C430</f>
        <v>THEVENET Y DIAGONAL GRANADEROS</v>
      </c>
      <c r="D431" t="str">
        <f>ESTADISTICA!D430</f>
        <v>DOMO</v>
      </c>
      <c r="E431" t="str">
        <f>ESTADISTICA!E430</f>
        <v>Radio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3">
      <c r="A432" t="str">
        <f>ESTADISTICA!A431</f>
        <v>ZEBALLOS</v>
      </c>
      <c r="B432" t="str">
        <f>ESTADISTICA!B431</f>
        <v>ZEB 05</v>
      </c>
      <c r="C432" t="str">
        <f>ESTADISTICA!C431</f>
        <v>DIAG. GRANADEROS Y 214 BIS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 t="str">
        <f>ESTADISTICA!H431</f>
        <v>APAGADO</v>
      </c>
      <c r="I432" t="str">
        <f>ESTADISTICA!I431</f>
        <v>APAGADO</v>
      </c>
      <c r="J432">
        <f>ESTADISTICA!J431</f>
        <v>0</v>
      </c>
      <c r="K432" t="str">
        <f>ESTADISTICA!K431</f>
        <v>APAGADO</v>
      </c>
      <c r="L432" t="str">
        <f>ESTADISTICA!L431</f>
        <v>APAGADO</v>
      </c>
      <c r="M432" t="str">
        <f>ESTADISTICA!M431</f>
        <v>APAGADO</v>
      </c>
      <c r="N432" t="str">
        <f>ESTADISTICA!N431</f>
        <v>APAGADO</v>
      </c>
      <c r="O432" t="str">
        <f>ESTADISTICA!O431</f>
        <v>APAGADO</v>
      </c>
      <c r="P432" t="str">
        <f>ESTADISTICA!P431</f>
        <v>APAGADO</v>
      </c>
      <c r="Q432" t="str">
        <f>ESTADISTICA!Q431</f>
        <v>APAGADO</v>
      </c>
      <c r="R432" t="str">
        <f>ESTADISTICA!R431</f>
        <v>APAGADO</v>
      </c>
      <c r="S432" t="str">
        <f>ESTADISTICA!S431</f>
        <v>APAGADO</v>
      </c>
      <c r="T432" t="str">
        <f>ESTADISTICA!T431</f>
        <v>APAGADO</v>
      </c>
      <c r="U432" t="str">
        <f>ESTADISTICA!U431</f>
        <v>APAGADO</v>
      </c>
      <c r="V432" t="str">
        <f>ESTADISTICA!V431</f>
        <v>APAGADO</v>
      </c>
      <c r="W432" t="str">
        <f>ESTADISTICA!W431</f>
        <v>APAGADO</v>
      </c>
      <c r="X432" t="str">
        <f>ESTADISTICA!X431</f>
        <v>APAGADO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3">
      <c r="A433" t="str">
        <f>ESTADISTICA!A432</f>
        <v>VILLA VATTEONE</v>
      </c>
      <c r="B433" t="str">
        <f>ESTADISTICA!B432</f>
        <v>VAT 27</v>
      </c>
      <c r="C433" t="str">
        <f>ESTADISTICA!C432</f>
        <v>12 DE OCTUBRE Y ROSARIO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3">
      <c r="A434">
        <f>ESTADISTICA!A433</f>
        <v>0</v>
      </c>
      <c r="B434" t="str">
        <f>ESTADISTICA!B433</f>
        <v>X</v>
      </c>
      <c r="C434" t="str">
        <f>ESTADISTICA!C433</f>
        <v>BRAILE Y FINOCCHIETTO</v>
      </c>
      <c r="D434" t="str">
        <f>ESTADISTICA!D433</f>
        <v>DOMO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3">
      <c r="A435">
        <f>ESTADISTICA!A434</f>
        <v>0</v>
      </c>
      <c r="B435">
        <f>ESTADISTICA!B434</f>
        <v>0</v>
      </c>
      <c r="C435">
        <f>ESTADISTICA!C434</f>
        <v>0</v>
      </c>
      <c r="D435">
        <f>ESTADISTICA!D434</f>
        <v>0</v>
      </c>
      <c r="E435">
        <f>ESTADISTICA!E434</f>
        <v>0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3">
      <c r="A436">
        <f>ESTADISTICA!A435</f>
        <v>0</v>
      </c>
      <c r="B436">
        <f>ESTADISTICA!B435</f>
        <v>0</v>
      </c>
      <c r="C436">
        <f>ESTADISTICA!C435</f>
        <v>0</v>
      </c>
      <c r="D436">
        <f>ESTADISTICA!D435</f>
        <v>0</v>
      </c>
      <c r="E436">
        <f>ESTADISTICA!E435</f>
        <v>0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3">
      <c r="A437">
        <f>ESTADISTICA!A436</f>
        <v>0</v>
      </c>
      <c r="B437">
        <f>ESTADISTICA!B436</f>
        <v>0</v>
      </c>
      <c r="C437">
        <f>ESTADISTICA!C436</f>
        <v>0</v>
      </c>
      <c r="D437">
        <f>ESTADISTICA!D436</f>
        <v>0</v>
      </c>
      <c r="E437">
        <f>ESTADISTICA!E436</f>
        <v>0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3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3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3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3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3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3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3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3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3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3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3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3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3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3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3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3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3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3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3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3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3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3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3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3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3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3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3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3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3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3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3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3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3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3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3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3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3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3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3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3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3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3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3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3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3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3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3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3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3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3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3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3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3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3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3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3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3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3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3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3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3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3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3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3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3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3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3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3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3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3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3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3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</sheetData>
  <autoFilter ref="A2:AI2" xr:uid="{00000000-0009-0000-0000-000002000000}"/>
  <conditionalFormatting sqref="F3:AI509">
    <cfRule type="cellIs" dxfId="167" priority="1" operator="equal">
      <formula>0</formula>
    </cfRule>
    <cfRule type="cellIs" dxfId="166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H3" sqref="AH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6" t="s">
        <v>985</v>
      </c>
      <c r="D1" s="37">
        <f>COUNTIFS(E4:E400,"=Fibra Optica")</f>
        <v>268</v>
      </c>
    </row>
    <row r="2" spans="1:35" ht="21" x14ac:dyDescent="0.4">
      <c r="E2" s="19" t="s">
        <v>618</v>
      </c>
      <c r="F2" s="19">
        <f>COUNTIFS(F4:F500, "=APAGADO",E4:E500,"=Fibra Optica")</f>
        <v>100</v>
      </c>
      <c r="G2" s="19">
        <f>COUNTIFS(G4:G500, "=APAGADO",E4:E500,"=Fibra Optica")</f>
        <v>81</v>
      </c>
      <c r="H2" s="19">
        <f>COUNTIFS(H4:H500, "=APAGADO",E4:E500,"=Fibra Optica")</f>
        <v>65</v>
      </c>
      <c r="I2" s="19">
        <f>COUNTIFS(I4:I500, "=APAGADO",E4:E500,"=Fibra Optica")</f>
        <v>64</v>
      </c>
      <c r="J2" s="19">
        <f>COUNTIFS(J4:J500, "=APAGADO",E4:E500,"=Fibra Optica")</f>
        <v>70</v>
      </c>
      <c r="K2" s="19">
        <f>COUNTIFS(K4:K500, "=APAGADO",E4:E500,"=Fibra Optica")</f>
        <v>55</v>
      </c>
      <c r="L2" s="19">
        <f>COUNTIFS(L4:L500, "=APAGADO",E4:E500,"=Fibra Optica")</f>
        <v>59</v>
      </c>
      <c r="M2" s="19">
        <f>COUNTIFS(M4:M500, "=APAGADO",E4:E500,"=Fibra Optica")</f>
        <v>63</v>
      </c>
      <c r="N2" s="19">
        <f>COUNTIFS(N4:N500, "=APAGADO",E4:E500,"=Fibra Optica")</f>
        <v>73</v>
      </c>
      <c r="O2" s="19">
        <f>COUNTIFS(O4:O500, "=APAGADO",E4:E500,"=Fibra Optica")</f>
        <v>76</v>
      </c>
      <c r="P2" s="19">
        <f>COUNTIFS(P4:P500, "=APAGADO",E4:E500,"=Fibra Optica")</f>
        <v>70</v>
      </c>
      <c r="Q2" s="19">
        <f>COUNTIFS(Q4:Q500, "=APAGADO",E4:E500,"=Fibra Optica")</f>
        <v>57</v>
      </c>
      <c r="R2" s="19">
        <f>COUNTIFS(R4:R500, "=APAGADO",E4:E500,"=Fibra Optica")</f>
        <v>61</v>
      </c>
      <c r="S2" s="19">
        <f>COUNTIFS(S4:S500, "=APAGADO",E4:E500,"=Fibra Optica")</f>
        <v>63</v>
      </c>
      <c r="T2" s="19">
        <f>COUNTIFS(T4:T500, "=APAGADO",E4:E500,"=Fibra Optica")</f>
        <v>52</v>
      </c>
      <c r="U2" s="19">
        <f>COUNTIFS(U4:U500, "=APAGADO",E4:E500,"=Fibra Optica")</f>
        <v>36</v>
      </c>
      <c r="V2" s="19">
        <f>COUNTIFS(V4:V500, "=APAGADO",E4:E500,"=Fibra Optica")</f>
        <v>63</v>
      </c>
      <c r="W2" s="19">
        <f>COUNTIFS(W4:W500, "=APAGADO",E4:E500,"=Fibra Optica")</f>
        <v>33</v>
      </c>
      <c r="X2" s="19">
        <f>COUNTIFS(X4:X500, "=APAGADO",E4:E500,"=Fibra Optica")</f>
        <v>27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 t="str">
        <f>ESTADISTICA!V20</f>
        <v>APAGADO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 t="str">
        <f>ESTADISTICA!V50</f>
        <v>APAGADO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 t="str">
        <f>ESTADISTICA!W63</f>
        <v>APAGADO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 t="str">
        <f>ESTADISTICA!W67</f>
        <v>APAGADO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 t="str">
        <f>ESTADISTICA!V82</f>
        <v>APAGADO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 t="str">
        <f>ESTADISTICA!V83</f>
        <v>APAGADO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 t="str">
        <f>ESTADISTICA!V85</f>
        <v>APAGADO</v>
      </c>
      <c r="W87" t="str">
        <f>ESTADISTICA!W85</f>
        <v>APAGADO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 t="str">
        <f>ESTADISTICA!V86</f>
        <v>APAGADO</v>
      </c>
      <c r="W88" t="str">
        <f>ESTADISTICA!W86</f>
        <v>APAGADO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 t="str">
        <f>ESTADISTICA!T103</f>
        <v>APAGADO</v>
      </c>
      <c r="U105" t="str">
        <f>ESTADISTICA!U103</f>
        <v>APAGADO</v>
      </c>
      <c r="V105" t="str">
        <f>ESTADISTICA!V103</f>
        <v>APAGADO</v>
      </c>
      <c r="W105" t="str">
        <f>ESTADISTICA!W103</f>
        <v>APAGADO</v>
      </c>
      <c r="X105" t="str">
        <f>ESTADISTICA!X103</f>
        <v>APAGADO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 t="str">
        <f>ESTADISTICA!Q121</f>
        <v>APAGADO</v>
      </c>
      <c r="R123">
        <f>ESTADISTICA!R121</f>
        <v>0</v>
      </c>
      <c r="S123" t="str">
        <f>ESTADISTICA!S121</f>
        <v>APAGADO</v>
      </c>
      <c r="T123" t="str">
        <f>ESTADISTICA!T121</f>
        <v>APAGADO</v>
      </c>
      <c r="U123" t="str">
        <f>ESTADISTICA!U121</f>
        <v>APAGADO</v>
      </c>
      <c r="V123" t="str">
        <f>ESTADISTICA!V121</f>
        <v>APAGADO</v>
      </c>
      <c r="W123" t="str">
        <f>ESTADISTICA!W121</f>
        <v>APAGADO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 t="str">
        <f>ESTADISTICA!T170</f>
        <v>APAGADO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e">
        <f>ESTADISTICA!D180</f>
        <v>#REF!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 t="str">
        <f>ESTADISTICA!V186</f>
        <v>APAGADO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 t="str">
        <f>ESTADISTICA!V187</f>
        <v>APAGADO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 t="str">
        <f>ESTADISTICA!S192</f>
        <v>APAGADO</v>
      </c>
      <c r="T194" t="str">
        <f>ESTADISTICA!T192</f>
        <v>APAGADO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 t="str">
        <f>ESTADISTICA!W202</f>
        <v>APAGADO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 t="str">
        <f>ESTADISTICA!V206</f>
        <v>APAGADO</v>
      </c>
      <c r="W208" t="str">
        <f>ESTADISTICA!W206</f>
        <v>APAGADO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 t="str">
        <f>ESTADISTICA!V225</f>
        <v>APAGADO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RUDECINDO</v>
      </c>
      <c r="B232" t="str">
        <f>ESTADISTICA!B230</f>
        <v>PUNTO SEGURO-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 t="str">
        <f>ESTADISTICA!Q230</f>
        <v>APAGADO</v>
      </c>
      <c r="R232" t="str">
        <f>ESTADISTICA!R230</f>
        <v>APAGADO</v>
      </c>
      <c r="S232" t="str">
        <f>ESTADISTICA!S230</f>
        <v>APAGADO</v>
      </c>
      <c r="T232" t="str">
        <f>ESTADISTICA!T230</f>
        <v>APAGADO</v>
      </c>
      <c r="U232" t="str">
        <f>ESTADISTICA!U230</f>
        <v>APAGADO</v>
      </c>
      <c r="V232" t="str">
        <f>ESTADISTICA!V230</f>
        <v>APAGADO</v>
      </c>
      <c r="W232" t="str">
        <f>ESTADISTICA!W230</f>
        <v>APAGADO</v>
      </c>
      <c r="X232" t="str">
        <f>ESTADISTICA!X230</f>
        <v>APAGADO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 t="str">
        <f>ESTADISTICA!T231</f>
        <v>APAGADO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 t="str">
        <f>ESTADISTICA!W234</f>
        <v>APAGADO</v>
      </c>
      <c r="X236" t="str">
        <f>ESTADISTICA!X234</f>
        <v>APAGADO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 t="str">
        <f>ESTADISTICA!V239</f>
        <v>APAGADO</v>
      </c>
      <c r="W241">
        <f>ESTADISTICA!W239</f>
        <v>0</v>
      </c>
      <c r="X241" t="str">
        <f>ESTADISTICA!X239</f>
        <v>APAGADO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 t="str">
        <f>ESTADISTICA!V245</f>
        <v>APAGADO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>
        <f>ESTADISTICA!T248</f>
        <v>0</v>
      </c>
      <c r="U250">
        <f>ESTADISTICA!U248</f>
        <v>0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>
        <f>ESTADISTICA!T249</f>
        <v>0</v>
      </c>
      <c r="U251">
        <f>ESTADISTICA!U249</f>
        <v>0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>
        <f>ESTADISTICA!U254</f>
        <v>0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 t="str">
        <f>ESTADISTICA!T255</f>
        <v>APAGADO</v>
      </c>
      <c r="U257" t="str">
        <f>ESTADISTICA!U255</f>
        <v>APAGADO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 t="str">
        <f>ESTADISTICA!S263</f>
        <v>APAGADO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 t="str">
        <f>ESTADISTICA!Q264</f>
        <v>APAGADO</v>
      </c>
      <c r="R266" t="str">
        <f>ESTADISTICA!R264</f>
        <v>APAGADO</v>
      </c>
      <c r="S266" t="str">
        <f>ESTADISTICA!S264</f>
        <v>APAGADO</v>
      </c>
      <c r="T266" t="str">
        <f>ESTADISTICA!T264</f>
        <v>APAGADO</v>
      </c>
      <c r="U266" t="str">
        <f>ESTADISTICA!U264</f>
        <v>APAGADO</v>
      </c>
      <c r="V266" t="str">
        <f>ESTADISTICA!V264</f>
        <v>APAGADO</v>
      </c>
      <c r="W266" t="str">
        <f>ESTADISTICA!W264</f>
        <v>APAGADO</v>
      </c>
      <c r="X266" t="str">
        <f>ESTADISTICA!X264</f>
        <v>APAGADO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 t="str">
        <f>ESTADISTICA!T265</f>
        <v>APAGADO</v>
      </c>
      <c r="U267" t="str">
        <f>ESTADISTICA!U265</f>
        <v>APAGADO</v>
      </c>
      <c r="V267" t="str">
        <f>ESTADISTICA!V265</f>
        <v>APAGADO</v>
      </c>
      <c r="W267" t="str">
        <f>ESTADISTICA!W265</f>
        <v>APAGADO</v>
      </c>
      <c r="X267" t="str">
        <f>ESTADISTICA!X265</f>
        <v>APAGADO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 t="str">
        <f>ESTADISTICA!T276</f>
        <v>APAGADO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 t="str">
        <f>ESTADISTICA!V299</f>
        <v>APAGADO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 t="str">
        <f>ESTADISTICA!U300</f>
        <v>APAGADO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 t="str">
        <f>ESTADISTICA!Q306</f>
        <v>APAGADO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 t="str">
        <f>ESTADISTICA!S322</f>
        <v>APAGADO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 t="str">
        <f>ESTADISTICA!W333</f>
        <v>APAGADO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 t="str">
        <f>ESTADISTICA!R335</f>
        <v>APAGADO</v>
      </c>
      <c r="S337" t="str">
        <f>ESTADISTICA!S335</f>
        <v>APAGADO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 t="str">
        <f>ESTADISTICA!R336</f>
        <v>APAGADO</v>
      </c>
      <c r="S338" t="str">
        <f>ESTADISTICA!S336</f>
        <v>APAGADO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 t="str">
        <f>ESTADISTICA!S337</f>
        <v>APAGADO</v>
      </c>
      <c r="T339" t="str">
        <f>ESTADISTICA!T337</f>
        <v>APAGADO</v>
      </c>
      <c r="U339" t="str">
        <f>ESTADISTICA!U337</f>
        <v>APAGADO</v>
      </c>
      <c r="V339" t="str">
        <f>ESTADISTICA!V337</f>
        <v>APAGADO</v>
      </c>
      <c r="W339" t="str">
        <f>ESTADISTICA!W337</f>
        <v>APAGADO</v>
      </c>
      <c r="X339" t="str">
        <f>ESTADISTICA!X337</f>
        <v>APAGADO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 t="str">
        <f>ESTADISTICA!S338</f>
        <v>APAGADO</v>
      </c>
      <c r="T340" t="str">
        <f>ESTADISTICA!T338</f>
        <v>APAGADO</v>
      </c>
      <c r="U340" t="str">
        <f>ESTADISTICA!U338</f>
        <v>APAGADO</v>
      </c>
      <c r="V340" t="str">
        <f>ESTADISTICA!V338</f>
        <v>APAGADO</v>
      </c>
      <c r="W340" t="str">
        <f>ESTADISTICA!W338</f>
        <v>APAGADO</v>
      </c>
      <c r="X340" t="str">
        <f>ESTADISTICA!X338</f>
        <v>APAGADO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 t="str">
        <f>ESTADISTICA!U342</f>
        <v>APAGADO</v>
      </c>
      <c r="V344" t="str">
        <f>ESTADISTICA!V342</f>
        <v>APAGADO</v>
      </c>
      <c r="W344" t="str">
        <f>ESTADISTICA!W342</f>
        <v>APAGADO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 t="str">
        <f>ESTADISTICA!V351</f>
        <v>APAGADO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>
        <f>ESTADISTICA!V366</f>
        <v>0</v>
      </c>
      <c r="W368" t="str">
        <f>ESTADISTICA!W366</f>
        <v>APAGADO</v>
      </c>
      <c r="X368" t="str">
        <f>ESTADISTICA!X366</f>
        <v>APAGADO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 t="str">
        <f>ESTADISTICA!T367</f>
        <v>APAGADO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3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3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 t="str">
        <f>ESTADISTICA!V371</f>
        <v>APAGADO</v>
      </c>
      <c r="W373" t="str">
        <f>ESTADISTICA!W371</f>
        <v>APAGADO</v>
      </c>
      <c r="X373" t="str">
        <f>ESTADISTICA!X371</f>
        <v>APAGADO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 t="str">
        <f>ESTADISTICA!T374</f>
        <v>APAGADO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3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3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3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 t="str">
        <f>ESTADISTICA!T379</f>
        <v>APAGADO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3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3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3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 t="str">
        <f>ESTADISTICA!T382</f>
        <v>APAGADO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3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3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 t="str">
        <f>ESTADISTICA!T385</f>
        <v>APAGADO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 t="str">
        <f>ESTADISTICA!T386</f>
        <v>APAGADO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 t="str">
        <f>ESTADISTICA!S387</f>
        <v>APAGADO</v>
      </c>
      <c r="T389">
        <f>ESTADISTICA!T387</f>
        <v>0</v>
      </c>
      <c r="U389">
        <f>ESTADISTICA!U387</f>
        <v>0</v>
      </c>
      <c r="V389" t="str">
        <f>ESTADISTICA!V387</f>
        <v>APAGADO</v>
      </c>
      <c r="W389" t="str">
        <f>ESTADISTICA!W387</f>
        <v>APAGADO</v>
      </c>
      <c r="X389" t="str">
        <f>ESTADISTICA!X387</f>
        <v>APAGADO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 t="str">
        <f>ESTADISTICA!S388</f>
        <v>APAGADO</v>
      </c>
      <c r="T390">
        <f>ESTADISTICA!T388</f>
        <v>0</v>
      </c>
      <c r="U390">
        <f>ESTADISTICA!U388</f>
        <v>0</v>
      </c>
      <c r="V390" t="str">
        <f>ESTADISTICA!V388</f>
        <v>APAGADO</v>
      </c>
      <c r="W390" t="str">
        <f>ESTADISTICA!W388</f>
        <v>APAGADO</v>
      </c>
      <c r="X390" t="str">
        <f>ESTADISTICA!X388</f>
        <v>APAGADO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 t="str">
        <f>ESTADISTICA!Q399</f>
        <v>APAGADO</v>
      </c>
      <c r="R401" t="str">
        <f>ESTADISTICA!R399</f>
        <v>APAGADO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3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3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3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 t="str">
        <f>ESTADISTICA!Q402</f>
        <v>APAGADO</v>
      </c>
      <c r="R404">
        <f>ESTADISTICA!R402</f>
        <v>0</v>
      </c>
      <c r="S404">
        <f>ESTADISTICA!S402</f>
        <v>0</v>
      </c>
      <c r="T404" t="str">
        <f>ESTADISTICA!T402</f>
        <v>APAGADO</v>
      </c>
      <c r="U404" t="str">
        <f>ESTADISTICA!U402</f>
        <v>APAGADO</v>
      </c>
      <c r="V404">
        <f>ESTADISTICA!V402</f>
        <v>0</v>
      </c>
      <c r="W404" t="str">
        <f>ESTADISTICA!W402</f>
        <v>APAGADO</v>
      </c>
      <c r="X404" t="str">
        <f>ESTADISTICA!X402</f>
        <v>APAGADO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3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 t="str">
        <f>ESTADISTICA!V404</f>
        <v>APAGADO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 t="str">
        <f>ESTADISTICA!V405</f>
        <v>APAGADO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 t="str">
        <f>ESTADISTICA!V406</f>
        <v>APAGADO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3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 t="str">
        <f>ESTADISTICA!Q417</f>
        <v>APAGADO</v>
      </c>
      <c r="R419" t="str">
        <f>ESTADISTICA!R417</f>
        <v>APAGADO</v>
      </c>
      <c r="S419" t="str">
        <f>ESTADISTICA!S417</f>
        <v>APAGADO</v>
      </c>
      <c r="T419" t="str">
        <f>ESTADISTICA!T417</f>
        <v>APAGADO</v>
      </c>
      <c r="U419" t="str">
        <f>ESTADISTICA!U417</f>
        <v>APAGADO</v>
      </c>
      <c r="V419" t="str">
        <f>ESTADISTICA!V417</f>
        <v>APAGADO</v>
      </c>
      <c r="W419" t="str">
        <f>ESTADISTICA!W417</f>
        <v>APAGADO</v>
      </c>
      <c r="X419" t="str">
        <f>ESTADISTICA!X417</f>
        <v>APAGADO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 t="str">
        <f>ESTADISTICA!V422</f>
        <v>APAGADO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3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3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3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3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3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3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3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 t="str">
        <f>ESTADISTICA!Q431</f>
        <v>APAGADO</v>
      </c>
      <c r="R433" t="str">
        <f>ESTADISTICA!R431</f>
        <v>APAGADO</v>
      </c>
      <c r="S433" t="str">
        <f>ESTADISTICA!S431</f>
        <v>APAGADO</v>
      </c>
      <c r="T433" t="str">
        <f>ESTADISTICA!T431</f>
        <v>APAGADO</v>
      </c>
      <c r="U433" t="str">
        <f>ESTADISTICA!U431</f>
        <v>APAGADO</v>
      </c>
      <c r="V433" t="str">
        <f>ESTADISTICA!V431</f>
        <v>APAGADO</v>
      </c>
      <c r="W433" t="str">
        <f>ESTADISTICA!W431</f>
        <v>APAGADO</v>
      </c>
      <c r="X433" t="str">
        <f>ESTADISTICA!X431</f>
        <v>APAGADO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3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3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AA343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8" t="s">
        <v>1160</v>
      </c>
      <c r="D1" s="38"/>
    </row>
    <row r="2" spans="1:35" ht="21" x14ac:dyDescent="0.4">
      <c r="E2" s="19" t="s">
        <v>618</v>
      </c>
      <c r="F2" s="19">
        <f>COUNTIFS(F4:F500, "=APAGADO",E4:E500,"=PTO A FO")</f>
        <v>11</v>
      </c>
      <c r="G2" s="19">
        <f>COUNTIFS(G4:G500, "=APAGADO",E4:E500,"=PTO A FO")</f>
        <v>11</v>
      </c>
      <c r="H2" s="19">
        <f>COUNTIFS(H4:H500, "=APAGADO",E4:E500,"=PTO A FO")</f>
        <v>9</v>
      </c>
      <c r="I2" s="19">
        <f>COUNTIFS(I4:I500, "=APAGADO",E4:E500,"=PTO A FO")</f>
        <v>11</v>
      </c>
      <c r="J2" s="19">
        <f>COUNTIFS(J4:J500, "=APAGADO",E4:E500,"=PTO A FO")</f>
        <v>12</v>
      </c>
      <c r="K2" s="19">
        <f>COUNTIFS(K4:K500, "=APAGADO",E4:E500,"=PTO A FO")</f>
        <v>11</v>
      </c>
      <c r="L2" s="19">
        <f>COUNTIFS(L4:L500, "=APAGADO",E4:E500,"=PTO A FO")</f>
        <v>11</v>
      </c>
      <c r="M2" s="19">
        <f>COUNTIFS(M4:M500, "=APAGADO",E4:E500,"=PTO A FO")</f>
        <v>8</v>
      </c>
      <c r="N2" s="19">
        <f>COUNTIFS(N4:N500, "=APAGADO",E4:E500,"=PTO A FO")</f>
        <v>9</v>
      </c>
      <c r="O2" s="19">
        <f>COUNTIFS(O4:O500, "=APAGADO",E4:E500,"=PTO A FO")</f>
        <v>9</v>
      </c>
      <c r="P2" s="19">
        <f>COUNTIFS(P4:P500, "=APAGADO",E4:E500,"=PTO A FO")</f>
        <v>9</v>
      </c>
      <c r="Q2" s="19">
        <f>COUNTIFS(Q4:Q500, "=APAGADO",E4:E500,"=PTO A FO")</f>
        <v>8</v>
      </c>
      <c r="R2" s="19">
        <f>COUNTIFS(R4:R500, "=APAGADO",E4:E500,"=PTO A FO")</f>
        <v>7</v>
      </c>
      <c r="S2" s="19">
        <f>COUNTIFS(S4:S500, "=APAGADO",E4:E500,"=PTO A FO")</f>
        <v>8</v>
      </c>
      <c r="T2" s="19">
        <f>COUNTIFS(T4:T500, "=APAGADO",E4:E500,"=PTO A FO")</f>
        <v>10</v>
      </c>
      <c r="U2" s="19">
        <f>COUNTIFS(U4:U500, "=APAGADO",E4:E500,"=PTO A FO")</f>
        <v>3</v>
      </c>
      <c r="V2" s="19">
        <f>COUNTIFS(V4:V500, "=APAGADO",E4:E500,"=PTO A FO")</f>
        <v>2</v>
      </c>
      <c r="W2" s="19">
        <f>COUNTIFS(W4:W500, "=APAGADO",E4:E500,"=PTO A FO")</f>
        <v>3</v>
      </c>
      <c r="X2" s="19">
        <f>COUNTIFS(X4:X500, "=APAGADO",E4:E500,"=PTO A FO")</f>
        <v>2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 t="str">
        <f>ESTADISTICA!V20</f>
        <v>APAGADO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 t="str">
        <f>ESTADISTICA!V50</f>
        <v>APAGADO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 t="str">
        <f>ESTADISTICA!W63</f>
        <v>APAGADO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 t="str">
        <f>ESTADISTICA!W67</f>
        <v>APAGADO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 t="str">
        <f>ESTADISTICA!V82</f>
        <v>APAGADO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 t="str">
        <f>ESTADISTICA!V83</f>
        <v>APAGADO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 t="str">
        <f>ESTADISTICA!V85</f>
        <v>APAGADO</v>
      </c>
      <c r="W87" t="str">
        <f>ESTADISTICA!W85</f>
        <v>APAGADO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 t="str">
        <f>ESTADISTICA!V86</f>
        <v>APAGADO</v>
      </c>
      <c r="W88" t="str">
        <f>ESTADISTICA!W86</f>
        <v>APAGADO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 t="str">
        <f>ESTADISTICA!T103</f>
        <v>APAGADO</v>
      </c>
      <c r="U105" t="str">
        <f>ESTADISTICA!U103</f>
        <v>APAGADO</v>
      </c>
      <c r="V105" t="str">
        <f>ESTADISTICA!V103</f>
        <v>APAGADO</v>
      </c>
      <c r="W105" t="str">
        <f>ESTADISTICA!W103</f>
        <v>APAGADO</v>
      </c>
      <c r="X105" t="str">
        <f>ESTADISTICA!X103</f>
        <v>APAGADO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 t="str">
        <f>ESTADISTICA!Q121</f>
        <v>APAGADO</v>
      </c>
      <c r="R123">
        <f>ESTADISTICA!R121</f>
        <v>0</v>
      </c>
      <c r="S123" t="str">
        <f>ESTADISTICA!S121</f>
        <v>APAGADO</v>
      </c>
      <c r="T123" t="str">
        <f>ESTADISTICA!T121</f>
        <v>APAGADO</v>
      </c>
      <c r="U123" t="str">
        <f>ESTADISTICA!U121</f>
        <v>APAGADO</v>
      </c>
      <c r="V123" t="str">
        <f>ESTADISTICA!V121</f>
        <v>APAGADO</v>
      </c>
      <c r="W123" t="str">
        <f>ESTADISTICA!W121</f>
        <v>APAGADO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 t="str">
        <f>ESTADISTICA!T170</f>
        <v>APAGADO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e">
        <f>ESTADISTICA!D180</f>
        <v>#REF!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 t="str">
        <f>ESTADISTICA!V186</f>
        <v>APAGADO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 t="str">
        <f>ESTADISTICA!V187</f>
        <v>APAGADO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 t="str">
        <f>ESTADISTICA!S192</f>
        <v>APAGADO</v>
      </c>
      <c r="T194" t="str">
        <f>ESTADISTICA!T192</f>
        <v>APAGADO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 t="str">
        <f>ESTADISTICA!W202</f>
        <v>APAGADO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 t="str">
        <f>ESTADISTICA!V206</f>
        <v>APAGADO</v>
      </c>
      <c r="W208" t="str">
        <f>ESTADISTICA!W206</f>
        <v>APAGADO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 t="str">
        <f>ESTADISTICA!V225</f>
        <v>APAGADO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 t="str">
        <f>ESTADISTICA!Q230</f>
        <v>APAGADO</v>
      </c>
      <c r="R232" t="str">
        <f>ESTADISTICA!R230</f>
        <v>APAGADO</v>
      </c>
      <c r="S232" t="str">
        <f>ESTADISTICA!S230</f>
        <v>APAGADO</v>
      </c>
      <c r="T232" t="str">
        <f>ESTADISTICA!T230</f>
        <v>APAGADO</v>
      </c>
      <c r="U232" t="str">
        <f>ESTADISTICA!U230</f>
        <v>APAGADO</v>
      </c>
      <c r="V232" t="str">
        <f>ESTADISTICA!V230</f>
        <v>APAGADO</v>
      </c>
      <c r="W232" t="str">
        <f>ESTADISTICA!W230</f>
        <v>APAGADO</v>
      </c>
      <c r="X232" t="str">
        <f>ESTADISTICA!X230</f>
        <v>APAGADO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 t="str">
        <f>ESTADISTICA!T231</f>
        <v>APAGADO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 t="str">
        <f>ESTADISTICA!W234</f>
        <v>APAGADO</v>
      </c>
      <c r="X236" t="str">
        <f>ESTADISTICA!X234</f>
        <v>APAGADO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 t="str">
        <f>ESTADISTICA!V239</f>
        <v>APAGADO</v>
      </c>
      <c r="W241">
        <f>ESTADISTICA!W239</f>
        <v>0</v>
      </c>
      <c r="X241" t="str">
        <f>ESTADISTICA!X239</f>
        <v>APAGADO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 t="str">
        <f>ESTADISTICA!V245</f>
        <v>APAGADO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>
        <f>ESTADISTICA!T248</f>
        <v>0</v>
      </c>
      <c r="U250">
        <f>ESTADISTICA!U248</f>
        <v>0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>
        <f>ESTADISTICA!T249</f>
        <v>0</v>
      </c>
      <c r="U251">
        <f>ESTADISTICA!U249</f>
        <v>0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>
        <f>ESTADISTICA!U254</f>
        <v>0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 t="str">
        <f>ESTADISTICA!T255</f>
        <v>APAGADO</v>
      </c>
      <c r="U257" t="str">
        <f>ESTADISTICA!U255</f>
        <v>APAGADO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 t="str">
        <f>ESTADISTICA!S263</f>
        <v>APAGADO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 t="str">
        <f>ESTADISTICA!Q264</f>
        <v>APAGADO</v>
      </c>
      <c r="R266" t="str">
        <f>ESTADISTICA!R264</f>
        <v>APAGADO</v>
      </c>
      <c r="S266" t="str">
        <f>ESTADISTICA!S264</f>
        <v>APAGADO</v>
      </c>
      <c r="T266" t="str">
        <f>ESTADISTICA!T264</f>
        <v>APAGADO</v>
      </c>
      <c r="U266" t="str">
        <f>ESTADISTICA!U264</f>
        <v>APAGADO</v>
      </c>
      <c r="V266" t="str">
        <f>ESTADISTICA!V264</f>
        <v>APAGADO</v>
      </c>
      <c r="W266" t="str">
        <f>ESTADISTICA!W264</f>
        <v>APAGADO</v>
      </c>
      <c r="X266" t="str">
        <f>ESTADISTICA!X264</f>
        <v>APAGADO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 t="str">
        <f>ESTADISTICA!T265</f>
        <v>APAGADO</v>
      </c>
      <c r="U267" t="str">
        <f>ESTADISTICA!U265</f>
        <v>APAGADO</v>
      </c>
      <c r="V267" t="str">
        <f>ESTADISTICA!V265</f>
        <v>APAGADO</v>
      </c>
      <c r="W267" t="str">
        <f>ESTADISTICA!W265</f>
        <v>APAGADO</v>
      </c>
      <c r="X267" t="str">
        <f>ESTADISTICA!X265</f>
        <v>APAGADO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 t="str">
        <f>ESTADISTICA!T276</f>
        <v>APAGADO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623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 t="str">
        <f>ESTADISTICA!V299</f>
        <v>APAGADO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 t="str">
        <f>ESTADISTICA!U300</f>
        <v>APAGADO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 t="str">
        <f>ESTADISTICA!Q306</f>
        <v>APAGADO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 t="str">
        <f>ESTADISTICA!S322</f>
        <v>APAGADO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 t="str">
        <f>ESTADISTICA!W333</f>
        <v>APAGADO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 t="str">
        <f>ESTADISTICA!R335</f>
        <v>APAGADO</v>
      </c>
      <c r="S337" t="str">
        <f>ESTADISTICA!S335</f>
        <v>APAGADO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 t="str">
        <f>ESTADISTICA!R336</f>
        <v>APAGADO</v>
      </c>
      <c r="S338" t="str">
        <f>ESTADISTICA!S336</f>
        <v>APAGADO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 t="str">
        <f>ESTADISTICA!S337</f>
        <v>APAGADO</v>
      </c>
      <c r="T339" t="str">
        <f>ESTADISTICA!T337</f>
        <v>APAGADO</v>
      </c>
      <c r="U339" t="str">
        <f>ESTADISTICA!U337</f>
        <v>APAGADO</v>
      </c>
      <c r="V339" t="str">
        <f>ESTADISTICA!V337</f>
        <v>APAGADO</v>
      </c>
      <c r="W339" t="str">
        <f>ESTADISTICA!W337</f>
        <v>APAGADO</v>
      </c>
      <c r="X339" t="str">
        <f>ESTADISTICA!X337</f>
        <v>APAGADO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 t="str">
        <f>ESTADISTICA!S338</f>
        <v>APAGADO</v>
      </c>
      <c r="T340" t="str">
        <f>ESTADISTICA!T338</f>
        <v>APAGADO</v>
      </c>
      <c r="U340" t="str">
        <f>ESTADISTICA!U338</f>
        <v>APAGADO</v>
      </c>
      <c r="V340" t="str">
        <f>ESTADISTICA!V338</f>
        <v>APAGADO</v>
      </c>
      <c r="W340" t="str">
        <f>ESTADISTICA!W338</f>
        <v>APAGADO</v>
      </c>
      <c r="X340" t="str">
        <f>ESTADISTICA!X338</f>
        <v>APAGADO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 t="str">
        <f>ESTADISTICA!U342</f>
        <v>APAGADO</v>
      </c>
      <c r="V344" t="str">
        <f>ESTADISTICA!V342</f>
        <v>APAGADO</v>
      </c>
      <c r="W344" t="str">
        <f>ESTADISTICA!W342</f>
        <v>APAGADO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 t="str">
        <f>ESTADISTICA!V351</f>
        <v>APAGADO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>
        <f>ESTADISTICA!V366</f>
        <v>0</v>
      </c>
      <c r="W368" t="str">
        <f>ESTADISTICA!W366</f>
        <v>APAGADO</v>
      </c>
      <c r="X368" t="str">
        <f>ESTADISTICA!X366</f>
        <v>APAGADO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 t="str">
        <f>ESTADISTICA!T367</f>
        <v>APAGADO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3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3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 t="str">
        <f>ESTADISTICA!V371</f>
        <v>APAGADO</v>
      </c>
      <c r="W373" t="str">
        <f>ESTADISTICA!W371</f>
        <v>APAGADO</v>
      </c>
      <c r="X373" t="str">
        <f>ESTADISTICA!X371</f>
        <v>APAGADO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3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3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3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 t="str">
        <f>ESTADISTICA!T374</f>
        <v>APAGADO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3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3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 t="str">
        <f>ESTADISTICA!T379</f>
        <v>APAGADO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 t="str">
        <f>ESTADISTICA!T382</f>
        <v>APAGADO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3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3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3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 t="str">
        <f>ESTADISTICA!T385</f>
        <v>APAGADO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3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 t="str">
        <f>ESTADISTICA!T386</f>
        <v>APAGADO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3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 t="str">
        <f>ESTADISTICA!S387</f>
        <v>APAGADO</v>
      </c>
      <c r="T389">
        <f>ESTADISTICA!T387</f>
        <v>0</v>
      </c>
      <c r="U389">
        <f>ESTADISTICA!U387</f>
        <v>0</v>
      </c>
      <c r="V389" t="str">
        <f>ESTADISTICA!V387</f>
        <v>APAGADO</v>
      </c>
      <c r="W389" t="str">
        <f>ESTADISTICA!W387</f>
        <v>APAGADO</v>
      </c>
      <c r="X389" t="str">
        <f>ESTADISTICA!X387</f>
        <v>APAGADO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3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 t="str">
        <f>ESTADISTICA!S388</f>
        <v>APAGADO</v>
      </c>
      <c r="T390">
        <f>ESTADISTICA!T388</f>
        <v>0</v>
      </c>
      <c r="U390">
        <f>ESTADISTICA!U388</f>
        <v>0</v>
      </c>
      <c r="V390" t="str">
        <f>ESTADISTICA!V388</f>
        <v>APAGADO</v>
      </c>
      <c r="W390" t="str">
        <f>ESTADISTICA!W388</f>
        <v>APAGADO</v>
      </c>
      <c r="X390" t="str">
        <f>ESTADISTICA!X388</f>
        <v>APAGADO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3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3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3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3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3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3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3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3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3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3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3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 t="str">
        <f>ESTADISTICA!Q399</f>
        <v>APAGADO</v>
      </c>
      <c r="R401" t="str">
        <f>ESTADISTICA!R399</f>
        <v>APAGADO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3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3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 t="str">
        <f>ESTADISTICA!Q402</f>
        <v>APAGADO</v>
      </c>
      <c r="R404">
        <f>ESTADISTICA!R402</f>
        <v>0</v>
      </c>
      <c r="S404">
        <f>ESTADISTICA!S402</f>
        <v>0</v>
      </c>
      <c r="T404" t="str">
        <f>ESTADISTICA!T402</f>
        <v>APAGADO</v>
      </c>
      <c r="U404" t="str">
        <f>ESTADISTICA!U402</f>
        <v>APAGADO</v>
      </c>
      <c r="V404">
        <f>ESTADISTICA!V402</f>
        <v>0</v>
      </c>
      <c r="W404" t="str">
        <f>ESTADISTICA!W402</f>
        <v>APAGADO</v>
      </c>
      <c r="X404" t="str">
        <f>ESTADISTICA!X402</f>
        <v>APAGADO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3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3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 t="str">
        <f>ESTADISTICA!V404</f>
        <v>APAGADO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3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 t="str">
        <f>ESTADISTICA!V405</f>
        <v>APAGADO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3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 t="str">
        <f>ESTADISTICA!V406</f>
        <v>APAGADO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3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3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3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3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3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3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3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3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3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3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3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 t="str">
        <f>ESTADISTICA!Q417</f>
        <v>APAGADO</v>
      </c>
      <c r="R419" t="str">
        <f>ESTADISTICA!R417</f>
        <v>APAGADO</v>
      </c>
      <c r="S419" t="str">
        <f>ESTADISTICA!S417</f>
        <v>APAGADO</v>
      </c>
      <c r="T419" t="str">
        <f>ESTADISTICA!T417</f>
        <v>APAGADO</v>
      </c>
      <c r="U419" t="str">
        <f>ESTADISTICA!U417</f>
        <v>APAGADO</v>
      </c>
      <c r="V419" t="str">
        <f>ESTADISTICA!V417</f>
        <v>APAGADO</v>
      </c>
      <c r="W419" t="str">
        <f>ESTADISTICA!W417</f>
        <v>APAGADO</v>
      </c>
      <c r="X419" t="str">
        <f>ESTADISTICA!X417</f>
        <v>APAGADO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3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3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3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3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3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 t="str">
        <f>ESTADISTICA!V422</f>
        <v>APAGADO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3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3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3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3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3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3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3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3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3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 t="str">
        <f>ESTADISTICA!Q431</f>
        <v>APAGADO</v>
      </c>
      <c r="R433" t="str">
        <f>ESTADISTICA!R431</f>
        <v>APAGADO</v>
      </c>
      <c r="S433" t="str">
        <f>ESTADISTICA!S431</f>
        <v>APAGADO</v>
      </c>
      <c r="T433" t="str">
        <f>ESTADISTICA!T431</f>
        <v>APAGADO</v>
      </c>
      <c r="U433" t="str">
        <f>ESTADISTICA!U431</f>
        <v>APAGADO</v>
      </c>
      <c r="V433" t="str">
        <f>ESTADISTICA!V431</f>
        <v>APAGADO</v>
      </c>
      <c r="W433" t="str">
        <f>ESTADISTICA!W431</f>
        <v>APAGADO</v>
      </c>
      <c r="X433" t="str">
        <f>ESTADISTICA!X431</f>
        <v>APAGADO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3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3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3">
      <c r="A436">
        <f>ESTADISTICA!A434</f>
        <v>0</v>
      </c>
      <c r="B436">
        <f>ESTADISTICA!B434</f>
        <v>0</v>
      </c>
      <c r="C436">
        <f>ESTADISTICA!C434</f>
        <v>0</v>
      </c>
      <c r="D436">
        <f>ESTADISTICA!D434</f>
        <v>0</v>
      </c>
      <c r="E436">
        <f>ESTADISTICA!E434</f>
        <v>0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3">
      <c r="A437">
        <f>ESTADISTICA!A435</f>
        <v>0</v>
      </c>
      <c r="B437">
        <f>ESTADISTICA!B435</f>
        <v>0</v>
      </c>
      <c r="C437">
        <f>ESTADISTICA!C435</f>
        <v>0</v>
      </c>
      <c r="D437">
        <f>ESTADISTICA!D435</f>
        <v>0</v>
      </c>
      <c r="E437">
        <f>ESTADISTICA!E435</f>
        <v>0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3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65" priority="2" operator="containsText" text="APAGADO">
      <formula>NOT(ISERROR(SEARCH("APAGADO",AE3)))</formula>
    </cfRule>
  </conditionalFormatting>
  <conditionalFormatting sqref="F4:AI454">
    <cfRule type="containsText" dxfId="16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P4" activePane="bottomRight" state="frozenSplit"/>
      <selection pane="topRight" activeCell="F1" sqref="F1"/>
      <selection pane="bottomLeft" activeCell="A3" sqref="A3"/>
      <selection pane="bottomRight" activeCell="V2" sqref="V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8" t="s">
        <v>986</v>
      </c>
      <c r="D1" s="38">
        <f>COUNTIFS(E4:E400,"=radio")</f>
        <v>93</v>
      </c>
    </row>
    <row r="2" spans="1:35" ht="21" x14ac:dyDescent="0.4">
      <c r="E2" s="19" t="s">
        <v>618</v>
      </c>
      <c r="F2" s="19">
        <f>COUNTIFS(F4:F500, "=APAGADO",E4:E500,"=radio")</f>
        <v>24</v>
      </c>
      <c r="G2" s="19">
        <f>COUNTIFS(G4:G500, "=APAGADO",E4:E500,"=radio")</f>
        <v>21</v>
      </c>
      <c r="H2" s="19">
        <f>COUNTIFS(H4:H500, "=APAGADO",E4:E500,"=radio")</f>
        <v>23</v>
      </c>
      <c r="I2" s="19">
        <f>COUNTIFS(I4:I500, "=APAGADO",E4:E500,"=radio")</f>
        <v>20</v>
      </c>
      <c r="J2" s="19">
        <f>COUNTIFS(J4:J500, "=APAGADO",E4:E500,"=radio")</f>
        <v>16</v>
      </c>
      <c r="K2" s="19">
        <f>COUNTIFS(K4:K500, "=APAGADO",E4:E500,"=radio")</f>
        <v>15</v>
      </c>
      <c r="L2" s="19">
        <f>COUNTIFS(L4:L500, "=APAGADO",E4:E500,"=radio")</f>
        <v>12</v>
      </c>
      <c r="M2" s="19">
        <f>COUNTIFS(M4:M500, "=APAGADO",E4:E500,"=radio")</f>
        <v>11</v>
      </c>
      <c r="N2" s="19">
        <f>COUNTIFS(N4:N500, "=APAGADO",E4:E500,"=radio")</f>
        <v>10</v>
      </c>
      <c r="O2" s="19">
        <f>COUNTIFS(O4:O500, "=APAGADO",E4:E500,"=radio")</f>
        <v>14</v>
      </c>
      <c r="P2" s="19">
        <f>COUNTIFS(P4:P500, "=APAGADO",E4:E500,"=radio")</f>
        <v>12</v>
      </c>
      <c r="Q2" s="19">
        <f>COUNTIFS(Q4:Q367, "=APAGADO",E4:E367,"=radio")</f>
        <v>10</v>
      </c>
      <c r="R2" s="19">
        <f>COUNTIFS(R4:R500, "=APAGADO",E4:E500,"=radio")</f>
        <v>10</v>
      </c>
      <c r="S2" s="19">
        <f>COUNTIFS(S4:S500, "=APAGADO",E4:E500,"=radio")</f>
        <v>11</v>
      </c>
      <c r="T2" s="19">
        <f>COUNTIFS(T4:T500, "=APAGADO",E4:E500,"=radio")</f>
        <v>13</v>
      </c>
      <c r="U2" s="19">
        <f>COUNTIFS(U4:U500, "=APAGADO",E4:E500,"=radio")</f>
        <v>12</v>
      </c>
      <c r="V2" s="19">
        <f>COUNTIFS(V4:V500, "=APAGADO",E4:E500,"=radio")</f>
        <v>16</v>
      </c>
      <c r="W2" s="19">
        <f>COUNTIFS(W4:W500, "=APAGADO",E4:E500,"=radio")</f>
        <v>9</v>
      </c>
      <c r="X2" s="19">
        <f>COUNTIFS(X4:X500, "=APAGADO",E4:E500,"=radio")</f>
        <v>9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 t="str">
        <f>ESTADISTICA!V20</f>
        <v>APAGADO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 t="str">
        <f>ESTADISTICA!V50</f>
        <v>APAGADO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 t="str">
        <f>ESTADISTICA!W63</f>
        <v>APAGADO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 t="str">
        <f>ESTADISTICA!W67</f>
        <v>APAGADO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 t="str">
        <f>ESTADISTICA!V82</f>
        <v>APAGADO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 t="str">
        <f>ESTADISTICA!V83</f>
        <v>APAGADO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 t="str">
        <f>ESTADISTICA!V85</f>
        <v>APAGADO</v>
      </c>
      <c r="W87" t="str">
        <f>ESTADISTICA!W85</f>
        <v>APAGADO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 t="str">
        <f>ESTADISTICA!V86</f>
        <v>APAGADO</v>
      </c>
      <c r="W88" t="str">
        <f>ESTADISTICA!W86</f>
        <v>APAGADO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 t="str">
        <f>ESTADISTICA!T103</f>
        <v>APAGADO</v>
      </c>
      <c r="U105" t="str">
        <f>ESTADISTICA!U103</f>
        <v>APAGADO</v>
      </c>
      <c r="V105" t="str">
        <f>ESTADISTICA!V103</f>
        <v>APAGADO</v>
      </c>
      <c r="W105" t="str">
        <f>ESTADISTICA!W103</f>
        <v>APAGADO</v>
      </c>
      <c r="X105" t="str">
        <f>ESTADISTICA!X103</f>
        <v>APAGADO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 t="str">
        <f>ESTADISTICA!Q121</f>
        <v>APAGADO</v>
      </c>
      <c r="R123">
        <f>ESTADISTICA!R121</f>
        <v>0</v>
      </c>
      <c r="S123" t="str">
        <f>ESTADISTICA!S121</f>
        <v>APAGADO</v>
      </c>
      <c r="T123" t="str">
        <f>ESTADISTICA!T121</f>
        <v>APAGADO</v>
      </c>
      <c r="U123" t="str">
        <f>ESTADISTICA!U121</f>
        <v>APAGADO</v>
      </c>
      <c r="V123" t="str">
        <f>ESTADISTICA!V121</f>
        <v>APAGADO</v>
      </c>
      <c r="W123" t="str">
        <f>ESTADISTICA!W121</f>
        <v>APAGADO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 t="str">
        <f>ESTADISTICA!T170</f>
        <v>APAGADO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e">
        <f>ESTADISTICA!D180</f>
        <v>#REF!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 t="str">
        <f>ESTADISTICA!V186</f>
        <v>APAGADO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 t="str">
        <f>ESTADISTICA!V187</f>
        <v>APAGADO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 t="str">
        <f>ESTADISTICA!S192</f>
        <v>APAGADO</v>
      </c>
      <c r="T194" t="str">
        <f>ESTADISTICA!T192</f>
        <v>APAGADO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 t="str">
        <f>ESTADISTICA!W202</f>
        <v>APAGADO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 t="str">
        <f>ESTADISTICA!V206</f>
        <v>APAGADO</v>
      </c>
      <c r="W208" t="str">
        <f>ESTADISTICA!W206</f>
        <v>APAGADO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 t="str">
        <f>ESTADISTICA!V225</f>
        <v>APAGADO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 t="str">
        <f>ESTADISTICA!Q230</f>
        <v>APAGADO</v>
      </c>
      <c r="R232" t="str">
        <f>ESTADISTICA!R230</f>
        <v>APAGADO</v>
      </c>
      <c r="S232" t="str">
        <f>ESTADISTICA!S230</f>
        <v>APAGADO</v>
      </c>
      <c r="T232" t="str">
        <f>ESTADISTICA!T230</f>
        <v>APAGADO</v>
      </c>
      <c r="U232" t="str">
        <f>ESTADISTICA!U230</f>
        <v>APAGADO</v>
      </c>
      <c r="V232" t="str">
        <f>ESTADISTICA!V230</f>
        <v>APAGADO</v>
      </c>
      <c r="W232" t="str">
        <f>ESTADISTICA!W230</f>
        <v>APAGADO</v>
      </c>
      <c r="X232" t="str">
        <f>ESTADISTICA!X230</f>
        <v>APAGADO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 t="str">
        <f>ESTADISTICA!T231</f>
        <v>APAGADO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 t="str">
        <f>ESTADISTICA!W234</f>
        <v>APAGADO</v>
      </c>
      <c r="X236" t="str">
        <f>ESTADISTICA!X234</f>
        <v>APAGADO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 t="str">
        <f>ESTADISTICA!V239</f>
        <v>APAGADO</v>
      </c>
      <c r="W241">
        <f>ESTADISTICA!W239</f>
        <v>0</v>
      </c>
      <c r="X241" t="str">
        <f>ESTADISTICA!X239</f>
        <v>APAGADO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 t="str">
        <f>ESTADISTICA!V245</f>
        <v>APAGADO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>
        <f>ESTADISTICA!T248</f>
        <v>0</v>
      </c>
      <c r="U250">
        <f>ESTADISTICA!U248</f>
        <v>0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>
        <f>ESTADISTICA!T249</f>
        <v>0</v>
      </c>
      <c r="U251">
        <f>ESTADISTICA!U249</f>
        <v>0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>
        <f>ESTADISTICA!U254</f>
        <v>0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 t="str">
        <f>ESTADISTICA!T255</f>
        <v>APAGADO</v>
      </c>
      <c r="U257" t="str">
        <f>ESTADISTICA!U255</f>
        <v>APAGADO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 t="str">
        <f>ESTADISTICA!S263</f>
        <v>APAGADO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 t="str">
        <f>ESTADISTICA!Q264</f>
        <v>APAGADO</v>
      </c>
      <c r="R266" t="str">
        <f>ESTADISTICA!R264</f>
        <v>APAGADO</v>
      </c>
      <c r="S266" t="str">
        <f>ESTADISTICA!S264</f>
        <v>APAGADO</v>
      </c>
      <c r="T266" t="str">
        <f>ESTADISTICA!T264</f>
        <v>APAGADO</v>
      </c>
      <c r="U266" t="str">
        <f>ESTADISTICA!U264</f>
        <v>APAGADO</v>
      </c>
      <c r="V266" t="str">
        <f>ESTADISTICA!V264</f>
        <v>APAGADO</v>
      </c>
      <c r="W266" t="str">
        <f>ESTADISTICA!W264</f>
        <v>APAGADO</v>
      </c>
      <c r="X266" t="str">
        <f>ESTADISTICA!X264</f>
        <v>APAGADO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 t="str">
        <f>ESTADISTICA!T265</f>
        <v>APAGADO</v>
      </c>
      <c r="U267" t="str">
        <f>ESTADISTICA!U265</f>
        <v>APAGADO</v>
      </c>
      <c r="V267" t="str">
        <f>ESTADISTICA!V265</f>
        <v>APAGADO</v>
      </c>
      <c r="W267" t="str">
        <f>ESTADISTICA!W265</f>
        <v>APAGADO</v>
      </c>
      <c r="X267" t="str">
        <f>ESTADISTICA!X265</f>
        <v>APAGADO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 t="str">
        <f>ESTADISTICA!T276</f>
        <v>APAGADO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623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 t="str">
        <f>ESTADISTICA!V299</f>
        <v>APAGADO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 t="str">
        <f>ESTADISTICA!U300</f>
        <v>APAGADO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 t="str">
        <f>ESTADISTICA!Q306</f>
        <v>APAGADO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 t="str">
        <f>ESTADISTICA!S322</f>
        <v>APAGADO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 t="str">
        <f>ESTADISTICA!W333</f>
        <v>APAGADO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 t="str">
        <f>ESTADISTICA!R335</f>
        <v>APAGADO</v>
      </c>
      <c r="S337" t="str">
        <f>ESTADISTICA!S335</f>
        <v>APAGADO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 t="str">
        <f>ESTADISTICA!R336</f>
        <v>APAGADO</v>
      </c>
      <c r="S338" t="str">
        <f>ESTADISTICA!S336</f>
        <v>APAGADO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 t="str">
        <f>ESTADISTICA!S337</f>
        <v>APAGADO</v>
      </c>
      <c r="T339" t="str">
        <f>ESTADISTICA!T337</f>
        <v>APAGADO</v>
      </c>
      <c r="U339" t="str">
        <f>ESTADISTICA!U337</f>
        <v>APAGADO</v>
      </c>
      <c r="V339" t="str">
        <f>ESTADISTICA!V337</f>
        <v>APAGADO</v>
      </c>
      <c r="W339" t="str">
        <f>ESTADISTICA!W337</f>
        <v>APAGADO</v>
      </c>
      <c r="X339" t="str">
        <f>ESTADISTICA!X337</f>
        <v>APAGADO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 t="str">
        <f>ESTADISTICA!S338</f>
        <v>APAGADO</v>
      </c>
      <c r="T340" t="str">
        <f>ESTADISTICA!T338</f>
        <v>APAGADO</v>
      </c>
      <c r="U340" t="str">
        <f>ESTADISTICA!U338</f>
        <v>APAGADO</v>
      </c>
      <c r="V340" t="str">
        <f>ESTADISTICA!V338</f>
        <v>APAGADO</v>
      </c>
      <c r="W340" t="str">
        <f>ESTADISTICA!W338</f>
        <v>APAGADO</v>
      </c>
      <c r="X340" t="str">
        <f>ESTADISTICA!X338</f>
        <v>APAGADO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 t="str">
        <f>ESTADISTICA!U342</f>
        <v>APAGADO</v>
      </c>
      <c r="V344" t="str">
        <f>ESTADISTICA!V342</f>
        <v>APAGADO</v>
      </c>
      <c r="W344" t="str">
        <f>ESTADISTICA!W342</f>
        <v>APAGADO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 t="str">
        <f>ESTADISTICA!V351</f>
        <v>APAGADO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>
        <f>ESTADISTICA!V366</f>
        <v>0</v>
      </c>
      <c r="W368" t="str">
        <f>ESTADISTICA!W366</f>
        <v>APAGADO</v>
      </c>
      <c r="X368" t="str">
        <f>ESTADISTICA!X366</f>
        <v>APAGADO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 t="str">
        <f>ESTADISTICA!T367</f>
        <v>APAGADO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3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3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3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 t="str">
        <f>ESTADISTICA!V371</f>
        <v>APAGADO</v>
      </c>
      <c r="W373" t="str">
        <f>ESTADISTICA!W371</f>
        <v>APAGADO</v>
      </c>
      <c r="X373" t="str">
        <f>ESTADISTICA!X371</f>
        <v>APAGADO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3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3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3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 t="str">
        <f>ESTADISTICA!T374</f>
        <v>APAGADO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3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3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3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3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3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 t="str">
        <f>ESTADISTICA!T379</f>
        <v>APAGADO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3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3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3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 t="str">
        <f>ESTADISTICA!T382</f>
        <v>APAGADO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3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3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3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 t="str">
        <f>ESTADISTICA!T385</f>
        <v>APAGADO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3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 t="str">
        <f>ESTADISTICA!T386</f>
        <v>APAGADO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3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 t="str">
        <f>ESTADISTICA!S387</f>
        <v>APAGADO</v>
      </c>
      <c r="T389">
        <f>ESTADISTICA!T387</f>
        <v>0</v>
      </c>
      <c r="U389">
        <f>ESTADISTICA!U387</f>
        <v>0</v>
      </c>
      <c r="V389" t="str">
        <f>ESTADISTICA!V387</f>
        <v>APAGADO</v>
      </c>
      <c r="W389" t="str">
        <f>ESTADISTICA!W387</f>
        <v>APAGADO</v>
      </c>
      <c r="X389" t="str">
        <f>ESTADISTICA!X387</f>
        <v>APAGADO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3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 t="str">
        <f>ESTADISTICA!S388</f>
        <v>APAGADO</v>
      </c>
      <c r="T390">
        <f>ESTADISTICA!T388</f>
        <v>0</v>
      </c>
      <c r="U390">
        <f>ESTADISTICA!U388</f>
        <v>0</v>
      </c>
      <c r="V390" t="str">
        <f>ESTADISTICA!V388</f>
        <v>APAGADO</v>
      </c>
      <c r="W390" t="str">
        <f>ESTADISTICA!W388</f>
        <v>APAGADO</v>
      </c>
      <c r="X390" t="str">
        <f>ESTADISTICA!X388</f>
        <v>APAGADO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3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3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3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3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3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3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3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3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3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3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3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 t="str">
        <f>ESTADISTICA!Q399</f>
        <v>APAGADO</v>
      </c>
      <c r="R401" t="str">
        <f>ESTADISTICA!R399</f>
        <v>APAGADO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3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3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3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 t="str">
        <f>ESTADISTICA!Q402</f>
        <v>APAGADO</v>
      </c>
      <c r="R404">
        <f>ESTADISTICA!R402</f>
        <v>0</v>
      </c>
      <c r="S404">
        <f>ESTADISTICA!S402</f>
        <v>0</v>
      </c>
      <c r="T404" t="str">
        <f>ESTADISTICA!T402</f>
        <v>APAGADO</v>
      </c>
      <c r="U404" t="str">
        <f>ESTADISTICA!U402</f>
        <v>APAGADO</v>
      </c>
      <c r="V404">
        <f>ESTADISTICA!V402</f>
        <v>0</v>
      </c>
      <c r="W404" t="str">
        <f>ESTADISTICA!W402</f>
        <v>APAGADO</v>
      </c>
      <c r="X404" t="str">
        <f>ESTADISTICA!X402</f>
        <v>APAGADO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3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3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 t="str">
        <f>ESTADISTICA!V404</f>
        <v>APAGADO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3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 t="str">
        <f>ESTADISTICA!V405</f>
        <v>APAGADO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3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 t="str">
        <f>ESTADISTICA!V406</f>
        <v>APAGADO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3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3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3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3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3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3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3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3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3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3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3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 t="str">
        <f>ESTADISTICA!Q417</f>
        <v>APAGADO</v>
      </c>
      <c r="R419" t="str">
        <f>ESTADISTICA!R417</f>
        <v>APAGADO</v>
      </c>
      <c r="S419" t="str">
        <f>ESTADISTICA!S417</f>
        <v>APAGADO</v>
      </c>
      <c r="T419" t="str">
        <f>ESTADISTICA!T417</f>
        <v>APAGADO</v>
      </c>
      <c r="U419" t="str">
        <f>ESTADISTICA!U417</f>
        <v>APAGADO</v>
      </c>
      <c r="V419" t="str">
        <f>ESTADISTICA!V417</f>
        <v>APAGADO</v>
      </c>
      <c r="W419" t="str">
        <f>ESTADISTICA!W417</f>
        <v>APAGADO</v>
      </c>
      <c r="X419" t="str">
        <f>ESTADISTICA!X417</f>
        <v>APAGADO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3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3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3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3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3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 t="str">
        <f>ESTADISTICA!V422</f>
        <v>APAGADO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3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3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3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3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3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3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3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3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 t="str">
        <f>ESTADISTICA!Q431</f>
        <v>APAGADO</v>
      </c>
      <c r="R433" t="str">
        <f>ESTADISTICA!R431</f>
        <v>APAGADO</v>
      </c>
      <c r="S433" t="str">
        <f>ESTADISTICA!S431</f>
        <v>APAGADO</v>
      </c>
      <c r="T433" t="str">
        <f>ESTADISTICA!T431</f>
        <v>APAGADO</v>
      </c>
      <c r="U433" t="str">
        <f>ESTADISTICA!U431</f>
        <v>APAGADO</v>
      </c>
      <c r="V433" t="str">
        <f>ESTADISTICA!V431</f>
        <v>APAGADO</v>
      </c>
      <c r="W433" t="str">
        <f>ESTADISTICA!W431</f>
        <v>APAGADO</v>
      </c>
      <c r="X433" t="str">
        <f>ESTADISTICA!X431</f>
        <v>APAGADO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3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3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3">
      <c r="A436">
        <f>ESTADISTICA!A434</f>
        <v>0</v>
      </c>
      <c r="B436">
        <f>ESTADISTICA!B434</f>
        <v>0</v>
      </c>
      <c r="C436">
        <f>ESTADISTICA!C434</f>
        <v>0</v>
      </c>
      <c r="D436">
        <f>ESTADISTICA!D434</f>
        <v>0</v>
      </c>
      <c r="E436">
        <f>ESTADISTICA!E434</f>
        <v>0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3">
      <c r="A437">
        <f>ESTADISTICA!A435</f>
        <v>0</v>
      </c>
      <c r="B437">
        <f>ESTADISTICA!B435</f>
        <v>0</v>
      </c>
      <c r="C437">
        <f>ESTADISTICA!C435</f>
        <v>0</v>
      </c>
      <c r="D437">
        <f>ESTADISTICA!D435</f>
        <v>0</v>
      </c>
      <c r="E437">
        <f>ESTADISTICA!E435</f>
        <v>0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  <filterColumn colId="23">
      <filters>
        <filter val="APAGADO"/>
      </filters>
    </filterColumn>
  </autoFilter>
  <conditionalFormatting sqref="AE3:AE1048576">
    <cfRule type="containsText" dxfId="163" priority="2" operator="containsText" text="APAGADO">
      <formula>NOT(ISERROR(SEARCH("APAGADO",AE3)))</formula>
    </cfRule>
  </conditionalFormatting>
  <conditionalFormatting sqref="F4:AI437">
    <cfRule type="containsText" dxfId="16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7" workbookViewId="0">
      <selection activeCell="A27" sqref="A27:E31"/>
    </sheetView>
  </sheetViews>
  <sheetFormatPr baseColWidth="10" defaultColWidth="11.5546875" defaultRowHeight="14.4" x14ac:dyDescent="0.3"/>
  <cols>
    <col min="1" max="1" width="20.33203125" bestFit="1" customWidth="1"/>
    <col min="2" max="2" width="11.5546875" style="115"/>
    <col min="3" max="3" width="11.5546875" style="9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9" t="s">
        <v>1001</v>
      </c>
      <c r="D1" s="69" t="s">
        <v>1002</v>
      </c>
    </row>
    <row r="2" spans="1:13" ht="15.6" thickTop="1" thickBot="1" x14ac:dyDescent="0.35">
      <c r="A2" s="70" t="s">
        <v>998</v>
      </c>
      <c r="B2" s="71">
        <v>435</v>
      </c>
      <c r="C2" s="72"/>
      <c r="D2" s="73"/>
      <c r="E2" s="129">
        <v>44896</v>
      </c>
      <c r="F2" s="138" t="s">
        <v>1308</v>
      </c>
    </row>
    <row r="3" spans="1:13" ht="15" customHeight="1" thickTop="1" x14ac:dyDescent="0.3">
      <c r="A3" s="74" t="s">
        <v>6</v>
      </c>
      <c r="B3" s="75">
        <v>135</v>
      </c>
      <c r="C3" s="76">
        <v>135</v>
      </c>
      <c r="D3" s="77">
        <f>C3/B2</f>
        <v>0.31034482758620691</v>
      </c>
      <c r="E3" s="130"/>
      <c r="F3" s="139"/>
      <c r="G3" s="78"/>
      <c r="H3" s="79"/>
      <c r="I3" s="79"/>
      <c r="J3" s="79"/>
      <c r="K3" s="80"/>
      <c r="L3" s="81"/>
      <c r="M3" s="134"/>
    </row>
    <row r="4" spans="1:13" x14ac:dyDescent="0.3">
      <c r="A4" s="74" t="s">
        <v>1000</v>
      </c>
      <c r="B4" s="75">
        <v>5</v>
      </c>
      <c r="C4" s="76">
        <f>C3-B4</f>
        <v>130</v>
      </c>
      <c r="D4" s="77">
        <f>C4/B2</f>
        <v>0.2988505747126437</v>
      </c>
      <c r="E4" s="130"/>
      <c r="F4" s="139"/>
      <c r="G4" s="82"/>
      <c r="H4" s="83"/>
      <c r="I4" s="83"/>
      <c r="J4" s="83"/>
      <c r="K4" s="84"/>
      <c r="L4" s="85"/>
      <c r="M4" s="135"/>
    </row>
    <row r="5" spans="1:13" x14ac:dyDescent="0.3">
      <c r="A5" s="74" t="s">
        <v>999</v>
      </c>
      <c r="B5" s="75">
        <v>3</v>
      </c>
      <c r="C5" s="76">
        <f>C4-B5</f>
        <v>127</v>
      </c>
      <c r="D5" s="77">
        <f>C5/B2</f>
        <v>0.29195402298850576</v>
      </c>
      <c r="E5" s="130"/>
      <c r="F5" s="139"/>
      <c r="G5" s="82"/>
      <c r="H5" s="83"/>
      <c r="I5" s="83"/>
      <c r="J5" s="83"/>
      <c r="K5" s="84"/>
      <c r="L5" s="85"/>
      <c r="M5" s="135"/>
    </row>
    <row r="6" spans="1:13" ht="15" thickBot="1" x14ac:dyDescent="0.35">
      <c r="A6" s="86" t="s">
        <v>16</v>
      </c>
      <c r="B6" s="87">
        <v>24</v>
      </c>
      <c r="C6" s="88">
        <f>C5-B6</f>
        <v>103</v>
      </c>
      <c r="D6" s="77">
        <f>C6/B2</f>
        <v>0.23678160919540231</v>
      </c>
      <c r="E6" s="131"/>
      <c r="F6" s="140"/>
      <c r="G6" s="82"/>
      <c r="H6" s="83"/>
      <c r="I6" s="83"/>
      <c r="J6" s="83"/>
      <c r="K6" s="84"/>
      <c r="L6" s="85"/>
      <c r="M6" s="135"/>
    </row>
    <row r="7" spans="1:13" ht="15" customHeight="1" thickTop="1" x14ac:dyDescent="0.3">
      <c r="A7" s="70" t="s">
        <v>998</v>
      </c>
      <c r="B7" s="71">
        <v>435</v>
      </c>
      <c r="C7" s="72"/>
      <c r="D7" s="73"/>
      <c r="E7" s="129">
        <v>44897</v>
      </c>
      <c r="F7" s="47"/>
      <c r="G7" s="82"/>
      <c r="H7" s="83"/>
      <c r="I7" s="83"/>
      <c r="J7" s="83"/>
      <c r="K7" s="84"/>
      <c r="L7" s="85"/>
      <c r="M7" s="135"/>
    </row>
    <row r="8" spans="1:13" ht="15" thickBot="1" x14ac:dyDescent="0.35">
      <c r="A8" s="74" t="s">
        <v>6</v>
      </c>
      <c r="B8" s="75">
        <v>113</v>
      </c>
      <c r="C8" s="76">
        <v>113</v>
      </c>
      <c r="D8" s="77">
        <f>C8/B7</f>
        <v>0.25977011494252872</v>
      </c>
      <c r="E8" s="130"/>
      <c r="G8" s="90"/>
      <c r="H8" s="91"/>
      <c r="I8" s="91"/>
      <c r="J8" s="91"/>
      <c r="K8" s="92"/>
      <c r="L8" s="93"/>
      <c r="M8" s="137"/>
    </row>
    <row r="9" spans="1:13" ht="15.6" thickTop="1" thickBot="1" x14ac:dyDescent="0.35">
      <c r="A9" s="74" t="s">
        <v>1000</v>
      </c>
      <c r="B9" s="75">
        <v>4</v>
      </c>
      <c r="C9" s="76">
        <f>C8-B9</f>
        <v>109</v>
      </c>
      <c r="D9" s="77">
        <f>C9/B7</f>
        <v>0.25057471264367814</v>
      </c>
      <c r="E9" s="130"/>
      <c r="G9" s="39"/>
      <c r="K9" s="94"/>
      <c r="M9" s="95"/>
    </row>
    <row r="10" spans="1:13" ht="15" thickTop="1" x14ac:dyDescent="0.3">
      <c r="A10" s="74" t="s">
        <v>999</v>
      </c>
      <c r="B10" s="75">
        <v>3</v>
      </c>
      <c r="C10" s="76">
        <f>C9-B10</f>
        <v>106</v>
      </c>
      <c r="D10" s="77">
        <f>C10/B7</f>
        <v>0.24367816091954023</v>
      </c>
      <c r="E10" s="130"/>
      <c r="G10" s="96"/>
      <c r="H10" s="97"/>
      <c r="I10" s="97"/>
      <c r="J10" s="97"/>
      <c r="K10" s="98"/>
      <c r="L10" s="99"/>
      <c r="M10" s="134"/>
    </row>
    <row r="11" spans="1:13" ht="15" thickBot="1" x14ac:dyDescent="0.35">
      <c r="A11" s="86" t="s">
        <v>16</v>
      </c>
      <c r="B11" s="87">
        <v>21</v>
      </c>
      <c r="C11" s="88">
        <f>C10-B11</f>
        <v>85</v>
      </c>
      <c r="D11" s="77">
        <f>C11/B7</f>
        <v>0.19540229885057472</v>
      </c>
      <c r="E11" s="131"/>
      <c r="G11" s="100"/>
      <c r="K11" s="94"/>
      <c r="L11" s="101"/>
      <c r="M11" s="135"/>
    </row>
    <row r="12" spans="1:13" ht="15" thickTop="1" x14ac:dyDescent="0.3">
      <c r="A12" s="70" t="s">
        <v>998</v>
      </c>
      <c r="B12" s="71">
        <v>435</v>
      </c>
      <c r="C12" s="72"/>
      <c r="D12" s="73"/>
      <c r="E12" s="129">
        <v>44900</v>
      </c>
      <c r="G12" s="100"/>
      <c r="K12" s="94"/>
      <c r="L12" s="101"/>
      <c r="M12" s="135"/>
    </row>
    <row r="13" spans="1:13" x14ac:dyDescent="0.3">
      <c r="A13" s="74" t="s">
        <v>6</v>
      </c>
      <c r="B13" s="75">
        <v>98</v>
      </c>
      <c r="C13" s="76">
        <v>98</v>
      </c>
      <c r="D13" s="77">
        <f>C13/B12</f>
        <v>0.22528735632183908</v>
      </c>
      <c r="E13" s="130"/>
      <c r="G13" s="100"/>
      <c r="K13" s="94"/>
      <c r="L13" s="101"/>
      <c r="M13" s="135"/>
    </row>
    <row r="14" spans="1:13" x14ac:dyDescent="0.3">
      <c r="A14" s="74" t="s">
        <v>1000</v>
      </c>
      <c r="B14" s="75">
        <v>2</v>
      </c>
      <c r="C14" s="76">
        <f>C13-B14</f>
        <v>96</v>
      </c>
      <c r="D14" s="77">
        <f>C14/B12</f>
        <v>0.22068965517241379</v>
      </c>
      <c r="E14" s="130"/>
      <c r="G14" s="100"/>
      <c r="K14" s="94"/>
      <c r="L14" s="101"/>
      <c r="M14" s="135"/>
    </row>
    <row r="15" spans="1:13" ht="15" customHeight="1" thickBot="1" x14ac:dyDescent="0.35">
      <c r="A15" s="74" t="s">
        <v>999</v>
      </c>
      <c r="B15" s="75">
        <v>3</v>
      </c>
      <c r="C15" s="76">
        <f>C14-B15</f>
        <v>93</v>
      </c>
      <c r="D15" s="77">
        <f>C15/B12</f>
        <v>0.21379310344827587</v>
      </c>
      <c r="E15" s="130"/>
      <c r="G15" s="102"/>
      <c r="H15" s="103"/>
      <c r="I15" s="103"/>
      <c r="J15" s="103"/>
      <c r="K15" s="103"/>
      <c r="L15" s="104"/>
      <c r="M15" s="136"/>
    </row>
    <row r="16" spans="1:13" ht="15.6" thickTop="1" thickBot="1" x14ac:dyDescent="0.35">
      <c r="A16" s="86" t="s">
        <v>16</v>
      </c>
      <c r="B16" s="87">
        <v>16</v>
      </c>
      <c r="C16" s="88">
        <f>C15-B16</f>
        <v>77</v>
      </c>
      <c r="D16" s="77">
        <f>C16/B12</f>
        <v>0.17701149425287357</v>
      </c>
      <c r="E16" s="131"/>
      <c r="G16" s="105"/>
      <c r="H16" s="106"/>
      <c r="I16" s="106"/>
      <c r="J16" s="106"/>
      <c r="K16" s="107"/>
      <c r="L16" s="108"/>
      <c r="M16" s="134"/>
    </row>
    <row r="17" spans="1:14" ht="15" thickTop="1" x14ac:dyDescent="0.3">
      <c r="A17" s="70" t="s">
        <v>998</v>
      </c>
      <c r="B17" s="71">
        <v>435</v>
      </c>
      <c r="C17" s="72"/>
      <c r="D17" s="73"/>
      <c r="E17" s="129">
        <v>44901</v>
      </c>
      <c r="G17" s="109"/>
      <c r="K17" s="94"/>
      <c r="L17" s="110"/>
      <c r="M17" s="135"/>
    </row>
    <row r="18" spans="1:14" x14ac:dyDescent="0.3">
      <c r="A18" s="74" t="s">
        <v>6</v>
      </c>
      <c r="B18" s="75">
        <v>82</v>
      </c>
      <c r="C18" s="76">
        <v>82</v>
      </c>
      <c r="D18" s="77">
        <f>C18/B17</f>
        <v>0.18850574712643678</v>
      </c>
      <c r="E18" s="130"/>
      <c r="G18" s="109"/>
      <c r="K18" s="94"/>
      <c r="L18" s="110"/>
      <c r="M18" s="135"/>
    </row>
    <row r="19" spans="1:14" x14ac:dyDescent="0.3">
      <c r="A19" s="74" t="s">
        <v>1000</v>
      </c>
      <c r="B19" s="75">
        <v>3</v>
      </c>
      <c r="C19" s="76">
        <f>C18-B19</f>
        <v>79</v>
      </c>
      <c r="D19" s="77">
        <f>C19/B17</f>
        <v>0.18160919540229886</v>
      </c>
      <c r="E19" s="130"/>
      <c r="G19" s="109"/>
      <c r="K19" s="94"/>
      <c r="L19" s="110"/>
      <c r="M19" s="135"/>
    </row>
    <row r="20" spans="1:14" x14ac:dyDescent="0.3">
      <c r="A20" s="74" t="s">
        <v>999</v>
      </c>
      <c r="B20" s="75">
        <v>3</v>
      </c>
      <c r="C20" s="76">
        <f>C19-B20</f>
        <v>76</v>
      </c>
      <c r="D20" s="77">
        <f>C20/B17</f>
        <v>0.17471264367816092</v>
      </c>
      <c r="E20" s="130"/>
      <c r="G20" s="109"/>
      <c r="K20" s="94"/>
      <c r="L20" s="110"/>
      <c r="M20" s="135"/>
    </row>
    <row r="21" spans="1:14" ht="15" thickBot="1" x14ac:dyDescent="0.35">
      <c r="A21" s="86" t="s">
        <v>16</v>
      </c>
      <c r="B21" s="87">
        <v>15</v>
      </c>
      <c r="C21" s="88">
        <f>C20-B21</f>
        <v>61</v>
      </c>
      <c r="D21" s="77">
        <f>C21/B17</f>
        <v>0.14022988505747128</v>
      </c>
      <c r="E21" s="131"/>
      <c r="G21" s="102"/>
      <c r="H21" s="103"/>
      <c r="I21" s="103"/>
      <c r="J21" s="103"/>
      <c r="K21" s="103"/>
      <c r="L21" s="104"/>
      <c r="M21" s="136"/>
    </row>
    <row r="22" spans="1:14" ht="15" thickTop="1" x14ac:dyDescent="0.3">
      <c r="A22" s="70" t="s">
        <v>998</v>
      </c>
      <c r="B22" s="71">
        <v>435</v>
      </c>
      <c r="C22" s="72"/>
      <c r="D22" s="73"/>
      <c r="E22" s="129">
        <v>44908</v>
      </c>
    </row>
    <row r="23" spans="1:14" ht="15" thickBot="1" x14ac:dyDescent="0.35">
      <c r="A23" s="74" t="s">
        <v>6</v>
      </c>
      <c r="B23" s="75">
        <v>78</v>
      </c>
      <c r="C23" s="76">
        <v>78</v>
      </c>
      <c r="D23" s="77">
        <f>C23/B22</f>
        <v>0.1793103448275862</v>
      </c>
      <c r="E23" s="130"/>
    </row>
    <row r="24" spans="1:14" ht="15" thickTop="1" x14ac:dyDescent="0.3">
      <c r="A24" s="74" t="s">
        <v>1000</v>
      </c>
      <c r="B24" s="75">
        <v>0</v>
      </c>
      <c r="C24" s="76">
        <f>C23-B24</f>
        <v>78</v>
      </c>
      <c r="D24" s="77">
        <f>C24/B22</f>
        <v>0.1793103448275862</v>
      </c>
      <c r="E24" s="130"/>
      <c r="G24" s="96"/>
      <c r="H24" s="97"/>
      <c r="I24" s="97"/>
      <c r="J24" s="97"/>
      <c r="K24" s="98"/>
      <c r="L24" s="99"/>
      <c r="M24" s="134"/>
    </row>
    <row r="25" spans="1:14" x14ac:dyDescent="0.3">
      <c r="A25" s="74" t="s">
        <v>999</v>
      </c>
      <c r="B25" s="75">
        <v>3</v>
      </c>
      <c r="C25" s="76">
        <f>C24-B25</f>
        <v>75</v>
      </c>
      <c r="D25" s="77">
        <f>C25/B22</f>
        <v>0.17241379310344829</v>
      </c>
      <c r="E25" s="130"/>
      <c r="G25" s="100"/>
      <c r="K25" s="94"/>
      <c r="L25" s="101"/>
      <c r="M25" s="135"/>
    </row>
    <row r="26" spans="1:14" ht="15" thickBot="1" x14ac:dyDescent="0.35">
      <c r="A26" s="86" t="s">
        <v>16</v>
      </c>
      <c r="B26" s="87">
        <v>10</v>
      </c>
      <c r="C26" s="88">
        <f>C25-B26</f>
        <v>65</v>
      </c>
      <c r="D26" s="77">
        <f>C26/B22</f>
        <v>0.14942528735632185</v>
      </c>
      <c r="E26" s="131"/>
      <c r="G26" s="100"/>
      <c r="K26" s="94"/>
      <c r="L26" s="101"/>
      <c r="M26" s="135"/>
    </row>
    <row r="27" spans="1:14" ht="15" thickTop="1" x14ac:dyDescent="0.3">
      <c r="A27" s="70" t="s">
        <v>998</v>
      </c>
      <c r="B27" s="71">
        <v>436</v>
      </c>
      <c r="C27" s="72"/>
      <c r="D27" s="73"/>
      <c r="E27" s="129">
        <v>44914</v>
      </c>
      <c r="G27" s="100"/>
      <c r="K27" s="94"/>
      <c r="L27" s="101"/>
      <c r="M27" s="135"/>
    </row>
    <row r="28" spans="1:14" x14ac:dyDescent="0.3">
      <c r="A28" s="74" t="s">
        <v>6</v>
      </c>
      <c r="B28" s="75">
        <v>38</v>
      </c>
      <c r="C28" s="76">
        <v>38</v>
      </c>
      <c r="D28" s="77">
        <f>C28/B27</f>
        <v>8.7155963302752298E-2</v>
      </c>
      <c r="E28" s="130"/>
      <c r="G28" s="100"/>
      <c r="K28" s="94"/>
      <c r="L28" s="101"/>
      <c r="M28" s="135"/>
    </row>
    <row r="29" spans="1:14" ht="15" thickBot="1" x14ac:dyDescent="0.35">
      <c r="A29" s="74" t="s">
        <v>1000</v>
      </c>
      <c r="B29" s="75">
        <v>1</v>
      </c>
      <c r="C29" s="76">
        <f>C28-B29</f>
        <v>37</v>
      </c>
      <c r="D29" s="77">
        <f>C29/B27</f>
        <v>8.4862385321100922E-2</v>
      </c>
      <c r="E29" s="130"/>
      <c r="G29" s="102"/>
      <c r="H29" s="103"/>
      <c r="I29" s="103"/>
      <c r="J29" s="103"/>
      <c r="K29" s="103"/>
      <c r="L29" s="104"/>
      <c r="M29" s="136"/>
    </row>
    <row r="30" spans="1:14" ht="15.6" thickTop="1" thickBot="1" x14ac:dyDescent="0.35">
      <c r="A30" s="74" t="s">
        <v>999</v>
      </c>
      <c r="B30" s="75">
        <v>3</v>
      </c>
      <c r="C30" s="76">
        <f>C29-B30</f>
        <v>34</v>
      </c>
      <c r="D30" s="77">
        <f>C30/B27</f>
        <v>7.7981651376146793E-2</v>
      </c>
      <c r="E30" s="130"/>
    </row>
    <row r="31" spans="1:14" ht="15.6" thickTop="1" thickBot="1" x14ac:dyDescent="0.35">
      <c r="A31" s="86" t="s">
        <v>16</v>
      </c>
      <c r="B31" s="87">
        <v>9</v>
      </c>
      <c r="C31" s="88">
        <f>C30-B31</f>
        <v>25</v>
      </c>
      <c r="D31" s="77">
        <f>C31/B27</f>
        <v>5.7339449541284407E-2</v>
      </c>
      <c r="E31" s="131"/>
      <c r="G31" s="105"/>
      <c r="H31" s="111"/>
      <c r="I31" s="106"/>
      <c r="J31" s="106"/>
      <c r="K31" s="106"/>
      <c r="L31" s="107"/>
      <c r="M31" s="108"/>
      <c r="N31" s="132"/>
    </row>
    <row r="32" spans="1:14" ht="15" thickTop="1" x14ac:dyDescent="0.3">
      <c r="A32" s="70" t="s">
        <v>998</v>
      </c>
      <c r="B32" s="71"/>
      <c r="C32" s="72"/>
      <c r="D32" s="73"/>
      <c r="E32" s="129"/>
      <c r="G32" s="109"/>
      <c r="H32" s="39"/>
      <c r="L32" s="94"/>
      <c r="M32" s="110"/>
      <c r="N32" s="133"/>
    </row>
    <row r="33" spans="1:14" ht="15" thickBot="1" x14ac:dyDescent="0.35">
      <c r="A33" s="74" t="s">
        <v>6</v>
      </c>
      <c r="B33" s="75"/>
      <c r="C33" s="76"/>
      <c r="D33" s="77"/>
      <c r="E33" s="130"/>
      <c r="G33" s="112"/>
      <c r="H33" s="113"/>
      <c r="I33" s="103"/>
      <c r="J33" s="103"/>
      <c r="K33" s="103"/>
      <c r="L33" s="114"/>
      <c r="M33" s="104"/>
      <c r="N33" s="133"/>
    </row>
    <row r="34" spans="1:14" ht="15" thickTop="1" x14ac:dyDescent="0.3">
      <c r="A34" s="74" t="s">
        <v>1000</v>
      </c>
      <c r="B34" s="75"/>
      <c r="C34" s="76"/>
      <c r="D34" s="77"/>
      <c r="E34" s="130"/>
      <c r="G34" s="39"/>
      <c r="K34" s="94"/>
    </row>
    <row r="35" spans="1:14" x14ac:dyDescent="0.3">
      <c r="A35" s="74" t="s">
        <v>999</v>
      </c>
      <c r="B35" s="75"/>
      <c r="C35" s="76"/>
      <c r="D35" s="77"/>
      <c r="E35" s="130"/>
      <c r="G35" s="39"/>
      <c r="K35" s="94"/>
    </row>
    <row r="36" spans="1:14" ht="15" thickBot="1" x14ac:dyDescent="0.35">
      <c r="A36" s="86" t="s">
        <v>16</v>
      </c>
      <c r="B36" s="87"/>
      <c r="C36" s="88"/>
      <c r="D36" s="77"/>
      <c r="E36" s="131"/>
      <c r="G36" s="39"/>
      <c r="K36" s="94"/>
    </row>
    <row r="37" spans="1:14" ht="15" thickTop="1" x14ac:dyDescent="0.3">
      <c r="A37" s="70" t="s">
        <v>998</v>
      </c>
      <c r="B37" s="71"/>
      <c r="C37" s="72"/>
      <c r="D37" s="73"/>
      <c r="E37" s="129"/>
      <c r="G37" s="39"/>
      <c r="K37" s="94"/>
    </row>
    <row r="38" spans="1:14" x14ac:dyDescent="0.3">
      <c r="A38" s="74" t="s">
        <v>6</v>
      </c>
      <c r="B38" s="75"/>
      <c r="C38" s="76"/>
      <c r="D38" s="77"/>
      <c r="E38" s="130"/>
      <c r="G38" s="39"/>
      <c r="K38" s="94"/>
      <c r="L38" s="21"/>
    </row>
    <row r="39" spans="1:14" ht="15" thickBot="1" x14ac:dyDescent="0.35">
      <c r="A39" s="74" t="s">
        <v>1000</v>
      </c>
      <c r="B39" s="75"/>
      <c r="C39" s="76"/>
      <c r="D39" s="77"/>
      <c r="E39" s="130"/>
    </row>
    <row r="40" spans="1:14" ht="15" thickTop="1" x14ac:dyDescent="0.3">
      <c r="A40" s="74" t="s">
        <v>999</v>
      </c>
      <c r="B40" s="75"/>
      <c r="C40" s="76"/>
      <c r="D40" s="77"/>
      <c r="E40" s="130"/>
      <c r="G40" s="96"/>
      <c r="H40" s="97"/>
      <c r="I40" s="97"/>
      <c r="J40" s="97"/>
      <c r="K40" s="98"/>
      <c r="L40" s="99"/>
      <c r="M40" s="134"/>
    </row>
    <row r="41" spans="1:14" ht="15" thickBot="1" x14ac:dyDescent="0.35">
      <c r="A41" s="86" t="s">
        <v>16</v>
      </c>
      <c r="B41" s="87"/>
      <c r="C41" s="88"/>
      <c r="D41" s="77"/>
      <c r="E41" s="131"/>
      <c r="G41" s="100"/>
      <c r="K41" s="94"/>
      <c r="L41" s="101"/>
      <c r="M41" s="135"/>
    </row>
    <row r="42" spans="1:14" ht="15" customHeight="1" thickTop="1" x14ac:dyDescent="0.3">
      <c r="A42" s="70" t="s">
        <v>998</v>
      </c>
      <c r="B42" s="71"/>
      <c r="C42" s="72"/>
      <c r="D42" s="73"/>
      <c r="E42" s="129"/>
      <c r="G42" s="100"/>
      <c r="K42" s="94"/>
      <c r="L42" s="101"/>
      <c r="M42" s="135"/>
    </row>
    <row r="43" spans="1:14" x14ac:dyDescent="0.3">
      <c r="A43" s="74" t="s">
        <v>6</v>
      </c>
      <c r="B43" s="75"/>
      <c r="C43" s="76"/>
      <c r="D43" s="77"/>
      <c r="E43" s="130"/>
      <c r="G43" s="100"/>
      <c r="K43" s="94"/>
      <c r="L43" s="101"/>
      <c r="M43" s="135"/>
    </row>
    <row r="44" spans="1:14" x14ac:dyDescent="0.3">
      <c r="A44" s="74" t="s">
        <v>1000</v>
      </c>
      <c r="B44" s="75"/>
      <c r="C44" s="76"/>
      <c r="D44" s="77"/>
      <c r="E44" s="130"/>
      <c r="G44" s="100"/>
      <c r="K44" s="94"/>
      <c r="L44" s="101"/>
      <c r="M44" s="135"/>
    </row>
    <row r="45" spans="1:14" ht="15" thickBot="1" x14ac:dyDescent="0.35">
      <c r="A45" s="74" t="s">
        <v>999</v>
      </c>
      <c r="B45" s="75"/>
      <c r="C45" s="76"/>
      <c r="D45" s="77"/>
      <c r="E45" s="130"/>
      <c r="G45" s="102"/>
      <c r="H45" s="103"/>
      <c r="I45" s="103"/>
      <c r="J45" s="103"/>
      <c r="K45" s="103"/>
      <c r="L45" s="104"/>
      <c r="M45" s="136"/>
    </row>
    <row r="46" spans="1:14" ht="15.6" thickTop="1" thickBot="1" x14ac:dyDescent="0.35">
      <c r="A46" s="86" t="s">
        <v>16</v>
      </c>
      <c r="B46" s="87"/>
      <c r="C46" s="88"/>
      <c r="D46" s="77"/>
      <c r="E46" s="131"/>
    </row>
    <row r="47" spans="1:14" ht="15" thickTop="1" x14ac:dyDescent="0.3">
      <c r="A47" s="70" t="s">
        <v>998</v>
      </c>
      <c r="B47" s="71"/>
      <c r="C47" s="72"/>
      <c r="D47" s="73"/>
      <c r="E47" s="129"/>
      <c r="G47" s="39"/>
      <c r="K47" s="94"/>
    </row>
    <row r="48" spans="1:14" x14ac:dyDescent="0.3">
      <c r="A48" s="74" t="s">
        <v>6</v>
      </c>
      <c r="B48" s="75"/>
      <c r="C48" s="76"/>
      <c r="D48" s="77"/>
      <c r="E48" s="130"/>
      <c r="G48" s="39"/>
      <c r="K48" s="94"/>
    </row>
    <row r="49" spans="1:11" x14ac:dyDescent="0.3">
      <c r="A49" s="74" t="s">
        <v>1000</v>
      </c>
      <c r="B49" s="75"/>
      <c r="C49" s="76"/>
      <c r="D49" s="77"/>
      <c r="E49" s="130"/>
      <c r="G49" s="39"/>
      <c r="K49" s="94"/>
    </row>
    <row r="50" spans="1:11" x14ac:dyDescent="0.3">
      <c r="A50" s="74" t="s">
        <v>999</v>
      </c>
      <c r="B50" s="75"/>
      <c r="C50" s="76"/>
      <c r="D50" s="77"/>
      <c r="E50" s="130"/>
      <c r="G50" s="39"/>
      <c r="K50" s="94"/>
    </row>
    <row r="51" spans="1:11" ht="15" thickBot="1" x14ac:dyDescent="0.35">
      <c r="A51" s="86" t="s">
        <v>16</v>
      </c>
      <c r="B51" s="87"/>
      <c r="C51" s="88"/>
      <c r="D51" s="77"/>
      <c r="E51" s="131"/>
      <c r="G51" s="39"/>
      <c r="K51" s="94"/>
    </row>
    <row r="52" spans="1:11" ht="15" thickTop="1" x14ac:dyDescent="0.3">
      <c r="A52" s="70" t="s">
        <v>998</v>
      </c>
      <c r="B52" s="71"/>
      <c r="C52" s="72"/>
      <c r="D52" s="73"/>
      <c r="E52" s="129"/>
      <c r="G52" s="39"/>
      <c r="K52" s="94"/>
    </row>
    <row r="53" spans="1:11" x14ac:dyDescent="0.3">
      <c r="A53" s="74" t="s">
        <v>6</v>
      </c>
      <c r="B53" s="75"/>
      <c r="C53" s="76"/>
      <c r="D53" s="77"/>
      <c r="E53" s="130"/>
      <c r="G53" s="39"/>
      <c r="K53" s="94"/>
    </row>
    <row r="54" spans="1:11" x14ac:dyDescent="0.3">
      <c r="A54" s="74" t="s">
        <v>1000</v>
      </c>
      <c r="B54" s="75"/>
      <c r="C54" s="76"/>
      <c r="D54" s="77"/>
      <c r="E54" s="130"/>
    </row>
    <row r="55" spans="1:11" x14ac:dyDescent="0.3">
      <c r="A55" s="74" t="s">
        <v>999</v>
      </c>
      <c r="B55" s="75"/>
      <c r="C55" s="76"/>
      <c r="D55" s="77"/>
      <c r="E55" s="130"/>
    </row>
    <row r="56" spans="1:11" ht="15" thickBot="1" x14ac:dyDescent="0.35">
      <c r="A56" s="86" t="s">
        <v>16</v>
      </c>
      <c r="B56" s="87"/>
      <c r="C56" s="88"/>
      <c r="D56" s="89"/>
      <c r="E56" s="131"/>
    </row>
    <row r="57" spans="1:11" ht="15" thickTop="1" x14ac:dyDescent="0.3">
      <c r="A57" s="70" t="s">
        <v>998</v>
      </c>
      <c r="B57" s="71"/>
      <c r="C57" s="72"/>
      <c r="D57" s="73"/>
      <c r="E57" s="129"/>
    </row>
    <row r="58" spans="1:11" x14ac:dyDescent="0.3">
      <c r="A58" s="74" t="s">
        <v>6</v>
      </c>
      <c r="B58" s="75"/>
      <c r="C58" s="76"/>
      <c r="D58" s="77"/>
      <c r="E58" s="130"/>
    </row>
    <row r="59" spans="1:11" x14ac:dyDescent="0.3">
      <c r="A59" s="74" t="s">
        <v>1000</v>
      </c>
      <c r="B59" s="75"/>
      <c r="C59" s="76"/>
      <c r="D59" s="77"/>
      <c r="E59" s="130"/>
    </row>
    <row r="60" spans="1:11" x14ac:dyDescent="0.3">
      <c r="A60" s="74" t="s">
        <v>999</v>
      </c>
      <c r="B60" s="75"/>
      <c r="C60" s="76"/>
      <c r="D60" s="77"/>
      <c r="E60" s="130"/>
    </row>
    <row r="61" spans="1:11" ht="15" thickBot="1" x14ac:dyDescent="0.35">
      <c r="A61" s="86" t="s">
        <v>16</v>
      </c>
      <c r="B61" s="87"/>
      <c r="C61" s="88"/>
      <c r="D61" s="89"/>
      <c r="E61" s="131"/>
    </row>
    <row r="62" spans="1:11" ht="15" thickTop="1" x14ac:dyDescent="0.3">
      <c r="A62" s="70" t="s">
        <v>998</v>
      </c>
      <c r="B62" s="71"/>
      <c r="C62" s="72"/>
      <c r="D62" s="73"/>
      <c r="E62" s="129"/>
    </row>
    <row r="63" spans="1:11" x14ac:dyDescent="0.3">
      <c r="A63" s="74" t="s">
        <v>6</v>
      </c>
      <c r="B63" s="75"/>
      <c r="C63" s="76"/>
      <c r="D63" s="77"/>
      <c r="E63" s="130"/>
    </row>
    <row r="64" spans="1:11" x14ac:dyDescent="0.3">
      <c r="A64" s="74" t="s">
        <v>1000</v>
      </c>
      <c r="B64" s="75"/>
      <c r="C64" s="76"/>
      <c r="D64" s="77"/>
      <c r="E64" s="130"/>
    </row>
    <row r="65" spans="1:5" x14ac:dyDescent="0.3">
      <c r="A65" s="74" t="s">
        <v>999</v>
      </c>
      <c r="B65" s="75"/>
      <c r="C65" s="76"/>
      <c r="D65" s="77"/>
      <c r="E65" s="130"/>
    </row>
    <row r="66" spans="1:5" ht="15" thickBot="1" x14ac:dyDescent="0.35">
      <c r="A66" s="86" t="s">
        <v>16</v>
      </c>
      <c r="B66" s="87"/>
      <c r="C66" s="88"/>
      <c r="D66" s="89"/>
      <c r="E66" s="131"/>
    </row>
    <row r="67" spans="1:5" ht="15" thickTop="1" x14ac:dyDescent="0.3">
      <c r="A67" s="70" t="s">
        <v>998</v>
      </c>
      <c r="B67" s="71"/>
      <c r="C67" s="72"/>
      <c r="D67" s="73"/>
      <c r="E67" s="129"/>
    </row>
    <row r="68" spans="1:5" x14ac:dyDescent="0.3">
      <c r="A68" s="74" t="s">
        <v>6</v>
      </c>
      <c r="B68" s="75"/>
      <c r="C68" s="76"/>
      <c r="D68" s="77"/>
      <c r="E68" s="130"/>
    </row>
    <row r="69" spans="1:5" x14ac:dyDescent="0.3">
      <c r="A69" s="74" t="s">
        <v>1000</v>
      </c>
      <c r="B69" s="75"/>
      <c r="C69" s="76"/>
      <c r="D69" s="77"/>
      <c r="E69" s="130"/>
    </row>
    <row r="70" spans="1:5" x14ac:dyDescent="0.3">
      <c r="A70" s="74" t="s">
        <v>999</v>
      </c>
      <c r="B70" s="75"/>
      <c r="C70" s="76"/>
      <c r="D70" s="77"/>
      <c r="E70" s="130"/>
    </row>
    <row r="71" spans="1:5" ht="15" thickBot="1" x14ac:dyDescent="0.35">
      <c r="A71" s="86" t="s">
        <v>16</v>
      </c>
      <c r="B71" s="87"/>
      <c r="C71" s="88"/>
      <c r="D71" s="89"/>
      <c r="E71" s="131"/>
    </row>
    <row r="72" spans="1:5" ht="15" thickTop="1" x14ac:dyDescent="0.3">
      <c r="A72" s="70" t="s">
        <v>998</v>
      </c>
      <c r="B72" s="71"/>
      <c r="C72" s="72"/>
      <c r="D72" s="73"/>
      <c r="E72" s="129"/>
    </row>
    <row r="73" spans="1:5" x14ac:dyDescent="0.3">
      <c r="A73" s="74" t="s">
        <v>6</v>
      </c>
      <c r="B73" s="75"/>
      <c r="C73" s="76"/>
      <c r="D73" s="77"/>
      <c r="E73" s="130"/>
    </row>
    <row r="74" spans="1:5" x14ac:dyDescent="0.3">
      <c r="A74" s="74" t="s">
        <v>1000</v>
      </c>
      <c r="B74" s="75"/>
      <c r="C74" s="76"/>
      <c r="D74" s="77"/>
      <c r="E74" s="130"/>
    </row>
    <row r="75" spans="1:5" x14ac:dyDescent="0.3">
      <c r="A75" s="74" t="s">
        <v>999</v>
      </c>
      <c r="B75" s="75"/>
      <c r="C75" s="76"/>
      <c r="D75" s="77"/>
      <c r="E75" s="130"/>
    </row>
    <row r="76" spans="1:5" ht="15" thickBot="1" x14ac:dyDescent="0.35">
      <c r="A76" s="86" t="s">
        <v>16</v>
      </c>
      <c r="B76" s="87"/>
      <c r="C76" s="88"/>
      <c r="D76" s="89"/>
      <c r="E76" s="131"/>
    </row>
    <row r="77" spans="1:5" ht="15" thickTop="1" x14ac:dyDescent="0.3"/>
  </sheetData>
  <mergeCells count="22">
    <mergeCell ref="F2:F6"/>
    <mergeCell ref="E47:E51"/>
    <mergeCell ref="E52:E56"/>
    <mergeCell ref="E67:E71"/>
    <mergeCell ref="E57:E61"/>
    <mergeCell ref="E17:E2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61" priority="259" operator="containsText" text="Radio">
      <formula>NOT(ISERROR(SEARCH("Radio",I9)))</formula>
    </cfRule>
  </conditionalFormatting>
  <conditionalFormatting sqref="I9">
    <cfRule type="containsText" dxfId="160" priority="251" operator="containsText" text="fija">
      <formula>NOT(ISERROR(SEARCH("fija",I9)))</formula>
    </cfRule>
    <cfRule type="containsText" dxfId="159" priority="252" operator="containsText" text="domo">
      <formula>NOT(ISERROR(SEARCH("domo",I9)))</formula>
    </cfRule>
  </conditionalFormatting>
  <conditionalFormatting sqref="J9">
    <cfRule type="cellIs" dxfId="158" priority="250" operator="equal">
      <formula>"PTP A FO"</formula>
    </cfRule>
  </conditionalFormatting>
  <conditionalFormatting sqref="L20">
    <cfRule type="containsText" dxfId="157" priority="217" operator="containsText" text="Radio">
      <formula>NOT(ISERROR(SEARCH("Radio",L20)))</formula>
    </cfRule>
  </conditionalFormatting>
  <conditionalFormatting sqref="I20:K20">
    <cfRule type="containsText" dxfId="156" priority="207" operator="containsText" text="Radio">
      <formula>NOT(ISERROR(SEARCH("Radio",I20)))</formula>
    </cfRule>
  </conditionalFormatting>
  <conditionalFormatting sqref="I20">
    <cfRule type="containsText" dxfId="155" priority="205" operator="containsText" text="fija">
      <formula>NOT(ISERROR(SEARCH("fija",I20)))</formula>
    </cfRule>
    <cfRule type="containsText" dxfId="154" priority="206" operator="containsText" text="domo">
      <formula>NOT(ISERROR(SEARCH("domo",I20)))</formula>
    </cfRule>
  </conditionalFormatting>
  <conditionalFormatting sqref="J20">
    <cfRule type="cellIs" dxfId="153" priority="204" operator="equal">
      <formula>"PTP A FO"</formula>
    </cfRule>
  </conditionalFormatting>
  <conditionalFormatting sqref="I24:L27 L28">
    <cfRule type="containsText" dxfId="152" priority="179" operator="containsText" text="Radio">
      <formula>NOT(ISERROR(SEARCH("Radio",I24)))</formula>
    </cfRule>
  </conditionalFormatting>
  <conditionalFormatting sqref="I27">
    <cfRule type="containsText" dxfId="151" priority="177" operator="containsText" text="fija">
      <formula>NOT(ISERROR(SEARCH("fija",I27)))</formula>
    </cfRule>
    <cfRule type="containsText" dxfId="150" priority="178" operator="containsText" text="domo">
      <formula>NOT(ISERROR(SEARCH("domo",I27)))</formula>
    </cfRule>
  </conditionalFormatting>
  <conditionalFormatting sqref="J27">
    <cfRule type="cellIs" dxfId="149" priority="176" operator="equal">
      <formula>"PTP A FO"</formula>
    </cfRule>
  </conditionalFormatting>
  <conditionalFormatting sqref="I24">
    <cfRule type="containsText" dxfId="148" priority="174" operator="containsText" text="fija">
      <formula>NOT(ISERROR(SEARCH("fija",I24)))</formula>
    </cfRule>
    <cfRule type="containsText" dxfId="147" priority="175" operator="containsText" text="domo">
      <formula>NOT(ISERROR(SEARCH("domo",I24)))</formula>
    </cfRule>
  </conditionalFormatting>
  <conditionalFormatting sqref="J24">
    <cfRule type="cellIs" dxfId="146" priority="173" operator="equal">
      <formula>"PTP A FO"</formula>
    </cfRule>
  </conditionalFormatting>
  <conditionalFormatting sqref="I25:I26">
    <cfRule type="containsText" dxfId="145" priority="171" operator="containsText" text="fija">
      <formula>NOT(ISERROR(SEARCH("fija",I25)))</formula>
    </cfRule>
    <cfRule type="containsText" dxfId="144" priority="172" operator="containsText" text="domo">
      <formula>NOT(ISERROR(SEARCH("domo",I25)))</formula>
    </cfRule>
  </conditionalFormatting>
  <conditionalFormatting sqref="J25:J26">
    <cfRule type="cellIs" dxfId="143" priority="170" operator="equal">
      <formula>"PTP A FO"</formula>
    </cfRule>
  </conditionalFormatting>
  <conditionalFormatting sqref="I28:K28">
    <cfRule type="containsText" dxfId="142" priority="169" operator="containsText" text="Radio">
      <formula>NOT(ISERROR(SEARCH("Radio",I28)))</formula>
    </cfRule>
  </conditionalFormatting>
  <conditionalFormatting sqref="I28">
    <cfRule type="containsText" dxfId="141" priority="167" operator="containsText" text="fija">
      <formula>NOT(ISERROR(SEARCH("fija",I28)))</formula>
    </cfRule>
    <cfRule type="containsText" dxfId="140" priority="168" operator="containsText" text="domo">
      <formula>NOT(ISERROR(SEARCH("domo",I28)))</formula>
    </cfRule>
  </conditionalFormatting>
  <conditionalFormatting sqref="J28">
    <cfRule type="cellIs" dxfId="139" priority="166" operator="equal">
      <formula>"PTP A FO"</formula>
    </cfRule>
  </conditionalFormatting>
  <conditionalFormatting sqref="I32:L32 I34:L34">
    <cfRule type="containsText" dxfId="138" priority="165" operator="containsText" text="Radio">
      <formula>NOT(ISERROR(SEARCH("Radio",I32)))</formula>
    </cfRule>
  </conditionalFormatting>
  <conditionalFormatting sqref="I32 I34">
    <cfRule type="containsText" dxfId="137" priority="163" operator="containsText" text="fija">
      <formula>NOT(ISERROR(SEARCH("fija",I32)))</formula>
    </cfRule>
    <cfRule type="containsText" dxfId="136" priority="164" operator="containsText" text="domo">
      <formula>NOT(ISERROR(SEARCH("domo",I32)))</formula>
    </cfRule>
  </conditionalFormatting>
  <conditionalFormatting sqref="J32 L34 J34">
    <cfRule type="cellIs" dxfId="135" priority="162" operator="equal">
      <formula>"PTP A FO"</formula>
    </cfRule>
  </conditionalFormatting>
  <conditionalFormatting sqref="I33:L33">
    <cfRule type="containsText" dxfId="134" priority="161" operator="containsText" text="Radio">
      <formula>NOT(ISERROR(SEARCH("Radio",I33)))</formula>
    </cfRule>
  </conditionalFormatting>
  <conditionalFormatting sqref="I33">
    <cfRule type="containsText" dxfId="133" priority="159" operator="containsText" text="fija">
      <formula>NOT(ISERROR(SEARCH("fija",I33)))</formula>
    </cfRule>
    <cfRule type="containsText" dxfId="132" priority="160" operator="containsText" text="domo">
      <formula>NOT(ISERROR(SEARCH("domo",I33)))</formula>
    </cfRule>
  </conditionalFormatting>
  <conditionalFormatting sqref="J33">
    <cfRule type="cellIs" dxfId="131" priority="158" operator="equal">
      <formula>"PTP A FO"</formula>
    </cfRule>
  </conditionalFormatting>
  <conditionalFormatting sqref="L35">
    <cfRule type="containsText" dxfId="130" priority="157" operator="containsText" text="Radio">
      <formula>NOT(ISERROR(SEARCH("Radio",L35)))</formula>
    </cfRule>
  </conditionalFormatting>
  <conditionalFormatting sqref="L35">
    <cfRule type="cellIs" dxfId="129" priority="156" operator="equal">
      <formula>"PTP A FO"</formula>
    </cfRule>
  </conditionalFormatting>
  <conditionalFormatting sqref="I35:K35">
    <cfRule type="containsText" dxfId="128" priority="155" operator="containsText" text="Radio">
      <formula>NOT(ISERROR(SEARCH("Radio",I35)))</formula>
    </cfRule>
  </conditionalFormatting>
  <conditionalFormatting sqref="I35">
    <cfRule type="containsText" dxfId="127" priority="153" operator="containsText" text="fija">
      <formula>NOT(ISERROR(SEARCH("fija",I35)))</formula>
    </cfRule>
    <cfRule type="containsText" dxfId="126" priority="154" operator="containsText" text="domo">
      <formula>NOT(ISERROR(SEARCH("domo",I35)))</formula>
    </cfRule>
  </conditionalFormatting>
  <conditionalFormatting sqref="J35">
    <cfRule type="cellIs" dxfId="125" priority="152" operator="equal">
      <formula>"PTP A FO"</formula>
    </cfRule>
  </conditionalFormatting>
  <conditionalFormatting sqref="I36:L37">
    <cfRule type="containsText" dxfId="124" priority="151" operator="containsText" text="Radio">
      <formula>NOT(ISERROR(SEARCH("Radio",I36)))</formula>
    </cfRule>
  </conditionalFormatting>
  <conditionalFormatting sqref="I36:I37">
    <cfRule type="containsText" dxfId="123" priority="149" operator="containsText" text="fija">
      <formula>NOT(ISERROR(SEARCH("fija",I36)))</formula>
    </cfRule>
    <cfRule type="containsText" dxfId="122" priority="150" operator="containsText" text="domo">
      <formula>NOT(ISERROR(SEARCH("domo",I36)))</formula>
    </cfRule>
  </conditionalFormatting>
  <conditionalFormatting sqref="J36:J37">
    <cfRule type="cellIs" dxfId="121" priority="148" operator="equal">
      <formula>"PTP A FO"</formula>
    </cfRule>
  </conditionalFormatting>
  <conditionalFormatting sqref="I38:L38">
    <cfRule type="containsText" dxfId="120" priority="147" operator="containsText" text="Radio">
      <formula>NOT(ISERROR(SEARCH("Radio",I38)))</formula>
    </cfRule>
  </conditionalFormatting>
  <conditionalFormatting sqref="I38">
    <cfRule type="containsText" dxfId="119" priority="145" operator="containsText" text="fija">
      <formula>NOT(ISERROR(SEARCH("fija",I38)))</formula>
    </cfRule>
    <cfRule type="containsText" dxfId="118" priority="146" operator="containsText" text="domo">
      <formula>NOT(ISERROR(SEARCH("domo",I38)))</formula>
    </cfRule>
  </conditionalFormatting>
  <conditionalFormatting sqref="J38">
    <cfRule type="cellIs" dxfId="117" priority="144" operator="equal">
      <formula>"PTP A FO"</formula>
    </cfRule>
  </conditionalFormatting>
  <conditionalFormatting sqref="I40:L43 L44">
    <cfRule type="containsText" dxfId="116" priority="113" operator="containsText" text="Radio">
      <formula>NOT(ISERROR(SEARCH("Radio",I40)))</formula>
    </cfRule>
  </conditionalFormatting>
  <conditionalFormatting sqref="I43">
    <cfRule type="containsText" dxfId="115" priority="111" operator="containsText" text="fija">
      <formula>NOT(ISERROR(SEARCH("fija",I43)))</formula>
    </cfRule>
    <cfRule type="containsText" dxfId="114" priority="112" operator="containsText" text="domo">
      <formula>NOT(ISERROR(SEARCH("domo",I43)))</formula>
    </cfRule>
  </conditionalFormatting>
  <conditionalFormatting sqref="J43">
    <cfRule type="cellIs" dxfId="113" priority="110" operator="equal">
      <formula>"PTP A FO"</formula>
    </cfRule>
  </conditionalFormatting>
  <conditionalFormatting sqref="I40">
    <cfRule type="containsText" dxfId="112" priority="108" operator="containsText" text="fija">
      <formula>NOT(ISERROR(SEARCH("fija",I40)))</formula>
    </cfRule>
    <cfRule type="containsText" dxfId="111" priority="109" operator="containsText" text="domo">
      <formula>NOT(ISERROR(SEARCH("domo",I40)))</formula>
    </cfRule>
  </conditionalFormatting>
  <conditionalFormatting sqref="J40">
    <cfRule type="cellIs" dxfId="110" priority="107" operator="equal">
      <formula>"PTP A FO"</formula>
    </cfRule>
  </conditionalFormatting>
  <conditionalFormatting sqref="I41:I42">
    <cfRule type="containsText" dxfId="109" priority="105" operator="containsText" text="fija">
      <formula>NOT(ISERROR(SEARCH("fija",I41)))</formula>
    </cfRule>
    <cfRule type="containsText" dxfId="108" priority="106" operator="containsText" text="domo">
      <formula>NOT(ISERROR(SEARCH("domo",I41)))</formula>
    </cfRule>
  </conditionalFormatting>
  <conditionalFormatting sqref="J41:J42">
    <cfRule type="cellIs" dxfId="107" priority="104" operator="equal">
      <formula>"PTP A FO"</formula>
    </cfRule>
  </conditionalFormatting>
  <conditionalFormatting sqref="I44:K44">
    <cfRule type="containsText" dxfId="106" priority="103" operator="containsText" text="Radio">
      <formula>NOT(ISERROR(SEARCH("Radio",I44)))</formula>
    </cfRule>
  </conditionalFormatting>
  <conditionalFormatting sqref="I44">
    <cfRule type="containsText" dxfId="105" priority="101" operator="containsText" text="fija">
      <formula>NOT(ISERROR(SEARCH("fija",I44)))</formula>
    </cfRule>
    <cfRule type="containsText" dxfId="104" priority="102" operator="containsText" text="domo">
      <formula>NOT(ISERROR(SEARCH("domo",I44)))</formula>
    </cfRule>
  </conditionalFormatting>
  <conditionalFormatting sqref="J44">
    <cfRule type="cellIs" dxfId="103" priority="100" operator="equal">
      <formula>"PTP A FO"</formula>
    </cfRule>
  </conditionalFormatting>
  <conditionalFormatting sqref="I47:L49">
    <cfRule type="containsText" dxfId="102" priority="99" operator="containsText" text="Radio">
      <formula>NOT(ISERROR(SEARCH("Radio",I47)))</formula>
    </cfRule>
  </conditionalFormatting>
  <conditionalFormatting sqref="I47">
    <cfRule type="containsText" dxfId="101" priority="97" operator="containsText" text="fija">
      <formula>NOT(ISERROR(SEARCH("fija",I47)))</formula>
    </cfRule>
    <cfRule type="containsText" dxfId="100" priority="98" operator="containsText" text="domo">
      <formula>NOT(ISERROR(SEARCH("domo",I47)))</formula>
    </cfRule>
  </conditionalFormatting>
  <conditionalFormatting sqref="J47">
    <cfRule type="cellIs" dxfId="99" priority="96" operator="equal">
      <formula>"PTP A FO"</formula>
    </cfRule>
  </conditionalFormatting>
  <conditionalFormatting sqref="I48">
    <cfRule type="containsText" dxfId="98" priority="94" operator="containsText" text="fija">
      <formula>NOT(ISERROR(SEARCH("fija",I48)))</formula>
    </cfRule>
    <cfRule type="containsText" dxfId="97" priority="95" operator="containsText" text="domo">
      <formula>NOT(ISERROR(SEARCH("domo",I48)))</formula>
    </cfRule>
  </conditionalFormatting>
  <conditionalFormatting sqref="J48">
    <cfRule type="cellIs" dxfId="96" priority="93" operator="equal">
      <formula>"PTP A FO"</formula>
    </cfRule>
  </conditionalFormatting>
  <conditionalFormatting sqref="I49">
    <cfRule type="containsText" dxfId="95" priority="91" operator="containsText" text="fija">
      <formula>NOT(ISERROR(SEARCH("fija",I49)))</formula>
    </cfRule>
    <cfRule type="containsText" dxfId="94" priority="92" operator="containsText" text="domo">
      <formula>NOT(ISERROR(SEARCH("domo",I49)))</formula>
    </cfRule>
  </conditionalFormatting>
  <conditionalFormatting sqref="J49">
    <cfRule type="cellIs" dxfId="93" priority="90" operator="equal">
      <formula>"PTP A FO"</formula>
    </cfRule>
  </conditionalFormatting>
  <conditionalFormatting sqref="I50:L50">
    <cfRule type="containsText" dxfId="92" priority="89" operator="containsText" text="Radio">
      <formula>NOT(ISERROR(SEARCH("Radio",I50)))</formula>
    </cfRule>
  </conditionalFormatting>
  <conditionalFormatting sqref="I50">
    <cfRule type="containsText" dxfId="91" priority="87" operator="containsText" text="fija">
      <formula>NOT(ISERROR(SEARCH("fija",I50)))</formula>
    </cfRule>
    <cfRule type="containsText" dxfId="90" priority="88" operator="containsText" text="domo">
      <formula>NOT(ISERROR(SEARCH("domo",I50)))</formula>
    </cfRule>
  </conditionalFormatting>
  <conditionalFormatting sqref="J50">
    <cfRule type="cellIs" dxfId="89" priority="86" operator="equal">
      <formula>"PTP A FO"</formula>
    </cfRule>
  </conditionalFormatting>
  <conditionalFormatting sqref="L51">
    <cfRule type="containsText" dxfId="88" priority="85" operator="containsText" text="Radio">
      <formula>NOT(ISERROR(SEARCH("Radio",L51)))</formula>
    </cfRule>
  </conditionalFormatting>
  <conditionalFormatting sqref="L51">
    <cfRule type="cellIs" dxfId="87" priority="84" operator="equal">
      <formula>"PTP A FO"</formula>
    </cfRule>
  </conditionalFormatting>
  <conditionalFormatting sqref="I51:K51">
    <cfRule type="containsText" dxfId="86" priority="83" operator="containsText" text="Radio">
      <formula>NOT(ISERROR(SEARCH("Radio",I51)))</formula>
    </cfRule>
  </conditionalFormatting>
  <conditionalFormatting sqref="I51">
    <cfRule type="containsText" dxfId="85" priority="81" operator="containsText" text="fija">
      <formula>NOT(ISERROR(SEARCH("fija",I51)))</formula>
    </cfRule>
    <cfRule type="containsText" dxfId="84" priority="82" operator="containsText" text="domo">
      <formula>NOT(ISERROR(SEARCH("domo",I51)))</formula>
    </cfRule>
  </conditionalFormatting>
  <conditionalFormatting sqref="J51">
    <cfRule type="cellIs" dxfId="83" priority="80" operator="equal">
      <formula>"PTP A FO"</formula>
    </cfRule>
  </conditionalFormatting>
  <conditionalFormatting sqref="I52:L53">
    <cfRule type="containsText" dxfId="82" priority="79" operator="containsText" text="Radio">
      <formula>NOT(ISERROR(SEARCH("Radio",I52)))</formula>
    </cfRule>
  </conditionalFormatting>
  <conditionalFormatting sqref="I52:I53">
    <cfRule type="containsText" dxfId="81" priority="77" operator="containsText" text="fija">
      <formula>NOT(ISERROR(SEARCH("fija",I52)))</formula>
    </cfRule>
    <cfRule type="containsText" dxfId="80" priority="78" operator="containsText" text="domo">
      <formula>NOT(ISERROR(SEARCH("domo",I52)))</formula>
    </cfRule>
  </conditionalFormatting>
  <conditionalFormatting sqref="J52:J53">
    <cfRule type="cellIs" dxfId="79" priority="76" operator="equal">
      <formula>"PTP A FO"</formula>
    </cfRule>
  </conditionalFormatting>
  <conditionalFormatting sqref="I3:L3">
    <cfRule type="containsText" dxfId="78" priority="75" operator="containsText" text="Radio">
      <formula>NOT(ISERROR(SEARCH("Radio",I3)))</formula>
    </cfRule>
  </conditionalFormatting>
  <conditionalFormatting sqref="I3">
    <cfRule type="containsText" dxfId="77" priority="73" operator="containsText" text="fija">
      <formula>NOT(ISERROR(SEARCH("fija",I3)))</formula>
    </cfRule>
    <cfRule type="containsText" dxfId="76" priority="74" operator="containsText" text="domo">
      <formula>NOT(ISERROR(SEARCH("domo",I3)))</formula>
    </cfRule>
  </conditionalFormatting>
  <conditionalFormatting sqref="J3">
    <cfRule type="cellIs" dxfId="75" priority="72" operator="equal">
      <formula>"PTP A FO"</formula>
    </cfRule>
  </conditionalFormatting>
  <conditionalFormatting sqref="I4:L4">
    <cfRule type="containsText" dxfId="74" priority="71" operator="containsText" text="Radio">
      <formula>NOT(ISERROR(SEARCH("Radio",I4)))</formula>
    </cfRule>
  </conditionalFormatting>
  <conditionalFormatting sqref="I4">
    <cfRule type="containsText" dxfId="73" priority="69" operator="containsText" text="fija">
      <formula>NOT(ISERROR(SEARCH("fija",I4)))</formula>
    </cfRule>
    <cfRule type="containsText" dxfId="72" priority="70" operator="containsText" text="domo">
      <formula>NOT(ISERROR(SEARCH("domo",I4)))</formula>
    </cfRule>
  </conditionalFormatting>
  <conditionalFormatting sqref="J4">
    <cfRule type="cellIs" dxfId="71" priority="68" operator="equal">
      <formula>"PTP A FO"</formula>
    </cfRule>
  </conditionalFormatting>
  <conditionalFormatting sqref="I5:L5">
    <cfRule type="containsText" dxfId="70" priority="67" operator="containsText" text="Radio">
      <formula>NOT(ISERROR(SEARCH("Radio",I5)))</formula>
    </cfRule>
  </conditionalFormatting>
  <conditionalFormatting sqref="I5">
    <cfRule type="containsText" dxfId="69" priority="65" operator="containsText" text="fija">
      <formula>NOT(ISERROR(SEARCH("fija",I5)))</formula>
    </cfRule>
    <cfRule type="containsText" dxfId="68" priority="66" operator="containsText" text="domo">
      <formula>NOT(ISERROR(SEARCH("domo",I5)))</formula>
    </cfRule>
  </conditionalFormatting>
  <conditionalFormatting sqref="J5">
    <cfRule type="cellIs" dxfId="67" priority="64" operator="equal">
      <formula>"PTP A FO"</formula>
    </cfRule>
  </conditionalFormatting>
  <conditionalFormatting sqref="L6">
    <cfRule type="containsText" dxfId="66" priority="63" operator="containsText" text="Radio">
      <formula>NOT(ISERROR(SEARCH("Radio",L6)))</formula>
    </cfRule>
  </conditionalFormatting>
  <conditionalFormatting sqref="L6">
    <cfRule type="cellIs" dxfId="65" priority="62" operator="equal">
      <formula>"PTP A FO"</formula>
    </cfRule>
  </conditionalFormatting>
  <conditionalFormatting sqref="I6:K6">
    <cfRule type="containsText" dxfId="64" priority="61" operator="containsText" text="Radio">
      <formula>NOT(ISERROR(SEARCH("Radio",I6)))</formula>
    </cfRule>
  </conditionalFormatting>
  <conditionalFormatting sqref="I6">
    <cfRule type="containsText" dxfId="63" priority="59" operator="containsText" text="fija">
      <formula>NOT(ISERROR(SEARCH("fija",I6)))</formula>
    </cfRule>
    <cfRule type="containsText" dxfId="62" priority="60" operator="containsText" text="domo">
      <formula>NOT(ISERROR(SEARCH("domo",I6)))</formula>
    </cfRule>
  </conditionalFormatting>
  <conditionalFormatting sqref="J6">
    <cfRule type="cellIs" dxfId="61" priority="58" operator="equal">
      <formula>"PTP A FO"</formula>
    </cfRule>
  </conditionalFormatting>
  <conditionalFormatting sqref="I7:L8">
    <cfRule type="containsText" dxfId="60" priority="57" operator="containsText" text="Radio">
      <formula>NOT(ISERROR(SEARCH("Radio",I7)))</formula>
    </cfRule>
  </conditionalFormatting>
  <conditionalFormatting sqref="I7:I8">
    <cfRule type="containsText" dxfId="59" priority="55" operator="containsText" text="fija">
      <formula>NOT(ISERROR(SEARCH("fija",I7)))</formula>
    </cfRule>
    <cfRule type="containsText" dxfId="58" priority="56" operator="containsText" text="domo">
      <formula>NOT(ISERROR(SEARCH("domo",I7)))</formula>
    </cfRule>
  </conditionalFormatting>
  <conditionalFormatting sqref="J7:J8">
    <cfRule type="cellIs" dxfId="57" priority="54" operator="equal">
      <formula>"PTP A FO"</formula>
    </cfRule>
  </conditionalFormatting>
  <conditionalFormatting sqref="I10:L13 L14">
    <cfRule type="containsText" dxfId="56" priority="31" operator="containsText" text="Radio">
      <formula>NOT(ISERROR(SEARCH("Radio",I10)))</formula>
    </cfRule>
  </conditionalFormatting>
  <conditionalFormatting sqref="I13">
    <cfRule type="containsText" dxfId="55" priority="29" operator="containsText" text="fija">
      <formula>NOT(ISERROR(SEARCH("fija",I13)))</formula>
    </cfRule>
    <cfRule type="containsText" dxfId="54" priority="30" operator="containsText" text="domo">
      <formula>NOT(ISERROR(SEARCH("domo",I13)))</formula>
    </cfRule>
  </conditionalFormatting>
  <conditionalFormatting sqref="J13">
    <cfRule type="cellIs" dxfId="53" priority="28" operator="equal">
      <formula>"PTP A FO"</formula>
    </cfRule>
  </conditionalFormatting>
  <conditionalFormatting sqref="I10">
    <cfRule type="containsText" dxfId="52" priority="26" operator="containsText" text="fija">
      <formula>NOT(ISERROR(SEARCH("fija",I10)))</formula>
    </cfRule>
    <cfRule type="containsText" dxfId="51" priority="27" operator="containsText" text="domo">
      <formula>NOT(ISERROR(SEARCH("domo",I10)))</formula>
    </cfRule>
  </conditionalFormatting>
  <conditionalFormatting sqref="J10">
    <cfRule type="cellIs" dxfId="50" priority="25" operator="equal">
      <formula>"PTP A FO"</formula>
    </cfRule>
  </conditionalFormatting>
  <conditionalFormatting sqref="I11:I12">
    <cfRule type="containsText" dxfId="49" priority="23" operator="containsText" text="fija">
      <formula>NOT(ISERROR(SEARCH("fija",I11)))</formula>
    </cfRule>
    <cfRule type="containsText" dxfId="48" priority="24" operator="containsText" text="domo">
      <formula>NOT(ISERROR(SEARCH("domo",I11)))</formula>
    </cfRule>
  </conditionalFormatting>
  <conditionalFormatting sqref="J11:J12">
    <cfRule type="cellIs" dxfId="47" priority="22" operator="equal">
      <formula>"PTP A FO"</formula>
    </cfRule>
  </conditionalFormatting>
  <conditionalFormatting sqref="I14:K14">
    <cfRule type="containsText" dxfId="46" priority="21" operator="containsText" text="Radio">
      <formula>NOT(ISERROR(SEARCH("Radio",I14)))</formula>
    </cfRule>
  </conditionalFormatting>
  <conditionalFormatting sqref="I14">
    <cfRule type="containsText" dxfId="45" priority="19" operator="containsText" text="fija">
      <formula>NOT(ISERROR(SEARCH("fija",I14)))</formula>
    </cfRule>
    <cfRule type="containsText" dxfId="44" priority="20" operator="containsText" text="domo">
      <formula>NOT(ISERROR(SEARCH("domo",I14)))</formula>
    </cfRule>
  </conditionalFormatting>
  <conditionalFormatting sqref="J14">
    <cfRule type="cellIs" dxfId="43" priority="18" operator="equal">
      <formula>"PTP A FO"</formula>
    </cfRule>
  </conditionalFormatting>
  <conditionalFormatting sqref="I16:L16">
    <cfRule type="containsText" dxfId="42" priority="17" operator="containsText" text="Radio">
      <formula>NOT(ISERROR(SEARCH("Radio",I16)))</formula>
    </cfRule>
  </conditionalFormatting>
  <conditionalFormatting sqref="I16">
    <cfRule type="containsText" dxfId="41" priority="15" operator="containsText" text="fija">
      <formula>NOT(ISERROR(SEARCH("fija",I16)))</formula>
    </cfRule>
    <cfRule type="containsText" dxfId="40" priority="16" operator="containsText" text="domo">
      <formula>NOT(ISERROR(SEARCH("domo",I16)))</formula>
    </cfRule>
  </conditionalFormatting>
  <conditionalFormatting sqref="J16">
    <cfRule type="cellIs" dxfId="39" priority="14" operator="equal">
      <formula>"PTP A FO"</formula>
    </cfRule>
  </conditionalFormatting>
  <conditionalFormatting sqref="I17:L17">
    <cfRule type="containsText" dxfId="38" priority="13" operator="containsText" text="Radio">
      <formula>NOT(ISERROR(SEARCH("Radio",I17)))</formula>
    </cfRule>
  </conditionalFormatting>
  <conditionalFormatting sqref="I17">
    <cfRule type="containsText" dxfId="37" priority="11" operator="containsText" text="fija">
      <formula>NOT(ISERROR(SEARCH("fija",I17)))</formula>
    </cfRule>
    <cfRule type="containsText" dxfId="36" priority="12" operator="containsText" text="domo">
      <formula>NOT(ISERROR(SEARCH("domo",I17)))</formula>
    </cfRule>
  </conditionalFormatting>
  <conditionalFormatting sqref="J17">
    <cfRule type="cellIs" dxfId="35" priority="10" operator="equal">
      <formula>"PTP A FO"</formula>
    </cfRule>
  </conditionalFormatting>
  <conditionalFormatting sqref="L18">
    <cfRule type="containsText" dxfId="34" priority="9" operator="containsText" text="Radio">
      <formula>NOT(ISERROR(SEARCH("Radio",L18)))</formula>
    </cfRule>
  </conditionalFormatting>
  <conditionalFormatting sqref="I18:K18">
    <cfRule type="containsText" dxfId="33" priority="8" operator="containsText" text="Radio">
      <formula>NOT(ISERROR(SEARCH("Radio",I18)))</formula>
    </cfRule>
  </conditionalFormatting>
  <conditionalFormatting sqref="I18">
    <cfRule type="containsText" dxfId="32" priority="6" operator="containsText" text="fija">
      <formula>NOT(ISERROR(SEARCH("fija",I18)))</formula>
    </cfRule>
    <cfRule type="containsText" dxfId="31" priority="7" operator="containsText" text="domo">
      <formula>NOT(ISERROR(SEARCH("domo",I18)))</formula>
    </cfRule>
  </conditionalFormatting>
  <conditionalFormatting sqref="J18">
    <cfRule type="cellIs" dxfId="30" priority="5" operator="equal">
      <formula>"PTP A FO"</formula>
    </cfRule>
  </conditionalFormatting>
  <conditionalFormatting sqref="I19:L19">
    <cfRule type="containsText" dxfId="29" priority="4" operator="containsText" text="Radio">
      <formula>NOT(ISERROR(SEARCH("Radio",I19)))</formula>
    </cfRule>
  </conditionalFormatting>
  <conditionalFormatting sqref="I19">
    <cfRule type="containsText" dxfId="28" priority="2" operator="containsText" text="fija">
      <formula>NOT(ISERROR(SEARCH("fija",I19)))</formula>
    </cfRule>
    <cfRule type="containsText" dxfId="27" priority="3" operator="containsText" text="domo">
      <formula>NOT(ISERROR(SEARCH("domo",I19)))</formula>
    </cfRule>
  </conditionalFormatting>
  <conditionalFormatting sqref="J19">
    <cfRule type="cellIs" dxfId="26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:D7"/>
    </sheetView>
  </sheetViews>
  <sheetFormatPr baseColWidth="10" defaultRowHeight="14.4" x14ac:dyDescent="0.3"/>
  <sheetData>
    <row r="2" spans="2:4" ht="15" thickBot="1" x14ac:dyDescent="0.35"/>
    <row r="3" spans="2:4" ht="15.6" thickTop="1" thickBot="1" x14ac:dyDescent="0.35">
      <c r="B3" s="53"/>
      <c r="C3" s="57" t="s">
        <v>1167</v>
      </c>
      <c r="D3" s="48">
        <v>44914</v>
      </c>
    </row>
    <row r="4" spans="2:4" ht="15" thickTop="1" x14ac:dyDescent="0.3">
      <c r="B4" s="65" t="s">
        <v>1158</v>
      </c>
      <c r="C4" s="54">
        <f>COUNTIFS('RESUMEN TOTAL'!C5:C504,"=BONOMO")</f>
        <v>228</v>
      </c>
      <c r="D4" s="61">
        <v>23</v>
      </c>
    </row>
    <row r="5" spans="2:4" ht="15" thickBot="1" x14ac:dyDescent="0.35">
      <c r="B5" s="55"/>
      <c r="C5" s="56"/>
      <c r="D5" s="68">
        <v>0.10087719298245613</v>
      </c>
    </row>
    <row r="6" spans="2:4" ht="15" thickTop="1" x14ac:dyDescent="0.3">
      <c r="B6" s="64" t="s">
        <v>1159</v>
      </c>
      <c r="C6" s="54">
        <f>COUNTIFS('RESUMEN TOTAL'!C5:C504,"=COSEIDI")</f>
        <v>207</v>
      </c>
      <c r="D6" s="63">
        <v>15</v>
      </c>
    </row>
    <row r="7" spans="2:4" ht="15" thickBot="1" x14ac:dyDescent="0.35">
      <c r="B7" s="55"/>
      <c r="C7" s="56"/>
      <c r="D7" s="67">
        <v>7.2463768115942032E-2</v>
      </c>
    </row>
    <row r="8" spans="2:4" ht="15" thickTop="1" x14ac:dyDescent="0.3"/>
  </sheetData>
  <conditionalFormatting sqref="D5">
    <cfRule type="cellIs" dxfId="25" priority="3" operator="greaterThan">
      <formula>0.1</formula>
    </cfRule>
    <cfRule type="cellIs" dxfId="24" priority="4" operator="greaterThan">
      <formula>10</formula>
    </cfRule>
  </conditionalFormatting>
  <conditionalFormatting sqref="D7">
    <cfRule type="cellIs" dxfId="23" priority="1" operator="greaterThan">
      <formula>0.1</formula>
    </cfRule>
    <cfRule type="cellIs" dxfId="22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24" sqref="E24"/>
    </sheetView>
  </sheetViews>
  <sheetFormatPr baseColWidth="10" defaultRowHeight="14.4" x14ac:dyDescent="0.3"/>
  <cols>
    <col min="5" max="5" width="15.6640625" bestFit="1" customWidth="1"/>
    <col min="7" max="7" width="11.5546875" style="42"/>
  </cols>
  <sheetData>
    <row r="1" spans="1:7" x14ac:dyDescent="0.3">
      <c r="A1" t="s">
        <v>619</v>
      </c>
      <c r="B1" t="s">
        <v>16</v>
      </c>
      <c r="C1" t="s">
        <v>620</v>
      </c>
      <c r="D1" t="s">
        <v>980</v>
      </c>
      <c r="E1" t="s">
        <v>622</v>
      </c>
      <c r="F1" t="s">
        <v>621</v>
      </c>
      <c r="G1" s="42" t="s">
        <v>997</v>
      </c>
    </row>
    <row r="2" spans="1:7" x14ac:dyDescent="0.3">
      <c r="A2" s="18">
        <f>'APAGADOS RADIO'!F3</f>
        <v>44896</v>
      </c>
      <c r="B2">
        <f>'APAGADOS RADIO'!F2+D2</f>
        <v>35</v>
      </c>
      <c r="C2">
        <f>'APAGADOS FIBRA'!F2</f>
        <v>100</v>
      </c>
      <c r="D2">
        <f>'APAGADOS ANTENA'!F2</f>
        <v>11</v>
      </c>
      <c r="E2">
        <f t="shared" ref="E2" si="0">B2+C2</f>
        <v>135</v>
      </c>
      <c r="F2">
        <f>'RESUMEN TOTAL'!B1</f>
        <v>435</v>
      </c>
      <c r="G2" s="42">
        <f t="shared" ref="G2" si="1">E2/F2</f>
        <v>0.31034482758620691</v>
      </c>
    </row>
    <row r="3" spans="1:7" x14ac:dyDescent="0.3">
      <c r="A3" s="18">
        <f>'APAGADOS RADIO'!G3</f>
        <v>44897</v>
      </c>
      <c r="B3">
        <f>'APAGADOS RADIO'!G2+D3</f>
        <v>32</v>
      </c>
      <c r="C3">
        <f>'APAGADOS FIBRA'!G2</f>
        <v>81</v>
      </c>
      <c r="D3">
        <f>'APAGADOS ANTENA'!G2</f>
        <v>11</v>
      </c>
      <c r="E3">
        <f t="shared" ref="E3" si="2">B3+C3</f>
        <v>113</v>
      </c>
      <c r="F3">
        <f>'RESUMEN TOTAL'!B1</f>
        <v>435</v>
      </c>
      <c r="G3" s="42">
        <f t="shared" ref="G3" si="3">E3/F3</f>
        <v>0.25977011494252872</v>
      </c>
    </row>
    <row r="4" spans="1:7" x14ac:dyDescent="0.3">
      <c r="A4" s="18">
        <f>'APAGADOS RADIO'!H3</f>
        <v>44898</v>
      </c>
      <c r="B4">
        <f>'APAGADOS RADIO'!H2+D4</f>
        <v>32</v>
      </c>
      <c r="C4">
        <f>'APAGADOS FIBRA'!H2</f>
        <v>65</v>
      </c>
      <c r="D4">
        <f>'APAGADOS ANTENA'!H2</f>
        <v>9</v>
      </c>
      <c r="E4">
        <f t="shared" ref="E4:E6" si="4">B4+C4</f>
        <v>97</v>
      </c>
      <c r="F4">
        <f>'RESUMEN TOTAL'!B1</f>
        <v>435</v>
      </c>
      <c r="G4" s="42">
        <f t="shared" ref="G4:G6" si="5">E4/F4</f>
        <v>0.22298850574712645</v>
      </c>
    </row>
    <row r="5" spans="1:7" x14ac:dyDescent="0.3">
      <c r="A5" s="18">
        <f>'APAGADOS RADIO'!I3</f>
        <v>44899</v>
      </c>
      <c r="B5">
        <f>'APAGADOS RADIO'!I2+D5</f>
        <v>31</v>
      </c>
      <c r="C5">
        <f>'APAGADOS FIBRA'!I2</f>
        <v>64</v>
      </c>
      <c r="D5">
        <f>'APAGADOS ANTENA'!I2</f>
        <v>11</v>
      </c>
      <c r="E5">
        <f t="shared" si="4"/>
        <v>95</v>
      </c>
      <c r="F5">
        <f>'RESUMEN TOTAL'!B1</f>
        <v>435</v>
      </c>
      <c r="G5" s="42">
        <f t="shared" si="5"/>
        <v>0.21839080459770116</v>
      </c>
    </row>
    <row r="6" spans="1:7" x14ac:dyDescent="0.3">
      <c r="A6" s="18">
        <f>'APAGADOS RADIO'!J3</f>
        <v>44900</v>
      </c>
      <c r="B6">
        <f>'APAGADOS RADIO'!J2+D6</f>
        <v>28</v>
      </c>
      <c r="C6">
        <f>'APAGADOS FIBRA'!J2</f>
        <v>70</v>
      </c>
      <c r="D6">
        <f>'APAGADOS ANTENA'!J2</f>
        <v>12</v>
      </c>
      <c r="E6">
        <f t="shared" si="4"/>
        <v>98</v>
      </c>
      <c r="F6">
        <f>'RESUMEN TOTAL'!B1</f>
        <v>435</v>
      </c>
      <c r="G6" s="42">
        <f t="shared" si="5"/>
        <v>0.22528735632183908</v>
      </c>
    </row>
    <row r="7" spans="1:7" x14ac:dyDescent="0.3">
      <c r="A7" s="18">
        <f>'APAGADOS RADIO'!K3</f>
        <v>44901</v>
      </c>
      <c r="B7">
        <f>'APAGADOS RADIO'!K2+D7</f>
        <v>26</v>
      </c>
      <c r="C7">
        <f>'APAGADOS FIBRA'!K2</f>
        <v>55</v>
      </c>
      <c r="D7">
        <f>'APAGADOS ANTENA'!K2</f>
        <v>11</v>
      </c>
      <c r="E7">
        <f t="shared" ref="E7" si="6">B7+C7</f>
        <v>81</v>
      </c>
      <c r="F7">
        <f>'RESUMEN TOTAL'!B1</f>
        <v>435</v>
      </c>
      <c r="G7" s="42">
        <f t="shared" ref="G7" si="7">E7/F7</f>
        <v>0.18620689655172415</v>
      </c>
    </row>
    <row r="8" spans="1:7" x14ac:dyDescent="0.3">
      <c r="A8" s="18">
        <f>'APAGADOS RADIO'!L3</f>
        <v>44902</v>
      </c>
      <c r="B8">
        <f>'APAGADOS RADIO'!L2+D8</f>
        <v>23</v>
      </c>
      <c r="C8">
        <f>'APAGADOS FIBRA'!L2</f>
        <v>59</v>
      </c>
      <c r="D8">
        <f>'APAGADOS ANTENA'!L2</f>
        <v>11</v>
      </c>
      <c r="E8">
        <f t="shared" ref="E8:E14" si="8">B8+C8</f>
        <v>82</v>
      </c>
      <c r="F8">
        <f>'RESUMEN TOTAL'!B1</f>
        <v>435</v>
      </c>
      <c r="G8" s="42">
        <f t="shared" ref="G8:G14" si="9">E8/F8</f>
        <v>0.18850574712643678</v>
      </c>
    </row>
    <row r="9" spans="1:7" x14ac:dyDescent="0.3">
      <c r="A9" s="18">
        <f>'APAGADOS RADIO'!M3</f>
        <v>44903</v>
      </c>
      <c r="B9">
        <f>'APAGADOS RADIO'!M2+D9</f>
        <v>19</v>
      </c>
      <c r="C9">
        <f>'APAGADOS FIBRA'!M2</f>
        <v>63</v>
      </c>
      <c r="D9">
        <f>'APAGADOS ANTENA'!M2</f>
        <v>8</v>
      </c>
      <c r="E9">
        <f t="shared" si="8"/>
        <v>82</v>
      </c>
      <c r="F9">
        <f>'RESUMEN TOTAL'!B1</f>
        <v>435</v>
      </c>
      <c r="G9" s="42">
        <f t="shared" si="9"/>
        <v>0.18850574712643678</v>
      </c>
    </row>
    <row r="10" spans="1:7" x14ac:dyDescent="0.3">
      <c r="A10" s="18">
        <f>'APAGADOS RADIO'!N3</f>
        <v>44904</v>
      </c>
      <c r="B10">
        <f>'APAGADOS RADIO'!N2+D10</f>
        <v>19</v>
      </c>
      <c r="C10">
        <f>'APAGADOS FIBRA'!N2</f>
        <v>73</v>
      </c>
      <c r="D10">
        <f>'APAGADOS ANTENA'!N2</f>
        <v>9</v>
      </c>
      <c r="E10">
        <f t="shared" si="8"/>
        <v>92</v>
      </c>
      <c r="F10">
        <f>'RESUMEN TOTAL'!B1</f>
        <v>435</v>
      </c>
      <c r="G10" s="42">
        <f t="shared" si="9"/>
        <v>0.21149425287356322</v>
      </c>
    </row>
    <row r="11" spans="1:7" x14ac:dyDescent="0.3">
      <c r="A11" s="18">
        <f>'APAGADOS RADIO'!O3</f>
        <v>44905</v>
      </c>
      <c r="B11">
        <f>'APAGADOS RADIO'!O2+D11</f>
        <v>23</v>
      </c>
      <c r="C11">
        <f>'APAGADOS FIBRA'!O2</f>
        <v>76</v>
      </c>
      <c r="D11">
        <f>'APAGADOS ANTENA'!O2</f>
        <v>9</v>
      </c>
      <c r="E11">
        <f t="shared" si="8"/>
        <v>99</v>
      </c>
      <c r="F11">
        <f>'RESUMEN TOTAL'!B1</f>
        <v>435</v>
      </c>
      <c r="G11" s="42">
        <f t="shared" si="9"/>
        <v>0.22758620689655173</v>
      </c>
    </row>
    <row r="12" spans="1:7" x14ac:dyDescent="0.3">
      <c r="A12" s="18">
        <f>'APAGADOS RADIO'!P3</f>
        <v>44906</v>
      </c>
      <c r="B12">
        <f>'APAGADOS RADIO'!P2+D12</f>
        <v>21</v>
      </c>
      <c r="C12">
        <f>'APAGADOS FIBRA'!P2</f>
        <v>70</v>
      </c>
      <c r="D12">
        <f>'APAGADOS ANTENA'!P2</f>
        <v>9</v>
      </c>
      <c r="E12">
        <f t="shared" si="8"/>
        <v>91</v>
      </c>
      <c r="F12">
        <f>'RESUMEN TOTAL'!B1</f>
        <v>435</v>
      </c>
      <c r="G12" s="42">
        <f t="shared" si="9"/>
        <v>0.20919540229885059</v>
      </c>
    </row>
    <row r="13" spans="1:7" x14ac:dyDescent="0.3">
      <c r="A13" s="18">
        <f>'APAGADOS RADIO'!Q3</f>
        <v>44907</v>
      </c>
      <c r="B13">
        <f>'APAGADOS RADIO'!Q2+D13</f>
        <v>18</v>
      </c>
      <c r="C13">
        <f>'APAGADOS FIBRA'!Q2</f>
        <v>57</v>
      </c>
      <c r="D13">
        <f>'APAGADOS ANTENA'!Q2</f>
        <v>8</v>
      </c>
      <c r="E13">
        <f t="shared" si="8"/>
        <v>75</v>
      </c>
      <c r="F13">
        <f>'RESUMEN TOTAL'!B1</f>
        <v>435</v>
      </c>
      <c r="G13" s="42">
        <f t="shared" si="9"/>
        <v>0.17241379310344829</v>
      </c>
    </row>
    <row r="14" spans="1:7" x14ac:dyDescent="0.3">
      <c r="A14" s="18">
        <f>'APAGADOS RADIO'!R3</f>
        <v>44908</v>
      </c>
      <c r="B14">
        <f>'APAGADOS RADIO'!R2+D14</f>
        <v>17</v>
      </c>
      <c r="C14">
        <f>'APAGADOS FIBRA'!R2</f>
        <v>61</v>
      </c>
      <c r="D14">
        <f>'APAGADOS ANTENA'!R2</f>
        <v>7</v>
      </c>
      <c r="E14">
        <f t="shared" si="8"/>
        <v>78</v>
      </c>
      <c r="F14">
        <f>'RESUMEN TOTAL'!B1</f>
        <v>435</v>
      </c>
      <c r="G14" s="42">
        <f t="shared" si="9"/>
        <v>0.1793103448275862</v>
      </c>
    </row>
    <row r="15" spans="1:7" x14ac:dyDescent="0.3">
      <c r="A15" s="18">
        <f>'APAGADOS RADIO'!S3</f>
        <v>44909</v>
      </c>
      <c r="B15">
        <f>'APAGADOS RADIO'!S2+D15</f>
        <v>19</v>
      </c>
      <c r="C15">
        <f>'APAGADOS FIBRA'!S2</f>
        <v>63</v>
      </c>
      <c r="D15">
        <f>'APAGADOS ANTENA'!S2</f>
        <v>8</v>
      </c>
      <c r="E15">
        <f t="shared" ref="E15:E20" si="10">B15+C15</f>
        <v>82</v>
      </c>
      <c r="F15">
        <f>'RESUMEN TOTAL'!B1</f>
        <v>435</v>
      </c>
      <c r="G15" s="42">
        <f t="shared" ref="G15:G20" si="11">E15/F15</f>
        <v>0.18850574712643678</v>
      </c>
    </row>
    <row r="16" spans="1:7" x14ac:dyDescent="0.3">
      <c r="A16" s="18">
        <f>'APAGADOS RADIO'!T3</f>
        <v>44910</v>
      </c>
      <c r="B16">
        <f>'APAGADOS RADIO'!T2+D16</f>
        <v>23</v>
      </c>
      <c r="C16">
        <f>'APAGADOS FIBRA'!T2</f>
        <v>52</v>
      </c>
      <c r="D16">
        <f>'APAGADOS ANTENA'!T2</f>
        <v>10</v>
      </c>
      <c r="E16">
        <f t="shared" si="10"/>
        <v>75</v>
      </c>
      <c r="F16">
        <f>'RESUMEN TOTAL'!B1</f>
        <v>435</v>
      </c>
      <c r="G16" s="42">
        <f t="shared" si="11"/>
        <v>0.17241379310344829</v>
      </c>
    </row>
    <row r="17" spans="1:7" x14ac:dyDescent="0.3">
      <c r="A17" s="18">
        <f>'APAGADOS RADIO'!U3</f>
        <v>44911</v>
      </c>
      <c r="B17">
        <f>'APAGADOS RADIO'!U2+D17</f>
        <v>15</v>
      </c>
      <c r="C17">
        <f>'APAGADOS FIBRA'!U2</f>
        <v>36</v>
      </c>
      <c r="D17">
        <f>'APAGADOS ANTENA'!U2</f>
        <v>3</v>
      </c>
      <c r="E17">
        <f t="shared" si="10"/>
        <v>51</v>
      </c>
      <c r="F17">
        <f>'RESUMEN TOTAL'!B1</f>
        <v>435</v>
      </c>
      <c r="G17" s="42">
        <f t="shared" si="11"/>
        <v>0.11724137931034483</v>
      </c>
    </row>
    <row r="18" spans="1:7" x14ac:dyDescent="0.3">
      <c r="A18" s="18">
        <f>'APAGADOS RADIO'!V3</f>
        <v>44912</v>
      </c>
      <c r="B18">
        <f>'APAGADOS RADIO'!V2+D18</f>
        <v>18</v>
      </c>
      <c r="C18">
        <f>'APAGADOS FIBRA'!V2</f>
        <v>63</v>
      </c>
      <c r="D18">
        <f>'APAGADOS ANTENA'!V2</f>
        <v>2</v>
      </c>
      <c r="E18">
        <f t="shared" si="10"/>
        <v>81</v>
      </c>
      <c r="F18">
        <f>'RESUMEN TOTAL'!B1</f>
        <v>435</v>
      </c>
      <c r="G18" s="42">
        <f t="shared" si="11"/>
        <v>0.18620689655172415</v>
      </c>
    </row>
    <row r="19" spans="1:7" x14ac:dyDescent="0.3">
      <c r="A19" s="18">
        <f>'APAGADOS RADIO'!W3</f>
        <v>44913</v>
      </c>
      <c r="B19">
        <f>'APAGADOS RADIO'!W2+D19</f>
        <v>12</v>
      </c>
      <c r="C19">
        <f>'APAGADOS FIBRA'!W2</f>
        <v>33</v>
      </c>
      <c r="D19">
        <f>'APAGADOS ANTENA'!W2</f>
        <v>3</v>
      </c>
      <c r="E19">
        <f t="shared" si="10"/>
        <v>45</v>
      </c>
      <c r="F19">
        <f>'RESUMEN TOTAL'!B1</f>
        <v>435</v>
      </c>
      <c r="G19" s="42">
        <f t="shared" si="11"/>
        <v>0.10344827586206896</v>
      </c>
    </row>
    <row r="20" spans="1:7" x14ac:dyDescent="0.3">
      <c r="A20" s="18">
        <f>'APAGADOS RADIO'!X3</f>
        <v>44914</v>
      </c>
      <c r="B20">
        <f>'APAGADOS RADIO'!X2+D20</f>
        <v>11</v>
      </c>
      <c r="C20">
        <f>'APAGADOS FIBRA'!X2</f>
        <v>27</v>
      </c>
      <c r="D20">
        <f>'APAGADOS ANTENA'!X2</f>
        <v>2</v>
      </c>
      <c r="E20">
        <f t="shared" si="10"/>
        <v>38</v>
      </c>
      <c r="F20">
        <f>'RESUMEN TOTAL'!B1</f>
        <v>435</v>
      </c>
      <c r="G20" s="42">
        <f t="shared" si="11"/>
        <v>8.7356321839080459E-2</v>
      </c>
    </row>
    <row r="21" spans="1:7" x14ac:dyDescent="0.3">
      <c r="A21" s="18">
        <f>'APAGADOS RADIO'!Y3</f>
        <v>44915</v>
      </c>
    </row>
    <row r="22" spans="1:7" x14ac:dyDescent="0.3">
      <c r="A22" s="18">
        <f>'APAGADOS RADIO'!Z3</f>
        <v>44916</v>
      </c>
    </row>
    <row r="23" spans="1:7" x14ac:dyDescent="0.3">
      <c r="A23" s="18">
        <f>'APAGADOS RADIO'!AA3</f>
        <v>44917</v>
      </c>
    </row>
    <row r="24" spans="1:7" x14ac:dyDescent="0.3">
      <c r="A24" s="18">
        <f>'APAGADOS RADIO'!AB3</f>
        <v>44918</v>
      </c>
    </row>
    <row r="25" spans="1:7" x14ac:dyDescent="0.3">
      <c r="A25" s="18">
        <f>'APAGADOS RADIO'!AC3</f>
        <v>44919</v>
      </c>
    </row>
    <row r="26" spans="1:7" x14ac:dyDescent="0.3">
      <c r="A26" s="18">
        <f>'APAGADOS RADIO'!AD3</f>
        <v>44920</v>
      </c>
    </row>
    <row r="27" spans="1:7" x14ac:dyDescent="0.3">
      <c r="A27" s="18">
        <f>'APAGADOS RADIO'!AE3</f>
        <v>44921</v>
      </c>
    </row>
    <row r="28" spans="1:7" x14ac:dyDescent="0.3">
      <c r="A28" s="18">
        <f>'APAGADOS RADIO'!AF3</f>
        <v>44922</v>
      </c>
    </row>
    <row r="29" spans="1:7" x14ac:dyDescent="0.3">
      <c r="A29" s="18">
        <f>'APAGADOS RADIO'!AG3</f>
        <v>44923</v>
      </c>
    </row>
    <row r="30" spans="1:7" x14ac:dyDescent="0.3">
      <c r="A30" s="18">
        <f>'APAGADOS RADIO'!AH3</f>
        <v>44924</v>
      </c>
    </row>
    <row r="31" spans="1:7" x14ac:dyDescent="0.3">
      <c r="A31" s="18">
        <f>'APAGADOS RADIO'!AI3</f>
        <v>44925</v>
      </c>
    </row>
    <row r="32" spans="1:7" x14ac:dyDescent="0.3">
      <c r="A32" s="18"/>
    </row>
    <row r="33" spans="1:30" x14ac:dyDescent="0.3">
      <c r="A33" s="23"/>
      <c r="B33" s="23"/>
      <c r="C33" s="23"/>
      <c r="D33" s="23"/>
      <c r="E33" s="23"/>
      <c r="F33" s="23"/>
    </row>
    <row r="34" spans="1:30" x14ac:dyDescent="0.3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3">
      <c r="A36" s="14"/>
      <c r="B36" s="14"/>
      <c r="C36" s="14"/>
      <c r="D36" s="14"/>
      <c r="E36" s="14"/>
      <c r="F36" s="14"/>
    </row>
    <row r="37" spans="1:30" s="14" customFormat="1" x14ac:dyDescent="0.3">
      <c r="A37"/>
      <c r="B37"/>
      <c r="C37"/>
      <c r="D37"/>
      <c r="E37"/>
      <c r="F37"/>
      <c r="G37" s="42"/>
    </row>
    <row r="40" spans="1:30" x14ac:dyDescent="0.3">
      <c r="D40" s="18"/>
      <c r="E40" s="42"/>
    </row>
    <row r="41" spans="1:30" x14ac:dyDescent="0.3">
      <c r="D41" s="18"/>
      <c r="E41" s="42"/>
    </row>
    <row r="42" spans="1:30" x14ac:dyDescent="0.3">
      <c r="D42" s="18"/>
      <c r="E42" s="42"/>
    </row>
    <row r="43" spans="1:30" x14ac:dyDescent="0.3">
      <c r="D43" s="18"/>
      <c r="E43" s="42"/>
    </row>
    <row r="44" spans="1:30" x14ac:dyDescent="0.3">
      <c r="D44" s="18"/>
      <c r="E44" s="42"/>
    </row>
    <row r="45" spans="1:30" x14ac:dyDescent="0.3">
      <c r="D45" s="18"/>
      <c r="E45" s="42"/>
    </row>
    <row r="46" spans="1:30" x14ac:dyDescent="0.3">
      <c r="D46" s="18"/>
      <c r="E46" s="42"/>
    </row>
    <row r="47" spans="1:30" x14ac:dyDescent="0.3">
      <c r="D47" s="18"/>
      <c r="E47" s="42"/>
    </row>
    <row r="48" spans="1:30" x14ac:dyDescent="0.3">
      <c r="D48" s="18"/>
      <c r="E48" s="42"/>
    </row>
    <row r="49" spans="4:5" x14ac:dyDescent="0.3">
      <c r="D49" s="18"/>
      <c r="E49" s="42"/>
    </row>
    <row r="50" spans="4:5" x14ac:dyDescent="0.3">
      <c r="D50" s="18"/>
      <c r="E50" s="42"/>
    </row>
    <row r="51" spans="4:5" x14ac:dyDescent="0.3">
      <c r="D51" s="18"/>
      <c r="E51" s="42"/>
    </row>
    <row r="52" spans="4:5" x14ac:dyDescent="0.3">
      <c r="D52" s="18"/>
      <c r="E52" s="42"/>
    </row>
    <row r="53" spans="4:5" x14ac:dyDescent="0.3">
      <c r="D53" s="18"/>
      <c r="E53" s="42"/>
    </row>
    <row r="54" spans="4:5" x14ac:dyDescent="0.3">
      <c r="D54" s="18"/>
      <c r="E54" s="42"/>
    </row>
    <row r="55" spans="4:5" x14ac:dyDescent="0.3">
      <c r="D55" s="18"/>
      <c r="E55" s="42"/>
    </row>
    <row r="56" spans="4:5" x14ac:dyDescent="0.3">
      <c r="D56" s="18"/>
      <c r="E56" s="42"/>
    </row>
    <row r="57" spans="4:5" x14ac:dyDescent="0.3">
      <c r="D57" s="18"/>
      <c r="E57" s="42"/>
    </row>
    <row r="58" spans="4:5" x14ac:dyDescent="0.3">
      <c r="D58" s="18"/>
      <c r="E58" s="42"/>
    </row>
    <row r="59" spans="4:5" x14ac:dyDescent="0.3">
      <c r="D59" s="18"/>
      <c r="E59" s="42"/>
    </row>
    <row r="60" spans="4:5" x14ac:dyDescent="0.3">
      <c r="D60" s="18"/>
    </row>
    <row r="61" spans="4:5" x14ac:dyDescent="0.3">
      <c r="D61" s="18"/>
    </row>
    <row r="62" spans="4:5" x14ac:dyDescent="0.3">
      <c r="D62" s="18"/>
    </row>
    <row r="63" spans="4:5" x14ac:dyDescent="0.3">
      <c r="D63" s="18"/>
    </row>
    <row r="64" spans="4:5" x14ac:dyDescent="0.3">
      <c r="D64" s="18"/>
    </row>
    <row r="65" spans="4:4" x14ac:dyDescent="0.3">
      <c r="D65" s="18"/>
    </row>
    <row r="66" spans="4:4" x14ac:dyDescent="0.3">
      <c r="D66" s="18"/>
    </row>
    <row r="67" spans="4:4" x14ac:dyDescent="0.3">
      <c r="D67" s="18"/>
    </row>
    <row r="68" spans="4:4" x14ac:dyDescent="0.3">
      <c r="D68" s="18"/>
    </row>
    <row r="69" spans="4:4" x14ac:dyDescent="0.3">
      <c r="D69" s="18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F1" workbookViewId="0">
      <selection activeCell="X2" sqref="X2:X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6" ht="15.6" thickTop="1" thickBot="1" x14ac:dyDescent="0.35">
      <c r="A1" s="53"/>
      <c r="B1" s="57" t="s">
        <v>1167</v>
      </c>
    </row>
    <row r="2" spans="1:36" ht="15.6" thickTop="1" thickBot="1" x14ac:dyDescent="0.35">
      <c r="A2" s="65" t="s">
        <v>1158</v>
      </c>
      <c r="B2" s="54">
        <f>COUNTIFS('RESUMEN TOTAL'!C5:C503,"=BONOMO")</f>
        <v>228</v>
      </c>
      <c r="F2" s="48">
        <v>44896</v>
      </c>
      <c r="G2" s="48">
        <v>44897</v>
      </c>
      <c r="H2" s="48">
        <v>44898</v>
      </c>
      <c r="I2" s="48">
        <v>44899</v>
      </c>
      <c r="J2" s="48">
        <v>44900</v>
      </c>
      <c r="K2" s="48">
        <v>44901</v>
      </c>
      <c r="L2" s="48">
        <v>44902</v>
      </c>
      <c r="M2" s="48">
        <v>44903</v>
      </c>
      <c r="N2" s="48">
        <v>44904</v>
      </c>
      <c r="O2" s="48">
        <v>44905</v>
      </c>
      <c r="P2" s="48">
        <v>44906</v>
      </c>
      <c r="Q2" s="48">
        <v>44907</v>
      </c>
      <c r="R2" s="48">
        <v>44908</v>
      </c>
      <c r="S2" s="48">
        <v>44909</v>
      </c>
      <c r="T2" s="48">
        <v>44910</v>
      </c>
      <c r="U2" s="48">
        <v>44911</v>
      </c>
      <c r="V2" s="48">
        <v>44912</v>
      </c>
      <c r="W2" s="48">
        <v>44913</v>
      </c>
      <c r="X2" s="48">
        <v>44914</v>
      </c>
      <c r="Y2" s="48">
        <v>44915</v>
      </c>
      <c r="Z2" s="48">
        <v>44916</v>
      </c>
      <c r="AA2" s="48">
        <v>44917</v>
      </c>
      <c r="AB2" s="48">
        <v>44918</v>
      </c>
      <c r="AC2" s="48">
        <v>44919</v>
      </c>
      <c r="AD2" s="48">
        <v>44920</v>
      </c>
      <c r="AE2" s="48">
        <v>44921</v>
      </c>
      <c r="AF2" s="48">
        <v>44922</v>
      </c>
      <c r="AG2" s="48">
        <v>44923</v>
      </c>
      <c r="AH2" s="48">
        <v>44924</v>
      </c>
      <c r="AI2" s="48">
        <v>44925</v>
      </c>
      <c r="AJ2" s="48">
        <v>44926</v>
      </c>
    </row>
    <row r="3" spans="1:36" ht="15.6" thickTop="1" thickBot="1" x14ac:dyDescent="0.35">
      <c r="A3" s="55"/>
      <c r="B3" s="56"/>
      <c r="D3" s="51" t="s">
        <v>1158</v>
      </c>
      <c r="E3" s="58" t="s">
        <v>1168</v>
      </c>
      <c r="F3" s="59">
        <f>COUNTIFS('RESUMEN TOTAL'!C7:C504, "=BONOMO",'RESUMEN TOTAL'!K7:K504,"=APAGADO")</f>
        <v>69</v>
      </c>
      <c r="G3" s="60">
        <f>COUNTIFS('RESUMEN TOTAL'!C7:C504, "=BONOMO",'RESUMEN TOTAL'!L7:L504,"=APAGADO")</f>
        <v>72</v>
      </c>
      <c r="H3" s="60">
        <f>COUNTIFS('RESUMEN TOTAL'!C7:C504, "=BONOMO",'RESUMEN TOTAL'!M7:M504,"=APAGADO")</f>
        <v>59</v>
      </c>
      <c r="I3" s="60">
        <f>COUNTIFS('RESUMEN TOTAL'!C7:C504, "=BONOMO",'RESUMEN TOTAL'!N7:N504,"=APAGADO")</f>
        <v>56</v>
      </c>
      <c r="J3" s="60">
        <f>COUNTIFS('RESUMEN TOTAL'!C7:C504, "=BONOMO",'RESUMEN TOTAL'!O7:O504,"=APAGADO")</f>
        <v>63</v>
      </c>
      <c r="K3" s="60">
        <f>COUNTIFS('RESUMEN TOTAL'!C7:C504, "=BONOMO",'RESUMEN TOTAL'!P7:P504,"=APAGADO")</f>
        <v>64</v>
      </c>
      <c r="L3" s="60">
        <f>COUNTIFS('RESUMEN TOTAL'!C7:C504, "=BONOMO",'RESUMEN TOTAL'!Q7:Q504,"=APAGADO")</f>
        <v>65</v>
      </c>
      <c r="M3" s="60">
        <f>COUNTIFS('RESUMEN TOTAL'!C7:C504, "=BONOMO",'RESUMEN TOTAL'!R7:R504,"=APAGADO")</f>
        <v>64</v>
      </c>
      <c r="N3" s="60">
        <f>COUNTIFS('RESUMEN TOTAL'!C7:C504, "=BONOMO",'RESUMEN TOTAL'!S7:S504,"=APAGADO")</f>
        <v>70</v>
      </c>
      <c r="O3" s="60">
        <f>COUNTIFS('RESUMEN TOTAL'!C7:C504, "=BONOMO",'RESUMEN TOTAL'!T7:T504,"=APAGADO")</f>
        <v>73</v>
      </c>
      <c r="P3" s="61">
        <f>COUNTIFS('RESUMEN TOTAL'!C7:C504, "=BONOMO",'RESUMEN TOTAL'!U7:U504,"=APAGADO")</f>
        <v>66</v>
      </c>
      <c r="Q3" s="61">
        <f>COUNTIFS('RESUMEN TOTAL'!C7:C504, "=BONOMO",'RESUMEN TOTAL'!V7:V504,"=APAGADO")</f>
        <v>56</v>
      </c>
      <c r="R3" s="61">
        <f>COUNTIFS('RESUMEN TOTAL'!C7:C504, "=BONOMO",'RESUMEN TOTAL'!W7:W504,"=APAGADO")</f>
        <v>58</v>
      </c>
      <c r="S3" s="61">
        <f>COUNTIFS('RESUMEN TOTAL'!C7:C504, "=BONOMO",'RESUMEN TOTAL'!X7:X504,"=APAGADO")</f>
        <v>61</v>
      </c>
      <c r="T3" s="61">
        <f>COUNTIFS('RESUMEN TOTAL'!C7:C504, "=BONOMO",'RESUMEN TOTAL'!Y7:Y504,"=APAGADO")</f>
        <v>46</v>
      </c>
      <c r="U3" s="61">
        <f>COUNTIFS('RESUMEN TOTAL'!C7:C504, "=BONOMO",'RESUMEN TOTAL'!Z7:Z504,"=APAGADO")</f>
        <v>27</v>
      </c>
      <c r="V3" s="61">
        <f>COUNTIFS('RESUMEN TOTAL'!C7:C504, "=BONOMO",'RESUMEN TOTAL'!AA7:AA504,"=APAGADO")</f>
        <v>32</v>
      </c>
      <c r="W3" s="61">
        <f>COUNTIFS('RESUMEN TOTAL'!C7:C504, "=BONOMO",'RESUMEN TOTAL'!AB7:AB504,"=APAGADO")</f>
        <v>30</v>
      </c>
      <c r="X3" s="61">
        <f>COUNTIFS('RESUMEN TOTAL'!C7:C504, "=BONOMO",'RESUMEN TOTAL'!AC7:AC504,"=APAGADO")</f>
        <v>23</v>
      </c>
      <c r="Y3" s="61"/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5.6" thickTop="1" thickBot="1" x14ac:dyDescent="0.35">
      <c r="A4" s="64" t="s">
        <v>1159</v>
      </c>
      <c r="B4" s="54">
        <f>COUNTIFS('RESUMEN TOTAL'!C5:C503,"=COSEIDI")</f>
        <v>207</v>
      </c>
      <c r="D4" s="52"/>
      <c r="E4" s="50" t="s">
        <v>1170</v>
      </c>
      <c r="F4" s="66">
        <f t="shared" ref="F4:AI4" si="0">F3/BONOMOcam</f>
        <v>0.30263157894736842</v>
      </c>
      <c r="G4" s="67">
        <f t="shared" si="0"/>
        <v>0.31578947368421051</v>
      </c>
      <c r="H4" s="67">
        <f t="shared" si="0"/>
        <v>0.25877192982456143</v>
      </c>
      <c r="I4" s="67">
        <f t="shared" si="0"/>
        <v>0.24561403508771928</v>
      </c>
      <c r="J4" s="67">
        <f t="shared" si="0"/>
        <v>0.27631578947368424</v>
      </c>
      <c r="K4" s="67">
        <f t="shared" ref="K4" si="1">K3/BONOMOcam</f>
        <v>0.2807017543859649</v>
      </c>
      <c r="L4" s="67">
        <f t="shared" si="0"/>
        <v>0.28508771929824561</v>
      </c>
      <c r="M4" s="67">
        <f t="shared" ref="M4" si="2">M3/BONOMOcam</f>
        <v>0.2807017543859649</v>
      </c>
      <c r="N4" s="67">
        <f t="shared" si="0"/>
        <v>0.30701754385964913</v>
      </c>
      <c r="O4" s="67">
        <f t="shared" si="0"/>
        <v>0.32017543859649122</v>
      </c>
      <c r="P4" s="68">
        <f t="shared" si="0"/>
        <v>0.28947368421052633</v>
      </c>
      <c r="Q4" s="68">
        <f t="shared" ref="Q4" si="3">Q3/BONOMOcam</f>
        <v>0.24561403508771928</v>
      </c>
      <c r="R4" s="68">
        <f t="shared" si="0"/>
        <v>0.25438596491228072</v>
      </c>
      <c r="S4" s="68">
        <f t="shared" si="0"/>
        <v>0.26754385964912281</v>
      </c>
      <c r="T4" s="68">
        <f t="shared" si="0"/>
        <v>0.20175438596491227</v>
      </c>
      <c r="U4" s="68">
        <f t="shared" si="0"/>
        <v>0.11842105263157894</v>
      </c>
      <c r="V4" s="68">
        <f t="shared" ref="V4" si="4">V3/BONOMOcam</f>
        <v>0.14035087719298245</v>
      </c>
      <c r="W4" s="68">
        <f t="shared" si="0"/>
        <v>0.13157894736842105</v>
      </c>
      <c r="X4" s="68">
        <f t="shared" si="0"/>
        <v>0.10087719298245613</v>
      </c>
      <c r="Y4" s="68"/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5">AJ3/BONOMOcam</f>
        <v>0</v>
      </c>
    </row>
    <row r="5" spans="1:36" ht="15.6" thickTop="1" thickBot="1" x14ac:dyDescent="0.35">
      <c r="A5" s="55"/>
      <c r="B5" s="56"/>
      <c r="D5" s="51" t="s">
        <v>1159</v>
      </c>
      <c r="E5" s="62" t="s">
        <v>1169</v>
      </c>
      <c r="F5" s="63">
        <f>COUNTIFS('RESUMEN TOTAL'!C10:C424, "=COSEIDI",'RESUMEN TOTAL'!K10:K424,"=APAGADO")</f>
        <v>64</v>
      </c>
      <c r="G5" s="63">
        <f>COUNTIFS('RESUMEN TOTAL'!C10:C424, "=COSEIDI",'RESUMEN TOTAL'!L10:L424,"=APAGADO")</f>
        <v>39</v>
      </c>
      <c r="H5" s="63">
        <f>COUNTIFS('RESUMEN TOTAL'!C10:C424, "=COSEIDI",'RESUMEN TOTAL'!M10:M424,"=APAGADO")</f>
        <v>35</v>
      </c>
      <c r="I5" s="63">
        <f>COUNTIFS('RESUMEN TOTAL'!C10:C424, "=COSEIDI",'RESUMEN TOTAL'!N10:N424,"=APAGADO")</f>
        <v>36</v>
      </c>
      <c r="J5" s="63">
        <f>COUNTIFS('RESUMEN TOTAL'!C10:C424, "=COSEIDI",'RESUMEN TOTAL'!O10:O424,"=APAGADO")</f>
        <v>33</v>
      </c>
      <c r="K5" s="63">
        <f>COUNTIFS('RESUMEN TOTAL'!C10:C424, "=COSEIDI",'RESUMEN TOTAL'!P10:P424,"=APAGADO")</f>
        <v>14</v>
      </c>
      <c r="L5" s="63">
        <f>COUNTIFS('RESUMEN TOTAL'!C10:C424, "=COSEIDI",'RESUMEN TOTAL'!Q10:Q424,"=APAGADO")</f>
        <v>13</v>
      </c>
      <c r="M5" s="63">
        <f>COUNTIFS('RESUMEN TOTAL'!C10:C424, "=COSEIDI",'RESUMEN TOTAL'!R10:R424,"=APAGADO")</f>
        <v>15</v>
      </c>
      <c r="N5" s="63">
        <f>COUNTIFS('RESUMEN TOTAL'!C10:C424, "=COSEIDI",'RESUMEN TOTAL'!S10:S424,"=APAGADO")</f>
        <v>19</v>
      </c>
      <c r="O5" s="63">
        <f>COUNTIFS('RESUMEN TOTAL'!C10:C424, "=COSEIDI",'RESUMEN TOTAL'!T10:T424,"=APAGADO")</f>
        <v>23</v>
      </c>
      <c r="P5" s="63">
        <f>COUNTIFS('RESUMEN TOTAL'!C10:C424, "=COSEIDI",'RESUMEN TOTAL'!U10:U424,"=APAGADO")</f>
        <v>22</v>
      </c>
      <c r="Q5" s="63">
        <f>COUNTIFS('RESUMEN TOTAL'!C10:C424, "=COSEIDI",'RESUMEN TOTAL'!V10:V424,"=APAGADO")</f>
        <v>17</v>
      </c>
      <c r="R5" s="63">
        <f>COUNTIFS('RESUMEN TOTAL'!C10:C424, "=COSEIDI",'RESUMEN TOTAL'!W10:W424,"=APAGADO")</f>
        <v>17</v>
      </c>
      <c r="S5" s="63">
        <f>COUNTIFS('RESUMEN TOTAL'!C10:C424, "=COSEIDI",'RESUMEN TOTAL'!X10:X424,"=APAGADO")</f>
        <v>18</v>
      </c>
      <c r="T5" s="63">
        <f>COUNTIFS('RESUMEN TOTAL'!C10:C424, "=COSEIDI",'RESUMEN TOTAL'!Y10:Y424,"=APAGADO")</f>
        <v>26</v>
      </c>
      <c r="U5" s="63">
        <f>COUNTIFS('RESUMEN TOTAL'!C10:C424, "=COSEIDI",'RESUMEN TOTAL'!Z10:Z424,"=APAGADO")</f>
        <v>23</v>
      </c>
      <c r="V5" s="63">
        <f>COUNTIFS('RESUMEN TOTAL'!C10:C424, "=COSEIDI",'RESUMEN TOTAL'!AA10:AA424,"=APAGADO")</f>
        <v>47</v>
      </c>
      <c r="W5" s="63">
        <f>COUNTIFS('RESUMEN TOTAL'!C10:C424, "=COSEIDI",'RESUMEN TOTAL'!AB10:AB424,"=APAGADO")</f>
        <v>14</v>
      </c>
      <c r="X5" s="63">
        <f>COUNTIFS('RESUMEN TOTAL'!C10:C500, "=COSEIDI",'RESUMEN TOTAL'!AC10:AC500,"=APAGADO")</f>
        <v>15</v>
      </c>
      <c r="Y5" s="63"/>
      <c r="Z5" s="63">
        <f>COUNTIFS('RESUMEN TOTAL'!C10:C424, "=COSEIDI",'RESUMEN TOTAL'!AE10:AE424,"=APAGADO")</f>
        <v>0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5.6" thickTop="1" thickBot="1" x14ac:dyDescent="0.35">
      <c r="D6" s="52"/>
      <c r="E6" s="50" t="s">
        <v>1171</v>
      </c>
      <c r="F6" s="67">
        <f t="shared" ref="F6:AI6" si="6">F5/COSEIDIcam</f>
        <v>0.30917874396135264</v>
      </c>
      <c r="G6" s="67">
        <f t="shared" si="6"/>
        <v>0.18840579710144928</v>
      </c>
      <c r="H6" s="67">
        <f t="shared" si="6"/>
        <v>0.16908212560386474</v>
      </c>
      <c r="I6" s="67">
        <f t="shared" si="6"/>
        <v>0.17391304347826086</v>
      </c>
      <c r="J6" s="67">
        <f t="shared" si="6"/>
        <v>0.15942028985507245</v>
      </c>
      <c r="K6" s="67">
        <f t="shared" ref="K6" si="7">K5/COSEIDIcam</f>
        <v>6.7632850241545889E-2</v>
      </c>
      <c r="L6" s="67">
        <f t="shared" si="6"/>
        <v>6.280193236714976E-2</v>
      </c>
      <c r="M6" s="67">
        <f t="shared" ref="M6" si="8">M5/COSEIDIcam</f>
        <v>7.2463768115942032E-2</v>
      </c>
      <c r="N6" s="67">
        <f t="shared" si="6"/>
        <v>9.1787439613526575E-2</v>
      </c>
      <c r="O6" s="67">
        <f t="shared" si="6"/>
        <v>0.1111111111111111</v>
      </c>
      <c r="P6" s="67">
        <f t="shared" si="6"/>
        <v>0.10628019323671498</v>
      </c>
      <c r="Q6" s="67">
        <f t="shared" ref="Q6" si="9">Q5/COSEIDIcam</f>
        <v>8.2125603864734303E-2</v>
      </c>
      <c r="R6" s="67">
        <f t="shared" si="6"/>
        <v>8.2125603864734303E-2</v>
      </c>
      <c r="S6" s="67">
        <f t="shared" si="6"/>
        <v>8.6956521739130432E-2</v>
      </c>
      <c r="T6" s="67">
        <f t="shared" si="6"/>
        <v>0.12560386473429952</v>
      </c>
      <c r="U6" s="67">
        <f t="shared" si="6"/>
        <v>0.1111111111111111</v>
      </c>
      <c r="V6" s="67">
        <f t="shared" ref="V6" si="10">V5/COSEIDIcam</f>
        <v>0.22705314009661837</v>
      </c>
      <c r="W6" s="67">
        <f t="shared" si="6"/>
        <v>6.7632850241545889E-2</v>
      </c>
      <c r="X6" s="67">
        <f t="shared" si="6"/>
        <v>7.2463768115942032E-2</v>
      </c>
      <c r="Y6" s="67"/>
      <c r="Z6" s="67">
        <f t="shared" si="6"/>
        <v>0</v>
      </c>
      <c r="AA6" s="67">
        <f t="shared" si="6"/>
        <v>0</v>
      </c>
      <c r="AB6" s="67">
        <f t="shared" si="6"/>
        <v>0</v>
      </c>
      <c r="AC6" s="67">
        <f t="shared" si="6"/>
        <v>0</v>
      </c>
      <c r="AD6" s="67">
        <f t="shared" si="6"/>
        <v>0</v>
      </c>
      <c r="AE6" s="67">
        <f t="shared" si="6"/>
        <v>0</v>
      </c>
      <c r="AF6" s="49">
        <f t="shared" si="6"/>
        <v>0</v>
      </c>
      <c r="AG6" s="49">
        <f t="shared" si="6"/>
        <v>0</v>
      </c>
      <c r="AH6" s="49">
        <f t="shared" si="6"/>
        <v>0</v>
      </c>
      <c r="AI6" s="49">
        <f t="shared" si="6"/>
        <v>0</v>
      </c>
      <c r="AJ6" s="49">
        <f t="shared" ref="AJ6" si="11">AJ5/COSEIDIcam</f>
        <v>0</v>
      </c>
    </row>
    <row r="7" spans="1:36" ht="15" thickTop="1" x14ac:dyDescent="0.3"/>
  </sheetData>
  <conditionalFormatting sqref="F4:AJ4">
    <cfRule type="cellIs" dxfId="21" priority="3" operator="greaterThan">
      <formula>0.1</formula>
    </cfRule>
    <cfRule type="cellIs" dxfId="20" priority="4" operator="greaterThan">
      <formula>10</formula>
    </cfRule>
  </conditionalFormatting>
  <conditionalFormatting sqref="F6:AJ6">
    <cfRule type="cellIs" dxfId="19" priority="1" operator="greaterThan">
      <formula>0.1</formula>
    </cfRule>
    <cfRule type="cellIs" dxfId="18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314A-CC5B-454D-8858-4173F75E34EE}">
  <dimension ref="A3:H87"/>
  <sheetViews>
    <sheetView topLeftCell="A59" workbookViewId="0">
      <selection activeCell="A73" sqref="A73:H87"/>
    </sheetView>
  </sheetViews>
  <sheetFormatPr baseColWidth="10" defaultRowHeight="14.4" x14ac:dyDescent="0.3"/>
  <cols>
    <col min="1" max="1" width="11.5546875" style="128"/>
    <col min="2" max="2" width="26" bestFit="1" customWidth="1"/>
    <col min="3" max="3" width="15.44140625" customWidth="1"/>
    <col min="4" max="4" width="15.6640625" customWidth="1"/>
    <col min="5" max="5" width="36.88671875" customWidth="1"/>
    <col min="7" max="7" width="17.33203125" customWidth="1"/>
  </cols>
  <sheetData>
    <row r="3" spans="1:8" ht="28.8" x14ac:dyDescent="0.3">
      <c r="B3" t="s">
        <v>7</v>
      </c>
      <c r="C3" s="39" t="s">
        <v>8</v>
      </c>
      <c r="D3" s="47" t="s">
        <v>1157</v>
      </c>
      <c r="E3" t="s">
        <v>9</v>
      </c>
      <c r="F3" s="39" t="s">
        <v>10</v>
      </c>
      <c r="G3" s="39" t="s">
        <v>11</v>
      </c>
    </row>
    <row r="4" spans="1:8" x14ac:dyDescent="0.3">
      <c r="A4" s="128">
        <v>1</v>
      </c>
      <c r="B4" t="s">
        <v>26</v>
      </c>
      <c r="C4" t="s">
        <v>29</v>
      </c>
      <c r="D4" t="s">
        <v>1158</v>
      </c>
      <c r="E4" t="s">
        <v>30</v>
      </c>
      <c r="F4" s="39" t="s">
        <v>19</v>
      </c>
      <c r="G4" s="39" t="s">
        <v>28</v>
      </c>
      <c r="H4" t="s">
        <v>624</v>
      </c>
    </row>
    <row r="5" spans="1:8" x14ac:dyDescent="0.3">
      <c r="A5" s="128">
        <v>2</v>
      </c>
      <c r="B5" t="s">
        <v>26</v>
      </c>
      <c r="C5" t="s">
        <v>31</v>
      </c>
      <c r="D5" t="s">
        <v>1158</v>
      </c>
      <c r="E5" t="s">
        <v>32</v>
      </c>
      <c r="F5" s="39" t="s">
        <v>19</v>
      </c>
      <c r="G5" s="39" t="s">
        <v>1151</v>
      </c>
      <c r="H5" t="s">
        <v>625</v>
      </c>
    </row>
    <row r="6" spans="1:8" x14ac:dyDescent="0.3">
      <c r="A6" s="128">
        <v>3</v>
      </c>
      <c r="B6" t="s">
        <v>26</v>
      </c>
      <c r="C6" t="s">
        <v>1003</v>
      </c>
      <c r="D6" t="s">
        <v>1158</v>
      </c>
      <c r="E6" t="s">
        <v>33</v>
      </c>
      <c r="F6" s="39" t="s">
        <v>19</v>
      </c>
      <c r="G6" s="39" t="s">
        <v>1150</v>
      </c>
      <c r="H6" t="s">
        <v>626</v>
      </c>
    </row>
    <row r="7" spans="1:8" x14ac:dyDescent="0.3">
      <c r="A7" s="128">
        <v>4</v>
      </c>
      <c r="B7" t="s">
        <v>26</v>
      </c>
      <c r="C7" t="s">
        <v>1004</v>
      </c>
      <c r="D7" t="s">
        <v>1158</v>
      </c>
      <c r="E7" t="s">
        <v>34</v>
      </c>
      <c r="F7" s="39" t="s">
        <v>19</v>
      </c>
      <c r="G7" s="39" t="s">
        <v>1150</v>
      </c>
      <c r="H7" t="s">
        <v>627</v>
      </c>
    </row>
    <row r="8" spans="1:8" x14ac:dyDescent="0.3">
      <c r="A8" s="128">
        <v>5</v>
      </c>
      <c r="B8" t="s">
        <v>26</v>
      </c>
      <c r="C8" t="s">
        <v>35</v>
      </c>
      <c r="D8" t="s">
        <v>1158</v>
      </c>
      <c r="E8" t="s">
        <v>36</v>
      </c>
      <c r="F8" s="39" t="s">
        <v>19</v>
      </c>
      <c r="G8" s="39" t="s">
        <v>1151</v>
      </c>
      <c r="H8" t="s">
        <v>628</v>
      </c>
    </row>
    <row r="9" spans="1:8" x14ac:dyDescent="0.3">
      <c r="A9" s="128">
        <v>6</v>
      </c>
      <c r="B9" t="s">
        <v>26</v>
      </c>
      <c r="C9" t="s">
        <v>1005</v>
      </c>
      <c r="D9" t="s">
        <v>1158</v>
      </c>
      <c r="E9" t="s">
        <v>27</v>
      </c>
      <c r="F9" s="39" t="s">
        <v>19</v>
      </c>
      <c r="G9" s="39" t="s">
        <v>1151</v>
      </c>
      <c r="H9" t="s">
        <v>629</v>
      </c>
    </row>
    <row r="10" spans="1:8" x14ac:dyDescent="0.3">
      <c r="A10" s="128">
        <v>7</v>
      </c>
      <c r="B10" t="s">
        <v>26</v>
      </c>
      <c r="C10" t="s">
        <v>37</v>
      </c>
      <c r="D10" t="s">
        <v>1158</v>
      </c>
      <c r="E10" t="s">
        <v>38</v>
      </c>
      <c r="F10" s="39" t="s">
        <v>15</v>
      </c>
      <c r="G10" s="39" t="s">
        <v>1151</v>
      </c>
      <c r="H10" t="s">
        <v>631</v>
      </c>
    </row>
    <row r="11" spans="1:8" x14ac:dyDescent="0.3">
      <c r="A11" s="128">
        <v>8</v>
      </c>
      <c r="B11" t="s">
        <v>26</v>
      </c>
      <c r="C11" t="s">
        <v>1006</v>
      </c>
      <c r="D11" t="s">
        <v>1158</v>
      </c>
      <c r="E11" t="s">
        <v>39</v>
      </c>
      <c r="F11" s="39" t="s">
        <v>15</v>
      </c>
      <c r="G11" s="39" t="s">
        <v>28</v>
      </c>
      <c r="H11" t="s">
        <v>632</v>
      </c>
    </row>
    <row r="12" spans="1:8" x14ac:dyDescent="0.3">
      <c r="A12" s="128">
        <v>9</v>
      </c>
      <c r="B12" t="s">
        <v>26</v>
      </c>
      <c r="C12" t="s">
        <v>1007</v>
      </c>
      <c r="D12" t="s">
        <v>1158</v>
      </c>
      <c r="E12" t="s">
        <v>40</v>
      </c>
      <c r="F12" s="39" t="s">
        <v>15</v>
      </c>
      <c r="G12" s="39" t="s">
        <v>28</v>
      </c>
      <c r="H12" t="s">
        <v>633</v>
      </c>
    </row>
    <row r="13" spans="1:8" x14ac:dyDescent="0.3">
      <c r="A13" s="128">
        <v>10</v>
      </c>
      <c r="B13" t="s">
        <v>26</v>
      </c>
      <c r="C13" t="s">
        <v>1008</v>
      </c>
      <c r="D13" t="s">
        <v>1158</v>
      </c>
      <c r="E13" t="s">
        <v>1009</v>
      </c>
      <c r="F13" s="39" t="s">
        <v>19</v>
      </c>
      <c r="G13" s="39" t="s">
        <v>20</v>
      </c>
    </row>
    <row r="14" spans="1:8" x14ac:dyDescent="0.3">
      <c r="A14" s="128">
        <v>11</v>
      </c>
      <c r="B14" t="s">
        <v>43</v>
      </c>
      <c r="C14" t="s">
        <v>1011</v>
      </c>
      <c r="D14" t="s">
        <v>1158</v>
      </c>
      <c r="E14" t="s">
        <v>44</v>
      </c>
      <c r="F14" s="39" t="s">
        <v>15</v>
      </c>
      <c r="G14" s="39" t="s">
        <v>1150</v>
      </c>
      <c r="H14" t="s">
        <v>635</v>
      </c>
    </row>
    <row r="15" spans="1:8" x14ac:dyDescent="0.3">
      <c r="A15" s="128">
        <v>12</v>
      </c>
      <c r="B15" t="s">
        <v>52</v>
      </c>
      <c r="C15" t="s">
        <v>1013</v>
      </c>
      <c r="D15" t="s">
        <v>1158</v>
      </c>
      <c r="E15" t="s">
        <v>89</v>
      </c>
      <c r="F15" s="39" t="s">
        <v>19</v>
      </c>
      <c r="G15" s="39" t="s">
        <v>28</v>
      </c>
      <c r="H15" t="s">
        <v>646</v>
      </c>
    </row>
    <row r="16" spans="1:8" x14ac:dyDescent="0.3">
      <c r="A16" s="128">
        <v>13</v>
      </c>
      <c r="B16" t="s">
        <v>52</v>
      </c>
      <c r="C16" t="s">
        <v>98</v>
      </c>
      <c r="D16" t="s">
        <v>1158</v>
      </c>
      <c r="E16" t="s">
        <v>99</v>
      </c>
      <c r="F16" s="39" t="s">
        <v>73</v>
      </c>
      <c r="G16" s="39" t="s">
        <v>28</v>
      </c>
      <c r="H16" t="s">
        <v>652</v>
      </c>
    </row>
    <row r="17" spans="1:8" x14ac:dyDescent="0.3">
      <c r="A17" s="128">
        <v>14</v>
      </c>
      <c r="B17" t="s">
        <v>52</v>
      </c>
      <c r="C17" t="s">
        <v>113</v>
      </c>
      <c r="D17" t="s">
        <v>1158</v>
      </c>
      <c r="E17" t="s">
        <v>1179</v>
      </c>
      <c r="F17" s="39" t="s">
        <v>19</v>
      </c>
      <c r="G17" s="39" t="s">
        <v>28</v>
      </c>
      <c r="H17" t="s">
        <v>660</v>
      </c>
    </row>
    <row r="18" spans="1:8" x14ac:dyDescent="0.3">
      <c r="A18" s="128">
        <v>15</v>
      </c>
      <c r="B18" t="s">
        <v>52</v>
      </c>
      <c r="C18" t="s">
        <v>115</v>
      </c>
      <c r="D18" t="s">
        <v>1158</v>
      </c>
      <c r="E18" t="s">
        <v>116</v>
      </c>
      <c r="F18" s="39" t="s">
        <v>19</v>
      </c>
      <c r="G18" s="39" t="s">
        <v>28</v>
      </c>
      <c r="H18" t="s">
        <v>662</v>
      </c>
    </row>
    <row r="19" spans="1:8" x14ac:dyDescent="0.3">
      <c r="A19" s="128">
        <v>16</v>
      </c>
      <c r="B19" t="s">
        <v>52</v>
      </c>
      <c r="C19" t="s">
        <v>119</v>
      </c>
      <c r="D19" t="s">
        <v>1158</v>
      </c>
      <c r="E19" t="s">
        <v>120</v>
      </c>
      <c r="F19" s="39" t="s">
        <v>19</v>
      </c>
      <c r="G19" s="39" t="s">
        <v>28</v>
      </c>
      <c r="H19" t="s">
        <v>664</v>
      </c>
    </row>
    <row r="20" spans="1:8" x14ac:dyDescent="0.3">
      <c r="A20" s="128">
        <v>17</v>
      </c>
      <c r="B20" t="s">
        <v>52</v>
      </c>
      <c r="C20" t="s">
        <v>121</v>
      </c>
      <c r="D20" t="s">
        <v>1158</v>
      </c>
      <c r="E20" t="s">
        <v>122</v>
      </c>
      <c r="F20" s="39" t="s">
        <v>19</v>
      </c>
      <c r="G20" s="39" t="s">
        <v>28</v>
      </c>
      <c r="H20" t="s">
        <v>665</v>
      </c>
    </row>
    <row r="21" spans="1:8" x14ac:dyDescent="0.3">
      <c r="A21" s="128">
        <v>18</v>
      </c>
      <c r="B21" t="s">
        <v>52</v>
      </c>
      <c r="C21" t="s">
        <v>126</v>
      </c>
      <c r="D21" t="s">
        <v>1158</v>
      </c>
      <c r="E21" t="s">
        <v>1162</v>
      </c>
      <c r="F21" s="39" t="s">
        <v>19</v>
      </c>
      <c r="G21" s="39" t="s">
        <v>28</v>
      </c>
      <c r="H21" t="s">
        <v>668</v>
      </c>
    </row>
    <row r="22" spans="1:8" x14ac:dyDescent="0.3">
      <c r="A22" s="128">
        <v>19</v>
      </c>
      <c r="B22" t="s">
        <v>52</v>
      </c>
      <c r="C22" t="s">
        <v>132</v>
      </c>
      <c r="D22" t="s">
        <v>1158</v>
      </c>
      <c r="E22" t="s">
        <v>133</v>
      </c>
      <c r="F22" s="39" t="s">
        <v>19</v>
      </c>
      <c r="G22" s="39" t="s">
        <v>28</v>
      </c>
      <c r="H22" t="s">
        <v>673</v>
      </c>
    </row>
    <row r="23" spans="1:8" x14ac:dyDescent="0.3">
      <c r="A23" s="128">
        <v>20</v>
      </c>
      <c r="B23" t="s">
        <v>52</v>
      </c>
      <c r="C23" t="s">
        <v>1018</v>
      </c>
      <c r="D23" t="s">
        <v>1158</v>
      </c>
      <c r="E23" t="s">
        <v>47</v>
      </c>
      <c r="F23" s="39" t="s">
        <v>19</v>
      </c>
      <c r="G23" s="39" t="s">
        <v>20</v>
      </c>
      <c r="H23" t="s">
        <v>687</v>
      </c>
    </row>
    <row r="24" spans="1:8" x14ac:dyDescent="0.3">
      <c r="A24" s="128">
        <v>21</v>
      </c>
      <c r="B24" t="s">
        <v>52</v>
      </c>
      <c r="C24" t="s">
        <v>50</v>
      </c>
      <c r="D24" t="s">
        <v>1158</v>
      </c>
      <c r="E24" t="s">
        <v>51</v>
      </c>
      <c r="F24" s="39" t="s">
        <v>19</v>
      </c>
      <c r="G24" s="39" t="s">
        <v>20</v>
      </c>
      <c r="H24" t="s">
        <v>689</v>
      </c>
    </row>
    <row r="25" spans="1:8" x14ac:dyDescent="0.3">
      <c r="A25" s="128">
        <v>22</v>
      </c>
      <c r="B25" t="s">
        <v>52</v>
      </c>
      <c r="C25" t="s">
        <v>62</v>
      </c>
      <c r="D25" t="s">
        <v>1158</v>
      </c>
      <c r="E25" t="s">
        <v>63</v>
      </c>
      <c r="F25" s="39" t="s">
        <v>15</v>
      </c>
      <c r="G25" s="39" t="s">
        <v>20</v>
      </c>
      <c r="H25" t="s">
        <v>695</v>
      </c>
    </row>
    <row r="26" spans="1:8" x14ac:dyDescent="0.3">
      <c r="A26" s="128">
        <v>23</v>
      </c>
      <c r="B26" t="s">
        <v>52</v>
      </c>
      <c r="C26" t="s">
        <v>1024</v>
      </c>
      <c r="D26" t="s">
        <v>1158</v>
      </c>
      <c r="E26" t="s">
        <v>1182</v>
      </c>
      <c r="F26" s="39" t="s">
        <v>15</v>
      </c>
      <c r="G26" s="39" t="s">
        <v>1151</v>
      </c>
      <c r="H26" t="s">
        <v>696</v>
      </c>
    </row>
    <row r="27" spans="1:8" x14ac:dyDescent="0.3">
      <c r="A27" s="128">
        <v>24</v>
      </c>
      <c r="B27" t="s">
        <v>52</v>
      </c>
      <c r="C27" t="s">
        <v>155</v>
      </c>
      <c r="D27" t="s">
        <v>1158</v>
      </c>
      <c r="E27" t="s">
        <v>156</v>
      </c>
      <c r="F27" s="39" t="s">
        <v>46</v>
      </c>
      <c r="G27" s="39" t="s">
        <v>28</v>
      </c>
      <c r="H27" t="s">
        <v>698</v>
      </c>
    </row>
    <row r="28" spans="1:8" x14ac:dyDescent="0.3">
      <c r="A28" s="128">
        <v>25</v>
      </c>
      <c r="B28" t="s">
        <v>52</v>
      </c>
      <c r="C28" t="s">
        <v>1019</v>
      </c>
      <c r="D28" t="s">
        <v>1158</v>
      </c>
      <c r="E28" t="s">
        <v>157</v>
      </c>
      <c r="F28" s="39" t="s">
        <v>46</v>
      </c>
      <c r="G28" s="39" t="s">
        <v>28</v>
      </c>
      <c r="H28" t="s">
        <v>1154</v>
      </c>
    </row>
    <row r="29" spans="1:8" x14ac:dyDescent="0.3">
      <c r="A29" s="128">
        <v>26</v>
      </c>
      <c r="B29" t="s">
        <v>52</v>
      </c>
      <c r="C29" t="s">
        <v>69</v>
      </c>
      <c r="D29" t="s">
        <v>1158</v>
      </c>
      <c r="E29" t="s">
        <v>70</v>
      </c>
      <c r="F29" s="39" t="s">
        <v>19</v>
      </c>
      <c r="G29" s="39" t="s">
        <v>28</v>
      </c>
      <c r="H29" t="s">
        <v>708</v>
      </c>
    </row>
    <row r="30" spans="1:8" x14ac:dyDescent="0.3">
      <c r="A30" s="128">
        <v>27</v>
      </c>
      <c r="B30" t="s">
        <v>52</v>
      </c>
      <c r="C30" s="39" t="s">
        <v>1215</v>
      </c>
      <c r="D30" s="39" t="s">
        <v>1158</v>
      </c>
      <c r="E30" t="s">
        <v>122</v>
      </c>
      <c r="F30" s="39" t="s">
        <v>73</v>
      </c>
      <c r="G30" s="39" t="s">
        <v>28</v>
      </c>
      <c r="H30" t="s">
        <v>1216</v>
      </c>
    </row>
    <row r="31" spans="1:8" x14ac:dyDescent="0.3">
      <c r="A31" s="128">
        <v>28</v>
      </c>
      <c r="B31" t="s">
        <v>171</v>
      </c>
      <c r="C31" t="s">
        <v>172</v>
      </c>
      <c r="D31" t="s">
        <v>1158</v>
      </c>
      <c r="E31" t="s">
        <v>173</v>
      </c>
      <c r="F31" s="39" t="s">
        <v>19</v>
      </c>
      <c r="G31" s="39" t="s">
        <v>20</v>
      </c>
      <c r="H31" t="s">
        <v>712</v>
      </c>
    </row>
    <row r="32" spans="1:8" x14ac:dyDescent="0.3">
      <c r="A32" s="128">
        <v>29</v>
      </c>
      <c r="B32" t="s">
        <v>101</v>
      </c>
      <c r="C32" t="s">
        <v>251</v>
      </c>
      <c r="D32" t="s">
        <v>1158</v>
      </c>
      <c r="E32" t="s">
        <v>252</v>
      </c>
      <c r="F32" s="39" t="s">
        <v>15</v>
      </c>
      <c r="G32" s="39" t="s">
        <v>1151</v>
      </c>
      <c r="H32" t="s">
        <v>756</v>
      </c>
    </row>
    <row r="33" spans="1:8" x14ac:dyDescent="0.3">
      <c r="A33" s="128">
        <v>30</v>
      </c>
      <c r="B33" t="s">
        <v>270</v>
      </c>
      <c r="C33" t="s">
        <v>1049</v>
      </c>
      <c r="D33" t="s">
        <v>1158</v>
      </c>
      <c r="E33" t="s">
        <v>275</v>
      </c>
      <c r="F33" s="39" t="s">
        <v>73</v>
      </c>
      <c r="G33" s="39" t="s">
        <v>28</v>
      </c>
      <c r="H33" t="s">
        <v>768</v>
      </c>
    </row>
    <row r="34" spans="1:8" x14ac:dyDescent="0.3">
      <c r="A34" s="128">
        <v>31</v>
      </c>
      <c r="B34" t="s">
        <v>270</v>
      </c>
      <c r="C34" t="s">
        <v>1050</v>
      </c>
      <c r="D34" t="s">
        <v>1158</v>
      </c>
      <c r="E34" t="s">
        <v>1184</v>
      </c>
      <c r="F34" s="39" t="s">
        <v>19</v>
      </c>
      <c r="G34" s="39" t="s">
        <v>28</v>
      </c>
      <c r="H34" t="s">
        <v>772</v>
      </c>
    </row>
    <row r="35" spans="1:8" x14ac:dyDescent="0.3">
      <c r="A35" s="128">
        <v>32</v>
      </c>
      <c r="B35" t="s">
        <v>270</v>
      </c>
      <c r="C35" t="s">
        <v>1051</v>
      </c>
      <c r="D35" t="s">
        <v>1158</v>
      </c>
      <c r="E35" t="s">
        <v>282</v>
      </c>
      <c r="F35" s="39" t="s">
        <v>19</v>
      </c>
      <c r="G35" s="39" t="s">
        <v>28</v>
      </c>
      <c r="H35" t="s">
        <v>773</v>
      </c>
    </row>
    <row r="36" spans="1:8" x14ac:dyDescent="0.3">
      <c r="A36" s="128">
        <v>33</v>
      </c>
      <c r="B36" t="s">
        <v>270</v>
      </c>
      <c r="C36" t="s">
        <v>1052</v>
      </c>
      <c r="D36" t="s">
        <v>1158</v>
      </c>
      <c r="E36" t="s">
        <v>285</v>
      </c>
      <c r="F36" s="39" t="s">
        <v>73</v>
      </c>
      <c r="G36" s="39" t="s">
        <v>28</v>
      </c>
      <c r="H36" t="s">
        <v>775</v>
      </c>
    </row>
    <row r="37" spans="1:8" x14ac:dyDescent="0.3">
      <c r="A37" s="128">
        <v>34</v>
      </c>
      <c r="B37" t="s">
        <v>270</v>
      </c>
      <c r="C37" t="s">
        <v>1053</v>
      </c>
      <c r="D37" t="s">
        <v>1158</v>
      </c>
      <c r="E37" t="s">
        <v>285</v>
      </c>
      <c r="F37" s="39" t="s">
        <v>73</v>
      </c>
      <c r="G37" s="39" t="s">
        <v>28</v>
      </c>
      <c r="H37" t="s">
        <v>776</v>
      </c>
    </row>
    <row r="38" spans="1:8" x14ac:dyDescent="0.3">
      <c r="A38" s="128">
        <v>35</v>
      </c>
      <c r="B38" t="s">
        <v>270</v>
      </c>
      <c r="C38" t="s">
        <v>1054</v>
      </c>
      <c r="D38" t="s">
        <v>1158</v>
      </c>
      <c r="E38" t="s">
        <v>266</v>
      </c>
      <c r="F38" s="39" t="s">
        <v>46</v>
      </c>
      <c r="G38" s="39" t="s">
        <v>1150</v>
      </c>
      <c r="H38" t="s">
        <v>764</v>
      </c>
    </row>
    <row r="39" spans="1:8" x14ac:dyDescent="0.3">
      <c r="A39" s="128">
        <v>36</v>
      </c>
      <c r="B39" t="s">
        <v>270</v>
      </c>
      <c r="C39" t="s">
        <v>271</v>
      </c>
      <c r="D39" t="s">
        <v>1158</v>
      </c>
      <c r="E39" t="s">
        <v>272</v>
      </c>
      <c r="F39" s="39" t="s">
        <v>73</v>
      </c>
      <c r="G39" s="39" t="s">
        <v>28</v>
      </c>
      <c r="H39" t="s">
        <v>766</v>
      </c>
    </row>
    <row r="40" spans="1:8" x14ac:dyDescent="0.3">
      <c r="A40" s="128">
        <v>37</v>
      </c>
      <c r="B40" t="s">
        <v>267</v>
      </c>
      <c r="C40" t="s">
        <v>276</v>
      </c>
      <c r="D40" t="s">
        <v>1158</v>
      </c>
      <c r="E40" t="s">
        <v>277</v>
      </c>
      <c r="F40" s="39" t="s">
        <v>19</v>
      </c>
      <c r="G40" s="39" t="s">
        <v>28</v>
      </c>
      <c r="H40" t="s">
        <v>769</v>
      </c>
    </row>
    <row r="41" spans="1:8" x14ac:dyDescent="0.3">
      <c r="A41" s="128">
        <v>38</v>
      </c>
      <c r="B41" t="s">
        <v>270</v>
      </c>
      <c r="C41" t="s">
        <v>278</v>
      </c>
      <c r="D41" t="s">
        <v>1158</v>
      </c>
      <c r="E41" t="s">
        <v>279</v>
      </c>
      <c r="F41" s="39" t="s">
        <v>19</v>
      </c>
      <c r="G41" s="39" t="s">
        <v>28</v>
      </c>
      <c r="H41" t="s">
        <v>770</v>
      </c>
    </row>
    <row r="42" spans="1:8" x14ac:dyDescent="0.3">
      <c r="A42" s="128">
        <v>39</v>
      </c>
      <c r="B42" t="s">
        <v>270</v>
      </c>
      <c r="C42" t="s">
        <v>280</v>
      </c>
      <c r="D42" t="s">
        <v>1158</v>
      </c>
      <c r="E42" t="s">
        <v>281</v>
      </c>
      <c r="F42" s="39" t="s">
        <v>19</v>
      </c>
      <c r="G42" s="39" t="s">
        <v>28</v>
      </c>
      <c r="H42" t="s">
        <v>771</v>
      </c>
    </row>
    <row r="43" spans="1:8" x14ac:dyDescent="0.3">
      <c r="A43" s="128">
        <v>40</v>
      </c>
      <c r="B43" t="s">
        <v>270</v>
      </c>
      <c r="C43" t="s">
        <v>283</v>
      </c>
      <c r="D43" t="s">
        <v>1158</v>
      </c>
      <c r="E43" t="s">
        <v>284</v>
      </c>
      <c r="F43" s="39" t="s">
        <v>19</v>
      </c>
      <c r="G43" s="39" t="s">
        <v>1150</v>
      </c>
      <c r="H43" t="s">
        <v>774</v>
      </c>
    </row>
    <row r="44" spans="1:8" x14ac:dyDescent="0.3">
      <c r="A44" s="128">
        <v>41</v>
      </c>
      <c r="B44" t="s">
        <v>270</v>
      </c>
      <c r="C44" t="s">
        <v>286</v>
      </c>
      <c r="D44" t="s">
        <v>1158</v>
      </c>
      <c r="E44" t="s">
        <v>287</v>
      </c>
      <c r="F44" s="39" t="s">
        <v>15</v>
      </c>
      <c r="G44" s="39" t="s">
        <v>28</v>
      </c>
      <c r="H44" t="s">
        <v>777</v>
      </c>
    </row>
    <row r="45" spans="1:8" x14ac:dyDescent="0.3">
      <c r="A45" s="128">
        <v>42</v>
      </c>
      <c r="B45" t="s">
        <v>290</v>
      </c>
      <c r="C45" t="s">
        <v>1055</v>
      </c>
      <c r="D45" t="s">
        <v>1158</v>
      </c>
      <c r="E45" t="s">
        <v>1185</v>
      </c>
      <c r="F45" s="39" t="s">
        <v>19</v>
      </c>
      <c r="G45" s="39" t="s">
        <v>20</v>
      </c>
      <c r="H45" t="s">
        <v>778</v>
      </c>
    </row>
    <row r="46" spans="1:8" x14ac:dyDescent="0.3">
      <c r="A46" s="128">
        <v>43</v>
      </c>
      <c r="B46" t="s">
        <v>293</v>
      </c>
      <c r="C46" t="s">
        <v>1060</v>
      </c>
      <c r="D46" t="s">
        <v>1158</v>
      </c>
      <c r="E46" t="s">
        <v>294</v>
      </c>
      <c r="F46" s="39" t="s">
        <v>73</v>
      </c>
      <c r="G46" s="39" t="s">
        <v>28</v>
      </c>
      <c r="H46" t="s">
        <v>784</v>
      </c>
    </row>
    <row r="47" spans="1:8" x14ac:dyDescent="0.3">
      <c r="A47" s="128">
        <v>44</v>
      </c>
      <c r="B47" t="s">
        <v>270</v>
      </c>
      <c r="C47" t="s">
        <v>295</v>
      </c>
      <c r="D47" t="s">
        <v>1158</v>
      </c>
      <c r="E47" t="s">
        <v>296</v>
      </c>
      <c r="F47" s="39" t="s">
        <v>73</v>
      </c>
      <c r="G47" s="39" t="s">
        <v>28</v>
      </c>
      <c r="H47" t="s">
        <v>1155</v>
      </c>
    </row>
    <row r="48" spans="1:8" x14ac:dyDescent="0.3">
      <c r="A48" s="128">
        <v>45</v>
      </c>
      <c r="B48" t="s">
        <v>297</v>
      </c>
      <c r="C48" t="s">
        <v>1061</v>
      </c>
      <c r="D48" t="s">
        <v>1158</v>
      </c>
      <c r="E48" t="s">
        <v>298</v>
      </c>
      <c r="F48" s="39" t="s">
        <v>19</v>
      </c>
      <c r="G48" s="39" t="s">
        <v>28</v>
      </c>
      <c r="H48" t="s">
        <v>785</v>
      </c>
    </row>
    <row r="49" spans="1:8" x14ac:dyDescent="0.3">
      <c r="A49" s="128">
        <v>46</v>
      </c>
      <c r="B49" t="s">
        <v>293</v>
      </c>
      <c r="C49" t="s">
        <v>299</v>
      </c>
      <c r="D49" t="s">
        <v>1158</v>
      </c>
      <c r="E49" t="s">
        <v>300</v>
      </c>
      <c r="F49" s="39" t="s">
        <v>19</v>
      </c>
      <c r="G49" s="39" t="s">
        <v>1150</v>
      </c>
      <c r="H49" t="s">
        <v>786</v>
      </c>
    </row>
    <row r="50" spans="1:8" x14ac:dyDescent="0.3">
      <c r="A50" s="128">
        <v>47</v>
      </c>
      <c r="B50" t="s">
        <v>297</v>
      </c>
      <c r="C50" t="s">
        <v>1062</v>
      </c>
      <c r="D50" t="s">
        <v>1158</v>
      </c>
      <c r="E50" t="s">
        <v>301</v>
      </c>
      <c r="F50" s="39" t="s">
        <v>19</v>
      </c>
      <c r="G50" s="39" t="s">
        <v>1150</v>
      </c>
      <c r="H50" t="s">
        <v>787</v>
      </c>
    </row>
    <row r="51" spans="1:8" x14ac:dyDescent="0.3">
      <c r="A51" s="128">
        <v>48</v>
      </c>
      <c r="B51" t="s">
        <v>297</v>
      </c>
      <c r="C51" t="s">
        <v>302</v>
      </c>
      <c r="D51" t="s">
        <v>1158</v>
      </c>
      <c r="E51" t="s">
        <v>303</v>
      </c>
      <c r="F51" s="39" t="s">
        <v>15</v>
      </c>
      <c r="G51" s="39" t="s">
        <v>1150</v>
      </c>
      <c r="H51" t="s">
        <v>788</v>
      </c>
    </row>
    <row r="52" spans="1:8" x14ac:dyDescent="0.3">
      <c r="A52" s="128">
        <v>49</v>
      </c>
      <c r="B52" t="s">
        <v>304</v>
      </c>
      <c r="C52" t="s">
        <v>311</v>
      </c>
      <c r="D52" t="s">
        <v>1158</v>
      </c>
      <c r="E52" t="s">
        <v>312</v>
      </c>
      <c r="F52" s="39" t="s">
        <v>19</v>
      </c>
      <c r="G52" s="39" t="s">
        <v>20</v>
      </c>
      <c r="H52" t="s">
        <v>792</v>
      </c>
    </row>
    <row r="53" spans="1:8" x14ac:dyDescent="0.3">
      <c r="A53" s="128">
        <v>50</v>
      </c>
      <c r="B53" t="s">
        <v>323</v>
      </c>
      <c r="C53" t="s">
        <v>324</v>
      </c>
      <c r="D53" t="s">
        <v>1158</v>
      </c>
      <c r="E53" t="s">
        <v>325</v>
      </c>
      <c r="F53" s="39" t="s">
        <v>19</v>
      </c>
      <c r="G53" s="39" t="s">
        <v>20</v>
      </c>
      <c r="H53" t="s">
        <v>1156</v>
      </c>
    </row>
    <row r="54" spans="1:8" x14ac:dyDescent="0.3">
      <c r="A54" s="128">
        <v>51</v>
      </c>
      <c r="B54" t="s">
        <v>313</v>
      </c>
      <c r="C54" t="s">
        <v>330</v>
      </c>
      <c r="D54" t="s">
        <v>1158</v>
      </c>
      <c r="E54" t="s">
        <v>331</v>
      </c>
      <c r="F54" s="39" t="s">
        <v>15</v>
      </c>
      <c r="G54" s="39" t="s">
        <v>28</v>
      </c>
      <c r="H54" t="s">
        <v>800</v>
      </c>
    </row>
    <row r="55" spans="1:8" x14ac:dyDescent="0.3">
      <c r="A55" s="128">
        <v>52</v>
      </c>
      <c r="B55" t="s">
        <v>187</v>
      </c>
      <c r="C55" t="s">
        <v>1067</v>
      </c>
      <c r="D55" t="s">
        <v>1158</v>
      </c>
      <c r="E55" t="s">
        <v>1068</v>
      </c>
      <c r="F55" s="39" t="s">
        <v>73</v>
      </c>
      <c r="G55" s="39" t="s">
        <v>28</v>
      </c>
    </row>
    <row r="56" spans="1:8" x14ac:dyDescent="0.3">
      <c r="A56" s="128">
        <v>53</v>
      </c>
      <c r="B56" t="s">
        <v>267</v>
      </c>
      <c r="C56" t="s">
        <v>387</v>
      </c>
      <c r="D56" t="s">
        <v>1158</v>
      </c>
      <c r="E56" t="s">
        <v>388</v>
      </c>
      <c r="F56" s="39" t="s">
        <v>19</v>
      </c>
      <c r="G56" s="39" t="s">
        <v>28</v>
      </c>
      <c r="H56" t="s">
        <v>838</v>
      </c>
    </row>
    <row r="57" spans="1:8" x14ac:dyDescent="0.3">
      <c r="A57" s="128">
        <v>54</v>
      </c>
      <c r="B57" t="s">
        <v>267</v>
      </c>
      <c r="C57" t="s">
        <v>1098</v>
      </c>
      <c r="D57" t="s">
        <v>1158</v>
      </c>
      <c r="E57" t="s">
        <v>341</v>
      </c>
      <c r="F57" s="39" t="s">
        <v>73</v>
      </c>
      <c r="G57" s="39" t="s">
        <v>28</v>
      </c>
      <c r="H57" t="s">
        <v>806</v>
      </c>
    </row>
    <row r="58" spans="1:8" x14ac:dyDescent="0.3">
      <c r="A58" s="128">
        <v>55</v>
      </c>
      <c r="B58" t="s">
        <v>267</v>
      </c>
      <c r="C58" t="s">
        <v>1099</v>
      </c>
      <c r="D58" t="s">
        <v>1158</v>
      </c>
      <c r="E58" t="s">
        <v>341</v>
      </c>
      <c r="F58" s="39" t="s">
        <v>73</v>
      </c>
      <c r="G58" s="39" t="s">
        <v>28</v>
      </c>
      <c r="H58" t="s">
        <v>807</v>
      </c>
    </row>
    <row r="59" spans="1:8" x14ac:dyDescent="0.3">
      <c r="A59" s="128">
        <v>56</v>
      </c>
      <c r="B59" t="s">
        <v>389</v>
      </c>
      <c r="C59" t="s">
        <v>390</v>
      </c>
      <c r="D59" t="s">
        <v>1158</v>
      </c>
      <c r="E59" t="s">
        <v>391</v>
      </c>
      <c r="F59" s="39" t="s">
        <v>19</v>
      </c>
      <c r="G59" s="39" t="s">
        <v>28</v>
      </c>
      <c r="H59" t="s">
        <v>839</v>
      </c>
    </row>
    <row r="60" spans="1:8" x14ac:dyDescent="0.3">
      <c r="A60" s="128">
        <v>57</v>
      </c>
      <c r="B60" t="s">
        <v>297</v>
      </c>
      <c r="C60" t="s">
        <v>1104</v>
      </c>
      <c r="D60" t="s">
        <v>1158</v>
      </c>
      <c r="E60" t="s">
        <v>399</v>
      </c>
      <c r="F60" s="39" t="s">
        <v>19</v>
      </c>
      <c r="G60" s="39" t="s">
        <v>1150</v>
      </c>
      <c r="H60" t="s">
        <v>845</v>
      </c>
    </row>
    <row r="61" spans="1:8" x14ac:dyDescent="0.3">
      <c r="A61" s="128">
        <v>58</v>
      </c>
      <c r="B61" t="s">
        <v>267</v>
      </c>
      <c r="C61" t="s">
        <v>1126</v>
      </c>
      <c r="D61" t="s">
        <v>1158</v>
      </c>
      <c r="E61" t="s">
        <v>503</v>
      </c>
      <c r="F61" s="39" t="s">
        <v>19</v>
      </c>
      <c r="G61" s="39" t="s">
        <v>1151</v>
      </c>
      <c r="H61" t="s">
        <v>907</v>
      </c>
    </row>
    <row r="62" spans="1:8" x14ac:dyDescent="0.3">
      <c r="A62" s="128">
        <v>59</v>
      </c>
      <c r="B62" t="s">
        <v>485</v>
      </c>
      <c r="C62" t="s">
        <v>486</v>
      </c>
      <c r="D62" t="s">
        <v>1158</v>
      </c>
      <c r="E62" t="s">
        <v>487</v>
      </c>
      <c r="F62" s="39" t="s">
        <v>19</v>
      </c>
      <c r="G62" s="39" t="s">
        <v>1151</v>
      </c>
      <c r="H62" t="s">
        <v>899</v>
      </c>
    </row>
    <row r="63" spans="1:8" x14ac:dyDescent="0.3">
      <c r="A63" s="128">
        <v>60</v>
      </c>
      <c r="B63" t="s">
        <v>485</v>
      </c>
      <c r="C63" t="s">
        <v>493</v>
      </c>
      <c r="D63" t="s">
        <v>1158</v>
      </c>
      <c r="E63" t="s">
        <v>494</v>
      </c>
      <c r="F63" s="39" t="s">
        <v>15</v>
      </c>
      <c r="G63" s="39" t="s">
        <v>28</v>
      </c>
      <c r="H63" t="s">
        <v>902</v>
      </c>
    </row>
    <row r="64" spans="1:8" x14ac:dyDescent="0.3">
      <c r="A64" s="128">
        <v>61</v>
      </c>
      <c r="B64" t="s">
        <v>485</v>
      </c>
      <c r="C64" t="s">
        <v>495</v>
      </c>
      <c r="D64" t="s">
        <v>1158</v>
      </c>
      <c r="E64" t="s">
        <v>496</v>
      </c>
      <c r="F64" s="39" t="s">
        <v>19</v>
      </c>
      <c r="G64" s="39" t="s">
        <v>28</v>
      </c>
      <c r="H64" t="s">
        <v>903</v>
      </c>
    </row>
    <row r="65" spans="1:8" x14ac:dyDescent="0.3">
      <c r="A65" s="128">
        <v>62</v>
      </c>
      <c r="B65" t="s">
        <v>485</v>
      </c>
      <c r="C65" t="s">
        <v>497</v>
      </c>
      <c r="D65" t="s">
        <v>1158</v>
      </c>
      <c r="E65" t="s">
        <v>498</v>
      </c>
      <c r="F65" s="39" t="s">
        <v>15</v>
      </c>
      <c r="G65" s="39" t="s">
        <v>28</v>
      </c>
      <c r="H65" t="s">
        <v>904</v>
      </c>
    </row>
    <row r="66" spans="1:8" x14ac:dyDescent="0.3">
      <c r="A66" s="128">
        <v>63</v>
      </c>
      <c r="B66" t="s">
        <v>485</v>
      </c>
      <c r="C66" t="s">
        <v>499</v>
      </c>
      <c r="D66" t="s">
        <v>1158</v>
      </c>
      <c r="E66" t="s">
        <v>500</v>
      </c>
      <c r="F66" s="39" t="s">
        <v>19</v>
      </c>
      <c r="G66" s="39" t="s">
        <v>28</v>
      </c>
      <c r="H66" t="s">
        <v>905</v>
      </c>
    </row>
    <row r="67" spans="1:8" x14ac:dyDescent="0.3">
      <c r="A67" s="128">
        <v>64</v>
      </c>
      <c r="B67" t="s">
        <v>485</v>
      </c>
      <c r="C67" t="s">
        <v>501</v>
      </c>
      <c r="D67" t="s">
        <v>1158</v>
      </c>
      <c r="E67" t="s">
        <v>502</v>
      </c>
      <c r="F67" s="39" t="s">
        <v>19</v>
      </c>
      <c r="G67" s="39" t="s">
        <v>1151</v>
      </c>
      <c r="H67" t="s">
        <v>906</v>
      </c>
    </row>
    <row r="68" spans="1:8" x14ac:dyDescent="0.3">
      <c r="A68" s="128">
        <v>65</v>
      </c>
      <c r="B68" t="s">
        <v>521</v>
      </c>
      <c r="C68" t="s">
        <v>542</v>
      </c>
      <c r="D68" t="s">
        <v>1158</v>
      </c>
      <c r="E68" t="s">
        <v>1165</v>
      </c>
      <c r="F68" s="39"/>
      <c r="G68" s="39" t="s">
        <v>1151</v>
      </c>
      <c r="H68" t="s">
        <v>925</v>
      </c>
    </row>
    <row r="69" spans="1:8" x14ac:dyDescent="0.3">
      <c r="A69" s="128">
        <v>66</v>
      </c>
      <c r="B69" t="s">
        <v>521</v>
      </c>
      <c r="C69" t="s">
        <v>552</v>
      </c>
      <c r="D69" t="s">
        <v>1158</v>
      </c>
      <c r="E69" t="s">
        <v>553</v>
      </c>
      <c r="F69" s="39" t="s">
        <v>73</v>
      </c>
      <c r="G69" s="39" t="s">
        <v>28</v>
      </c>
      <c r="H69" t="s">
        <v>700</v>
      </c>
    </row>
    <row r="70" spans="1:8" x14ac:dyDescent="0.3">
      <c r="A70" s="128">
        <v>67</v>
      </c>
      <c r="B70" t="s">
        <v>521</v>
      </c>
      <c r="C70" t="s">
        <v>554</v>
      </c>
      <c r="D70" t="s">
        <v>1158</v>
      </c>
      <c r="E70" t="s">
        <v>553</v>
      </c>
      <c r="F70" s="39" t="s">
        <v>73</v>
      </c>
      <c r="G70" s="39" t="s">
        <v>28</v>
      </c>
      <c r="H70" t="s">
        <v>941</v>
      </c>
    </row>
    <row r="73" spans="1:8" ht="28.8" x14ac:dyDescent="0.3">
      <c r="B73" t="s">
        <v>7</v>
      </c>
      <c r="C73" s="39" t="s">
        <v>8</v>
      </c>
      <c r="D73" s="47" t="s">
        <v>1157</v>
      </c>
      <c r="E73" t="s">
        <v>9</v>
      </c>
      <c r="F73" s="39" t="s">
        <v>10</v>
      </c>
      <c r="G73" s="39" t="s">
        <v>11</v>
      </c>
    </row>
    <row r="74" spans="1:8" x14ac:dyDescent="0.3">
      <c r="A74" s="128">
        <v>1</v>
      </c>
      <c r="B74" t="s">
        <v>194</v>
      </c>
      <c r="C74" t="s">
        <v>197</v>
      </c>
      <c r="D74" t="s">
        <v>1159</v>
      </c>
      <c r="E74" t="s">
        <v>198</v>
      </c>
      <c r="F74" s="39" t="s">
        <v>19</v>
      </c>
      <c r="G74" s="39" t="s">
        <v>20</v>
      </c>
      <c r="H74" t="s">
        <v>725</v>
      </c>
    </row>
    <row r="75" spans="1:8" x14ac:dyDescent="0.3">
      <c r="A75" s="128">
        <v>2</v>
      </c>
      <c r="B75" t="s">
        <v>232</v>
      </c>
      <c r="C75" t="s">
        <v>288</v>
      </c>
      <c r="D75" t="s">
        <v>1159</v>
      </c>
      <c r="E75" t="s">
        <v>289</v>
      </c>
      <c r="F75" s="39" t="s">
        <v>15</v>
      </c>
      <c r="G75" s="39" t="s">
        <v>28</v>
      </c>
      <c r="H75" t="s">
        <v>1161</v>
      </c>
    </row>
    <row r="76" spans="1:8" x14ac:dyDescent="0.3">
      <c r="A76" s="128">
        <v>3</v>
      </c>
      <c r="B76" t="s">
        <v>12</v>
      </c>
      <c r="C76" s="45" t="s">
        <v>13</v>
      </c>
      <c r="D76" t="s">
        <v>1159</v>
      </c>
      <c r="E76" t="s">
        <v>14</v>
      </c>
      <c r="F76" s="39" t="s">
        <v>15</v>
      </c>
      <c r="G76" s="39" t="s">
        <v>1150</v>
      </c>
      <c r="H76" t="s">
        <v>780</v>
      </c>
    </row>
    <row r="77" spans="1:8" x14ac:dyDescent="0.3">
      <c r="A77" s="128">
        <v>4</v>
      </c>
      <c r="B77" t="s">
        <v>17</v>
      </c>
      <c r="C77" s="45" t="s">
        <v>24</v>
      </c>
      <c r="D77" t="s">
        <v>1159</v>
      </c>
      <c r="E77" t="s">
        <v>25</v>
      </c>
      <c r="F77" s="39" t="s">
        <v>15</v>
      </c>
      <c r="G77" s="39" t="s">
        <v>20</v>
      </c>
      <c r="H77" t="s">
        <v>783</v>
      </c>
    </row>
    <row r="78" spans="1:8" x14ac:dyDescent="0.3">
      <c r="A78" s="128">
        <v>5</v>
      </c>
      <c r="B78" t="s">
        <v>380</v>
      </c>
      <c r="C78" t="s">
        <v>1085</v>
      </c>
      <c r="D78" t="s">
        <v>1159</v>
      </c>
      <c r="E78" t="s">
        <v>386</v>
      </c>
      <c r="F78" s="39" t="s">
        <v>15</v>
      </c>
      <c r="G78" s="39" t="s">
        <v>28</v>
      </c>
      <c r="H78" t="s">
        <v>837</v>
      </c>
    </row>
    <row r="79" spans="1:8" x14ac:dyDescent="0.3">
      <c r="A79" s="128">
        <v>6</v>
      </c>
      <c r="B79" t="s">
        <v>443</v>
      </c>
      <c r="C79" t="s">
        <v>450</v>
      </c>
      <c r="D79" t="s">
        <v>1159</v>
      </c>
      <c r="E79" t="s">
        <v>451</v>
      </c>
      <c r="F79" s="39" t="s">
        <v>15</v>
      </c>
      <c r="G79" s="39" t="s">
        <v>20</v>
      </c>
      <c r="H79" t="s">
        <v>868</v>
      </c>
    </row>
    <row r="80" spans="1:8" x14ac:dyDescent="0.3">
      <c r="A80" s="128">
        <v>7</v>
      </c>
      <c r="B80" t="s">
        <v>443</v>
      </c>
      <c r="C80" t="s">
        <v>444</v>
      </c>
      <c r="D80" t="s">
        <v>1159</v>
      </c>
      <c r="E80" t="s">
        <v>445</v>
      </c>
      <c r="F80" s="39" t="s">
        <v>46</v>
      </c>
      <c r="G80" s="39" t="s">
        <v>20</v>
      </c>
      <c r="H80" t="s">
        <v>871</v>
      </c>
    </row>
    <row r="81" spans="1:8" x14ac:dyDescent="0.3">
      <c r="A81" s="128">
        <v>8</v>
      </c>
      <c r="B81" t="s">
        <v>443</v>
      </c>
      <c r="C81" t="s">
        <v>454</v>
      </c>
      <c r="D81" t="s">
        <v>1159</v>
      </c>
      <c r="E81" t="s">
        <v>455</v>
      </c>
      <c r="F81" s="39" t="s">
        <v>15</v>
      </c>
      <c r="G81" s="39" t="s">
        <v>1151</v>
      </c>
      <c r="H81" t="s">
        <v>872</v>
      </c>
    </row>
    <row r="82" spans="1:8" x14ac:dyDescent="0.3">
      <c r="A82" s="128">
        <v>9</v>
      </c>
      <c r="B82" t="s">
        <v>460</v>
      </c>
      <c r="C82" t="s">
        <v>1113</v>
      </c>
      <c r="D82" t="s">
        <v>1159</v>
      </c>
      <c r="E82" t="s">
        <v>475</v>
      </c>
      <c r="F82" s="39" t="s">
        <v>15</v>
      </c>
      <c r="G82" s="39" t="s">
        <v>20</v>
      </c>
      <c r="H82" t="s">
        <v>879</v>
      </c>
    </row>
    <row r="83" spans="1:8" x14ac:dyDescent="0.3">
      <c r="A83" s="128">
        <v>10</v>
      </c>
      <c r="B83" t="s">
        <v>460</v>
      </c>
      <c r="C83" t="s">
        <v>1122</v>
      </c>
      <c r="D83" t="s">
        <v>1159</v>
      </c>
      <c r="E83" t="s">
        <v>466</v>
      </c>
      <c r="F83" s="39" t="s">
        <v>15</v>
      </c>
      <c r="G83" s="39" t="s">
        <v>20</v>
      </c>
      <c r="H83" t="s">
        <v>861</v>
      </c>
    </row>
    <row r="84" spans="1:8" x14ac:dyDescent="0.3">
      <c r="A84" s="128">
        <v>11</v>
      </c>
      <c r="B84" t="s">
        <v>525</v>
      </c>
      <c r="C84" t="s">
        <v>545</v>
      </c>
      <c r="D84" t="s">
        <v>1159</v>
      </c>
      <c r="E84" t="s">
        <v>546</v>
      </c>
      <c r="F84" s="39" t="s">
        <v>19</v>
      </c>
      <c r="G84" s="39" t="s">
        <v>28</v>
      </c>
      <c r="H84" t="s">
        <v>927</v>
      </c>
    </row>
    <row r="85" spans="1:8" x14ac:dyDescent="0.3">
      <c r="A85" s="128">
        <v>12</v>
      </c>
      <c r="B85" t="s">
        <v>525</v>
      </c>
      <c r="C85" t="s">
        <v>526</v>
      </c>
      <c r="D85" t="s">
        <v>1159</v>
      </c>
      <c r="E85" t="s">
        <v>527</v>
      </c>
      <c r="F85" s="39" t="s">
        <v>15</v>
      </c>
      <c r="G85" s="39" t="s">
        <v>1151</v>
      </c>
      <c r="H85" t="s">
        <v>934</v>
      </c>
    </row>
    <row r="86" spans="1:8" x14ac:dyDescent="0.3">
      <c r="A86" s="128">
        <v>13</v>
      </c>
      <c r="B86" t="s">
        <v>178</v>
      </c>
      <c r="C86" t="s">
        <v>593</v>
      </c>
      <c r="D86" t="s">
        <v>1159</v>
      </c>
      <c r="E86" t="s">
        <v>1191</v>
      </c>
      <c r="F86" s="39" t="s">
        <v>15</v>
      </c>
      <c r="G86" s="39" t="s">
        <v>28</v>
      </c>
    </row>
    <row r="87" spans="1:8" x14ac:dyDescent="0.3">
      <c r="A87" s="128">
        <v>14</v>
      </c>
      <c r="B87" t="s">
        <v>610</v>
      </c>
      <c r="C87" t="s">
        <v>608</v>
      </c>
      <c r="D87" t="s">
        <v>1159</v>
      </c>
      <c r="E87" t="s">
        <v>609</v>
      </c>
      <c r="F87" s="39" t="s">
        <v>19</v>
      </c>
      <c r="G87" s="39" t="s">
        <v>20</v>
      </c>
      <c r="H87" t="s">
        <v>979</v>
      </c>
    </row>
  </sheetData>
  <conditionalFormatting sqref="F3:H70 F73:H85">
    <cfRule type="containsText" dxfId="17" priority="18" operator="containsText" text="Radio">
      <formula>NOT(ISERROR(SEARCH("Radio",F3)))</formula>
    </cfRule>
  </conditionalFormatting>
  <conditionalFormatting sqref="F3:F70 F73:F85">
    <cfRule type="containsText" dxfId="16" priority="16" operator="containsText" text="fija">
      <formula>NOT(ISERROR(SEARCH("fija",F3)))</formula>
    </cfRule>
    <cfRule type="containsText" dxfId="15" priority="17" operator="containsText" text="domo">
      <formula>NOT(ISERROR(SEARCH("domo",F3)))</formula>
    </cfRule>
  </conditionalFormatting>
  <conditionalFormatting sqref="G3:G70 G73:G85">
    <cfRule type="cellIs" dxfId="14" priority="15" operator="equal">
      <formula>"PTP A FO"</formula>
    </cfRule>
  </conditionalFormatting>
  <conditionalFormatting sqref="G3:G70">
    <cfRule type="cellIs" dxfId="13" priority="13" operator="equal">
      <formula>$G$10</formula>
    </cfRule>
    <cfRule type="cellIs" dxfId="12" priority="14" operator="equal">
      <formula>"PTP A FO"</formula>
    </cfRule>
  </conditionalFormatting>
  <conditionalFormatting sqref="F3:F70">
    <cfRule type="cellIs" dxfId="11" priority="12" operator="equal">
      <formula>$F$7</formula>
    </cfRule>
  </conditionalFormatting>
  <conditionalFormatting sqref="D3:D70">
    <cfRule type="cellIs" dxfId="10" priority="10" operator="equal">
      <formula>$D$214</formula>
    </cfRule>
    <cfRule type="cellIs" dxfId="9" priority="11" operator="equal">
      <formula>$D$202</formula>
    </cfRule>
  </conditionalFormatting>
  <conditionalFormatting sqref="F87:H87">
    <cfRule type="containsText" dxfId="8" priority="9" operator="containsText" text="Radio">
      <formula>NOT(ISERROR(SEARCH("Radio",F87)))</formula>
    </cfRule>
  </conditionalFormatting>
  <conditionalFormatting sqref="F87">
    <cfRule type="containsText" dxfId="7" priority="7" operator="containsText" text="fija">
      <formula>NOT(ISERROR(SEARCH("fija",F87)))</formula>
    </cfRule>
    <cfRule type="containsText" dxfId="6" priority="8" operator="containsText" text="domo">
      <formula>NOT(ISERROR(SEARCH("domo",F87)))</formula>
    </cfRule>
  </conditionalFormatting>
  <conditionalFormatting sqref="G87">
    <cfRule type="cellIs" dxfId="5" priority="6" operator="equal">
      <formula>"PTP A FO"</formula>
    </cfRule>
  </conditionalFormatting>
  <conditionalFormatting sqref="G73:G87">
    <cfRule type="cellIs" dxfId="4" priority="4" operator="equal">
      <formula>$F$10</formula>
    </cfRule>
    <cfRule type="cellIs" dxfId="3" priority="5" operator="equal">
      <formula>"PTP A FO"</formula>
    </cfRule>
  </conditionalFormatting>
  <conditionalFormatting sqref="F73:F87">
    <cfRule type="cellIs" dxfId="2" priority="3" operator="equal">
      <formula>$E$7</formula>
    </cfRule>
  </conditionalFormatting>
  <conditionalFormatting sqref="D73:D87">
    <cfRule type="cellIs" dxfId="1" priority="585" operator="equal">
      <formula>$C$214</formula>
    </cfRule>
    <cfRule type="cellIs" dxfId="0" priority="586" operator="equal">
      <formula>$C$202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5</vt:i4>
      </vt:variant>
    </vt:vector>
  </HeadingPairs>
  <TitlesOfParts>
    <vt:vector size="21" baseType="lpstr">
      <vt:lpstr>RESUMEN TOTAL</vt:lpstr>
      <vt:lpstr>Hoja4</vt:lpstr>
      <vt:lpstr>Hoja5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Hoja3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2022-12-19T19:34:42Z</dcterms:modified>
</cp:coreProperties>
</file>