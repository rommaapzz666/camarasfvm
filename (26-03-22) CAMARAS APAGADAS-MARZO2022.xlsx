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8CEF6900-FCBF-451F-9AFA-E60F0CBADA74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0" l="1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E367" i="9" s="1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E368" i="10" l="1"/>
  <c r="AA369" i="1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C2" i="14" s="1"/>
  <c r="O2" i="11"/>
  <c r="B11" i="14" s="1"/>
  <c r="D1" i="10"/>
  <c r="AE2" i="21"/>
  <c r="AF2" i="2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5" i="14" l="1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<sst xmlns="http://schemas.openxmlformats.org/spreadsheetml/2006/main" count="4218" uniqueCount="1333">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</sst>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N195" activePane="bottomRight" state="frozen"/>
      <selection pane="topRight" activeCell="M1" sqref="M1"/>
      <selection pane="bottomLeft" activeCell="A5" sqref="A5"/>
      <selection pane="bottomRight" activeCell="AN207" sqref="AN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0.2391304347826087</v>
      </c>
      <c r="AM1" s="4">
        <f t="shared" si="0"/>
        <v>0.14402173913043478</v>
      </c>
      <c r="AN1" s="4">
        <f t="shared" si="0"/>
        <v>0.15489130434782608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311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57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13</v>
      </c>
      <c r="M5" s="17">
        <f t="shared" ref="M5:M68" si="6">COUNTIF(O5:AP5,"APAGADO")</f>
        <v>15</v>
      </c>
      <c r="N5" s="18">
        <f t="shared" ref="N5:N68" si="7">(L5)/(M5+L5)</f>
        <v>0.4642857142857143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 t="s">
        <v>939</v>
      </c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 t="s">
        <v>939</v>
      </c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24</v>
      </c>
      <c r="M13" s="17">
        <f t="shared" si="6"/>
        <v>4</v>
      </c>
      <c r="N13" s="18">
        <f t="shared" si="7"/>
        <v>0.8571428571428571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 t="s">
        <v>939</v>
      </c>
      <c r="AO13" s="8"/>
      <c r="AP13" s="8"/>
      <c r="AQ13" s="27"/>
      <c r="AR13" s="27"/>
      <c r="AS13" s="27"/>
    </row>
    <row r="14" spans="1:45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23</v>
      </c>
      <c r="M14" s="17">
        <f t="shared" si="6"/>
        <v>5</v>
      </c>
      <c r="N14" s="18">
        <f t="shared" si="7"/>
        <v>0.8214285714285714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24</v>
      </c>
      <c r="M17" s="17">
        <f t="shared" si="6"/>
        <v>4</v>
      </c>
      <c r="N17" s="18">
        <f t="shared" si="7"/>
        <v>0.8571428571428571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 t="s">
        <v>939</v>
      </c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24</v>
      </c>
      <c r="M18" s="17">
        <f t="shared" si="6"/>
        <v>4</v>
      </c>
      <c r="N18" s="18">
        <f t="shared" si="7"/>
        <v>0.8571428571428571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 t="s">
        <v>939</v>
      </c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19</v>
      </c>
      <c r="M30" s="17">
        <f t="shared" si="6"/>
        <v>9</v>
      </c>
      <c r="N30" s="18">
        <f t="shared" si="7"/>
        <v>0.6785714285714286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 t="s">
        <v>939</v>
      </c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26</v>
      </c>
      <c r="M62" s="17">
        <f t="shared" si="6"/>
        <v>2</v>
      </c>
      <c r="N62" s="18">
        <f t="shared" si="7"/>
        <v>0.9285714285714286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 t="s">
        <v>939</v>
      </c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18</v>
      </c>
      <c r="M63" s="17">
        <f t="shared" si="6"/>
        <v>10</v>
      </c>
      <c r="N63" s="18">
        <f t="shared" si="7"/>
        <v>0.6428571428571429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 t="s">
        <v>939</v>
      </c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16</v>
      </c>
      <c r="M65" s="17">
        <f t="shared" si="6"/>
        <v>12</v>
      </c>
      <c r="N65" s="18">
        <f t="shared" si="7"/>
        <v>0.5714285714285714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 t="s">
        <v>939</v>
      </c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18</v>
      </c>
      <c r="M68" s="17">
        <f t="shared" si="6"/>
        <v>10</v>
      </c>
      <c r="N68" s="18">
        <f t="shared" si="7"/>
        <v>0.6428571428571429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 t="s">
        <v>939</v>
      </c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16</v>
      </c>
      <c r="M70" s="17">
        <f t="shared" si="9"/>
        <v>12</v>
      </c>
      <c r="N70" s="18">
        <f t="shared" si="10"/>
        <v>0.5714285714285714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 t="s">
        <v>939</v>
      </c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 t="s">
        <v>939</v>
      </c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2</v>
      </c>
      <c r="M91" s="17">
        <f t="shared" si="9"/>
        <v>26</v>
      </c>
      <c r="N91" s="18">
        <f t="shared" si="10"/>
        <v>7.1428571428571425E-2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 t="s">
        <v>939</v>
      </c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2</v>
      </c>
      <c r="M92" s="17">
        <f t="shared" si="9"/>
        <v>26</v>
      </c>
      <c r="N92" s="18">
        <f t="shared" si="10"/>
        <v>7.1428571428571425E-2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 t="s">
        <v>939</v>
      </c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19</v>
      </c>
      <c r="M106" s="17">
        <f t="shared" si="9"/>
        <v>9</v>
      </c>
      <c r="N106" s="18">
        <f t="shared" si="10"/>
        <v>0.6785714285714286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 t="s">
        <v>939</v>
      </c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19</v>
      </c>
      <c r="M107" s="17">
        <f t="shared" si="9"/>
        <v>9</v>
      </c>
      <c r="N107" s="18">
        <f t="shared" si="10"/>
        <v>0.6785714285714286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 t="s">
        <v>939</v>
      </c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19</v>
      </c>
      <c r="M108" s="17">
        <f t="shared" si="9"/>
        <v>9</v>
      </c>
      <c r="N108" s="18">
        <f t="shared" si="10"/>
        <v>0.6785714285714286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 t="s">
        <v>939</v>
      </c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19</v>
      </c>
      <c r="M109" s="17">
        <f t="shared" si="9"/>
        <v>9</v>
      </c>
      <c r="N109" s="18">
        <f t="shared" si="10"/>
        <v>0.6785714285714286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 t="s">
        <v>939</v>
      </c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18</v>
      </c>
      <c r="M122" s="17">
        <f t="shared" si="9"/>
        <v>10</v>
      </c>
      <c r="N122" s="18">
        <f t="shared" si="10"/>
        <v>0.6428571428571429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 t="s">
        <v>939</v>
      </c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18</v>
      </c>
      <c r="M123" s="17">
        <f t="shared" si="9"/>
        <v>10</v>
      </c>
      <c r="N123" s="18">
        <f t="shared" si="10"/>
        <v>0.6428571428571429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 t="s">
        <v>939</v>
      </c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 t="s">
        <v>939</v>
      </c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25</v>
      </c>
      <c r="M136" s="17">
        <f t="shared" si="12"/>
        <v>3</v>
      </c>
      <c r="N136" s="18">
        <f t="shared" si="13"/>
        <v>0.8928571428571429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 t="s">
        <v>939</v>
      </c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10</v>
      </c>
      <c r="M153" s="17">
        <f t="shared" si="12"/>
        <v>18</v>
      </c>
      <c r="N153" s="18">
        <f t="shared" si="13"/>
        <v>0.35714285714285715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3</v>
      </c>
      <c r="M156" s="17">
        <f t="shared" si="12"/>
        <v>25</v>
      </c>
      <c r="N156" s="18">
        <f t="shared" si="13"/>
        <v>0.10714285714285714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 t="s">
        <v>939</v>
      </c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17</v>
      </c>
      <c r="M169" s="17">
        <f t="shared" si="12"/>
        <v>11</v>
      </c>
      <c r="N169" s="18">
        <f t="shared" si="13"/>
        <v>0.6071428571428571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 t="s">
        <v>939</v>
      </c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9</v>
      </c>
      <c r="M171" s="17">
        <f t="shared" si="12"/>
        <v>19</v>
      </c>
      <c r="N171" s="18">
        <f t="shared" si="13"/>
        <v>0.32142857142857145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 t="s">
        <v>939</v>
      </c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23</v>
      </c>
      <c r="M173" s="17">
        <f t="shared" si="12"/>
        <v>5</v>
      </c>
      <c r="N173" s="18">
        <f t="shared" si="13"/>
        <v>0.8214285714285714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 t="s">
        <v>939</v>
      </c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13</v>
      </c>
      <c r="M174" s="17">
        <f t="shared" si="12"/>
        <v>15</v>
      </c>
      <c r="N174" s="18">
        <f t="shared" si="13"/>
        <v>0.4642857142857143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 t="s">
        <v>939</v>
      </c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19</v>
      </c>
      <c r="M180" s="17">
        <f t="shared" si="12"/>
        <v>9</v>
      </c>
      <c r="N180" s="18">
        <f t="shared" si="13"/>
        <v>0.6785714285714286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 t="s">
        <v>939</v>
      </c>
      <c r="AO180" s="8"/>
      <c r="AP180" s="8"/>
      <c r="AQ180" s="27"/>
      <c r="AR180" s="27"/>
      <c r="AS180" s="27"/>
    </row>
    <row r="181" spans="1:45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 t="s">
        <v>939</v>
      </c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 t="s">
        <v>939</v>
      </c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9</v>
      </c>
      <c r="M193" s="17">
        <f t="shared" si="12"/>
        <v>19</v>
      </c>
      <c r="N193" s="18">
        <f t="shared" si="13"/>
        <v>0.32142857142857145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14</v>
      </c>
      <c r="M197" s="17">
        <f t="shared" ref="M197:M262" si="15">COUNTIF(O197:AP197,"APAGADO")</f>
        <v>14</v>
      </c>
      <c r="N197" s="18">
        <f t="shared" ref="N197:N262" si="16">(L197)/(M197+L197)</f>
        <v>0.5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 t="s">
        <v>939</v>
      </c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18</v>
      </c>
      <c r="M198" s="17">
        <f t="shared" si="15"/>
        <v>10</v>
      </c>
      <c r="N198" s="18">
        <f t="shared" si="16"/>
        <v>0.6428571428571429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 t="s">
        <v>939</v>
      </c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21</v>
      </c>
      <c r="M199" s="17">
        <f t="shared" si="15"/>
        <v>7</v>
      </c>
      <c r="N199" s="18">
        <f t="shared" si="16"/>
        <v>0.75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 t="s">
        <v>939</v>
      </c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24</v>
      </c>
      <c r="M200" s="17">
        <f t="shared" si="15"/>
        <v>4</v>
      </c>
      <c r="N200" s="18">
        <f t="shared" si="16"/>
        <v>0.8571428571428571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 t="s">
        <v>939</v>
      </c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3</v>
      </c>
      <c r="M206" s="17">
        <f t="shared" si="15"/>
        <v>25</v>
      </c>
      <c r="N206" s="18">
        <f t="shared" si="16"/>
        <v>0.10714285714285714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 t="s">
        <v>939</v>
      </c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22</v>
      </c>
      <c r="M207" s="17">
        <f t="shared" si="15"/>
        <v>6</v>
      </c>
      <c r="N207" s="18">
        <f t="shared" si="16"/>
        <v>0.7857142857142857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 t="s">
        <v>939</v>
      </c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24</v>
      </c>
      <c r="M208" s="17">
        <f t="shared" si="15"/>
        <v>4</v>
      </c>
      <c r="N208" s="18">
        <f t="shared" si="16"/>
        <v>0.8571428571428571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 t="s">
        <v>939</v>
      </c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25</v>
      </c>
      <c r="M210" s="17">
        <f t="shared" si="15"/>
        <v>3</v>
      </c>
      <c r="N210" s="18">
        <f t="shared" si="16"/>
        <v>0.8928571428571429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 t="s">
        <v>939</v>
      </c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20</v>
      </c>
      <c r="M211" s="17">
        <f t="shared" si="15"/>
        <v>8</v>
      </c>
      <c r="N211" s="18">
        <f t="shared" si="16"/>
        <v>0.7142857142857143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 t="s">
        <v>939</v>
      </c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20</v>
      </c>
      <c r="M212" s="17">
        <f t="shared" si="15"/>
        <v>8</v>
      </c>
      <c r="N212" s="18">
        <f t="shared" si="16"/>
        <v>0.7142857142857143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 t="s">
        <v>939</v>
      </c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13</v>
      </c>
      <c r="M224" s="17">
        <f t="shared" si="15"/>
        <v>15</v>
      </c>
      <c r="N224" s="18">
        <f t="shared" si="16"/>
        <v>0.4642857142857143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 t="s">
        <v>939</v>
      </c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22</v>
      </c>
      <c r="M230" s="17">
        <f t="shared" si="15"/>
        <v>6</v>
      </c>
      <c r="N230" s="18">
        <f t="shared" si="16"/>
        <v>0.7857142857142857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 t="s">
        <v>939</v>
      </c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23</v>
      </c>
      <c r="M279" s="17">
        <f t="shared" si="18"/>
        <v>5</v>
      </c>
      <c r="N279" s="18">
        <f t="shared" si="19"/>
        <v>0.8214285714285714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 t="s">
        <v>939</v>
      </c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9</v>
      </c>
      <c r="M281" s="17">
        <f t="shared" si="18"/>
        <v>19</v>
      </c>
      <c r="N281" s="18">
        <f t="shared" si="19"/>
        <v>0.32142857142857145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 t="s">
        <v>939</v>
      </c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5</v>
      </c>
      <c r="M282" s="17">
        <f t="shared" si="18"/>
        <v>23</v>
      </c>
      <c r="N282" s="18">
        <f t="shared" si="19"/>
        <v>0.17857142857142858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 t="s">
        <v>939</v>
      </c>
      <c r="AO282" s="8"/>
      <c r="AP282" s="8"/>
      <c r="AQ282" s="27"/>
      <c r="AR282" s="27"/>
      <c r="AS282" s="27"/>
    </row>
    <row r="283" spans="1:45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20</v>
      </c>
      <c r="M284" s="17">
        <f t="shared" si="18"/>
        <v>8</v>
      </c>
      <c r="N284" s="18">
        <f t="shared" si="19"/>
        <v>0.7142857142857143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 t="s">
        <v>939</v>
      </c>
      <c r="AO284" s="8"/>
      <c r="AP284" s="8"/>
      <c r="AQ284" s="27"/>
      <c r="AR284" s="27"/>
      <c r="AS284" s="27"/>
    </row>
    <row r="285" spans="1:45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20</v>
      </c>
      <c r="M285" s="17">
        <f t="shared" si="18"/>
        <v>8</v>
      </c>
      <c r="N285" s="18">
        <f t="shared" si="19"/>
        <v>0.7142857142857143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 t="s">
        <v>939</v>
      </c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26</v>
      </c>
      <c r="M291" s="17">
        <f t="shared" si="18"/>
        <v>2</v>
      </c>
      <c r="N291" s="18">
        <f t="shared" si="19"/>
        <v>0.9285714285714286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25</v>
      </c>
      <c r="M292" s="17">
        <f t="shared" si="18"/>
        <v>3</v>
      </c>
      <c r="N292" s="18">
        <f t="shared" si="19"/>
        <v>0.8928571428571429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 t="s">
        <v>939</v>
      </c>
      <c r="AO292" s="8"/>
      <c r="AP292" s="8"/>
      <c r="AQ292" s="27"/>
      <c r="AR292" s="27"/>
      <c r="AS292" s="27"/>
    </row>
    <row r="293" spans="1:45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25</v>
      </c>
      <c r="M293" s="17">
        <f t="shared" si="18"/>
        <v>3</v>
      </c>
      <c r="N293" s="18">
        <f t="shared" si="19"/>
        <v>0.8928571428571429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 t="s">
        <v>939</v>
      </c>
      <c r="AO293" s="8"/>
      <c r="AP293" s="8"/>
      <c r="AQ293" s="27"/>
      <c r="AR293" s="27"/>
      <c r="AS293" s="27"/>
    </row>
    <row r="294" spans="1:45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25</v>
      </c>
      <c r="M294" s="17">
        <f t="shared" si="18"/>
        <v>3</v>
      </c>
      <c r="N294" s="18">
        <f t="shared" si="19"/>
        <v>0.8928571428571429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 t="s">
        <v>939</v>
      </c>
      <c r="AO294" s="8"/>
      <c r="AP294" s="8"/>
      <c r="AQ294" s="27"/>
      <c r="AR294" s="27"/>
      <c r="AS294" s="27"/>
    </row>
    <row r="295" spans="1:45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25</v>
      </c>
      <c r="M295" s="17">
        <f t="shared" si="18"/>
        <v>3</v>
      </c>
      <c r="N295" s="18">
        <f t="shared" si="19"/>
        <v>0.8928571428571429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 t="s">
        <v>939</v>
      </c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25</v>
      </c>
      <c r="M303" s="17">
        <f t="shared" si="18"/>
        <v>3</v>
      </c>
      <c r="N303" s="18">
        <f t="shared" si="19"/>
        <v>0.8928571428571429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 t="s">
        <v>939</v>
      </c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 t="s">
        <v>939</v>
      </c>
      <c r="AO342" s="8"/>
      <c r="AP342" s="8"/>
      <c r="AQ342" s="27"/>
      <c r="AR342" s="27"/>
      <c r="AS342" s="27"/>
    </row>
    <row r="343" spans="1:45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27</v>
      </c>
      <c r="M352" s="17">
        <f t="shared" si="21"/>
        <v>1</v>
      </c>
      <c r="N352" s="18">
        <f t="shared" si="22"/>
        <v>0.9642857142857143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 t="s">
        <v>939</v>
      </c>
      <c r="AO352" s="8"/>
      <c r="AP352" s="8"/>
      <c r="AQ352" s="27"/>
      <c r="AR352" s="27"/>
      <c r="AS352" s="27"/>
    </row>
    <row r="353" spans="1:45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 t="s">
        <v>939</v>
      </c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 t="s">
        <v>939</v>
      </c>
      <c r="AO358" s="8"/>
      <c r="AP358" s="8"/>
      <c r="AQ358" s="27"/>
      <c r="AR358" s="27"/>
      <c r="AS358" s="27"/>
    </row>
    <row r="359" spans="1:45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12</v>
      </c>
      <c r="M369" s="17">
        <f t="shared" si="21"/>
        <v>16</v>
      </c>
      <c r="N369" s="18">
        <f t="shared" si="22"/>
        <v>0.42857142857142855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 t="s">
        <v>939</v>
      </c>
      <c r="AO369" s="8"/>
      <c r="AP369" s="8"/>
      <c r="AQ369" s="27"/>
      <c r="AR369" s="27"/>
      <c r="AS369" s="27"/>
    </row>
    <row r="370" spans="1:45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27</v>
      </c>
      <c r="M371" s="17">
        <f t="shared" ref="M371:M372" si="24">COUNTIF(O371:AP371,"APAGADO")</f>
        <v>1</v>
      </c>
      <c r="N371" s="18">
        <f t="shared" ref="N371:N372" si="25">(L371)/(M371+L371)</f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27</v>
      </c>
      <c r="M372" s="17">
        <f t="shared" si="24"/>
        <v>1</v>
      </c>
      <c r="N372" s="18">
        <f t="shared" si="25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/>
      <c r="AQ372" s="27"/>
      <c r="AR372" s="27"/>
      <c r="AS372" s="27"/>
    </row>
    <row r="373" spans="1:45" x14ac:dyDescent="0.25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25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25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25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1312</v>
      </c>
    </row>
    <row r="2" spans="1:1" ht="15.75" thickBot="1" x14ac:dyDescent="0.3"/>
    <row r="3" spans="1:1" ht="20.25" thickTop="1" thickBot="1" x14ac:dyDescent="0.3">
      <c r="A3" s="48">
        <v>44621</v>
      </c>
    </row>
    <row r="4" spans="1:1" ht="20.25" thickTop="1" thickBot="1" x14ac:dyDescent="0.3">
      <c r="A4" s="48">
        <v>44622</v>
      </c>
    </row>
    <row r="5" spans="1:1" ht="20.25" thickTop="1" thickBot="1" x14ac:dyDescent="0.3">
      <c r="A5" s="48">
        <v>44623</v>
      </c>
    </row>
    <row r="6" spans="1:1" ht="20.25" thickTop="1" thickBot="1" x14ac:dyDescent="0.3">
      <c r="A6" s="48">
        <v>44624</v>
      </c>
    </row>
    <row r="7" spans="1:1" ht="20.25" thickTop="1" thickBot="1" x14ac:dyDescent="0.3">
      <c r="A7" s="48">
        <v>44625</v>
      </c>
    </row>
    <row r="8" spans="1:1" ht="20.25" thickTop="1" thickBot="1" x14ac:dyDescent="0.3">
      <c r="A8" s="48">
        <v>44626</v>
      </c>
    </row>
    <row r="9" spans="1:1" ht="20.25" thickTop="1" thickBot="1" x14ac:dyDescent="0.3">
      <c r="A9" s="48">
        <v>44627</v>
      </c>
    </row>
    <row r="10" spans="1:1" ht="20.25" thickTop="1" thickBot="1" x14ac:dyDescent="0.3">
      <c r="A10" s="48">
        <v>44628</v>
      </c>
    </row>
    <row r="11" spans="1:1" ht="20.25" thickTop="1" thickBot="1" x14ac:dyDescent="0.3">
      <c r="A11" s="48">
        <v>44629</v>
      </c>
    </row>
    <row r="12" spans="1:1" ht="20.25" thickTop="1" thickBot="1" x14ac:dyDescent="0.3">
      <c r="A12" s="48">
        <v>44630</v>
      </c>
    </row>
    <row r="13" spans="1:1" ht="20.25" thickTop="1" thickBot="1" x14ac:dyDescent="0.3">
      <c r="A13" s="48">
        <v>44631</v>
      </c>
    </row>
    <row r="14" spans="1:1" ht="20.25" thickTop="1" thickBot="1" x14ac:dyDescent="0.3">
      <c r="A14" s="48">
        <v>44632</v>
      </c>
    </row>
    <row r="15" spans="1:1" ht="20.25" thickTop="1" thickBot="1" x14ac:dyDescent="0.3">
      <c r="A15" s="48">
        <v>44633</v>
      </c>
    </row>
    <row r="16" spans="1:1" ht="20.25" thickTop="1" thickBot="1" x14ac:dyDescent="0.3">
      <c r="A16" s="48">
        <v>44634</v>
      </c>
    </row>
    <row r="17" spans="1:2" ht="20.25" thickTop="1" thickBot="1" x14ac:dyDescent="0.3">
      <c r="A17" s="48">
        <v>44635</v>
      </c>
    </row>
    <row r="18" spans="1:2" ht="20.25" thickTop="1" thickBot="1" x14ac:dyDescent="0.3">
      <c r="A18" s="48">
        <v>44636</v>
      </c>
    </row>
    <row r="19" spans="1:2" ht="20.25" thickTop="1" thickBot="1" x14ac:dyDescent="0.3">
      <c r="A19" s="48">
        <v>44637</v>
      </c>
    </row>
    <row r="20" spans="1:2" ht="20.25" thickTop="1" thickBot="1" x14ac:dyDescent="0.3">
      <c r="A20" s="48">
        <v>44638</v>
      </c>
    </row>
    <row r="21" spans="1:2" ht="20.25" thickTop="1" thickBot="1" x14ac:dyDescent="0.3">
      <c r="A21" s="48">
        <v>44639</v>
      </c>
    </row>
    <row r="22" spans="1:2" ht="20.25" thickTop="1" thickBot="1" x14ac:dyDescent="0.3">
      <c r="A22" s="48">
        <v>44640</v>
      </c>
    </row>
    <row r="23" spans="1:2" ht="20.25" thickTop="1" thickBot="1" x14ac:dyDescent="0.3">
      <c r="A23" s="48">
        <v>44641</v>
      </c>
      <c r="B23" s="49"/>
    </row>
    <row r="24" spans="1:2" ht="20.25" thickTop="1" thickBot="1" x14ac:dyDescent="0.3">
      <c r="A24" s="48">
        <v>44642</v>
      </c>
      <c r="B24" s="50"/>
    </row>
    <row r="25" spans="1:2" ht="20.25" thickTop="1" thickBot="1" x14ac:dyDescent="0.3">
      <c r="A25" s="48">
        <v>44643</v>
      </c>
    </row>
    <row r="26" spans="1:2" ht="20.25" thickTop="1" thickBot="1" x14ac:dyDescent="0.3">
      <c r="A26" s="48">
        <v>44644</v>
      </c>
    </row>
    <row r="27" spans="1:2" ht="20.25" thickTop="1" thickBot="1" x14ac:dyDescent="0.3">
      <c r="A27" s="48">
        <v>44645</v>
      </c>
    </row>
    <row r="28" spans="1:2" ht="20.25" thickTop="1" thickBot="1" x14ac:dyDescent="0.3">
      <c r="A28" s="48">
        <v>44646</v>
      </c>
    </row>
    <row r="29" spans="1:2" ht="20.25" thickTop="1" thickBot="1" x14ac:dyDescent="0.3">
      <c r="A29" s="48">
        <v>44647</v>
      </c>
    </row>
    <row r="30" spans="1:2" ht="20.25" thickTop="1" thickBot="1" x14ac:dyDescent="0.3">
      <c r="A30" s="48">
        <v>44648</v>
      </c>
    </row>
    <row r="31" spans="1:2" ht="20.25" thickTop="1" thickBot="1" x14ac:dyDescent="0.3">
      <c r="A31" s="48">
        <v>44649</v>
      </c>
    </row>
    <row r="32" spans="1:2" ht="20.25" thickTop="1" thickBot="1" x14ac:dyDescent="0.3">
      <c r="A32" s="48">
        <v>44650</v>
      </c>
    </row>
    <row r="33" spans="1:1" ht="20.25" thickTop="1" thickBot="1" x14ac:dyDescent="0.3">
      <c r="A33" s="48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 t="str">
        <f>'RESUMEN TOTAL'!AN5</f>
        <v>APAGADO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 t="str">
        <f>'RESUMEN TOTAL'!AN10</f>
        <v>APAGADO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 t="str">
        <f>'RESUMEN TOTAL'!AN13</f>
        <v>APAGADO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 t="str">
        <f>'RESUMEN TOTAL'!AN17</f>
        <v>APAGADO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 t="str">
        <f>'RESUMEN TOTAL'!AN18</f>
        <v>APAGADO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 t="str">
        <f>'RESUMEN TOTAL'!AN62</f>
        <v>APAGADO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 t="str">
        <f>'RESUMEN TOTAL'!AN63</f>
        <v>APAGADO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 t="str">
        <f>'RESUMEN TOTAL'!AN65</f>
        <v>APAGADO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 t="str">
        <f>'RESUMEN TOTAL'!AN68</f>
        <v>APAGADO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 t="str">
        <f>'RESUMEN TOTAL'!AN70</f>
        <v>APAGADO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 t="str">
        <f>'RESUMEN TOTAL'!AN92</f>
        <v>APAGADO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 t="str">
        <f>'RESUMEN TOTAL'!AN106</f>
        <v>APAGADO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 t="str">
        <f>'RESUMEN TOTAL'!AN107</f>
        <v>APAGADO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 t="str">
        <f>'RESUMEN TOTAL'!AN108</f>
        <v>APAGADO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 t="str">
        <f>'RESUMEN TOTAL'!AN109</f>
        <v>APAGADO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 t="str">
        <f>'RESUMEN TOTAL'!AN122</f>
        <v>APAGADO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 t="str">
        <f>'RESUMEN TOTAL'!AN123</f>
        <v>APAGADO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 t="str">
        <f>'RESUMEN TOTAL'!AN136</f>
        <v>APAGADO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 t="str">
        <f>'RESUMEN TOTAL'!AN169</f>
        <v>APAGADO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 t="str">
        <f>'RESUMEN TOTAL'!AN171</f>
        <v>APAGADO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 t="str">
        <f>'RESUMEN TOTAL'!AN173</f>
        <v>APAGADO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 t="str">
        <f>'RESUMEN TOTAL'!AN174</f>
        <v>APAGADO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 t="str">
        <f>'RESUMEN TOTAL'!AN180</f>
        <v>APAGADO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 t="str">
        <f>'RESUMEN TOTAL'!AN199</f>
        <v>APAGADO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 t="str">
        <f>'RESUMEN TOTAL'!AN200</f>
        <v>APAGADO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 t="str">
        <f>'RESUMEN TOTAL'!AN208</f>
        <v>APAGADO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 t="str">
        <f>'RESUMEN TOTAL'!AN224</f>
        <v>APAGADO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 t="str">
        <f>'RESUMEN TOTAL'!AN230</f>
        <v>APAGADO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 t="str">
        <f>'RESUMEN TOTAL'!AN280</f>
        <v>APAGADO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 t="str">
        <f>'RESUMEN TOTAL'!AN281</f>
        <v>APAGADO</v>
      </c>
      <c r="AF278">
        <f>'RESUMEN TOTAL'!AO281</f>
        <v>0</v>
      </c>
      <c r="AG278">
        <f>'RESUMEN TOTAL'!AP281</f>
        <v>0</v>
      </c>
    </row>
    <row r="279" spans="1:33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 t="str">
        <f>'RESUMEN TOTAL'!AN282</f>
        <v>APAGADO</v>
      </c>
      <c r="AF279">
        <f>'RESUMEN TOTAL'!AO282</f>
        <v>0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 t="str">
        <f>'RESUMEN TOTAL'!AN284</f>
        <v>APAGADO</v>
      </c>
      <c r="AF281">
        <f>'RESUMEN TOTAL'!AO284</f>
        <v>0</v>
      </c>
      <c r="AG281">
        <f>'RESUMEN TOTAL'!AP284</f>
        <v>0</v>
      </c>
    </row>
    <row r="282" spans="1:33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 t="str">
        <f>'RESUMEN TOTAL'!AN285</f>
        <v>APAGADO</v>
      </c>
      <c r="AF282">
        <f>'RESUMEN TOTAL'!AO285</f>
        <v>0</v>
      </c>
      <c r="AG282">
        <f>'RESUMEN TOTAL'!AP285</f>
        <v>0</v>
      </c>
    </row>
    <row r="283" spans="1:33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>
        <f>'RESUMEN TOTAL'!AO292</f>
        <v>0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 t="str">
        <f>'RESUMEN TOTAL'!AN293</f>
        <v>APAGADO</v>
      </c>
      <c r="AF290">
        <f>'RESUMEN TOTAL'!AO293</f>
        <v>0</v>
      </c>
      <c r="AG290">
        <f>'RESUMEN TOTAL'!AP293</f>
        <v>0</v>
      </c>
    </row>
    <row r="291" spans="1:33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 t="str">
        <f>'RESUMEN TOTAL'!AN294</f>
        <v>APAGADO</v>
      </c>
      <c r="AF291">
        <f>'RESUMEN TOTAL'!AO294</f>
        <v>0</v>
      </c>
      <c r="AG291">
        <f>'RESUMEN TOTAL'!AP294</f>
        <v>0</v>
      </c>
    </row>
    <row r="292" spans="1:33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 t="str">
        <f>'RESUMEN TOTAL'!AN295</f>
        <v>APAGADO</v>
      </c>
      <c r="AF292">
        <f>'RESUMEN TOTAL'!AO295</f>
        <v>0</v>
      </c>
      <c r="AG292">
        <f>'RESUMEN TOTAL'!AP295</f>
        <v>0</v>
      </c>
    </row>
    <row r="293" spans="1:33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>
        <f>'RESUMEN TOTAL'!AO303</f>
        <v>0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 t="str">
        <f>'RESUMEN TOTAL'!AN342</f>
        <v>APAGADO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 t="str">
        <f>'RESUMEN TOTAL'!AN352</f>
        <v>APAGADO</v>
      </c>
      <c r="AF349">
        <f>'RESUMEN TOTAL'!AO352</f>
        <v>0</v>
      </c>
      <c r="AG349">
        <f>'RESUMEN TOTAL'!AP352</f>
        <v>0</v>
      </c>
    </row>
    <row r="350" spans="1:33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 t="str">
        <f>'RESUMEN TOTAL'!AN355</f>
        <v>APAGADO</v>
      </c>
      <c r="AF352">
        <f>'RESUMEN TOTAL'!AO355</f>
        <v>0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 t="str">
        <f>'RESUMEN TOTAL'!AN358</f>
        <v>APAGADO</v>
      </c>
      <c r="AF355">
        <f>'RESUMEN TOTAL'!AO358</f>
        <v>0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 t="str">
        <f>'RESUMEN TOTAL'!AN369</f>
        <v>APAGADO</v>
      </c>
      <c r="AF366">
        <f>'RESUMEN TOTAL'!AO369</f>
        <v>0</v>
      </c>
      <c r="AG366">
        <f>'RESUMEN TOTAL'!AP369</f>
        <v>0</v>
      </c>
    </row>
    <row r="367" spans="1:33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25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25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25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25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56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 t="str">
        <f>ESTADISTICA!AE14</f>
        <v>APAGADO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 t="str">
        <f>ESTADISTICA!AE59</f>
        <v>APAGADO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 t="str">
        <f>ESTADISTICA!AE60</f>
        <v>APAGADO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 t="str">
        <f>ESTADISTICA!AE62</f>
        <v>APAGADO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 t="str">
        <f>ESTADISTICA!AE65</f>
        <v>APAGADO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 t="str">
        <f>ESTADISTICA!AE89</f>
        <v>APAGADO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 t="str">
        <f>ESTADISTICA!AE133</f>
        <v>APAGADO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 t="str">
        <f>ESTADISTICA!AE168</f>
        <v>APAGADO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 t="str">
        <f>ESTADISTICA!AE170</f>
        <v>APAGADO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 t="str">
        <f>ESTADISTICA!AE277</f>
        <v>APAGADO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 t="str">
        <f>ESTADISTICA!AE290</f>
        <v>APAGADO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 t="str">
        <f>ESTADISTICA!AE291</f>
        <v>APAGADO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 t="str">
        <f>ESTADISTICA!AE292</f>
        <v>APAGADO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 t="str">
        <f>ESTADISTICA!AE352</f>
        <v>APAGADO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D3" sqref="AD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1323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 t="shared" ref="AE2" si="0">COUNTIFS(AE4:AE367, "=APAGADO",AC4:AC367,"=Fibra Optica")</f>
        <v>0</v>
      </c>
      <c r="AF2" s="26">
        <f t="shared" ref="AF2" si="1">COUNTIFS(AF4:AF367, "=APAGADO",AC4:AC367,"=Fibra Optica")</f>
        <v>0</v>
      </c>
      <c r="AG2" s="26">
        <f t="shared" ref="AG2" si="2">COUNTIFS(AG4:AG367, "=APAGADO",AC4:AC367,"=Fibra Optica")</f>
        <v>0</v>
      </c>
      <c r="AH2" s="26">
        <f t="shared" ref="AH2" si="3">COUNTIFS(AH4:AH367, "=APAGADO",AD4:AD367,"=Fibra Optica")</f>
        <v>0</v>
      </c>
      <c r="AI2" s="26">
        <f t="shared" ref="AI2" si="4">COUNTIFS(AI4:AI367, "=APAGADO",AE4:AE367,"=Fibra Optica")</f>
        <v>0</v>
      </c>
      <c r="AJ2" s="26">
        <f t="shared" ref="AJ2" si="5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>
        <f>ESTADISTICA!AF14</f>
        <v>0</v>
      </c>
      <c r="AG16">
        <f>ESTADISTICA!AG14</f>
        <v>0</v>
      </c>
    </row>
    <row r="17" spans="1:33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>
        <f>ESTADISTICA!AF104</f>
        <v>0</v>
      </c>
      <c r="AG106">
        <f>ESTADISTICA!AG104</f>
        <v>0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>
        <f>ESTADISTICA!AF119</f>
        <v>0</v>
      </c>
      <c r="AG121">
        <f>ESTADISTICA!AG119</f>
        <v>0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</row>
    <row r="210" spans="1:33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</row>
    <row r="211" spans="1:33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>
        <f>ESTADISTICA!AF281</f>
        <v>0</v>
      </c>
      <c r="AG283">
        <f>ESTADISTICA!AG281</f>
        <v>0</v>
      </c>
    </row>
    <row r="284" spans="1:33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</row>
    <row r="292" spans="1:33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>
        <f>ESTADISTICA!AF290</f>
        <v>0</v>
      </c>
      <c r="AG292">
        <f>ESTADISTICA!AG290</f>
        <v>0</v>
      </c>
    </row>
    <row r="293" spans="1:33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9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1324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5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</row>
    <row r="206" spans="1:33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>
        <f>ESTADISTICA!AF291</f>
        <v>0</v>
      </c>
      <c r="AG293">
        <f>ESTADISTICA!AG291</f>
        <v>0</v>
      </c>
    </row>
    <row r="294" spans="1:33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1325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6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>
        <f>ESTADISTICA!AF278</f>
        <v>0</v>
      </c>
      <c r="AG280">
        <f>ESTADISTICA!AG278</f>
        <v>0</v>
      </c>
    </row>
    <row r="281" spans="1:33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3" zoomScaleNormal="100"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7" workbookViewId="0">
      <selection activeCell="D27" sqref="D27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25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25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25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25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25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25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25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25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25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25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25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25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25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25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25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25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25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25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25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25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25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25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25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368</v>
      </c>
    </row>
    <row r="26" spans="1:6" x14ac:dyDescent="0.25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368</v>
      </c>
    </row>
    <row r="27" spans="1:6" x14ac:dyDescent="0.25">
      <c r="A27" s="25">
        <f>'APAGADOS RADIO'!AE3</f>
        <v>44646</v>
      </c>
      <c r="F27">
        <f>'RESUMEN TOTAL'!C1</f>
        <v>368</v>
      </c>
    </row>
    <row r="28" spans="1:6" x14ac:dyDescent="0.25">
      <c r="A28" s="25">
        <f>'APAGADOS RADIO'!AF3</f>
        <v>44647</v>
      </c>
      <c r="F28">
        <f>'RESUMEN TOTAL'!C1</f>
        <v>368</v>
      </c>
    </row>
    <row r="29" spans="1:6" x14ac:dyDescent="0.25">
      <c r="A29" s="25">
        <f>'APAGADOS RADIO'!AG3</f>
        <v>44648</v>
      </c>
      <c r="F29">
        <f>'RESUMEN TOTAL'!C1</f>
        <v>368</v>
      </c>
    </row>
    <row r="30" spans="1:6" x14ac:dyDescent="0.25">
      <c r="A30" s="25">
        <f>'APAGADOS RADIO'!AH3</f>
        <v>44649</v>
      </c>
      <c r="F30">
        <f>'RESUMEN TOTAL'!C1</f>
        <v>368</v>
      </c>
    </row>
    <row r="31" spans="1:6" x14ac:dyDescent="0.25">
      <c r="A31" s="25">
        <f>'APAGADOS RADIO'!AI3</f>
        <v>44650</v>
      </c>
      <c r="F31">
        <f>'RESUMEN TOTAL'!C1</f>
        <v>368</v>
      </c>
    </row>
    <row r="32" spans="1:6" x14ac:dyDescent="0.25">
      <c r="A32" s="25">
        <f>'APAGADOS RADIO'!AJ3</f>
        <v>44651</v>
      </c>
      <c r="F32">
        <f>'RESUMEN TOTAL'!C1</f>
        <v>368</v>
      </c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2022-03-28T10:57:36Z</dcterms:modified>
</cp:coreProperties>
</file>