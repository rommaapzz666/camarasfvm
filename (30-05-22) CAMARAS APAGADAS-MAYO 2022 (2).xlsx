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F53724A4-C3DF-4528-8680-3294A28CE45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4" l="1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G21" i="14" s="1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<sst xmlns="http://schemas.openxmlformats.org/spreadsheetml/2006/main" count="4350" uniqueCount="1359">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</sst>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7" fontId="0" fillId="0" borderId="0" xfId="0" applyNumberFormat="1" applyFill="1" applyAlignment="1">
      <alignment horizontal="left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R347" activePane="bottomRight" state="frozen"/>
      <selection pane="topRight" activeCell="M1" sqref="M1"/>
      <selection pane="bottomLeft" activeCell="A5" sqref="A5"/>
      <selection pane="bottomRight" activeCell="AR363" sqref="AR36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0.12868632707774799</v>
      </c>
      <c r="AN1" s="4">
        <f t="shared" si="0"/>
        <v>0.12600536193029491</v>
      </c>
      <c r="AO1" s="4">
        <f t="shared" si="0"/>
        <v>0.19733333333333333</v>
      </c>
      <c r="AP1" s="4">
        <f t="shared" si="0"/>
        <v>0.13941018766756033</v>
      </c>
      <c r="AQ1" s="4">
        <f t="shared" ref="AQ1:AR1" si="1">(AQ3)/(AQ2+AQ3)</f>
        <v>0.15013404825737264</v>
      </c>
      <c r="AR1" s="4">
        <f t="shared" si="1"/>
        <v>0.16085790884718498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325</v>
      </c>
      <c r="AN2" s="10">
        <f t="shared" si="2"/>
        <v>326</v>
      </c>
      <c r="AO2" s="10">
        <f t="shared" si="2"/>
        <v>301</v>
      </c>
      <c r="AP2" s="10">
        <f t="shared" si="2"/>
        <v>321</v>
      </c>
      <c r="AQ2" s="10">
        <f t="shared" si="2"/>
        <v>317</v>
      </c>
      <c r="AR2" s="10">
        <f t="shared" si="2"/>
        <v>313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48</v>
      </c>
      <c r="AN3" s="14">
        <f t="shared" si="3"/>
        <v>47</v>
      </c>
      <c r="AO3" s="14">
        <f t="shared" si="3"/>
        <v>74</v>
      </c>
      <c r="AP3" s="14">
        <f t="shared" si="3"/>
        <v>52</v>
      </c>
      <c r="AQ3" s="14">
        <f t="shared" ref="AQ3:AR3" si="4">COUNTIF(AQ4:AQ447, "apagado")</f>
        <v>56</v>
      </c>
      <c r="AR3" s="14">
        <f t="shared" si="4"/>
        <v>60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1348</v>
      </c>
      <c r="AP5" s="19" t="s">
        <v>1348</v>
      </c>
      <c r="AQ5" s="29" t="s">
        <v>1348</v>
      </c>
      <c r="AR5" s="29" t="s">
        <v>1348</v>
      </c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</v>
      </c>
      <c r="M7" s="17">
        <f t="shared" si="6"/>
        <v>26</v>
      </c>
      <c r="N7" s="18">
        <f t="shared" si="7"/>
        <v>7.1428571428571425E-2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 t="s">
        <v>1348</v>
      </c>
      <c r="AN7" s="27" t="s">
        <v>1348</v>
      </c>
      <c r="AO7" s="8" t="s">
        <v>1348</v>
      </c>
      <c r="AP7" s="8" t="s">
        <v>1348</v>
      </c>
      <c r="AQ7" s="27" t="s">
        <v>1348</v>
      </c>
      <c r="AR7" s="27" t="s">
        <v>1348</v>
      </c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26</v>
      </c>
      <c r="M8" s="17">
        <f t="shared" si="6"/>
        <v>2</v>
      </c>
      <c r="N8" s="18">
        <f t="shared" si="7"/>
        <v>0.9285714285714286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 t="s">
        <v>1348</v>
      </c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7</v>
      </c>
      <c r="M11" s="17">
        <f t="shared" si="6"/>
        <v>21</v>
      </c>
      <c r="N11" s="18">
        <f t="shared" si="7"/>
        <v>0.25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 t="s">
        <v>1348</v>
      </c>
      <c r="AN11" s="27" t="s">
        <v>1348</v>
      </c>
      <c r="AO11" s="8" t="s">
        <v>1348</v>
      </c>
      <c r="AP11" s="8" t="s">
        <v>1348</v>
      </c>
      <c r="AQ11" s="27" t="s">
        <v>1348</v>
      </c>
      <c r="AR11" s="27" t="s">
        <v>1348</v>
      </c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24</v>
      </c>
      <c r="M21" s="17">
        <f t="shared" si="6"/>
        <v>4</v>
      </c>
      <c r="N21" s="18">
        <f t="shared" si="7"/>
        <v>0.8571428571428571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 t="s">
        <v>1348</v>
      </c>
      <c r="AN21" s="27" t="s">
        <v>1348</v>
      </c>
      <c r="AO21" s="8" t="s">
        <v>1348</v>
      </c>
      <c r="AP21" s="8" t="s">
        <v>1348</v>
      </c>
      <c r="AQ21" s="27" t="s">
        <v>1348</v>
      </c>
      <c r="AR21" s="27" t="s">
        <v>1348</v>
      </c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13</v>
      </c>
      <c r="M22" s="17">
        <f t="shared" si="6"/>
        <v>15</v>
      </c>
      <c r="N22" s="18">
        <f t="shared" si="7"/>
        <v>0.4642857142857143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 t="s">
        <v>1348</v>
      </c>
      <c r="AN22" s="27" t="s">
        <v>1348</v>
      </c>
      <c r="AO22" s="8" t="s">
        <v>1348</v>
      </c>
      <c r="AP22" s="8" t="s">
        <v>1348</v>
      </c>
      <c r="AQ22" s="27" t="s">
        <v>1348</v>
      </c>
      <c r="AR22" s="27" t="s">
        <v>1348</v>
      </c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 t="s">
        <v>1348</v>
      </c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 t="s">
        <v>1348</v>
      </c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13</v>
      </c>
      <c r="M30" s="17">
        <f t="shared" si="6"/>
        <v>15</v>
      </c>
      <c r="N30" s="18">
        <f t="shared" si="7"/>
        <v>0.4642857142857143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 t="s">
        <v>1348</v>
      </c>
      <c r="AN30" s="27" t="s">
        <v>1348</v>
      </c>
      <c r="AO30" s="8" t="s">
        <v>1348</v>
      </c>
      <c r="AP30" s="8" t="s">
        <v>1348</v>
      </c>
      <c r="AQ30" s="27" t="s">
        <v>1348</v>
      </c>
      <c r="AR30" s="27" t="s">
        <v>1348</v>
      </c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24</v>
      </c>
      <c r="M43" s="17">
        <f t="shared" si="6"/>
        <v>4</v>
      </c>
      <c r="N43" s="18">
        <f t="shared" si="7"/>
        <v>0.8571428571428571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 t="s">
        <v>1348</v>
      </c>
      <c r="AN43" s="27" t="s">
        <v>1348</v>
      </c>
      <c r="AO43" s="8" t="s">
        <v>1348</v>
      </c>
      <c r="AP43" s="8" t="s">
        <v>1348</v>
      </c>
      <c r="AQ43" s="27" t="s">
        <v>1348</v>
      </c>
      <c r="AR43" s="27" t="s">
        <v>1348</v>
      </c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20</v>
      </c>
      <c r="M51" s="17">
        <f t="shared" si="6"/>
        <v>8</v>
      </c>
      <c r="N51" s="18">
        <f t="shared" si="7"/>
        <v>0.7142857142857143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 t="s">
        <v>1348</v>
      </c>
      <c r="AN51" s="27" t="s">
        <v>1348</v>
      </c>
      <c r="AO51" s="8" t="s">
        <v>1348</v>
      </c>
      <c r="AP51" s="8" t="s">
        <v>1348</v>
      </c>
      <c r="AQ51" s="27" t="s">
        <v>1348</v>
      </c>
      <c r="AR51" s="27" t="s">
        <v>1348</v>
      </c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21</v>
      </c>
      <c r="M52" s="17">
        <f t="shared" si="6"/>
        <v>7</v>
      </c>
      <c r="N52" s="18">
        <f t="shared" si="7"/>
        <v>0.75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 t="s">
        <v>1348</v>
      </c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26</v>
      </c>
      <c r="M54" s="17">
        <f t="shared" si="6"/>
        <v>2</v>
      </c>
      <c r="N54" s="18">
        <f t="shared" si="7"/>
        <v>0.9285714285714286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 t="s">
        <v>1348</v>
      </c>
      <c r="AQ54" s="27" t="s">
        <v>1348</v>
      </c>
      <c r="AR54" s="27" t="s">
        <v>1348</v>
      </c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9</v>
      </c>
      <c r="M56" s="17">
        <f t="shared" si="6"/>
        <v>19</v>
      </c>
      <c r="N56" s="18">
        <f t="shared" si="7"/>
        <v>0.32142857142857145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 t="s">
        <v>1348</v>
      </c>
      <c r="AN56" s="27" t="s">
        <v>1348</v>
      </c>
      <c r="AO56" s="8" t="s">
        <v>1348</v>
      </c>
      <c r="AP56" s="8" t="s">
        <v>1348</v>
      </c>
      <c r="AQ56" s="27"/>
      <c r="AR56" s="27" t="s">
        <v>1348</v>
      </c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 t="s">
        <v>1348</v>
      </c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26</v>
      </c>
      <c r="M70" s="17">
        <f t="shared" si="9"/>
        <v>2</v>
      </c>
      <c r="N70" s="18">
        <f t="shared" si="10"/>
        <v>0.9285714285714286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 t="s">
        <v>1348</v>
      </c>
      <c r="AQ70" s="27"/>
      <c r="AR70" s="27" t="s">
        <v>1348</v>
      </c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 t="s">
        <v>1348</v>
      </c>
      <c r="AN80" s="27" t="s">
        <v>1348</v>
      </c>
      <c r="AO80" s="8" t="s">
        <v>1348</v>
      </c>
      <c r="AP80" s="8" t="s">
        <v>1348</v>
      </c>
      <c r="AQ80" s="27" t="s">
        <v>1348</v>
      </c>
      <c r="AR80" s="27" t="s">
        <v>1348</v>
      </c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 t="s">
        <v>1348</v>
      </c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13</v>
      </c>
      <c r="M94" s="17">
        <f t="shared" si="9"/>
        <v>15</v>
      </c>
      <c r="N94" s="18">
        <f t="shared" si="10"/>
        <v>0.4642857142857143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 t="s">
        <v>1348</v>
      </c>
      <c r="AN94" s="27" t="s">
        <v>1348</v>
      </c>
      <c r="AO94" s="8" t="s">
        <v>1348</v>
      </c>
      <c r="AP94" s="8" t="s">
        <v>1348</v>
      </c>
      <c r="AQ94" s="27" t="s">
        <v>1348</v>
      </c>
      <c r="AR94" s="27" t="s">
        <v>1348</v>
      </c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20</v>
      </c>
      <c r="M96" s="17">
        <f t="shared" si="9"/>
        <v>8</v>
      </c>
      <c r="N96" s="18">
        <f t="shared" si="10"/>
        <v>0.7142857142857143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 t="s">
        <v>1348</v>
      </c>
      <c r="AN96" s="27" t="s">
        <v>1348</v>
      </c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13</v>
      </c>
      <c r="M99" s="17">
        <f t="shared" si="9"/>
        <v>15</v>
      </c>
      <c r="N99" s="18">
        <f t="shared" si="10"/>
        <v>0.4642857142857143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 t="s">
        <v>1348</v>
      </c>
      <c r="AN99" s="27" t="s">
        <v>1348</v>
      </c>
      <c r="AO99" s="8" t="s">
        <v>1348</v>
      </c>
      <c r="AP99" s="8" t="s">
        <v>1348</v>
      </c>
      <c r="AQ99" s="27" t="s">
        <v>1348</v>
      </c>
      <c r="AR99" s="27" t="s">
        <v>1348</v>
      </c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26</v>
      </c>
      <c r="M106" s="17">
        <f t="shared" si="9"/>
        <v>2</v>
      </c>
      <c r="N106" s="18">
        <f t="shared" si="10"/>
        <v>0.9285714285714286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 t="s">
        <v>1348</v>
      </c>
      <c r="AP106" s="8"/>
      <c r="AQ106" s="27"/>
      <c r="AR106" s="27" t="s">
        <v>1348</v>
      </c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26</v>
      </c>
      <c r="M107" s="17">
        <f t="shared" si="9"/>
        <v>2</v>
      </c>
      <c r="N107" s="18">
        <f t="shared" si="10"/>
        <v>0.9285714285714286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 t="s">
        <v>1348</v>
      </c>
      <c r="AP107" s="8"/>
      <c r="AQ107" s="27"/>
      <c r="AR107" s="27" t="s">
        <v>1348</v>
      </c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26</v>
      </c>
      <c r="M108" s="17">
        <f t="shared" si="9"/>
        <v>2</v>
      </c>
      <c r="N108" s="18">
        <f t="shared" si="10"/>
        <v>0.9285714285714286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 t="s">
        <v>1348</v>
      </c>
      <c r="AP108" s="8"/>
      <c r="AQ108" s="27"/>
      <c r="AR108" s="27" t="s">
        <v>1348</v>
      </c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26</v>
      </c>
      <c r="M109" s="17">
        <f t="shared" si="9"/>
        <v>2</v>
      </c>
      <c r="N109" s="18">
        <f t="shared" si="10"/>
        <v>0.9285714285714286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 t="s">
        <v>1348</v>
      </c>
      <c r="AP109" s="8"/>
      <c r="AQ109" s="27"/>
      <c r="AR109" s="27" t="s">
        <v>1348</v>
      </c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5</v>
      </c>
      <c r="M115" s="17">
        <f t="shared" si="9"/>
        <v>23</v>
      </c>
      <c r="N115" s="18">
        <f t="shared" si="10"/>
        <v>0.17857142857142858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 t="s">
        <v>1348</v>
      </c>
      <c r="AN115" s="27" t="s">
        <v>1348</v>
      </c>
      <c r="AO115" s="8" t="s">
        <v>1348</v>
      </c>
      <c r="AP115" s="8" t="s">
        <v>1348</v>
      </c>
      <c r="AQ115" s="27" t="s">
        <v>1348</v>
      </c>
      <c r="AR115" s="27" t="s">
        <v>1348</v>
      </c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5</v>
      </c>
      <c r="M116" s="17">
        <f t="shared" si="9"/>
        <v>23</v>
      </c>
      <c r="N116" s="18">
        <f t="shared" si="10"/>
        <v>0.17857142857142858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 t="s">
        <v>1348</v>
      </c>
      <c r="AN116" s="27" t="s">
        <v>1348</v>
      </c>
      <c r="AO116" s="8" t="s">
        <v>1348</v>
      </c>
      <c r="AP116" s="8" t="s">
        <v>1348</v>
      </c>
      <c r="AQ116" s="27" t="s">
        <v>1348</v>
      </c>
      <c r="AR116" s="27" t="s">
        <v>1348</v>
      </c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16</v>
      </c>
      <c r="M120" s="17">
        <f t="shared" si="9"/>
        <v>12</v>
      </c>
      <c r="N120" s="18">
        <f t="shared" si="10"/>
        <v>0.5714285714285714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 t="s">
        <v>1348</v>
      </c>
      <c r="AN120" s="27" t="s">
        <v>1348</v>
      </c>
      <c r="AO120" s="8" t="s">
        <v>1348</v>
      </c>
      <c r="AP120" s="8" t="s">
        <v>1348</v>
      </c>
      <c r="AQ120" s="27" t="s">
        <v>1348</v>
      </c>
      <c r="AR120" s="27" t="s">
        <v>1348</v>
      </c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17</v>
      </c>
      <c r="M121" s="17">
        <f t="shared" si="9"/>
        <v>11</v>
      </c>
      <c r="N121" s="18">
        <f t="shared" si="10"/>
        <v>0.6071428571428571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 t="s">
        <v>1348</v>
      </c>
      <c r="AN121" s="27" t="s">
        <v>1348</v>
      </c>
      <c r="AO121" s="8" t="s">
        <v>1348</v>
      </c>
      <c r="AP121" s="8" t="s">
        <v>1348</v>
      </c>
      <c r="AQ121" s="27" t="s">
        <v>1348</v>
      </c>
      <c r="AR121" s="27" t="s">
        <v>1348</v>
      </c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26</v>
      </c>
      <c r="M122" s="17">
        <f t="shared" si="9"/>
        <v>2</v>
      </c>
      <c r="N122" s="18">
        <f t="shared" si="10"/>
        <v>0.9285714285714286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1348</v>
      </c>
      <c r="AP122" s="8"/>
      <c r="AQ122" s="27"/>
      <c r="AR122" s="27" t="s">
        <v>1348</v>
      </c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26</v>
      </c>
      <c r="M123" s="17">
        <f t="shared" si="9"/>
        <v>2</v>
      </c>
      <c r="N123" s="18">
        <f t="shared" si="10"/>
        <v>0.9285714285714286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1348</v>
      </c>
      <c r="AP123" s="8"/>
      <c r="AQ123" s="27"/>
      <c r="AR123" s="27" t="s">
        <v>1348</v>
      </c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 t="s">
        <v>1348</v>
      </c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 t="s">
        <v>1348</v>
      </c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 t="s">
        <v>1348</v>
      </c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 t="s">
        <v>1348</v>
      </c>
      <c r="AN133" s="27" t="s">
        <v>1348</v>
      </c>
      <c r="AO133" s="8" t="s">
        <v>1348</v>
      </c>
      <c r="AP133" s="8" t="s">
        <v>1348</v>
      </c>
      <c r="AQ133" s="27" t="s">
        <v>1348</v>
      </c>
      <c r="AR133" s="27" t="s">
        <v>1348</v>
      </c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3</v>
      </c>
      <c r="M135" s="17">
        <f t="shared" si="12"/>
        <v>25</v>
      </c>
      <c r="N135" s="18">
        <f t="shared" si="13"/>
        <v>0.10714285714285714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 t="s">
        <v>1348</v>
      </c>
      <c r="AN135" s="27" t="s">
        <v>1348</v>
      </c>
      <c r="AO135" s="8" t="s">
        <v>1348</v>
      </c>
      <c r="AP135" s="8" t="s">
        <v>1348</v>
      </c>
      <c r="AQ135" s="27" t="s">
        <v>1348</v>
      </c>
      <c r="AR135" s="27" t="s">
        <v>1348</v>
      </c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 t="s">
        <v>1348</v>
      </c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12</v>
      </c>
      <c r="M142" s="17">
        <f t="shared" si="12"/>
        <v>16</v>
      </c>
      <c r="N142" s="18">
        <f t="shared" si="13"/>
        <v>0.42857142857142855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 t="s">
        <v>1348</v>
      </c>
      <c r="AN142" s="27" t="s">
        <v>1348</v>
      </c>
      <c r="AO142" s="8" t="s">
        <v>1348</v>
      </c>
      <c r="AP142" s="8" t="s">
        <v>1348</v>
      </c>
      <c r="AQ142" s="27" t="s">
        <v>1348</v>
      </c>
      <c r="AR142" s="27" t="s">
        <v>1348</v>
      </c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13</v>
      </c>
      <c r="M143" s="17">
        <f t="shared" si="12"/>
        <v>15</v>
      </c>
      <c r="N143" s="18">
        <f t="shared" si="13"/>
        <v>0.4642857142857143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 t="s">
        <v>1348</v>
      </c>
      <c r="AN143" s="27" t="s">
        <v>1348</v>
      </c>
      <c r="AO143" s="8" t="s">
        <v>1348</v>
      </c>
      <c r="AP143" s="8" t="s">
        <v>1348</v>
      </c>
      <c r="AQ143" s="27" t="s">
        <v>1348</v>
      </c>
      <c r="AR143" s="27" t="s">
        <v>1348</v>
      </c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7</v>
      </c>
      <c r="M144" s="17">
        <f t="shared" si="12"/>
        <v>21</v>
      </c>
      <c r="N144" s="18">
        <f t="shared" si="13"/>
        <v>0.25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 t="s">
        <v>1348</v>
      </c>
      <c r="AN144" s="27" t="s">
        <v>1348</v>
      </c>
      <c r="AO144" s="8" t="s">
        <v>1348</v>
      </c>
      <c r="AP144" s="8" t="s">
        <v>1348</v>
      </c>
      <c r="AQ144" s="27" t="s">
        <v>1348</v>
      </c>
      <c r="AR144" s="27" t="s">
        <v>1348</v>
      </c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 t="s">
        <v>1348</v>
      </c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 t="s">
        <v>1348</v>
      </c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 t="s">
        <v>1348</v>
      </c>
      <c r="AN156" s="27" t="s">
        <v>1348</v>
      </c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22</v>
      </c>
      <c r="M163" s="17">
        <f t="shared" si="12"/>
        <v>6</v>
      </c>
      <c r="N163" s="18">
        <f t="shared" si="13"/>
        <v>0.7857142857142857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 t="s">
        <v>1348</v>
      </c>
      <c r="AQ163" s="27" t="s">
        <v>1348</v>
      </c>
      <c r="AR163" s="27" t="s">
        <v>1348</v>
      </c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22</v>
      </c>
      <c r="M164" s="17">
        <f t="shared" si="12"/>
        <v>6</v>
      </c>
      <c r="N164" s="18">
        <f t="shared" si="13"/>
        <v>0.7857142857142857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 t="s">
        <v>1348</v>
      </c>
      <c r="AQ164" s="27" t="s">
        <v>1348</v>
      </c>
      <c r="AR164" s="27" t="s">
        <v>1348</v>
      </c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</v>
      </c>
      <c r="M166" s="17">
        <f t="shared" si="12"/>
        <v>26</v>
      </c>
      <c r="N166" s="18">
        <f t="shared" si="13"/>
        <v>7.1428571428571425E-2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 t="s">
        <v>1348</v>
      </c>
      <c r="AN166" s="27" t="s">
        <v>1348</v>
      </c>
      <c r="AO166" s="8" t="s">
        <v>1348</v>
      </c>
      <c r="AP166" s="8" t="s">
        <v>1348</v>
      </c>
      <c r="AQ166" s="27" t="s">
        <v>1348</v>
      </c>
      <c r="AR166" s="27" t="s">
        <v>1348</v>
      </c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</v>
      </c>
      <c r="M177" s="17">
        <f t="shared" si="12"/>
        <v>26</v>
      </c>
      <c r="N177" s="18">
        <f t="shared" si="13"/>
        <v>7.1428571428571425E-2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 t="s">
        <v>1348</v>
      </c>
      <c r="AN177" s="27" t="s">
        <v>1348</v>
      </c>
      <c r="AO177" s="8" t="s">
        <v>1348</v>
      </c>
      <c r="AP177" s="8" t="s">
        <v>1348</v>
      </c>
      <c r="AQ177" s="27" t="s">
        <v>1348</v>
      </c>
      <c r="AR177" s="27" t="s">
        <v>1348</v>
      </c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24</v>
      </c>
      <c r="M180" s="17">
        <f t="shared" si="12"/>
        <v>4</v>
      </c>
      <c r="N180" s="18">
        <f t="shared" si="13"/>
        <v>0.8571428571428571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 t="s">
        <v>1348</v>
      </c>
      <c r="AN180" s="27" t="s">
        <v>1348</v>
      </c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 t="s">
        <v>1348</v>
      </c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 t="s">
        <v>1348</v>
      </c>
      <c r="AN191" s="27" t="s">
        <v>1348</v>
      </c>
      <c r="AO191" s="8" t="s">
        <v>1348</v>
      </c>
      <c r="AP191" s="8" t="s">
        <v>1348</v>
      </c>
      <c r="AQ191" s="27"/>
      <c r="AR191" s="27" t="s">
        <v>1348</v>
      </c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 t="s">
        <v>1348</v>
      </c>
      <c r="AN192" s="27" t="s">
        <v>1348</v>
      </c>
      <c r="AO192" s="8" t="s">
        <v>1348</v>
      </c>
      <c r="AP192" s="8" t="s">
        <v>1348</v>
      </c>
      <c r="AQ192" s="27"/>
      <c r="AR192" s="27" t="s">
        <v>1348</v>
      </c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 t="s">
        <v>1348</v>
      </c>
      <c r="AO194" s="8" t="s">
        <v>1348</v>
      </c>
      <c r="AP194" s="8"/>
      <c r="AQ194" s="27"/>
      <c r="AR194" s="27" t="s">
        <v>1348</v>
      </c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26</v>
      </c>
      <c r="M197" s="17">
        <f t="shared" ref="M197:M262" si="15">COUNTIF(O197:AP197,"APAGADO")</f>
        <v>2</v>
      </c>
      <c r="N197" s="18">
        <f t="shared" ref="N197:N262" si="16">(L197)/(M197+L197)</f>
        <v>0.9285714285714286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 t="s">
        <v>1348</v>
      </c>
      <c r="AP197" s="8"/>
      <c r="AQ197" s="27"/>
      <c r="AR197" s="27" t="s">
        <v>1348</v>
      </c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 t="s">
        <v>1348</v>
      </c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26</v>
      </c>
      <c r="M201" s="17">
        <f t="shared" si="15"/>
        <v>2</v>
      </c>
      <c r="N201" s="18">
        <f t="shared" si="16"/>
        <v>0.9285714285714286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 t="s">
        <v>1348</v>
      </c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26</v>
      </c>
      <c r="M202" s="17">
        <f t="shared" si="15"/>
        <v>2</v>
      </c>
      <c r="N202" s="18">
        <f t="shared" si="16"/>
        <v>0.9285714285714286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 t="s">
        <v>1348</v>
      </c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 t="s">
        <v>1348</v>
      </c>
      <c r="AN206" s="27" t="s">
        <v>1348</v>
      </c>
      <c r="AO206" s="8" t="s">
        <v>1348</v>
      </c>
      <c r="AP206" s="8" t="s">
        <v>1348</v>
      </c>
      <c r="AQ206" s="27" t="s">
        <v>1348</v>
      </c>
      <c r="AR206" s="27" t="s">
        <v>1348</v>
      </c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7</v>
      </c>
      <c r="M207" s="17">
        <f t="shared" si="15"/>
        <v>21</v>
      </c>
      <c r="N207" s="18">
        <f t="shared" si="16"/>
        <v>0.25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 t="s">
        <v>1348</v>
      </c>
      <c r="AN207" s="27" t="s">
        <v>1348</v>
      </c>
      <c r="AO207" s="8" t="s">
        <v>1348</v>
      </c>
      <c r="AP207" s="8" t="s">
        <v>1348</v>
      </c>
      <c r="AQ207" s="27" t="s">
        <v>1348</v>
      </c>
      <c r="AR207" s="27" t="s">
        <v>1348</v>
      </c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4</v>
      </c>
      <c r="M211" s="17">
        <f t="shared" si="15"/>
        <v>24</v>
      </c>
      <c r="N211" s="18">
        <f t="shared" si="16"/>
        <v>0.14285714285714285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 t="s">
        <v>1348</v>
      </c>
      <c r="AN211" s="27" t="s">
        <v>1348</v>
      </c>
      <c r="AO211" s="8" t="s">
        <v>1348</v>
      </c>
      <c r="AP211" s="8" t="s">
        <v>1348</v>
      </c>
      <c r="AQ211" s="27" t="s">
        <v>1348</v>
      </c>
      <c r="AR211" s="27" t="s">
        <v>1348</v>
      </c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</v>
      </c>
      <c r="M212" s="17">
        <f t="shared" si="15"/>
        <v>26</v>
      </c>
      <c r="N212" s="18">
        <f t="shared" si="16"/>
        <v>7.1428571428571425E-2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 t="s">
        <v>1348</v>
      </c>
      <c r="AN212" s="27" t="s">
        <v>1348</v>
      </c>
      <c r="AO212" s="8" t="s">
        <v>1348</v>
      </c>
      <c r="AP212" s="8" t="s">
        <v>1348</v>
      </c>
      <c r="AQ212" s="27" t="s">
        <v>1348</v>
      </c>
      <c r="AR212" s="27" t="s">
        <v>1348</v>
      </c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23</v>
      </c>
      <c r="M214" s="17">
        <f t="shared" si="15"/>
        <v>5</v>
      </c>
      <c r="N214" s="18">
        <f t="shared" si="16"/>
        <v>0.8214285714285714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 t="s">
        <v>1348</v>
      </c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25</v>
      </c>
      <c r="M215" s="17">
        <f t="shared" si="15"/>
        <v>3</v>
      </c>
      <c r="N215" s="18">
        <f t="shared" si="16"/>
        <v>0.8928571428571429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1348</v>
      </c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6</v>
      </c>
      <c r="M216" s="17">
        <f t="shared" si="15"/>
        <v>22</v>
      </c>
      <c r="N216" s="18">
        <f t="shared" si="16"/>
        <v>0.21428571428571427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 t="s">
        <v>1348</v>
      </c>
      <c r="AO216" s="8" t="s">
        <v>1348</v>
      </c>
      <c r="AP216" s="8" t="s">
        <v>1348</v>
      </c>
      <c r="AQ216" s="27" t="s">
        <v>1348</v>
      </c>
      <c r="AR216" s="27" t="s">
        <v>1348</v>
      </c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4</v>
      </c>
      <c r="M217" s="17">
        <f t="shared" si="15"/>
        <v>24</v>
      </c>
      <c r="N217" s="18">
        <f t="shared" si="16"/>
        <v>0.14285714285714285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 t="s">
        <v>1348</v>
      </c>
      <c r="AO217" s="8" t="s">
        <v>1348</v>
      </c>
      <c r="AP217" s="8" t="s">
        <v>1348</v>
      </c>
      <c r="AQ217" s="27" t="s">
        <v>1348</v>
      </c>
      <c r="AR217" s="27" t="s">
        <v>1348</v>
      </c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5</v>
      </c>
      <c r="M218" s="17">
        <f t="shared" si="15"/>
        <v>23</v>
      </c>
      <c r="N218" s="18">
        <f t="shared" si="16"/>
        <v>0.17857142857142858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 t="s">
        <v>1348</v>
      </c>
      <c r="AO218" s="8" t="s">
        <v>1348</v>
      </c>
      <c r="AP218" s="8" t="s">
        <v>1348</v>
      </c>
      <c r="AQ218" s="27" t="s">
        <v>1348</v>
      </c>
      <c r="AR218" s="27" t="s">
        <v>1348</v>
      </c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5</v>
      </c>
      <c r="M219" s="17">
        <f t="shared" si="15"/>
        <v>23</v>
      </c>
      <c r="N219" s="18">
        <f t="shared" si="16"/>
        <v>0.17857142857142858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 t="s">
        <v>1348</v>
      </c>
      <c r="AO219" s="8" t="s">
        <v>1348</v>
      </c>
      <c r="AP219" s="8" t="s">
        <v>1348</v>
      </c>
      <c r="AQ219" s="27" t="s">
        <v>1348</v>
      </c>
      <c r="AR219" s="27" t="s">
        <v>1348</v>
      </c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25</v>
      </c>
      <c r="M220" s="17">
        <f t="shared" si="15"/>
        <v>3</v>
      </c>
      <c r="N220" s="18">
        <f t="shared" si="16"/>
        <v>0.8928571428571429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1348</v>
      </c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25</v>
      </c>
      <c r="M221" s="17">
        <f t="shared" si="15"/>
        <v>3</v>
      </c>
      <c r="N221" s="18">
        <f t="shared" si="16"/>
        <v>0.8928571428571429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1348</v>
      </c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26</v>
      </c>
      <c r="M222" s="17">
        <f t="shared" si="15"/>
        <v>2</v>
      </c>
      <c r="N222" s="18">
        <f t="shared" si="16"/>
        <v>0.9285714285714286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1348</v>
      </c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26</v>
      </c>
      <c r="M223" s="17">
        <f t="shared" si="15"/>
        <v>2</v>
      </c>
      <c r="N223" s="18">
        <f t="shared" si="16"/>
        <v>0.9285714285714286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1348</v>
      </c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25</v>
      </c>
      <c r="M224" s="17">
        <f t="shared" si="15"/>
        <v>3</v>
      </c>
      <c r="N224" s="18">
        <f t="shared" si="16"/>
        <v>0.8928571428571429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1348</v>
      </c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24</v>
      </c>
      <c r="M231" s="17">
        <f t="shared" si="15"/>
        <v>4</v>
      </c>
      <c r="N231" s="18">
        <f t="shared" si="16"/>
        <v>0.8571428571428571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 t="s">
        <v>1348</v>
      </c>
      <c r="AP231" s="8" t="s">
        <v>1348</v>
      </c>
      <c r="AQ231" s="27" t="s">
        <v>1348</v>
      </c>
      <c r="AR231" s="27" t="s">
        <v>1348</v>
      </c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26</v>
      </c>
      <c r="M232" s="17">
        <f t="shared" si="15"/>
        <v>2</v>
      </c>
      <c r="N232" s="18">
        <f t="shared" si="16"/>
        <v>0.9285714285714286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 t="s">
        <v>1348</v>
      </c>
      <c r="AP232" s="8" t="s">
        <v>1348</v>
      </c>
      <c r="AQ232" s="27" t="s">
        <v>1348</v>
      </c>
      <c r="AR232" s="27" t="s">
        <v>1348</v>
      </c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 t="s">
        <v>1348</v>
      </c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 t="s">
        <v>1348</v>
      </c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 t="s">
        <v>1348</v>
      </c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 t="s">
        <v>1348</v>
      </c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25</v>
      </c>
      <c r="M246" s="17">
        <f t="shared" si="15"/>
        <v>3</v>
      </c>
      <c r="N246" s="18">
        <f t="shared" si="16"/>
        <v>0.8928571428571429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 t="s">
        <v>1348</v>
      </c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13</v>
      </c>
      <c r="M263" s="17">
        <f t="shared" ref="M263:M326" si="18">COUNTIF(O263:AP263,"APAGADO")</f>
        <v>15</v>
      </c>
      <c r="N263" s="18">
        <f t="shared" ref="N263:N326" si="19">(L263)/(M263+L263)</f>
        <v>0.4642857142857143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 t="s">
        <v>1348</v>
      </c>
      <c r="AN263" s="27" t="s">
        <v>1348</v>
      </c>
      <c r="AO263" s="8" t="s">
        <v>1348</v>
      </c>
      <c r="AP263" s="8" t="s">
        <v>1348</v>
      </c>
      <c r="AQ263" s="27" t="s">
        <v>1348</v>
      </c>
      <c r="AR263" s="27" t="s">
        <v>1348</v>
      </c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13</v>
      </c>
      <c r="M264" s="17">
        <f t="shared" si="18"/>
        <v>15</v>
      </c>
      <c r="N264" s="18">
        <f t="shared" si="19"/>
        <v>0.4642857142857143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 t="s">
        <v>1348</v>
      </c>
      <c r="AN264" s="27" t="s">
        <v>1348</v>
      </c>
      <c r="AO264" s="8" t="s">
        <v>1348</v>
      </c>
      <c r="AP264" s="8" t="s">
        <v>1348</v>
      </c>
      <c r="AQ264" s="27" t="s">
        <v>1348</v>
      </c>
      <c r="AR264" s="27" t="s">
        <v>1348</v>
      </c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13</v>
      </c>
      <c r="M265" s="17">
        <f t="shared" si="18"/>
        <v>15</v>
      </c>
      <c r="N265" s="18">
        <f t="shared" si="19"/>
        <v>0.4642857142857143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 t="s">
        <v>1348</v>
      </c>
      <c r="AN265" s="27" t="s">
        <v>1348</v>
      </c>
      <c r="AO265" s="8" t="s">
        <v>1348</v>
      </c>
      <c r="AP265" s="8" t="s">
        <v>1348</v>
      </c>
      <c r="AQ265" s="27" t="s">
        <v>1348</v>
      </c>
      <c r="AR265" s="27" t="s">
        <v>1348</v>
      </c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13</v>
      </c>
      <c r="M266" s="17">
        <f t="shared" si="18"/>
        <v>15</v>
      </c>
      <c r="N266" s="18">
        <f t="shared" si="19"/>
        <v>0.4642857142857143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 t="s">
        <v>1348</v>
      </c>
      <c r="AN266" s="27" t="s">
        <v>1348</v>
      </c>
      <c r="AO266" s="8" t="s">
        <v>1348</v>
      </c>
      <c r="AP266" s="8" t="s">
        <v>1348</v>
      </c>
      <c r="AQ266" s="27" t="s">
        <v>1348</v>
      </c>
      <c r="AR266" s="27" t="s">
        <v>1348</v>
      </c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23</v>
      </c>
      <c r="M281" s="17">
        <f t="shared" si="18"/>
        <v>5</v>
      </c>
      <c r="N281" s="18">
        <f t="shared" si="19"/>
        <v>0.8214285714285714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 t="s">
        <v>1348</v>
      </c>
      <c r="AQ281" s="27" t="s">
        <v>1348</v>
      </c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22</v>
      </c>
      <c r="M282" s="17">
        <f t="shared" si="18"/>
        <v>6</v>
      </c>
      <c r="N282" s="18">
        <f t="shared" si="19"/>
        <v>0.7857142857142857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 t="s">
        <v>1348</v>
      </c>
      <c r="AQ282" s="27" t="s">
        <v>1348</v>
      </c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26</v>
      </c>
      <c r="M286" s="17">
        <f t="shared" si="18"/>
        <v>2</v>
      </c>
      <c r="N286" s="18">
        <f t="shared" si="19"/>
        <v>0.9285714285714286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1348</v>
      </c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25</v>
      </c>
      <c r="M287" s="17">
        <f t="shared" si="18"/>
        <v>3</v>
      </c>
      <c r="N287" s="18">
        <f t="shared" si="19"/>
        <v>0.8928571428571429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1348</v>
      </c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5</v>
      </c>
      <c r="M303" s="17">
        <f t="shared" si="18"/>
        <v>23</v>
      </c>
      <c r="N303" s="18">
        <f t="shared" si="19"/>
        <v>0.17857142857142858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 t="s">
        <v>1348</v>
      </c>
      <c r="AN303" s="27" t="s">
        <v>1348</v>
      </c>
      <c r="AO303" s="8" t="s">
        <v>1348</v>
      </c>
      <c r="AP303" s="8" t="s">
        <v>1348</v>
      </c>
      <c r="AQ303" s="27" t="s">
        <v>1348</v>
      </c>
      <c r="AR303" s="27" t="s">
        <v>1348</v>
      </c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26</v>
      </c>
      <c r="M346" s="17">
        <f t="shared" si="21"/>
        <v>2</v>
      </c>
      <c r="N346" s="18">
        <f t="shared" si="22"/>
        <v>0.9285714285714286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1348</v>
      </c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</v>
      </c>
      <c r="M352" s="17">
        <f t="shared" si="21"/>
        <v>26</v>
      </c>
      <c r="N352" s="18">
        <f t="shared" si="22"/>
        <v>7.1428571428571425E-2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 t="s">
        <v>1348</v>
      </c>
      <c r="AN352" s="27" t="s">
        <v>1348</v>
      </c>
      <c r="AO352" s="8" t="s">
        <v>1348</v>
      </c>
      <c r="AP352" s="8" t="s">
        <v>1348</v>
      </c>
      <c r="AQ352" s="27" t="s">
        <v>1348</v>
      </c>
      <c r="AR352" s="27" t="s">
        <v>1348</v>
      </c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 t="s">
        <v>1348</v>
      </c>
      <c r="AN355" s="27" t="s">
        <v>1348</v>
      </c>
      <c r="AO355" s="8" t="s">
        <v>1348</v>
      </c>
      <c r="AP355" s="8" t="s">
        <v>1348</v>
      </c>
      <c r="AQ355" s="27" t="s">
        <v>1348</v>
      </c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16</v>
      </c>
      <c r="M359" s="17">
        <f t="shared" si="21"/>
        <v>12</v>
      </c>
      <c r="N359" s="18">
        <f t="shared" si="22"/>
        <v>0.5714285714285714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 t="s">
        <v>1348</v>
      </c>
      <c r="AN359" s="27" t="s">
        <v>1348</v>
      </c>
      <c r="AO359" s="8" t="s">
        <v>1348</v>
      </c>
      <c r="AP359" s="8" t="s">
        <v>1348</v>
      </c>
      <c r="AQ359" s="27" t="s">
        <v>1348</v>
      </c>
      <c r="AR359" s="27" t="s">
        <v>1348</v>
      </c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15</v>
      </c>
      <c r="M360" s="17">
        <f t="shared" si="21"/>
        <v>13</v>
      </c>
      <c r="N360" s="18">
        <f t="shared" si="22"/>
        <v>0.5357142857142857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 t="s">
        <v>1348</v>
      </c>
      <c r="AN360" s="27" t="s">
        <v>1348</v>
      </c>
      <c r="AO360" s="8" t="s">
        <v>1348</v>
      </c>
      <c r="AP360" s="8" t="s">
        <v>1348</v>
      </c>
      <c r="AQ360" s="27" t="s">
        <v>1348</v>
      </c>
      <c r="AR360" s="27" t="s">
        <v>1348</v>
      </c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15</v>
      </c>
      <c r="M361" s="17">
        <f t="shared" si="21"/>
        <v>13</v>
      </c>
      <c r="N361" s="18">
        <f t="shared" si="22"/>
        <v>0.5357142857142857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 t="s">
        <v>1348</v>
      </c>
      <c r="AN361" s="27" t="s">
        <v>1348</v>
      </c>
      <c r="AO361" s="8" t="s">
        <v>1348</v>
      </c>
      <c r="AP361" s="8" t="s">
        <v>1348</v>
      </c>
      <c r="AQ361" s="27" t="s">
        <v>1348</v>
      </c>
      <c r="AR361" s="27" t="s">
        <v>1348</v>
      </c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15</v>
      </c>
      <c r="M362" s="17">
        <f t="shared" si="21"/>
        <v>13</v>
      </c>
      <c r="N362" s="18">
        <f t="shared" si="22"/>
        <v>0.5357142857142857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 t="s">
        <v>1348</v>
      </c>
      <c r="AN362" s="27" t="s">
        <v>1348</v>
      </c>
      <c r="AO362" s="8" t="s">
        <v>1348</v>
      </c>
      <c r="AP362" s="8" t="s">
        <v>1348</v>
      </c>
      <c r="AQ362" s="27" t="s">
        <v>1348</v>
      </c>
      <c r="AR362" s="27" t="s">
        <v>1348</v>
      </c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26</v>
      </c>
      <c r="M373" s="62">
        <f t="shared" ref="M373:M377" si="24">COUNTIF(O373:AP373,"APAGADO")</f>
        <v>2</v>
      </c>
      <c r="N373" s="63">
        <f t="shared" ref="N373:N377" si="25">(L373)/(M373+L373)</f>
        <v>0.9285714285714286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 t="s">
        <v>1348</v>
      </c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26</v>
      </c>
      <c r="M374" s="62">
        <f t="shared" si="24"/>
        <v>2</v>
      </c>
      <c r="N374" s="63">
        <f t="shared" si="25"/>
        <v>0.9285714285714286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 t="s">
        <v>1348</v>
      </c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26</v>
      </c>
      <c r="M375" s="62">
        <f t="shared" si="24"/>
        <v>2</v>
      </c>
      <c r="N375" s="63">
        <f t="shared" si="25"/>
        <v>0.9285714285714286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 t="s">
        <v>1348</v>
      </c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26</v>
      </c>
      <c r="M376" s="62">
        <f t="shared" si="24"/>
        <v>2</v>
      </c>
      <c r="N376" s="63">
        <f t="shared" si="25"/>
        <v>0.9285714285714286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 t="s">
        <v>1348</v>
      </c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98" t="s">
        <v>1356</v>
      </c>
      <c r="D378" s="59" t="s">
        <v>1358</v>
      </c>
      <c r="E378" s="60" t="s">
        <v>113</v>
      </c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64" t="s">
        <v>1348</v>
      </c>
      <c r="AP378" s="64"/>
      <c r="AQ378" s="64"/>
      <c r="AR378" s="64"/>
      <c r="AS378" s="61"/>
    </row>
    <row r="379" spans="1:45" x14ac:dyDescent="0.25">
      <c r="B379" s="68"/>
      <c r="C379" s="69" t="s">
        <v>1357</v>
      </c>
      <c r="D379" s="59" t="s">
        <v>1358</v>
      </c>
      <c r="E379" s="60" t="s">
        <v>113</v>
      </c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64" t="s">
        <v>1348</v>
      </c>
      <c r="AP379" s="64"/>
      <c r="AQ379" s="64"/>
      <c r="AR379" s="64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703" priority="2085" operator="lessThan">
      <formula>0.8</formula>
    </cfRule>
    <cfRule type="cellIs" dxfId="702" priority="2086" operator="greaterThan">
      <formula>0.8</formula>
    </cfRule>
  </conditionalFormatting>
  <conditionalFormatting sqref="E1:K3 E284:K334 E236:K236 E5:K32 E36:K91 E94:K230 E337:K364 E369:K372 E243:K281 E391:K1048576">
    <cfRule type="containsText" dxfId="701" priority="2084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00" priority="2080" operator="notContains" text="Caida">
      <formula>ISERROR(SEARCH("Caida",O95))</formula>
    </cfRule>
    <cfRule type="containsText" dxfId="699" priority="2081" operator="containsText" text="Caida">
      <formula>NOT(ISERROR(SEARCH("Caida",O95)))</formula>
    </cfRule>
  </conditionalFormatting>
  <conditionalFormatting sqref="E282:K282">
    <cfRule type="containsText" dxfId="698" priority="2053" operator="containsText" text="Radio">
      <formula>NOT(ISERROR(SEARCH("Radio",E282)))</formula>
    </cfRule>
  </conditionalFormatting>
  <conditionalFormatting sqref="E283:K283">
    <cfRule type="containsText" dxfId="697" priority="2028" operator="containsText" text="Radio">
      <formula>NOT(ISERROR(SEARCH("Radio",E283)))</formula>
    </cfRule>
  </conditionalFormatting>
  <conditionalFormatting sqref="E4:K4">
    <cfRule type="containsText" dxfId="696" priority="2003" operator="containsText" text="Radio">
      <formula>NOT(ISERROR(SEARCH("Radio",E4)))</formula>
    </cfRule>
  </conditionalFormatting>
  <conditionalFormatting sqref="E231:K231">
    <cfRule type="containsText" dxfId="695" priority="2002" operator="containsText" text="Radio">
      <formula>NOT(ISERROR(SEARCH("Radio",E231)))</formula>
    </cfRule>
  </conditionalFormatting>
  <conditionalFormatting sqref="E232:K232">
    <cfRule type="containsText" dxfId="694" priority="1977" operator="containsText" text="Radio">
      <formula>NOT(ISERROR(SEARCH("Radio",E232)))</formula>
    </cfRule>
  </conditionalFormatting>
  <conditionalFormatting sqref="E233:K233">
    <cfRule type="containsText" dxfId="693" priority="1952" operator="containsText" text="Radio">
      <formula>NOT(ISERROR(SEARCH("Radio",E233)))</formula>
    </cfRule>
  </conditionalFormatting>
  <conditionalFormatting sqref="E234:K234">
    <cfRule type="containsText" dxfId="692" priority="1927" operator="containsText" text="Radio">
      <formula>NOT(ISERROR(SEARCH("Radio",E234)))</formula>
    </cfRule>
  </conditionalFormatting>
  <conditionalFormatting sqref="E235:K235">
    <cfRule type="containsText" dxfId="691" priority="1902" operator="containsText" text="Radio">
      <formula>NOT(ISERROR(SEARCH("Radio",E235)))</formula>
    </cfRule>
  </conditionalFormatting>
  <conditionalFormatting sqref="E335:K335">
    <cfRule type="containsText" dxfId="690" priority="1853" operator="containsText" text="Radio">
      <formula>NOT(ISERROR(SEARCH("Radio",E335)))</formula>
    </cfRule>
  </conditionalFormatting>
  <conditionalFormatting sqref="E336:K336">
    <cfRule type="containsText" dxfId="689" priority="1828" operator="containsText" text="Radio">
      <formula>NOT(ISERROR(SEARCH("Radio",E336)))</formula>
    </cfRule>
  </conditionalFormatting>
  <conditionalFormatting sqref="E237:K237">
    <cfRule type="containsText" dxfId="688" priority="1803" operator="containsText" text="Radio">
      <formula>NOT(ISERROR(SEARCH("Radio",E237)))</formula>
    </cfRule>
  </conditionalFormatting>
  <conditionalFormatting sqref="E238:K238">
    <cfRule type="containsText" dxfId="687" priority="1778" operator="containsText" text="Radio">
      <formula>NOT(ISERROR(SEARCH("Radio",E238)))</formula>
    </cfRule>
  </conditionalFormatting>
  <conditionalFormatting sqref="E33:K35">
    <cfRule type="containsText" dxfId="686" priority="1753" operator="containsText" text="Radio">
      <formula>NOT(ISERROR(SEARCH("Radio",E33)))</formula>
    </cfRule>
  </conditionalFormatting>
  <conditionalFormatting sqref="E239:K239">
    <cfRule type="containsText" dxfId="685" priority="1728" operator="containsText" text="Radio">
      <formula>NOT(ISERROR(SEARCH("Radio",E239)))</formula>
    </cfRule>
  </conditionalFormatting>
  <conditionalFormatting sqref="E240:K240">
    <cfRule type="containsText" dxfId="684" priority="1703" operator="containsText" text="Radio">
      <formula>NOT(ISERROR(SEARCH("Radio",E240)))</formula>
    </cfRule>
  </conditionalFormatting>
  <conditionalFormatting sqref="E241:K241">
    <cfRule type="containsText" dxfId="683" priority="1678" operator="containsText" text="Radio">
      <formula>NOT(ISERROR(SEARCH("Radio",E241)))</formula>
    </cfRule>
  </conditionalFormatting>
  <conditionalFormatting sqref="E242:K242">
    <cfRule type="containsText" dxfId="682" priority="1653" operator="containsText" text="Radio">
      <formula>NOT(ISERROR(SEARCH("Radio",E242)))</formula>
    </cfRule>
  </conditionalFormatting>
  <conditionalFormatting sqref="P6:P92 P96:P230">
    <cfRule type="cellIs" dxfId="681" priority="1578" operator="lessThan">
      <formula>0.8</formula>
    </cfRule>
    <cfRule type="cellIs" dxfId="680" priority="1579" operator="greaterThan">
      <formula>0.8</formula>
    </cfRule>
  </conditionalFormatting>
  <conditionalFormatting sqref="P6:P92 P96:P230">
    <cfRule type="notContainsText" dxfId="679" priority="1576" operator="notContains" text="Caida">
      <formula>ISERROR(SEARCH("Caida",P6))</formula>
    </cfRule>
    <cfRule type="containsText" dxfId="678" priority="1577" operator="containsText" text="Caida">
      <formula>NOT(ISERROR(SEARCH("Caida",P6)))</formula>
    </cfRule>
  </conditionalFormatting>
  <conditionalFormatting sqref="P337:P366 P284:P334">
    <cfRule type="cellIs" dxfId="677" priority="1574" operator="lessThan">
      <formula>0.8</formula>
    </cfRule>
    <cfRule type="cellIs" dxfId="676" priority="1575" operator="greaterThan">
      <formula>0.8</formula>
    </cfRule>
  </conditionalFormatting>
  <conditionalFormatting sqref="P337:P366 P284:P334 P391:P1048576">
    <cfRule type="notContainsText" dxfId="675" priority="1572" operator="notContains" text="Caida">
      <formula>ISERROR(SEARCH("Caida",P284))</formula>
    </cfRule>
    <cfRule type="containsText" dxfId="674" priority="1573" operator="containsText" text="Caida">
      <formula>NOT(ISERROR(SEARCH("Caida",P284)))</formula>
    </cfRule>
  </conditionalFormatting>
  <conditionalFormatting sqref="O391:O1048576">
    <cfRule type="notContainsText" dxfId="673" priority="1621" operator="notContains" text="Caida">
      <formula>ISERROR(SEARCH("Caida",O391))</formula>
    </cfRule>
    <cfRule type="containsText" dxfId="672" priority="1622" operator="containsText" text="Caida">
      <formula>NOT(ISERROR(SEARCH("Caida",O391)))</formula>
    </cfRule>
  </conditionalFormatting>
  <conditionalFormatting sqref="P336">
    <cfRule type="cellIs" dxfId="671" priority="1533" operator="lessThan">
      <formula>0.8</formula>
    </cfRule>
    <cfRule type="cellIs" dxfId="670" priority="1534" operator="greaterThan">
      <formula>0.8</formula>
    </cfRule>
  </conditionalFormatting>
  <conditionalFormatting sqref="P336">
    <cfRule type="notContainsText" dxfId="669" priority="1531" operator="notContains" text="Caida">
      <formula>ISERROR(SEARCH("Caida",P336))</formula>
    </cfRule>
    <cfRule type="containsText" dxfId="668" priority="1532" operator="containsText" text="Caida">
      <formula>NOT(ISERROR(SEARCH("Caida",P336)))</formula>
    </cfRule>
  </conditionalFormatting>
  <conditionalFormatting sqref="P22">
    <cfRule type="containsText" dxfId="667" priority="1571" operator="containsText" text="Instaladas en Funcionamiento Caida">
      <formula>NOT(ISERROR(SEARCH("Instaladas en Funcionamiento Caida",P22)))</formula>
    </cfRule>
  </conditionalFormatting>
  <conditionalFormatting sqref="P282">
    <cfRule type="cellIs" dxfId="666" priority="1569" operator="lessThan">
      <formula>0.8</formula>
    </cfRule>
    <cfRule type="cellIs" dxfId="665" priority="1570" operator="greaterThan">
      <formula>0.8</formula>
    </cfRule>
  </conditionalFormatting>
  <conditionalFormatting sqref="P282">
    <cfRule type="notContainsText" dxfId="664" priority="1567" operator="notContains" text="Caida">
      <formula>ISERROR(SEARCH("Caida",P282))</formula>
    </cfRule>
    <cfRule type="containsText" dxfId="663" priority="1568" operator="containsText" text="Caida">
      <formula>NOT(ISERROR(SEARCH("Caida",P282)))</formula>
    </cfRule>
  </conditionalFormatting>
  <conditionalFormatting sqref="P283">
    <cfRule type="cellIs" dxfId="662" priority="1565" operator="lessThan">
      <formula>0.8</formula>
    </cfRule>
    <cfRule type="cellIs" dxfId="661" priority="1566" operator="greaterThan">
      <formula>0.8</formula>
    </cfRule>
  </conditionalFormatting>
  <conditionalFormatting sqref="P283">
    <cfRule type="notContainsText" dxfId="660" priority="1563" operator="notContains" text="Caida">
      <formula>ISERROR(SEARCH("Caida",P283))</formula>
    </cfRule>
    <cfRule type="containsText" dxfId="659" priority="1564" operator="containsText" text="Caida">
      <formula>NOT(ISERROR(SEARCH("Caida",P283)))</formula>
    </cfRule>
  </conditionalFormatting>
  <conditionalFormatting sqref="P5">
    <cfRule type="cellIs" dxfId="658" priority="1561" operator="lessThan">
      <formula>0.8</formula>
    </cfRule>
    <cfRule type="cellIs" dxfId="657" priority="1562" operator="greaterThan">
      <formula>0.8</formula>
    </cfRule>
  </conditionalFormatting>
  <conditionalFormatting sqref="P5">
    <cfRule type="notContainsText" dxfId="656" priority="1559" operator="notContains" text="Caida">
      <formula>ISERROR(SEARCH("Caida",P5))</formula>
    </cfRule>
    <cfRule type="containsText" dxfId="655" priority="1560" operator="containsText" text="Caida">
      <formula>NOT(ISERROR(SEARCH("Caida",P5)))</formula>
    </cfRule>
  </conditionalFormatting>
  <conditionalFormatting sqref="P231">
    <cfRule type="cellIs" dxfId="654" priority="1557" operator="lessThan">
      <formula>0.8</formula>
    </cfRule>
    <cfRule type="cellIs" dxfId="653" priority="1558" operator="greaterThan">
      <formula>0.8</formula>
    </cfRule>
  </conditionalFormatting>
  <conditionalFormatting sqref="P231">
    <cfRule type="notContainsText" dxfId="652" priority="1555" operator="notContains" text="Caida">
      <formula>ISERROR(SEARCH("Caida",P231))</formula>
    </cfRule>
    <cfRule type="containsText" dxfId="651" priority="1556" operator="containsText" text="Caida">
      <formula>NOT(ISERROR(SEARCH("Caida",P231)))</formula>
    </cfRule>
  </conditionalFormatting>
  <conditionalFormatting sqref="P232">
    <cfRule type="cellIs" dxfId="650" priority="1553" operator="lessThan">
      <formula>0.8</formula>
    </cfRule>
    <cfRule type="cellIs" dxfId="649" priority="1554" operator="greaterThan">
      <formula>0.8</formula>
    </cfRule>
  </conditionalFormatting>
  <conditionalFormatting sqref="P232">
    <cfRule type="notContainsText" dxfId="648" priority="1551" operator="notContains" text="Caida">
      <formula>ISERROR(SEARCH("Caida",P232))</formula>
    </cfRule>
    <cfRule type="containsText" dxfId="647" priority="1552" operator="containsText" text="Caida">
      <formula>NOT(ISERROR(SEARCH("Caida",P232)))</formula>
    </cfRule>
  </conditionalFormatting>
  <conditionalFormatting sqref="P233">
    <cfRule type="cellIs" dxfId="646" priority="1549" operator="lessThan">
      <formula>0.8</formula>
    </cfRule>
    <cfRule type="cellIs" dxfId="645" priority="1550" operator="greaterThan">
      <formula>0.8</formula>
    </cfRule>
  </conditionalFormatting>
  <conditionalFormatting sqref="P233">
    <cfRule type="notContainsText" dxfId="644" priority="1547" operator="notContains" text="Caida">
      <formula>ISERROR(SEARCH("Caida",P233))</formula>
    </cfRule>
    <cfRule type="containsText" dxfId="643" priority="1548" operator="containsText" text="Caida">
      <formula>NOT(ISERROR(SEARCH("Caida",P233)))</formula>
    </cfRule>
  </conditionalFormatting>
  <conditionalFormatting sqref="P234">
    <cfRule type="cellIs" dxfId="642" priority="1545" operator="lessThan">
      <formula>0.8</formula>
    </cfRule>
    <cfRule type="cellIs" dxfId="641" priority="1546" operator="greaterThan">
      <formula>0.8</formula>
    </cfRule>
  </conditionalFormatting>
  <conditionalFormatting sqref="P234">
    <cfRule type="notContainsText" dxfId="640" priority="1543" operator="notContains" text="Caida">
      <formula>ISERROR(SEARCH("Caida",P234))</formula>
    </cfRule>
    <cfRule type="containsText" dxfId="639" priority="1544" operator="containsText" text="Caida">
      <formula>NOT(ISERROR(SEARCH("Caida",P234)))</formula>
    </cfRule>
  </conditionalFormatting>
  <conditionalFormatting sqref="P235">
    <cfRule type="cellIs" dxfId="638" priority="1541" operator="lessThan">
      <formula>0.8</formula>
    </cfRule>
    <cfRule type="cellIs" dxfId="637" priority="1542" operator="greaterThan">
      <formula>0.8</formula>
    </cfRule>
  </conditionalFormatting>
  <conditionalFormatting sqref="P235">
    <cfRule type="notContainsText" dxfId="636" priority="1539" operator="notContains" text="Caida">
      <formula>ISERROR(SEARCH("Caida",P235))</formula>
    </cfRule>
    <cfRule type="containsText" dxfId="635" priority="1540" operator="containsText" text="Caida">
      <formula>NOT(ISERROR(SEARCH("Caida",P235)))</formula>
    </cfRule>
  </conditionalFormatting>
  <conditionalFormatting sqref="P335">
    <cfRule type="cellIs" dxfId="634" priority="1537" operator="lessThan">
      <formula>0.8</formula>
    </cfRule>
    <cfRule type="cellIs" dxfId="633" priority="1538" operator="greaterThan">
      <formula>0.8</formula>
    </cfRule>
  </conditionalFormatting>
  <conditionalFormatting sqref="P335">
    <cfRule type="notContainsText" dxfId="632" priority="1535" operator="notContains" text="Caida">
      <formula>ISERROR(SEARCH("Caida",P335))</formula>
    </cfRule>
    <cfRule type="containsText" dxfId="631" priority="1536" operator="containsText" text="Caida">
      <formula>NOT(ISERROR(SEARCH("Caida",P335)))</formula>
    </cfRule>
  </conditionalFormatting>
  <conditionalFormatting sqref="Q6:Q92 Q96:Q230">
    <cfRule type="cellIs" dxfId="630" priority="1529" operator="lessThan">
      <formula>0.8</formula>
    </cfRule>
    <cfRule type="cellIs" dxfId="629" priority="1530" operator="greaterThan">
      <formula>0.8</formula>
    </cfRule>
  </conditionalFormatting>
  <conditionalFormatting sqref="Q6:Q92 Q96:Q230">
    <cfRule type="notContainsText" dxfId="628" priority="1527" operator="notContains" text="Caida">
      <formula>ISERROR(SEARCH("Caida",Q6))</formula>
    </cfRule>
    <cfRule type="containsText" dxfId="627" priority="1528" operator="containsText" text="Caida">
      <formula>NOT(ISERROR(SEARCH("Caida",Q6)))</formula>
    </cfRule>
  </conditionalFormatting>
  <conditionalFormatting sqref="Q336">
    <cfRule type="cellIs" dxfId="626" priority="1484" operator="lessThan">
      <formula>0.8</formula>
    </cfRule>
    <cfRule type="cellIs" dxfId="625" priority="1485" operator="greaterThan">
      <formula>0.8</formula>
    </cfRule>
  </conditionalFormatting>
  <conditionalFormatting sqref="Q336">
    <cfRule type="notContainsText" dxfId="624" priority="1482" operator="notContains" text="Caida">
      <formula>ISERROR(SEARCH("Caida",Q336))</formula>
    </cfRule>
    <cfRule type="containsText" dxfId="623" priority="1483" operator="containsText" text="Caida">
      <formula>NOT(ISERROR(SEARCH("Caida",Q336)))</formula>
    </cfRule>
  </conditionalFormatting>
  <conditionalFormatting sqref="Q337:Q366 Q284:Q334">
    <cfRule type="cellIs" dxfId="622" priority="1525" operator="lessThan">
      <formula>0.8</formula>
    </cfRule>
    <cfRule type="cellIs" dxfId="621" priority="1526" operator="greaterThan">
      <formula>0.8</formula>
    </cfRule>
  </conditionalFormatting>
  <conditionalFormatting sqref="Q337:Q366 Q284:Q334 Q391:Q1048576">
    <cfRule type="notContainsText" dxfId="620" priority="1523" operator="notContains" text="Caida">
      <formula>ISERROR(SEARCH("Caida",Q284))</formula>
    </cfRule>
    <cfRule type="containsText" dxfId="619" priority="1524" operator="containsText" text="Caida">
      <formula>NOT(ISERROR(SEARCH("Caida",Q284)))</formula>
    </cfRule>
  </conditionalFormatting>
  <conditionalFormatting sqref="Q22">
    <cfRule type="containsText" dxfId="618" priority="1522" operator="containsText" text="Instaladas en Funcionamiento Caida">
      <formula>NOT(ISERROR(SEARCH("Instaladas en Funcionamiento Caida",Q22)))</formula>
    </cfRule>
  </conditionalFormatting>
  <conditionalFormatting sqref="Q282">
    <cfRule type="cellIs" dxfId="617" priority="1520" operator="lessThan">
      <formula>0.8</formula>
    </cfRule>
    <cfRule type="cellIs" dxfId="616" priority="1521" operator="greaterThan">
      <formula>0.8</formula>
    </cfRule>
  </conditionalFormatting>
  <conditionalFormatting sqref="Q282">
    <cfRule type="notContainsText" dxfId="615" priority="1518" operator="notContains" text="Caida">
      <formula>ISERROR(SEARCH("Caida",Q282))</formula>
    </cfRule>
    <cfRule type="containsText" dxfId="614" priority="1519" operator="containsText" text="Caida">
      <formula>NOT(ISERROR(SEARCH("Caida",Q282)))</formula>
    </cfRule>
  </conditionalFormatting>
  <conditionalFormatting sqref="Q283">
    <cfRule type="cellIs" dxfId="613" priority="1516" operator="lessThan">
      <formula>0.8</formula>
    </cfRule>
    <cfRule type="cellIs" dxfId="612" priority="1517" operator="greaterThan">
      <formula>0.8</formula>
    </cfRule>
  </conditionalFormatting>
  <conditionalFormatting sqref="Q283">
    <cfRule type="notContainsText" dxfId="611" priority="1514" operator="notContains" text="Caida">
      <formula>ISERROR(SEARCH("Caida",Q283))</formula>
    </cfRule>
    <cfRule type="containsText" dxfId="610" priority="1515" operator="containsText" text="Caida">
      <formula>NOT(ISERROR(SEARCH("Caida",Q283)))</formula>
    </cfRule>
  </conditionalFormatting>
  <conditionalFormatting sqref="Q5">
    <cfRule type="cellIs" dxfId="609" priority="1512" operator="lessThan">
      <formula>0.8</formula>
    </cfRule>
    <cfRule type="cellIs" dxfId="608" priority="1513" operator="greaterThan">
      <formula>0.8</formula>
    </cfRule>
  </conditionalFormatting>
  <conditionalFormatting sqref="Q5">
    <cfRule type="notContainsText" dxfId="607" priority="1510" operator="notContains" text="Caida">
      <formula>ISERROR(SEARCH("Caida",Q5))</formula>
    </cfRule>
    <cfRule type="containsText" dxfId="606" priority="1511" operator="containsText" text="Caida">
      <formula>NOT(ISERROR(SEARCH("Caida",Q5)))</formula>
    </cfRule>
  </conditionalFormatting>
  <conditionalFormatting sqref="Q231">
    <cfRule type="cellIs" dxfId="605" priority="1508" operator="lessThan">
      <formula>0.8</formula>
    </cfRule>
    <cfRule type="cellIs" dxfId="604" priority="1509" operator="greaterThan">
      <formula>0.8</formula>
    </cfRule>
  </conditionalFormatting>
  <conditionalFormatting sqref="Q231">
    <cfRule type="notContainsText" dxfId="603" priority="1506" operator="notContains" text="Caida">
      <formula>ISERROR(SEARCH("Caida",Q231))</formula>
    </cfRule>
    <cfRule type="containsText" dxfId="602" priority="1507" operator="containsText" text="Caida">
      <formula>NOT(ISERROR(SEARCH("Caida",Q231)))</formula>
    </cfRule>
  </conditionalFormatting>
  <conditionalFormatting sqref="Q232">
    <cfRule type="cellIs" dxfId="601" priority="1504" operator="lessThan">
      <formula>0.8</formula>
    </cfRule>
    <cfRule type="cellIs" dxfId="600" priority="1505" operator="greaterThan">
      <formula>0.8</formula>
    </cfRule>
  </conditionalFormatting>
  <conditionalFormatting sqref="Q232">
    <cfRule type="notContainsText" dxfId="599" priority="1502" operator="notContains" text="Caida">
      <formula>ISERROR(SEARCH("Caida",Q232))</formula>
    </cfRule>
    <cfRule type="containsText" dxfId="598" priority="1503" operator="containsText" text="Caida">
      <formula>NOT(ISERROR(SEARCH("Caida",Q232)))</formula>
    </cfRule>
  </conditionalFormatting>
  <conditionalFormatting sqref="Q233">
    <cfRule type="cellIs" dxfId="597" priority="1500" operator="lessThan">
      <formula>0.8</formula>
    </cfRule>
    <cfRule type="cellIs" dxfId="596" priority="1501" operator="greaterThan">
      <formula>0.8</formula>
    </cfRule>
  </conditionalFormatting>
  <conditionalFormatting sqref="Q233">
    <cfRule type="notContainsText" dxfId="595" priority="1498" operator="notContains" text="Caida">
      <formula>ISERROR(SEARCH("Caida",Q233))</formula>
    </cfRule>
    <cfRule type="containsText" dxfId="594" priority="1499" operator="containsText" text="Caida">
      <formula>NOT(ISERROR(SEARCH("Caida",Q233)))</formula>
    </cfRule>
  </conditionalFormatting>
  <conditionalFormatting sqref="Q234">
    <cfRule type="cellIs" dxfId="593" priority="1496" operator="lessThan">
      <formula>0.8</formula>
    </cfRule>
    <cfRule type="cellIs" dxfId="592" priority="1497" operator="greaterThan">
      <formula>0.8</formula>
    </cfRule>
  </conditionalFormatting>
  <conditionalFormatting sqref="Q234">
    <cfRule type="notContainsText" dxfId="591" priority="1494" operator="notContains" text="Caida">
      <formula>ISERROR(SEARCH("Caida",Q234))</formula>
    </cfRule>
    <cfRule type="containsText" dxfId="590" priority="1495" operator="containsText" text="Caida">
      <formula>NOT(ISERROR(SEARCH("Caida",Q234)))</formula>
    </cfRule>
  </conditionalFormatting>
  <conditionalFormatting sqref="Q235">
    <cfRule type="cellIs" dxfId="589" priority="1492" operator="lessThan">
      <formula>0.8</formula>
    </cfRule>
    <cfRule type="cellIs" dxfId="588" priority="1493" operator="greaterThan">
      <formula>0.8</formula>
    </cfRule>
  </conditionalFormatting>
  <conditionalFormatting sqref="Q235">
    <cfRule type="notContainsText" dxfId="587" priority="1490" operator="notContains" text="Caida">
      <formula>ISERROR(SEARCH("Caida",Q235))</formula>
    </cfRule>
    <cfRule type="containsText" dxfId="586" priority="1491" operator="containsText" text="Caida">
      <formula>NOT(ISERROR(SEARCH("Caida",Q235)))</formula>
    </cfRule>
  </conditionalFormatting>
  <conditionalFormatting sqref="Q335">
    <cfRule type="cellIs" dxfId="585" priority="1488" operator="lessThan">
      <formula>0.8</formula>
    </cfRule>
    <cfRule type="cellIs" dxfId="584" priority="1489" operator="greaterThan">
      <formula>0.8</formula>
    </cfRule>
  </conditionalFormatting>
  <conditionalFormatting sqref="Q335">
    <cfRule type="notContainsText" dxfId="583" priority="1486" operator="notContains" text="Caida">
      <formula>ISERROR(SEARCH("Caida",Q335))</formula>
    </cfRule>
    <cfRule type="containsText" dxfId="582" priority="1487" operator="containsText" text="Caida">
      <formula>NOT(ISERROR(SEARCH("Caida",Q335)))</formula>
    </cfRule>
  </conditionalFormatting>
  <conditionalFormatting sqref="R6:R92 R96:R230">
    <cfRule type="cellIs" dxfId="581" priority="1480" operator="lessThan">
      <formula>0.8</formula>
    </cfRule>
    <cfRule type="cellIs" dxfId="580" priority="1481" operator="greaterThan">
      <formula>0.8</formula>
    </cfRule>
  </conditionalFormatting>
  <conditionalFormatting sqref="R6:R92 R96:R230">
    <cfRule type="notContainsText" dxfId="579" priority="1478" operator="notContains" text="Caida">
      <formula>ISERROR(SEARCH("Caida",R6))</formula>
    </cfRule>
    <cfRule type="containsText" dxfId="578" priority="1479" operator="containsText" text="Caida">
      <formula>NOT(ISERROR(SEARCH("Caida",R6)))</formula>
    </cfRule>
  </conditionalFormatting>
  <conditionalFormatting sqref="R336:T336">
    <cfRule type="cellIs" dxfId="577" priority="1435" operator="lessThan">
      <formula>0.8</formula>
    </cfRule>
    <cfRule type="cellIs" dxfId="576" priority="1436" operator="greaterThan">
      <formula>0.8</formula>
    </cfRule>
  </conditionalFormatting>
  <conditionalFormatting sqref="R336:T336">
    <cfRule type="notContainsText" dxfId="575" priority="1433" operator="notContains" text="Caida">
      <formula>ISERROR(SEARCH("Caida",R336))</formula>
    </cfRule>
    <cfRule type="containsText" dxfId="574" priority="1434" operator="containsText" text="Caida">
      <formula>NOT(ISERROR(SEARCH("Caida",R336)))</formula>
    </cfRule>
  </conditionalFormatting>
  <conditionalFormatting sqref="R337:R366 R284:R334">
    <cfRule type="cellIs" dxfId="573" priority="1476" operator="lessThan">
      <formula>0.8</formula>
    </cfRule>
    <cfRule type="cellIs" dxfId="572" priority="1477" operator="greaterThan">
      <formula>0.8</formula>
    </cfRule>
  </conditionalFormatting>
  <conditionalFormatting sqref="R337:R366 R284:R334 R391:R1048576">
    <cfRule type="notContainsText" dxfId="571" priority="1474" operator="notContains" text="Caida">
      <formula>ISERROR(SEARCH("Caida",R284))</formula>
    </cfRule>
    <cfRule type="containsText" dxfId="570" priority="1475" operator="containsText" text="Caida">
      <formula>NOT(ISERROR(SEARCH("Caida",R284)))</formula>
    </cfRule>
  </conditionalFormatting>
  <conditionalFormatting sqref="R22:T22">
    <cfRule type="containsText" dxfId="569" priority="1473" operator="containsText" text="Instaladas en Funcionamiento Caida">
      <formula>NOT(ISERROR(SEARCH("Instaladas en Funcionamiento Caida",R22)))</formula>
    </cfRule>
  </conditionalFormatting>
  <conditionalFormatting sqref="R282:T282">
    <cfRule type="cellIs" dxfId="568" priority="1471" operator="lessThan">
      <formula>0.8</formula>
    </cfRule>
    <cfRule type="cellIs" dxfId="567" priority="1472" operator="greaterThan">
      <formula>0.8</formula>
    </cfRule>
  </conditionalFormatting>
  <conditionalFormatting sqref="R282:T282">
    <cfRule type="notContainsText" dxfId="566" priority="1469" operator="notContains" text="Caida">
      <formula>ISERROR(SEARCH("Caida",R282))</formula>
    </cfRule>
    <cfRule type="containsText" dxfId="565" priority="1470" operator="containsText" text="Caida">
      <formula>NOT(ISERROR(SEARCH("Caida",R282)))</formula>
    </cfRule>
  </conditionalFormatting>
  <conditionalFormatting sqref="R283:T283">
    <cfRule type="cellIs" dxfId="564" priority="1467" operator="lessThan">
      <formula>0.8</formula>
    </cfRule>
    <cfRule type="cellIs" dxfId="563" priority="1468" operator="greaterThan">
      <formula>0.8</formula>
    </cfRule>
  </conditionalFormatting>
  <conditionalFormatting sqref="R283:T283">
    <cfRule type="notContainsText" dxfId="562" priority="1465" operator="notContains" text="Caida">
      <formula>ISERROR(SEARCH("Caida",R283))</formula>
    </cfRule>
    <cfRule type="containsText" dxfId="561" priority="1466" operator="containsText" text="Caida">
      <formula>NOT(ISERROR(SEARCH("Caida",R283)))</formula>
    </cfRule>
  </conditionalFormatting>
  <conditionalFormatting sqref="R5:T5">
    <cfRule type="cellIs" dxfId="560" priority="1463" operator="lessThan">
      <formula>0.8</formula>
    </cfRule>
    <cfRule type="cellIs" dxfId="559" priority="1464" operator="greaterThan">
      <formula>0.8</formula>
    </cfRule>
  </conditionalFormatting>
  <conditionalFormatting sqref="R5:T5">
    <cfRule type="notContainsText" dxfId="558" priority="1461" operator="notContains" text="Caida">
      <formula>ISERROR(SEARCH("Caida",R5))</formula>
    </cfRule>
    <cfRule type="containsText" dxfId="557" priority="1462" operator="containsText" text="Caida">
      <formula>NOT(ISERROR(SEARCH("Caida",R5)))</formula>
    </cfRule>
  </conditionalFormatting>
  <conditionalFormatting sqref="R231:T231">
    <cfRule type="cellIs" dxfId="556" priority="1459" operator="lessThan">
      <formula>0.8</formula>
    </cfRule>
    <cfRule type="cellIs" dxfId="555" priority="1460" operator="greaterThan">
      <formula>0.8</formula>
    </cfRule>
  </conditionalFormatting>
  <conditionalFormatting sqref="R231:T231">
    <cfRule type="notContainsText" dxfId="554" priority="1457" operator="notContains" text="Caida">
      <formula>ISERROR(SEARCH("Caida",R231))</formula>
    </cfRule>
    <cfRule type="containsText" dxfId="553" priority="1458" operator="containsText" text="Caida">
      <formula>NOT(ISERROR(SEARCH("Caida",R231)))</formula>
    </cfRule>
  </conditionalFormatting>
  <conditionalFormatting sqref="R232:T232">
    <cfRule type="cellIs" dxfId="552" priority="1455" operator="lessThan">
      <formula>0.8</formula>
    </cfRule>
    <cfRule type="cellIs" dxfId="551" priority="1456" operator="greaterThan">
      <formula>0.8</formula>
    </cfRule>
  </conditionalFormatting>
  <conditionalFormatting sqref="R232:T232">
    <cfRule type="notContainsText" dxfId="550" priority="1453" operator="notContains" text="Caida">
      <formula>ISERROR(SEARCH("Caida",R232))</formula>
    </cfRule>
    <cfRule type="containsText" dxfId="549" priority="1454" operator="containsText" text="Caida">
      <formula>NOT(ISERROR(SEARCH("Caida",R232)))</formula>
    </cfRule>
  </conditionalFormatting>
  <conditionalFormatting sqref="R233:T233">
    <cfRule type="cellIs" dxfId="548" priority="1451" operator="lessThan">
      <formula>0.8</formula>
    </cfRule>
    <cfRule type="cellIs" dxfId="547" priority="1452" operator="greaterThan">
      <formula>0.8</formula>
    </cfRule>
  </conditionalFormatting>
  <conditionalFormatting sqref="R233:T233">
    <cfRule type="notContainsText" dxfId="546" priority="1449" operator="notContains" text="Caida">
      <formula>ISERROR(SEARCH("Caida",R233))</formula>
    </cfRule>
    <cfRule type="containsText" dxfId="545" priority="1450" operator="containsText" text="Caida">
      <formula>NOT(ISERROR(SEARCH("Caida",R233)))</formula>
    </cfRule>
  </conditionalFormatting>
  <conditionalFormatting sqref="R234:T234">
    <cfRule type="cellIs" dxfId="544" priority="1447" operator="lessThan">
      <formula>0.8</formula>
    </cfRule>
    <cfRule type="cellIs" dxfId="543" priority="1448" operator="greaterThan">
      <formula>0.8</formula>
    </cfRule>
  </conditionalFormatting>
  <conditionalFormatting sqref="R234:T234">
    <cfRule type="notContainsText" dxfId="542" priority="1445" operator="notContains" text="Caida">
      <formula>ISERROR(SEARCH("Caida",R234))</formula>
    </cfRule>
    <cfRule type="containsText" dxfId="541" priority="1446" operator="containsText" text="Caida">
      <formula>NOT(ISERROR(SEARCH("Caida",R234)))</formula>
    </cfRule>
  </conditionalFormatting>
  <conditionalFormatting sqref="R235:T235">
    <cfRule type="cellIs" dxfId="540" priority="1443" operator="lessThan">
      <formula>0.8</formula>
    </cfRule>
    <cfRule type="cellIs" dxfId="539" priority="1444" operator="greaterThan">
      <formula>0.8</formula>
    </cfRule>
  </conditionalFormatting>
  <conditionalFormatting sqref="R235:T235">
    <cfRule type="notContainsText" dxfId="538" priority="1441" operator="notContains" text="Caida">
      <formula>ISERROR(SEARCH("Caida",R235))</formula>
    </cfRule>
    <cfRule type="containsText" dxfId="537" priority="1442" operator="containsText" text="Caida">
      <formula>NOT(ISERROR(SEARCH("Caida",R235)))</formula>
    </cfRule>
  </conditionalFormatting>
  <conditionalFormatting sqref="R335:T335">
    <cfRule type="cellIs" dxfId="536" priority="1439" operator="lessThan">
      <formula>0.8</formula>
    </cfRule>
    <cfRule type="cellIs" dxfId="535" priority="1440" operator="greaterThan">
      <formula>0.8</formula>
    </cfRule>
  </conditionalFormatting>
  <conditionalFormatting sqref="R335:T335">
    <cfRule type="notContainsText" dxfId="534" priority="1437" operator="notContains" text="Caida">
      <formula>ISERROR(SEARCH("Caida",R335))</formula>
    </cfRule>
    <cfRule type="containsText" dxfId="533" priority="1438" operator="containsText" text="Caida">
      <formula>NOT(ISERROR(SEARCH("Caida",R335)))</formula>
    </cfRule>
  </conditionalFormatting>
  <conditionalFormatting sqref="S391:S1048576">
    <cfRule type="notContainsText" dxfId="532" priority="1425" operator="notContains" text="Caida">
      <formula>ISERROR(SEARCH("Caida",S391))</formula>
    </cfRule>
    <cfRule type="containsText" dxfId="531" priority="1426" operator="containsText" text="Caida">
      <formula>NOT(ISERROR(SEARCH("Caida",S391)))</formula>
    </cfRule>
  </conditionalFormatting>
  <conditionalFormatting sqref="T391:T1048576">
    <cfRule type="notContainsText" dxfId="530" priority="1376" operator="notContains" text="Caida">
      <formula>ISERROR(SEARCH("Caida",T391))</formula>
    </cfRule>
    <cfRule type="containsText" dxfId="529" priority="1377" operator="containsText" text="Caida">
      <formula>NOT(ISERROR(SEARCH("Caida",T391)))</formula>
    </cfRule>
  </conditionalFormatting>
  <conditionalFormatting sqref="E92:K93">
    <cfRule type="containsText" dxfId="528" priority="1332" operator="containsText" text="Radio">
      <formula>NOT(ISERROR(SEARCH("Radio",E92)))</formula>
    </cfRule>
  </conditionalFormatting>
  <conditionalFormatting sqref="P93:P95">
    <cfRule type="cellIs" dxfId="527" priority="1302" operator="lessThan">
      <formula>0.8</formula>
    </cfRule>
    <cfRule type="cellIs" dxfId="526" priority="1303" operator="greaterThan">
      <formula>0.8</formula>
    </cfRule>
  </conditionalFormatting>
  <conditionalFormatting sqref="P93:P95">
    <cfRule type="notContainsText" dxfId="525" priority="1300" operator="notContains" text="Caida">
      <formula>ISERROR(SEARCH("Caida",P93))</formula>
    </cfRule>
    <cfRule type="containsText" dxfId="524" priority="1301" operator="containsText" text="Caida">
      <formula>NOT(ISERROR(SEARCH("Caida",P93)))</formula>
    </cfRule>
  </conditionalFormatting>
  <conditionalFormatting sqref="Q93:Q95">
    <cfRule type="cellIs" dxfId="523" priority="1298" operator="lessThan">
      <formula>0.8</formula>
    </cfRule>
    <cfRule type="cellIs" dxfId="522" priority="1299" operator="greaterThan">
      <formula>0.8</formula>
    </cfRule>
  </conditionalFormatting>
  <conditionalFormatting sqref="Q93:Q95">
    <cfRule type="notContainsText" dxfId="521" priority="1296" operator="notContains" text="Caida">
      <formula>ISERROR(SEARCH("Caida",Q93))</formula>
    </cfRule>
    <cfRule type="containsText" dxfId="520" priority="1297" operator="containsText" text="Caida">
      <formula>NOT(ISERROR(SEARCH("Caida",Q93)))</formula>
    </cfRule>
  </conditionalFormatting>
  <conditionalFormatting sqref="R93:R95">
    <cfRule type="cellIs" dxfId="519" priority="1294" operator="lessThan">
      <formula>0.8</formula>
    </cfRule>
    <cfRule type="cellIs" dxfId="518" priority="1295" operator="greaterThan">
      <formula>0.8</formula>
    </cfRule>
  </conditionalFormatting>
  <conditionalFormatting sqref="R93:R95">
    <cfRule type="notContainsText" dxfId="517" priority="1292" operator="notContains" text="Caida">
      <formula>ISERROR(SEARCH("Caida",R93))</formula>
    </cfRule>
    <cfRule type="containsText" dxfId="516" priority="1293" operator="containsText" text="Caida">
      <formula>NOT(ISERROR(SEARCH("Caida",R93)))</formula>
    </cfRule>
  </conditionalFormatting>
  <conditionalFormatting sqref="E365:K365">
    <cfRule type="containsText" dxfId="515" priority="1281" operator="containsText" text="Radio">
      <formula>NOT(ISERROR(SEARCH("Radio",E365)))</formula>
    </cfRule>
  </conditionalFormatting>
  <conditionalFormatting sqref="P367">
    <cfRule type="cellIs" dxfId="514" priority="1263" operator="lessThan">
      <formula>0.8</formula>
    </cfRule>
    <cfRule type="cellIs" dxfId="513" priority="1264" operator="greaterThan">
      <formula>0.8</formula>
    </cfRule>
  </conditionalFormatting>
  <conditionalFormatting sqref="P367">
    <cfRule type="notContainsText" dxfId="512" priority="1261" operator="notContains" text="Caida">
      <formula>ISERROR(SEARCH("Caida",P367))</formula>
    </cfRule>
    <cfRule type="containsText" dxfId="511" priority="1262" operator="containsText" text="Caida">
      <formula>NOT(ISERROR(SEARCH("Caida",P367)))</formula>
    </cfRule>
  </conditionalFormatting>
  <conditionalFormatting sqref="Q367">
    <cfRule type="cellIs" dxfId="510" priority="1259" operator="lessThan">
      <formula>0.8</formula>
    </cfRule>
    <cfRule type="cellIs" dxfId="509" priority="1260" operator="greaterThan">
      <formula>0.8</formula>
    </cfRule>
  </conditionalFormatting>
  <conditionalFormatting sqref="Q367">
    <cfRule type="notContainsText" dxfId="508" priority="1257" operator="notContains" text="Caida">
      <formula>ISERROR(SEARCH("Caida",Q367))</formula>
    </cfRule>
    <cfRule type="containsText" dxfId="507" priority="1258" operator="containsText" text="Caida">
      <formula>NOT(ISERROR(SEARCH("Caida",Q367)))</formula>
    </cfRule>
  </conditionalFormatting>
  <conditionalFormatting sqref="R367:T367">
    <cfRule type="cellIs" dxfId="506" priority="1255" operator="lessThan">
      <formula>0.8</formula>
    </cfRule>
    <cfRule type="cellIs" dxfId="505" priority="1256" operator="greaterThan">
      <formula>0.8</formula>
    </cfRule>
  </conditionalFormatting>
  <conditionalFormatting sqref="R367:T367">
    <cfRule type="notContainsText" dxfId="504" priority="1253" operator="notContains" text="Caida">
      <formula>ISERROR(SEARCH("Caida",R367))</formula>
    </cfRule>
    <cfRule type="containsText" dxfId="503" priority="1254" operator="containsText" text="Caida">
      <formula>NOT(ISERROR(SEARCH("Caida",R367)))</formula>
    </cfRule>
  </conditionalFormatting>
  <conditionalFormatting sqref="E366:K366">
    <cfRule type="containsText" dxfId="502" priority="1242" operator="containsText" text="Radio">
      <formula>NOT(ISERROR(SEARCH("Radio",E366)))</formula>
    </cfRule>
  </conditionalFormatting>
  <conditionalFormatting sqref="P368">
    <cfRule type="cellIs" dxfId="501" priority="1224" operator="lessThan">
      <formula>0.8</formula>
    </cfRule>
    <cfRule type="cellIs" dxfId="500" priority="1225" operator="greaterThan">
      <formula>0.8</formula>
    </cfRule>
  </conditionalFormatting>
  <conditionalFormatting sqref="P368">
    <cfRule type="notContainsText" dxfId="499" priority="1222" operator="notContains" text="Caida">
      <formula>ISERROR(SEARCH("Caida",P368))</formula>
    </cfRule>
    <cfRule type="containsText" dxfId="498" priority="1223" operator="containsText" text="Caida">
      <formula>NOT(ISERROR(SEARCH("Caida",P368)))</formula>
    </cfRule>
  </conditionalFormatting>
  <conditionalFormatting sqref="Q368">
    <cfRule type="cellIs" dxfId="497" priority="1220" operator="lessThan">
      <formula>0.8</formula>
    </cfRule>
    <cfRule type="cellIs" dxfId="496" priority="1221" operator="greaterThan">
      <formula>0.8</formula>
    </cfRule>
  </conditionalFormatting>
  <conditionalFormatting sqref="Q368">
    <cfRule type="notContainsText" dxfId="495" priority="1218" operator="notContains" text="Caida">
      <formula>ISERROR(SEARCH("Caida",Q368))</formula>
    </cfRule>
    <cfRule type="containsText" dxfId="494" priority="1219" operator="containsText" text="Caida">
      <formula>NOT(ISERROR(SEARCH("Caida",Q368)))</formula>
    </cfRule>
  </conditionalFormatting>
  <conditionalFormatting sqref="R368:T368">
    <cfRule type="cellIs" dxfId="493" priority="1216" operator="lessThan">
      <formula>0.8</formula>
    </cfRule>
    <cfRule type="cellIs" dxfId="492" priority="1217" operator="greaterThan">
      <formula>0.8</formula>
    </cfRule>
  </conditionalFormatting>
  <conditionalFormatting sqref="R368:T368">
    <cfRule type="notContainsText" dxfId="491" priority="1214" operator="notContains" text="Caida">
      <formula>ISERROR(SEARCH("Caida",R368))</formula>
    </cfRule>
    <cfRule type="containsText" dxfId="490" priority="1215" operator="containsText" text="Caida">
      <formula>NOT(ISERROR(SEARCH("Caida",R368)))</formula>
    </cfRule>
  </conditionalFormatting>
  <conditionalFormatting sqref="E367:K367">
    <cfRule type="containsText" dxfId="489" priority="1203" operator="containsText" text="Radio">
      <formula>NOT(ISERROR(SEARCH("Radio",E367)))</formula>
    </cfRule>
  </conditionalFormatting>
  <conditionalFormatting sqref="P369">
    <cfRule type="cellIs" dxfId="488" priority="1185" operator="lessThan">
      <formula>0.8</formula>
    </cfRule>
    <cfRule type="cellIs" dxfId="487" priority="1186" operator="greaterThan">
      <formula>0.8</formula>
    </cfRule>
  </conditionalFormatting>
  <conditionalFormatting sqref="P369">
    <cfRule type="notContainsText" dxfId="486" priority="1183" operator="notContains" text="Caida">
      <formula>ISERROR(SEARCH("Caida",P369))</formula>
    </cfRule>
    <cfRule type="containsText" dxfId="485" priority="1184" operator="containsText" text="Caida">
      <formula>NOT(ISERROR(SEARCH("Caida",P369)))</formula>
    </cfRule>
  </conditionalFormatting>
  <conditionalFormatting sqref="Q369">
    <cfRule type="cellIs" dxfId="484" priority="1181" operator="lessThan">
      <formula>0.8</formula>
    </cfRule>
    <cfRule type="cellIs" dxfId="483" priority="1182" operator="greaterThan">
      <formula>0.8</formula>
    </cfRule>
  </conditionalFormatting>
  <conditionalFormatting sqref="Q369">
    <cfRule type="notContainsText" dxfId="482" priority="1179" operator="notContains" text="Caida">
      <formula>ISERROR(SEARCH("Caida",Q369))</formula>
    </cfRule>
    <cfRule type="containsText" dxfId="481" priority="1180" operator="containsText" text="Caida">
      <formula>NOT(ISERROR(SEARCH("Caida",Q369)))</formula>
    </cfRule>
  </conditionalFormatting>
  <conditionalFormatting sqref="R369:T369">
    <cfRule type="cellIs" dxfId="480" priority="1177" operator="lessThan">
      <formula>0.8</formula>
    </cfRule>
    <cfRule type="cellIs" dxfId="479" priority="1178" operator="greaterThan">
      <formula>0.8</formula>
    </cfRule>
  </conditionalFormatting>
  <conditionalFormatting sqref="R369:T369">
    <cfRule type="notContainsText" dxfId="478" priority="1175" operator="notContains" text="Caida">
      <formula>ISERROR(SEARCH("Caida",R369))</formula>
    </cfRule>
    <cfRule type="containsText" dxfId="477" priority="1176" operator="containsText" text="Caida">
      <formula>NOT(ISERROR(SEARCH("Caida",R369)))</formula>
    </cfRule>
  </conditionalFormatting>
  <conditionalFormatting sqref="E368:K368">
    <cfRule type="containsText" dxfId="476" priority="1164" operator="containsText" text="Radio">
      <formula>NOT(ISERROR(SEARCH("Radio",E368)))</formula>
    </cfRule>
  </conditionalFormatting>
  <conditionalFormatting sqref="U231">
    <cfRule type="cellIs" dxfId="475" priority="1105" operator="lessThan">
      <formula>0.8</formula>
    </cfRule>
    <cfRule type="cellIs" dxfId="474" priority="1106" operator="greaterThan">
      <formula>0.8</formula>
    </cfRule>
  </conditionalFormatting>
  <conditionalFormatting sqref="U231">
    <cfRule type="notContainsText" dxfId="473" priority="1103" operator="notContains" text="Caida">
      <formula>ISERROR(SEARCH("Caida",U231))</formula>
    </cfRule>
    <cfRule type="containsText" dxfId="472" priority="1104" operator="containsText" text="Caida">
      <formula>NOT(ISERROR(SEARCH("Caida",U231)))</formula>
    </cfRule>
  </conditionalFormatting>
  <conditionalFormatting sqref="U232">
    <cfRule type="cellIs" dxfId="471" priority="1101" operator="lessThan">
      <formula>0.8</formula>
    </cfRule>
    <cfRule type="cellIs" dxfId="470" priority="1102" operator="greaterThan">
      <formula>0.8</formula>
    </cfRule>
  </conditionalFormatting>
  <conditionalFormatting sqref="U232">
    <cfRule type="notContainsText" dxfId="469" priority="1099" operator="notContains" text="Caida">
      <formula>ISERROR(SEARCH("Caida",U232))</formula>
    </cfRule>
    <cfRule type="containsText" dxfId="468" priority="1100" operator="containsText" text="Caida">
      <formula>NOT(ISERROR(SEARCH("Caida",U232)))</formula>
    </cfRule>
  </conditionalFormatting>
  <conditionalFormatting sqref="P370:P372">
    <cfRule type="cellIs" dxfId="467" priority="1146" operator="lessThan">
      <formula>0.8</formula>
    </cfRule>
    <cfRule type="cellIs" dxfId="466" priority="1147" operator="greaterThan">
      <formula>0.8</formula>
    </cfRule>
  </conditionalFormatting>
  <conditionalFormatting sqref="P370:P372">
    <cfRule type="notContainsText" dxfId="465" priority="1144" operator="notContains" text="Caida">
      <formula>ISERROR(SEARCH("Caida",P370))</formula>
    </cfRule>
    <cfRule type="containsText" dxfId="464" priority="1145" operator="containsText" text="Caida">
      <formula>NOT(ISERROR(SEARCH("Caida",P370)))</formula>
    </cfRule>
  </conditionalFormatting>
  <conditionalFormatting sqref="Q370:Q372">
    <cfRule type="cellIs" dxfId="463" priority="1142" operator="lessThan">
      <formula>0.8</formula>
    </cfRule>
    <cfRule type="cellIs" dxfId="462" priority="1143" operator="greaterThan">
      <formula>0.8</formula>
    </cfRule>
  </conditionalFormatting>
  <conditionalFormatting sqref="Q370:Q372">
    <cfRule type="notContainsText" dxfId="461" priority="1140" operator="notContains" text="Caida">
      <formula>ISERROR(SEARCH("Caida",Q370))</formula>
    </cfRule>
    <cfRule type="containsText" dxfId="460" priority="1141" operator="containsText" text="Caida">
      <formula>NOT(ISERROR(SEARCH("Caida",Q370)))</formula>
    </cfRule>
  </conditionalFormatting>
  <conditionalFormatting sqref="R370:T370">
    <cfRule type="cellIs" dxfId="459" priority="1138" operator="lessThan">
      <formula>0.8</formula>
    </cfRule>
    <cfRule type="cellIs" dxfId="458" priority="1139" operator="greaterThan">
      <formula>0.8</formula>
    </cfRule>
  </conditionalFormatting>
  <conditionalFormatting sqref="R370:T370">
    <cfRule type="notContainsText" dxfId="457" priority="1136" operator="notContains" text="Caida">
      <formula>ISERROR(SEARCH("Caida",R370))</formula>
    </cfRule>
    <cfRule type="containsText" dxfId="456" priority="1137" operator="containsText" text="Caida">
      <formula>NOT(ISERROR(SEARCH("Caida",R370)))</formula>
    </cfRule>
  </conditionalFormatting>
  <conditionalFormatting sqref="U368">
    <cfRule type="cellIs" dxfId="455" priority="1069" operator="lessThan">
      <formula>0.8</formula>
    </cfRule>
    <cfRule type="cellIs" dxfId="454" priority="1070" operator="greaterThan">
      <formula>0.8</formula>
    </cfRule>
  </conditionalFormatting>
  <conditionalFormatting sqref="U368">
    <cfRule type="notContainsText" dxfId="453" priority="1067" operator="notContains" text="Caida">
      <formula>ISERROR(SEARCH("Caida",U368))</formula>
    </cfRule>
    <cfRule type="containsText" dxfId="452" priority="1068" operator="containsText" text="Caida">
      <formula>NOT(ISERROR(SEARCH("Caida",U368)))</formula>
    </cfRule>
  </conditionalFormatting>
  <conditionalFormatting sqref="U369">
    <cfRule type="cellIs" dxfId="451" priority="1065" operator="lessThan">
      <formula>0.8</formula>
    </cfRule>
    <cfRule type="cellIs" dxfId="450" priority="1066" operator="greaterThan">
      <formula>0.8</formula>
    </cfRule>
  </conditionalFormatting>
  <conditionalFormatting sqref="U369">
    <cfRule type="notContainsText" dxfId="449" priority="1063" operator="notContains" text="Caida">
      <formula>ISERROR(SEARCH("Caida",U369))</formula>
    </cfRule>
    <cfRule type="containsText" dxfId="448" priority="1064" operator="containsText" text="Caida">
      <formula>NOT(ISERROR(SEARCH("Caida",U369)))</formula>
    </cfRule>
  </conditionalFormatting>
  <conditionalFormatting sqref="U370:U372">
    <cfRule type="cellIs" dxfId="447" priority="1061" operator="lessThan">
      <formula>0.8</formula>
    </cfRule>
    <cfRule type="cellIs" dxfId="446" priority="1062" operator="greaterThan">
      <formula>0.8</formula>
    </cfRule>
  </conditionalFormatting>
  <conditionalFormatting sqref="U370:U372">
    <cfRule type="notContainsText" dxfId="445" priority="1059" operator="notContains" text="Caida">
      <formula>ISERROR(SEARCH("Caida",U370))</formula>
    </cfRule>
    <cfRule type="containsText" dxfId="444" priority="1060" operator="containsText" text="Caida">
      <formula>NOT(ISERROR(SEARCH("Caida",U370)))</formula>
    </cfRule>
  </conditionalFormatting>
  <conditionalFormatting sqref="U6:U92 U96:U230">
    <cfRule type="cellIs" dxfId="443" priority="1126" operator="lessThan">
      <formula>0.8</formula>
    </cfRule>
    <cfRule type="cellIs" dxfId="442" priority="1127" operator="greaterThan">
      <formula>0.8</formula>
    </cfRule>
  </conditionalFormatting>
  <conditionalFormatting sqref="U6:U92 U96:U230">
    <cfRule type="notContainsText" dxfId="441" priority="1124" operator="notContains" text="Caida">
      <formula>ISERROR(SEARCH("Caida",U6))</formula>
    </cfRule>
    <cfRule type="containsText" dxfId="440" priority="1125" operator="containsText" text="Caida">
      <formula>NOT(ISERROR(SEARCH("Caida",U6)))</formula>
    </cfRule>
  </conditionalFormatting>
  <conditionalFormatting sqref="U336">
    <cfRule type="cellIs" dxfId="439" priority="1081" operator="lessThan">
      <formula>0.8</formula>
    </cfRule>
    <cfRule type="cellIs" dxfId="438" priority="1082" operator="greaterThan">
      <formula>0.8</formula>
    </cfRule>
  </conditionalFormatting>
  <conditionalFormatting sqref="U336">
    <cfRule type="notContainsText" dxfId="437" priority="1079" operator="notContains" text="Caida">
      <formula>ISERROR(SEARCH("Caida",U336))</formula>
    </cfRule>
    <cfRule type="containsText" dxfId="436" priority="1080" operator="containsText" text="Caida">
      <formula>NOT(ISERROR(SEARCH("Caida",U336)))</formula>
    </cfRule>
  </conditionalFormatting>
  <conditionalFormatting sqref="U337:U366 U284:U334">
    <cfRule type="cellIs" dxfId="435" priority="1122" operator="lessThan">
      <formula>0.8</formula>
    </cfRule>
    <cfRule type="cellIs" dxfId="434" priority="1123" operator="greaterThan">
      <formula>0.8</formula>
    </cfRule>
  </conditionalFormatting>
  <conditionalFormatting sqref="U337:U366 U284:U334 U391:U1048576">
    <cfRule type="notContainsText" dxfId="433" priority="1120" operator="notContains" text="Caida">
      <formula>ISERROR(SEARCH("Caida",U284))</formula>
    </cfRule>
    <cfRule type="containsText" dxfId="432" priority="1121" operator="containsText" text="Caida">
      <formula>NOT(ISERROR(SEARCH("Caida",U284)))</formula>
    </cfRule>
  </conditionalFormatting>
  <conditionalFormatting sqref="U22">
    <cfRule type="containsText" dxfId="431" priority="1119" operator="containsText" text="Instaladas en Funcionamiento Caida">
      <formula>NOT(ISERROR(SEARCH("Instaladas en Funcionamiento Caida",U22)))</formula>
    </cfRule>
  </conditionalFormatting>
  <conditionalFormatting sqref="U282">
    <cfRule type="cellIs" dxfId="430" priority="1117" operator="lessThan">
      <formula>0.8</formula>
    </cfRule>
    <cfRule type="cellIs" dxfId="429" priority="1118" operator="greaterThan">
      <formula>0.8</formula>
    </cfRule>
  </conditionalFormatting>
  <conditionalFormatting sqref="U282">
    <cfRule type="notContainsText" dxfId="428" priority="1115" operator="notContains" text="Caida">
      <formula>ISERROR(SEARCH("Caida",U282))</formula>
    </cfRule>
    <cfRule type="containsText" dxfId="427" priority="1116" operator="containsText" text="Caida">
      <formula>NOT(ISERROR(SEARCH("Caida",U282)))</formula>
    </cfRule>
  </conditionalFormatting>
  <conditionalFormatting sqref="U283">
    <cfRule type="cellIs" dxfId="426" priority="1113" operator="lessThan">
      <formula>0.8</formula>
    </cfRule>
    <cfRule type="cellIs" dxfId="425" priority="1114" operator="greaterThan">
      <formula>0.8</formula>
    </cfRule>
  </conditionalFormatting>
  <conditionalFormatting sqref="U283">
    <cfRule type="notContainsText" dxfId="424" priority="1111" operator="notContains" text="Caida">
      <formula>ISERROR(SEARCH("Caida",U283))</formula>
    </cfRule>
    <cfRule type="containsText" dxfId="423" priority="1112" operator="containsText" text="Caida">
      <formula>NOT(ISERROR(SEARCH("Caida",U283)))</formula>
    </cfRule>
  </conditionalFormatting>
  <conditionalFormatting sqref="U5">
    <cfRule type="cellIs" dxfId="422" priority="1109" operator="lessThan">
      <formula>0.8</formula>
    </cfRule>
    <cfRule type="cellIs" dxfId="421" priority="1110" operator="greaterThan">
      <formula>0.8</formula>
    </cfRule>
  </conditionalFormatting>
  <conditionalFormatting sqref="U5">
    <cfRule type="notContainsText" dxfId="420" priority="1107" operator="notContains" text="Caida">
      <formula>ISERROR(SEARCH("Caida",U5))</formula>
    </cfRule>
    <cfRule type="containsText" dxfId="419" priority="1108" operator="containsText" text="Caida">
      <formula>NOT(ISERROR(SEARCH("Caida",U5)))</formula>
    </cfRule>
  </conditionalFormatting>
  <conditionalFormatting sqref="U233">
    <cfRule type="cellIs" dxfId="418" priority="1097" operator="lessThan">
      <formula>0.8</formula>
    </cfRule>
    <cfRule type="cellIs" dxfId="417" priority="1098" operator="greaterThan">
      <formula>0.8</formula>
    </cfRule>
  </conditionalFormatting>
  <conditionalFormatting sqref="U233">
    <cfRule type="notContainsText" dxfId="416" priority="1095" operator="notContains" text="Caida">
      <formula>ISERROR(SEARCH("Caida",U233))</formula>
    </cfRule>
    <cfRule type="containsText" dxfId="415" priority="1096" operator="containsText" text="Caida">
      <formula>NOT(ISERROR(SEARCH("Caida",U233)))</formula>
    </cfRule>
  </conditionalFormatting>
  <conditionalFormatting sqref="U234">
    <cfRule type="cellIs" dxfId="414" priority="1093" operator="lessThan">
      <formula>0.8</formula>
    </cfRule>
    <cfRule type="cellIs" dxfId="413" priority="1094" operator="greaterThan">
      <formula>0.8</formula>
    </cfRule>
  </conditionalFormatting>
  <conditionalFormatting sqref="U234">
    <cfRule type="notContainsText" dxfId="412" priority="1091" operator="notContains" text="Caida">
      <formula>ISERROR(SEARCH("Caida",U234))</formula>
    </cfRule>
    <cfRule type="containsText" dxfId="411" priority="1092" operator="containsText" text="Caida">
      <formula>NOT(ISERROR(SEARCH("Caida",U234)))</formula>
    </cfRule>
  </conditionalFormatting>
  <conditionalFormatting sqref="U235">
    <cfRule type="cellIs" dxfId="410" priority="1089" operator="lessThan">
      <formula>0.8</formula>
    </cfRule>
    <cfRule type="cellIs" dxfId="409" priority="1090" operator="greaterThan">
      <formula>0.8</formula>
    </cfRule>
  </conditionalFormatting>
  <conditionalFormatting sqref="U235">
    <cfRule type="notContainsText" dxfId="408" priority="1087" operator="notContains" text="Caida">
      <formula>ISERROR(SEARCH("Caida",U235))</formula>
    </cfRule>
    <cfRule type="containsText" dxfId="407" priority="1088" operator="containsText" text="Caida">
      <formula>NOT(ISERROR(SEARCH("Caida",U235)))</formula>
    </cfRule>
  </conditionalFormatting>
  <conditionalFormatting sqref="U335">
    <cfRule type="cellIs" dxfId="406" priority="1085" operator="lessThan">
      <formula>0.8</formula>
    </cfRule>
    <cfRule type="cellIs" dxfId="405" priority="1086" operator="greaterThan">
      <formula>0.8</formula>
    </cfRule>
  </conditionalFormatting>
  <conditionalFormatting sqref="U335">
    <cfRule type="notContainsText" dxfId="404" priority="1083" operator="notContains" text="Caida">
      <formula>ISERROR(SEARCH("Caida",U335))</formula>
    </cfRule>
    <cfRule type="containsText" dxfId="403" priority="1084" operator="containsText" text="Caida">
      <formula>NOT(ISERROR(SEARCH("Caida",U335)))</formula>
    </cfRule>
  </conditionalFormatting>
  <conditionalFormatting sqref="U93:U95">
    <cfRule type="cellIs" dxfId="402" priority="1077" operator="lessThan">
      <formula>0.8</formula>
    </cfRule>
    <cfRule type="cellIs" dxfId="401" priority="1078" operator="greaterThan">
      <formula>0.8</formula>
    </cfRule>
  </conditionalFormatting>
  <conditionalFormatting sqref="U93:U95">
    <cfRule type="notContainsText" dxfId="400" priority="1075" operator="notContains" text="Caida">
      <formula>ISERROR(SEARCH("Caida",U93))</formula>
    </cfRule>
    <cfRule type="containsText" dxfId="399" priority="1076" operator="containsText" text="Caida">
      <formula>NOT(ISERROR(SEARCH("Caida",U93)))</formula>
    </cfRule>
  </conditionalFormatting>
  <conditionalFormatting sqref="U367">
    <cfRule type="cellIs" dxfId="398" priority="1073" operator="lessThan">
      <formula>0.8</formula>
    </cfRule>
    <cfRule type="cellIs" dxfId="397" priority="1074" operator="greaterThan">
      <formula>0.8</formula>
    </cfRule>
  </conditionalFormatting>
  <conditionalFormatting sqref="U367">
    <cfRule type="notContainsText" dxfId="396" priority="1071" operator="notContains" text="Caida">
      <formula>ISERROR(SEARCH("Caida",U367))</formula>
    </cfRule>
    <cfRule type="containsText" dxfId="395" priority="1072" operator="containsText" text="Caida">
      <formula>NOT(ISERROR(SEARCH("Caida",U367)))</formula>
    </cfRule>
  </conditionalFormatting>
  <conditionalFormatting sqref="V6:X92">
    <cfRule type="cellIs" dxfId="394" priority="1057" operator="lessThan">
      <formula>0.8</formula>
    </cfRule>
    <cfRule type="cellIs" dxfId="393" priority="1058" operator="greaterThan">
      <formula>0.8</formula>
    </cfRule>
  </conditionalFormatting>
  <conditionalFormatting sqref="V6:X92">
    <cfRule type="notContainsText" dxfId="392" priority="1055" operator="notContains" text="Caida">
      <formula>ISERROR(SEARCH("Caida",V6))</formula>
    </cfRule>
    <cfRule type="containsText" dxfId="391" priority="1056" operator="containsText" text="Caida">
      <formula>NOT(ISERROR(SEARCH("Caida",V6)))</formula>
    </cfRule>
  </conditionalFormatting>
  <conditionalFormatting sqref="V22:X22 AA22:AJ22">
    <cfRule type="containsText" dxfId="390" priority="1054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89" priority="1052" operator="lessThan">
      <formula>0.8</formula>
    </cfRule>
    <cfRule type="cellIs" dxfId="388" priority="1053" operator="greaterThan">
      <formula>0.8</formula>
    </cfRule>
  </conditionalFormatting>
  <conditionalFormatting sqref="V5:X5 AA5:AJ5">
    <cfRule type="notContainsText" dxfId="387" priority="1050" operator="notContains" text="Caida">
      <formula>ISERROR(SEARCH("Caida",V5))</formula>
    </cfRule>
    <cfRule type="containsText" dxfId="386" priority="1051" operator="containsText" text="Caida">
      <formula>NOT(ISERROR(SEARCH("Caida",V5)))</formula>
    </cfRule>
  </conditionalFormatting>
  <conditionalFormatting sqref="V93:X95">
    <cfRule type="cellIs" dxfId="385" priority="1048" operator="lessThan">
      <formula>0.8</formula>
    </cfRule>
    <cfRule type="cellIs" dxfId="384" priority="1049" operator="greaterThan">
      <formula>0.8</formula>
    </cfRule>
  </conditionalFormatting>
  <conditionalFormatting sqref="V93:X95">
    <cfRule type="notContainsText" dxfId="383" priority="1046" operator="notContains" text="Caida">
      <formula>ISERROR(SEARCH("Caida",V93))</formula>
    </cfRule>
    <cfRule type="containsText" dxfId="382" priority="1047" operator="containsText" text="Caida">
      <formula>NOT(ISERROR(SEARCH("Caida",V93)))</formula>
    </cfRule>
  </conditionalFormatting>
  <conditionalFormatting sqref="E1:E372 E391:E1048576">
    <cfRule type="containsText" dxfId="381" priority="906" operator="containsText" text="fija">
      <formula>NOT(ISERROR(SEARCH("fija",E1)))</formula>
    </cfRule>
    <cfRule type="containsText" dxfId="380" priority="907" operator="containsText" text="domo">
      <formula>NOT(ISERROR(SEARCH("domo",E1)))</formula>
    </cfRule>
  </conditionalFormatting>
  <conditionalFormatting sqref="AK6:AP92">
    <cfRule type="cellIs" dxfId="379" priority="882" operator="lessThan">
      <formula>0.8</formula>
    </cfRule>
    <cfRule type="cellIs" dxfId="378" priority="883" operator="greaterThan">
      <formula>0.8</formula>
    </cfRule>
  </conditionalFormatting>
  <conditionalFormatting sqref="AK6:AP92">
    <cfRule type="notContainsText" dxfId="377" priority="880" operator="notContains" text="Caida">
      <formula>ISERROR(SEARCH("Caida",AK6))</formula>
    </cfRule>
    <cfRule type="containsText" dxfId="376" priority="881" operator="containsText" text="Caida">
      <formula>NOT(ISERROR(SEARCH("Caida",AK6)))</formula>
    </cfRule>
  </conditionalFormatting>
  <conditionalFormatting sqref="AK22:AR22">
    <cfRule type="containsText" dxfId="375" priority="879" operator="containsText" text="Instaladas en Funcionamiento Caida">
      <formula>NOT(ISERROR(SEARCH("Instaladas en Funcionamiento Caida",AK22)))</formula>
    </cfRule>
  </conditionalFormatting>
  <conditionalFormatting sqref="AK5:AR5">
    <cfRule type="cellIs" dxfId="374" priority="877" operator="lessThan">
      <formula>0.8</formula>
    </cfRule>
    <cfRule type="cellIs" dxfId="373" priority="878" operator="greaterThan">
      <formula>0.8</formula>
    </cfRule>
  </conditionalFormatting>
  <conditionalFormatting sqref="AK5:AR5">
    <cfRule type="notContainsText" dxfId="372" priority="875" operator="notContains" text="Caida">
      <formula>ISERROR(SEARCH("Caida",AK5))</formula>
    </cfRule>
    <cfRule type="containsText" dxfId="371" priority="876" operator="containsText" text="Caida">
      <formula>NOT(ISERROR(SEARCH("Caida",AK5)))</formula>
    </cfRule>
  </conditionalFormatting>
  <conditionalFormatting sqref="AK93:AP94">
    <cfRule type="cellIs" dxfId="370" priority="873" operator="lessThan">
      <formula>0.8</formula>
    </cfRule>
    <cfRule type="cellIs" dxfId="369" priority="874" operator="greaterThan">
      <formula>0.8</formula>
    </cfRule>
  </conditionalFormatting>
  <conditionalFormatting sqref="AK93:AP94">
    <cfRule type="notContainsText" dxfId="368" priority="871" operator="notContains" text="Caida">
      <formula>ISERROR(SEARCH("Caida",AK93))</formula>
    </cfRule>
    <cfRule type="containsText" dxfId="367" priority="872" operator="containsText" text="Caida">
      <formula>NOT(ISERROR(SEARCH("Caida",AK93)))</formula>
    </cfRule>
  </conditionalFormatting>
  <conditionalFormatting sqref="O247:O372 O5:X369 AK1:AR1 AK391:AR1048576 AK5:AR372 AA5:AJ369">
    <cfRule type="cellIs" dxfId="366" priority="870" operator="equal">
      <formula>"APAGADO"</formula>
    </cfRule>
  </conditionalFormatting>
  <conditionalFormatting sqref="S6:S92 S96:S230">
    <cfRule type="cellIs" dxfId="365" priority="854" operator="lessThan">
      <formula>0.8</formula>
    </cfRule>
    <cfRule type="cellIs" dxfId="364" priority="855" operator="greaterThan">
      <formula>0.8</formula>
    </cfRule>
  </conditionalFormatting>
  <conditionalFormatting sqref="S6:S92 S96:S230">
    <cfRule type="notContainsText" dxfId="363" priority="852" operator="notContains" text="Caida">
      <formula>ISERROR(SEARCH("Caida",S6))</formula>
    </cfRule>
    <cfRule type="containsText" dxfId="362" priority="853" operator="containsText" text="Caida">
      <formula>NOT(ISERROR(SEARCH("Caida",S6)))</formula>
    </cfRule>
  </conditionalFormatting>
  <conditionalFormatting sqref="S337:S366 S284:S334">
    <cfRule type="cellIs" dxfId="361" priority="850" operator="lessThan">
      <formula>0.8</formula>
    </cfRule>
    <cfRule type="cellIs" dxfId="360" priority="851" operator="greaterThan">
      <formula>0.8</formula>
    </cfRule>
  </conditionalFormatting>
  <conditionalFormatting sqref="S337:S366 S284:S334">
    <cfRule type="notContainsText" dxfId="359" priority="848" operator="notContains" text="Caida">
      <formula>ISERROR(SEARCH("Caida",S284))</formula>
    </cfRule>
    <cfRule type="containsText" dxfId="358" priority="849" operator="containsText" text="Caida">
      <formula>NOT(ISERROR(SEARCH("Caida",S284)))</formula>
    </cfRule>
  </conditionalFormatting>
  <conditionalFormatting sqref="S93:S95">
    <cfRule type="cellIs" dxfId="357" priority="846" operator="lessThan">
      <formula>0.8</formula>
    </cfRule>
    <cfRule type="cellIs" dxfId="356" priority="847" operator="greaterThan">
      <formula>0.8</formula>
    </cfRule>
  </conditionalFormatting>
  <conditionalFormatting sqref="S93:S95">
    <cfRule type="notContainsText" dxfId="355" priority="844" operator="notContains" text="Caida">
      <formula>ISERROR(SEARCH("Caida",S93))</formula>
    </cfRule>
    <cfRule type="containsText" dxfId="354" priority="845" operator="containsText" text="Caida">
      <formula>NOT(ISERROR(SEARCH("Caida",S93)))</formula>
    </cfRule>
  </conditionalFormatting>
  <conditionalFormatting sqref="T6:T92 T96:T230">
    <cfRule type="cellIs" dxfId="353" priority="842" operator="lessThan">
      <formula>0.8</formula>
    </cfRule>
    <cfRule type="cellIs" dxfId="352" priority="843" operator="greaterThan">
      <formula>0.8</formula>
    </cfRule>
  </conditionalFormatting>
  <conditionalFormatting sqref="T6:T92 T96:T230">
    <cfRule type="notContainsText" dxfId="351" priority="840" operator="notContains" text="Caida">
      <formula>ISERROR(SEARCH("Caida",T6))</formula>
    </cfRule>
    <cfRule type="containsText" dxfId="350" priority="841" operator="containsText" text="Caida">
      <formula>NOT(ISERROR(SEARCH("Caida",T6)))</formula>
    </cfRule>
  </conditionalFormatting>
  <conditionalFormatting sqref="T337:T366 T284:T334">
    <cfRule type="cellIs" dxfId="349" priority="838" operator="lessThan">
      <formula>0.8</formula>
    </cfRule>
    <cfRule type="cellIs" dxfId="348" priority="839" operator="greaterThan">
      <formula>0.8</formula>
    </cfRule>
  </conditionalFormatting>
  <conditionalFormatting sqref="T337:T366 T284:T334">
    <cfRule type="notContainsText" dxfId="347" priority="836" operator="notContains" text="Caida">
      <formula>ISERROR(SEARCH("Caida",T284))</formula>
    </cfRule>
    <cfRule type="containsText" dxfId="346" priority="837" operator="containsText" text="Caida">
      <formula>NOT(ISERROR(SEARCH("Caida",T284)))</formula>
    </cfRule>
  </conditionalFormatting>
  <conditionalFormatting sqref="T93:T95">
    <cfRule type="cellIs" dxfId="345" priority="834" operator="lessThan">
      <formula>0.8</formula>
    </cfRule>
    <cfRule type="cellIs" dxfId="344" priority="835" operator="greaterThan">
      <formula>0.8</formula>
    </cfRule>
  </conditionalFormatting>
  <conditionalFormatting sqref="T93:T95">
    <cfRule type="notContainsText" dxfId="343" priority="832" operator="notContains" text="Caida">
      <formula>ISERROR(SEARCH("Caida",T93))</formula>
    </cfRule>
    <cfRule type="containsText" dxfId="342" priority="833" operator="containsText" text="Caida">
      <formula>NOT(ISERROR(SEARCH("Caida",T93)))</formula>
    </cfRule>
  </conditionalFormatting>
  <conditionalFormatting sqref="F1:F372 F391:F1048576">
    <cfRule type="cellIs" dxfId="341" priority="761" operator="equal">
      <formula>"PTP A FO"</formula>
    </cfRule>
  </conditionalFormatting>
  <conditionalFormatting sqref="R371:T372">
    <cfRule type="cellIs" dxfId="340" priority="390" operator="lessThan">
      <formula>0.8</formula>
    </cfRule>
    <cfRule type="cellIs" dxfId="339" priority="391" operator="greaterThan">
      <formula>0.8</formula>
    </cfRule>
  </conditionalFormatting>
  <conditionalFormatting sqref="R371:T372">
    <cfRule type="notContainsText" dxfId="338" priority="388" operator="notContains" text="Caida">
      <formula>ISERROR(SEARCH("Caida",R371))</formula>
    </cfRule>
    <cfRule type="containsText" dxfId="337" priority="389" operator="containsText" text="Caida">
      <formula>NOT(ISERROR(SEARCH("Caida",R371)))</formula>
    </cfRule>
  </conditionalFormatting>
  <conditionalFormatting sqref="O6:O92">
    <cfRule type="cellIs" dxfId="336" priority="378" operator="lessThan">
      <formula>0.8</formula>
    </cfRule>
    <cfRule type="cellIs" dxfId="335" priority="379" operator="greaterThan">
      <formula>0.8</formula>
    </cfRule>
  </conditionalFormatting>
  <conditionalFormatting sqref="O6:O92">
    <cfRule type="notContainsText" dxfId="334" priority="376" operator="notContains" text="Caida">
      <formula>ISERROR(SEARCH("Caida",O6))</formula>
    </cfRule>
    <cfRule type="containsText" dxfId="333" priority="377" operator="containsText" text="Caida">
      <formula>NOT(ISERROR(SEARCH("Caida",O6)))</formula>
    </cfRule>
  </conditionalFormatting>
  <conditionalFormatting sqref="O22">
    <cfRule type="containsText" dxfId="332" priority="375" operator="containsText" text="Instaladas en Funcionamiento Caida">
      <formula>NOT(ISERROR(SEARCH("Instaladas en Funcionamiento Caida",O22)))</formula>
    </cfRule>
  </conditionalFormatting>
  <conditionalFormatting sqref="O5">
    <cfRule type="cellIs" dxfId="331" priority="373" operator="lessThan">
      <formula>0.8</formula>
    </cfRule>
    <cfRule type="cellIs" dxfId="330" priority="374" operator="greaterThan">
      <formula>0.8</formula>
    </cfRule>
  </conditionalFormatting>
  <conditionalFormatting sqref="O5">
    <cfRule type="notContainsText" dxfId="329" priority="371" operator="notContains" text="Caida">
      <formula>ISERROR(SEARCH("Caida",O5))</formula>
    </cfRule>
    <cfRule type="containsText" dxfId="328" priority="372" operator="containsText" text="Caida">
      <formula>NOT(ISERROR(SEARCH("Caida",O5)))</formula>
    </cfRule>
  </conditionalFormatting>
  <conditionalFormatting sqref="O93:O94">
    <cfRule type="cellIs" dxfId="327" priority="369" operator="lessThan">
      <formula>0.8</formula>
    </cfRule>
    <cfRule type="cellIs" dxfId="326" priority="370" operator="greaterThan">
      <formula>0.8</formula>
    </cfRule>
  </conditionalFormatting>
  <conditionalFormatting sqref="O93:O94">
    <cfRule type="notContainsText" dxfId="325" priority="367" operator="notContains" text="Caida">
      <formula>ISERROR(SEARCH("Caida",O93))</formula>
    </cfRule>
    <cfRule type="containsText" dxfId="324" priority="368" operator="containsText" text="Caida">
      <formula>NOT(ISERROR(SEARCH("Caida",O93)))</formula>
    </cfRule>
  </conditionalFormatting>
  <conditionalFormatting sqref="AR6:AR92">
    <cfRule type="cellIs" dxfId="323" priority="360" operator="lessThan">
      <formula>0.8</formula>
    </cfRule>
    <cfRule type="cellIs" dxfId="322" priority="361" operator="greaterThan">
      <formula>0.8</formula>
    </cfRule>
  </conditionalFormatting>
  <conditionalFormatting sqref="AR6:AR92">
    <cfRule type="notContainsText" dxfId="321" priority="358" operator="notContains" text="Caida">
      <formula>ISERROR(SEARCH("Caida",AR6))</formula>
    </cfRule>
    <cfRule type="containsText" dxfId="320" priority="359" operator="containsText" text="Caida">
      <formula>NOT(ISERROR(SEARCH("Caida",AR6)))</formula>
    </cfRule>
  </conditionalFormatting>
  <conditionalFormatting sqref="AR93:AR94">
    <cfRule type="cellIs" dxfId="319" priority="356" operator="lessThan">
      <formula>0.8</formula>
    </cfRule>
    <cfRule type="cellIs" dxfId="318" priority="357" operator="greaterThan">
      <formula>0.8</formula>
    </cfRule>
  </conditionalFormatting>
  <conditionalFormatting sqref="AR93:AR94">
    <cfRule type="notContainsText" dxfId="317" priority="354" operator="notContains" text="Caida">
      <formula>ISERROR(SEARCH("Caida",AR93))</formula>
    </cfRule>
    <cfRule type="containsText" dxfId="316" priority="355" operator="containsText" text="Caida">
      <formula>NOT(ISERROR(SEARCH("Caida",AR93)))</formula>
    </cfRule>
  </conditionalFormatting>
  <conditionalFormatting sqref="AA6:AF92">
    <cfRule type="cellIs" dxfId="315" priority="295" operator="lessThan">
      <formula>0.8</formula>
    </cfRule>
    <cfRule type="cellIs" dxfId="314" priority="296" operator="greaterThan">
      <formula>0.8</formula>
    </cfRule>
  </conditionalFormatting>
  <conditionalFormatting sqref="AA6:AF92">
    <cfRule type="notContainsText" dxfId="313" priority="293" operator="notContains" text="Caida">
      <formula>ISERROR(SEARCH("Caida",AA6))</formula>
    </cfRule>
    <cfRule type="containsText" dxfId="312" priority="294" operator="containsText" text="Caida">
      <formula>NOT(ISERROR(SEARCH("Caida",AA6)))</formula>
    </cfRule>
  </conditionalFormatting>
  <conditionalFormatting sqref="AA93:AF95">
    <cfRule type="cellIs" dxfId="311" priority="291" operator="lessThan">
      <formula>0.8</formula>
    </cfRule>
    <cfRule type="cellIs" dxfId="310" priority="292" operator="greaterThan">
      <formula>0.8</formula>
    </cfRule>
  </conditionalFormatting>
  <conditionalFormatting sqref="AA93:AF95">
    <cfRule type="notContainsText" dxfId="309" priority="289" operator="notContains" text="Caida">
      <formula>ISERROR(SEARCH("Caida",AA93))</formula>
    </cfRule>
    <cfRule type="containsText" dxfId="308" priority="290" operator="containsText" text="Caida">
      <formula>NOT(ISERROR(SEARCH("Caida",AA93)))</formula>
    </cfRule>
  </conditionalFormatting>
  <conditionalFormatting sqref="AF1 AF5:AF376 AF378:AF1048576 AF3">
    <cfRule type="cellIs" dxfId="307" priority="288" operator="equal">
      <formula>"apagado"</formula>
    </cfRule>
  </conditionalFormatting>
  <conditionalFormatting sqref="AE1 AE5:AE376 AE378:AE1048576 AE3">
    <cfRule type="cellIs" dxfId="306" priority="287" operator="equal">
      <formula>"apagado"</formula>
    </cfRule>
  </conditionalFormatting>
  <conditionalFormatting sqref="AD1 AD5:AD376 AD378:AD1048576 AD3">
    <cfRule type="cellIs" dxfId="305" priority="286" operator="equal">
      <formula>"apagado"</formula>
    </cfRule>
  </conditionalFormatting>
  <conditionalFormatting sqref="AC1 AC5:AC376 AC378:AC1048576 AC3">
    <cfRule type="cellIs" dxfId="304" priority="285" operator="equal">
      <formula>"apagado"</formula>
    </cfRule>
  </conditionalFormatting>
  <conditionalFormatting sqref="AB1 AB5:AB376 AB378:AB1048576 AB3">
    <cfRule type="cellIs" dxfId="303" priority="284" operator="equal">
      <formula>"apagado"</formula>
    </cfRule>
  </conditionalFormatting>
  <conditionalFormatting sqref="AA1 AA5:AA376 AA378:AA1048576 AA3">
    <cfRule type="cellIs" dxfId="302" priority="283" operator="equal">
      <formula>"apagado"</formula>
    </cfRule>
  </conditionalFormatting>
  <conditionalFormatting sqref="Z1 Z378:Z1048576 Z3">
    <cfRule type="cellIs" dxfId="301" priority="282" operator="equal">
      <formula>"apagado"</formula>
    </cfRule>
  </conditionalFormatting>
  <conditionalFormatting sqref="Y1 Y378:Y1048576 Y3">
    <cfRule type="cellIs" dxfId="300" priority="281" operator="equal">
      <formula>"apagado"</formula>
    </cfRule>
  </conditionalFormatting>
  <conditionalFormatting sqref="AG6:AG92">
    <cfRule type="cellIs" dxfId="299" priority="279" operator="lessThan">
      <formula>0.8</formula>
    </cfRule>
    <cfRule type="cellIs" dxfId="298" priority="280" operator="greaterThan">
      <formula>0.8</formula>
    </cfRule>
  </conditionalFormatting>
  <conditionalFormatting sqref="AG6:AG92">
    <cfRule type="notContainsText" dxfId="297" priority="277" operator="notContains" text="Caida">
      <formula>ISERROR(SEARCH("Caida",AG6))</formula>
    </cfRule>
    <cfRule type="containsText" dxfId="296" priority="278" operator="containsText" text="Caida">
      <formula>NOT(ISERROR(SEARCH("Caida",AG6)))</formula>
    </cfRule>
  </conditionalFormatting>
  <conditionalFormatting sqref="AG93:AG95">
    <cfRule type="cellIs" dxfId="295" priority="275" operator="lessThan">
      <formula>0.8</formula>
    </cfRule>
    <cfRule type="cellIs" dxfId="294" priority="276" operator="greaterThan">
      <formula>0.8</formula>
    </cfRule>
  </conditionalFormatting>
  <conditionalFormatting sqref="AG93:AG95">
    <cfRule type="notContainsText" dxfId="293" priority="273" operator="notContains" text="Caida">
      <formula>ISERROR(SEARCH("Caida",AG93))</formula>
    </cfRule>
    <cfRule type="containsText" dxfId="292" priority="274" operator="containsText" text="Caida">
      <formula>NOT(ISERROR(SEARCH("Caida",AG93)))</formula>
    </cfRule>
  </conditionalFormatting>
  <conditionalFormatting sqref="AG1 AG5:AG376 AG378:AG1048576 AG3">
    <cfRule type="cellIs" dxfId="291" priority="272" operator="equal">
      <formula>"apagado"</formula>
    </cfRule>
  </conditionalFormatting>
  <conditionalFormatting sqref="AH6:AH92">
    <cfRule type="cellIs" dxfId="290" priority="270" operator="lessThan">
      <formula>0.8</formula>
    </cfRule>
    <cfRule type="cellIs" dxfId="289" priority="271" operator="greaterThan">
      <formula>0.8</formula>
    </cfRule>
  </conditionalFormatting>
  <conditionalFormatting sqref="AH6:AH92">
    <cfRule type="notContainsText" dxfId="288" priority="268" operator="notContains" text="Caida">
      <formula>ISERROR(SEARCH("Caida",AH6))</formula>
    </cfRule>
    <cfRule type="containsText" dxfId="287" priority="269" operator="containsText" text="Caida">
      <formula>NOT(ISERROR(SEARCH("Caida",AH6)))</formula>
    </cfRule>
  </conditionalFormatting>
  <conditionalFormatting sqref="AH93:AH95">
    <cfRule type="cellIs" dxfId="286" priority="266" operator="lessThan">
      <formula>0.8</formula>
    </cfRule>
    <cfRule type="cellIs" dxfId="285" priority="267" operator="greaterThan">
      <formula>0.8</formula>
    </cfRule>
  </conditionalFormatting>
  <conditionalFormatting sqref="AH93:AH95">
    <cfRule type="notContainsText" dxfId="284" priority="264" operator="notContains" text="Caida">
      <formula>ISERROR(SEARCH("Caida",AH93))</formula>
    </cfRule>
    <cfRule type="containsText" dxfId="283" priority="265" operator="containsText" text="Caida">
      <formula>NOT(ISERROR(SEARCH("Caida",AH93)))</formula>
    </cfRule>
  </conditionalFormatting>
  <conditionalFormatting sqref="AH1 AH378:AH1048576 AH3 AH5:AH376">
    <cfRule type="cellIs" dxfId="282" priority="263" operator="equal">
      <formula>"apagado"</formula>
    </cfRule>
  </conditionalFormatting>
  <conditionalFormatting sqref="AI6:AI92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I6:AI92">
    <cfRule type="notContainsText" dxfId="279" priority="259" operator="notContains" text="Caida">
      <formula>ISERROR(SEARCH("Caida",AI6))</formula>
    </cfRule>
    <cfRule type="containsText" dxfId="278" priority="260" operator="containsText" text="Caida">
      <formula>NOT(ISERROR(SEARCH("Caida",AI6)))</formula>
    </cfRule>
  </conditionalFormatting>
  <conditionalFormatting sqref="AI93:AI95">
    <cfRule type="cellIs" dxfId="277" priority="257" operator="lessThan">
      <formula>0.8</formula>
    </cfRule>
    <cfRule type="cellIs" dxfId="276" priority="258" operator="greaterThan">
      <formula>0.8</formula>
    </cfRule>
  </conditionalFormatting>
  <conditionalFormatting sqref="AI93:AI95">
    <cfRule type="notContainsText" dxfId="275" priority="255" operator="notContains" text="Caida">
      <formula>ISERROR(SEARCH("Caida",AI93))</formula>
    </cfRule>
    <cfRule type="containsText" dxfId="274" priority="256" operator="containsText" text="Caida">
      <formula>NOT(ISERROR(SEARCH("Caida",AI93)))</formula>
    </cfRule>
  </conditionalFormatting>
  <conditionalFormatting sqref="AI1 AI5:AI376 AI378:AI1048576 AI3">
    <cfRule type="cellIs" dxfId="273" priority="254" operator="equal">
      <formula>"apagado"</formula>
    </cfRule>
  </conditionalFormatting>
  <conditionalFormatting sqref="AJ6:AJ92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J6:AJ92">
    <cfRule type="notContainsText" dxfId="270" priority="250" operator="notContains" text="Caida">
      <formula>ISERROR(SEARCH("Caida",AJ6))</formula>
    </cfRule>
    <cfRule type="containsText" dxfId="269" priority="251" operator="containsText" text="Caida">
      <formula>NOT(ISERROR(SEARCH("Caida",AJ6)))</formula>
    </cfRule>
  </conditionalFormatting>
  <conditionalFormatting sqref="AJ93:AJ95">
    <cfRule type="cellIs" dxfId="268" priority="248" operator="lessThan">
      <formula>0.8</formula>
    </cfRule>
    <cfRule type="cellIs" dxfId="267" priority="249" operator="greaterThan">
      <formula>0.8</formula>
    </cfRule>
  </conditionalFormatting>
  <conditionalFormatting sqref="AJ93:AJ95">
    <cfRule type="notContainsText" dxfId="266" priority="246" operator="notContains" text="Caida">
      <formula>ISERROR(SEARCH("Caida",AJ93))</formula>
    </cfRule>
    <cfRule type="containsText" dxfId="265" priority="247" operator="containsText" text="Caida">
      <formula>NOT(ISERROR(SEARCH("Caida",AJ93)))</formula>
    </cfRule>
  </conditionalFormatting>
  <conditionalFormatting sqref="AJ1 AJ5:AJ376 AJ378:AJ1048576 AJ3">
    <cfRule type="cellIs" dxfId="264" priority="245" operator="equal">
      <formula>"apagado"</formula>
    </cfRule>
  </conditionalFormatting>
  <conditionalFormatting sqref="AQ95:AQ369">
    <cfRule type="cellIs" dxfId="263" priority="226" operator="lessThan">
      <formula>0.8</formula>
    </cfRule>
    <cfRule type="cellIs" dxfId="262" priority="227" operator="greaterThan">
      <formula>0.8</formula>
    </cfRule>
  </conditionalFormatting>
  <conditionalFormatting sqref="AQ95:AQ372 AQ391:AQ1048576">
    <cfRule type="notContainsText" dxfId="261" priority="224" operator="notContains" text="Caida">
      <formula>ISERROR(SEARCH("Caida",AQ95))</formula>
    </cfRule>
    <cfRule type="containsText" dxfId="260" priority="225" operator="containsText" text="Caida">
      <formula>NOT(ISERROR(SEARCH("Caida",AQ95)))</formula>
    </cfRule>
  </conditionalFormatting>
  <conditionalFormatting sqref="AQ6:AQ92">
    <cfRule type="cellIs" dxfId="259" priority="222" operator="lessThan">
      <formula>0.8</formula>
    </cfRule>
    <cfRule type="cellIs" dxfId="258" priority="223" operator="greaterThan">
      <formula>0.8</formula>
    </cfRule>
  </conditionalFormatting>
  <conditionalFormatting sqref="AQ6:AQ92">
    <cfRule type="notContainsText" dxfId="257" priority="220" operator="notContains" text="Caida">
      <formula>ISERROR(SEARCH("Caida",AQ6))</formula>
    </cfRule>
    <cfRule type="containsText" dxfId="256" priority="221" operator="containsText" text="Caida">
      <formula>NOT(ISERROR(SEARCH("Caida",AQ6)))</formula>
    </cfRule>
  </conditionalFormatting>
  <conditionalFormatting sqref="AQ93:AQ94">
    <cfRule type="cellIs" dxfId="255" priority="218" operator="lessThan">
      <formula>0.8</formula>
    </cfRule>
    <cfRule type="cellIs" dxfId="254" priority="219" operator="greaterThan">
      <formula>0.8</formula>
    </cfRule>
  </conditionalFormatting>
  <conditionalFormatting sqref="AQ93:AQ94">
    <cfRule type="notContainsText" dxfId="253" priority="216" operator="notContains" text="Caida">
      <formula>ISERROR(SEARCH("Caida",AQ93))</formula>
    </cfRule>
    <cfRule type="containsText" dxfId="252" priority="217" operator="containsText" text="Caida">
      <formula>NOT(ISERROR(SEARCH("Caida",AQ93)))</formula>
    </cfRule>
  </conditionalFormatting>
  <conditionalFormatting sqref="AQ10">
    <cfRule type="cellIs" dxfId="251" priority="211" operator="equal">
      <formula>"apagado"</formula>
    </cfRule>
    <cfRule type="cellIs" dxfId="250" priority="214" operator="lessThan">
      <formula>0.8</formula>
    </cfRule>
    <cfRule type="cellIs" dxfId="249" priority="215" operator="greaterThan">
      <formula>0.8</formula>
    </cfRule>
  </conditionalFormatting>
  <conditionalFormatting sqref="AQ10">
    <cfRule type="notContainsText" dxfId="248" priority="212" operator="notContains" text="Caida">
      <formula>ISERROR(SEARCH("Caida",AQ10))</formula>
    </cfRule>
    <cfRule type="containsText" dxfId="247" priority="213" operator="containsText" text="Caida">
      <formula>NOT(ISERROR(SEARCH("Caida",AQ10)))</formula>
    </cfRule>
  </conditionalFormatting>
  <conditionalFormatting sqref="AQ1 AQ5:AQ376 AQ380:AQ1048576 AQ3">
    <cfRule type="cellIs" dxfId="246" priority="210" operator="equal">
      <formula>"apagado"</formula>
    </cfRule>
  </conditionalFormatting>
  <conditionalFormatting sqref="O5:X376 AA5:AR376">
    <cfRule type="cellIs" dxfId="245" priority="209" operator="equal">
      <formula>"APAGADO"</formula>
    </cfRule>
  </conditionalFormatting>
  <conditionalFormatting sqref="AF377">
    <cfRule type="cellIs" dxfId="244" priority="206" operator="equal">
      <formula>"apagado"</formula>
    </cfRule>
  </conditionalFormatting>
  <conditionalFormatting sqref="AE377">
    <cfRule type="cellIs" dxfId="243" priority="205" operator="equal">
      <formula>"apagado"</formula>
    </cfRule>
  </conditionalFormatting>
  <conditionalFormatting sqref="AD377">
    <cfRule type="cellIs" dxfId="242" priority="204" operator="equal">
      <formula>"apagado"</formula>
    </cfRule>
  </conditionalFormatting>
  <conditionalFormatting sqref="AC377">
    <cfRule type="cellIs" dxfId="241" priority="203" operator="equal">
      <formula>"apagado"</formula>
    </cfRule>
  </conditionalFormatting>
  <conditionalFormatting sqref="AB377">
    <cfRule type="cellIs" dxfId="240" priority="202" operator="equal">
      <formula>"apagado"</formula>
    </cfRule>
  </conditionalFormatting>
  <conditionalFormatting sqref="AA377">
    <cfRule type="cellIs" dxfId="239" priority="201" operator="equal">
      <formula>"apagado"</formula>
    </cfRule>
  </conditionalFormatting>
  <conditionalFormatting sqref="AG377">
    <cfRule type="cellIs" dxfId="238" priority="198" operator="equal">
      <formula>"apagado"</formula>
    </cfRule>
  </conditionalFormatting>
  <conditionalFormatting sqref="AH377">
    <cfRule type="cellIs" dxfId="237" priority="197" operator="equal">
      <formula>"apagado"</formula>
    </cfRule>
  </conditionalFormatting>
  <conditionalFormatting sqref="AI377">
    <cfRule type="cellIs" dxfId="236" priority="196" operator="equal">
      <formula>"apagado"</formula>
    </cfRule>
  </conditionalFormatting>
  <conditionalFormatting sqref="AJ377">
    <cfRule type="cellIs" dxfId="235" priority="195" operator="equal">
      <formula>"apagado"</formula>
    </cfRule>
  </conditionalFormatting>
  <conditionalFormatting sqref="AQ377">
    <cfRule type="cellIs" dxfId="234" priority="194" operator="equal">
      <formula>"apagado"</formula>
    </cfRule>
  </conditionalFormatting>
  <conditionalFormatting sqref="O377:X377 AA377:AR377">
    <cfRule type="cellIs" dxfId="233" priority="193" operator="equal">
      <formula>"APAGADO"</formula>
    </cfRule>
  </conditionalFormatting>
  <conditionalFormatting sqref="AS95:AS369">
    <cfRule type="cellIs" dxfId="232" priority="191" operator="lessThan">
      <formula>0.8</formula>
    </cfRule>
    <cfRule type="cellIs" dxfId="231" priority="192" operator="greaterThan">
      <formula>0.8</formula>
    </cfRule>
  </conditionalFormatting>
  <conditionalFormatting sqref="AS391:AS1048576 AS95:AS372">
    <cfRule type="notContainsText" dxfId="230" priority="189" operator="notContains" text="Caida">
      <formula>ISERROR(SEARCH("Caida",AS95))</formula>
    </cfRule>
    <cfRule type="containsText" dxfId="229" priority="190" operator="containsText" text="Caida">
      <formula>NOT(ISERROR(SEARCH("Caida",AS95)))</formula>
    </cfRule>
  </conditionalFormatting>
  <conditionalFormatting sqref="AS22">
    <cfRule type="containsText" dxfId="228" priority="188" operator="containsText" text="Instaladas en Funcionamiento Caida">
      <formula>NOT(ISERROR(SEARCH("Instaladas en Funcionamiento Caida",AS22)))</formula>
    </cfRule>
  </conditionalFormatting>
  <conditionalFormatting sqref="AS5">
    <cfRule type="cellIs" dxfId="227" priority="186" operator="lessThan">
      <formula>0.8</formula>
    </cfRule>
    <cfRule type="cellIs" dxfId="226" priority="187" operator="greaterThan">
      <formula>0.8</formula>
    </cfRule>
  </conditionalFormatting>
  <conditionalFormatting sqref="AS5">
    <cfRule type="notContainsText" dxfId="225" priority="184" operator="notContains" text="Caida">
      <formula>ISERROR(SEARCH("Caida",AS5))</formula>
    </cfRule>
    <cfRule type="containsText" dxfId="224" priority="185" operator="containsText" text="Caida">
      <formula>NOT(ISERROR(SEARCH("Caida",AS5)))</formula>
    </cfRule>
  </conditionalFormatting>
  <conditionalFormatting sqref="AS1 AS391:AS1048576 AS5:AS372">
    <cfRule type="cellIs" dxfId="223" priority="183" operator="equal">
      <formula>"APAGADO"</formula>
    </cfRule>
  </conditionalFormatting>
  <conditionalFormatting sqref="AS6:AS92">
    <cfRule type="cellIs" dxfId="222" priority="181" operator="lessThan">
      <formula>0.8</formula>
    </cfRule>
    <cfRule type="cellIs" dxfId="221" priority="182" operator="greaterThan">
      <formula>0.8</formula>
    </cfRule>
  </conditionalFormatting>
  <conditionalFormatting sqref="AS6:AS92">
    <cfRule type="notContainsText" dxfId="220" priority="179" operator="notContains" text="Caida">
      <formula>ISERROR(SEARCH("Caida",AS6))</formula>
    </cfRule>
    <cfRule type="containsText" dxfId="219" priority="180" operator="containsText" text="Caida">
      <formula>NOT(ISERROR(SEARCH("Caida",AS6)))</formula>
    </cfRule>
  </conditionalFormatting>
  <conditionalFormatting sqref="AS93:AS94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93:AS94">
    <cfRule type="notContainsText" dxfId="216" priority="175" operator="notContains" text="Caida">
      <formula>ISERROR(SEARCH("Caida",AS93))</formula>
    </cfRule>
    <cfRule type="containsText" dxfId="215" priority="176" operator="containsText" text="Caida">
      <formula>NOT(ISERROR(SEARCH("Caida",AS93)))</formula>
    </cfRule>
  </conditionalFormatting>
  <conditionalFormatting sqref="AS5:AS376">
    <cfRule type="cellIs" dxfId="214" priority="174" operator="equal">
      <formula>"APAGADO"</formula>
    </cfRule>
  </conditionalFormatting>
  <conditionalFormatting sqref="AS377">
    <cfRule type="cellIs" dxfId="213" priority="173" operator="equal">
      <formula>"APAGADO"</formula>
    </cfRule>
  </conditionalFormatting>
  <conditionalFormatting sqref="Y96:Y372">
    <cfRule type="cellIs" dxfId="212" priority="171" operator="lessThan">
      <formula>0.8</formula>
    </cfRule>
    <cfRule type="cellIs" dxfId="211" priority="172" operator="greaterThan">
      <formula>0.8</formula>
    </cfRule>
  </conditionalFormatting>
  <conditionalFormatting sqref="Y96:Y372">
    <cfRule type="notContainsText" dxfId="210" priority="169" operator="notContains" text="Caida">
      <formula>ISERROR(SEARCH("Caida",Y96))</formula>
    </cfRule>
    <cfRule type="containsText" dxfId="209" priority="170" operator="containsText" text="Caida">
      <formula>NOT(ISERROR(SEARCH("Caida",Y96)))</formula>
    </cfRule>
  </conditionalFormatting>
  <conditionalFormatting sqref="Y22">
    <cfRule type="containsText" dxfId="208" priority="168" operator="containsText" text="Instaladas en Funcionamiento Caida">
      <formula>NOT(ISERROR(SEARCH("Instaladas en Funcionamiento Caida",Y22)))</formula>
    </cfRule>
  </conditionalFormatting>
  <conditionalFormatting sqref="Y5">
    <cfRule type="cellIs" dxfId="207" priority="166" operator="lessThan">
      <formula>0.8</formula>
    </cfRule>
    <cfRule type="cellIs" dxfId="206" priority="167" operator="greaterThan">
      <formula>0.8</formula>
    </cfRule>
  </conditionalFormatting>
  <conditionalFormatting sqref="Y5">
    <cfRule type="notContainsText" dxfId="205" priority="164" operator="notContains" text="Caida">
      <formula>ISERROR(SEARCH("Caida",Y5))</formula>
    </cfRule>
    <cfRule type="containsText" dxfId="204" priority="165" operator="containsText" text="Caida">
      <formula>NOT(ISERROR(SEARCH("Caida",Y5)))</formula>
    </cfRule>
  </conditionalFormatting>
  <conditionalFormatting sqref="Y5:Y377">
    <cfRule type="cellIs" dxfId="203" priority="163" operator="equal">
      <formula>"APAGADO"</formula>
    </cfRule>
  </conditionalFormatting>
  <conditionalFormatting sqref="Y6:Y92">
    <cfRule type="cellIs" dxfId="202" priority="161" operator="lessThan">
      <formula>0.8</formula>
    </cfRule>
    <cfRule type="cellIs" dxfId="201" priority="162" operator="greaterThan">
      <formula>0.8</formula>
    </cfRule>
  </conditionalFormatting>
  <conditionalFormatting sqref="Y6:Y92">
    <cfRule type="notContainsText" dxfId="200" priority="159" operator="notContains" text="Caida">
      <formula>ISERROR(SEARCH("Caida",Y6))</formula>
    </cfRule>
    <cfRule type="containsText" dxfId="199" priority="160" operator="containsText" text="Caida">
      <formula>NOT(ISERROR(SEARCH("Caida",Y6)))</formula>
    </cfRule>
  </conditionalFormatting>
  <conditionalFormatting sqref="Y93:Y95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3:Y95">
    <cfRule type="notContainsText" dxfId="196" priority="155" operator="notContains" text="Caida">
      <formula>ISERROR(SEARCH("Caida",Y93))</formula>
    </cfRule>
    <cfRule type="containsText" dxfId="195" priority="156" operator="containsText" text="Caida">
      <formula>NOT(ISERROR(SEARCH("Caida",Y93)))</formula>
    </cfRule>
  </conditionalFormatting>
  <conditionalFormatting sqref="Y5:Y376">
    <cfRule type="cellIs" dxfId="194" priority="154" operator="equal">
      <formula>"apagado"</formula>
    </cfRule>
  </conditionalFormatting>
  <conditionalFormatting sqref="Y377">
    <cfRule type="cellIs" dxfId="193" priority="153" operator="equal">
      <formula>"apagado"</formula>
    </cfRule>
  </conditionalFormatting>
  <conditionalFormatting sqref="Z96:Z372">
    <cfRule type="cellIs" dxfId="192" priority="151" operator="lessThan">
      <formula>0.8</formula>
    </cfRule>
    <cfRule type="cellIs" dxfId="191" priority="152" operator="greaterThan">
      <formula>0.8</formula>
    </cfRule>
  </conditionalFormatting>
  <conditionalFormatting sqref="Z96:Z372">
    <cfRule type="notContainsText" dxfId="190" priority="149" operator="notContains" text="Caida">
      <formula>ISERROR(SEARCH("Caida",Z96))</formula>
    </cfRule>
    <cfRule type="containsText" dxfId="189" priority="150" operator="containsText" text="Caida">
      <formula>NOT(ISERROR(SEARCH("Caida",Z96)))</formula>
    </cfRule>
  </conditionalFormatting>
  <conditionalFormatting sqref="Z22">
    <cfRule type="containsText" dxfId="188" priority="148" operator="containsText" text="Instaladas en Funcionamiento Caida">
      <formula>NOT(ISERROR(SEARCH("Instaladas en Funcionamiento Caida",Z22)))</formula>
    </cfRule>
  </conditionalFormatting>
  <conditionalFormatting sqref="Z5">
    <cfRule type="cellIs" dxfId="187" priority="146" operator="lessThan">
      <formula>0.8</formula>
    </cfRule>
    <cfRule type="cellIs" dxfId="186" priority="147" operator="greaterThan">
      <formula>0.8</formula>
    </cfRule>
  </conditionalFormatting>
  <conditionalFormatting sqref="Z5">
    <cfRule type="notContainsText" dxfId="185" priority="144" operator="notContains" text="Caida">
      <formula>ISERROR(SEARCH("Caida",Z5))</formula>
    </cfRule>
    <cfRule type="containsText" dxfId="184" priority="145" operator="containsText" text="Caida">
      <formula>NOT(ISERROR(SEARCH("Caida",Z5)))</formula>
    </cfRule>
  </conditionalFormatting>
  <conditionalFormatting sqref="Z5:Z377">
    <cfRule type="cellIs" dxfId="183" priority="143" operator="equal">
      <formula>"APAGADO"</formula>
    </cfRule>
  </conditionalFormatting>
  <conditionalFormatting sqref="Z6:Z92">
    <cfRule type="cellIs" dxfId="182" priority="141" operator="lessThan">
      <formula>0.8</formula>
    </cfRule>
    <cfRule type="cellIs" dxfId="181" priority="142" operator="greaterThan">
      <formula>0.8</formula>
    </cfRule>
  </conditionalFormatting>
  <conditionalFormatting sqref="Z6:Z92">
    <cfRule type="notContainsText" dxfId="180" priority="139" operator="notContains" text="Caida">
      <formula>ISERROR(SEARCH("Caida",Z6))</formula>
    </cfRule>
    <cfRule type="containsText" dxfId="179" priority="140" operator="containsText" text="Caida">
      <formula>NOT(ISERROR(SEARCH("Caida",Z6)))</formula>
    </cfRule>
  </conditionalFormatting>
  <conditionalFormatting sqref="Z93:Z95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3:Z95">
    <cfRule type="notContainsText" dxfId="176" priority="135" operator="notContains" text="Caida">
      <formula>ISERROR(SEARCH("Caida",Z93))</formula>
    </cfRule>
    <cfRule type="containsText" dxfId="175" priority="136" operator="containsText" text="Caida">
      <formula>NOT(ISERROR(SEARCH("Caida",Z93)))</formula>
    </cfRule>
  </conditionalFormatting>
  <conditionalFormatting sqref="Z5:Z376">
    <cfRule type="cellIs" dxfId="174" priority="134" operator="equal">
      <formula>"apagado"</formula>
    </cfRule>
  </conditionalFormatting>
  <conditionalFormatting sqref="Z377">
    <cfRule type="cellIs" dxfId="173" priority="133" operator="equal">
      <formula>"apagado"</formula>
    </cfRule>
  </conditionalFormatting>
  <conditionalFormatting sqref="AH94">
    <cfRule type="cellIs" dxfId="172" priority="131" operator="lessThan">
      <formula>0.8</formula>
    </cfRule>
    <cfRule type="cellIs" dxfId="171" priority="132" operator="greaterThan">
      <formula>0.8</formula>
    </cfRule>
  </conditionalFormatting>
  <conditionalFormatting sqref="AH94">
    <cfRule type="notContainsText" dxfId="170" priority="129" operator="notContains" text="Caida">
      <formula>ISERROR(SEARCH("Caida",AH94))</formula>
    </cfRule>
    <cfRule type="containsText" dxfId="169" priority="130" operator="containsText" text="Caida">
      <formula>NOT(ISERROR(SEARCH("Caida",AH94)))</formula>
    </cfRule>
  </conditionalFormatting>
  <conditionalFormatting sqref="AH96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AH96">
    <cfRule type="notContainsText" dxfId="166" priority="125" operator="notContains" text="Caida">
      <formula>ISERROR(SEARCH("Caida",AH96))</formula>
    </cfRule>
    <cfRule type="containsText" dxfId="165" priority="126" operator="containsText" text="Caida">
      <formula>NOT(ISERROR(SEARCH("Caida",AH96)))</formula>
    </cfRule>
  </conditionalFormatting>
  <conditionalFormatting sqref="AH99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AH99">
    <cfRule type="notContainsText" dxfId="162" priority="121" operator="notContains" text="Caida">
      <formula>ISERROR(SEARCH("Caida",AH99))</formula>
    </cfRule>
    <cfRule type="containsText" dxfId="161" priority="122" operator="containsText" text="Caida">
      <formula>NOT(ISERROR(SEARCH("Caida",AH99)))</formula>
    </cfRule>
  </conditionalFormatting>
  <conditionalFormatting sqref="AH115">
    <cfRule type="cellIs" dxfId="160" priority="119" operator="lessThan">
      <formula>0.8</formula>
    </cfRule>
    <cfRule type="cellIs" dxfId="159" priority="120" operator="greaterThan">
      <formula>0.8</formula>
    </cfRule>
  </conditionalFormatting>
  <conditionalFormatting sqref="AH115">
    <cfRule type="notContainsText" dxfId="158" priority="117" operator="notContains" text="Caida">
      <formula>ISERROR(SEARCH("Caida",AH115))</formula>
    </cfRule>
    <cfRule type="containsText" dxfId="157" priority="118" operator="containsText" text="Caida">
      <formula>NOT(ISERROR(SEARCH("Caida",AH115)))</formula>
    </cfRule>
  </conditionalFormatting>
  <conditionalFormatting sqref="AH116">
    <cfRule type="cellIs" dxfId="156" priority="115" operator="lessThan">
      <formula>0.8</formula>
    </cfRule>
    <cfRule type="cellIs" dxfId="155" priority="116" operator="greaterThan">
      <formula>0.8</formula>
    </cfRule>
  </conditionalFormatting>
  <conditionalFormatting sqref="AH116">
    <cfRule type="notContainsText" dxfId="154" priority="113" operator="notContains" text="Caida">
      <formula>ISERROR(SEARCH("Caida",AH116))</formula>
    </cfRule>
    <cfRule type="containsText" dxfId="153" priority="114" operator="containsText" text="Caida">
      <formula>NOT(ISERROR(SEARCH("Caida",AH116)))</formula>
    </cfRule>
  </conditionalFormatting>
  <conditionalFormatting sqref="AH120">
    <cfRule type="cellIs" dxfId="152" priority="111" operator="lessThan">
      <formula>0.8</formula>
    </cfRule>
    <cfRule type="cellIs" dxfId="151" priority="112" operator="greaterThan">
      <formula>0.8</formula>
    </cfRule>
  </conditionalFormatting>
  <conditionalFormatting sqref="AH120">
    <cfRule type="notContainsText" dxfId="150" priority="109" operator="notContains" text="Caida">
      <formula>ISERROR(SEARCH("Caida",AH120))</formula>
    </cfRule>
    <cfRule type="containsText" dxfId="149" priority="110" operator="containsText" text="Caida">
      <formula>NOT(ISERROR(SEARCH("Caida",AH120)))</formula>
    </cfRule>
  </conditionalFormatting>
  <conditionalFormatting sqref="AH121">
    <cfRule type="cellIs" dxfId="148" priority="107" operator="lessThan">
      <formula>0.8</formula>
    </cfRule>
    <cfRule type="cellIs" dxfId="147" priority="108" operator="greaterThan">
      <formula>0.8</formula>
    </cfRule>
  </conditionalFormatting>
  <conditionalFormatting sqref="AH121">
    <cfRule type="notContainsText" dxfId="146" priority="105" operator="notContains" text="Caida">
      <formula>ISERROR(SEARCH("Caida",AH121))</formula>
    </cfRule>
    <cfRule type="containsText" dxfId="145" priority="106" operator="containsText" text="Caida">
      <formula>NOT(ISERROR(SEARCH("Caida",AH121)))</formula>
    </cfRule>
  </conditionalFormatting>
  <conditionalFormatting sqref="AH133">
    <cfRule type="cellIs" dxfId="144" priority="103" operator="lessThan">
      <formula>0.8</formula>
    </cfRule>
    <cfRule type="cellIs" dxfId="143" priority="104" operator="greaterThan">
      <formula>0.8</formula>
    </cfRule>
  </conditionalFormatting>
  <conditionalFormatting sqref="AH133">
    <cfRule type="notContainsText" dxfId="142" priority="101" operator="notContains" text="Caida">
      <formula>ISERROR(SEARCH("Caida",AH133))</formula>
    </cfRule>
    <cfRule type="containsText" dxfId="141" priority="102" operator="containsText" text="Caida">
      <formula>NOT(ISERROR(SEARCH("Caida",AH133)))</formula>
    </cfRule>
  </conditionalFormatting>
  <conditionalFormatting sqref="AH135">
    <cfRule type="cellIs" dxfId="140" priority="99" operator="lessThan">
      <formula>0.8</formula>
    </cfRule>
    <cfRule type="cellIs" dxfId="139" priority="100" operator="greaterThan">
      <formula>0.8</formula>
    </cfRule>
  </conditionalFormatting>
  <conditionalFormatting sqref="AH135">
    <cfRule type="notContainsText" dxfId="138" priority="97" operator="notContains" text="Caida">
      <formula>ISERROR(SEARCH("Caida",AH135))</formula>
    </cfRule>
    <cfRule type="containsText" dxfId="137" priority="98" operator="containsText" text="Caida">
      <formula>NOT(ISERROR(SEARCH("Caida",AH135)))</formula>
    </cfRule>
  </conditionalFormatting>
  <conditionalFormatting sqref="AH142">
    <cfRule type="cellIs" dxfId="136" priority="95" operator="lessThan">
      <formula>0.8</formula>
    </cfRule>
    <cfRule type="cellIs" dxfId="135" priority="96" operator="greaterThan">
      <formula>0.8</formula>
    </cfRule>
  </conditionalFormatting>
  <conditionalFormatting sqref="AH142">
    <cfRule type="notContainsText" dxfId="134" priority="93" operator="notContains" text="Caida">
      <formula>ISERROR(SEARCH("Caida",AH142))</formula>
    </cfRule>
    <cfRule type="containsText" dxfId="133" priority="94" operator="containsText" text="Caida">
      <formula>NOT(ISERROR(SEARCH("Caida",AH142)))</formula>
    </cfRule>
  </conditionalFormatting>
  <conditionalFormatting sqref="AH143">
    <cfRule type="cellIs" dxfId="132" priority="91" operator="lessThan">
      <formula>0.8</formula>
    </cfRule>
    <cfRule type="cellIs" dxfId="131" priority="92" operator="greaterThan">
      <formula>0.8</formula>
    </cfRule>
  </conditionalFormatting>
  <conditionalFormatting sqref="AH143">
    <cfRule type="notContainsText" dxfId="130" priority="89" operator="notContains" text="Caida">
      <formula>ISERROR(SEARCH("Caida",AH143))</formula>
    </cfRule>
    <cfRule type="containsText" dxfId="129" priority="90" operator="containsText" text="Caida">
      <formula>NOT(ISERROR(SEARCH("Caida",AH143)))</formula>
    </cfRule>
  </conditionalFormatting>
  <conditionalFormatting sqref="AH144">
    <cfRule type="cellIs" dxfId="128" priority="87" operator="lessThan">
      <formula>0.8</formula>
    </cfRule>
    <cfRule type="cellIs" dxfId="127" priority="88" operator="greaterThan">
      <formula>0.8</formula>
    </cfRule>
  </conditionalFormatting>
  <conditionalFormatting sqref="AH144">
    <cfRule type="notContainsText" dxfId="126" priority="85" operator="notContains" text="Caida">
      <formula>ISERROR(SEARCH("Caida",AH144))</formula>
    </cfRule>
    <cfRule type="containsText" dxfId="125" priority="86" operator="containsText" text="Caida">
      <formula>NOT(ISERROR(SEARCH("Caida",AH144)))</formula>
    </cfRule>
  </conditionalFormatting>
  <conditionalFormatting sqref="AH163">
    <cfRule type="cellIs" dxfId="124" priority="83" operator="lessThan">
      <formula>0.8</formula>
    </cfRule>
    <cfRule type="cellIs" dxfId="123" priority="84" operator="greaterThan">
      <formula>0.8</formula>
    </cfRule>
  </conditionalFormatting>
  <conditionalFormatting sqref="AH163">
    <cfRule type="notContainsText" dxfId="122" priority="81" operator="notContains" text="Caida">
      <formula>ISERROR(SEARCH("Caida",AH163))</formula>
    </cfRule>
    <cfRule type="containsText" dxfId="121" priority="82" operator="containsText" text="Caida">
      <formula>NOT(ISERROR(SEARCH("Caida",AH163)))</formula>
    </cfRule>
  </conditionalFormatting>
  <conditionalFormatting sqref="AH164">
    <cfRule type="cellIs" dxfId="120" priority="79" operator="lessThan">
      <formula>0.8</formula>
    </cfRule>
    <cfRule type="cellIs" dxfId="119" priority="80" operator="greaterThan">
      <formula>0.8</formula>
    </cfRule>
  </conditionalFormatting>
  <conditionalFormatting sqref="AH164">
    <cfRule type="notContainsText" dxfId="118" priority="77" operator="notContains" text="Caida">
      <formula>ISERROR(SEARCH("Caida",AH164))</formula>
    </cfRule>
    <cfRule type="containsText" dxfId="117" priority="78" operator="containsText" text="Caida">
      <formula>NOT(ISERROR(SEARCH("Caida",AH164)))</formula>
    </cfRule>
  </conditionalFormatting>
  <conditionalFormatting sqref="AH166">
    <cfRule type="cellIs" dxfId="116" priority="75" operator="lessThan">
      <formula>0.8</formula>
    </cfRule>
    <cfRule type="cellIs" dxfId="115" priority="76" operator="greaterThan">
      <formula>0.8</formula>
    </cfRule>
  </conditionalFormatting>
  <conditionalFormatting sqref="AH166">
    <cfRule type="notContainsText" dxfId="114" priority="73" operator="notContains" text="Caida">
      <formula>ISERROR(SEARCH("Caida",AH166))</formula>
    </cfRule>
    <cfRule type="containsText" dxfId="113" priority="74" operator="containsText" text="Caida">
      <formula>NOT(ISERROR(SEARCH("Caida",AH166)))</formula>
    </cfRule>
  </conditionalFormatting>
  <conditionalFormatting sqref="AH177">
    <cfRule type="cellIs" dxfId="112" priority="71" operator="lessThan">
      <formula>0.8</formula>
    </cfRule>
    <cfRule type="cellIs" dxfId="111" priority="72" operator="greaterThan">
      <formula>0.8</formula>
    </cfRule>
  </conditionalFormatting>
  <conditionalFormatting sqref="AH177">
    <cfRule type="notContainsText" dxfId="110" priority="69" operator="notContains" text="Caida">
      <formula>ISERROR(SEARCH("Caida",AH177))</formula>
    </cfRule>
    <cfRule type="containsText" dxfId="109" priority="70" operator="containsText" text="Caida">
      <formula>NOT(ISERROR(SEARCH("Caida",AH177)))</formula>
    </cfRule>
  </conditionalFormatting>
  <conditionalFormatting sqref="AH191">
    <cfRule type="cellIs" dxfId="108" priority="67" operator="lessThan">
      <formula>0.8</formula>
    </cfRule>
    <cfRule type="cellIs" dxfId="107" priority="68" operator="greaterThan">
      <formula>0.8</formula>
    </cfRule>
  </conditionalFormatting>
  <conditionalFormatting sqref="AH191">
    <cfRule type="notContainsText" dxfId="106" priority="65" operator="notContains" text="Caida">
      <formula>ISERROR(SEARCH("Caida",AH191))</formula>
    </cfRule>
    <cfRule type="containsText" dxfId="105" priority="66" operator="containsText" text="Caida">
      <formula>NOT(ISERROR(SEARCH("Caida",AH191)))</formula>
    </cfRule>
  </conditionalFormatting>
  <conditionalFormatting sqref="AH192">
    <cfRule type="cellIs" dxfId="104" priority="63" operator="lessThan">
      <formula>0.8</formula>
    </cfRule>
    <cfRule type="cellIs" dxfId="103" priority="64" operator="greaterThan">
      <formula>0.8</formula>
    </cfRule>
  </conditionalFormatting>
  <conditionalFormatting sqref="AH192">
    <cfRule type="notContainsText" dxfId="102" priority="61" operator="notContains" text="Caida">
      <formula>ISERROR(SEARCH("Caida",AH192))</formula>
    </cfRule>
    <cfRule type="containsText" dxfId="101" priority="62" operator="containsText" text="Caida">
      <formula>NOT(ISERROR(SEARCH("Caida",AH192)))</formula>
    </cfRule>
  </conditionalFormatting>
  <conditionalFormatting sqref="AH198">
    <cfRule type="cellIs" dxfId="100" priority="59" operator="lessThan">
      <formula>0.8</formula>
    </cfRule>
    <cfRule type="cellIs" dxfId="99" priority="60" operator="greaterThan">
      <formula>0.8</formula>
    </cfRule>
  </conditionalFormatting>
  <conditionalFormatting sqref="AH198">
    <cfRule type="notContainsText" dxfId="98" priority="57" operator="notContains" text="Caida">
      <formula>ISERROR(SEARCH("Caida",AH198))</formula>
    </cfRule>
    <cfRule type="containsText" dxfId="97" priority="58" operator="containsText" text="Caida">
      <formula>NOT(ISERROR(SEARCH("Caida",AH198)))</formula>
    </cfRule>
  </conditionalFormatting>
  <conditionalFormatting sqref="AH206">
    <cfRule type="cellIs" dxfId="96" priority="55" operator="lessThan">
      <formula>0.8</formula>
    </cfRule>
    <cfRule type="cellIs" dxfId="95" priority="56" operator="greaterThan">
      <formula>0.8</formula>
    </cfRule>
  </conditionalFormatting>
  <conditionalFormatting sqref="AH206">
    <cfRule type="notContainsText" dxfId="94" priority="53" operator="notContains" text="Caida">
      <formula>ISERROR(SEARCH("Caida",AH206))</formula>
    </cfRule>
    <cfRule type="containsText" dxfId="93" priority="54" operator="containsText" text="Caida">
      <formula>NOT(ISERROR(SEARCH("Caida",AH206)))</formula>
    </cfRule>
  </conditionalFormatting>
  <conditionalFormatting sqref="AH211">
    <cfRule type="cellIs" dxfId="92" priority="51" operator="lessThan">
      <formula>0.8</formula>
    </cfRule>
    <cfRule type="cellIs" dxfId="91" priority="52" operator="greaterThan">
      <formula>0.8</formula>
    </cfRule>
  </conditionalFormatting>
  <conditionalFormatting sqref="AH211">
    <cfRule type="notContainsText" dxfId="90" priority="49" operator="notContains" text="Caida">
      <formula>ISERROR(SEARCH("Caida",AH211))</formula>
    </cfRule>
    <cfRule type="containsText" dxfId="89" priority="50" operator="containsText" text="Caida">
      <formula>NOT(ISERROR(SEARCH("Caida",AH211)))</formula>
    </cfRule>
  </conditionalFormatting>
  <conditionalFormatting sqref="AH212">
    <cfRule type="cellIs" dxfId="88" priority="47" operator="lessThan">
      <formula>0.8</formula>
    </cfRule>
    <cfRule type="cellIs" dxfId="87" priority="48" operator="greaterThan">
      <formula>0.8</formula>
    </cfRule>
  </conditionalFormatting>
  <conditionalFormatting sqref="AH212">
    <cfRule type="notContainsText" dxfId="86" priority="45" operator="notContains" text="Caida">
      <formula>ISERROR(SEARCH("Caida",AH212))</formula>
    </cfRule>
    <cfRule type="containsText" dxfId="85" priority="46" operator="containsText" text="Caida">
      <formula>NOT(ISERROR(SEARCH("Caida",AH212)))</formula>
    </cfRule>
  </conditionalFormatting>
  <conditionalFormatting sqref="AH359">
    <cfRule type="cellIs" dxfId="84" priority="44" operator="equal">
      <formula>"apagado"</formula>
    </cfRule>
  </conditionalFormatting>
  <conditionalFormatting sqref="AH360">
    <cfRule type="cellIs" dxfId="83" priority="43" operator="equal">
      <formula>"apagado"</formula>
    </cfRule>
  </conditionalFormatting>
  <conditionalFormatting sqref="AH361">
    <cfRule type="cellIs" dxfId="82" priority="42" operator="equal">
      <formula>"apagado"</formula>
    </cfRule>
  </conditionalFormatting>
  <conditionalFormatting sqref="AH362">
    <cfRule type="cellIs" dxfId="81" priority="41" operator="equal">
      <formula>"apagado"</formula>
    </cfRule>
  </conditionalFormatting>
  <conditionalFormatting sqref="AH206">
    <cfRule type="cellIs" dxfId="80" priority="40" operator="equal">
      <formula>"apagado"</formula>
    </cfRule>
  </conditionalFormatting>
  <conditionalFormatting sqref="AH211">
    <cfRule type="cellIs" dxfId="79" priority="39" operator="equal">
      <formula>"apagado"</formula>
    </cfRule>
  </conditionalFormatting>
  <conditionalFormatting sqref="AH212">
    <cfRule type="cellIs" dxfId="78" priority="38" operator="equal">
      <formula>"apagado"</formula>
    </cfRule>
  </conditionalFormatting>
  <conditionalFormatting sqref="AH198">
    <cfRule type="cellIs" dxfId="77" priority="37" operator="equal">
      <formula>"apagado"</formula>
    </cfRule>
  </conditionalFormatting>
  <conditionalFormatting sqref="AH192">
    <cfRule type="cellIs" dxfId="76" priority="36" operator="equal">
      <formula>"apagado"</formula>
    </cfRule>
  </conditionalFormatting>
  <conditionalFormatting sqref="AH191">
    <cfRule type="cellIs" dxfId="75" priority="35" operator="equal">
      <formula>"apagado"</formula>
    </cfRule>
  </conditionalFormatting>
  <conditionalFormatting sqref="AH177">
    <cfRule type="cellIs" dxfId="74" priority="34" operator="equal">
      <formula>"apagado"</formula>
    </cfRule>
  </conditionalFormatting>
  <conditionalFormatting sqref="AH166">
    <cfRule type="cellIs" dxfId="73" priority="33" operator="equal">
      <formula>"apagado"</formula>
    </cfRule>
  </conditionalFormatting>
  <conditionalFormatting sqref="AH163">
    <cfRule type="cellIs" dxfId="72" priority="32" operator="equal">
      <formula>"apagado"</formula>
    </cfRule>
  </conditionalFormatting>
  <conditionalFormatting sqref="AH164">
    <cfRule type="cellIs" dxfId="71" priority="31" operator="equal">
      <formula>"apagado"</formula>
    </cfRule>
  </conditionalFormatting>
  <conditionalFormatting sqref="AH142">
    <cfRule type="cellIs" dxfId="70" priority="30" operator="equal">
      <formula>"apagado"</formula>
    </cfRule>
  </conditionalFormatting>
  <conditionalFormatting sqref="AH143">
    <cfRule type="cellIs" dxfId="69" priority="29" operator="equal">
      <formula>"apagado"</formula>
    </cfRule>
  </conditionalFormatting>
  <conditionalFormatting sqref="AH144">
    <cfRule type="cellIs" dxfId="68" priority="28" operator="equal">
      <formula>"apagado"</formula>
    </cfRule>
  </conditionalFormatting>
  <conditionalFormatting sqref="AH133">
    <cfRule type="cellIs" dxfId="67" priority="27" operator="equal">
      <formula>"apagado"</formula>
    </cfRule>
  </conditionalFormatting>
  <conditionalFormatting sqref="AH135">
    <cfRule type="cellIs" dxfId="66" priority="26" operator="equal">
      <formula>"apagado"</formula>
    </cfRule>
  </conditionalFormatting>
  <conditionalFormatting sqref="AH115">
    <cfRule type="cellIs" dxfId="65" priority="25" operator="equal">
      <formula>"apagado"</formula>
    </cfRule>
  </conditionalFormatting>
  <conditionalFormatting sqref="AH116">
    <cfRule type="cellIs" dxfId="64" priority="24" operator="equal">
      <formula>"apagado"</formula>
    </cfRule>
  </conditionalFormatting>
  <conditionalFormatting sqref="AH120">
    <cfRule type="cellIs" dxfId="63" priority="23" operator="equal">
      <formula>"apagado"</formula>
    </cfRule>
  </conditionalFormatting>
  <conditionalFormatting sqref="AH121">
    <cfRule type="cellIs" dxfId="62" priority="22" operator="equal">
      <formula>"apagado"</formula>
    </cfRule>
  </conditionalFormatting>
  <conditionalFormatting sqref="AH99">
    <cfRule type="cellIs" dxfId="61" priority="21" operator="equal">
      <formula>"apagado"</formula>
    </cfRule>
  </conditionalFormatting>
  <conditionalFormatting sqref="AH94">
    <cfRule type="cellIs" dxfId="60" priority="19" operator="lessThan">
      <formula>0.8</formula>
    </cfRule>
    <cfRule type="cellIs" dxfId="59" priority="20" operator="greaterThan">
      <formula>0.8</formula>
    </cfRule>
  </conditionalFormatting>
  <conditionalFormatting sqref="AH94">
    <cfRule type="notContainsText" dxfId="58" priority="17" operator="notContains" text="Caida">
      <formula>ISERROR(SEARCH("Caida",AH94))</formula>
    </cfRule>
    <cfRule type="containsText" dxfId="57" priority="18" operator="containsText" text="Caida">
      <formula>NOT(ISERROR(SEARCH("Caida",AH94)))</formula>
    </cfRule>
  </conditionalFormatting>
  <conditionalFormatting sqref="AH94">
    <cfRule type="cellIs" dxfId="56" priority="16" operator="equal">
      <formula>"apagado"</formula>
    </cfRule>
  </conditionalFormatting>
  <conditionalFormatting sqref="AH96">
    <cfRule type="cellIs" dxfId="55" priority="15" operator="equal">
      <formula>"apagado"</formula>
    </cfRule>
  </conditionalFormatting>
  <conditionalFormatting sqref="AO378">
    <cfRule type="cellIs" dxfId="54" priority="14" operator="equal">
      <formula>"APAGADO"</formula>
    </cfRule>
  </conditionalFormatting>
  <conditionalFormatting sqref="AO379">
    <cfRule type="cellIs" dxfId="53" priority="13" operator="equal">
      <formula>"APAGADO"</formula>
    </cfRule>
  </conditionalFormatting>
  <conditionalFormatting sqref="AP378">
    <cfRule type="cellIs" dxfId="52" priority="12" operator="equal">
      <formula>"APAGADO"</formula>
    </cfRule>
  </conditionalFormatting>
  <conditionalFormatting sqref="AP379">
    <cfRule type="cellIs" dxfId="51" priority="11" operator="equal">
      <formula>"APAGADO"</formula>
    </cfRule>
  </conditionalFormatting>
  <conditionalFormatting sqref="AQ378">
    <cfRule type="cellIs" dxfId="50" priority="10" operator="equal">
      <formula>"APAGADO"</formula>
    </cfRule>
  </conditionalFormatting>
  <conditionalFormatting sqref="AR379">
    <cfRule type="cellIs" dxfId="49" priority="9" operator="equal">
      <formula>"APAGADO"</formula>
    </cfRule>
  </conditionalFormatting>
  <conditionalFormatting sqref="AR378">
    <cfRule type="cellIs" dxfId="48" priority="8" operator="equal">
      <formula>"APAGADO"</formula>
    </cfRule>
  </conditionalFormatting>
  <conditionalFormatting sqref="AQ379">
    <cfRule type="cellIs" dxfId="47" priority="7" operator="equal">
      <formula>"APAGADO"</formula>
    </cfRule>
  </conditionalFormatting>
  <conditionalFormatting sqref="E378">
    <cfRule type="containsText" dxfId="46" priority="6" operator="containsText" text="Radio">
      <formula>NOT(ISERROR(SEARCH("Radio",E378)))</formula>
    </cfRule>
  </conditionalFormatting>
  <conditionalFormatting sqref="E378">
    <cfRule type="containsText" dxfId="45" priority="4" operator="containsText" text="fija">
      <formula>NOT(ISERROR(SEARCH("fija",E378)))</formula>
    </cfRule>
    <cfRule type="containsText" dxfId="44" priority="5" operator="containsText" text="domo">
      <formula>NOT(ISERROR(SEARCH("domo",E378)))</formula>
    </cfRule>
  </conditionalFormatting>
  <conditionalFormatting sqref="E379">
    <cfRule type="containsText" dxfId="43" priority="3" operator="containsText" text="Radio">
      <formula>NOT(ISERROR(SEARCH("Radio",E379)))</formula>
    </cfRule>
  </conditionalFormatting>
  <conditionalFormatting sqref="E379">
    <cfRule type="containsText" dxfId="42" priority="1" operator="containsText" text="fija">
      <formula>NOT(ISERROR(SEARCH("fija",E379)))</formula>
    </cfRule>
    <cfRule type="containsText" dxfId="41" priority="2" operator="containsText" text="domo">
      <formula>NOT(ISERROR(SEARCH("domo",E379)))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 t="str">
        <f>'RESUMEN TOTAL'!AP5</f>
        <v>APAGADO</v>
      </c>
      <c r="AH2" t="str">
        <f>'RESUMEN TOTAL'!AQ5</f>
        <v>APAGADO</v>
      </c>
      <c r="AI2" t="str">
        <f>'RESUMEN TOTAL'!AR5</f>
        <v>APAGADO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 t="str">
        <f>'RESUMEN TOTAL'!AQ7</f>
        <v>APAGADO</v>
      </c>
      <c r="AI4" t="str">
        <f>'RESUMEN TOTAL'!AR7</f>
        <v>APAGADO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 t="str">
        <f>'RESUMEN TOTAL'!AO8</f>
        <v>APAGADO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 t="str">
        <f>'RESUMEN TOTAL'!AM11</f>
        <v>APAGADO</v>
      </c>
      <c r="AE8" t="str">
        <f>'RESUMEN TOTAL'!AN11</f>
        <v>APAGADO</v>
      </c>
      <c r="AF8" t="str">
        <f>'RESUMEN TOTAL'!AO11</f>
        <v>APAGADO</v>
      </c>
      <c r="AG8" t="str">
        <f>'RESUMEN TOTAL'!AP11</f>
        <v>APAGADO</v>
      </c>
      <c r="AH8" t="str">
        <f>'RESUMEN TOTAL'!AQ11</f>
        <v>APAGADO</v>
      </c>
      <c r="AI8" t="str">
        <f>'RESUMEN TOTAL'!AR11</f>
        <v>APAGADO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 t="str">
        <f>'RESUMEN TOTAL'!AO21</f>
        <v>APAGADO</v>
      </c>
      <c r="AG18" t="str">
        <f>'RESUMEN TOTAL'!AP21</f>
        <v>APAGADO</v>
      </c>
      <c r="AH18" t="str">
        <f>'RESUMEN TOTAL'!AQ21</f>
        <v>APAGADO</v>
      </c>
      <c r="AI18" t="str">
        <f>'RESUMEN TOTAL'!AR21</f>
        <v>APAGADO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 t="str">
        <f>'RESUMEN TOTAL'!AQ22</f>
        <v>APAGADO</v>
      </c>
      <c r="AI19" t="str">
        <f>'RESUMEN TOTAL'!AR22</f>
        <v>APAGADO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 t="str">
        <f>'RESUMEN TOTAL'!AQ25</f>
        <v>APAGADO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 t="str">
        <f>'RESUMEN TOTAL'!AQ26</f>
        <v>APAGADO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  <c r="AH27" t="str">
        <f>'RESUMEN TOTAL'!AQ30</f>
        <v>APAGADO</v>
      </c>
      <c r="AI27" t="str">
        <f>'RESUMEN TOTAL'!AR30</f>
        <v>APAGADO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 t="str">
        <f>'RESUMEN TOTAL'!AM43</f>
        <v>APAGADO</v>
      </c>
      <c r="AE40" t="str">
        <f>'RESUMEN TOTAL'!AN43</f>
        <v>APAGADO</v>
      </c>
      <c r="AF40" t="str">
        <f>'RESUMEN TOTAL'!AO43</f>
        <v>APAGADO</v>
      </c>
      <c r="AG40" t="str">
        <f>'RESUMEN TOTAL'!AP43</f>
        <v>APAGADO</v>
      </c>
      <c r="AH40" t="str">
        <f>'RESUMEN TOTAL'!AQ43</f>
        <v>APAGADO</v>
      </c>
      <c r="AI40" t="str">
        <f>'RESUMEN TOTAL'!AR43</f>
        <v>APAGADO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 t="str">
        <f>'RESUMEN TOTAL'!AM51</f>
        <v>APAGADO</v>
      </c>
      <c r="AE48" t="str">
        <f>'RESUMEN TOTAL'!AN51</f>
        <v>APAGADO</v>
      </c>
      <c r="AF48" t="str">
        <f>'RESUMEN TOTAL'!AO51</f>
        <v>APAGADO</v>
      </c>
      <c r="AG48" t="str">
        <f>'RESUMEN TOTAL'!AP51</f>
        <v>APAGADO</v>
      </c>
      <c r="AH48" t="str">
        <f>'RESUMEN TOTAL'!AQ51</f>
        <v>APAGADO</v>
      </c>
      <c r="AI48" t="str">
        <f>'RESUMEN TOTAL'!AR51</f>
        <v>APAGADO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 t="str">
        <f>'RESUMEN TOTAL'!AM52</f>
        <v>APAGADO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 t="str">
        <f>'RESUMEN TOTAL'!AP54</f>
        <v>APAGADO</v>
      </c>
      <c r="AH51" t="str">
        <f>'RESUMEN TOTAL'!AQ54</f>
        <v>APAGADO</v>
      </c>
      <c r="AI51" t="str">
        <f>'RESUMEN TOTAL'!AR54</f>
        <v>APAGADO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 t="str">
        <f>'RESUMEN TOTAL'!AM56</f>
        <v>APAGADO</v>
      </c>
      <c r="AE53" t="str">
        <f>'RESUMEN TOTAL'!AN56</f>
        <v>APAGADO</v>
      </c>
      <c r="AF53" t="str">
        <f>'RESUMEN TOTAL'!AO56</f>
        <v>APAGADO</v>
      </c>
      <c r="AG53" t="str">
        <f>'RESUMEN TOTAL'!AP56</f>
        <v>APAGADO</v>
      </c>
      <c r="AH53">
        <f>'RESUMEN TOTAL'!AQ56</f>
        <v>0</v>
      </c>
      <c r="AI53" t="str">
        <f>'RESUMEN TOTAL'!AR56</f>
        <v>APAGADO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 t="str">
        <f>'RESUMEN TOTAL'!AQ65</f>
        <v>APAGADO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 t="str">
        <f>'RESUMEN TOTAL'!AP70</f>
        <v>APAGADO</v>
      </c>
      <c r="AH67">
        <f>'RESUMEN TOTAL'!AQ70</f>
        <v>0</v>
      </c>
      <c r="AI67" t="str">
        <f>'RESUMEN TOTAL'!AR70</f>
        <v>APAGADO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 t="str">
        <f>'RESUMEN TOTAL'!AR80</f>
        <v>APAGADO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 t="str">
        <f>'RESUMEN TOTAL'!AR83</f>
        <v>APAGADO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 t="str">
        <f>'RESUMEN TOTAL'!AM94</f>
        <v>APAGADO</v>
      </c>
      <c r="AE91" t="str">
        <f>'RESUMEN TOTAL'!AN94</f>
        <v>APAGADO</v>
      </c>
      <c r="AF91" t="str">
        <f>'RESUMEN TOTAL'!AO94</f>
        <v>APAGADO</v>
      </c>
      <c r="AG91" t="str">
        <f>'RESUMEN TOTAL'!AP94</f>
        <v>APAGADO</v>
      </c>
      <c r="AH91" t="str">
        <f>'RESUMEN TOTAL'!AQ94</f>
        <v>APAGADO</v>
      </c>
      <c r="AI91" t="str">
        <f>'RESUMEN TOTAL'!AR94</f>
        <v>APAGADO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 t="str">
        <f>'RESUMEN TOTAL'!AM99</f>
        <v>APAGADO</v>
      </c>
      <c r="AE96" t="str">
        <f>'RESUMEN TOTAL'!AN99</f>
        <v>APAGADO</v>
      </c>
      <c r="AF96" t="str">
        <f>'RESUMEN TOTAL'!AO99</f>
        <v>APAGADO</v>
      </c>
      <c r="AG96" t="str">
        <f>'RESUMEN TOTAL'!AP99</f>
        <v>APAGADO</v>
      </c>
      <c r="AH96" t="str">
        <f>'RESUMEN TOTAL'!AQ99</f>
        <v>APAGADO</v>
      </c>
      <c r="AI96" t="str">
        <f>'RESUMEN TOTAL'!AR99</f>
        <v>APAGADO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 t="str">
        <f>'RESUMEN TOTAL'!AO106</f>
        <v>APAGADO</v>
      </c>
      <c r="AG103">
        <f>'RESUMEN TOTAL'!AP106</f>
        <v>0</v>
      </c>
      <c r="AH103">
        <f>'RESUMEN TOTAL'!AQ106</f>
        <v>0</v>
      </c>
      <c r="AI103" t="str">
        <f>'RESUMEN TOTAL'!AR106</f>
        <v>APAGADO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 t="str">
        <f>'RESUMEN TOTAL'!AO107</f>
        <v>APAGADO</v>
      </c>
      <c r="AG104">
        <f>'RESUMEN TOTAL'!AP107</f>
        <v>0</v>
      </c>
      <c r="AH104">
        <f>'RESUMEN TOTAL'!AQ107</f>
        <v>0</v>
      </c>
      <c r="AI104" t="str">
        <f>'RESUMEN TOTAL'!AR107</f>
        <v>APAGADO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 t="str">
        <f>'RESUMEN TOTAL'!AO108</f>
        <v>APAGADO</v>
      </c>
      <c r="AG105">
        <f>'RESUMEN TOTAL'!AP108</f>
        <v>0</v>
      </c>
      <c r="AH105">
        <f>'RESUMEN TOTAL'!AQ108</f>
        <v>0</v>
      </c>
      <c r="AI105" t="str">
        <f>'RESUMEN TOTAL'!AR108</f>
        <v>APAGADO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 t="str">
        <f>'RESUMEN TOTAL'!AO109</f>
        <v>APAGADO</v>
      </c>
      <c r="AG106">
        <f>'RESUMEN TOTAL'!AP109</f>
        <v>0</v>
      </c>
      <c r="AH106">
        <f>'RESUMEN TOTAL'!AQ109</f>
        <v>0</v>
      </c>
      <c r="AI106" t="str">
        <f>'RESUMEN TOTAL'!AR109</f>
        <v>APAGADO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 t="str">
        <f>'RESUMEN TOTAL'!AM115</f>
        <v>APAGADO</v>
      </c>
      <c r="AE112" t="str">
        <f>'RESUMEN TOTAL'!AN115</f>
        <v>APAGADO</v>
      </c>
      <c r="AF112" t="str">
        <f>'RESUMEN TOTAL'!AO115</f>
        <v>APAGADO</v>
      </c>
      <c r="AG112" t="str">
        <f>'RESUMEN TOTAL'!AP115</f>
        <v>APAGADO</v>
      </c>
      <c r="AH112" t="str">
        <f>'RESUMEN TOTAL'!AQ115</f>
        <v>APAGADO</v>
      </c>
      <c r="AI112" t="str">
        <f>'RESUMEN TOTAL'!AR115</f>
        <v>APAGADO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 t="str">
        <f>'RESUMEN TOTAL'!AM116</f>
        <v>APAGADO</v>
      </c>
      <c r="AE113" t="str">
        <f>'RESUMEN TOTAL'!AN116</f>
        <v>APAGADO</v>
      </c>
      <c r="AF113" t="str">
        <f>'RESUMEN TOTAL'!AO116</f>
        <v>APAGADO</v>
      </c>
      <c r="AG113" t="str">
        <f>'RESUMEN TOTAL'!AP116</f>
        <v>APAGADO</v>
      </c>
      <c r="AH113" t="str">
        <f>'RESUMEN TOTAL'!AQ116</f>
        <v>APAGADO</v>
      </c>
      <c r="AI113" t="str">
        <f>'RESUMEN TOTAL'!AR116</f>
        <v>APAGADO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 t="str">
        <f>'RESUMEN TOTAL'!AP120</f>
        <v>APAGADO</v>
      </c>
      <c r="AH117" t="str">
        <f>'RESUMEN TOTAL'!AQ120</f>
        <v>APAGADO</v>
      </c>
      <c r="AI117" t="str">
        <f>'RESUMEN TOTAL'!AR120</f>
        <v>APAGADO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 t="str">
        <f>'RESUMEN TOTAL'!AP121</f>
        <v>APAGADO</v>
      </c>
      <c r="AH118" t="str">
        <f>'RESUMEN TOTAL'!AQ121</f>
        <v>APAGADO</v>
      </c>
      <c r="AI118" t="str">
        <f>'RESUMEN TOTAL'!AR121</f>
        <v>APAGADO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 t="str">
        <f>'RESUMEN TOTAL'!AR122</f>
        <v>APAGADO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 t="str">
        <f>'RESUMEN TOTAL'!AR123</f>
        <v>APAGADO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 t="str">
        <f>'RESUMEN TOTAL'!AQ125</f>
        <v>APAGADO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 t="str">
        <f>'RESUMEN TOTAL'!AQ127</f>
        <v>APAGADO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 t="str">
        <f>'RESUMEN TOTAL'!AQ128</f>
        <v>APAGADO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 t="str">
        <f>'RESUMEN TOTAL'!AR133</f>
        <v>APAGADO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 t="str">
        <f>'RESUMEN TOTAL'!AM135</f>
        <v>APAGADO</v>
      </c>
      <c r="AE132" t="str">
        <f>'RESUMEN TOTAL'!AN135</f>
        <v>APAGADO</v>
      </c>
      <c r="AF132" t="str">
        <f>'RESUMEN TOTAL'!AO135</f>
        <v>APAGADO</v>
      </c>
      <c r="AG132" t="str">
        <f>'RESUMEN TOTAL'!AP135</f>
        <v>APAGADO</v>
      </c>
      <c r="AH132" t="str">
        <f>'RESUMEN TOTAL'!AQ135</f>
        <v>APAGADO</v>
      </c>
      <c r="AI132" t="str">
        <f>'RESUMEN TOTAL'!AR135</f>
        <v>APAGADO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 t="str">
        <f>'RESUMEN TOTAL'!AQ136</f>
        <v>APAGADO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 t="str">
        <f>'RESUMEN TOTAL'!AQ142</f>
        <v>APAGADO</v>
      </c>
      <c r="AI139" t="str">
        <f>'RESUMEN TOTAL'!AR142</f>
        <v>APAGADO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 t="str">
        <f>'RESUMEN TOTAL'!AQ143</f>
        <v>APAGADO</v>
      </c>
      <c r="AI140" t="str">
        <f>'RESUMEN TOTAL'!AR143</f>
        <v>APAGADO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 t="str">
        <f>'RESUMEN TOTAL'!AM144</f>
        <v>APAGADO</v>
      </c>
      <c r="AE141" t="str">
        <f>'RESUMEN TOTAL'!AN144</f>
        <v>APAGADO</v>
      </c>
      <c r="AF141" t="str">
        <f>'RESUMEN TOTAL'!AO144</f>
        <v>APAGADO</v>
      </c>
      <c r="AG141" t="str">
        <f>'RESUMEN TOTAL'!AP144</f>
        <v>APAGADO</v>
      </c>
      <c r="AH141" t="str">
        <f>'RESUMEN TOTAL'!AQ144</f>
        <v>APAGADO</v>
      </c>
      <c r="AI141" t="str">
        <f>'RESUMEN TOTAL'!AR144</f>
        <v>APAGADO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 t="str">
        <f>'RESUMEN TOTAL'!AO154</f>
        <v>APAGADO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 t="str">
        <f>'RESUMEN TOTAL'!AQ155</f>
        <v>APAGADO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 t="str">
        <f>'RESUMEN TOTAL'!AP163</f>
        <v>APAGADO</v>
      </c>
      <c r="AH160" t="str">
        <f>'RESUMEN TOTAL'!AQ163</f>
        <v>APAGADO</v>
      </c>
      <c r="AI160" t="str">
        <f>'RESUMEN TOTAL'!AR163</f>
        <v>APAGADO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 t="str">
        <f>'RESUMEN TOTAL'!AP164</f>
        <v>APAGADO</v>
      </c>
      <c r="AH161" t="str">
        <f>'RESUMEN TOTAL'!AQ164</f>
        <v>APAGADO</v>
      </c>
      <c r="AI161" t="str">
        <f>'RESUMEN TOTAL'!AR164</f>
        <v>APAGADO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 t="str">
        <f>'RESUMEN TOTAL'!AQ166</f>
        <v>APAGADO</v>
      </c>
      <c r="AI163" t="str">
        <f>'RESUMEN TOTAL'!AR166</f>
        <v>APAGADO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 t="str">
        <f>'RESUMEN TOTAL'!AQ177</f>
        <v>APAGADO</v>
      </c>
      <c r="AI174" t="str">
        <f>'RESUMEN TOTAL'!AR177</f>
        <v>APAGADO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 t="str">
        <f>'RESUMEN TOTAL'!AM180</f>
        <v>APAGADO</v>
      </c>
      <c r="AE177" t="str">
        <f>'RESUMEN TOTAL'!AN180</f>
        <v>APAGADO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 t="str">
        <f>'RESUMEN TOTAL'!AR185</f>
        <v>APAGADO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>
        <f>'RESUMEN TOTAL'!AQ191</f>
        <v>0</v>
      </c>
      <c r="AI188" t="str">
        <f>'RESUMEN TOTAL'!AR191</f>
        <v>APAGADO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>
        <f>'RESUMEN TOTAL'!AQ192</f>
        <v>0</v>
      </c>
      <c r="AI189" t="str">
        <f>'RESUMEN TOTAL'!AR192</f>
        <v>APAGADO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 t="str">
        <f>'RESUMEN TOTAL'!AN194</f>
        <v>APAGADO</v>
      </c>
      <c r="AF191" t="str">
        <f>'RESUMEN TOTAL'!AO194</f>
        <v>APAGADO</v>
      </c>
      <c r="AG191">
        <f>'RESUMEN TOTAL'!AP194</f>
        <v>0</v>
      </c>
      <c r="AH191">
        <f>'RESUMEN TOTAL'!AQ194</f>
        <v>0</v>
      </c>
      <c r="AI191" t="str">
        <f>'RESUMEN TOTAL'!AR194</f>
        <v>APAGADO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 t="str">
        <f>'RESUMEN TOTAL'!AO197</f>
        <v>APAGADO</v>
      </c>
      <c r="AG194">
        <f>'RESUMEN TOTAL'!AP197</f>
        <v>0</v>
      </c>
      <c r="AH194">
        <f>'RESUMEN TOTAL'!AQ197</f>
        <v>0</v>
      </c>
      <c r="AI194" t="str">
        <f>'RESUMEN TOTAL'!AR197</f>
        <v>APAGADO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 t="str">
        <f>'RESUMEN TOTAL'!AR198</f>
        <v>APAGADO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 t="str">
        <f>'RESUMEN TOTAL'!AO201</f>
        <v>APAGADO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 t="str">
        <f>'RESUMEN TOTAL'!AO202</f>
        <v>APAGADO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 t="str">
        <f>'RESUMEN TOTAL'!AR206</f>
        <v>APAGADO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 t="str">
        <f>'RESUMEN TOTAL'!AR207</f>
        <v>APAGADO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 t="str">
        <f>'RESUMEN TOTAL'!AQ211</f>
        <v>APAGADO</v>
      </c>
      <c r="AI208" t="str">
        <f>'RESUMEN TOTAL'!AR211</f>
        <v>APAGADO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 t="str">
        <f>'RESUMEN TOTAL'!AQ212</f>
        <v>APAGADO</v>
      </c>
      <c r="AI209" t="str">
        <f>'RESUMEN TOTAL'!AR212</f>
        <v>APAGADO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 t="str">
        <f>'RESUMEN TOTAL'!AQ216</f>
        <v>APAGADO</v>
      </c>
      <c r="AI213" t="str">
        <f>'RESUMEN TOTAL'!AR216</f>
        <v>APAGADO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 t="str">
        <f>'RESUMEN TOTAL'!AQ217</f>
        <v>APAGADO</v>
      </c>
      <c r="AI214" t="str">
        <f>'RESUMEN TOTAL'!AR217</f>
        <v>APAGADO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 t="str">
        <f>'RESUMEN TOTAL'!AN218</f>
        <v>APAGADO</v>
      </c>
      <c r="AF215" t="str">
        <f>'RESUMEN TOTAL'!AO218</f>
        <v>APAGADO</v>
      </c>
      <c r="AG215" t="str">
        <f>'RESUMEN TOTAL'!AP218</f>
        <v>APAGADO</v>
      </c>
      <c r="AH215" t="str">
        <f>'RESUMEN TOTAL'!AQ218</f>
        <v>APAGADO</v>
      </c>
      <c r="AI215" t="str">
        <f>'RESUMEN TOTAL'!AR218</f>
        <v>APAGADO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 t="str">
        <f>'RESUMEN TOTAL'!AN219</f>
        <v>APAGADO</v>
      </c>
      <c r="AF216" t="str">
        <f>'RESUMEN TOTAL'!AO219</f>
        <v>APAGADO</v>
      </c>
      <c r="AG216" t="str">
        <f>'RESUMEN TOTAL'!AP219</f>
        <v>APAGADO</v>
      </c>
      <c r="AH216" t="str">
        <f>'RESUMEN TOTAL'!AQ219</f>
        <v>APAGADO</v>
      </c>
      <c r="AI216" t="str">
        <f>'RESUMEN TOTAL'!AR219</f>
        <v>APAGADO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 t="str">
        <f>'RESUMEN TOTAL'!AO231</f>
        <v>APAGADO</v>
      </c>
      <c r="AG228" t="str">
        <f>'RESUMEN TOTAL'!AP231</f>
        <v>APAGADO</v>
      </c>
      <c r="AH228" t="str">
        <f>'RESUMEN TOTAL'!AQ231</f>
        <v>APAGADO</v>
      </c>
      <c r="AI228" t="str">
        <f>'RESUMEN TOTAL'!AR231</f>
        <v>APAGADO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 t="str">
        <f>'RESUMEN TOTAL'!AO232</f>
        <v>APAGADO</v>
      </c>
      <c r="AG229" t="str">
        <f>'RESUMEN TOTAL'!AP232</f>
        <v>APAGADO</v>
      </c>
      <c r="AH229" t="str">
        <f>'RESUMEN TOTAL'!AQ232</f>
        <v>APAGADO</v>
      </c>
      <c r="AI229" t="str">
        <f>'RESUMEN TOTAL'!AR232</f>
        <v>APAGADO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 t="str">
        <f>'RESUMEN TOTAL'!AM263</f>
        <v>APAGADO</v>
      </c>
      <c r="AE260" t="str">
        <f>'RESUMEN TOTAL'!AN263</f>
        <v>APAGADO</v>
      </c>
      <c r="AF260" t="str">
        <f>'RESUMEN TOTAL'!AO263</f>
        <v>APAGADO</v>
      </c>
      <c r="AG260" t="str">
        <f>'RESUMEN TOTAL'!AP263</f>
        <v>APAGADO</v>
      </c>
      <c r="AH260" t="str">
        <f>'RESUMEN TOTAL'!AQ263</f>
        <v>APAGADO</v>
      </c>
      <c r="AI260" t="str">
        <f>'RESUMEN TOTAL'!AR263</f>
        <v>APAGADO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 t="str">
        <f>'RESUMEN TOTAL'!AM264</f>
        <v>APAGADO</v>
      </c>
      <c r="AE261" t="str">
        <f>'RESUMEN TOTAL'!AN264</f>
        <v>APAGADO</v>
      </c>
      <c r="AF261" t="str">
        <f>'RESUMEN TOTAL'!AO264</f>
        <v>APAGADO</v>
      </c>
      <c r="AG261" t="str">
        <f>'RESUMEN TOTAL'!AP264</f>
        <v>APAGADO</v>
      </c>
      <c r="AH261" t="str">
        <f>'RESUMEN TOTAL'!AQ264</f>
        <v>APAGADO</v>
      </c>
      <c r="AI261" t="str">
        <f>'RESUMEN TOTAL'!AR264</f>
        <v>APAGADO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 t="str">
        <f>'RESUMEN TOTAL'!AM265</f>
        <v>APAGADO</v>
      </c>
      <c r="AE262" t="str">
        <f>'RESUMEN TOTAL'!AN265</f>
        <v>APAGADO</v>
      </c>
      <c r="AF262" t="str">
        <f>'RESUMEN TOTAL'!AO265</f>
        <v>APAGADO</v>
      </c>
      <c r="AG262" t="str">
        <f>'RESUMEN TOTAL'!AP265</f>
        <v>APAGADO</v>
      </c>
      <c r="AH262" t="str">
        <f>'RESUMEN TOTAL'!AQ265</f>
        <v>APAGADO</v>
      </c>
      <c r="AI262" t="str">
        <f>'RESUMEN TOTAL'!AR265</f>
        <v>APAGADO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 t="str">
        <f>'RESUMEN TOTAL'!AM266</f>
        <v>APAGADO</v>
      </c>
      <c r="AE263" t="str">
        <f>'RESUMEN TOTAL'!AN266</f>
        <v>APAGADO</v>
      </c>
      <c r="AF263" t="str">
        <f>'RESUMEN TOTAL'!AO266</f>
        <v>APAGADO</v>
      </c>
      <c r="AG263" t="str">
        <f>'RESUMEN TOTAL'!AP266</f>
        <v>APAGADO</v>
      </c>
      <c r="AH263" t="str">
        <f>'RESUMEN TOTAL'!AQ266</f>
        <v>APAGADO</v>
      </c>
      <c r="AI263" t="str">
        <f>'RESUMEN TOTAL'!AR266</f>
        <v>APAGADO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 t="str">
        <f>'RESUMEN TOTAL'!AP281</f>
        <v>APAGADO</v>
      </c>
      <c r="AH278" t="str">
        <f>'RESUMEN TOTAL'!AQ281</f>
        <v>APAGADO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 t="str">
        <f>'RESUMEN TOTAL'!AP282</f>
        <v>APAGADO</v>
      </c>
      <c r="AH279" t="str">
        <f>'RESUMEN TOTAL'!AQ282</f>
        <v>APAGADO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 t="str">
        <f>'RESUMEN TOTAL'!AQ303</f>
        <v>APAGADO</v>
      </c>
      <c r="AI300" t="str">
        <f>'RESUMEN TOTAL'!AR303</f>
        <v>APAGADO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 t="str">
        <f>'RESUMEN TOTAL'!AR352</f>
        <v>APAGADO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 t="str">
        <f>'RESUMEN TOTAL'!AM355</f>
        <v>APAGADO</v>
      </c>
      <c r="AE352" t="str">
        <f>'RESUMEN TOTAL'!AN355</f>
        <v>APAGADO</v>
      </c>
      <c r="AF352" t="str">
        <f>'RESUMEN TOTAL'!AO355</f>
        <v>APAGADO</v>
      </c>
      <c r="AG352" t="str">
        <f>'RESUMEN TOTAL'!AP355</f>
        <v>APAGADO</v>
      </c>
      <c r="AH352" t="str">
        <f>'RESUMEN TOTAL'!AQ355</f>
        <v>APAGADO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 t="str">
        <f>'RESUMEN TOTAL'!AP359</f>
        <v>APAGADO</v>
      </c>
      <c r="AH356" t="str">
        <f>'RESUMEN TOTAL'!AQ359</f>
        <v>APAGADO</v>
      </c>
      <c r="AI356" t="str">
        <f>'RESUMEN TOTAL'!AR359</f>
        <v>APAGADO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 t="str">
        <f>'RESUMEN TOTAL'!AP360</f>
        <v>APAGADO</v>
      </c>
      <c r="AH357" t="str">
        <f>'RESUMEN TOTAL'!AQ360</f>
        <v>APAGADO</v>
      </c>
      <c r="AI357" t="str">
        <f>'RESUMEN TOTAL'!AR360</f>
        <v>APAGADO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 t="str">
        <f>'RESUMEN TOTAL'!AR361</f>
        <v>APAGADO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 t="str">
        <f>'RESUMEN TOTAL'!AR362</f>
        <v>APAGADO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48</v>
      </c>
      <c r="AE1" s="26">
        <f t="shared" ref="AE1:AG1" si="1">COUNTIF(AE3:AE366, "APAGADO")</f>
        <v>47</v>
      </c>
      <c r="AF1" s="26">
        <f t="shared" si="1"/>
        <v>68</v>
      </c>
      <c r="AG1" s="26">
        <f t="shared" si="1"/>
        <v>52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 t="str">
        <f>ESTADISTICA!AG2</f>
        <v>APAGADO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 t="str">
        <f>ESTADISTICA!AG8</f>
        <v>APAGADO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 t="str">
        <f>ESTADISTICA!AD40</f>
        <v>APAGADO</v>
      </c>
      <c r="AE41" t="str">
        <f>ESTADISTICA!AE40</f>
        <v>APAGADO</v>
      </c>
      <c r="AF41" t="str">
        <f>ESTADISTICA!AF40</f>
        <v>APAGADO</v>
      </c>
      <c r="AG41" t="str">
        <f>ESTADISTICA!AG40</f>
        <v>APAGADO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 t="str">
        <f>ESTADISTICA!AG48</f>
        <v>APAGADO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 t="str">
        <f>ESTADISTICA!AG51</f>
        <v>APAGADO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 t="str">
        <f>ESTADISTICA!AG67</f>
        <v>APAGADO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 t="str">
        <f>ESTADISTICA!AD91</f>
        <v>APAGADO</v>
      </c>
      <c r="AE92" t="str">
        <f>ESTADISTICA!AE91</f>
        <v>APAGADO</v>
      </c>
      <c r="AF92" t="str">
        <f>ESTADISTICA!AF91</f>
        <v>APAGADO</v>
      </c>
      <c r="AG92" t="str">
        <f>ESTADISTICA!AG91</f>
        <v>APAGADO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 t="str">
        <f>ESTADISTICA!AF105</f>
        <v>APAGADO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 t="str">
        <f>ESTADISTICA!AF106</f>
        <v>APAGADO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 t="str">
        <f>ESTADISTICA!AG112</f>
        <v>APAGADO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 t="str">
        <f>ESTADISTICA!AD113</f>
        <v>APAGADO</v>
      </c>
      <c r="AE114" t="str">
        <f>ESTADISTICA!AE113</f>
        <v>APAGADO</v>
      </c>
      <c r="AF114" t="str">
        <f>ESTADISTICA!AF113</f>
        <v>APAGADO</v>
      </c>
      <c r="AG114" t="str">
        <f>ESTADISTICA!AG113</f>
        <v>APAGADO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 t="str">
        <f>ESTADISTICA!AD141</f>
        <v>APAGADO</v>
      </c>
      <c r="AE142" t="str">
        <f>ESTADISTICA!AE141</f>
        <v>APAGADO</v>
      </c>
      <c r="AF142" t="str">
        <f>ESTADISTICA!AF141</f>
        <v>APAGADO</v>
      </c>
      <c r="AG142" t="str">
        <f>ESTADISTICA!AG141</f>
        <v>APAGADO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 t="str">
        <f>ESTADISTICA!AF151</f>
        <v>APAGADO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 t="str">
        <f>ESTADISTICA!AG160</f>
        <v>APAGADO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 t="str">
        <f>ESTADISTICA!AG161</f>
        <v>APAGADO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 t="str">
        <f>ESTADISTICA!AF194</f>
        <v>APAGADO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 t="str">
        <f>ESTADISTICA!AF198</f>
        <v>APAGADO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 t="str">
        <f>ESTADISTICA!AE215</f>
        <v>APAGADO</v>
      </c>
      <c r="AF216" t="str">
        <f>ESTADISTICA!AF215</f>
        <v>APAGADO</v>
      </c>
      <c r="AG216" t="str">
        <f>ESTADISTICA!AG215</f>
        <v>APAGADO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 t="str">
        <f>ESTADISTICA!AE216</f>
        <v>APAGADO</v>
      </c>
      <c r="AF217" t="str">
        <f>ESTADISTICA!AF216</f>
        <v>APAGADO</v>
      </c>
      <c r="AG217" t="str">
        <f>ESTADISTICA!AG216</f>
        <v>APAGADO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 t="str">
        <f>ESTADISTICA!AF228</f>
        <v>APAGADO</v>
      </c>
      <c r="AG229" t="str">
        <f>ESTADISTICA!AG228</f>
        <v>APAGADO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 t="str">
        <f>ESTADISTICA!AF229</f>
        <v>APAGADO</v>
      </c>
      <c r="AG230" t="str">
        <f>ESTADISTICA!AG229</f>
        <v>APAGADO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 t="str">
        <f>ESTADISTICA!AG260</f>
        <v>APAGADO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 t="str">
        <f>ESTADISTICA!AD261</f>
        <v>APAGADO</v>
      </c>
      <c r="AE262" t="str">
        <f>ESTADISTICA!AE261</f>
        <v>APAGADO</v>
      </c>
      <c r="AF262" t="str">
        <f>ESTADISTICA!AF261</f>
        <v>APAGADO</v>
      </c>
      <c r="AG262" t="str">
        <f>ESTADISTICA!AG261</f>
        <v>APAGADO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 t="str">
        <f>ESTADISTICA!AD262</f>
        <v>APAGADO</v>
      </c>
      <c r="AE263" t="str">
        <f>ESTADISTICA!AE262</f>
        <v>APAGADO</v>
      </c>
      <c r="AF263" t="str">
        <f>ESTADISTICA!AF262</f>
        <v>APAGADO</v>
      </c>
      <c r="AG263" t="str">
        <f>ESTADISTICA!AG262</f>
        <v>APAGADO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 t="str">
        <f>ESTADISTICA!AG263</f>
        <v>APAGADO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 t="str">
        <f>ESTADISTICA!AG278</f>
        <v>APAGADO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 t="str">
        <f>ESTADISTICA!AG279</f>
        <v>APAGADO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36</v>
      </c>
      <c r="AE2" s="26">
        <f>COUNTIFS(AE4:AE367, "=APAGADO",E4:E367,"=Fibra Optica")</f>
        <v>35</v>
      </c>
      <c r="AF2" s="26">
        <f>COUNTIFS(AF4:AF367, "=APAGADO",E4:E367,"=Fibra Optica")</f>
        <v>56</v>
      </c>
      <c r="AG2" s="26">
        <f>COUNTIFS(AG4:AG367, "=APAGADO",E4:E367,"=Fibra Optica")</f>
        <v>39</v>
      </c>
      <c r="AH2" s="26">
        <f>COUNTIFS(AH4:AH367, "=APAGADO",E4:E367,"=Fibra Optica")</f>
        <v>37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 t="str">
        <f>ESTADISTICA!AH8</f>
        <v>APAGADO</v>
      </c>
      <c r="AI10" t="str">
        <f>ESTADISTICA!AI8</f>
        <v>APAGADO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 t="str">
        <f>ESTADISTICA!AH18</f>
        <v>APAGADO</v>
      </c>
      <c r="AI20" t="str">
        <f>ESTADISTICA!AI18</f>
        <v>APAGADO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 t="str">
        <f>ESTADISTICA!AI19</f>
        <v>APAGADO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 t="str">
        <f>ESTADISTICA!AH40</f>
        <v>APAGADO</v>
      </c>
      <c r="AI42" t="str">
        <f>ESTADISTICA!AI40</f>
        <v>APAGADO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 t="str">
        <f>ESTADISTICA!AH48</f>
        <v>APAGADO</v>
      </c>
      <c r="AI50" t="str">
        <f>ESTADISTICA!AI48</f>
        <v>APAGADO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str">
        <f>ESTADISTICA!AH51</f>
        <v>APAGADO</v>
      </c>
      <c r="AI53" t="str">
        <f>ESTADISTICA!AI51</f>
        <v>APAGADO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 t="str">
        <f>ESTADISTICA!AI53</f>
        <v>APAGADO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 t="str">
        <f>ESTADISTICA!AI67</f>
        <v>APAGADO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 t="str">
        <f>ESTADISTICA!AI80</f>
        <v>APAGADO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 t="str">
        <f>ESTADISTICA!AH91</f>
        <v>APAGADO</v>
      </c>
      <c r="AI93" t="str">
        <f>ESTADISTICA!AI91</f>
        <v>APAGADO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 t="str">
        <f>ESTADISTICA!AI96</f>
        <v>APAGADO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 t="str">
        <f>ESTADISTICA!AI103</f>
        <v>APAGADO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 t="str">
        <f>ESTADISTICA!AI104</f>
        <v>APAGADO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 t="str">
        <f>ESTADISTICA!AI105</f>
        <v>APAGADO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 t="str">
        <f>ESTADISTICA!AI106</f>
        <v>APAGADO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 t="str">
        <f>ESTADISTICA!AH112</f>
        <v>APAGADO</v>
      </c>
      <c r="AI114" t="str">
        <f>ESTADISTICA!AI112</f>
        <v>APAGADO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 t="str">
        <f>ESTADISTICA!AH113</f>
        <v>APAGADO</v>
      </c>
      <c r="AI115" t="str">
        <f>ESTADISTICA!AI113</f>
        <v>APAGADO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 t="str">
        <f>ESTADISTICA!AI117</f>
        <v>APAGADO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 t="str">
        <f>ESTADISTICA!AI118</f>
        <v>APAGADO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 t="str">
        <f>ESTADISTICA!AI119</f>
        <v>APAGADO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 t="str">
        <f>ESTADISTICA!AI120</f>
        <v>APAGADO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str">
        <f>ESTADISTICA!AH152</f>
        <v>APAGADO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 t="str">
        <f>ESTADISTICA!AH161</f>
        <v>APAGADO</v>
      </c>
      <c r="AI163" t="str">
        <f>ESTADISTICA!AI161</f>
        <v>APAGADO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 t="str">
        <f>ESTADISTICA!AI188</f>
        <v>APAGADO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 t="str">
        <f>ESTADISTICA!AI189</f>
        <v>APAGADO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 t="str">
        <f>ESTADISTICA!AI191</f>
        <v>APAGADO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 t="str">
        <f>ESTADISTICA!AI194</f>
        <v>APAGADO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 t="str">
        <f>ESTADISTICA!AI195</f>
        <v>APAGADO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 t="str">
        <f>ESTADISTICA!AI208</f>
        <v>APAGADO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 t="str">
        <f>ESTADISTICA!AI209</f>
        <v>APAGADO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 t="str">
        <f>ESTADISTICA!AH215</f>
        <v>APAGADO</v>
      </c>
      <c r="AI217" t="str">
        <f>ESTADISTICA!AI215</f>
        <v>APAGADO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 t="str">
        <f>ESTADISTICA!AH216</f>
        <v>APAGADO</v>
      </c>
      <c r="AI218" t="str">
        <f>ESTADISTICA!AI216</f>
        <v>APAGADO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 t="str">
        <f>ESTADISTICA!AI229</f>
        <v>APAGADO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 t="str">
        <f>ESTADISTICA!AI260</f>
        <v>APAGADO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 t="str">
        <f>ESTADISTICA!AH261</f>
        <v>APAGADO</v>
      </c>
      <c r="AI263" t="str">
        <f>ESTADISTICA!AI261</f>
        <v>APAGADO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 t="str">
        <f>ESTADISTICA!AH262</f>
        <v>APAGADO</v>
      </c>
      <c r="AI264" t="str">
        <f>ESTADISTICA!AI262</f>
        <v>APAGADO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 t="str">
        <f>ESTADISTICA!AH263</f>
        <v>APAGADO</v>
      </c>
      <c r="AI265" t="str">
        <f>ESTADISTICA!AI263</f>
        <v>APAGADO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 t="str">
        <f>ESTADISTICA!AI357</f>
        <v>APAGADO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5</v>
      </c>
      <c r="AE2" s="26">
        <f>COUNTIFS(AE4:AE367, "=APAGADO",E4:E367,"=PTP A FO")</f>
        <v>5</v>
      </c>
      <c r="AF2" s="26">
        <f>COUNTIFS(AF4:AF367, "=APAGADO",E4:E367,"=PTP A FO")</f>
        <v>6</v>
      </c>
      <c r="AG2" s="26">
        <f>COUNTIFS(AG4:AG367, "=APAGADO",E4:E367,"=PTP A FO")</f>
        <v>5</v>
      </c>
      <c r="AH2" s="26">
        <f>COUNTIFS(AH4:AH367, "=APAGADO",E4:E367,"=PTP A FO")</f>
        <v>5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 t="str">
        <f>ESTADISTICA!AH8</f>
        <v>APAGADO</v>
      </c>
      <c r="AI10" t="str">
        <f>ESTADISTICA!AI8</f>
        <v>APAGADO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 t="str">
        <f>ESTADISTICA!AH18</f>
        <v>APAGADO</v>
      </c>
      <c r="AI20" t="str">
        <f>ESTADISTICA!AI18</f>
        <v>APAGADO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 t="str">
        <f>ESTADISTICA!AI19</f>
        <v>APAGADO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str">
        <f>ESTADISTICA!AH22</f>
        <v>APAGADO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 t="str">
        <f>ESTADISTICA!AI27</f>
        <v>APAGADO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 t="str">
        <f>ESTADISTICA!AH40</f>
        <v>APAGADO</v>
      </c>
      <c r="AI42" t="str">
        <f>ESTADISTICA!AI40</f>
        <v>APAGADO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 t="str">
        <f>ESTADISTICA!AH48</f>
        <v>APAGADO</v>
      </c>
      <c r="AI50" t="str">
        <f>ESTADISTICA!AI48</f>
        <v>APAGADO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str">
        <f>ESTADISTICA!AH51</f>
        <v>APAGADO</v>
      </c>
      <c r="AI53" t="str">
        <f>ESTADISTICA!AI51</f>
        <v>APAGADO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 t="str">
        <f>ESTADISTICA!AI53</f>
        <v>APAGADO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 t="str">
        <f>ESTADISTICA!AI67</f>
        <v>APAGADO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 t="str">
        <f>ESTADISTICA!AI80</f>
        <v>APAGADO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 t="str">
        <f>ESTADISTICA!AH91</f>
        <v>APAGADO</v>
      </c>
      <c r="AI93" t="str">
        <f>ESTADISTICA!AI91</f>
        <v>APAGADO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 t="str">
        <f>ESTADISTICA!AI96</f>
        <v>APAGADO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 t="str">
        <f>ESTADISTICA!AI103</f>
        <v>APAGADO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 t="str">
        <f>ESTADISTICA!AI104</f>
        <v>APAGADO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 t="str">
        <f>ESTADISTICA!AI105</f>
        <v>APAGADO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 t="str">
        <f>ESTADISTICA!AI106</f>
        <v>APAGADO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 t="str">
        <f>ESTADISTICA!AH112</f>
        <v>APAGADO</v>
      </c>
      <c r="AI114" t="str">
        <f>ESTADISTICA!AI112</f>
        <v>APAGADO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 t="str">
        <f>ESTADISTICA!AH113</f>
        <v>APAGADO</v>
      </c>
      <c r="AI115" t="str">
        <f>ESTADISTICA!AI113</f>
        <v>APAGADO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 t="str">
        <f>ESTADISTICA!AI117</f>
        <v>APAGADO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 t="str">
        <f>ESTADISTICA!AI118</f>
        <v>APAGADO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 t="str">
        <f>ESTADISTICA!AI119</f>
        <v>APAGADO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 t="str">
        <f>ESTADISTICA!AI120</f>
        <v>APAGADO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str">
        <f>ESTADISTICA!AH122</f>
        <v>APAGADO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str">
        <f>ESTADISTICA!AH124</f>
        <v>APAGADO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str">
        <f>ESTADISTICA!AH125</f>
        <v>APAGADO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  <c r="AH134" t="str">
        <f>ESTADISTICA!AH132</f>
        <v>APAGADO</v>
      </c>
      <c r="AI134" t="str">
        <f>ESTADISTICA!AI132</f>
        <v>APAGADO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str">
        <f>ESTADISTICA!AH133</f>
        <v>APAGADO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 t="str">
        <f>ESTADISTICA!AI139</f>
        <v>APAGADO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 t="str">
        <f>ESTADISTICA!AI140</f>
        <v>APAGADO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  <c r="AH143" t="str">
        <f>ESTADISTICA!AH141</f>
        <v>APAGADO</v>
      </c>
      <c r="AI143" t="str">
        <f>ESTADISTICA!AI141</f>
        <v>APAGADO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str">
        <f>ESTADISTICA!AH152</f>
        <v>APAGADO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 t="str">
        <f>ESTADISTICA!AH161</f>
        <v>APAGADO</v>
      </c>
      <c r="AI163" t="str">
        <f>ESTADISTICA!AI161</f>
        <v>APAGADO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 t="str">
        <f>ESTADISTICA!AI174</f>
        <v>APAGADO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 t="str">
        <f>ESTADISTICA!AI188</f>
        <v>APAGADO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 t="str">
        <f>ESTADISTICA!AI189</f>
        <v>APAGADO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 t="str">
        <f>ESTADISTICA!AI191</f>
        <v>APAGADO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 t="str">
        <f>ESTADISTICA!AI194</f>
        <v>APAGADO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 t="str">
        <f>ESTADISTICA!AI195</f>
        <v>APAGADO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 t="str">
        <f>ESTADISTICA!AI208</f>
        <v>APAGADO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 t="str">
        <f>ESTADISTICA!AI209</f>
        <v>APAGADO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 t="str">
        <f>ESTADISTICA!AH215</f>
        <v>APAGADO</v>
      </c>
      <c r="AI217" t="str">
        <f>ESTADISTICA!AI215</f>
        <v>APAGADO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 t="str">
        <f>ESTADISTICA!AH216</f>
        <v>APAGADO</v>
      </c>
      <c r="AI218" t="str">
        <f>ESTADISTICA!AI216</f>
        <v>APAGADO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 t="str">
        <f>ESTADISTICA!AI229</f>
        <v>APAGADO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 t="str">
        <f>ESTADISTICA!AI260</f>
        <v>APAGADO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 t="str">
        <f>ESTADISTICA!AH261</f>
        <v>APAGADO</v>
      </c>
      <c r="AI263" t="str">
        <f>ESTADISTICA!AI261</f>
        <v>APAGADO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 t="str">
        <f>ESTADISTICA!AH262</f>
        <v>APAGADO</v>
      </c>
      <c r="AI264" t="str">
        <f>ESTADISTICA!AI262</f>
        <v>APAGADO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 t="str">
        <f>ESTADISTICA!AH263</f>
        <v>APAGADO</v>
      </c>
      <c r="AI265" t="str">
        <f>ESTADISTICA!AI263</f>
        <v>APAGADO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t="str">
        <f>ESTADISTICA!AH352</f>
        <v>APAGADO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 t="str">
        <f>ESTADISTICA!AI357</f>
        <v>APAGADO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7</v>
      </c>
      <c r="AH2" s="26">
        <f>COUNTIFS(AH4:AH367, "=APAGADO",E4:E367,"=radio")</f>
        <v>13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 t="str">
        <f>ESTADISTICA!AH8</f>
        <v>APAGADO</v>
      </c>
      <c r="AI10" t="str">
        <f>ESTADISTICA!AI8</f>
        <v>APAGADO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 t="str">
        <f>ESTADISTICA!AH18</f>
        <v>APAGADO</v>
      </c>
      <c r="AI20" t="str">
        <f>ESTADISTICA!AI18</f>
        <v>APAGADO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 t="str">
        <f>ESTADISTICA!AI19</f>
        <v>APAGADO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str">
        <f>ESTADISTICA!AH22</f>
        <v>APAGADO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 t="str">
        <f>ESTADISTICA!AI27</f>
        <v>APAGADO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 t="str">
        <f>ESTADISTICA!AH40</f>
        <v>APAGADO</v>
      </c>
      <c r="AI42" t="str">
        <f>ESTADISTICA!AI40</f>
        <v>APAGADO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 t="str">
        <f>ESTADISTICA!AH48</f>
        <v>APAGADO</v>
      </c>
      <c r="AI50" t="str">
        <f>ESTADISTICA!AI48</f>
        <v>APAGADO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str">
        <f>ESTADISTICA!AH51</f>
        <v>APAGADO</v>
      </c>
      <c r="AI53" t="str">
        <f>ESTADISTICA!AI51</f>
        <v>APAGADO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 t="str">
        <f>ESTADISTICA!AI53</f>
        <v>APAGADO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 t="str">
        <f>ESTADISTICA!AI67</f>
        <v>APAGADO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 t="str">
        <f>ESTADISTICA!AI80</f>
        <v>APAGADO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 t="str">
        <f>ESTADISTICA!AH91</f>
        <v>APAGADO</v>
      </c>
      <c r="AI93" t="str">
        <f>ESTADISTICA!AI91</f>
        <v>APAGADO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 t="str">
        <f>ESTADISTICA!AI96</f>
        <v>APAGADO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 t="str">
        <f>ESTADISTICA!AI103</f>
        <v>APAGADO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 t="str">
        <f>ESTADISTICA!AI104</f>
        <v>APAGADO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 t="str">
        <f>ESTADISTICA!AI105</f>
        <v>APAGADO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 t="str">
        <f>ESTADISTICA!AI106</f>
        <v>APAGADO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 t="str">
        <f>ESTADISTICA!AH112</f>
        <v>APAGADO</v>
      </c>
      <c r="AI114" t="str">
        <f>ESTADISTICA!AI112</f>
        <v>APAGADO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 t="str">
        <f>ESTADISTICA!AH113</f>
        <v>APAGADO</v>
      </c>
      <c r="AI115" t="str">
        <f>ESTADISTICA!AI113</f>
        <v>APAGADO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 t="str">
        <f>ESTADISTICA!AI117</f>
        <v>APAGADO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 t="str">
        <f>ESTADISTICA!AI118</f>
        <v>APAGADO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 t="str">
        <f>ESTADISTICA!AI119</f>
        <v>APAGADO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 t="str">
        <f>ESTADISTICA!AI120</f>
        <v>APAGADO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str">
        <f>ESTADISTICA!AH122</f>
        <v>APAGADO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str">
        <f>ESTADISTICA!AH124</f>
        <v>APAGADO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str">
        <f>ESTADISTICA!AH125</f>
        <v>APAGADO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  <c r="AH134" t="str">
        <f>ESTADISTICA!AH132</f>
        <v>APAGADO</v>
      </c>
      <c r="AI134" t="str">
        <f>ESTADISTICA!AI132</f>
        <v>APAGADO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str">
        <f>ESTADISTICA!AH133</f>
        <v>APAGADO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 t="str">
        <f>ESTADISTICA!AI139</f>
        <v>APAGADO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 t="str">
        <f>ESTADISTICA!AI140</f>
        <v>APAGADO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  <c r="AH143" t="str">
        <f>ESTADISTICA!AH141</f>
        <v>APAGADO</v>
      </c>
      <c r="AI143" t="str">
        <f>ESTADISTICA!AI141</f>
        <v>APAGADO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str">
        <f>ESTADISTICA!AH152</f>
        <v>APAGADO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 t="str">
        <f>ESTADISTICA!AH161</f>
        <v>APAGADO</v>
      </c>
      <c r="AI163" t="str">
        <f>ESTADISTICA!AI161</f>
        <v>APAGADO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 t="str">
        <f>ESTADISTICA!AI174</f>
        <v>APAGADO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 t="str">
        <f>ESTADISTICA!AI188</f>
        <v>APAGADO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 t="str">
        <f>ESTADISTICA!AI189</f>
        <v>APAGADO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 t="str">
        <f>ESTADISTICA!AI191</f>
        <v>APAGADO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 t="str">
        <f>ESTADISTICA!AI194</f>
        <v>APAGADO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 t="str">
        <f>ESTADISTICA!AI195</f>
        <v>APAGADO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 t="str">
        <f>ESTADISTICA!AI208</f>
        <v>APAGADO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 t="str">
        <f>ESTADISTICA!AI209</f>
        <v>APAGADO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 t="str">
        <f>ESTADISTICA!AH215</f>
        <v>APAGADO</v>
      </c>
      <c r="AI217" t="str">
        <f>ESTADISTICA!AI215</f>
        <v>APAGADO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 t="str">
        <f>ESTADISTICA!AH216</f>
        <v>APAGADO</v>
      </c>
      <c r="AI218" t="str">
        <f>ESTADISTICA!AI216</f>
        <v>APAGADO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 t="str">
        <f>ESTADISTICA!AI229</f>
        <v>APAGADO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 t="str">
        <f>ESTADISTICA!AI260</f>
        <v>APAGADO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 t="str">
        <f>ESTADISTICA!AH261</f>
        <v>APAGADO</v>
      </c>
      <c r="AI263" t="str">
        <f>ESTADISTICA!AI261</f>
        <v>APAGADO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 t="str">
        <f>ESTADISTICA!AH262</f>
        <v>APAGADO</v>
      </c>
      <c r="AI264" t="str">
        <f>ESTADISTICA!AI262</f>
        <v>APAGADO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 t="str">
        <f>ESTADISTICA!AH263</f>
        <v>APAGADO</v>
      </c>
      <c r="AI265" t="str">
        <f>ESTADISTICA!AI263</f>
        <v>APAGADO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t="str">
        <f>ESTADISTICA!AH352</f>
        <v>APAGADO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 t="str">
        <f>ESTADISTICA!AI357</f>
        <v>APAGADO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375</v>
      </c>
      <c r="G2" s="65">
        <f t="shared" ref="G2:G21" si="1">E2/F2</f>
        <v>0.12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375</v>
      </c>
      <c r="G3" s="65">
        <f t="shared" si="1"/>
        <v>9.0666666666666673E-2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375</v>
      </c>
      <c r="G4" s="65">
        <f t="shared" si="1"/>
        <v>8.533333333333333E-2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375</v>
      </c>
      <c r="G5" s="65">
        <f t="shared" si="1"/>
        <v>0.42399999999999999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375</v>
      </c>
      <c r="G6" s="65">
        <f t="shared" si="1"/>
        <v>0.15466666666666667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375</v>
      </c>
      <c r="G7" s="65">
        <f t="shared" si="1"/>
        <v>0.14933333333333335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375</v>
      </c>
      <c r="G8" s="65">
        <f t="shared" si="1"/>
        <v>0.13066666666666665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375</v>
      </c>
      <c r="G9" s="65">
        <f t="shared" si="1"/>
        <v>0.13333333333333333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375</v>
      </c>
      <c r="G10" s="65">
        <f t="shared" si="1"/>
        <v>0.12533333333333332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375</v>
      </c>
      <c r="G11" s="65">
        <f t="shared" si="1"/>
        <v>0.11466666666666667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375</v>
      </c>
      <c r="G12" s="65">
        <f t="shared" si="1"/>
        <v>0.11466666666666667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375</v>
      </c>
      <c r="G13" s="65">
        <f t="shared" si="1"/>
        <v>9.6000000000000002E-2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375</v>
      </c>
      <c r="G14" s="65">
        <f t="shared" si="1"/>
        <v>7.7333333333333337E-2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375</v>
      </c>
      <c r="G15" s="65">
        <f t="shared" si="1"/>
        <v>9.8666666666666666E-2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375</v>
      </c>
      <c r="G16" s="65">
        <f t="shared" si="1"/>
        <v>0.10133333333333333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375</v>
      </c>
      <c r="G17" s="65">
        <f t="shared" si="1"/>
        <v>0.14933333333333335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375</v>
      </c>
      <c r="G18" s="65">
        <f t="shared" si="1"/>
        <v>0.15466666666666667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375</v>
      </c>
      <c r="G19" s="65">
        <f t="shared" si="1"/>
        <v>0.16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375</v>
      </c>
      <c r="G20" s="65">
        <f t="shared" si="1"/>
        <v>0.18133333333333335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375</v>
      </c>
      <c r="G21" s="65">
        <f t="shared" si="1"/>
        <v>0.11466666666666667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375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375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375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375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375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375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375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375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375</v>
      </c>
    </row>
    <row r="31" spans="1:7" x14ac:dyDescent="0.25">
      <c r="A31" s="25">
        <f>'APAGADOS RADIO'!AI3</f>
        <v>44711</v>
      </c>
      <c r="F31">
        <f>'RESUMEN TOTAL'!C1</f>
        <v>375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9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0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2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0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3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0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3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1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3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9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3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0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3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0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3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0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3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1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3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9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3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0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4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0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0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1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9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0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0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0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1"/>
    </row>
    <row r="22" spans="1:5" ht="15.75" thickTop="1" x14ac:dyDescent="0.25">
      <c r="A22" s="72" t="s">
        <v>1350</v>
      </c>
      <c r="B22" s="83"/>
      <c r="C22" s="79"/>
      <c r="D22" s="76"/>
      <c r="E22" s="99">
        <v>44701</v>
      </c>
    </row>
    <row r="23" spans="1:5" x14ac:dyDescent="0.25">
      <c r="A23" s="73" t="s">
        <v>6</v>
      </c>
      <c r="B23" s="84"/>
      <c r="C23" s="80"/>
      <c r="D23" s="77"/>
      <c r="E23" s="100"/>
    </row>
    <row r="24" spans="1:5" x14ac:dyDescent="0.25">
      <c r="A24" s="73" t="s">
        <v>1352</v>
      </c>
      <c r="B24" s="84"/>
      <c r="C24" s="80"/>
      <c r="D24" s="77"/>
      <c r="E24" s="100"/>
    </row>
    <row r="25" spans="1:5" x14ac:dyDescent="0.25">
      <c r="A25" s="73" t="s">
        <v>1351</v>
      </c>
      <c r="B25" s="84"/>
      <c r="C25" s="80"/>
      <c r="D25" s="77"/>
      <c r="E25" s="100"/>
    </row>
    <row r="26" spans="1:5" ht="15.75" thickBot="1" x14ac:dyDescent="0.3">
      <c r="A26" s="74" t="s">
        <v>20</v>
      </c>
      <c r="B26" s="85"/>
      <c r="C26" s="81"/>
      <c r="D26" s="78"/>
      <c r="E26" s="101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2022-05-30T11:00:48Z</dcterms:modified>
</cp:coreProperties>
</file>