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0C6CB97A-AA7D-4941-A38B-DB48562B5CD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56" i="2" l="1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<sst xmlns="http://schemas.openxmlformats.org/spreadsheetml/2006/main" count="3909" uniqueCount="1356">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</sst>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J194" activePane="bottomRight" state="frozen"/>
      <selection pane="topRight" activeCell="M1" sqref="M1"/>
      <selection pane="bottomLeft" activeCell="A5" sqref="A5"/>
      <selection pane="bottomRight" activeCell="AJ199" sqref="AJ199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8</v>
      </c>
      <c r="M7" s="17">
        <f t="shared" si="6"/>
        <v>20</v>
      </c>
      <c r="N7" s="18">
        <f t="shared" si="7"/>
        <v>0.2857142857142857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24</v>
      </c>
      <c r="M10" s="17">
        <f t="shared" si="6"/>
        <v>4</v>
      </c>
      <c r="N10" s="18">
        <f t="shared" si="7"/>
        <v>0.8571428571428571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13</v>
      </c>
      <c r="M11" s="17">
        <f t="shared" si="6"/>
        <v>15</v>
      </c>
      <c r="N11" s="18">
        <f t="shared" si="7"/>
        <v>0.4642857142857143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19</v>
      </c>
      <c r="M22" s="17">
        <f t="shared" si="6"/>
        <v>9</v>
      </c>
      <c r="N22" s="18">
        <f t="shared" si="7"/>
        <v>0.6785714285714286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19</v>
      </c>
      <c r="M30" s="17">
        <f t="shared" si="6"/>
        <v>9</v>
      </c>
      <c r="N30" s="18">
        <f t="shared" si="7"/>
        <v>0.6785714285714286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15</v>
      </c>
      <c r="M56" s="17">
        <f t="shared" si="6"/>
        <v>13</v>
      </c>
      <c r="N56" s="18">
        <f t="shared" si="7"/>
        <v>0.5357142857142857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8</v>
      </c>
      <c r="M80" s="17">
        <f t="shared" si="9"/>
        <v>20</v>
      </c>
      <c r="N80" s="18">
        <f t="shared" si="10"/>
        <v>0.2857142857142857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19</v>
      </c>
      <c r="M94" s="17">
        <f t="shared" si="9"/>
        <v>9</v>
      </c>
      <c r="N94" s="18">
        <f t="shared" si="10"/>
        <v>0.6785714285714286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24</v>
      </c>
      <c r="M96" s="17">
        <f t="shared" si="9"/>
        <v>4</v>
      </c>
      <c r="N96" s="18">
        <f t="shared" si="10"/>
        <v>0.8571428571428571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19</v>
      </c>
      <c r="M99" s="17">
        <f t="shared" si="9"/>
        <v>9</v>
      </c>
      <c r="N99" s="18">
        <f t="shared" si="10"/>
        <v>0.6785714285714286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11</v>
      </c>
      <c r="M115" s="17">
        <f t="shared" si="9"/>
        <v>17</v>
      </c>
      <c r="N115" s="18">
        <f t="shared" si="10"/>
        <v>0.39285714285714285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11</v>
      </c>
      <c r="M116" s="17">
        <f t="shared" si="9"/>
        <v>17</v>
      </c>
      <c r="N116" s="18">
        <f t="shared" si="10"/>
        <v>0.39285714285714285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22</v>
      </c>
      <c r="M120" s="17">
        <f t="shared" si="9"/>
        <v>6</v>
      </c>
      <c r="N120" s="18">
        <f t="shared" si="10"/>
        <v>0.7857142857142857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23</v>
      </c>
      <c r="M121" s="17">
        <f t="shared" si="9"/>
        <v>5</v>
      </c>
      <c r="N121" s="18">
        <f t="shared" si="10"/>
        <v>0.8214285714285714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8</v>
      </c>
      <c r="M133" s="17">
        <f t="shared" ref="M133:M196" si="12">COUNTIF(O133:AP133,"APAGADO")</f>
        <v>20</v>
      </c>
      <c r="N133" s="18">
        <f t="shared" ref="N133:N196" si="13">(L133)/(M133+L133)</f>
        <v>0.2857142857142857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9</v>
      </c>
      <c r="M135" s="17">
        <f t="shared" si="12"/>
        <v>19</v>
      </c>
      <c r="N135" s="18">
        <f t="shared" si="13"/>
        <v>0.32142857142857145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18</v>
      </c>
      <c r="M142" s="17">
        <f t="shared" si="12"/>
        <v>10</v>
      </c>
      <c r="N142" s="18">
        <f t="shared" si="13"/>
        <v>0.6428571428571429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19</v>
      </c>
      <c r="M143" s="17">
        <f t="shared" si="12"/>
        <v>9</v>
      </c>
      <c r="N143" s="18">
        <f t="shared" si="13"/>
        <v>0.6785714285714286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13</v>
      </c>
      <c r="M144" s="17">
        <f t="shared" si="12"/>
        <v>15</v>
      </c>
      <c r="N144" s="18">
        <f t="shared" si="13"/>
        <v>0.4642857142857143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23</v>
      </c>
      <c r="M163" s="17">
        <f t="shared" si="12"/>
        <v>5</v>
      </c>
      <c r="N163" s="18">
        <f t="shared" si="13"/>
        <v>0.8214285714285714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23</v>
      </c>
      <c r="M164" s="17">
        <f t="shared" si="12"/>
        <v>5</v>
      </c>
      <c r="N164" s="18">
        <f t="shared" si="13"/>
        <v>0.8214285714285714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8</v>
      </c>
      <c r="M166" s="17">
        <f t="shared" si="12"/>
        <v>20</v>
      </c>
      <c r="N166" s="18">
        <f t="shared" si="13"/>
        <v>0.2857142857142857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8</v>
      </c>
      <c r="M177" s="17">
        <f t="shared" si="12"/>
        <v>20</v>
      </c>
      <c r="N177" s="18">
        <f t="shared" si="13"/>
        <v>0.2857142857142857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8</v>
      </c>
      <c r="M191" s="17">
        <f t="shared" si="12"/>
        <v>20</v>
      </c>
      <c r="N191" s="18">
        <f t="shared" si="13"/>
        <v>0.2857142857142857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8</v>
      </c>
      <c r="M192" s="17">
        <f t="shared" si="12"/>
        <v>20</v>
      </c>
      <c r="N192" s="18">
        <f t="shared" si="13"/>
        <v>0.2857142857142857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13</v>
      </c>
      <c r="M194" s="17">
        <f t="shared" si="12"/>
        <v>15</v>
      </c>
      <c r="N194" s="18">
        <f t="shared" si="13"/>
        <v>0.4642857142857143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14</v>
      </c>
      <c r="M198" s="17">
        <f t="shared" si="15"/>
        <v>14</v>
      </c>
      <c r="N198" s="18">
        <f t="shared" si="16"/>
        <v>0.5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8</v>
      </c>
      <c r="M206" s="17">
        <f t="shared" si="15"/>
        <v>20</v>
      </c>
      <c r="N206" s="18">
        <f t="shared" si="16"/>
        <v>0.2857142857142857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13</v>
      </c>
      <c r="M207" s="17">
        <f t="shared" si="15"/>
        <v>15</v>
      </c>
      <c r="N207" s="18">
        <f t="shared" si="16"/>
        <v>0.4642857142857143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10</v>
      </c>
      <c r="M211" s="17">
        <f t="shared" si="15"/>
        <v>18</v>
      </c>
      <c r="N211" s="18">
        <f t="shared" si="16"/>
        <v>0.35714285714285715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8</v>
      </c>
      <c r="M212" s="17">
        <f t="shared" si="15"/>
        <v>20</v>
      </c>
      <c r="N212" s="18">
        <f t="shared" si="16"/>
        <v>0.2857142857142857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11</v>
      </c>
      <c r="M216" s="17">
        <f t="shared" si="15"/>
        <v>17</v>
      </c>
      <c r="N216" s="18">
        <f t="shared" si="16"/>
        <v>0.39285714285714285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9</v>
      </c>
      <c r="M217" s="17">
        <f t="shared" si="15"/>
        <v>19</v>
      </c>
      <c r="N217" s="18">
        <f t="shared" si="16"/>
        <v>0.32142857142857145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10</v>
      </c>
      <c r="M218" s="17">
        <f t="shared" si="15"/>
        <v>18</v>
      </c>
      <c r="N218" s="18">
        <f t="shared" si="16"/>
        <v>0.35714285714285715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10</v>
      </c>
      <c r="M219" s="17">
        <f t="shared" si="15"/>
        <v>18</v>
      </c>
      <c r="N219" s="18">
        <f t="shared" si="16"/>
        <v>0.35714285714285715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23</v>
      </c>
      <c r="M260" s="17">
        <f t="shared" si="15"/>
        <v>5</v>
      </c>
      <c r="N260" s="18">
        <f t="shared" si="16"/>
        <v>0.8214285714285714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19</v>
      </c>
      <c r="M263" s="17">
        <f t="shared" ref="M263:M326" si="18">COUNTIF(O263:AP263,"APAGADO")</f>
        <v>9</v>
      </c>
      <c r="N263" s="18">
        <f t="shared" ref="N263:N326" si="19">(L263)/(M263+L263)</f>
        <v>0.6785714285714286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19</v>
      </c>
      <c r="M264" s="17">
        <f t="shared" si="18"/>
        <v>9</v>
      </c>
      <c r="N264" s="18">
        <f t="shared" si="19"/>
        <v>0.6785714285714286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19</v>
      </c>
      <c r="M265" s="17">
        <f t="shared" si="18"/>
        <v>9</v>
      </c>
      <c r="N265" s="18">
        <f t="shared" si="19"/>
        <v>0.6785714285714286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19</v>
      </c>
      <c r="M266" s="17">
        <f t="shared" si="18"/>
        <v>9</v>
      </c>
      <c r="N266" s="18">
        <f t="shared" si="19"/>
        <v>0.6785714285714286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24</v>
      </c>
      <c r="M281" s="17">
        <f t="shared" si="18"/>
        <v>4</v>
      </c>
      <c r="N281" s="18">
        <f t="shared" si="19"/>
        <v>0.8571428571428571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23</v>
      </c>
      <c r="M282" s="17">
        <f t="shared" si="18"/>
        <v>5</v>
      </c>
      <c r="N282" s="18">
        <f t="shared" si="19"/>
        <v>0.8214285714285714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11</v>
      </c>
      <c r="M303" s="17">
        <f t="shared" si="18"/>
        <v>17</v>
      </c>
      <c r="N303" s="18">
        <f t="shared" si="19"/>
        <v>0.39285714285714285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8</v>
      </c>
      <c r="M352" s="17">
        <f t="shared" si="21"/>
        <v>20</v>
      </c>
      <c r="N352" s="18">
        <f t="shared" si="22"/>
        <v>0.2857142857142857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22</v>
      </c>
      <c r="M359" s="17">
        <f t="shared" si="21"/>
        <v>6</v>
      </c>
      <c r="N359" s="18">
        <f t="shared" si="22"/>
        <v>0.7857142857142857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21</v>
      </c>
      <c r="M360" s="17">
        <f t="shared" si="21"/>
        <v>7</v>
      </c>
      <c r="N360" s="18">
        <f t="shared" si="22"/>
        <v>0.75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21</v>
      </c>
      <c r="M361" s="17">
        <f t="shared" si="21"/>
        <v>7</v>
      </c>
      <c r="N361" s="18">
        <f t="shared" si="22"/>
        <v>0.75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21</v>
      </c>
      <c r="M362" s="17">
        <f t="shared" si="21"/>
        <v>7</v>
      </c>
      <c r="N362" s="18">
        <f t="shared" si="22"/>
        <v>0.75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58" priority="117" operator="lessThan">
      <formula>0.8</formula>
    </cfRule>
    <cfRule type="cellIs" dxfId="157" priority="118" operator="greaterThan">
      <formula>0.8</formula>
    </cfRule>
  </conditionalFormatting>
  <conditionalFormatting sqref="AH94">
    <cfRule type="notContainsText" dxfId="156" priority="115" operator="notContains" text="Caida">
      <formula>ISERROR(SEARCH("Caida",AH94))</formula>
    </cfRule>
    <cfRule type="containsText" dxfId="155" priority="116" operator="containsText" text="Caida">
      <formula>NOT(ISERROR(SEARCH("Caida",AH94)))</formula>
    </cfRule>
  </conditionalFormatting>
  <conditionalFormatting sqref="AH96">
    <cfRule type="cellIs" dxfId="154" priority="113" operator="lessThan">
      <formula>0.8</formula>
    </cfRule>
    <cfRule type="cellIs" dxfId="153" priority="114" operator="greaterThan">
      <formula>0.8</formula>
    </cfRule>
  </conditionalFormatting>
  <conditionalFormatting sqref="AH96">
    <cfRule type="notContainsText" dxfId="152" priority="111" operator="notContains" text="Caida">
      <formula>ISERROR(SEARCH("Caida",AH96))</formula>
    </cfRule>
    <cfRule type="containsText" dxfId="151" priority="112" operator="containsText" text="Caida">
      <formula>NOT(ISERROR(SEARCH("Caida",AH96)))</formula>
    </cfRule>
  </conditionalFormatting>
  <conditionalFormatting sqref="AH99">
    <cfRule type="cellIs" dxfId="150" priority="109" operator="lessThan">
      <formula>0.8</formula>
    </cfRule>
    <cfRule type="cellIs" dxfId="149" priority="110" operator="greaterThan">
      <formula>0.8</formula>
    </cfRule>
  </conditionalFormatting>
  <conditionalFormatting sqref="AH99">
    <cfRule type="notContainsText" dxfId="148" priority="107" operator="notContains" text="Caida">
      <formula>ISERROR(SEARCH("Caida",AH99))</formula>
    </cfRule>
    <cfRule type="containsText" dxfId="147" priority="108" operator="containsText" text="Caida">
      <formula>NOT(ISERROR(SEARCH("Caida",AH99)))</formula>
    </cfRule>
  </conditionalFormatting>
  <conditionalFormatting sqref="AH115">
    <cfRule type="cellIs" dxfId="146" priority="105" operator="lessThan">
      <formula>0.8</formula>
    </cfRule>
    <cfRule type="cellIs" dxfId="145" priority="106" operator="greaterThan">
      <formula>0.8</formula>
    </cfRule>
  </conditionalFormatting>
  <conditionalFormatting sqref="AH115">
    <cfRule type="notContainsText" dxfId="144" priority="103" operator="notContains" text="Caida">
      <formula>ISERROR(SEARCH("Caida",AH115))</formula>
    </cfRule>
    <cfRule type="containsText" dxfId="143" priority="104" operator="containsText" text="Caida">
      <formula>NOT(ISERROR(SEARCH("Caida",AH115)))</formula>
    </cfRule>
  </conditionalFormatting>
  <conditionalFormatting sqref="AH116">
    <cfRule type="cellIs" dxfId="142" priority="101" operator="lessThan">
      <formula>0.8</formula>
    </cfRule>
    <cfRule type="cellIs" dxfId="141" priority="102" operator="greaterThan">
      <formula>0.8</formula>
    </cfRule>
  </conditionalFormatting>
  <conditionalFormatting sqref="AH116">
    <cfRule type="notContainsText" dxfId="140" priority="99" operator="notContains" text="Caida">
      <formula>ISERROR(SEARCH("Caida",AH116))</formula>
    </cfRule>
    <cfRule type="containsText" dxfId="139" priority="100" operator="containsText" text="Caida">
      <formula>NOT(ISERROR(SEARCH("Caida",AH116)))</formula>
    </cfRule>
  </conditionalFormatting>
  <conditionalFormatting sqref="AH120">
    <cfRule type="cellIs" dxfId="138" priority="97" operator="lessThan">
      <formula>0.8</formula>
    </cfRule>
    <cfRule type="cellIs" dxfId="137" priority="98" operator="greaterThan">
      <formula>0.8</formula>
    </cfRule>
  </conditionalFormatting>
  <conditionalFormatting sqref="AH120">
    <cfRule type="notContainsText" dxfId="136" priority="95" operator="notContains" text="Caida">
      <formula>ISERROR(SEARCH("Caida",AH120))</formula>
    </cfRule>
    <cfRule type="containsText" dxfId="135" priority="96" operator="containsText" text="Caida">
      <formula>NOT(ISERROR(SEARCH("Caida",AH120)))</formula>
    </cfRule>
  </conditionalFormatting>
  <conditionalFormatting sqref="AH121">
    <cfRule type="cellIs" dxfId="134" priority="93" operator="lessThan">
      <formula>0.8</formula>
    </cfRule>
    <cfRule type="cellIs" dxfId="133" priority="94" operator="greaterThan">
      <formula>0.8</formula>
    </cfRule>
  </conditionalFormatting>
  <conditionalFormatting sqref="AH121">
    <cfRule type="notContainsText" dxfId="132" priority="91" operator="notContains" text="Caida">
      <formula>ISERROR(SEARCH("Caida",AH121))</formula>
    </cfRule>
    <cfRule type="containsText" dxfId="131" priority="92" operator="containsText" text="Caida">
      <formula>NOT(ISERROR(SEARCH("Caida",AH121)))</formula>
    </cfRule>
  </conditionalFormatting>
  <conditionalFormatting sqref="AH133">
    <cfRule type="cellIs" dxfId="130" priority="89" operator="lessThan">
      <formula>0.8</formula>
    </cfRule>
    <cfRule type="cellIs" dxfId="129" priority="90" operator="greaterThan">
      <formula>0.8</formula>
    </cfRule>
  </conditionalFormatting>
  <conditionalFormatting sqref="AH133">
    <cfRule type="notContainsText" dxfId="128" priority="87" operator="notContains" text="Caida">
      <formula>ISERROR(SEARCH("Caida",AH133))</formula>
    </cfRule>
    <cfRule type="containsText" dxfId="127" priority="88" operator="containsText" text="Caida">
      <formula>NOT(ISERROR(SEARCH("Caida",AH133)))</formula>
    </cfRule>
  </conditionalFormatting>
  <conditionalFormatting sqref="AH135">
    <cfRule type="cellIs" dxfId="126" priority="85" operator="lessThan">
      <formula>0.8</formula>
    </cfRule>
    <cfRule type="cellIs" dxfId="125" priority="86" operator="greaterThan">
      <formula>0.8</formula>
    </cfRule>
  </conditionalFormatting>
  <conditionalFormatting sqref="AH135">
    <cfRule type="notContainsText" dxfId="124" priority="83" operator="notContains" text="Caida">
      <formula>ISERROR(SEARCH("Caida",AH135))</formula>
    </cfRule>
    <cfRule type="containsText" dxfId="123" priority="84" operator="containsText" text="Caida">
      <formula>NOT(ISERROR(SEARCH("Caida",AH135)))</formula>
    </cfRule>
  </conditionalFormatting>
  <conditionalFormatting sqref="AH142">
    <cfRule type="cellIs" dxfId="122" priority="81" operator="lessThan">
      <formula>0.8</formula>
    </cfRule>
    <cfRule type="cellIs" dxfId="121" priority="82" operator="greaterThan">
      <formula>0.8</formula>
    </cfRule>
  </conditionalFormatting>
  <conditionalFormatting sqref="AH142">
    <cfRule type="notContainsText" dxfId="120" priority="79" operator="notContains" text="Caida">
      <formula>ISERROR(SEARCH("Caida",AH142))</formula>
    </cfRule>
    <cfRule type="containsText" dxfId="119" priority="80" operator="containsText" text="Caida">
      <formula>NOT(ISERROR(SEARCH("Caida",AH142)))</formula>
    </cfRule>
  </conditionalFormatting>
  <conditionalFormatting sqref="AH143">
    <cfRule type="cellIs" dxfId="118" priority="77" operator="lessThan">
      <formula>0.8</formula>
    </cfRule>
    <cfRule type="cellIs" dxfId="117" priority="78" operator="greaterThan">
      <formula>0.8</formula>
    </cfRule>
  </conditionalFormatting>
  <conditionalFormatting sqref="AH143">
    <cfRule type="notContainsText" dxfId="116" priority="75" operator="notContains" text="Caida">
      <formula>ISERROR(SEARCH("Caida",AH143))</formula>
    </cfRule>
    <cfRule type="containsText" dxfId="115" priority="76" operator="containsText" text="Caida">
      <formula>NOT(ISERROR(SEARCH("Caida",AH143)))</formula>
    </cfRule>
  </conditionalFormatting>
  <conditionalFormatting sqref="AH144">
    <cfRule type="cellIs" dxfId="114" priority="73" operator="lessThan">
      <formula>0.8</formula>
    </cfRule>
    <cfRule type="cellIs" dxfId="113" priority="74" operator="greaterThan">
      <formula>0.8</formula>
    </cfRule>
  </conditionalFormatting>
  <conditionalFormatting sqref="AH144">
    <cfRule type="notContainsText" dxfId="112" priority="71" operator="notContains" text="Caida">
      <formula>ISERROR(SEARCH("Caida",AH144))</formula>
    </cfRule>
    <cfRule type="containsText" dxfId="111" priority="72" operator="containsText" text="Caida">
      <formula>NOT(ISERROR(SEARCH("Caida",AH144)))</formula>
    </cfRule>
  </conditionalFormatting>
  <conditionalFormatting sqref="AH163">
    <cfRule type="cellIs" dxfId="110" priority="69" operator="lessThan">
      <formula>0.8</formula>
    </cfRule>
    <cfRule type="cellIs" dxfId="109" priority="70" operator="greaterThan">
      <formula>0.8</formula>
    </cfRule>
  </conditionalFormatting>
  <conditionalFormatting sqref="AH163">
    <cfRule type="notContainsText" dxfId="108" priority="67" operator="notContains" text="Caida">
      <formula>ISERROR(SEARCH("Caida",AH163))</formula>
    </cfRule>
    <cfRule type="containsText" dxfId="107" priority="68" operator="containsText" text="Caida">
      <formula>NOT(ISERROR(SEARCH("Caida",AH163)))</formula>
    </cfRule>
  </conditionalFormatting>
  <conditionalFormatting sqref="AH164">
    <cfRule type="cellIs" dxfId="106" priority="65" operator="lessThan">
      <formula>0.8</formula>
    </cfRule>
    <cfRule type="cellIs" dxfId="105" priority="66" operator="greaterThan">
      <formula>0.8</formula>
    </cfRule>
  </conditionalFormatting>
  <conditionalFormatting sqref="AH164">
    <cfRule type="notContainsText" dxfId="104" priority="63" operator="notContains" text="Caida">
      <formula>ISERROR(SEARCH("Caida",AH164))</formula>
    </cfRule>
    <cfRule type="containsText" dxfId="103" priority="64" operator="containsText" text="Caida">
      <formula>NOT(ISERROR(SEARCH("Caida",AH164)))</formula>
    </cfRule>
  </conditionalFormatting>
  <conditionalFormatting sqref="AH166">
    <cfRule type="cellIs" dxfId="102" priority="61" operator="lessThan">
      <formula>0.8</formula>
    </cfRule>
    <cfRule type="cellIs" dxfId="101" priority="62" operator="greaterThan">
      <formula>0.8</formula>
    </cfRule>
  </conditionalFormatting>
  <conditionalFormatting sqref="AH166">
    <cfRule type="notContainsText" dxfId="100" priority="59" operator="notContains" text="Caida">
      <formula>ISERROR(SEARCH("Caida",AH166))</formula>
    </cfRule>
    <cfRule type="containsText" dxfId="99" priority="60" operator="containsText" text="Caida">
      <formula>NOT(ISERROR(SEARCH("Caida",AH166)))</formula>
    </cfRule>
  </conditionalFormatting>
  <conditionalFormatting sqref="AH177">
    <cfRule type="cellIs" dxfId="98" priority="57" operator="lessThan">
      <formula>0.8</formula>
    </cfRule>
    <cfRule type="cellIs" dxfId="97" priority="58" operator="greaterThan">
      <formula>0.8</formula>
    </cfRule>
  </conditionalFormatting>
  <conditionalFormatting sqref="AH177">
    <cfRule type="notContainsText" dxfId="96" priority="55" operator="notContains" text="Caida">
      <formula>ISERROR(SEARCH("Caida",AH177))</formula>
    </cfRule>
    <cfRule type="containsText" dxfId="95" priority="56" operator="containsText" text="Caida">
      <formula>NOT(ISERROR(SEARCH("Caida",AH177)))</formula>
    </cfRule>
  </conditionalFormatting>
  <conditionalFormatting sqref="AH191">
    <cfRule type="cellIs" dxfId="94" priority="53" operator="lessThan">
      <formula>0.8</formula>
    </cfRule>
    <cfRule type="cellIs" dxfId="93" priority="54" operator="greaterThan">
      <formula>0.8</formula>
    </cfRule>
  </conditionalFormatting>
  <conditionalFormatting sqref="AH191">
    <cfRule type="notContainsText" dxfId="92" priority="51" operator="notContains" text="Caida">
      <formula>ISERROR(SEARCH("Caida",AH191))</formula>
    </cfRule>
    <cfRule type="containsText" dxfId="91" priority="52" operator="containsText" text="Caida">
      <formula>NOT(ISERROR(SEARCH("Caida",AH191)))</formula>
    </cfRule>
  </conditionalFormatting>
  <conditionalFormatting sqref="AH1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H192">
    <cfRule type="notContainsText" dxfId="88" priority="47" operator="notContains" text="Caida">
      <formula>ISERROR(SEARCH("Caida",AH192))</formula>
    </cfRule>
    <cfRule type="containsText" dxfId="87" priority="48" operator="containsText" text="Caida">
      <formula>NOT(ISERROR(SEARCH("Caida",AH192)))</formula>
    </cfRule>
  </conditionalFormatting>
  <conditionalFormatting sqref="AH198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H198">
    <cfRule type="notContainsText" dxfId="84" priority="43" operator="notContains" text="Caida">
      <formula>ISERROR(SEARCH("Caida",AH198))</formula>
    </cfRule>
    <cfRule type="containsText" dxfId="83" priority="44" operator="containsText" text="Caida">
      <formula>NOT(ISERROR(SEARCH("Caida",AH198)))</formula>
    </cfRule>
  </conditionalFormatting>
  <conditionalFormatting sqref="AH206">
    <cfRule type="cellIs" dxfId="82" priority="41" operator="lessThan">
      <formula>0.8</formula>
    </cfRule>
    <cfRule type="cellIs" dxfId="81" priority="42" operator="greaterThan">
      <formula>0.8</formula>
    </cfRule>
  </conditionalFormatting>
  <conditionalFormatting sqref="AH206">
    <cfRule type="notContainsText" dxfId="80" priority="39" operator="notContains" text="Caida">
      <formula>ISERROR(SEARCH("Caida",AH206))</formula>
    </cfRule>
    <cfRule type="containsText" dxfId="79" priority="40" operator="containsText" text="Caida">
      <formula>NOT(ISERROR(SEARCH("Caida",AH206)))</formula>
    </cfRule>
  </conditionalFormatting>
  <conditionalFormatting sqref="AH211">
    <cfRule type="cellIs" dxfId="78" priority="37" operator="lessThan">
      <formula>0.8</formula>
    </cfRule>
    <cfRule type="cellIs" dxfId="77" priority="38" operator="greaterThan">
      <formula>0.8</formula>
    </cfRule>
  </conditionalFormatting>
  <conditionalFormatting sqref="AH211">
    <cfRule type="notContainsText" dxfId="76" priority="35" operator="notContains" text="Caida">
      <formula>ISERROR(SEARCH("Caida",AH211))</formula>
    </cfRule>
    <cfRule type="containsText" dxfId="75" priority="36" operator="containsText" text="Caida">
      <formula>NOT(ISERROR(SEARCH("Caida",AH211)))</formula>
    </cfRule>
  </conditionalFormatting>
  <conditionalFormatting sqref="AH212">
    <cfRule type="cellIs" dxfId="74" priority="33" operator="lessThan">
      <formula>0.8</formula>
    </cfRule>
    <cfRule type="cellIs" dxfId="73" priority="34" operator="greaterThan">
      <formula>0.8</formula>
    </cfRule>
  </conditionalFormatting>
  <conditionalFormatting sqref="AH212">
    <cfRule type="notContainsText" dxfId="72" priority="31" operator="notContains" text="Caida">
      <formula>ISERROR(SEARCH("Caida",AH212))</formula>
    </cfRule>
    <cfRule type="containsText" dxfId="71" priority="32" operator="containsText" text="Caida">
      <formula>NOT(ISERROR(SEARCH("Caida",AH212)))</formula>
    </cfRule>
  </conditionalFormatting>
  <conditionalFormatting sqref="AH359">
    <cfRule type="cellIs" dxfId="70" priority="30" operator="equal">
      <formula>"apagado"</formula>
    </cfRule>
  </conditionalFormatting>
  <conditionalFormatting sqref="AH360">
    <cfRule type="cellIs" dxfId="69" priority="29" operator="equal">
      <formula>"apagado"</formula>
    </cfRule>
  </conditionalFormatting>
  <conditionalFormatting sqref="AH361">
    <cfRule type="cellIs" dxfId="68" priority="28" operator="equal">
      <formula>"apagado"</formula>
    </cfRule>
  </conditionalFormatting>
  <conditionalFormatting sqref="AH362">
    <cfRule type="cellIs" dxfId="67" priority="27" operator="equal">
      <formula>"apagado"</formula>
    </cfRule>
  </conditionalFormatting>
  <conditionalFormatting sqref="AH206">
    <cfRule type="cellIs" dxfId="66" priority="26" operator="equal">
      <formula>"apagado"</formula>
    </cfRule>
  </conditionalFormatting>
  <conditionalFormatting sqref="AH211">
    <cfRule type="cellIs" dxfId="65" priority="25" operator="equal">
      <formula>"apagado"</formula>
    </cfRule>
  </conditionalFormatting>
  <conditionalFormatting sqref="AH212">
    <cfRule type="cellIs" dxfId="64" priority="24" operator="equal">
      <formula>"apagado"</formula>
    </cfRule>
  </conditionalFormatting>
  <conditionalFormatting sqref="AH198">
    <cfRule type="cellIs" dxfId="63" priority="23" operator="equal">
      <formula>"apagado"</formula>
    </cfRule>
  </conditionalFormatting>
  <conditionalFormatting sqref="AH192">
    <cfRule type="cellIs" dxfId="62" priority="22" operator="equal">
      <formula>"apagado"</formula>
    </cfRule>
  </conditionalFormatting>
  <conditionalFormatting sqref="AH191">
    <cfRule type="cellIs" dxfId="61" priority="21" operator="equal">
      <formula>"apagado"</formula>
    </cfRule>
  </conditionalFormatting>
  <conditionalFormatting sqref="AH177">
    <cfRule type="cellIs" dxfId="60" priority="20" operator="equal">
      <formula>"apagado"</formula>
    </cfRule>
  </conditionalFormatting>
  <conditionalFormatting sqref="AH166">
    <cfRule type="cellIs" dxfId="59" priority="19" operator="equal">
      <formula>"apagado"</formula>
    </cfRule>
  </conditionalFormatting>
  <conditionalFormatting sqref="AH163">
    <cfRule type="cellIs" dxfId="58" priority="18" operator="equal">
      <formula>"apagado"</formula>
    </cfRule>
  </conditionalFormatting>
  <conditionalFormatting sqref="AH164">
    <cfRule type="cellIs" dxfId="57" priority="17" operator="equal">
      <formula>"apagado"</formula>
    </cfRule>
  </conditionalFormatting>
  <conditionalFormatting sqref="AH142">
    <cfRule type="cellIs" dxfId="56" priority="16" operator="equal">
      <formula>"apagado"</formula>
    </cfRule>
  </conditionalFormatting>
  <conditionalFormatting sqref="AH143">
    <cfRule type="cellIs" dxfId="55" priority="15" operator="equal">
      <formula>"apagado"</formula>
    </cfRule>
  </conditionalFormatting>
  <conditionalFormatting sqref="AH144">
    <cfRule type="cellIs" dxfId="54" priority="14" operator="equal">
      <formula>"apagado"</formula>
    </cfRule>
  </conditionalFormatting>
  <conditionalFormatting sqref="AH133">
    <cfRule type="cellIs" dxfId="53" priority="13" operator="equal">
      <formula>"apagado"</formula>
    </cfRule>
  </conditionalFormatting>
  <conditionalFormatting sqref="AH135">
    <cfRule type="cellIs" dxfId="52" priority="12" operator="equal">
      <formula>"apagado"</formula>
    </cfRule>
  </conditionalFormatting>
  <conditionalFormatting sqref="AH115">
    <cfRule type="cellIs" dxfId="51" priority="11" operator="equal">
      <formula>"apagado"</formula>
    </cfRule>
  </conditionalFormatting>
  <conditionalFormatting sqref="AH116">
    <cfRule type="cellIs" dxfId="50" priority="10" operator="equal">
      <formula>"apagado"</formula>
    </cfRule>
  </conditionalFormatting>
  <conditionalFormatting sqref="AH120">
    <cfRule type="cellIs" dxfId="49" priority="9" operator="equal">
      <formula>"apagado"</formula>
    </cfRule>
  </conditionalFormatting>
  <conditionalFormatting sqref="AH121">
    <cfRule type="cellIs" dxfId="48" priority="8" operator="equal">
      <formula>"apagado"</formula>
    </cfRule>
  </conditionalFormatting>
  <conditionalFormatting sqref="AH99">
    <cfRule type="cellIs" dxfId="47" priority="7" operator="equal">
      <formula>"apagado"</formula>
    </cfRule>
  </conditionalFormatting>
  <conditionalFormatting sqref="AH94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AH94">
    <cfRule type="notContainsText" dxfId="44" priority="3" operator="notContains" text="Caida">
      <formula>ISERROR(SEARCH("Caida",AH94))</formula>
    </cfRule>
    <cfRule type="containsText" dxfId="43" priority="4" operator="containsText" text="Caida">
      <formula>NOT(ISERROR(SEARCH("Caida",AH94)))</formula>
    </cfRule>
  </conditionalFormatting>
  <conditionalFormatting sqref="AH94">
    <cfRule type="cellIs" dxfId="42" priority="2" operator="equal">
      <formula>"apagado"</formula>
    </cfRule>
  </conditionalFormatting>
  <conditionalFormatting sqref="AH96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101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2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98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2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99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2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99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3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99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101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99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2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99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2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99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2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99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3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99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101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99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2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0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2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2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3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101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2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2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2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3"/>
    </row>
    <row r="22" spans="1:5" ht="15.75" thickTop="1" x14ac:dyDescent="0.25">
      <c r="A22" s="72" t="s">
        <v>1350</v>
      </c>
      <c r="B22" s="83"/>
      <c r="C22" s="79"/>
      <c r="D22" s="76"/>
      <c r="E22" s="101">
        <v>44701</v>
      </c>
    </row>
    <row r="23" spans="1:5" x14ac:dyDescent="0.25">
      <c r="A23" s="73" t="s">
        <v>6</v>
      </c>
      <c r="B23" s="84"/>
      <c r="C23" s="80"/>
      <c r="D23" s="77"/>
      <c r="E23" s="102"/>
    </row>
    <row r="24" spans="1:5" x14ac:dyDescent="0.25">
      <c r="A24" s="73" t="s">
        <v>1352</v>
      </c>
      <c r="B24" s="84"/>
      <c r="C24" s="80"/>
      <c r="D24" s="77"/>
      <c r="E24" s="102"/>
    </row>
    <row r="25" spans="1:5" x14ac:dyDescent="0.25">
      <c r="A25" s="73" t="s">
        <v>1351</v>
      </c>
      <c r="B25" s="84"/>
      <c r="C25" s="80"/>
      <c r="D25" s="77"/>
      <c r="E25" s="102"/>
    </row>
    <row r="26" spans="1:5" ht="15.75" thickBot="1" x14ac:dyDescent="0.3">
      <c r="A26" s="74" t="s">
        <v>20</v>
      </c>
      <c r="B26" s="85"/>
      <c r="C26" s="81"/>
      <c r="D26" s="78"/>
      <c r="E26" s="103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2022-05-23T10:45:04Z</dcterms:modified>
</cp:coreProperties>
</file>