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02172671-C6C8-4BCB-9A20-68C85FDFA8EC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4" l="1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M377" i="2" l="1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N260" i="2" s="1"/>
  <c r="M261" i="2"/>
  <c r="M262" i="2"/>
  <c r="M263" i="2"/>
  <c r="M264" i="2"/>
  <c r="M265" i="2"/>
  <c r="M266" i="2"/>
  <c r="M267" i="2"/>
  <c r="M268" i="2"/>
  <c r="N268" i="2" s="1"/>
  <c r="M269" i="2"/>
  <c r="M270" i="2"/>
  <c r="M271" i="2"/>
  <c r="M272" i="2"/>
  <c r="M273" i="2"/>
  <c r="M274" i="2"/>
  <c r="M275" i="2"/>
  <c r="M276" i="2"/>
  <c r="N276" i="2" s="1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300" i="2" s="1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N249" i="2"/>
  <c r="N257" i="2"/>
  <c r="N331" i="2"/>
  <c r="N370" i="2"/>
  <c r="L247" i="2"/>
  <c r="L248" i="2"/>
  <c r="N248" i="2" s="1"/>
  <c r="L249" i="2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N312" i="2" s="1"/>
  <c r="L313" i="2"/>
  <c r="L314" i="2"/>
  <c r="N314" i="2" s="1"/>
  <c r="L315" i="2"/>
  <c r="N315" i="2" s="1"/>
  <c r="L316" i="2"/>
  <c r="L317" i="2"/>
  <c r="L318" i="2"/>
  <c r="L319" i="2"/>
  <c r="L320" i="2"/>
  <c r="L321" i="2"/>
  <c r="N321" i="2" s="1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L332" i="2"/>
  <c r="L333" i="2"/>
  <c r="L334" i="2"/>
  <c r="L335" i="2"/>
  <c r="L336" i="2"/>
  <c r="N336" i="2" s="1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N360" i="2" s="1"/>
  <c r="L361" i="2"/>
  <c r="N361" i="2" s="1"/>
  <c r="L362" i="2"/>
  <c r="N362" i="2" s="1"/>
  <c r="L363" i="2"/>
  <c r="L364" i="2"/>
  <c r="L365" i="2"/>
  <c r="L366" i="2"/>
  <c r="L367" i="2"/>
  <c r="L368" i="2"/>
  <c r="L369" i="2"/>
  <c r="N369" i="2" s="1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68" i="2" l="1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C10" i="14" s="1"/>
  <c r="M2" i="10"/>
  <c r="C9" i="14" s="1"/>
  <c r="L2" i="10"/>
  <c r="P2" i="11"/>
  <c r="AB2" i="11"/>
  <c r="V2" i="11"/>
  <c r="G2" i="11"/>
  <c r="B3" i="14" s="1"/>
  <c r="Q2" i="11"/>
  <c r="K2" i="11"/>
  <c r="B7" i="14" s="1"/>
  <c r="AA2" i="11"/>
  <c r="L2" i="11"/>
  <c r="B8" i="14" s="1"/>
  <c r="E8" i="14" s="1"/>
  <c r="G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9" i="14" l="1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<sst xmlns="http://schemas.openxmlformats.org/spreadsheetml/2006/main" count="3204" uniqueCount="1350">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</sst>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50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90" zoomScaleNormal="90" workbookViewId="0">
      <pane xSplit="14" ySplit="4" topLeftCell="O194" activePane="bottomRight" state="frozen"/>
      <selection pane="topRight" activeCell="M1" sqref="M1"/>
      <selection pane="bottomLeft" activeCell="A5" sqref="A5"/>
      <selection pane="bottomRight" activeCell="C198" sqref="C198:K199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5" width="9.44140625" style="22" bestFit="1" customWidth="1"/>
  </cols>
  <sheetData>
    <row r="1" spans="1:45" s="5" customFormat="1" ht="27.75" customHeight="1" thickTop="1" x14ac:dyDescent="0.3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0.125</v>
      </c>
      <c r="P1" s="4">
        <f t="shared" si="0"/>
        <v>9.2391304347826081E-2</v>
      </c>
      <c r="Q1" s="4">
        <f t="shared" si="0"/>
        <v>8.6956521739130432E-2</v>
      </c>
      <c r="R1" s="4">
        <f t="shared" si="0"/>
        <v>0.43206521739130432</v>
      </c>
      <c r="S1" s="4">
        <f t="shared" si="0"/>
        <v>0.15760869565217392</v>
      </c>
      <c r="T1" s="4">
        <f t="shared" si="0"/>
        <v>0.16129032258064516</v>
      </c>
      <c r="U1" s="4">
        <f t="shared" si="0"/>
        <v>0.13315217391304349</v>
      </c>
      <c r="V1" s="4">
        <f t="shared" si="0"/>
        <v>0.1358695652173913</v>
      </c>
      <c r="W1" s="4">
        <f t="shared" si="0"/>
        <v>0.12771739130434784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3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COUNTIF(O5:O372, "")</f>
        <v>322</v>
      </c>
      <c r="P2" s="10">
        <f t="shared" ref="P2:AR2" si="2">COUNTIF(P5:P372, "")</f>
        <v>334</v>
      </c>
      <c r="Q2" s="10">
        <f t="shared" si="2"/>
        <v>336</v>
      </c>
      <c r="R2" s="10">
        <f t="shared" si="2"/>
        <v>209</v>
      </c>
      <c r="S2" s="10">
        <f t="shared" si="2"/>
        <v>310</v>
      </c>
      <c r="T2" s="10">
        <f t="shared" si="2"/>
        <v>312</v>
      </c>
      <c r="U2" s="10">
        <f t="shared" si="2"/>
        <v>319</v>
      </c>
      <c r="V2" s="10">
        <f t="shared" si="2"/>
        <v>318</v>
      </c>
      <c r="W2" s="10">
        <f t="shared" si="2"/>
        <v>321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/>
    </row>
    <row r="3" spans="1:45" s="11" customFormat="1" ht="15" thickBot="1" x14ac:dyDescent="0.35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0" thickTop="1" thickBot="1" x14ac:dyDescent="0.4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5.6" thickTop="1" thickBot="1" x14ac:dyDescent="0.35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27</v>
      </c>
      <c r="M5" s="17">
        <f t="shared" ref="M5:M68" si="6">COUNTIF(O5:AP5,"APAGADO")</f>
        <v>1</v>
      </c>
      <c r="N5" s="18">
        <f t="shared" ref="N5:N68" si="7">(L5)/(M5+L5)</f>
        <v>0.9642857142857143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19</v>
      </c>
      <c r="M7" s="17">
        <f t="shared" si="6"/>
        <v>9</v>
      </c>
      <c r="N7" s="18">
        <f t="shared" si="7"/>
        <v>0.6785714285714286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23</v>
      </c>
      <c r="M11" s="17">
        <f t="shared" si="6"/>
        <v>5</v>
      </c>
      <c r="N11" s="18">
        <f t="shared" si="7"/>
        <v>0.8214285714285714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23</v>
      </c>
      <c r="M12" s="17">
        <f t="shared" si="6"/>
        <v>5</v>
      </c>
      <c r="N12" s="18">
        <f t="shared" si="7"/>
        <v>0.8214285714285714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24</v>
      </c>
      <c r="M48" s="17">
        <f t="shared" si="6"/>
        <v>4</v>
      </c>
      <c r="N48" s="18">
        <f t="shared" si="7"/>
        <v>0.8571428571428571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25</v>
      </c>
      <c r="M52" s="17">
        <f t="shared" si="6"/>
        <v>3</v>
      </c>
      <c r="N52" s="18">
        <f t="shared" si="7"/>
        <v>0.8928571428571429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24</v>
      </c>
      <c r="M56" s="17">
        <f t="shared" si="6"/>
        <v>4</v>
      </c>
      <c r="N56" s="18">
        <f t="shared" si="7"/>
        <v>0.8571428571428571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19</v>
      </c>
      <c r="M66" s="17">
        <f t="shared" si="6"/>
        <v>9</v>
      </c>
      <c r="N66" s="18">
        <f t="shared" si="7"/>
        <v>0.6785714285714286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19</v>
      </c>
      <c r="M80" s="17">
        <f t="shared" si="9"/>
        <v>9</v>
      </c>
      <c r="N80" s="18">
        <f t="shared" si="10"/>
        <v>0.6785714285714286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27</v>
      </c>
      <c r="M100" s="17">
        <f t="shared" si="9"/>
        <v>1</v>
      </c>
      <c r="N100" s="18">
        <f t="shared" si="10"/>
        <v>0.9642857142857143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27</v>
      </c>
      <c r="M103" s="17">
        <f t="shared" si="9"/>
        <v>1</v>
      </c>
      <c r="N103" s="18">
        <f t="shared" si="10"/>
        <v>0.9642857142857143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25</v>
      </c>
      <c r="M104" s="17">
        <f t="shared" si="9"/>
        <v>3</v>
      </c>
      <c r="N104" s="18">
        <f t="shared" si="10"/>
        <v>0.8928571428571429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25</v>
      </c>
      <c r="M105" s="17">
        <f t="shared" si="9"/>
        <v>3</v>
      </c>
      <c r="N105" s="18">
        <f t="shared" si="10"/>
        <v>0.8928571428571429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22</v>
      </c>
      <c r="M115" s="17">
        <f t="shared" si="9"/>
        <v>6</v>
      </c>
      <c r="N115" s="18">
        <f t="shared" si="10"/>
        <v>0.7857142857142857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22</v>
      </c>
      <c r="M116" s="17">
        <f t="shared" si="9"/>
        <v>6</v>
      </c>
      <c r="N116" s="18">
        <f t="shared" si="10"/>
        <v>0.7857142857142857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27</v>
      </c>
      <c r="M120" s="17">
        <f t="shared" si="9"/>
        <v>1</v>
      </c>
      <c r="N120" s="18">
        <f t="shared" si="10"/>
        <v>0.9642857142857143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25</v>
      </c>
      <c r="M129" s="17">
        <f t="shared" si="9"/>
        <v>3</v>
      </c>
      <c r="N129" s="18">
        <f t="shared" si="10"/>
        <v>0.8928571428571429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25</v>
      </c>
      <c r="M130" s="17">
        <f t="shared" si="9"/>
        <v>3</v>
      </c>
      <c r="N130" s="18">
        <f t="shared" si="10"/>
        <v>0.8928571428571429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19</v>
      </c>
      <c r="M133" s="17">
        <f t="shared" ref="M133:M196" si="12">COUNTIF(O133:AP133,"APAGADO")</f>
        <v>9</v>
      </c>
      <c r="N133" s="18">
        <f t="shared" ref="N133:N196" si="13">(L133)/(M133+L133)</f>
        <v>0.6785714285714286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20</v>
      </c>
      <c r="M135" s="17">
        <f t="shared" si="12"/>
        <v>8</v>
      </c>
      <c r="N135" s="18">
        <f t="shared" si="13"/>
        <v>0.7142857142857143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25</v>
      </c>
      <c r="M138" s="17">
        <f t="shared" si="12"/>
        <v>3</v>
      </c>
      <c r="N138" s="18">
        <f t="shared" si="13"/>
        <v>0.8928571428571429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25</v>
      </c>
      <c r="M139" s="17">
        <f t="shared" si="12"/>
        <v>3</v>
      </c>
      <c r="N139" s="18">
        <f t="shared" si="13"/>
        <v>0.8928571428571429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25</v>
      </c>
      <c r="M140" s="17">
        <f t="shared" si="12"/>
        <v>3</v>
      </c>
      <c r="N140" s="18">
        <f t="shared" si="13"/>
        <v>0.8928571428571429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25</v>
      </c>
      <c r="M141" s="17">
        <f t="shared" si="12"/>
        <v>3</v>
      </c>
      <c r="N141" s="18">
        <f t="shared" si="13"/>
        <v>0.8928571428571429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24</v>
      </c>
      <c r="M144" s="17">
        <f t="shared" si="12"/>
        <v>4</v>
      </c>
      <c r="N144" s="18">
        <f t="shared" si="13"/>
        <v>0.8571428571428571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24</v>
      </c>
      <c r="M152" s="17">
        <f t="shared" si="12"/>
        <v>4</v>
      </c>
      <c r="N152" s="18">
        <f t="shared" si="13"/>
        <v>0.8571428571428571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27</v>
      </c>
      <c r="M153" s="17">
        <f t="shared" si="12"/>
        <v>1</v>
      </c>
      <c r="N153" s="18">
        <f t="shared" si="13"/>
        <v>0.9642857142857143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25</v>
      </c>
      <c r="M155" s="17">
        <f t="shared" si="12"/>
        <v>3</v>
      </c>
      <c r="N155" s="18">
        <f t="shared" si="13"/>
        <v>0.8928571428571429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19</v>
      </c>
      <c r="M166" s="17">
        <f t="shared" si="12"/>
        <v>9</v>
      </c>
      <c r="N166" s="18">
        <f t="shared" si="13"/>
        <v>0.6785714285714286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24</v>
      </c>
      <c r="M170" s="17">
        <f t="shared" si="12"/>
        <v>4</v>
      </c>
      <c r="N170" s="18">
        <f t="shared" si="13"/>
        <v>0.8571428571428571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25</v>
      </c>
      <c r="M172" s="17">
        <f t="shared" si="12"/>
        <v>3</v>
      </c>
      <c r="N172" s="18">
        <f t="shared" si="13"/>
        <v>0.8928571428571429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19</v>
      </c>
      <c r="M177" s="17">
        <f t="shared" si="12"/>
        <v>9</v>
      </c>
      <c r="N177" s="18">
        <f t="shared" si="13"/>
        <v>0.6785714285714286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25</v>
      </c>
      <c r="M181" s="17">
        <f t="shared" si="12"/>
        <v>3</v>
      </c>
      <c r="N181" s="18">
        <f t="shared" si="13"/>
        <v>0.8928571428571429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19</v>
      </c>
      <c r="M191" s="17">
        <f t="shared" si="12"/>
        <v>9</v>
      </c>
      <c r="N191" s="18">
        <f t="shared" si="13"/>
        <v>0.6785714285714286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19</v>
      </c>
      <c r="M192" s="17">
        <f t="shared" si="12"/>
        <v>9</v>
      </c>
      <c r="N192" s="18">
        <f t="shared" si="13"/>
        <v>0.6785714285714286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19</v>
      </c>
      <c r="M194" s="17">
        <f t="shared" si="12"/>
        <v>9</v>
      </c>
      <c r="N194" s="18">
        <f t="shared" si="13"/>
        <v>0.6785714285714286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24</v>
      </c>
      <c r="M196" s="17">
        <f t="shared" si="12"/>
        <v>4</v>
      </c>
      <c r="N196" s="18">
        <f t="shared" si="13"/>
        <v>0.8571428571428571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23</v>
      </c>
      <c r="M198" s="17">
        <f t="shared" si="15"/>
        <v>5</v>
      </c>
      <c r="N198" s="18">
        <f t="shared" si="16"/>
        <v>0.8214285714285714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24</v>
      </c>
      <c r="M199" s="17">
        <f t="shared" si="15"/>
        <v>4</v>
      </c>
      <c r="N199" s="18">
        <f t="shared" si="16"/>
        <v>0.8571428571428571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19</v>
      </c>
      <c r="M206" s="17">
        <f t="shared" si="15"/>
        <v>9</v>
      </c>
      <c r="N206" s="18">
        <f t="shared" si="16"/>
        <v>0.6785714285714286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22</v>
      </c>
      <c r="M207" s="17">
        <f t="shared" si="15"/>
        <v>6</v>
      </c>
      <c r="N207" s="18">
        <f t="shared" si="16"/>
        <v>0.7857142857142857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27</v>
      </c>
      <c r="M208" s="17">
        <f t="shared" si="15"/>
        <v>1</v>
      </c>
      <c r="N208" s="18">
        <f t="shared" si="16"/>
        <v>0.9642857142857143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20</v>
      </c>
      <c r="M211" s="17">
        <f t="shared" si="15"/>
        <v>8</v>
      </c>
      <c r="N211" s="18">
        <f t="shared" si="16"/>
        <v>0.7142857142857143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19</v>
      </c>
      <c r="M212" s="17">
        <f t="shared" si="15"/>
        <v>9</v>
      </c>
      <c r="N212" s="18">
        <f t="shared" si="16"/>
        <v>0.6785714285714286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25</v>
      </c>
      <c r="M214" s="17">
        <f t="shared" si="15"/>
        <v>3</v>
      </c>
      <c r="N214" s="18">
        <f t="shared" si="16"/>
        <v>0.8928571428571429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22</v>
      </c>
      <c r="M216" s="17">
        <f t="shared" si="15"/>
        <v>6</v>
      </c>
      <c r="N216" s="18">
        <f t="shared" si="16"/>
        <v>0.7857142857142857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22</v>
      </c>
      <c r="M217" s="17">
        <f t="shared" si="15"/>
        <v>6</v>
      </c>
      <c r="N217" s="18">
        <f t="shared" si="16"/>
        <v>0.7857142857142857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22</v>
      </c>
      <c r="M218" s="17">
        <f t="shared" si="15"/>
        <v>6</v>
      </c>
      <c r="N218" s="18">
        <f t="shared" si="16"/>
        <v>0.7857142857142857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22</v>
      </c>
      <c r="M219" s="17">
        <f t="shared" si="15"/>
        <v>6</v>
      </c>
      <c r="N219" s="18">
        <f t="shared" si="16"/>
        <v>0.7857142857142857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27</v>
      </c>
      <c r="M224" s="17">
        <f t="shared" si="15"/>
        <v>1</v>
      </c>
      <c r="N224" s="18">
        <f t="shared" si="16"/>
        <v>0.9642857142857143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27</v>
      </c>
      <c r="M225" s="17">
        <f t="shared" si="15"/>
        <v>1</v>
      </c>
      <c r="N225" s="18">
        <f t="shared" si="16"/>
        <v>0.9642857142857143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25</v>
      </c>
      <c r="M226" s="17">
        <f t="shared" si="15"/>
        <v>3</v>
      </c>
      <c r="N226" s="18">
        <f t="shared" si="16"/>
        <v>0.8928571428571429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25</v>
      </c>
      <c r="M229" s="17">
        <f t="shared" si="15"/>
        <v>3</v>
      </c>
      <c r="N229" s="18">
        <f t="shared" si="16"/>
        <v>0.8928571428571429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27</v>
      </c>
      <c r="M238" s="17">
        <f t="shared" si="15"/>
        <v>1</v>
      </c>
      <c r="N238" s="18">
        <f t="shared" si="16"/>
        <v>0.9642857142857143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27</v>
      </c>
      <c r="M239" s="17">
        <f t="shared" si="15"/>
        <v>1</v>
      </c>
      <c r="N239" s="18">
        <f t="shared" si="16"/>
        <v>0.9642857142857143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27</v>
      </c>
      <c r="M245" s="17">
        <f t="shared" si="15"/>
        <v>1</v>
      </c>
      <c r="N245" s="18">
        <f t="shared" si="16"/>
        <v>0.9642857142857143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27</v>
      </c>
      <c r="M251" s="17">
        <f t="shared" si="15"/>
        <v>1</v>
      </c>
      <c r="N251" s="18">
        <f t="shared" si="16"/>
        <v>0.9642857142857143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27</v>
      </c>
      <c r="M274" s="17">
        <f t="shared" si="18"/>
        <v>1</v>
      </c>
      <c r="N274" s="18">
        <f t="shared" si="19"/>
        <v>0.9642857142857143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25</v>
      </c>
      <c r="M275" s="17">
        <f t="shared" si="18"/>
        <v>3</v>
      </c>
      <c r="N275" s="18">
        <f t="shared" si="19"/>
        <v>0.8928571428571429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19</v>
      </c>
      <c r="M289" s="17">
        <f t="shared" si="18"/>
        <v>9</v>
      </c>
      <c r="N289" s="18">
        <f t="shared" si="19"/>
        <v>0.6785714285714286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19</v>
      </c>
      <c r="M303" s="17">
        <f t="shared" si="18"/>
        <v>9</v>
      </c>
      <c r="N303" s="18">
        <f t="shared" si="19"/>
        <v>0.6785714285714286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25</v>
      </c>
      <c r="M304" s="17">
        <f t="shared" si="18"/>
        <v>3</v>
      </c>
      <c r="N304" s="18">
        <f t="shared" si="19"/>
        <v>0.8928571428571429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25</v>
      </c>
      <c r="M305" s="17">
        <f t="shared" si="18"/>
        <v>3</v>
      </c>
      <c r="N305" s="18">
        <f t="shared" si="19"/>
        <v>0.8928571428571429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25</v>
      </c>
      <c r="M306" s="17">
        <f t="shared" si="18"/>
        <v>3</v>
      </c>
      <c r="N306" s="18">
        <f t="shared" si="19"/>
        <v>0.8928571428571429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25</v>
      </c>
      <c r="M307" s="17">
        <f t="shared" si="18"/>
        <v>3</v>
      </c>
      <c r="N307" s="18">
        <f t="shared" si="19"/>
        <v>0.8928571428571429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21</v>
      </c>
      <c r="M310" s="17">
        <f t="shared" si="18"/>
        <v>7</v>
      </c>
      <c r="N310" s="18">
        <f t="shared" si="19"/>
        <v>0.75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24</v>
      </c>
      <c r="M317" s="17">
        <f t="shared" si="18"/>
        <v>4</v>
      </c>
      <c r="N317" s="18">
        <f t="shared" si="19"/>
        <v>0.8571428571428571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25</v>
      </c>
      <c r="M321" s="17">
        <f t="shared" si="18"/>
        <v>3</v>
      </c>
      <c r="N321" s="18">
        <f t="shared" si="19"/>
        <v>0.8928571428571429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23</v>
      </c>
      <c r="M329" s="17">
        <f t="shared" si="21"/>
        <v>5</v>
      </c>
      <c r="N329" s="18">
        <f t="shared" si="22"/>
        <v>0.8214285714285714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25</v>
      </c>
      <c r="M333" s="17">
        <f t="shared" si="21"/>
        <v>3</v>
      </c>
      <c r="N333" s="18">
        <f t="shared" si="22"/>
        <v>0.8928571428571429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19</v>
      </c>
      <c r="M343" s="17">
        <f t="shared" si="21"/>
        <v>9</v>
      </c>
      <c r="N343" s="18">
        <f t="shared" si="22"/>
        <v>0.6785714285714286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26</v>
      </c>
      <c r="M344" s="17">
        <f t="shared" si="21"/>
        <v>2</v>
      </c>
      <c r="N344" s="18">
        <f t="shared" si="22"/>
        <v>0.9285714285714286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27</v>
      </c>
      <c r="M347" s="17">
        <f t="shared" si="21"/>
        <v>1</v>
      </c>
      <c r="N347" s="18">
        <f t="shared" si="22"/>
        <v>0.9642857142857143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19</v>
      </c>
      <c r="M352" s="17">
        <f t="shared" si="21"/>
        <v>9</v>
      </c>
      <c r="N352" s="18">
        <f t="shared" si="22"/>
        <v>0.6785714285714286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27</v>
      </c>
      <c r="M355" s="17">
        <f t="shared" si="21"/>
        <v>1</v>
      </c>
      <c r="N355" s="18">
        <f t="shared" si="22"/>
        <v>0.9642857142857143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25</v>
      </c>
      <c r="M368" s="17">
        <f t="shared" si="21"/>
        <v>3</v>
      </c>
      <c r="N368" s="18">
        <f t="shared" si="22"/>
        <v>0.8928571428571429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" thickBot="1" x14ac:dyDescent="0.35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" thickBot="1" x14ac:dyDescent="0.35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" thickBot="1" x14ac:dyDescent="0.35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" thickBot="1" x14ac:dyDescent="0.35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" thickBot="1" x14ac:dyDescent="0.35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3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3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3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3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3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3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3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3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3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3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3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3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3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3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3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506" priority="1913" operator="lessThan">
      <formula>0.8</formula>
    </cfRule>
    <cfRule type="cellIs" dxfId="505" priority="1914" operator="greaterThan">
      <formula>0.8</formula>
    </cfRule>
  </conditionalFormatting>
  <conditionalFormatting sqref="E1:K3 E284:K334 E236:K236 E5:K32 E36:K91 E94:K230 E337:K364 E369:K372 E243:K281 E391:K1048576">
    <cfRule type="containsText" dxfId="504" priority="191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03" priority="1908" operator="notContains" text="Caida">
      <formula>ISERROR(SEARCH("Caida",O95))</formula>
    </cfRule>
    <cfRule type="containsText" dxfId="502" priority="1909" operator="containsText" text="Caida">
      <formula>NOT(ISERROR(SEARCH("Caida",O95)))</formula>
    </cfRule>
  </conditionalFormatting>
  <conditionalFormatting sqref="E282:K282">
    <cfRule type="containsText" dxfId="501" priority="1881" operator="containsText" text="Radio">
      <formula>NOT(ISERROR(SEARCH("Radio",E282)))</formula>
    </cfRule>
  </conditionalFormatting>
  <conditionalFormatting sqref="E283:K283">
    <cfRule type="containsText" dxfId="500" priority="1856" operator="containsText" text="Radio">
      <formula>NOT(ISERROR(SEARCH("Radio",E283)))</formula>
    </cfRule>
  </conditionalFormatting>
  <conditionalFormatting sqref="E4:K4">
    <cfRule type="containsText" dxfId="499" priority="1831" operator="containsText" text="Radio">
      <formula>NOT(ISERROR(SEARCH("Radio",E4)))</formula>
    </cfRule>
  </conditionalFormatting>
  <conditionalFormatting sqref="E231:K231">
    <cfRule type="containsText" dxfId="498" priority="1830" operator="containsText" text="Radio">
      <formula>NOT(ISERROR(SEARCH("Radio",E231)))</formula>
    </cfRule>
  </conditionalFormatting>
  <conditionalFormatting sqref="E232:K232">
    <cfRule type="containsText" dxfId="497" priority="1805" operator="containsText" text="Radio">
      <formula>NOT(ISERROR(SEARCH("Radio",E232)))</formula>
    </cfRule>
  </conditionalFormatting>
  <conditionalFormatting sqref="E233:K233">
    <cfRule type="containsText" dxfId="496" priority="1780" operator="containsText" text="Radio">
      <formula>NOT(ISERROR(SEARCH("Radio",E233)))</formula>
    </cfRule>
  </conditionalFormatting>
  <conditionalFormatting sqref="E234:K234">
    <cfRule type="containsText" dxfId="495" priority="1755" operator="containsText" text="Radio">
      <formula>NOT(ISERROR(SEARCH("Radio",E234)))</formula>
    </cfRule>
  </conditionalFormatting>
  <conditionalFormatting sqref="E235:K235">
    <cfRule type="containsText" dxfId="494" priority="1730" operator="containsText" text="Radio">
      <formula>NOT(ISERROR(SEARCH("Radio",E235)))</formula>
    </cfRule>
  </conditionalFormatting>
  <conditionalFormatting sqref="E335:K335">
    <cfRule type="containsText" dxfId="493" priority="1681" operator="containsText" text="Radio">
      <formula>NOT(ISERROR(SEARCH("Radio",E335)))</formula>
    </cfRule>
  </conditionalFormatting>
  <conditionalFormatting sqref="E336:K336">
    <cfRule type="containsText" dxfId="492" priority="1656" operator="containsText" text="Radio">
      <formula>NOT(ISERROR(SEARCH("Radio",E336)))</formula>
    </cfRule>
  </conditionalFormatting>
  <conditionalFormatting sqref="E237:K237">
    <cfRule type="containsText" dxfId="491" priority="1631" operator="containsText" text="Radio">
      <formula>NOT(ISERROR(SEARCH("Radio",E237)))</formula>
    </cfRule>
  </conditionalFormatting>
  <conditionalFormatting sqref="E238:K238">
    <cfRule type="containsText" dxfId="490" priority="1606" operator="containsText" text="Radio">
      <formula>NOT(ISERROR(SEARCH("Radio",E238)))</formula>
    </cfRule>
  </conditionalFormatting>
  <conditionalFormatting sqref="E33:K35">
    <cfRule type="containsText" dxfId="489" priority="1581" operator="containsText" text="Radio">
      <formula>NOT(ISERROR(SEARCH("Radio",E33)))</formula>
    </cfRule>
  </conditionalFormatting>
  <conditionalFormatting sqref="E239:K239">
    <cfRule type="containsText" dxfId="488" priority="1556" operator="containsText" text="Radio">
      <formula>NOT(ISERROR(SEARCH("Radio",E239)))</formula>
    </cfRule>
  </conditionalFormatting>
  <conditionalFormatting sqref="E240:K240">
    <cfRule type="containsText" dxfId="487" priority="1531" operator="containsText" text="Radio">
      <formula>NOT(ISERROR(SEARCH("Radio",E240)))</formula>
    </cfRule>
  </conditionalFormatting>
  <conditionalFormatting sqref="E241:K241">
    <cfRule type="containsText" dxfId="486" priority="1506" operator="containsText" text="Radio">
      <formula>NOT(ISERROR(SEARCH("Radio",E241)))</formula>
    </cfRule>
  </conditionalFormatting>
  <conditionalFormatting sqref="E242:K242">
    <cfRule type="containsText" dxfId="485" priority="1481" operator="containsText" text="Radio">
      <formula>NOT(ISERROR(SEARCH("Radio",E242)))</formula>
    </cfRule>
  </conditionalFormatting>
  <conditionalFormatting sqref="P6:P92 P96:P230">
    <cfRule type="cellIs" dxfId="484" priority="1406" operator="lessThan">
      <formula>0.8</formula>
    </cfRule>
    <cfRule type="cellIs" dxfId="483" priority="1407" operator="greaterThan">
      <formula>0.8</formula>
    </cfRule>
  </conditionalFormatting>
  <conditionalFormatting sqref="P6:P92 P96:P230">
    <cfRule type="notContainsText" dxfId="482" priority="1404" operator="notContains" text="Caida">
      <formula>ISERROR(SEARCH("Caida",P6))</formula>
    </cfRule>
    <cfRule type="containsText" dxfId="481" priority="1405" operator="containsText" text="Caida">
      <formula>NOT(ISERROR(SEARCH("Caida",P6)))</formula>
    </cfRule>
  </conditionalFormatting>
  <conditionalFormatting sqref="P337:P366 P284:P334">
    <cfRule type="cellIs" dxfId="480" priority="1402" operator="lessThan">
      <formula>0.8</formula>
    </cfRule>
    <cfRule type="cellIs" dxfId="479" priority="1403" operator="greaterThan">
      <formula>0.8</formula>
    </cfRule>
  </conditionalFormatting>
  <conditionalFormatting sqref="P337:P366 P284:P334 P391:P1048576">
    <cfRule type="notContainsText" dxfId="478" priority="1400" operator="notContains" text="Caida">
      <formula>ISERROR(SEARCH("Caida",P284))</formula>
    </cfRule>
    <cfRule type="containsText" dxfId="477" priority="1401" operator="containsText" text="Caida">
      <formula>NOT(ISERROR(SEARCH("Caida",P284)))</formula>
    </cfRule>
  </conditionalFormatting>
  <conditionalFormatting sqref="O391:O1048576">
    <cfRule type="notContainsText" dxfId="476" priority="1449" operator="notContains" text="Caida">
      <formula>ISERROR(SEARCH("Caida",O391))</formula>
    </cfRule>
    <cfRule type="containsText" dxfId="475" priority="1450" operator="containsText" text="Caida">
      <formula>NOT(ISERROR(SEARCH("Caida",O391)))</formula>
    </cfRule>
  </conditionalFormatting>
  <conditionalFormatting sqref="P336">
    <cfRule type="cellIs" dxfId="474" priority="1361" operator="lessThan">
      <formula>0.8</formula>
    </cfRule>
    <cfRule type="cellIs" dxfId="473" priority="1362" operator="greaterThan">
      <formula>0.8</formula>
    </cfRule>
  </conditionalFormatting>
  <conditionalFormatting sqref="P336">
    <cfRule type="notContainsText" dxfId="472" priority="1359" operator="notContains" text="Caida">
      <formula>ISERROR(SEARCH("Caida",P336))</formula>
    </cfRule>
    <cfRule type="containsText" dxfId="471" priority="1360" operator="containsText" text="Caida">
      <formula>NOT(ISERROR(SEARCH("Caida",P336)))</formula>
    </cfRule>
  </conditionalFormatting>
  <conditionalFormatting sqref="P22">
    <cfRule type="containsText" dxfId="470" priority="1399" operator="containsText" text="Instaladas en Funcionamiento Caida">
      <formula>NOT(ISERROR(SEARCH("Instaladas en Funcionamiento Caida",P22)))</formula>
    </cfRule>
  </conditionalFormatting>
  <conditionalFormatting sqref="P282">
    <cfRule type="cellIs" dxfId="469" priority="1397" operator="lessThan">
      <formula>0.8</formula>
    </cfRule>
    <cfRule type="cellIs" dxfId="468" priority="1398" operator="greaterThan">
      <formula>0.8</formula>
    </cfRule>
  </conditionalFormatting>
  <conditionalFormatting sqref="P282">
    <cfRule type="notContainsText" dxfId="467" priority="1395" operator="notContains" text="Caida">
      <formula>ISERROR(SEARCH("Caida",P282))</formula>
    </cfRule>
    <cfRule type="containsText" dxfId="466" priority="1396" operator="containsText" text="Caida">
      <formula>NOT(ISERROR(SEARCH("Caida",P282)))</formula>
    </cfRule>
  </conditionalFormatting>
  <conditionalFormatting sqref="P283">
    <cfRule type="cellIs" dxfId="465" priority="1393" operator="lessThan">
      <formula>0.8</formula>
    </cfRule>
    <cfRule type="cellIs" dxfId="464" priority="1394" operator="greaterThan">
      <formula>0.8</formula>
    </cfRule>
  </conditionalFormatting>
  <conditionalFormatting sqref="P283">
    <cfRule type="notContainsText" dxfId="463" priority="1391" operator="notContains" text="Caida">
      <formula>ISERROR(SEARCH("Caida",P283))</formula>
    </cfRule>
    <cfRule type="containsText" dxfId="462" priority="1392" operator="containsText" text="Caida">
      <formula>NOT(ISERROR(SEARCH("Caida",P283)))</formula>
    </cfRule>
  </conditionalFormatting>
  <conditionalFormatting sqref="P5">
    <cfRule type="cellIs" dxfId="461" priority="1389" operator="lessThan">
      <formula>0.8</formula>
    </cfRule>
    <cfRule type="cellIs" dxfId="460" priority="1390" operator="greaterThan">
      <formula>0.8</formula>
    </cfRule>
  </conditionalFormatting>
  <conditionalFormatting sqref="P5">
    <cfRule type="notContainsText" dxfId="459" priority="1387" operator="notContains" text="Caida">
      <formula>ISERROR(SEARCH("Caida",P5))</formula>
    </cfRule>
    <cfRule type="containsText" dxfId="458" priority="1388" operator="containsText" text="Caida">
      <formula>NOT(ISERROR(SEARCH("Caida",P5)))</formula>
    </cfRule>
  </conditionalFormatting>
  <conditionalFormatting sqref="P231">
    <cfRule type="cellIs" dxfId="457" priority="1385" operator="lessThan">
      <formula>0.8</formula>
    </cfRule>
    <cfRule type="cellIs" dxfId="456" priority="1386" operator="greaterThan">
      <formula>0.8</formula>
    </cfRule>
  </conditionalFormatting>
  <conditionalFormatting sqref="P231">
    <cfRule type="notContainsText" dxfId="455" priority="1383" operator="notContains" text="Caida">
      <formula>ISERROR(SEARCH("Caida",P231))</formula>
    </cfRule>
    <cfRule type="containsText" dxfId="454" priority="1384" operator="containsText" text="Caida">
      <formula>NOT(ISERROR(SEARCH("Caida",P231)))</formula>
    </cfRule>
  </conditionalFormatting>
  <conditionalFormatting sqref="P232">
    <cfRule type="cellIs" dxfId="453" priority="1381" operator="lessThan">
      <formula>0.8</formula>
    </cfRule>
    <cfRule type="cellIs" dxfId="452" priority="1382" operator="greaterThan">
      <formula>0.8</formula>
    </cfRule>
  </conditionalFormatting>
  <conditionalFormatting sqref="P232">
    <cfRule type="notContainsText" dxfId="451" priority="1379" operator="notContains" text="Caida">
      <formula>ISERROR(SEARCH("Caida",P232))</formula>
    </cfRule>
    <cfRule type="containsText" dxfId="450" priority="1380" operator="containsText" text="Caida">
      <formula>NOT(ISERROR(SEARCH("Caida",P232)))</formula>
    </cfRule>
  </conditionalFormatting>
  <conditionalFormatting sqref="P233">
    <cfRule type="cellIs" dxfId="449" priority="1377" operator="lessThan">
      <formula>0.8</formula>
    </cfRule>
    <cfRule type="cellIs" dxfId="448" priority="1378" operator="greaterThan">
      <formula>0.8</formula>
    </cfRule>
  </conditionalFormatting>
  <conditionalFormatting sqref="P233">
    <cfRule type="notContainsText" dxfId="447" priority="1375" operator="notContains" text="Caida">
      <formula>ISERROR(SEARCH("Caida",P233))</formula>
    </cfRule>
    <cfRule type="containsText" dxfId="446" priority="1376" operator="containsText" text="Caida">
      <formula>NOT(ISERROR(SEARCH("Caida",P233)))</formula>
    </cfRule>
  </conditionalFormatting>
  <conditionalFormatting sqref="P234">
    <cfRule type="cellIs" dxfId="445" priority="1373" operator="lessThan">
      <formula>0.8</formula>
    </cfRule>
    <cfRule type="cellIs" dxfId="444" priority="1374" operator="greaterThan">
      <formula>0.8</formula>
    </cfRule>
  </conditionalFormatting>
  <conditionalFormatting sqref="P234">
    <cfRule type="notContainsText" dxfId="443" priority="1371" operator="notContains" text="Caida">
      <formula>ISERROR(SEARCH("Caida",P234))</formula>
    </cfRule>
    <cfRule type="containsText" dxfId="442" priority="1372" operator="containsText" text="Caida">
      <formula>NOT(ISERROR(SEARCH("Caida",P234)))</formula>
    </cfRule>
  </conditionalFormatting>
  <conditionalFormatting sqref="P235">
    <cfRule type="cellIs" dxfId="441" priority="1369" operator="lessThan">
      <formula>0.8</formula>
    </cfRule>
    <cfRule type="cellIs" dxfId="440" priority="1370" operator="greaterThan">
      <formula>0.8</formula>
    </cfRule>
  </conditionalFormatting>
  <conditionalFormatting sqref="P235">
    <cfRule type="notContainsText" dxfId="439" priority="1367" operator="notContains" text="Caida">
      <formula>ISERROR(SEARCH("Caida",P235))</formula>
    </cfRule>
    <cfRule type="containsText" dxfId="438" priority="1368" operator="containsText" text="Caida">
      <formula>NOT(ISERROR(SEARCH("Caida",P235)))</formula>
    </cfRule>
  </conditionalFormatting>
  <conditionalFormatting sqref="P335">
    <cfRule type="cellIs" dxfId="437" priority="1365" operator="lessThan">
      <formula>0.8</formula>
    </cfRule>
    <cfRule type="cellIs" dxfId="436" priority="1366" operator="greaterThan">
      <formula>0.8</formula>
    </cfRule>
  </conditionalFormatting>
  <conditionalFormatting sqref="P335">
    <cfRule type="notContainsText" dxfId="435" priority="1363" operator="notContains" text="Caida">
      <formula>ISERROR(SEARCH("Caida",P335))</formula>
    </cfRule>
    <cfRule type="containsText" dxfId="434" priority="1364" operator="containsText" text="Caida">
      <formula>NOT(ISERROR(SEARCH("Caida",P335)))</formula>
    </cfRule>
  </conditionalFormatting>
  <conditionalFormatting sqref="Q6:Q92 Q96:Q230">
    <cfRule type="cellIs" dxfId="433" priority="1357" operator="lessThan">
      <formula>0.8</formula>
    </cfRule>
    <cfRule type="cellIs" dxfId="432" priority="1358" operator="greaterThan">
      <formula>0.8</formula>
    </cfRule>
  </conditionalFormatting>
  <conditionalFormatting sqref="Q6:Q92 Q96:Q230">
    <cfRule type="notContainsText" dxfId="431" priority="1355" operator="notContains" text="Caida">
      <formula>ISERROR(SEARCH("Caida",Q6))</formula>
    </cfRule>
    <cfRule type="containsText" dxfId="430" priority="1356" operator="containsText" text="Caida">
      <formula>NOT(ISERROR(SEARCH("Caida",Q6)))</formula>
    </cfRule>
  </conditionalFormatting>
  <conditionalFormatting sqref="Q336">
    <cfRule type="cellIs" dxfId="429" priority="1312" operator="lessThan">
      <formula>0.8</formula>
    </cfRule>
    <cfRule type="cellIs" dxfId="428" priority="1313" operator="greaterThan">
      <formula>0.8</formula>
    </cfRule>
  </conditionalFormatting>
  <conditionalFormatting sqref="Q336">
    <cfRule type="notContainsText" dxfId="427" priority="1310" operator="notContains" text="Caida">
      <formula>ISERROR(SEARCH("Caida",Q336))</formula>
    </cfRule>
    <cfRule type="containsText" dxfId="426" priority="1311" operator="containsText" text="Caida">
      <formula>NOT(ISERROR(SEARCH("Caida",Q336)))</formula>
    </cfRule>
  </conditionalFormatting>
  <conditionalFormatting sqref="Q337:Q366 Q284:Q334">
    <cfRule type="cellIs" dxfId="425" priority="1353" operator="lessThan">
      <formula>0.8</formula>
    </cfRule>
    <cfRule type="cellIs" dxfId="424" priority="1354" operator="greaterThan">
      <formula>0.8</formula>
    </cfRule>
  </conditionalFormatting>
  <conditionalFormatting sqref="Q337:Q366 Q284:Q334 Q391:Q1048576">
    <cfRule type="notContainsText" dxfId="423" priority="1351" operator="notContains" text="Caida">
      <formula>ISERROR(SEARCH("Caida",Q284))</formula>
    </cfRule>
    <cfRule type="containsText" dxfId="422" priority="1352" operator="containsText" text="Caida">
      <formula>NOT(ISERROR(SEARCH("Caida",Q284)))</formula>
    </cfRule>
  </conditionalFormatting>
  <conditionalFormatting sqref="Q22">
    <cfRule type="containsText" dxfId="421" priority="1350" operator="containsText" text="Instaladas en Funcionamiento Caida">
      <formula>NOT(ISERROR(SEARCH("Instaladas en Funcionamiento Caida",Q22)))</formula>
    </cfRule>
  </conditionalFormatting>
  <conditionalFormatting sqref="Q282">
    <cfRule type="cellIs" dxfId="420" priority="1348" operator="lessThan">
      <formula>0.8</formula>
    </cfRule>
    <cfRule type="cellIs" dxfId="419" priority="1349" operator="greaterThan">
      <formula>0.8</formula>
    </cfRule>
  </conditionalFormatting>
  <conditionalFormatting sqref="Q282">
    <cfRule type="notContainsText" dxfId="418" priority="1346" operator="notContains" text="Caida">
      <formula>ISERROR(SEARCH("Caida",Q282))</formula>
    </cfRule>
    <cfRule type="containsText" dxfId="417" priority="1347" operator="containsText" text="Caida">
      <formula>NOT(ISERROR(SEARCH("Caida",Q282)))</formula>
    </cfRule>
  </conditionalFormatting>
  <conditionalFormatting sqref="Q283">
    <cfRule type="cellIs" dxfId="416" priority="1344" operator="lessThan">
      <formula>0.8</formula>
    </cfRule>
    <cfRule type="cellIs" dxfId="415" priority="1345" operator="greaterThan">
      <formula>0.8</formula>
    </cfRule>
  </conditionalFormatting>
  <conditionalFormatting sqref="Q283">
    <cfRule type="notContainsText" dxfId="414" priority="1342" operator="notContains" text="Caida">
      <formula>ISERROR(SEARCH("Caida",Q283))</formula>
    </cfRule>
    <cfRule type="containsText" dxfId="413" priority="1343" operator="containsText" text="Caida">
      <formula>NOT(ISERROR(SEARCH("Caida",Q283)))</formula>
    </cfRule>
  </conditionalFormatting>
  <conditionalFormatting sqref="Q5">
    <cfRule type="cellIs" dxfId="412" priority="1340" operator="lessThan">
      <formula>0.8</formula>
    </cfRule>
    <cfRule type="cellIs" dxfId="411" priority="1341" operator="greaterThan">
      <formula>0.8</formula>
    </cfRule>
  </conditionalFormatting>
  <conditionalFormatting sqref="Q5">
    <cfRule type="notContainsText" dxfId="410" priority="1338" operator="notContains" text="Caida">
      <formula>ISERROR(SEARCH("Caida",Q5))</formula>
    </cfRule>
    <cfRule type="containsText" dxfId="409" priority="1339" operator="containsText" text="Caida">
      <formula>NOT(ISERROR(SEARCH("Caida",Q5)))</formula>
    </cfRule>
  </conditionalFormatting>
  <conditionalFormatting sqref="Q231">
    <cfRule type="cellIs" dxfId="408" priority="1336" operator="lessThan">
      <formula>0.8</formula>
    </cfRule>
    <cfRule type="cellIs" dxfId="407" priority="1337" operator="greaterThan">
      <formula>0.8</formula>
    </cfRule>
  </conditionalFormatting>
  <conditionalFormatting sqref="Q231">
    <cfRule type="notContainsText" dxfId="406" priority="1334" operator="notContains" text="Caida">
      <formula>ISERROR(SEARCH("Caida",Q231))</formula>
    </cfRule>
    <cfRule type="containsText" dxfId="405" priority="1335" operator="containsText" text="Caida">
      <formula>NOT(ISERROR(SEARCH("Caida",Q231)))</formula>
    </cfRule>
  </conditionalFormatting>
  <conditionalFormatting sqref="Q232">
    <cfRule type="cellIs" dxfId="404" priority="1332" operator="lessThan">
      <formula>0.8</formula>
    </cfRule>
    <cfRule type="cellIs" dxfId="403" priority="1333" operator="greaterThan">
      <formula>0.8</formula>
    </cfRule>
  </conditionalFormatting>
  <conditionalFormatting sqref="Q232">
    <cfRule type="notContainsText" dxfId="402" priority="1330" operator="notContains" text="Caida">
      <formula>ISERROR(SEARCH("Caida",Q232))</formula>
    </cfRule>
    <cfRule type="containsText" dxfId="401" priority="1331" operator="containsText" text="Caida">
      <formula>NOT(ISERROR(SEARCH("Caida",Q232)))</formula>
    </cfRule>
  </conditionalFormatting>
  <conditionalFormatting sqref="Q233">
    <cfRule type="cellIs" dxfId="400" priority="1328" operator="lessThan">
      <formula>0.8</formula>
    </cfRule>
    <cfRule type="cellIs" dxfId="399" priority="1329" operator="greaterThan">
      <formula>0.8</formula>
    </cfRule>
  </conditionalFormatting>
  <conditionalFormatting sqref="Q233">
    <cfRule type="notContainsText" dxfId="398" priority="1326" operator="notContains" text="Caida">
      <formula>ISERROR(SEARCH("Caida",Q233))</formula>
    </cfRule>
    <cfRule type="containsText" dxfId="397" priority="1327" operator="containsText" text="Caida">
      <formula>NOT(ISERROR(SEARCH("Caida",Q233)))</formula>
    </cfRule>
  </conditionalFormatting>
  <conditionalFormatting sqref="Q234">
    <cfRule type="cellIs" dxfId="396" priority="1324" operator="lessThan">
      <formula>0.8</formula>
    </cfRule>
    <cfRule type="cellIs" dxfId="395" priority="1325" operator="greaterThan">
      <formula>0.8</formula>
    </cfRule>
  </conditionalFormatting>
  <conditionalFormatting sqref="Q234">
    <cfRule type="notContainsText" dxfId="394" priority="1322" operator="notContains" text="Caida">
      <formula>ISERROR(SEARCH("Caida",Q234))</formula>
    </cfRule>
    <cfRule type="containsText" dxfId="393" priority="1323" operator="containsText" text="Caida">
      <formula>NOT(ISERROR(SEARCH("Caida",Q234)))</formula>
    </cfRule>
  </conditionalFormatting>
  <conditionalFormatting sqref="Q235">
    <cfRule type="cellIs" dxfId="392" priority="1320" operator="lessThan">
      <formula>0.8</formula>
    </cfRule>
    <cfRule type="cellIs" dxfId="391" priority="1321" operator="greaterThan">
      <formula>0.8</formula>
    </cfRule>
  </conditionalFormatting>
  <conditionalFormatting sqref="Q235">
    <cfRule type="notContainsText" dxfId="390" priority="1318" operator="notContains" text="Caida">
      <formula>ISERROR(SEARCH("Caida",Q235))</formula>
    </cfRule>
    <cfRule type="containsText" dxfId="389" priority="1319" operator="containsText" text="Caida">
      <formula>NOT(ISERROR(SEARCH("Caida",Q235)))</formula>
    </cfRule>
  </conditionalFormatting>
  <conditionalFormatting sqref="Q335">
    <cfRule type="cellIs" dxfId="388" priority="1316" operator="lessThan">
      <formula>0.8</formula>
    </cfRule>
    <cfRule type="cellIs" dxfId="387" priority="1317" operator="greaterThan">
      <formula>0.8</formula>
    </cfRule>
  </conditionalFormatting>
  <conditionalFormatting sqref="Q335">
    <cfRule type="notContainsText" dxfId="386" priority="1314" operator="notContains" text="Caida">
      <formula>ISERROR(SEARCH("Caida",Q335))</formula>
    </cfRule>
    <cfRule type="containsText" dxfId="385" priority="1315" operator="containsText" text="Caida">
      <formula>NOT(ISERROR(SEARCH("Caida",Q335)))</formula>
    </cfRule>
  </conditionalFormatting>
  <conditionalFormatting sqref="R6:R92 R96:R230">
    <cfRule type="cellIs" dxfId="384" priority="1308" operator="lessThan">
      <formula>0.8</formula>
    </cfRule>
    <cfRule type="cellIs" dxfId="383" priority="1309" operator="greaterThan">
      <formula>0.8</formula>
    </cfRule>
  </conditionalFormatting>
  <conditionalFormatting sqref="R6:R92 R96:R230">
    <cfRule type="notContainsText" dxfId="382" priority="1306" operator="notContains" text="Caida">
      <formula>ISERROR(SEARCH("Caida",R6))</formula>
    </cfRule>
    <cfRule type="containsText" dxfId="381" priority="1307" operator="containsText" text="Caida">
      <formula>NOT(ISERROR(SEARCH("Caida",R6)))</formula>
    </cfRule>
  </conditionalFormatting>
  <conditionalFormatting sqref="R336:T336">
    <cfRule type="cellIs" dxfId="380" priority="1263" operator="lessThan">
      <formula>0.8</formula>
    </cfRule>
    <cfRule type="cellIs" dxfId="379" priority="1264" operator="greaterThan">
      <formula>0.8</formula>
    </cfRule>
  </conditionalFormatting>
  <conditionalFormatting sqref="R336:T336">
    <cfRule type="notContainsText" dxfId="378" priority="1261" operator="notContains" text="Caida">
      <formula>ISERROR(SEARCH("Caida",R336))</formula>
    </cfRule>
    <cfRule type="containsText" dxfId="377" priority="1262" operator="containsText" text="Caida">
      <formula>NOT(ISERROR(SEARCH("Caida",R336)))</formula>
    </cfRule>
  </conditionalFormatting>
  <conditionalFormatting sqref="R337:R366 R284:R334">
    <cfRule type="cellIs" dxfId="376" priority="1304" operator="lessThan">
      <formula>0.8</formula>
    </cfRule>
    <cfRule type="cellIs" dxfId="375" priority="1305" operator="greaterThan">
      <formula>0.8</formula>
    </cfRule>
  </conditionalFormatting>
  <conditionalFormatting sqref="R337:R366 R284:R334 R391:R1048576">
    <cfRule type="notContainsText" dxfId="374" priority="1302" operator="notContains" text="Caida">
      <formula>ISERROR(SEARCH("Caida",R284))</formula>
    </cfRule>
    <cfRule type="containsText" dxfId="373" priority="1303" operator="containsText" text="Caida">
      <formula>NOT(ISERROR(SEARCH("Caida",R284)))</formula>
    </cfRule>
  </conditionalFormatting>
  <conditionalFormatting sqref="R22:T22">
    <cfRule type="containsText" dxfId="372" priority="1301" operator="containsText" text="Instaladas en Funcionamiento Caida">
      <formula>NOT(ISERROR(SEARCH("Instaladas en Funcionamiento Caida",R22)))</formula>
    </cfRule>
  </conditionalFormatting>
  <conditionalFormatting sqref="R282:T282">
    <cfRule type="cellIs" dxfId="371" priority="1299" operator="lessThan">
      <formula>0.8</formula>
    </cfRule>
    <cfRule type="cellIs" dxfId="370" priority="1300" operator="greaterThan">
      <formula>0.8</formula>
    </cfRule>
  </conditionalFormatting>
  <conditionalFormatting sqref="R282:T282">
    <cfRule type="notContainsText" dxfId="369" priority="1297" operator="notContains" text="Caida">
      <formula>ISERROR(SEARCH("Caida",R282))</formula>
    </cfRule>
    <cfRule type="containsText" dxfId="368" priority="1298" operator="containsText" text="Caida">
      <formula>NOT(ISERROR(SEARCH("Caida",R282)))</formula>
    </cfRule>
  </conditionalFormatting>
  <conditionalFormatting sqref="R283:T283">
    <cfRule type="cellIs" dxfId="367" priority="1295" operator="lessThan">
      <formula>0.8</formula>
    </cfRule>
    <cfRule type="cellIs" dxfId="366" priority="1296" operator="greaterThan">
      <formula>0.8</formula>
    </cfRule>
  </conditionalFormatting>
  <conditionalFormatting sqref="R283:T283">
    <cfRule type="notContainsText" dxfId="365" priority="1293" operator="notContains" text="Caida">
      <formula>ISERROR(SEARCH("Caida",R283))</formula>
    </cfRule>
    <cfRule type="containsText" dxfId="364" priority="1294" operator="containsText" text="Caida">
      <formula>NOT(ISERROR(SEARCH("Caida",R283)))</formula>
    </cfRule>
  </conditionalFormatting>
  <conditionalFormatting sqref="R5:T5">
    <cfRule type="cellIs" dxfId="363" priority="1291" operator="lessThan">
      <formula>0.8</formula>
    </cfRule>
    <cfRule type="cellIs" dxfId="362" priority="1292" operator="greaterThan">
      <formula>0.8</formula>
    </cfRule>
  </conditionalFormatting>
  <conditionalFormatting sqref="R5:T5">
    <cfRule type="notContainsText" dxfId="361" priority="1289" operator="notContains" text="Caida">
      <formula>ISERROR(SEARCH("Caida",R5))</formula>
    </cfRule>
    <cfRule type="containsText" dxfId="360" priority="1290" operator="containsText" text="Caida">
      <formula>NOT(ISERROR(SEARCH("Caida",R5)))</formula>
    </cfRule>
  </conditionalFormatting>
  <conditionalFormatting sqref="R231:T231">
    <cfRule type="cellIs" dxfId="359" priority="1287" operator="lessThan">
      <formula>0.8</formula>
    </cfRule>
    <cfRule type="cellIs" dxfId="358" priority="1288" operator="greaterThan">
      <formula>0.8</formula>
    </cfRule>
  </conditionalFormatting>
  <conditionalFormatting sqref="R231:T231">
    <cfRule type="notContainsText" dxfId="357" priority="1285" operator="notContains" text="Caida">
      <formula>ISERROR(SEARCH("Caida",R231))</formula>
    </cfRule>
    <cfRule type="containsText" dxfId="356" priority="1286" operator="containsText" text="Caida">
      <formula>NOT(ISERROR(SEARCH("Caida",R231)))</formula>
    </cfRule>
  </conditionalFormatting>
  <conditionalFormatting sqref="R232:T232">
    <cfRule type="cellIs" dxfId="355" priority="1283" operator="lessThan">
      <formula>0.8</formula>
    </cfRule>
    <cfRule type="cellIs" dxfId="354" priority="1284" operator="greaterThan">
      <formula>0.8</formula>
    </cfRule>
  </conditionalFormatting>
  <conditionalFormatting sqref="R232:T232">
    <cfRule type="notContainsText" dxfId="353" priority="1281" operator="notContains" text="Caida">
      <formula>ISERROR(SEARCH("Caida",R232))</formula>
    </cfRule>
    <cfRule type="containsText" dxfId="352" priority="1282" operator="containsText" text="Caida">
      <formula>NOT(ISERROR(SEARCH("Caida",R232)))</formula>
    </cfRule>
  </conditionalFormatting>
  <conditionalFormatting sqref="R233:T233">
    <cfRule type="cellIs" dxfId="351" priority="1279" operator="lessThan">
      <formula>0.8</formula>
    </cfRule>
    <cfRule type="cellIs" dxfId="350" priority="1280" operator="greaterThan">
      <formula>0.8</formula>
    </cfRule>
  </conditionalFormatting>
  <conditionalFormatting sqref="R233:T233">
    <cfRule type="notContainsText" dxfId="349" priority="1277" operator="notContains" text="Caida">
      <formula>ISERROR(SEARCH("Caida",R233))</formula>
    </cfRule>
    <cfRule type="containsText" dxfId="348" priority="1278" operator="containsText" text="Caida">
      <formula>NOT(ISERROR(SEARCH("Caida",R233)))</formula>
    </cfRule>
  </conditionalFormatting>
  <conditionalFormatting sqref="R234:T234">
    <cfRule type="cellIs" dxfId="347" priority="1275" operator="lessThan">
      <formula>0.8</formula>
    </cfRule>
    <cfRule type="cellIs" dxfId="346" priority="1276" operator="greaterThan">
      <formula>0.8</formula>
    </cfRule>
  </conditionalFormatting>
  <conditionalFormatting sqref="R234:T234">
    <cfRule type="notContainsText" dxfId="345" priority="1273" operator="notContains" text="Caida">
      <formula>ISERROR(SEARCH("Caida",R234))</formula>
    </cfRule>
    <cfRule type="containsText" dxfId="344" priority="1274" operator="containsText" text="Caida">
      <formula>NOT(ISERROR(SEARCH("Caida",R234)))</formula>
    </cfRule>
  </conditionalFormatting>
  <conditionalFormatting sqref="R235:T235">
    <cfRule type="cellIs" dxfId="343" priority="1271" operator="lessThan">
      <formula>0.8</formula>
    </cfRule>
    <cfRule type="cellIs" dxfId="342" priority="1272" operator="greaterThan">
      <formula>0.8</formula>
    </cfRule>
  </conditionalFormatting>
  <conditionalFormatting sqref="R235:T235">
    <cfRule type="notContainsText" dxfId="341" priority="1269" operator="notContains" text="Caida">
      <formula>ISERROR(SEARCH("Caida",R235))</formula>
    </cfRule>
    <cfRule type="containsText" dxfId="340" priority="1270" operator="containsText" text="Caida">
      <formula>NOT(ISERROR(SEARCH("Caida",R235)))</formula>
    </cfRule>
  </conditionalFormatting>
  <conditionalFormatting sqref="R335:T335">
    <cfRule type="cellIs" dxfId="339" priority="1267" operator="lessThan">
      <formula>0.8</formula>
    </cfRule>
    <cfRule type="cellIs" dxfId="338" priority="1268" operator="greaterThan">
      <formula>0.8</formula>
    </cfRule>
  </conditionalFormatting>
  <conditionalFormatting sqref="R335:T335">
    <cfRule type="notContainsText" dxfId="337" priority="1265" operator="notContains" text="Caida">
      <formula>ISERROR(SEARCH("Caida",R335))</formula>
    </cfRule>
    <cfRule type="containsText" dxfId="336" priority="1266" operator="containsText" text="Caida">
      <formula>NOT(ISERROR(SEARCH("Caida",R335)))</formula>
    </cfRule>
  </conditionalFormatting>
  <conditionalFormatting sqref="S391:S1048576">
    <cfRule type="notContainsText" dxfId="335" priority="1253" operator="notContains" text="Caida">
      <formula>ISERROR(SEARCH("Caida",S391))</formula>
    </cfRule>
    <cfRule type="containsText" dxfId="334" priority="1254" operator="containsText" text="Caida">
      <formula>NOT(ISERROR(SEARCH("Caida",S391)))</formula>
    </cfRule>
  </conditionalFormatting>
  <conditionalFormatting sqref="T391:T1048576">
    <cfRule type="notContainsText" dxfId="333" priority="1204" operator="notContains" text="Caida">
      <formula>ISERROR(SEARCH("Caida",T391))</formula>
    </cfRule>
    <cfRule type="containsText" dxfId="332" priority="1205" operator="containsText" text="Caida">
      <formula>NOT(ISERROR(SEARCH("Caida",T391)))</formula>
    </cfRule>
  </conditionalFormatting>
  <conditionalFormatting sqref="E92:K93">
    <cfRule type="containsText" dxfId="331" priority="1160" operator="containsText" text="Radio">
      <formula>NOT(ISERROR(SEARCH("Radio",E92)))</formula>
    </cfRule>
  </conditionalFormatting>
  <conditionalFormatting sqref="P93:P95">
    <cfRule type="cellIs" dxfId="330" priority="1130" operator="lessThan">
      <formula>0.8</formula>
    </cfRule>
    <cfRule type="cellIs" dxfId="329" priority="1131" operator="greaterThan">
      <formula>0.8</formula>
    </cfRule>
  </conditionalFormatting>
  <conditionalFormatting sqref="P93:P95">
    <cfRule type="notContainsText" dxfId="328" priority="1128" operator="notContains" text="Caida">
      <formula>ISERROR(SEARCH("Caida",P93))</formula>
    </cfRule>
    <cfRule type="containsText" dxfId="327" priority="1129" operator="containsText" text="Caida">
      <formula>NOT(ISERROR(SEARCH("Caida",P93)))</formula>
    </cfRule>
  </conditionalFormatting>
  <conditionalFormatting sqref="Q93:Q95">
    <cfRule type="cellIs" dxfId="326" priority="1126" operator="lessThan">
      <formula>0.8</formula>
    </cfRule>
    <cfRule type="cellIs" dxfId="325" priority="1127" operator="greaterThan">
      <formula>0.8</formula>
    </cfRule>
  </conditionalFormatting>
  <conditionalFormatting sqref="Q93:Q95">
    <cfRule type="notContainsText" dxfId="324" priority="1124" operator="notContains" text="Caida">
      <formula>ISERROR(SEARCH("Caida",Q93))</formula>
    </cfRule>
    <cfRule type="containsText" dxfId="323" priority="1125" operator="containsText" text="Caida">
      <formula>NOT(ISERROR(SEARCH("Caida",Q93)))</formula>
    </cfRule>
  </conditionalFormatting>
  <conditionalFormatting sqref="R93:R95">
    <cfRule type="cellIs" dxfId="322" priority="1122" operator="lessThan">
      <formula>0.8</formula>
    </cfRule>
    <cfRule type="cellIs" dxfId="321" priority="1123" operator="greaterThan">
      <formula>0.8</formula>
    </cfRule>
  </conditionalFormatting>
  <conditionalFormatting sqref="R93:R95">
    <cfRule type="notContainsText" dxfId="320" priority="1120" operator="notContains" text="Caida">
      <formula>ISERROR(SEARCH("Caida",R93))</formula>
    </cfRule>
    <cfRule type="containsText" dxfId="319" priority="1121" operator="containsText" text="Caida">
      <formula>NOT(ISERROR(SEARCH("Caida",R93)))</formula>
    </cfRule>
  </conditionalFormatting>
  <conditionalFormatting sqref="E365:K365">
    <cfRule type="containsText" dxfId="318" priority="1109" operator="containsText" text="Radio">
      <formula>NOT(ISERROR(SEARCH("Radio",E365)))</formula>
    </cfRule>
  </conditionalFormatting>
  <conditionalFormatting sqref="P367">
    <cfRule type="cellIs" dxfId="317" priority="1091" operator="lessThan">
      <formula>0.8</formula>
    </cfRule>
    <cfRule type="cellIs" dxfId="316" priority="1092" operator="greaterThan">
      <formula>0.8</formula>
    </cfRule>
  </conditionalFormatting>
  <conditionalFormatting sqref="P367">
    <cfRule type="notContainsText" dxfId="315" priority="1089" operator="notContains" text="Caida">
      <formula>ISERROR(SEARCH("Caida",P367))</formula>
    </cfRule>
    <cfRule type="containsText" dxfId="314" priority="1090" operator="containsText" text="Caida">
      <formula>NOT(ISERROR(SEARCH("Caida",P367)))</formula>
    </cfRule>
  </conditionalFormatting>
  <conditionalFormatting sqref="Q367">
    <cfRule type="cellIs" dxfId="313" priority="1087" operator="lessThan">
      <formula>0.8</formula>
    </cfRule>
    <cfRule type="cellIs" dxfId="312" priority="1088" operator="greaterThan">
      <formula>0.8</formula>
    </cfRule>
  </conditionalFormatting>
  <conditionalFormatting sqref="Q367">
    <cfRule type="notContainsText" dxfId="311" priority="1085" operator="notContains" text="Caida">
      <formula>ISERROR(SEARCH("Caida",Q367))</formula>
    </cfRule>
    <cfRule type="containsText" dxfId="310" priority="1086" operator="containsText" text="Caida">
      <formula>NOT(ISERROR(SEARCH("Caida",Q367)))</formula>
    </cfRule>
  </conditionalFormatting>
  <conditionalFormatting sqref="R367:T367">
    <cfRule type="cellIs" dxfId="309" priority="1083" operator="lessThan">
      <formula>0.8</formula>
    </cfRule>
    <cfRule type="cellIs" dxfId="308" priority="1084" operator="greaterThan">
      <formula>0.8</formula>
    </cfRule>
  </conditionalFormatting>
  <conditionalFormatting sqref="R367:T367">
    <cfRule type="notContainsText" dxfId="307" priority="1081" operator="notContains" text="Caida">
      <formula>ISERROR(SEARCH("Caida",R367))</formula>
    </cfRule>
    <cfRule type="containsText" dxfId="306" priority="1082" operator="containsText" text="Caida">
      <formula>NOT(ISERROR(SEARCH("Caida",R367)))</formula>
    </cfRule>
  </conditionalFormatting>
  <conditionalFormatting sqref="E366:K366">
    <cfRule type="containsText" dxfId="305" priority="1070" operator="containsText" text="Radio">
      <formula>NOT(ISERROR(SEARCH("Radio",E366)))</formula>
    </cfRule>
  </conditionalFormatting>
  <conditionalFormatting sqref="P368">
    <cfRule type="cellIs" dxfId="304" priority="1052" operator="lessThan">
      <formula>0.8</formula>
    </cfRule>
    <cfRule type="cellIs" dxfId="303" priority="1053" operator="greaterThan">
      <formula>0.8</formula>
    </cfRule>
  </conditionalFormatting>
  <conditionalFormatting sqref="P368">
    <cfRule type="notContainsText" dxfId="302" priority="1050" operator="notContains" text="Caida">
      <formula>ISERROR(SEARCH("Caida",P368))</formula>
    </cfRule>
    <cfRule type="containsText" dxfId="301" priority="1051" operator="containsText" text="Caida">
      <formula>NOT(ISERROR(SEARCH("Caida",P368)))</formula>
    </cfRule>
  </conditionalFormatting>
  <conditionalFormatting sqref="Q368">
    <cfRule type="cellIs" dxfId="300" priority="1048" operator="lessThan">
      <formula>0.8</formula>
    </cfRule>
    <cfRule type="cellIs" dxfId="299" priority="1049" operator="greaterThan">
      <formula>0.8</formula>
    </cfRule>
  </conditionalFormatting>
  <conditionalFormatting sqref="Q368">
    <cfRule type="notContainsText" dxfId="298" priority="1046" operator="notContains" text="Caida">
      <formula>ISERROR(SEARCH("Caida",Q368))</formula>
    </cfRule>
    <cfRule type="containsText" dxfId="297" priority="1047" operator="containsText" text="Caida">
      <formula>NOT(ISERROR(SEARCH("Caida",Q368)))</formula>
    </cfRule>
  </conditionalFormatting>
  <conditionalFormatting sqref="R368:T368">
    <cfRule type="cellIs" dxfId="296" priority="1044" operator="lessThan">
      <formula>0.8</formula>
    </cfRule>
    <cfRule type="cellIs" dxfId="295" priority="1045" operator="greaterThan">
      <formula>0.8</formula>
    </cfRule>
  </conditionalFormatting>
  <conditionalFormatting sqref="R368:T368">
    <cfRule type="notContainsText" dxfId="294" priority="1042" operator="notContains" text="Caida">
      <formula>ISERROR(SEARCH("Caida",R368))</formula>
    </cfRule>
    <cfRule type="containsText" dxfId="293" priority="1043" operator="containsText" text="Caida">
      <formula>NOT(ISERROR(SEARCH("Caida",R368)))</formula>
    </cfRule>
  </conditionalFormatting>
  <conditionalFormatting sqref="E367:K367">
    <cfRule type="containsText" dxfId="292" priority="1031" operator="containsText" text="Radio">
      <formula>NOT(ISERROR(SEARCH("Radio",E367)))</formula>
    </cfRule>
  </conditionalFormatting>
  <conditionalFormatting sqref="P369">
    <cfRule type="cellIs" dxfId="291" priority="1013" operator="lessThan">
      <formula>0.8</formula>
    </cfRule>
    <cfRule type="cellIs" dxfId="290" priority="1014" operator="greaterThan">
      <formula>0.8</formula>
    </cfRule>
  </conditionalFormatting>
  <conditionalFormatting sqref="P369">
    <cfRule type="notContainsText" dxfId="289" priority="1011" operator="notContains" text="Caida">
      <formula>ISERROR(SEARCH("Caida",P369))</formula>
    </cfRule>
    <cfRule type="containsText" dxfId="288" priority="1012" operator="containsText" text="Caida">
      <formula>NOT(ISERROR(SEARCH("Caida",P369)))</formula>
    </cfRule>
  </conditionalFormatting>
  <conditionalFormatting sqref="Q369">
    <cfRule type="cellIs" dxfId="287" priority="1009" operator="lessThan">
      <formula>0.8</formula>
    </cfRule>
    <cfRule type="cellIs" dxfId="286" priority="1010" operator="greaterThan">
      <formula>0.8</formula>
    </cfRule>
  </conditionalFormatting>
  <conditionalFormatting sqref="Q369">
    <cfRule type="notContainsText" dxfId="285" priority="1007" operator="notContains" text="Caida">
      <formula>ISERROR(SEARCH("Caida",Q369))</formula>
    </cfRule>
    <cfRule type="containsText" dxfId="284" priority="1008" operator="containsText" text="Caida">
      <formula>NOT(ISERROR(SEARCH("Caida",Q369)))</formula>
    </cfRule>
  </conditionalFormatting>
  <conditionalFormatting sqref="R369:T369">
    <cfRule type="cellIs" dxfId="283" priority="1005" operator="lessThan">
      <formula>0.8</formula>
    </cfRule>
    <cfRule type="cellIs" dxfId="282" priority="1006" operator="greaterThan">
      <formula>0.8</formula>
    </cfRule>
  </conditionalFormatting>
  <conditionalFormatting sqref="R369:T369">
    <cfRule type="notContainsText" dxfId="281" priority="1003" operator="notContains" text="Caida">
      <formula>ISERROR(SEARCH("Caida",R369))</formula>
    </cfRule>
    <cfRule type="containsText" dxfId="280" priority="1004" operator="containsText" text="Caida">
      <formula>NOT(ISERROR(SEARCH("Caida",R369)))</formula>
    </cfRule>
  </conditionalFormatting>
  <conditionalFormatting sqref="E368:K368">
    <cfRule type="containsText" dxfId="279" priority="992" operator="containsText" text="Radio">
      <formula>NOT(ISERROR(SEARCH("Radio",E368)))</formula>
    </cfRule>
  </conditionalFormatting>
  <conditionalFormatting sqref="U231">
    <cfRule type="cellIs" dxfId="278" priority="933" operator="lessThan">
      <formula>0.8</formula>
    </cfRule>
    <cfRule type="cellIs" dxfId="277" priority="934" operator="greaterThan">
      <formula>0.8</formula>
    </cfRule>
  </conditionalFormatting>
  <conditionalFormatting sqref="U231">
    <cfRule type="notContainsText" dxfId="276" priority="931" operator="notContains" text="Caida">
      <formula>ISERROR(SEARCH("Caida",U231))</formula>
    </cfRule>
    <cfRule type="containsText" dxfId="275" priority="932" operator="containsText" text="Caida">
      <formula>NOT(ISERROR(SEARCH("Caida",U231)))</formula>
    </cfRule>
  </conditionalFormatting>
  <conditionalFormatting sqref="U232">
    <cfRule type="cellIs" dxfId="274" priority="929" operator="lessThan">
      <formula>0.8</formula>
    </cfRule>
    <cfRule type="cellIs" dxfId="273" priority="930" operator="greaterThan">
      <formula>0.8</formula>
    </cfRule>
  </conditionalFormatting>
  <conditionalFormatting sqref="U232">
    <cfRule type="notContainsText" dxfId="272" priority="927" operator="notContains" text="Caida">
      <formula>ISERROR(SEARCH("Caida",U232))</formula>
    </cfRule>
    <cfRule type="containsText" dxfId="271" priority="928" operator="containsText" text="Caida">
      <formula>NOT(ISERROR(SEARCH("Caida",U232)))</formula>
    </cfRule>
  </conditionalFormatting>
  <conditionalFormatting sqref="P370:P372">
    <cfRule type="cellIs" dxfId="270" priority="974" operator="lessThan">
      <formula>0.8</formula>
    </cfRule>
    <cfRule type="cellIs" dxfId="269" priority="975" operator="greaterThan">
      <formula>0.8</formula>
    </cfRule>
  </conditionalFormatting>
  <conditionalFormatting sqref="P370:P372">
    <cfRule type="notContainsText" dxfId="268" priority="972" operator="notContains" text="Caida">
      <formula>ISERROR(SEARCH("Caida",P370))</formula>
    </cfRule>
    <cfRule type="containsText" dxfId="267" priority="973" operator="containsText" text="Caida">
      <formula>NOT(ISERROR(SEARCH("Caida",P370)))</formula>
    </cfRule>
  </conditionalFormatting>
  <conditionalFormatting sqref="Q370:Q372">
    <cfRule type="cellIs" dxfId="266" priority="970" operator="lessThan">
      <formula>0.8</formula>
    </cfRule>
    <cfRule type="cellIs" dxfId="265" priority="971" operator="greaterThan">
      <formula>0.8</formula>
    </cfRule>
  </conditionalFormatting>
  <conditionalFormatting sqref="Q370:Q372">
    <cfRule type="notContainsText" dxfId="264" priority="968" operator="notContains" text="Caida">
      <formula>ISERROR(SEARCH("Caida",Q370))</formula>
    </cfRule>
    <cfRule type="containsText" dxfId="263" priority="969" operator="containsText" text="Caida">
      <formula>NOT(ISERROR(SEARCH("Caida",Q370)))</formula>
    </cfRule>
  </conditionalFormatting>
  <conditionalFormatting sqref="R370:T370">
    <cfRule type="cellIs" dxfId="262" priority="966" operator="lessThan">
      <formula>0.8</formula>
    </cfRule>
    <cfRule type="cellIs" dxfId="261" priority="967" operator="greaterThan">
      <formula>0.8</formula>
    </cfRule>
  </conditionalFormatting>
  <conditionalFormatting sqref="R370:T370">
    <cfRule type="notContainsText" dxfId="260" priority="964" operator="notContains" text="Caida">
      <formula>ISERROR(SEARCH("Caida",R370))</formula>
    </cfRule>
    <cfRule type="containsText" dxfId="259" priority="965" operator="containsText" text="Caida">
      <formula>NOT(ISERROR(SEARCH("Caida",R370)))</formula>
    </cfRule>
  </conditionalFormatting>
  <conditionalFormatting sqref="U368">
    <cfRule type="cellIs" dxfId="258" priority="897" operator="lessThan">
      <formula>0.8</formula>
    </cfRule>
    <cfRule type="cellIs" dxfId="257" priority="898" operator="greaterThan">
      <formula>0.8</formula>
    </cfRule>
  </conditionalFormatting>
  <conditionalFormatting sqref="U368">
    <cfRule type="notContainsText" dxfId="256" priority="895" operator="notContains" text="Caida">
      <formula>ISERROR(SEARCH("Caida",U368))</formula>
    </cfRule>
    <cfRule type="containsText" dxfId="255" priority="896" operator="containsText" text="Caida">
      <formula>NOT(ISERROR(SEARCH("Caida",U368)))</formula>
    </cfRule>
  </conditionalFormatting>
  <conditionalFormatting sqref="U369">
    <cfRule type="cellIs" dxfId="254" priority="893" operator="lessThan">
      <formula>0.8</formula>
    </cfRule>
    <cfRule type="cellIs" dxfId="253" priority="894" operator="greaterThan">
      <formula>0.8</formula>
    </cfRule>
  </conditionalFormatting>
  <conditionalFormatting sqref="U369">
    <cfRule type="notContainsText" dxfId="252" priority="891" operator="notContains" text="Caida">
      <formula>ISERROR(SEARCH("Caida",U369))</formula>
    </cfRule>
    <cfRule type="containsText" dxfId="251" priority="892" operator="containsText" text="Caida">
      <formula>NOT(ISERROR(SEARCH("Caida",U369)))</formula>
    </cfRule>
  </conditionalFormatting>
  <conditionalFormatting sqref="U370:U372">
    <cfRule type="cellIs" dxfId="250" priority="889" operator="lessThan">
      <formula>0.8</formula>
    </cfRule>
    <cfRule type="cellIs" dxfId="249" priority="890" operator="greaterThan">
      <formula>0.8</formula>
    </cfRule>
  </conditionalFormatting>
  <conditionalFormatting sqref="U370:U372">
    <cfRule type="notContainsText" dxfId="248" priority="887" operator="notContains" text="Caida">
      <formula>ISERROR(SEARCH("Caida",U370))</formula>
    </cfRule>
    <cfRule type="containsText" dxfId="247" priority="888" operator="containsText" text="Caida">
      <formula>NOT(ISERROR(SEARCH("Caida",U370)))</formula>
    </cfRule>
  </conditionalFormatting>
  <conditionalFormatting sqref="U6:U92 U96:U230">
    <cfRule type="cellIs" dxfId="246" priority="954" operator="lessThan">
      <formula>0.8</formula>
    </cfRule>
    <cfRule type="cellIs" dxfId="245" priority="955" operator="greaterThan">
      <formula>0.8</formula>
    </cfRule>
  </conditionalFormatting>
  <conditionalFormatting sqref="U6:U92 U96:U230">
    <cfRule type="notContainsText" dxfId="244" priority="952" operator="notContains" text="Caida">
      <formula>ISERROR(SEARCH("Caida",U6))</formula>
    </cfRule>
    <cfRule type="containsText" dxfId="243" priority="953" operator="containsText" text="Caida">
      <formula>NOT(ISERROR(SEARCH("Caida",U6)))</formula>
    </cfRule>
  </conditionalFormatting>
  <conditionalFormatting sqref="U336">
    <cfRule type="cellIs" dxfId="242" priority="909" operator="lessThan">
      <formula>0.8</formula>
    </cfRule>
    <cfRule type="cellIs" dxfId="241" priority="910" operator="greaterThan">
      <formula>0.8</formula>
    </cfRule>
  </conditionalFormatting>
  <conditionalFormatting sqref="U336">
    <cfRule type="notContainsText" dxfId="240" priority="907" operator="notContains" text="Caida">
      <formula>ISERROR(SEARCH("Caida",U336))</formula>
    </cfRule>
    <cfRule type="containsText" dxfId="239" priority="908" operator="containsText" text="Caida">
      <formula>NOT(ISERROR(SEARCH("Caida",U336)))</formula>
    </cfRule>
  </conditionalFormatting>
  <conditionalFormatting sqref="U337:U366 U284:U334">
    <cfRule type="cellIs" dxfId="238" priority="950" operator="lessThan">
      <formula>0.8</formula>
    </cfRule>
    <cfRule type="cellIs" dxfId="237" priority="951" operator="greaterThan">
      <formula>0.8</formula>
    </cfRule>
  </conditionalFormatting>
  <conditionalFormatting sqref="U337:U366 U284:U334 U391:U1048576">
    <cfRule type="notContainsText" dxfId="236" priority="948" operator="notContains" text="Caida">
      <formula>ISERROR(SEARCH("Caida",U284))</formula>
    </cfRule>
    <cfRule type="containsText" dxfId="235" priority="949" operator="containsText" text="Caida">
      <formula>NOT(ISERROR(SEARCH("Caida",U284)))</formula>
    </cfRule>
  </conditionalFormatting>
  <conditionalFormatting sqref="U22">
    <cfRule type="containsText" dxfId="234" priority="947" operator="containsText" text="Instaladas en Funcionamiento Caida">
      <formula>NOT(ISERROR(SEARCH("Instaladas en Funcionamiento Caida",U22)))</formula>
    </cfRule>
  </conditionalFormatting>
  <conditionalFormatting sqref="U282">
    <cfRule type="cellIs" dxfId="233" priority="945" operator="lessThan">
      <formula>0.8</formula>
    </cfRule>
    <cfRule type="cellIs" dxfId="232" priority="946" operator="greaterThan">
      <formula>0.8</formula>
    </cfRule>
  </conditionalFormatting>
  <conditionalFormatting sqref="U282">
    <cfRule type="notContainsText" dxfId="231" priority="943" operator="notContains" text="Caida">
      <formula>ISERROR(SEARCH("Caida",U282))</formula>
    </cfRule>
    <cfRule type="containsText" dxfId="230" priority="944" operator="containsText" text="Caida">
      <formula>NOT(ISERROR(SEARCH("Caida",U282)))</formula>
    </cfRule>
  </conditionalFormatting>
  <conditionalFormatting sqref="U283">
    <cfRule type="cellIs" dxfId="229" priority="941" operator="lessThan">
      <formula>0.8</formula>
    </cfRule>
    <cfRule type="cellIs" dxfId="228" priority="942" operator="greaterThan">
      <formula>0.8</formula>
    </cfRule>
  </conditionalFormatting>
  <conditionalFormatting sqref="U283">
    <cfRule type="notContainsText" dxfId="227" priority="939" operator="notContains" text="Caida">
      <formula>ISERROR(SEARCH("Caida",U283))</formula>
    </cfRule>
    <cfRule type="containsText" dxfId="226" priority="940" operator="containsText" text="Caida">
      <formula>NOT(ISERROR(SEARCH("Caida",U283)))</formula>
    </cfRule>
  </conditionalFormatting>
  <conditionalFormatting sqref="U5">
    <cfRule type="cellIs" dxfId="225" priority="937" operator="lessThan">
      <formula>0.8</formula>
    </cfRule>
    <cfRule type="cellIs" dxfId="224" priority="938" operator="greaterThan">
      <formula>0.8</formula>
    </cfRule>
  </conditionalFormatting>
  <conditionalFormatting sqref="U5">
    <cfRule type="notContainsText" dxfId="223" priority="935" operator="notContains" text="Caida">
      <formula>ISERROR(SEARCH("Caida",U5))</formula>
    </cfRule>
    <cfRule type="containsText" dxfId="222" priority="936" operator="containsText" text="Caida">
      <formula>NOT(ISERROR(SEARCH("Caida",U5)))</formula>
    </cfRule>
  </conditionalFormatting>
  <conditionalFormatting sqref="U233">
    <cfRule type="cellIs" dxfId="221" priority="925" operator="lessThan">
      <formula>0.8</formula>
    </cfRule>
    <cfRule type="cellIs" dxfId="220" priority="926" operator="greaterThan">
      <formula>0.8</formula>
    </cfRule>
  </conditionalFormatting>
  <conditionalFormatting sqref="U233">
    <cfRule type="notContainsText" dxfId="219" priority="923" operator="notContains" text="Caida">
      <formula>ISERROR(SEARCH("Caida",U233))</formula>
    </cfRule>
    <cfRule type="containsText" dxfId="218" priority="924" operator="containsText" text="Caida">
      <formula>NOT(ISERROR(SEARCH("Caida",U233)))</formula>
    </cfRule>
  </conditionalFormatting>
  <conditionalFormatting sqref="U234">
    <cfRule type="cellIs" dxfId="217" priority="921" operator="lessThan">
      <formula>0.8</formula>
    </cfRule>
    <cfRule type="cellIs" dxfId="216" priority="922" operator="greaterThan">
      <formula>0.8</formula>
    </cfRule>
  </conditionalFormatting>
  <conditionalFormatting sqref="U234">
    <cfRule type="notContainsText" dxfId="215" priority="919" operator="notContains" text="Caida">
      <formula>ISERROR(SEARCH("Caida",U234))</formula>
    </cfRule>
    <cfRule type="containsText" dxfId="214" priority="920" operator="containsText" text="Caida">
      <formula>NOT(ISERROR(SEARCH("Caida",U234)))</formula>
    </cfRule>
  </conditionalFormatting>
  <conditionalFormatting sqref="U235">
    <cfRule type="cellIs" dxfId="213" priority="917" operator="lessThan">
      <formula>0.8</formula>
    </cfRule>
    <cfRule type="cellIs" dxfId="212" priority="918" operator="greaterThan">
      <formula>0.8</formula>
    </cfRule>
  </conditionalFormatting>
  <conditionalFormatting sqref="U235">
    <cfRule type="notContainsText" dxfId="211" priority="915" operator="notContains" text="Caida">
      <formula>ISERROR(SEARCH("Caida",U235))</formula>
    </cfRule>
    <cfRule type="containsText" dxfId="210" priority="916" operator="containsText" text="Caida">
      <formula>NOT(ISERROR(SEARCH("Caida",U235)))</formula>
    </cfRule>
  </conditionalFormatting>
  <conditionalFormatting sqref="U335">
    <cfRule type="cellIs" dxfId="209" priority="913" operator="lessThan">
      <formula>0.8</formula>
    </cfRule>
    <cfRule type="cellIs" dxfId="208" priority="914" operator="greaterThan">
      <formula>0.8</formula>
    </cfRule>
  </conditionalFormatting>
  <conditionalFormatting sqref="U335">
    <cfRule type="notContainsText" dxfId="207" priority="911" operator="notContains" text="Caida">
      <formula>ISERROR(SEARCH("Caida",U335))</formula>
    </cfRule>
    <cfRule type="containsText" dxfId="206" priority="912" operator="containsText" text="Caida">
      <formula>NOT(ISERROR(SEARCH("Caida",U335)))</formula>
    </cfRule>
  </conditionalFormatting>
  <conditionalFormatting sqref="U93:U95">
    <cfRule type="cellIs" dxfId="205" priority="905" operator="lessThan">
      <formula>0.8</formula>
    </cfRule>
    <cfRule type="cellIs" dxfId="204" priority="906" operator="greaterThan">
      <formula>0.8</formula>
    </cfRule>
  </conditionalFormatting>
  <conditionalFormatting sqref="U93:U95">
    <cfRule type="notContainsText" dxfId="203" priority="903" operator="notContains" text="Caida">
      <formula>ISERROR(SEARCH("Caida",U93))</formula>
    </cfRule>
    <cfRule type="containsText" dxfId="202" priority="904" operator="containsText" text="Caida">
      <formula>NOT(ISERROR(SEARCH("Caida",U93)))</formula>
    </cfRule>
  </conditionalFormatting>
  <conditionalFormatting sqref="U367">
    <cfRule type="cellIs" dxfId="201" priority="901" operator="lessThan">
      <formula>0.8</formula>
    </cfRule>
    <cfRule type="cellIs" dxfId="200" priority="902" operator="greaterThan">
      <formula>0.8</formula>
    </cfRule>
  </conditionalFormatting>
  <conditionalFormatting sqref="U367">
    <cfRule type="notContainsText" dxfId="199" priority="899" operator="notContains" text="Caida">
      <formula>ISERROR(SEARCH("Caida",U367))</formula>
    </cfRule>
    <cfRule type="containsText" dxfId="198" priority="900" operator="containsText" text="Caida">
      <formula>NOT(ISERROR(SEARCH("Caida",U367)))</formula>
    </cfRule>
  </conditionalFormatting>
  <conditionalFormatting sqref="V6:X92">
    <cfRule type="cellIs" dxfId="197" priority="885" operator="lessThan">
      <formula>0.8</formula>
    </cfRule>
    <cfRule type="cellIs" dxfId="196" priority="886" operator="greaterThan">
      <formula>0.8</formula>
    </cfRule>
  </conditionalFormatting>
  <conditionalFormatting sqref="V6:X92">
    <cfRule type="notContainsText" dxfId="195" priority="883" operator="notContains" text="Caida">
      <formula>ISERROR(SEARCH("Caida",V6))</formula>
    </cfRule>
    <cfRule type="containsText" dxfId="194" priority="884" operator="containsText" text="Caida">
      <formula>NOT(ISERROR(SEARCH("Caida",V6)))</formula>
    </cfRule>
  </conditionalFormatting>
  <conditionalFormatting sqref="V22:AJ22">
    <cfRule type="containsText" dxfId="193" priority="882" operator="containsText" text="Instaladas en Funcionamiento Caida">
      <formula>NOT(ISERROR(SEARCH("Instaladas en Funcionamiento Caida",V22)))</formula>
    </cfRule>
  </conditionalFormatting>
  <conditionalFormatting sqref="V5:AJ5">
    <cfRule type="cellIs" dxfId="192" priority="880" operator="lessThan">
      <formula>0.8</formula>
    </cfRule>
    <cfRule type="cellIs" dxfId="191" priority="881" operator="greaterThan">
      <formula>0.8</formula>
    </cfRule>
  </conditionalFormatting>
  <conditionalFormatting sqref="V5:AJ5">
    <cfRule type="notContainsText" dxfId="190" priority="878" operator="notContains" text="Caida">
      <formula>ISERROR(SEARCH("Caida",V5))</formula>
    </cfRule>
    <cfRule type="containsText" dxfId="189" priority="879" operator="containsText" text="Caida">
      <formula>NOT(ISERROR(SEARCH("Caida",V5)))</formula>
    </cfRule>
  </conditionalFormatting>
  <conditionalFormatting sqref="V93:X95">
    <cfRule type="cellIs" dxfId="188" priority="876" operator="lessThan">
      <formula>0.8</formula>
    </cfRule>
    <cfRule type="cellIs" dxfId="187" priority="877" operator="greaterThan">
      <formula>0.8</formula>
    </cfRule>
  </conditionalFormatting>
  <conditionalFormatting sqref="V93:X95">
    <cfRule type="notContainsText" dxfId="186" priority="874" operator="notContains" text="Caida">
      <formula>ISERROR(SEARCH("Caida",V93))</formula>
    </cfRule>
    <cfRule type="containsText" dxfId="185" priority="875" operator="containsText" text="Caida">
      <formula>NOT(ISERROR(SEARCH("Caida",V93)))</formula>
    </cfRule>
  </conditionalFormatting>
  <conditionalFormatting sqref="E1:E372 E391:E1048576">
    <cfRule type="containsText" dxfId="184" priority="734" operator="containsText" text="fija">
      <formula>NOT(ISERROR(SEARCH("fija",E1)))</formula>
    </cfRule>
    <cfRule type="containsText" dxfId="183" priority="735" operator="containsText" text="domo">
      <formula>NOT(ISERROR(SEARCH("domo",E1)))</formula>
    </cfRule>
  </conditionalFormatting>
  <conditionalFormatting sqref="AK6:AP92">
    <cfRule type="cellIs" dxfId="182" priority="710" operator="lessThan">
      <formula>0.8</formula>
    </cfRule>
    <cfRule type="cellIs" dxfId="181" priority="711" operator="greaterThan">
      <formula>0.8</formula>
    </cfRule>
  </conditionalFormatting>
  <conditionalFormatting sqref="AK6:AP92">
    <cfRule type="notContainsText" dxfId="180" priority="708" operator="notContains" text="Caida">
      <formula>ISERROR(SEARCH("Caida",AK6))</formula>
    </cfRule>
    <cfRule type="containsText" dxfId="179" priority="709" operator="containsText" text="Caida">
      <formula>NOT(ISERROR(SEARCH("Caida",AK6)))</formula>
    </cfRule>
  </conditionalFormatting>
  <conditionalFormatting sqref="AK22:AR22">
    <cfRule type="containsText" dxfId="178" priority="707" operator="containsText" text="Instaladas en Funcionamiento Caida">
      <formula>NOT(ISERROR(SEARCH("Instaladas en Funcionamiento Caida",AK22)))</formula>
    </cfRule>
  </conditionalFormatting>
  <conditionalFormatting sqref="AK5:AR5">
    <cfRule type="cellIs" dxfId="177" priority="705" operator="lessThan">
      <formula>0.8</formula>
    </cfRule>
    <cfRule type="cellIs" dxfId="176" priority="706" operator="greaterThan">
      <formula>0.8</formula>
    </cfRule>
  </conditionalFormatting>
  <conditionalFormatting sqref="AK5:AR5">
    <cfRule type="notContainsText" dxfId="175" priority="703" operator="notContains" text="Caida">
      <formula>ISERROR(SEARCH("Caida",AK5))</formula>
    </cfRule>
    <cfRule type="containsText" dxfId="174" priority="704" operator="containsText" text="Caida">
      <formula>NOT(ISERROR(SEARCH("Caida",AK5)))</formula>
    </cfRule>
  </conditionalFormatting>
  <conditionalFormatting sqref="AK93:AP94">
    <cfRule type="cellIs" dxfId="173" priority="701" operator="lessThan">
      <formula>0.8</formula>
    </cfRule>
    <cfRule type="cellIs" dxfId="172" priority="702" operator="greaterThan">
      <formula>0.8</formula>
    </cfRule>
  </conditionalFormatting>
  <conditionalFormatting sqref="AK93:AP94">
    <cfRule type="notContainsText" dxfId="171" priority="699" operator="notContains" text="Caida">
      <formula>ISERROR(SEARCH("Caida",AK93))</formula>
    </cfRule>
    <cfRule type="containsText" dxfId="170" priority="700" operator="containsText" text="Caida">
      <formula>NOT(ISERROR(SEARCH("Caida",AK93)))</formula>
    </cfRule>
  </conditionalFormatting>
  <conditionalFormatting sqref="O247:O372 O5:AJ369 AK1:AR1 AK391:AR1048576 AK5:AR372">
    <cfRule type="cellIs" dxfId="169" priority="698" operator="equal">
      <formula>"APAGADO"</formula>
    </cfRule>
  </conditionalFormatting>
  <conditionalFormatting sqref="S6:S92 S96:S230">
    <cfRule type="cellIs" dxfId="168" priority="682" operator="lessThan">
      <formula>0.8</formula>
    </cfRule>
    <cfRule type="cellIs" dxfId="167" priority="683" operator="greaterThan">
      <formula>0.8</formula>
    </cfRule>
  </conditionalFormatting>
  <conditionalFormatting sqref="S6:S92 S96:S230">
    <cfRule type="notContainsText" dxfId="166" priority="680" operator="notContains" text="Caida">
      <formula>ISERROR(SEARCH("Caida",S6))</formula>
    </cfRule>
    <cfRule type="containsText" dxfId="165" priority="681" operator="containsText" text="Caida">
      <formula>NOT(ISERROR(SEARCH("Caida",S6)))</formula>
    </cfRule>
  </conditionalFormatting>
  <conditionalFormatting sqref="S337:S366 S284:S334">
    <cfRule type="cellIs" dxfId="164" priority="678" operator="lessThan">
      <formula>0.8</formula>
    </cfRule>
    <cfRule type="cellIs" dxfId="163" priority="679" operator="greaterThan">
      <formula>0.8</formula>
    </cfRule>
  </conditionalFormatting>
  <conditionalFormatting sqref="S337:S366 S284:S334">
    <cfRule type="notContainsText" dxfId="162" priority="676" operator="notContains" text="Caida">
      <formula>ISERROR(SEARCH("Caida",S284))</formula>
    </cfRule>
    <cfRule type="containsText" dxfId="161" priority="677" operator="containsText" text="Caida">
      <formula>NOT(ISERROR(SEARCH("Caida",S284)))</formula>
    </cfRule>
  </conditionalFormatting>
  <conditionalFormatting sqref="S93:S95">
    <cfRule type="cellIs" dxfId="160" priority="674" operator="lessThan">
      <formula>0.8</formula>
    </cfRule>
    <cfRule type="cellIs" dxfId="159" priority="675" operator="greaterThan">
      <formula>0.8</formula>
    </cfRule>
  </conditionalFormatting>
  <conditionalFormatting sqref="S93:S95">
    <cfRule type="notContainsText" dxfId="158" priority="672" operator="notContains" text="Caida">
      <formula>ISERROR(SEARCH("Caida",S93))</formula>
    </cfRule>
    <cfRule type="containsText" dxfId="157" priority="673" operator="containsText" text="Caida">
      <formula>NOT(ISERROR(SEARCH("Caida",S93)))</formula>
    </cfRule>
  </conditionalFormatting>
  <conditionalFormatting sqref="T6:T92 T96:T230">
    <cfRule type="cellIs" dxfId="156" priority="670" operator="lessThan">
      <formula>0.8</formula>
    </cfRule>
    <cfRule type="cellIs" dxfId="155" priority="671" operator="greaterThan">
      <formula>0.8</formula>
    </cfRule>
  </conditionalFormatting>
  <conditionalFormatting sqref="T6:T92 T96:T230">
    <cfRule type="notContainsText" dxfId="154" priority="668" operator="notContains" text="Caida">
      <formula>ISERROR(SEARCH("Caida",T6))</formula>
    </cfRule>
    <cfRule type="containsText" dxfId="153" priority="669" operator="containsText" text="Caida">
      <formula>NOT(ISERROR(SEARCH("Caida",T6)))</formula>
    </cfRule>
  </conditionalFormatting>
  <conditionalFormatting sqref="T337:T366 T284:T334">
    <cfRule type="cellIs" dxfId="152" priority="666" operator="lessThan">
      <formula>0.8</formula>
    </cfRule>
    <cfRule type="cellIs" dxfId="151" priority="667" operator="greaterThan">
      <formula>0.8</formula>
    </cfRule>
  </conditionalFormatting>
  <conditionalFormatting sqref="T337:T366 T284:T334">
    <cfRule type="notContainsText" dxfId="150" priority="664" operator="notContains" text="Caida">
      <formula>ISERROR(SEARCH("Caida",T284))</formula>
    </cfRule>
    <cfRule type="containsText" dxfId="149" priority="665" operator="containsText" text="Caida">
      <formula>NOT(ISERROR(SEARCH("Caida",T284)))</formula>
    </cfRule>
  </conditionalFormatting>
  <conditionalFormatting sqref="T93:T95">
    <cfRule type="cellIs" dxfId="148" priority="662" operator="lessThan">
      <formula>0.8</formula>
    </cfRule>
    <cfRule type="cellIs" dxfId="147" priority="663" operator="greaterThan">
      <formula>0.8</formula>
    </cfRule>
  </conditionalFormatting>
  <conditionalFormatting sqref="T93:T95">
    <cfRule type="notContainsText" dxfId="146" priority="660" operator="notContains" text="Caida">
      <formula>ISERROR(SEARCH("Caida",T93))</formula>
    </cfRule>
    <cfRule type="containsText" dxfId="145" priority="661" operator="containsText" text="Caida">
      <formula>NOT(ISERROR(SEARCH("Caida",T93)))</formula>
    </cfRule>
  </conditionalFormatting>
  <conditionalFormatting sqref="F1:F372 F391:F1048576">
    <cfRule type="cellIs" dxfId="144" priority="589" operator="equal">
      <formula>"PTP A FO"</formula>
    </cfRule>
  </conditionalFormatting>
  <conditionalFormatting sqref="R371:T372">
    <cfRule type="cellIs" dxfId="143" priority="218" operator="lessThan">
      <formula>0.8</formula>
    </cfRule>
    <cfRule type="cellIs" dxfId="142" priority="219" operator="greaterThan">
      <formula>0.8</formula>
    </cfRule>
  </conditionalFormatting>
  <conditionalFormatting sqref="R371:T372">
    <cfRule type="notContainsText" dxfId="141" priority="216" operator="notContains" text="Caida">
      <formula>ISERROR(SEARCH("Caida",R371))</formula>
    </cfRule>
    <cfRule type="containsText" dxfId="140" priority="217" operator="containsText" text="Caida">
      <formula>NOT(ISERROR(SEARCH("Caida",R371)))</formula>
    </cfRule>
  </conditionalFormatting>
  <conditionalFormatting sqref="O6:O92">
    <cfRule type="cellIs" dxfId="139" priority="206" operator="lessThan">
      <formula>0.8</formula>
    </cfRule>
    <cfRule type="cellIs" dxfId="138" priority="207" operator="greaterThan">
      <formula>0.8</formula>
    </cfRule>
  </conditionalFormatting>
  <conditionalFormatting sqref="O6:O92">
    <cfRule type="notContainsText" dxfId="137" priority="204" operator="notContains" text="Caida">
      <formula>ISERROR(SEARCH("Caida",O6))</formula>
    </cfRule>
    <cfRule type="containsText" dxfId="136" priority="205" operator="containsText" text="Caida">
      <formula>NOT(ISERROR(SEARCH("Caida",O6)))</formula>
    </cfRule>
  </conditionalFormatting>
  <conditionalFormatting sqref="O22">
    <cfRule type="containsText" dxfId="135" priority="203" operator="containsText" text="Instaladas en Funcionamiento Caida">
      <formula>NOT(ISERROR(SEARCH("Instaladas en Funcionamiento Caida",O22)))</formula>
    </cfRule>
  </conditionalFormatting>
  <conditionalFormatting sqref="O5">
    <cfRule type="cellIs" dxfId="134" priority="201" operator="lessThan">
      <formula>0.8</formula>
    </cfRule>
    <cfRule type="cellIs" dxfId="133" priority="202" operator="greaterThan">
      <formula>0.8</formula>
    </cfRule>
  </conditionalFormatting>
  <conditionalFormatting sqref="O5">
    <cfRule type="notContainsText" dxfId="132" priority="199" operator="notContains" text="Caida">
      <formula>ISERROR(SEARCH("Caida",O5))</formula>
    </cfRule>
    <cfRule type="containsText" dxfId="131" priority="200" operator="containsText" text="Caida">
      <formula>NOT(ISERROR(SEARCH("Caida",O5)))</formula>
    </cfRule>
  </conditionalFormatting>
  <conditionalFormatting sqref="O93:O94">
    <cfRule type="cellIs" dxfId="130" priority="197" operator="lessThan">
      <formula>0.8</formula>
    </cfRule>
    <cfRule type="cellIs" dxfId="129" priority="198" operator="greaterThan">
      <formula>0.8</formula>
    </cfRule>
  </conditionalFormatting>
  <conditionalFormatting sqref="O93:O94">
    <cfRule type="notContainsText" dxfId="128" priority="195" operator="notContains" text="Caida">
      <formula>ISERROR(SEARCH("Caida",O93))</formula>
    </cfRule>
    <cfRule type="containsText" dxfId="127" priority="196" operator="containsText" text="Caida">
      <formula>NOT(ISERROR(SEARCH("Caida",O93)))</formula>
    </cfRule>
  </conditionalFormatting>
  <conditionalFormatting sqref="AR6:AR92">
    <cfRule type="cellIs" dxfId="126" priority="188" operator="lessThan">
      <formula>0.8</formula>
    </cfRule>
    <cfRule type="cellIs" dxfId="125" priority="189" operator="greaterThan">
      <formula>0.8</formula>
    </cfRule>
  </conditionalFormatting>
  <conditionalFormatting sqref="AR6:AR92">
    <cfRule type="notContainsText" dxfId="124" priority="186" operator="notContains" text="Caida">
      <formula>ISERROR(SEARCH("Caida",AR6))</formula>
    </cfRule>
    <cfRule type="containsText" dxfId="123" priority="187" operator="containsText" text="Caida">
      <formula>NOT(ISERROR(SEARCH("Caida",AR6)))</formula>
    </cfRule>
  </conditionalFormatting>
  <conditionalFormatting sqref="AR93:AR94">
    <cfRule type="cellIs" dxfId="122" priority="184" operator="lessThan">
      <formula>0.8</formula>
    </cfRule>
    <cfRule type="cellIs" dxfId="121" priority="185" operator="greaterThan">
      <formula>0.8</formula>
    </cfRule>
  </conditionalFormatting>
  <conditionalFormatting sqref="AR93:AR94">
    <cfRule type="notContainsText" dxfId="120" priority="182" operator="notContains" text="Caida">
      <formula>ISERROR(SEARCH("Caida",AR93))</formula>
    </cfRule>
    <cfRule type="containsText" dxfId="119" priority="183" operator="containsText" text="Caida">
      <formula>NOT(ISERROR(SEARCH("Caida",AR93)))</formula>
    </cfRule>
  </conditionalFormatting>
  <conditionalFormatting sqref="Y6:AF92">
    <cfRule type="cellIs" dxfId="118" priority="123" operator="lessThan">
      <formula>0.8</formula>
    </cfRule>
    <cfRule type="cellIs" dxfId="117" priority="124" operator="greaterThan">
      <formula>0.8</formula>
    </cfRule>
  </conditionalFormatting>
  <conditionalFormatting sqref="Y6:AF92">
    <cfRule type="notContainsText" dxfId="116" priority="121" operator="notContains" text="Caida">
      <formula>ISERROR(SEARCH("Caida",Y6))</formula>
    </cfRule>
    <cfRule type="containsText" dxfId="115" priority="122" operator="containsText" text="Caida">
      <formula>NOT(ISERROR(SEARCH("Caida",Y6)))</formula>
    </cfRule>
  </conditionalFormatting>
  <conditionalFormatting sqref="Y93:AF95">
    <cfRule type="cellIs" dxfId="114" priority="119" operator="lessThan">
      <formula>0.8</formula>
    </cfRule>
    <cfRule type="cellIs" dxfId="113" priority="120" operator="greaterThan">
      <formula>0.8</formula>
    </cfRule>
  </conditionalFormatting>
  <conditionalFormatting sqref="Y93:AF95">
    <cfRule type="notContainsText" dxfId="112" priority="117" operator="notContains" text="Caida">
      <formula>ISERROR(SEARCH("Caida",Y93))</formula>
    </cfRule>
    <cfRule type="containsText" dxfId="111" priority="118" operator="containsText" text="Caida">
      <formula>NOT(ISERROR(SEARCH("Caida",Y93)))</formula>
    </cfRule>
  </conditionalFormatting>
  <conditionalFormatting sqref="AF1:AF3 AF5:AF376 AF378:AF1048576">
    <cfRule type="cellIs" dxfId="110" priority="116" operator="equal">
      <formula>"apagado"</formula>
    </cfRule>
  </conditionalFormatting>
  <conditionalFormatting sqref="AE1:AE3 AE5:AE376 AE378:AE1048576">
    <cfRule type="cellIs" dxfId="109" priority="115" operator="equal">
      <formula>"apagado"</formula>
    </cfRule>
  </conditionalFormatting>
  <conditionalFormatting sqref="AD1:AD3 AD5:AD376 AD378:AD1048576">
    <cfRule type="cellIs" dxfId="108" priority="114" operator="equal">
      <formula>"apagado"</formula>
    </cfRule>
  </conditionalFormatting>
  <conditionalFormatting sqref="AC1:AC3 AC5:AC376 AC378:AC1048576">
    <cfRule type="cellIs" dxfId="107" priority="113" operator="equal">
      <formula>"apagado"</formula>
    </cfRule>
  </conditionalFormatting>
  <conditionalFormatting sqref="AB1:AB3 AB5:AB376 AB378:AB1048576">
    <cfRule type="cellIs" dxfId="106" priority="112" operator="equal">
      <formula>"apagado"</formula>
    </cfRule>
  </conditionalFormatting>
  <conditionalFormatting sqref="AA1:AA3 AA5:AA376 AA378:AA1048576">
    <cfRule type="cellIs" dxfId="105" priority="111" operator="equal">
      <formula>"apagado"</formula>
    </cfRule>
  </conditionalFormatting>
  <conditionalFormatting sqref="Z1:Z3 Z5:Z376 Z378:Z1048576">
    <cfRule type="cellIs" dxfId="104" priority="110" operator="equal">
      <formula>"apagado"</formula>
    </cfRule>
  </conditionalFormatting>
  <conditionalFormatting sqref="Y1:Y3 Y5:Y376 Y378:Y1048576">
    <cfRule type="cellIs" dxfId="103" priority="109" operator="equal">
      <formula>"apagado"</formula>
    </cfRule>
  </conditionalFormatting>
  <conditionalFormatting sqref="AG6:AG92">
    <cfRule type="cellIs" dxfId="102" priority="107" operator="lessThan">
      <formula>0.8</formula>
    </cfRule>
    <cfRule type="cellIs" dxfId="101" priority="108" operator="greaterThan">
      <formula>0.8</formula>
    </cfRule>
  </conditionalFormatting>
  <conditionalFormatting sqref="AG6:AG92">
    <cfRule type="notContainsText" dxfId="100" priority="105" operator="notContains" text="Caida">
      <formula>ISERROR(SEARCH("Caida",AG6))</formula>
    </cfRule>
    <cfRule type="containsText" dxfId="99" priority="106" operator="containsText" text="Caida">
      <formula>NOT(ISERROR(SEARCH("Caida",AG6)))</formula>
    </cfRule>
  </conditionalFormatting>
  <conditionalFormatting sqref="AG93:AG95">
    <cfRule type="cellIs" dxfId="98" priority="103" operator="lessThan">
      <formula>0.8</formula>
    </cfRule>
    <cfRule type="cellIs" dxfId="97" priority="104" operator="greaterThan">
      <formula>0.8</formula>
    </cfRule>
  </conditionalFormatting>
  <conditionalFormatting sqref="AG93:AG95">
    <cfRule type="notContainsText" dxfId="96" priority="101" operator="notContains" text="Caida">
      <formula>ISERROR(SEARCH("Caida",AG93))</formula>
    </cfRule>
    <cfRule type="containsText" dxfId="95" priority="102" operator="containsText" text="Caida">
      <formula>NOT(ISERROR(SEARCH("Caida",AG93)))</formula>
    </cfRule>
  </conditionalFormatting>
  <conditionalFormatting sqref="AG1:AG3 AG5:AG376 AG378:AG1048576">
    <cfRule type="cellIs" dxfId="94" priority="100" operator="equal">
      <formula>"apagado"</formula>
    </cfRule>
  </conditionalFormatting>
  <conditionalFormatting sqref="AH6:AH92">
    <cfRule type="cellIs" dxfId="93" priority="98" operator="lessThan">
      <formula>0.8</formula>
    </cfRule>
    <cfRule type="cellIs" dxfId="92" priority="99" operator="greaterThan">
      <formula>0.8</formula>
    </cfRule>
  </conditionalFormatting>
  <conditionalFormatting sqref="AH6:AH92">
    <cfRule type="notContainsText" dxfId="91" priority="96" operator="notContains" text="Caida">
      <formula>ISERROR(SEARCH("Caida",AH6))</formula>
    </cfRule>
    <cfRule type="containsText" dxfId="90" priority="97" operator="containsText" text="Caida">
      <formula>NOT(ISERROR(SEARCH("Caida",AH6)))</formula>
    </cfRule>
  </conditionalFormatting>
  <conditionalFormatting sqref="AH93:AH95">
    <cfRule type="cellIs" dxfId="89" priority="94" operator="lessThan">
      <formula>0.8</formula>
    </cfRule>
    <cfRule type="cellIs" dxfId="88" priority="95" operator="greaterThan">
      <formula>0.8</formula>
    </cfRule>
  </conditionalFormatting>
  <conditionalFormatting sqref="AH93:AH95">
    <cfRule type="notContainsText" dxfId="87" priority="92" operator="notContains" text="Caida">
      <formula>ISERROR(SEARCH("Caida",AH93))</formula>
    </cfRule>
    <cfRule type="containsText" dxfId="86" priority="93" operator="containsText" text="Caida">
      <formula>NOT(ISERROR(SEARCH("Caida",AH93)))</formula>
    </cfRule>
  </conditionalFormatting>
  <conditionalFormatting sqref="AH1:AH3 AH5:AH376 AH378:AH1048576">
    <cfRule type="cellIs" dxfId="85" priority="91" operator="equal">
      <formula>"apagado"</formula>
    </cfRule>
  </conditionalFormatting>
  <conditionalFormatting sqref="AI6:AI92">
    <cfRule type="cellIs" dxfId="84" priority="89" operator="lessThan">
      <formula>0.8</formula>
    </cfRule>
    <cfRule type="cellIs" dxfId="83" priority="90" operator="greaterThan">
      <formula>0.8</formula>
    </cfRule>
  </conditionalFormatting>
  <conditionalFormatting sqref="AI6:AI92">
    <cfRule type="notContainsText" dxfId="82" priority="87" operator="notContains" text="Caida">
      <formula>ISERROR(SEARCH("Caida",AI6))</formula>
    </cfRule>
    <cfRule type="containsText" dxfId="81" priority="88" operator="containsText" text="Caida">
      <formula>NOT(ISERROR(SEARCH("Caida",AI6)))</formula>
    </cfRule>
  </conditionalFormatting>
  <conditionalFormatting sqref="AI93:AI95">
    <cfRule type="cellIs" dxfId="80" priority="85" operator="lessThan">
      <formula>0.8</formula>
    </cfRule>
    <cfRule type="cellIs" dxfId="79" priority="86" operator="greaterThan">
      <formula>0.8</formula>
    </cfRule>
  </conditionalFormatting>
  <conditionalFormatting sqref="AI93:AI95">
    <cfRule type="notContainsText" dxfId="78" priority="83" operator="notContains" text="Caida">
      <formula>ISERROR(SEARCH("Caida",AI93))</formula>
    </cfRule>
    <cfRule type="containsText" dxfId="77" priority="84" operator="containsText" text="Caida">
      <formula>NOT(ISERROR(SEARCH("Caida",AI93)))</formula>
    </cfRule>
  </conditionalFormatting>
  <conditionalFormatting sqref="AI1:AI3 AI5:AI376 AI378:AI1048576">
    <cfRule type="cellIs" dxfId="76" priority="82" operator="equal">
      <formula>"apagado"</formula>
    </cfRule>
  </conditionalFormatting>
  <conditionalFormatting sqref="AJ6:AJ92">
    <cfRule type="cellIs" dxfId="75" priority="80" operator="lessThan">
      <formula>0.8</formula>
    </cfRule>
    <cfRule type="cellIs" dxfId="74" priority="81" operator="greaterThan">
      <formula>0.8</formula>
    </cfRule>
  </conditionalFormatting>
  <conditionalFormatting sqref="AJ6:AJ92">
    <cfRule type="notContainsText" dxfId="73" priority="78" operator="notContains" text="Caida">
      <formula>ISERROR(SEARCH("Caida",AJ6))</formula>
    </cfRule>
    <cfRule type="containsText" dxfId="72" priority="79" operator="containsText" text="Caida">
      <formula>NOT(ISERROR(SEARCH("Caida",AJ6)))</formula>
    </cfRule>
  </conditionalFormatting>
  <conditionalFormatting sqref="AJ93:AJ95">
    <cfRule type="cellIs" dxfId="71" priority="76" operator="lessThan">
      <formula>0.8</formula>
    </cfRule>
    <cfRule type="cellIs" dxfId="70" priority="77" operator="greaterThan">
      <formula>0.8</formula>
    </cfRule>
  </conditionalFormatting>
  <conditionalFormatting sqref="AJ93:AJ95">
    <cfRule type="notContainsText" dxfId="69" priority="74" operator="notContains" text="Caida">
      <formula>ISERROR(SEARCH("Caida",AJ93))</formula>
    </cfRule>
    <cfRule type="containsText" dxfId="68" priority="75" operator="containsText" text="Caida">
      <formula>NOT(ISERROR(SEARCH("Caida",AJ93)))</formula>
    </cfRule>
  </conditionalFormatting>
  <conditionalFormatting sqref="AJ1:AJ3 AJ5:AJ376 AJ378:AJ1048576">
    <cfRule type="cellIs" dxfId="67" priority="73" operator="equal">
      <formula>"apagado"</formula>
    </cfRule>
  </conditionalFormatting>
  <conditionalFormatting sqref="AQ95:AQ369">
    <cfRule type="cellIs" dxfId="66" priority="54" operator="lessThan">
      <formula>0.8</formula>
    </cfRule>
    <cfRule type="cellIs" dxfId="65" priority="55" operator="greaterThan">
      <formula>0.8</formula>
    </cfRule>
  </conditionalFormatting>
  <conditionalFormatting sqref="AQ95:AQ372 AQ391:AQ1048576">
    <cfRule type="notContainsText" dxfId="64" priority="52" operator="notContains" text="Caida">
      <formula>ISERROR(SEARCH("Caida",AQ95))</formula>
    </cfRule>
    <cfRule type="containsText" dxfId="63" priority="53" operator="containsText" text="Caida">
      <formula>NOT(ISERROR(SEARCH("Caida",AQ95)))</formula>
    </cfRule>
  </conditionalFormatting>
  <conditionalFormatting sqref="AQ6:AQ92">
    <cfRule type="cellIs" dxfId="62" priority="50" operator="lessThan">
      <formula>0.8</formula>
    </cfRule>
    <cfRule type="cellIs" dxfId="61" priority="51" operator="greaterThan">
      <formula>0.8</formula>
    </cfRule>
  </conditionalFormatting>
  <conditionalFormatting sqref="AQ6:AQ92">
    <cfRule type="notContainsText" dxfId="60" priority="48" operator="notContains" text="Caida">
      <formula>ISERROR(SEARCH("Caida",AQ6))</formula>
    </cfRule>
    <cfRule type="containsText" dxfId="59" priority="49" operator="containsText" text="Caida">
      <formula>NOT(ISERROR(SEARCH("Caida",AQ6)))</formula>
    </cfRule>
  </conditionalFormatting>
  <conditionalFormatting sqref="AQ93:AQ94">
    <cfRule type="cellIs" dxfId="58" priority="46" operator="lessThan">
      <formula>0.8</formula>
    </cfRule>
    <cfRule type="cellIs" dxfId="57" priority="47" operator="greaterThan">
      <formula>0.8</formula>
    </cfRule>
  </conditionalFormatting>
  <conditionalFormatting sqref="AQ93:AQ94">
    <cfRule type="notContainsText" dxfId="56" priority="44" operator="notContains" text="Caida">
      <formula>ISERROR(SEARCH("Caida",AQ93))</formula>
    </cfRule>
    <cfRule type="containsText" dxfId="55" priority="45" operator="containsText" text="Caida">
      <formula>NOT(ISERROR(SEARCH("Caida",AQ93)))</formula>
    </cfRule>
  </conditionalFormatting>
  <conditionalFormatting sqref="AQ10">
    <cfRule type="cellIs" dxfId="54" priority="39" operator="equal">
      <formula>"apagado"</formula>
    </cfRule>
    <cfRule type="cellIs" dxfId="53" priority="42" operator="lessThan">
      <formula>0.8</formula>
    </cfRule>
    <cfRule type="cellIs" dxfId="52" priority="43" operator="greaterThan">
      <formula>0.8</formula>
    </cfRule>
  </conditionalFormatting>
  <conditionalFormatting sqref="AQ10">
    <cfRule type="notContainsText" dxfId="51" priority="40" operator="notContains" text="Caida">
      <formula>ISERROR(SEARCH("Caida",AQ10))</formula>
    </cfRule>
    <cfRule type="containsText" dxfId="50" priority="41" operator="containsText" text="Caida">
      <formula>NOT(ISERROR(SEARCH("Caida",AQ10)))</formula>
    </cfRule>
  </conditionalFormatting>
  <conditionalFormatting sqref="AQ1:AQ3 AQ5:AQ376 AQ378:AQ1048576">
    <cfRule type="cellIs" dxfId="49" priority="38" operator="equal">
      <formula>"apagado"</formula>
    </cfRule>
  </conditionalFormatting>
  <conditionalFormatting sqref="O5:AR376">
    <cfRule type="cellIs" dxfId="48" priority="37" operator="equal">
      <formula>"APAGADO"</formula>
    </cfRule>
  </conditionalFormatting>
  <conditionalFormatting sqref="AF377">
    <cfRule type="cellIs" dxfId="47" priority="34" operator="equal">
      <formula>"apagado"</formula>
    </cfRule>
  </conditionalFormatting>
  <conditionalFormatting sqref="AE377">
    <cfRule type="cellIs" dxfId="46" priority="33" operator="equal">
      <formula>"apagado"</formula>
    </cfRule>
  </conditionalFormatting>
  <conditionalFormatting sqref="AD377">
    <cfRule type="cellIs" dxfId="45" priority="32" operator="equal">
      <formula>"apagado"</formula>
    </cfRule>
  </conditionalFormatting>
  <conditionalFormatting sqref="AC377">
    <cfRule type="cellIs" dxfId="44" priority="31" operator="equal">
      <formula>"apagado"</formula>
    </cfRule>
  </conditionalFormatting>
  <conditionalFormatting sqref="AB377">
    <cfRule type="cellIs" dxfId="43" priority="30" operator="equal">
      <formula>"apagado"</formula>
    </cfRule>
  </conditionalFormatting>
  <conditionalFormatting sqref="AA377">
    <cfRule type="cellIs" dxfId="42" priority="29" operator="equal">
      <formula>"apagado"</formula>
    </cfRule>
  </conditionalFormatting>
  <conditionalFormatting sqref="Z377">
    <cfRule type="cellIs" dxfId="41" priority="28" operator="equal">
      <formula>"apagado"</formula>
    </cfRule>
  </conditionalFormatting>
  <conditionalFormatting sqref="Y377">
    <cfRule type="cellIs" dxfId="40" priority="27" operator="equal">
      <formula>"apagado"</formula>
    </cfRule>
  </conditionalFormatting>
  <conditionalFormatting sqref="AG377">
    <cfRule type="cellIs" dxfId="39" priority="26" operator="equal">
      <formula>"apagado"</formula>
    </cfRule>
  </conditionalFormatting>
  <conditionalFormatting sqref="AH377">
    <cfRule type="cellIs" dxfId="38" priority="25" operator="equal">
      <formula>"apagado"</formula>
    </cfRule>
  </conditionalFormatting>
  <conditionalFormatting sqref="AI377">
    <cfRule type="cellIs" dxfId="37" priority="24" operator="equal">
      <formula>"apagado"</formula>
    </cfRule>
  </conditionalFormatting>
  <conditionalFormatting sqref="AJ377">
    <cfRule type="cellIs" dxfId="36" priority="23" operator="equal">
      <formula>"apagado"</formula>
    </cfRule>
  </conditionalFormatting>
  <conditionalFormatting sqref="AQ377">
    <cfRule type="cellIs" dxfId="35" priority="22" operator="equal">
      <formula>"apagado"</formula>
    </cfRule>
  </conditionalFormatting>
  <conditionalFormatting sqref="O377:AR377">
    <cfRule type="cellIs" dxfId="34" priority="21" operator="equal">
      <formula>"APAGADO"</formula>
    </cfRule>
  </conditionalFormatting>
  <conditionalFormatting sqref="AS95:AS369">
    <cfRule type="cellIs" dxfId="33" priority="19" operator="lessThan">
      <formula>0.8</formula>
    </cfRule>
    <cfRule type="cellIs" dxfId="32" priority="20" operator="greaterThan">
      <formula>0.8</formula>
    </cfRule>
  </conditionalFormatting>
  <conditionalFormatting sqref="AS391:AS1048576 AS95:AS372">
    <cfRule type="notContainsText" dxfId="31" priority="17" operator="notContains" text="Caida">
      <formula>ISERROR(SEARCH("Caida",AS95))</formula>
    </cfRule>
    <cfRule type="containsText" dxfId="30" priority="18" operator="containsText" text="Caida">
      <formula>NOT(ISERROR(SEARCH("Caida",AS95)))</formula>
    </cfRule>
  </conditionalFormatting>
  <conditionalFormatting sqref="AS22">
    <cfRule type="containsText" dxfId="29" priority="16" operator="containsText" text="Instaladas en Funcionamiento Caida">
      <formula>NOT(ISERROR(SEARCH("Instaladas en Funcionamiento Caida",AS22)))</formula>
    </cfRule>
  </conditionalFormatting>
  <conditionalFormatting sqref="AS5">
    <cfRule type="cellIs" dxfId="28" priority="14" operator="lessThan">
      <formula>0.8</formula>
    </cfRule>
    <cfRule type="cellIs" dxfId="27" priority="15" operator="greaterThan">
      <formula>0.8</formula>
    </cfRule>
  </conditionalFormatting>
  <conditionalFormatting sqref="AS5">
    <cfRule type="notContainsText" dxfId="26" priority="12" operator="notContains" text="Caida">
      <formula>ISERROR(SEARCH("Caida",AS5))</formula>
    </cfRule>
    <cfRule type="containsText" dxfId="25" priority="13" operator="containsText" text="Caida">
      <formula>NOT(ISERROR(SEARCH("Caida",AS5)))</formula>
    </cfRule>
  </conditionalFormatting>
  <conditionalFormatting sqref="AS1 AS391:AS1048576 AS5:AS372">
    <cfRule type="cellIs" dxfId="24" priority="11" operator="equal">
      <formula>"APAGADO"</formula>
    </cfRule>
  </conditionalFormatting>
  <conditionalFormatting sqref="AS6:AS92">
    <cfRule type="cellIs" dxfId="23" priority="9" operator="lessThan">
      <formula>0.8</formula>
    </cfRule>
    <cfRule type="cellIs" dxfId="22" priority="10" operator="greaterThan">
      <formula>0.8</formula>
    </cfRule>
  </conditionalFormatting>
  <conditionalFormatting sqref="AS6:AS92">
    <cfRule type="notContainsText" dxfId="21" priority="7" operator="notContains" text="Caida">
      <formula>ISERROR(SEARCH("Caida",AS6))</formula>
    </cfRule>
    <cfRule type="containsText" dxfId="20" priority="8" operator="containsText" text="Caida">
      <formula>NOT(ISERROR(SEARCH("Caida",AS6)))</formula>
    </cfRule>
  </conditionalFormatting>
  <conditionalFormatting sqref="AS93:AS94">
    <cfRule type="cellIs" dxfId="19" priority="5" operator="lessThan">
      <formula>0.8</formula>
    </cfRule>
    <cfRule type="cellIs" dxfId="18" priority="6" operator="greaterThan">
      <formula>0.8</formula>
    </cfRule>
  </conditionalFormatting>
  <conditionalFormatting sqref="AS93:AS94">
    <cfRule type="notContainsText" dxfId="17" priority="3" operator="notContains" text="Caida">
      <formula>ISERROR(SEARCH("Caida",AS93))</formula>
    </cfRule>
    <cfRule type="containsText" dxfId="16" priority="4" operator="containsText" text="Caida">
      <formula>NOT(ISERROR(SEARCH("Caida",AS93)))</formula>
    </cfRule>
  </conditionalFormatting>
  <conditionalFormatting sqref="AS5:AS376">
    <cfRule type="cellIs" dxfId="15" priority="2" operator="equal">
      <formula>"APAGADO"</formula>
    </cfRule>
  </conditionalFormatting>
  <conditionalFormatting sqref="AS377">
    <cfRule type="cellIs" dxfId="14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4.4" x14ac:dyDescent="0.3"/>
  <cols>
    <col min="1" max="1" width="37.77734375" bestFit="1" customWidth="1"/>
    <col min="2" max="2" width="26.6640625" bestFit="1" customWidth="1"/>
    <col min="3" max="3" width="37.6640625" bestFit="1" customWidth="1"/>
    <col min="4" max="4" width="34.33203125" bestFit="1" customWidth="1"/>
  </cols>
  <sheetData>
    <row r="16" spans="1:5" x14ac:dyDescent="0.3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3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3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3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3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3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3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3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13" priority="8" operator="containsText" text="Radio">
      <formula>NOT(ISERROR(SEARCH("Radio",C16)))</formula>
    </cfRule>
  </conditionalFormatting>
  <conditionalFormatting sqref="C16:C21">
    <cfRule type="containsText" dxfId="12" priority="6" operator="containsText" text="fija">
      <formula>NOT(ISERROR(SEARCH("fija",C16)))</formula>
    </cfRule>
    <cfRule type="containsText" dxfId="11" priority="7" operator="containsText" text="domo">
      <formula>NOT(ISERROR(SEARCH("domo",C16)))</formula>
    </cfRule>
  </conditionalFormatting>
  <conditionalFormatting sqref="D16:D21">
    <cfRule type="cellIs" dxfId="10" priority="5" operator="equal">
      <formula>"PTP A FO"</formula>
    </cfRule>
  </conditionalFormatting>
  <conditionalFormatting sqref="C22:C23">
    <cfRule type="containsText" dxfId="9" priority="2" operator="containsText" text="fija">
      <formula>NOT(ISERROR(SEARCH("fija",C22)))</formula>
    </cfRule>
    <cfRule type="containsText" dxfId="8" priority="3" operator="containsText" text="domo">
      <formula>NOT(ISERROR(SEARCH("domo",C22)))</formula>
    </cfRule>
  </conditionalFormatting>
  <conditionalFormatting sqref="D22:D23">
    <cfRule type="cellIs" dxfId="7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546875" defaultRowHeight="14.4" x14ac:dyDescent="0.3"/>
  <cols>
    <col min="1" max="1" width="18.33203125" style="46" bestFit="1" customWidth="1"/>
    <col min="2" max="2" width="81.109375" style="46" bestFit="1" customWidth="1"/>
    <col min="3" max="4" width="11.5546875" style="46"/>
    <col min="5" max="5" width="33.6640625" style="46" bestFit="1" customWidth="1"/>
    <col min="6" max="16384" width="11.5546875" style="46"/>
  </cols>
  <sheetData>
    <row r="1" spans="1:6" x14ac:dyDescent="0.3">
      <c r="A1" s="46" t="s">
        <v>1309</v>
      </c>
    </row>
    <row r="2" spans="1:6" ht="15" thickBot="1" x14ac:dyDescent="0.35"/>
    <row r="3" spans="1:6" ht="19.2" thickTop="1" thickBot="1" x14ac:dyDescent="0.35">
      <c r="A3" s="47">
        <v>44682</v>
      </c>
    </row>
    <row r="4" spans="1:6" ht="19.2" thickTop="1" thickBot="1" x14ac:dyDescent="0.35">
      <c r="A4" s="47">
        <v>44683</v>
      </c>
      <c r="D4" s="59"/>
      <c r="E4" s="59"/>
      <c r="F4" s="59"/>
    </row>
    <row r="5" spans="1:6" ht="19.2" thickTop="1" thickBot="1" x14ac:dyDescent="0.35">
      <c r="A5" s="47">
        <v>44684</v>
      </c>
      <c r="D5" s="59"/>
      <c r="E5" s="59"/>
      <c r="F5" s="59"/>
    </row>
    <row r="6" spans="1:6" ht="19.2" thickTop="1" thickBot="1" x14ac:dyDescent="0.35">
      <c r="A6" s="47">
        <v>44685</v>
      </c>
      <c r="D6" s="59"/>
      <c r="E6" s="59"/>
      <c r="F6" s="59"/>
    </row>
    <row r="7" spans="1:6" ht="19.2" thickTop="1" thickBot="1" x14ac:dyDescent="0.35">
      <c r="A7" s="47">
        <v>44686</v>
      </c>
      <c r="D7" s="59"/>
      <c r="E7" s="59"/>
      <c r="F7" s="59"/>
    </row>
    <row r="8" spans="1:6" ht="19.2" thickTop="1" thickBot="1" x14ac:dyDescent="0.35">
      <c r="A8" s="47">
        <v>44687</v>
      </c>
      <c r="D8" s="59"/>
      <c r="E8" s="59"/>
      <c r="F8" s="59"/>
    </row>
    <row r="9" spans="1:6" ht="19.2" thickTop="1" thickBot="1" x14ac:dyDescent="0.35">
      <c r="A9" s="47">
        <v>44688</v>
      </c>
      <c r="D9" s="59"/>
      <c r="E9" s="59"/>
      <c r="F9" s="59"/>
    </row>
    <row r="10" spans="1:6" ht="19.2" thickTop="1" thickBot="1" x14ac:dyDescent="0.35">
      <c r="A10" s="47">
        <v>44689</v>
      </c>
      <c r="D10" s="59"/>
      <c r="E10" s="59"/>
      <c r="F10" s="59"/>
    </row>
    <row r="11" spans="1:6" ht="19.2" thickTop="1" thickBot="1" x14ac:dyDescent="0.35">
      <c r="A11" s="47">
        <v>44690</v>
      </c>
    </row>
    <row r="12" spans="1:6" ht="19.2" thickTop="1" thickBot="1" x14ac:dyDescent="0.35">
      <c r="A12" s="47">
        <v>44691</v>
      </c>
    </row>
    <row r="13" spans="1:6" ht="19.2" thickTop="1" thickBot="1" x14ac:dyDescent="0.35">
      <c r="A13" s="47">
        <v>44692</v>
      </c>
    </row>
    <row r="14" spans="1:6" ht="19.2" thickTop="1" thickBot="1" x14ac:dyDescent="0.35">
      <c r="A14" s="47">
        <v>44693</v>
      </c>
    </row>
    <row r="15" spans="1:6" ht="19.2" thickTop="1" thickBot="1" x14ac:dyDescent="0.35">
      <c r="A15" s="47">
        <v>44694</v>
      </c>
    </row>
    <row r="16" spans="1:6" ht="19.2" thickTop="1" thickBot="1" x14ac:dyDescent="0.35">
      <c r="A16" s="47">
        <v>44695</v>
      </c>
    </row>
    <row r="17" spans="1:2" ht="19.2" thickTop="1" thickBot="1" x14ac:dyDescent="0.35">
      <c r="A17" s="47">
        <v>44696</v>
      </c>
    </row>
    <row r="18" spans="1:2" ht="19.2" thickTop="1" thickBot="1" x14ac:dyDescent="0.35">
      <c r="A18" s="47">
        <v>44697</v>
      </c>
    </row>
    <row r="19" spans="1:2" ht="19.2" thickTop="1" thickBot="1" x14ac:dyDescent="0.35">
      <c r="A19" s="47">
        <v>44698</v>
      </c>
    </row>
    <row r="20" spans="1:2" ht="19.2" thickTop="1" thickBot="1" x14ac:dyDescent="0.35">
      <c r="A20" s="47">
        <v>44699</v>
      </c>
    </row>
    <row r="21" spans="1:2" ht="19.2" thickTop="1" thickBot="1" x14ac:dyDescent="0.35">
      <c r="A21" s="47">
        <v>44700</v>
      </c>
    </row>
    <row r="22" spans="1:2" ht="19.2" thickTop="1" thickBot="1" x14ac:dyDescent="0.35">
      <c r="A22" s="47">
        <v>44701</v>
      </c>
    </row>
    <row r="23" spans="1:2" ht="19.2" thickTop="1" thickBot="1" x14ac:dyDescent="0.35">
      <c r="A23" s="47">
        <v>44702</v>
      </c>
      <c r="B23" s="48"/>
    </row>
    <row r="24" spans="1:2" ht="19.2" thickTop="1" thickBot="1" x14ac:dyDescent="0.35">
      <c r="A24" s="47">
        <v>44703</v>
      </c>
      <c r="B24" s="49"/>
    </row>
    <row r="25" spans="1:2" ht="19.2" thickTop="1" thickBot="1" x14ac:dyDescent="0.35">
      <c r="A25" s="47">
        <v>44704</v>
      </c>
    </row>
    <row r="26" spans="1:2" ht="19.2" thickTop="1" thickBot="1" x14ac:dyDescent="0.35">
      <c r="A26" s="47">
        <v>44705</v>
      </c>
    </row>
    <row r="27" spans="1:2" ht="19.2" thickTop="1" thickBot="1" x14ac:dyDescent="0.35">
      <c r="A27" s="47">
        <v>44706</v>
      </c>
    </row>
    <row r="28" spans="1:2" ht="19.2" thickTop="1" thickBot="1" x14ac:dyDescent="0.35">
      <c r="A28" s="47">
        <v>44707</v>
      </c>
    </row>
    <row r="29" spans="1:2" ht="19.2" thickTop="1" thickBot="1" x14ac:dyDescent="0.35">
      <c r="A29" s="47">
        <v>44708</v>
      </c>
    </row>
    <row r="30" spans="1:2" ht="19.2" thickTop="1" thickBot="1" x14ac:dyDescent="0.35">
      <c r="A30" s="47">
        <v>44709</v>
      </c>
    </row>
    <row r="31" spans="1:2" ht="19.2" thickTop="1" thickBot="1" x14ac:dyDescent="0.35">
      <c r="A31" s="47">
        <v>44710</v>
      </c>
    </row>
    <row r="32" spans="1:2" ht="19.2" thickTop="1" thickBot="1" x14ac:dyDescent="0.35">
      <c r="A32" s="47">
        <v>44711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2" t="s">
        <v>1320</v>
      </c>
      <c r="D1" s="53">
        <f>COUNTIFS(E4:E369,"=Fibra Optica")</f>
        <v>237</v>
      </c>
    </row>
    <row r="2" spans="1:36" ht="21" x14ac:dyDescent="0.4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1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4" t="s">
        <v>1321</v>
      </c>
      <c r="D1" s="54">
        <f>COUNTIFS(E4:E367,"=PTP A FO")</f>
        <v>38</v>
      </c>
    </row>
    <row r="2" spans="1:36" ht="21" x14ac:dyDescent="0.4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13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4" t="s">
        <v>1322</v>
      </c>
      <c r="D1" s="54">
        <f>COUNTIFS(E4:E367,"=radio")</f>
        <v>88</v>
      </c>
    </row>
    <row r="2" spans="1:36" ht="21" x14ac:dyDescent="0.4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D12" sqref="D12"/>
    </sheetView>
  </sheetViews>
  <sheetFormatPr baseColWidth="10" defaultRowHeight="14.4" x14ac:dyDescent="0.3"/>
  <cols>
    <col min="5" max="5" width="15.6640625" bestFit="1" customWidth="1"/>
    <col min="7" max="7" width="11.5546875" style="65"/>
  </cols>
  <sheetData>
    <row r="1" spans="1:7" x14ac:dyDescent="0.3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3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10" si="1">E2/F2</f>
        <v>0.12064343163538874</v>
      </c>
    </row>
    <row r="3" spans="1:7" x14ac:dyDescent="0.3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3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3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3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3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3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3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3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3">
      <c r="A11" s="25">
        <f>'APAGADOS RADIO'!O3</f>
        <v>44691</v>
      </c>
      <c r="B11" s="59"/>
      <c r="C11" s="59"/>
      <c r="D11" s="59"/>
      <c r="E11" s="59"/>
      <c r="F11">
        <f>'RESUMEN TOTAL'!C1</f>
        <v>373</v>
      </c>
    </row>
    <row r="12" spans="1:7" x14ac:dyDescent="0.3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3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3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3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3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3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3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3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3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3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3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3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3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3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3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3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3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3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3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3">
      <c r="A31" s="25">
        <f>'APAGADOS RADIO'!AI3</f>
        <v>44711</v>
      </c>
      <c r="F31">
        <f>'RESUMEN TOTAL'!C1</f>
        <v>373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65"/>
    </row>
    <row r="36" spans="1:30" s="30" customFormat="1" x14ac:dyDescent="0.3">
      <c r="G36" s="65"/>
    </row>
    <row r="37" spans="1:30" s="20" customFormat="1" x14ac:dyDescent="0.3">
      <c r="G37" s="65"/>
    </row>
    <row r="40" spans="1:30" x14ac:dyDescent="0.3">
      <c r="A40" s="59"/>
      <c r="B40" s="59"/>
    </row>
    <row r="41" spans="1:30" x14ac:dyDescent="0.3">
      <c r="A41" s="59"/>
      <c r="B41" s="59"/>
      <c r="D41" s="25"/>
      <c r="E41" s="65"/>
    </row>
    <row r="42" spans="1:30" x14ac:dyDescent="0.3">
      <c r="A42" s="59"/>
      <c r="B42" s="59"/>
      <c r="D42" s="25"/>
      <c r="E42" s="65"/>
    </row>
    <row r="43" spans="1:30" x14ac:dyDescent="0.3">
      <c r="A43" s="59"/>
      <c r="B43" s="59"/>
      <c r="D43" s="25"/>
      <c r="E43" s="65"/>
    </row>
    <row r="44" spans="1:30" x14ac:dyDescent="0.3">
      <c r="A44" s="59"/>
      <c r="B44" s="59"/>
      <c r="D44" s="25"/>
      <c r="E44" s="65"/>
    </row>
    <row r="45" spans="1:30" x14ac:dyDescent="0.3">
      <c r="A45" s="59"/>
      <c r="B45" s="59"/>
      <c r="D45" s="25"/>
      <c r="E45" s="65"/>
    </row>
    <row r="46" spans="1:30" x14ac:dyDescent="0.3">
      <c r="A46" s="59"/>
      <c r="B46" s="59"/>
      <c r="D46" s="25"/>
      <c r="E46" s="65"/>
    </row>
    <row r="47" spans="1:30" x14ac:dyDescent="0.3">
      <c r="A47" s="59"/>
      <c r="B47" s="59"/>
      <c r="D47" s="25"/>
      <c r="E47" s="65"/>
    </row>
    <row r="48" spans="1:30" x14ac:dyDescent="0.3">
      <c r="A48" s="59"/>
      <c r="B48" s="59"/>
      <c r="D48" s="25"/>
      <c r="E48" s="65"/>
    </row>
    <row r="49" spans="1:5" x14ac:dyDescent="0.3">
      <c r="A49" s="59"/>
      <c r="B49" s="59"/>
      <c r="D49" s="25"/>
      <c r="E49" s="65"/>
    </row>
    <row r="50" spans="1:5" x14ac:dyDescent="0.3">
      <c r="A50" s="59"/>
      <c r="B50" s="59"/>
      <c r="D50" s="25"/>
      <c r="E50" s="65"/>
    </row>
    <row r="51" spans="1:5" x14ac:dyDescent="0.3">
      <c r="A51" s="59"/>
      <c r="B51" s="59"/>
      <c r="D51" s="25"/>
      <c r="E51" s="65"/>
    </row>
    <row r="52" spans="1:5" x14ac:dyDescent="0.3">
      <c r="A52" s="59"/>
      <c r="B52" s="59"/>
      <c r="D52" s="25"/>
      <c r="E52" s="65"/>
    </row>
    <row r="53" spans="1:5" x14ac:dyDescent="0.3">
      <c r="A53" s="59"/>
      <c r="B53" s="59"/>
      <c r="D53" s="25"/>
      <c r="E53" s="65"/>
    </row>
    <row r="54" spans="1:5" x14ac:dyDescent="0.3">
      <c r="A54" s="59"/>
      <c r="B54" s="59"/>
      <c r="D54" s="25"/>
      <c r="E54" s="65"/>
    </row>
    <row r="55" spans="1:5" x14ac:dyDescent="0.3">
      <c r="A55" s="59"/>
      <c r="B55" s="59"/>
      <c r="D55" s="25"/>
      <c r="E55" s="65"/>
    </row>
    <row r="56" spans="1:5" x14ac:dyDescent="0.3">
      <c r="A56" s="59"/>
      <c r="B56" s="59"/>
      <c r="D56" s="25"/>
      <c r="E56" s="65"/>
    </row>
    <row r="57" spans="1:5" x14ac:dyDescent="0.3">
      <c r="A57" s="59"/>
      <c r="B57" s="59"/>
      <c r="D57" s="25"/>
      <c r="E57" s="65"/>
    </row>
    <row r="58" spans="1:5" x14ac:dyDescent="0.3">
      <c r="A58" s="59"/>
      <c r="B58" s="59"/>
      <c r="D58" s="25"/>
      <c r="E58" s="65"/>
    </row>
    <row r="59" spans="1:5" x14ac:dyDescent="0.3">
      <c r="A59" s="59"/>
      <c r="B59" s="59"/>
      <c r="D59" s="25"/>
      <c r="E59" s="65"/>
    </row>
    <row r="60" spans="1:5" x14ac:dyDescent="0.3">
      <c r="A60" s="59"/>
      <c r="B60" s="59"/>
      <c r="D60" s="25"/>
      <c r="E60" s="65"/>
    </row>
    <row r="61" spans="1:5" x14ac:dyDescent="0.3">
      <c r="A61" s="59"/>
      <c r="B61" s="59"/>
      <c r="D61" s="25"/>
    </row>
    <row r="62" spans="1:5" x14ac:dyDescent="0.3">
      <c r="A62" s="59"/>
      <c r="B62" s="59"/>
      <c r="D62" s="25"/>
    </row>
    <row r="63" spans="1:5" x14ac:dyDescent="0.3">
      <c r="A63" s="59"/>
      <c r="B63" s="59"/>
      <c r="D63" s="25"/>
    </row>
    <row r="64" spans="1:5" x14ac:dyDescent="0.3">
      <c r="A64" s="59"/>
      <c r="B64" s="59"/>
      <c r="D64" s="25"/>
    </row>
    <row r="65" spans="1:4" x14ac:dyDescent="0.3">
      <c r="A65" s="59"/>
      <c r="B65" s="59"/>
      <c r="D65" s="25"/>
    </row>
    <row r="66" spans="1:4" x14ac:dyDescent="0.3">
      <c r="A66" s="59"/>
      <c r="B66" s="59"/>
      <c r="D66" s="25"/>
    </row>
    <row r="67" spans="1:4" x14ac:dyDescent="0.3">
      <c r="A67" s="59"/>
      <c r="B67" s="59"/>
      <c r="D67" s="25"/>
    </row>
    <row r="68" spans="1:4" x14ac:dyDescent="0.3">
      <c r="A68" s="59"/>
      <c r="B68" s="59"/>
      <c r="D68" s="25"/>
    </row>
    <row r="69" spans="1:4" x14ac:dyDescent="0.3">
      <c r="A69" s="59"/>
      <c r="B69" s="59"/>
      <c r="D69" s="25"/>
    </row>
    <row r="70" spans="1:4" x14ac:dyDescent="0.3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2022-05-09T13:09:52Z</dcterms:modified>
</cp:coreProperties>
</file>