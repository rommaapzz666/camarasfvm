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6F7D119C-DC30-462A-8083-745154694D9B}" xr6:coauthVersionLast="47" xr6:coauthVersionMax="47" xr10:uidLastSave="{00000000-0000-0000-0000-000000000000}"/>
  <bookViews>
    <workbookView xWindow="28680" yWindow="-120" windowWidth="29040" windowHeight="16440" firstSheet="3" activeTab="9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  <sheet name="Hoja1" sheetId="25" r:id="rId12"/>
  </sheets>
  <definedNames>
    <definedName name="_25_de_agosto" localSheetId="0">'RESUMEN TOTAL'!$A$4:$D$349</definedName>
    <definedName name="_xlnm._FilterDatabase" localSheetId="2" hidden="1">APAGADOS!$A$2:$AG$401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TOTAL'!$A$4:$AO$396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4" l="1"/>
  <c r="F15" i="14"/>
  <c r="F14" i="14"/>
  <c r="D16" i="14"/>
  <c r="B16" i="14" s="1"/>
  <c r="D15" i="14"/>
  <c r="D14" i="14"/>
  <c r="B14" i="14" s="1"/>
  <c r="C16" i="14"/>
  <c r="C15" i="14"/>
  <c r="C14" i="14"/>
  <c r="B15" i="14"/>
  <c r="Q5" i="25"/>
  <c r="Q6" i="25" s="1"/>
  <c r="Q3" i="25"/>
  <c r="Q4" i="25" s="1"/>
  <c r="F13" i="14"/>
  <c r="D13" i="14"/>
  <c r="C13" i="14"/>
  <c r="B13" i="14"/>
  <c r="E13" i="14" s="1"/>
  <c r="D13" i="24"/>
  <c r="C14" i="24"/>
  <c r="D14" i="24" s="1"/>
  <c r="AJ3" i="25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AJ5" i="25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D8" i="24"/>
  <c r="C9" i="24"/>
  <c r="D9" i="24" s="1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C394" i="8"/>
  <c r="C396" i="11" s="1"/>
  <c r="D394" i="8"/>
  <c r="E394" i="8"/>
  <c r="F394" i="8"/>
  <c r="F396" i="21" s="1"/>
  <c r="G394" i="8"/>
  <c r="G395" i="9" s="1"/>
  <c r="H394" i="8"/>
  <c r="H395" i="9" s="1"/>
  <c r="I394" i="8"/>
  <c r="I396" i="11" s="1"/>
  <c r="J394" i="8"/>
  <c r="K394" i="8"/>
  <c r="K395" i="9" s="1"/>
  <c r="L394" i="8"/>
  <c r="M394" i="8"/>
  <c r="N394" i="8"/>
  <c r="N396" i="21" s="1"/>
  <c r="O394" i="8"/>
  <c r="O395" i="9" s="1"/>
  <c r="P394" i="8"/>
  <c r="P396" i="21" s="1"/>
  <c r="Q394" i="8"/>
  <c r="Q396" i="11" s="1"/>
  <c r="R394" i="8"/>
  <c r="S394" i="8"/>
  <c r="S396" i="21" s="1"/>
  <c r="A395" i="8"/>
  <c r="B395" i="8"/>
  <c r="C395" i="8"/>
  <c r="D395" i="8"/>
  <c r="E395" i="8"/>
  <c r="E396" i="9" s="1"/>
  <c r="F395" i="8"/>
  <c r="F397" i="10" s="1"/>
  <c r="G395" i="8"/>
  <c r="H395" i="8"/>
  <c r="H396" i="9" s="1"/>
  <c r="I395" i="8"/>
  <c r="J395" i="8"/>
  <c r="K395" i="8"/>
  <c r="L395" i="8"/>
  <c r="L397" i="21" s="1"/>
  <c r="M395" i="8"/>
  <c r="M397" i="21" s="1"/>
  <c r="N395" i="8"/>
  <c r="N397" i="11" s="1"/>
  <c r="O395" i="8"/>
  <c r="P395" i="8"/>
  <c r="P397" i="21" s="1"/>
  <c r="Q395" i="8"/>
  <c r="R395" i="8"/>
  <c r="S395" i="8"/>
  <c r="A396" i="8"/>
  <c r="A398" i="10" s="1"/>
  <c r="B396" i="8"/>
  <c r="B398" i="10" s="1"/>
  <c r="C396" i="8"/>
  <c r="C398" i="11" s="1"/>
  <c r="D396" i="8"/>
  <c r="E396" i="8"/>
  <c r="E398" i="21" s="1"/>
  <c r="F396" i="8"/>
  <c r="G396" i="8"/>
  <c r="H396" i="8"/>
  <c r="I396" i="8"/>
  <c r="I398" i="10" s="1"/>
  <c r="J396" i="8"/>
  <c r="J397" i="9" s="1"/>
  <c r="K396" i="8"/>
  <c r="K398" i="11" s="1"/>
  <c r="L396" i="8"/>
  <c r="M396" i="8"/>
  <c r="M397" i="9" s="1"/>
  <c r="N396" i="8"/>
  <c r="O396" i="8"/>
  <c r="P396" i="8"/>
  <c r="Q396" i="8"/>
  <c r="Q398" i="10" s="1"/>
  <c r="R396" i="8"/>
  <c r="R398" i="21" s="1"/>
  <c r="S396" i="8"/>
  <c r="S398" i="11" s="1"/>
  <c r="A397" i="8"/>
  <c r="B397" i="8"/>
  <c r="B399" i="10" s="1"/>
  <c r="C397" i="8"/>
  <c r="D397" i="8"/>
  <c r="E397" i="8"/>
  <c r="F397" i="8"/>
  <c r="F398" i="9" s="1"/>
  <c r="G397" i="8"/>
  <c r="G398" i="9" s="1"/>
  <c r="H397" i="8"/>
  <c r="H398" i="9" s="1"/>
  <c r="I397" i="8"/>
  <c r="J397" i="8"/>
  <c r="J399" i="21" s="1"/>
  <c r="K397" i="8"/>
  <c r="L397" i="8"/>
  <c r="M397" i="8"/>
  <c r="N397" i="8"/>
  <c r="N398" i="9" s="1"/>
  <c r="O397" i="8"/>
  <c r="O399" i="10" s="1"/>
  <c r="P397" i="8"/>
  <c r="P399" i="11" s="1"/>
  <c r="Q397" i="8"/>
  <c r="R397" i="8"/>
  <c r="R399" i="10" s="1"/>
  <c r="S397" i="8"/>
  <c r="A398" i="8"/>
  <c r="B398" i="8"/>
  <c r="B400" i="21" s="1"/>
  <c r="C398" i="8"/>
  <c r="C399" i="9" s="1"/>
  <c r="D398" i="8"/>
  <c r="D399" i="9" s="1"/>
  <c r="E398" i="8"/>
  <c r="E400" i="11" s="1"/>
  <c r="F398" i="8"/>
  <c r="G398" i="8"/>
  <c r="G400" i="10" s="1"/>
  <c r="H398" i="8"/>
  <c r="I398" i="8"/>
  <c r="J398" i="8"/>
  <c r="J400" i="21" s="1"/>
  <c r="K398" i="8"/>
  <c r="K399" i="9" s="1"/>
  <c r="L398" i="8"/>
  <c r="L400" i="10" s="1"/>
  <c r="M398" i="8"/>
  <c r="M400" i="11" s="1"/>
  <c r="N398" i="8"/>
  <c r="O398" i="8"/>
  <c r="O399" i="9" s="1"/>
  <c r="P398" i="8"/>
  <c r="Q398" i="8"/>
  <c r="R398" i="8"/>
  <c r="R400" i="21" s="1"/>
  <c r="S398" i="8"/>
  <c r="S399" i="9" s="1"/>
  <c r="A399" i="8"/>
  <c r="A400" i="9" s="1"/>
  <c r="B399" i="8"/>
  <c r="C399" i="8"/>
  <c r="D399" i="8"/>
  <c r="D400" i="9" s="1"/>
  <c r="E399" i="8"/>
  <c r="F399" i="8"/>
  <c r="G399" i="8"/>
  <c r="G401" i="21" s="1"/>
  <c r="H399" i="8"/>
  <c r="H400" i="9" s="1"/>
  <c r="I399" i="8"/>
  <c r="I401" i="21" s="1"/>
  <c r="J399" i="8"/>
  <c r="K399" i="8"/>
  <c r="L399" i="8"/>
  <c r="L401" i="21" s="1"/>
  <c r="M399" i="8"/>
  <c r="N399" i="8"/>
  <c r="O399" i="8"/>
  <c r="O401" i="21" s="1"/>
  <c r="P399" i="8"/>
  <c r="P400" i="9" s="1"/>
  <c r="Q399" i="8"/>
  <c r="Q400" i="9" s="1"/>
  <c r="R399" i="8"/>
  <c r="S399" i="8"/>
  <c r="A396" i="10"/>
  <c r="B396" i="10"/>
  <c r="D396" i="10"/>
  <c r="E396" i="10"/>
  <c r="H396" i="10"/>
  <c r="I396" i="10"/>
  <c r="J396" i="10"/>
  <c r="K396" i="10"/>
  <c r="L396" i="10"/>
  <c r="M396" i="10"/>
  <c r="Q396" i="10"/>
  <c r="R396" i="10"/>
  <c r="AA396" i="10"/>
  <c r="AD396" i="10"/>
  <c r="A397" i="10"/>
  <c r="B397" i="10"/>
  <c r="G397" i="10"/>
  <c r="H397" i="10"/>
  <c r="I397" i="10"/>
  <c r="J397" i="10"/>
  <c r="N397" i="10"/>
  <c r="O397" i="10"/>
  <c r="Q397" i="10"/>
  <c r="R397" i="10"/>
  <c r="X397" i="10"/>
  <c r="AA397" i="10"/>
  <c r="AF397" i="10"/>
  <c r="D398" i="10"/>
  <c r="F398" i="10"/>
  <c r="G398" i="10"/>
  <c r="L398" i="10"/>
  <c r="N398" i="10"/>
  <c r="O398" i="10"/>
  <c r="W398" i="10"/>
  <c r="Z398" i="10"/>
  <c r="AE398" i="10"/>
  <c r="A399" i="10"/>
  <c r="C399" i="10"/>
  <c r="D399" i="10"/>
  <c r="I399" i="10"/>
  <c r="K399" i="10"/>
  <c r="L399" i="10"/>
  <c r="N399" i="10"/>
  <c r="Q399" i="10"/>
  <c r="S399" i="10"/>
  <c r="V399" i="10"/>
  <c r="AA399" i="10"/>
  <c r="AD399" i="10"/>
  <c r="A400" i="10"/>
  <c r="D400" i="10"/>
  <c r="F400" i="10"/>
  <c r="H400" i="10"/>
  <c r="I400" i="10"/>
  <c r="N400" i="10"/>
  <c r="P400" i="10"/>
  <c r="Q400" i="10"/>
  <c r="Z400" i="10"/>
  <c r="B395" i="9"/>
  <c r="D395" i="9"/>
  <c r="E395" i="9"/>
  <c r="J395" i="9"/>
  <c r="L395" i="9"/>
  <c r="M395" i="9"/>
  <c r="R395" i="9"/>
  <c r="S395" i="9"/>
  <c r="Y395" i="9"/>
  <c r="AB395" i="9"/>
  <c r="AG395" i="9"/>
  <c r="A396" i="9"/>
  <c r="B396" i="9"/>
  <c r="C396" i="9"/>
  <c r="G396" i="9"/>
  <c r="I396" i="9"/>
  <c r="J396" i="9"/>
  <c r="O396" i="9"/>
  <c r="P396" i="9"/>
  <c r="Q396" i="9"/>
  <c r="R396" i="9"/>
  <c r="V396" i="9"/>
  <c r="Y396" i="9"/>
  <c r="AD396" i="9"/>
  <c r="AG396" i="9"/>
  <c r="D397" i="9"/>
  <c r="F397" i="9"/>
  <c r="G397" i="9"/>
  <c r="I397" i="9"/>
  <c r="L397" i="9"/>
  <c r="N397" i="9"/>
  <c r="O397" i="9"/>
  <c r="T397" i="9"/>
  <c r="W397" i="9"/>
  <c r="AB397" i="9"/>
  <c r="AE397" i="9"/>
  <c r="A398" i="9"/>
  <c r="C398" i="9"/>
  <c r="D398" i="9"/>
  <c r="I398" i="9"/>
  <c r="K398" i="9"/>
  <c r="L398" i="9"/>
  <c r="Q398" i="9"/>
  <c r="S398" i="9"/>
  <c r="T398" i="9"/>
  <c r="Y398" i="9"/>
  <c r="AB398" i="9"/>
  <c r="AG398" i="9"/>
  <c r="A399" i="9"/>
  <c r="F399" i="9"/>
  <c r="H399" i="9"/>
  <c r="I399" i="9"/>
  <c r="J399" i="9"/>
  <c r="L399" i="9"/>
  <c r="N399" i="9"/>
  <c r="P399" i="9"/>
  <c r="Q399" i="9"/>
  <c r="R399" i="9"/>
  <c r="V399" i="9"/>
  <c r="Y399" i="9"/>
  <c r="AD399" i="9"/>
  <c r="AG399" i="9"/>
  <c r="C400" i="9"/>
  <c r="E400" i="9"/>
  <c r="F400" i="9"/>
  <c r="K400" i="9"/>
  <c r="L400" i="9"/>
  <c r="M400" i="9"/>
  <c r="N400" i="9"/>
  <c r="O400" i="9"/>
  <c r="S400" i="9"/>
  <c r="V400" i="9"/>
  <c r="AA400" i="9"/>
  <c r="AD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B396" i="21"/>
  <c r="D396" i="21"/>
  <c r="E396" i="21"/>
  <c r="J396" i="21"/>
  <c r="L396" i="21"/>
  <c r="M396" i="21"/>
  <c r="O396" i="21"/>
  <c r="R396" i="21"/>
  <c r="X396" i="21"/>
  <c r="AA396" i="21"/>
  <c r="AF396" i="21"/>
  <c r="AI396" i="21"/>
  <c r="A397" i="21"/>
  <c r="B397" i="21"/>
  <c r="G397" i="21"/>
  <c r="H397" i="21"/>
  <c r="I397" i="21"/>
  <c r="J397" i="21"/>
  <c r="O397" i="21"/>
  <c r="Q397" i="21"/>
  <c r="R397" i="21"/>
  <c r="T397" i="21"/>
  <c r="W397" i="21"/>
  <c r="AB397" i="21"/>
  <c r="AE397" i="21"/>
  <c r="B398" i="21"/>
  <c r="D398" i="21"/>
  <c r="F398" i="21"/>
  <c r="G398" i="21"/>
  <c r="I398" i="21"/>
  <c r="L398" i="21"/>
  <c r="M398" i="21"/>
  <c r="N398" i="21"/>
  <c r="O398" i="21"/>
  <c r="X398" i="21"/>
  <c r="AA398" i="21"/>
  <c r="AF398" i="21"/>
  <c r="AI398" i="21"/>
  <c r="A399" i="21"/>
  <c r="C399" i="21"/>
  <c r="D399" i="21"/>
  <c r="G399" i="21"/>
  <c r="I399" i="21"/>
  <c r="K399" i="21"/>
  <c r="L399" i="21"/>
  <c r="Q399" i="21"/>
  <c r="S399" i="21"/>
  <c r="V399" i="21"/>
  <c r="AA399" i="21"/>
  <c r="AD399" i="21"/>
  <c r="AI399" i="21"/>
  <c r="A400" i="21"/>
  <c r="C400" i="21"/>
  <c r="F400" i="21"/>
  <c r="H400" i="21"/>
  <c r="I400" i="21"/>
  <c r="L400" i="21"/>
  <c r="N400" i="21"/>
  <c r="P400" i="21"/>
  <c r="Q400" i="21"/>
  <c r="W400" i="21"/>
  <c r="Z400" i="21"/>
  <c r="AE400" i="21"/>
  <c r="AH400" i="21"/>
  <c r="C401" i="21"/>
  <c r="E401" i="21"/>
  <c r="F401" i="21"/>
  <c r="K401" i="21"/>
  <c r="M401" i="21"/>
  <c r="N401" i="21"/>
  <c r="P401" i="21"/>
  <c r="Q401" i="21"/>
  <c r="S401" i="21"/>
  <c r="Z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B396" i="11"/>
  <c r="D396" i="11"/>
  <c r="E396" i="11"/>
  <c r="F396" i="11"/>
  <c r="J396" i="11"/>
  <c r="K396" i="11"/>
  <c r="L396" i="11"/>
  <c r="M396" i="11"/>
  <c r="N396" i="11"/>
  <c r="R396" i="11"/>
  <c r="Y396" i="11"/>
  <c r="AD396" i="11"/>
  <c r="AG396" i="11"/>
  <c r="A397" i="11"/>
  <c r="B397" i="11"/>
  <c r="C397" i="11"/>
  <c r="G397" i="11"/>
  <c r="H397" i="11"/>
  <c r="I397" i="11"/>
  <c r="J397" i="11"/>
  <c r="K397" i="11"/>
  <c r="O397" i="11"/>
  <c r="Q397" i="11"/>
  <c r="R397" i="11"/>
  <c r="S397" i="11"/>
  <c r="W397" i="11"/>
  <c r="Z397" i="11"/>
  <c r="AE397" i="11"/>
  <c r="AH397" i="11"/>
  <c r="D398" i="11"/>
  <c r="F398" i="11"/>
  <c r="G398" i="11"/>
  <c r="H398" i="11"/>
  <c r="L398" i="11"/>
  <c r="N398" i="11"/>
  <c r="O398" i="11"/>
  <c r="P398" i="11"/>
  <c r="Z398" i="11"/>
  <c r="AH398" i="11"/>
  <c r="A399" i="11"/>
  <c r="B399" i="11"/>
  <c r="C399" i="11"/>
  <c r="D399" i="11"/>
  <c r="E399" i="11"/>
  <c r="I399" i="11"/>
  <c r="K399" i="11"/>
  <c r="L399" i="11"/>
  <c r="M399" i="11"/>
  <c r="Q399" i="11"/>
  <c r="S399" i="11"/>
  <c r="V399" i="11"/>
  <c r="AA399" i="11"/>
  <c r="AD399" i="11"/>
  <c r="AI399" i="11"/>
  <c r="A400" i="11"/>
  <c r="B400" i="11"/>
  <c r="F400" i="11"/>
  <c r="H400" i="11"/>
  <c r="I400" i="11"/>
  <c r="J400" i="11"/>
  <c r="N400" i="11"/>
  <c r="O400" i="11"/>
  <c r="P400" i="11"/>
  <c r="Q400" i="11"/>
  <c r="R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0" i="2"/>
  <c r="I380" i="2"/>
  <c r="H381" i="2"/>
  <c r="I381" i="2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AO3" i="2"/>
  <c r="AO2" i="2"/>
  <c r="I378" i="2"/>
  <c r="I379" i="2"/>
  <c r="H378" i="2"/>
  <c r="H379" i="2"/>
  <c r="K2" i="2"/>
  <c r="L2" i="2"/>
  <c r="M2" i="2"/>
  <c r="N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N2" i="2"/>
  <c r="AI2" i="2"/>
  <c r="AJ2" i="2"/>
  <c r="AK2" i="2"/>
  <c r="AL2" i="2"/>
  <c r="AM2" i="2"/>
  <c r="AG2" i="2"/>
  <c r="AH2" i="2"/>
  <c r="AE2" i="2"/>
  <c r="AF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5" i="2"/>
  <c r="D3" i="24"/>
  <c r="C4" i="24"/>
  <c r="D4" i="24" s="1"/>
  <c r="E14" i="14" l="1"/>
  <c r="G14" i="14" s="1"/>
  <c r="E16" i="14"/>
  <c r="G16" i="14" s="1"/>
  <c r="E15" i="14"/>
  <c r="G15" i="14" s="1"/>
  <c r="G13" i="14"/>
  <c r="I4" i="25"/>
  <c r="G6" i="25"/>
  <c r="F4" i="25"/>
  <c r="K4" i="25"/>
  <c r="H6" i="25"/>
  <c r="P6" i="25"/>
  <c r="J4" i="25"/>
  <c r="L4" i="25"/>
  <c r="H4" i="25"/>
  <c r="N6" i="25"/>
  <c r="V6" i="25"/>
  <c r="X6" i="25"/>
  <c r="AF6" i="25"/>
  <c r="M4" i="25"/>
  <c r="G4" i="25"/>
  <c r="N4" i="25"/>
  <c r="AD6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V4" i="25"/>
  <c r="AD4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X4" i="25"/>
  <c r="AF4" i="25"/>
  <c r="M6" i="25"/>
  <c r="U6" i="25"/>
  <c r="AC6" i="25"/>
  <c r="Y4" i="25"/>
  <c r="AG4" i="25"/>
  <c r="C15" i="24"/>
  <c r="C10" i="24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3" i="2"/>
  <c r="J389" i="2"/>
  <c r="J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5" i="2"/>
  <c r="J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4" i="2"/>
  <c r="J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6" i="2"/>
  <c r="J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1" i="2"/>
  <c r="J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87" i="2"/>
  <c r="J386" i="2"/>
  <c r="AO1" i="2"/>
  <c r="C5" i="24"/>
  <c r="J379" i="2"/>
  <c r="J378" i="2"/>
  <c r="I377" i="2"/>
  <c r="I376" i="2"/>
  <c r="I375" i="2"/>
  <c r="I374" i="2"/>
  <c r="I373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4" i="2"/>
  <c r="I335" i="2"/>
  <c r="I336" i="2"/>
  <c r="I337" i="2"/>
  <c r="I338" i="2"/>
  <c r="I339" i="2"/>
  <c r="J339" i="2" s="1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J371" i="2" s="1"/>
  <c r="I372" i="2"/>
  <c r="I245" i="2"/>
  <c r="I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N3" i="2"/>
  <c r="D15" i="24" l="1"/>
  <c r="C16" i="24"/>
  <c r="D16" i="24" s="1"/>
  <c r="D10" i="24"/>
  <c r="C11" i="24"/>
  <c r="D11" i="24" s="1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J370" i="2"/>
  <c r="J346" i="2"/>
  <c r="J338" i="2"/>
  <c r="J314" i="2"/>
  <c r="J298" i="2"/>
  <c r="J290" i="2"/>
  <c r="J274" i="2"/>
  <c r="J258" i="2"/>
  <c r="J250" i="2"/>
  <c r="A368" i="9"/>
  <c r="AI283" i="10"/>
  <c r="AH191" i="10"/>
  <c r="AH128" i="21"/>
  <c r="AI88" i="10"/>
  <c r="J369" i="2"/>
  <c r="J353" i="2"/>
  <c r="H369" i="11"/>
  <c r="Y368" i="10"/>
  <c r="AH305" i="21"/>
  <c r="AH90" i="10"/>
  <c r="C367" i="9"/>
  <c r="AI304" i="10"/>
  <c r="AI91" i="10"/>
  <c r="J368" i="10"/>
  <c r="AG368" i="11"/>
  <c r="AH263" i="11"/>
  <c r="J372" i="2"/>
  <c r="J364" i="2"/>
  <c r="J348" i="2"/>
  <c r="J340" i="2"/>
  <c r="J332" i="2"/>
  <c r="J316" i="2"/>
  <c r="J308" i="2"/>
  <c r="B368" i="10"/>
  <c r="AH311" i="11"/>
  <c r="AH252" i="10"/>
  <c r="AI115" i="10"/>
  <c r="AI3" i="11"/>
  <c r="A31" i="14" s="1"/>
  <c r="AH3" i="11"/>
  <c r="A30" i="14" s="1"/>
  <c r="J257" i="2"/>
  <c r="J356" i="2"/>
  <c r="J354" i="2"/>
  <c r="J330" i="2"/>
  <c r="J322" i="2"/>
  <c r="J361" i="2"/>
  <c r="J265" i="2"/>
  <c r="J362" i="2"/>
  <c r="J266" i="2"/>
  <c r="J264" i="2"/>
  <c r="J300" i="2"/>
  <c r="J276" i="2"/>
  <c r="J268" i="2"/>
  <c r="J260" i="2"/>
  <c r="P369" i="11"/>
  <c r="J360" i="2"/>
  <c r="J336" i="2"/>
  <c r="J312" i="2"/>
  <c r="J321" i="2"/>
  <c r="J368" i="2"/>
  <c r="J275" i="2"/>
  <c r="J347" i="2"/>
  <c r="J345" i="2"/>
  <c r="J323" i="2"/>
  <c r="J320" i="2"/>
  <c r="J305" i="2"/>
  <c r="J288" i="2"/>
  <c r="J273" i="2"/>
  <c r="J280" i="2"/>
  <c r="J251" i="2"/>
  <c r="J344" i="2"/>
  <c r="J337" i="2"/>
  <c r="J329" i="2"/>
  <c r="J252" i="2"/>
  <c r="J365" i="2"/>
  <c r="J357" i="2"/>
  <c r="J349" i="2"/>
  <c r="J341" i="2"/>
  <c r="J333" i="2"/>
  <c r="J317" i="2"/>
  <c r="J301" i="2"/>
  <c r="J277" i="2"/>
  <c r="J269" i="2"/>
  <c r="J261" i="2"/>
  <c r="J253" i="2"/>
  <c r="J374" i="2"/>
  <c r="M368" i="11"/>
  <c r="U368" i="11"/>
  <c r="AB369" i="11"/>
  <c r="AC367" i="9"/>
  <c r="J376" i="2"/>
  <c r="T368" i="9"/>
  <c r="J367" i="2"/>
  <c r="J359" i="2"/>
  <c r="J351" i="2"/>
  <c r="J335" i="2"/>
  <c r="J311" i="2"/>
  <c r="J295" i="2"/>
  <c r="J271" i="2"/>
  <c r="J263" i="2"/>
  <c r="J255" i="2"/>
  <c r="J366" i="2"/>
  <c r="J358" i="2"/>
  <c r="J350" i="2"/>
  <c r="J342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5" i="2"/>
  <c r="J373" i="2"/>
  <c r="J377" i="2"/>
  <c r="J307" i="2"/>
  <c r="J306" i="2"/>
  <c r="J304" i="2"/>
  <c r="J297" i="2"/>
  <c r="J363" i="2"/>
  <c r="J309" i="2"/>
  <c r="J325" i="2"/>
  <c r="J334" i="2"/>
  <c r="J310" i="2"/>
  <c r="J327" i="2"/>
  <c r="J247" i="2"/>
  <c r="J343" i="2"/>
  <c r="J355" i="2"/>
  <c r="J289" i="2"/>
  <c r="J352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M1" i="2"/>
  <c r="AN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L3" i="2"/>
  <c r="M3" i="2"/>
  <c r="N3" i="2"/>
  <c r="P3" i="2"/>
  <c r="P1" i="2" s="1"/>
  <c r="Q3" i="2"/>
  <c r="R3" i="2"/>
  <c r="S3" i="2"/>
  <c r="T3" i="2"/>
  <c r="U3" i="2"/>
  <c r="V3" i="2"/>
  <c r="W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K3" i="2"/>
  <c r="F5" i="21"/>
  <c r="F6" i="21"/>
  <c r="Y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H1" i="2"/>
  <c r="AF1" i="2"/>
  <c r="X1" i="2"/>
  <c r="R1" i="2"/>
  <c r="L1" i="2"/>
  <c r="AD1" i="2"/>
  <c r="AB1" i="2"/>
  <c r="Z1" i="2"/>
  <c r="W1" i="2"/>
  <c r="V1" i="2"/>
  <c r="U1" i="2"/>
  <c r="N1" i="2"/>
  <c r="T1" i="2"/>
  <c r="B1" i="2"/>
  <c r="F12" i="14" s="1"/>
  <c r="F10" i="14" l="1"/>
  <c r="F11" i="14"/>
  <c r="O2" i="21"/>
  <c r="D11" i="14" s="1"/>
  <c r="AI2" i="21"/>
  <c r="AH2" i="21"/>
  <c r="AC2" i="21"/>
  <c r="U2" i="21"/>
  <c r="M2" i="21"/>
  <c r="D9" i="14" s="1"/>
  <c r="S2" i="21"/>
  <c r="AB2" i="21"/>
  <c r="T2" i="21"/>
  <c r="L2" i="21"/>
  <c r="D8" i="14" s="1"/>
  <c r="Z2" i="21"/>
  <c r="R2" i="21"/>
  <c r="J2" i="21"/>
  <c r="D6" i="14" s="1"/>
  <c r="AA2" i="21"/>
  <c r="Y2" i="21"/>
  <c r="Q2" i="21"/>
  <c r="I2" i="21"/>
  <c r="D5" i="14" s="1"/>
  <c r="K2" i="21"/>
  <c r="X2" i="21"/>
  <c r="P2" i="21"/>
  <c r="D12" i="14" s="1"/>
  <c r="H2" i="21"/>
  <c r="D4" i="14" s="1"/>
  <c r="W2" i="21"/>
  <c r="G2" i="21"/>
  <c r="D3" i="14" s="1"/>
  <c r="AD2" i="21"/>
  <c r="V2" i="21"/>
  <c r="N2" i="21"/>
  <c r="D10" i="14" s="1"/>
  <c r="F7" i="14"/>
  <c r="F3" i="14"/>
  <c r="F8" i="14"/>
  <c r="F6" i="14"/>
  <c r="F9" i="14"/>
  <c r="F5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M1" i="2"/>
  <c r="AC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G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L1" i="2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K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J1" i="2"/>
  <c r="Q1" i="2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AE1" i="2"/>
  <c r="J9" i="2"/>
  <c r="K1" i="2"/>
  <c r="S1" i="2"/>
  <c r="AA1" i="2"/>
  <c r="AI1" i="2"/>
  <c r="P2" i="11" l="1"/>
  <c r="B12" i="14" s="1"/>
  <c r="O2" i="11"/>
  <c r="B11" i="14" s="1"/>
  <c r="K2" i="11"/>
  <c r="G2" i="11"/>
  <c r="L2" i="11"/>
  <c r="B8" i="14" s="1"/>
  <c r="F2" i="11"/>
  <c r="M2" i="11"/>
  <c r="H2" i="1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W2" i="10"/>
  <c r="AF2" i="10"/>
  <c r="AG1" i="9"/>
  <c r="P2" i="10"/>
  <c r="C12" i="14" s="1"/>
  <c r="E12" i="14" s="1"/>
  <c r="G12" i="14" s="1"/>
  <c r="AA2" i="10"/>
  <c r="AB2" i="10"/>
  <c r="U1" i="9"/>
  <c r="V1" i="9"/>
  <c r="G1" i="9"/>
  <c r="R1" i="9"/>
  <c r="K1" i="9"/>
  <c r="AG2" i="21"/>
  <c r="Q2" i="10"/>
  <c r="D1" i="10"/>
  <c r="V2" i="10"/>
  <c r="G2" i="10"/>
  <c r="C3" i="14" s="1"/>
  <c r="Q1" i="9"/>
  <c r="R2" i="10"/>
  <c r="K2" i="10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C9" i="14" s="1"/>
  <c r="AD2" i="10"/>
  <c r="O2" i="10"/>
  <c r="C11" i="14" s="1"/>
  <c r="AB1" i="9"/>
  <c r="H2" i="10"/>
  <c r="C4" i="14" s="1"/>
  <c r="Y1" i="9"/>
  <c r="Z2" i="10"/>
  <c r="S2" i="10"/>
  <c r="T2" i="10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AG2" i="11"/>
  <c r="R2" i="11"/>
  <c r="AB2" i="11"/>
  <c r="V2" i="11"/>
  <c r="B3" i="14"/>
  <c r="Q2" i="11"/>
  <c r="AA2" i="11"/>
  <c r="AC2" i="11"/>
  <c r="U2" i="11"/>
  <c r="AE2" i="11"/>
  <c r="AF2" i="11"/>
  <c r="X2" i="11"/>
  <c r="AD2" i="11"/>
  <c r="Y2" i="11"/>
  <c r="Z2" i="11"/>
  <c r="S2" i="11"/>
  <c r="B9" i="14"/>
  <c r="B4" i="14"/>
  <c r="T2" i="11"/>
  <c r="W2" i="11"/>
  <c r="E11" i="14" l="1"/>
  <c r="G11" i="14" s="1"/>
  <c r="E10" i="14"/>
  <c r="G10" i="14" s="1"/>
  <c r="B2" i="14"/>
  <c r="E2" i="14" s="1"/>
  <c r="G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<sst xmlns="http://schemas.openxmlformats.org/spreadsheetml/2006/main" count="3511" uniqueCount="1208">
  <si>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</si>
  <si>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</si>
  <si>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</si>
  <si>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</si>
  <si>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</si>
  <si>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</si>
  <si>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</si>
  <si>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</si>
  <si>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</si>
  <si>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</si>
  <si>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</si>
  <si>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</si>
  <si>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</si>
  <si>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</si>
  <si>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</si>
  <si>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</si>
  <si>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</si>
  <si>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</si>
  <si>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</si>
  <si>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</si>
  <si>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</si>
  <si>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</si>
  <si>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</si>
  <si>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</si>
  <si>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</si>
  <si>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</si>
  <si>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</si>
  <si>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</si>
  <si>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</si>
  <si>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</si>
  <si>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</si>
  <si>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</si>
  <si>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</si>
  <si>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</si>
  <si>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</si>
  <si>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</si>
  <si>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</si>
  <si>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</si>
  <si>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</si>
  <si>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</si>
  <si>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</si>
  <si>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</si>
  <si>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</si>
  <si>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</si>
  <si>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</si>
  <si>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</si>
  <si>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</si>
  <si>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</si>
  <si>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</si>
  <si>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</si>
  <si>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</si>
  <si>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</si>
  <si>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</si>
  <si>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</si>
  <si>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</si>
  <si>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</si>
  <si>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</si>
  <si>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</si>
  <si>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</si>
  <si>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</si>
  <si>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</si>
  <si>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</si>
  <si>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</si>
  <si>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</si>
  <si>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</si>
  <si>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</si>
  <si>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</si>
  <si>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</si>
  <si>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</si>
  <si>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</si>
  <si>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</si>
  <si>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</si>
  <si>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</si>
  <si>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</si>
  <si>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</si>
  <si>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</si>
  <si>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</si>
  <si>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</si>
  <si>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</si>
  <si>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</si>
  <si>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</si>
  <si>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</si>
  <si>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</si>
  <si>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</si>
  <si>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</si>
  <si>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</si>
  <si>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</si>
  <si>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</si>
  <si>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</si>
  <si>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</si>
  <si>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</si>
  <si>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</si>
  <si>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</si>
  <si>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</si>
  <si>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</si>
  <si>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</si>
  <si>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</si>
  <si>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</si>
  <si>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</si>
  <si>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</si>
  <si>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</si>
  <si>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</si>
  <si>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</si>
  <si>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</si>
  <si>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</si>
  <si>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</si>
  <si>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</si>
  <si>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</si>
  <si>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</si>
  <si>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</si>
  <si>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</si>
  <si>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</si>
  <si>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</si>
  <si>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</si>
  <si>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</si>
  <si>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</si>
  <si>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</si>
  <si>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</si>
  <si>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</si>
  <si>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</si>
  <si>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</si>
  <si>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</si>
  <si>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</si>
  <si>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</si>
  <si>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</si>
  <si>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</si>
  <si>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</si>
  <si>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</si>
  <si>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</si>
  <si>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</si>
  <si>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</si>
  <si>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</si>
  <si>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</si>
  <si>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</si>
  <si>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</si>
  <si>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</si>
  <si>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</si>
  <si>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</si>
  <si>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</si>
  <si>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</si>
  <si>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</si>
  <si>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</si>
  <si>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</si>
  <si>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</si>
  <si>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</si>
  <si>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</si>
  <si>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</si>
  <si>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</si>
  <si>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</si>
  <si>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</si>
  <si>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</si>
  <si>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</si>
  <si>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</si>
  <si>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</si>
  <si>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</si>
  <si>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</si>
  <si>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</si>
  <si>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</si>
  <si>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</si>
  <si>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</si>
  <si>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</si>
  <si>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</si>
  <si>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</si>
  <si>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</si>
  <si>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</si>
  <si>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</si>
  <si>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</si>
  <si>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</si>
  <si>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</si>
  <si>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</si>
  <si>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</si>
  <si>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</si>
  <si>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</si>
  <si>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</si>
  <si>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</si>
  <si>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</si>
  <si>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</si>
  <si>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</si>
  <si>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</si>
  <si>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</si>
  <si>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</si>
  <si>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</si>
  <si>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</si>
  <si>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</si>
  <si>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</si>
  <si>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</si>
  <si>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</si>
  <si>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</si>
  <si>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</si>
  <si>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</si>
  <si>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</si>
  <si>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</si>
  <si>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</si>
  <si>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</si>
  <si>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</si>
  <si>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</si>
  <si>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</si>
  <si>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</si>
  <si>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</si>
  <si>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</si>
  <si>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</si>
  <si>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</si>
  <si>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</si>
  <si>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</si>
  <si>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</si>
  <si>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</si>
  <si>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</si>
  <si>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</si>
  <si>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</si>
  <si>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</si>
  <si>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</si>
  <si>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</si>
  <si>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</si>
  <si>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</si>
  <si>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</si>
  <si>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</si>
  <si>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</si>
  <si>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</si>
  <si>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</si>
  <si>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</si>
  <si>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</si>
  <si>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</si>
  <si>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</si>
  <si>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</si>
  <si>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</si>
  <si>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</si>
  <si>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</si>
  <si>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</si>
  <si>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</si>
  <si>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</si>
  <si>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</si>
  <si>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</si>
  <si>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</si>
  <si>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</si>
  <si>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</si>
  <si>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</si>
  <si>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</si>
  <si>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</si>
  <si>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</si>
  <si>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</si>
  <si>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</si>
  <si>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</si>
  <si>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</si>
  <si>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</si>
  <si>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</si>
  <si>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</si>
  <si>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</si>
  <si>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</si>
  <si>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</si>
  <si>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</si>
  <si>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</si>
  <si>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</si>
  <si>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</si>
  <si>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</si>
  <si>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</si>
  <si>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</si>
  <si>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</si>
  <si>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</si>
  <si>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</si>
  <si>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</si>
  <si>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</si>
  <si>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</si>
  <si>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</si>
  <si>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</si>
  <si>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</si>
  <si>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</si>
  <si>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</si>
  <si>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</si>
  <si>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</si>
  <si>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</si>
  <si>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</si>
  <si>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</si>
  <si>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</si>
  <si>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</si>
  <si>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</si>
  <si>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</si>
  <si>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</si>
  <si>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</si>
  <si>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</si>
  <si>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</si>
  <si>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</si>
  <si>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</si>
  <si>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</si>
  <si>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</si>
  <si>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</si>
  <si>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</si>
  <si>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</si>
  <si>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</si>
  <si>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</si>
  <si>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</si>
  <si>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</si>
  <si>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</si>
  <si>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</si>
  <si>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</si>
  <si>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</si>
  <si>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</si>
  <si>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</si>
  <si>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</si>
  <si>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</si>
  <si>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</si>
  <si>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</si>
  <si>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</si>
  <si>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</si>
  <si>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</si>
  <si>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</si>
  <si>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</si>
  <si>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</si>
  <si>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</si>
  <si>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</si>
  <si>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</si>
  <si>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</si>
  <si>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</si>
  <si>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</si>
  <si>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</si>
  <si>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</si>
  <si>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</si>
  <si>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</si>
  <si>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</si>
  <si>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</si>
  <si>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</si>
  <si>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</si>
  <si>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</si>
  <si>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</si>
  <si>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</si>
  <si>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</si>
  <si>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</si>
  <si>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</si>
  <si>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</si>
  <si>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</si>
  <si>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</si>
  <si>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</si>
  <si>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</si>
  <si>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</si>
  <si>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</si>
  <si>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</si>
  <si>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</si>
  <si>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</si>
  <si>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</si>
  <si>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</si>
  <si>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</si>
  <si>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</si>
  <si>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</si>
  <si>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</si>
  <si>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</si>
  <si>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</si>
  <si>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</si>
  <si>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</si>
  <si>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</si>
  <si>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</si>
  <si>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</si>
  <si>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</si>
  <si>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</si>
  <si>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</si>
  <si>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</si>
  <si>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</si>
  <si>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</si>
  <si>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</si>
  <si>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</si>
  <si>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</si>
  <si>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</si>
  <si>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</si>
  <si>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</si>
  <si>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</si>
  <si>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</si>
  <si>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</si>
  <si>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</si>
  <si>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</si>
  <si>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</si>
  <si>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</si>
  <si>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</si>
  <si>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</si>
  <si>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</si>
  <si>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</si>
  <si>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</si>
  <si>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</si>
  <si>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</si>
  <si>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</si>
  <si>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</si>
  <si>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</si>
  <si>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</si>
  <si>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</si>
  <si>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</si>
  <si>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</si>
  <si>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</si>
  <si>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</si>
  <si>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</si>
  <si>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</si>
  <si>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</si>
  <si>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</si>
  <si>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</si>
  <si>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</si>
  <si>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</si>
  <si>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</si>
  <si>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</si>
  <si>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</si>
  <si>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</si>
  <si>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</si>
  <si>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</si>
  <si>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</si>
  <si>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</si>
  <si>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</si>
  <si>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</si>
  <si>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</si>
  <si>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</si>
  <si>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</si>
  <si>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</si>
  <si>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</si>
  <si>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</si>
  <si>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</si>
  <si>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</si>
  <si>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</si>
  <si>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</si>
  <si>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</si>
  <si>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</si>
  <si>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</si>
  <si>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</si>
  <si>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</si>
  <si>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</si>
  <si>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</si>
  <si>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</si>
  <si>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</si>
  <si>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</si>
  <si>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</si>
  <si>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</si>
  <si>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</si>
  <si>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</si>
  <si>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</si>
  <si>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</si>
  <si>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</si>
  <si>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</si>
  <si>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</si>
  <si>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</si>
  <si>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</si>
  <si>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</si>
  <si>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</si>
  <si>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</si>
  <si>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</si>
  <si>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</si>
  <si>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</si>
  <si>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</si>
  <si>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</si>
  <si>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</si>
  <si>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</si>
  <si>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</si>
  <si>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</si>
  <si>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</si>
  <si>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</si>
  <si>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</si>
  <si>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</si>
  <si>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</si>
  <si>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</si>
  <si>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</si>
  <si>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</si>
  <si>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</si>
  <si>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</si>
  <si>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</si>
  <si>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</si>
  <si>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</si>
  <si>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</si>
  <si>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</si>
  <si>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</si>
  <si>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</si>
  <si>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</si>
  <si>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</si>
  <si>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</si>
  <si>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</si>
  <si>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</si>
  <si>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</si>
  <si>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</si>
  <si>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</si>
  <si>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</si>
  <si>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</si>
  <si>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</si>
  <si>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</si>
  <si>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</si>
  <si>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</si>
  <si>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</si>
  <si>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</si>
  <si>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</si>
  <si>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</si>
  <si>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</si>
  <si>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</si>
  <si>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</si>
  <si>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</si>
  <si>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</si>
  <si>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</si>
  <si>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</si>
  <si>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</si>
  <si>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</si>
  <si>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</si>
  <si>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</si>
  <si>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</si>
  <si>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</si>
  <si>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</si>
  <si>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</si>
  <si>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</si>
  <si>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</si>
  <si>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</si>
  <si>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</si>
  <si>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</si>
  <si>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</si>
  <si>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</si>
  <si>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</si>
  <si>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</si>
  <si>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</si>
  <si>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</si>
  <si>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</si>
  <si>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</si>
  <si>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</si>
  <si>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</si>
  <si>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</si>
  <si>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</si>
  <si>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</si>
  <si>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</si>
  <si>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</si>
  <si>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</si>
  <si>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</si>
  <si>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</si>
  <si>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</si>
  <si>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</si>
  <si>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</si>
  <si>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</si>
  <si>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VAT 12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</si>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</sst>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4" xfId="1" applyNumberFormat="1" applyFon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10" fontId="0" fillId="0" borderId="36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26</c:v>
                </c:pt>
                <c:pt idx="1">
                  <c:v>27</c:v>
                </c:pt>
                <c:pt idx="2">
                  <c:v>20</c:v>
                </c:pt>
                <c:pt idx="3">
                  <c:v>21</c:v>
                </c:pt>
                <c:pt idx="4">
                  <c:v>16</c:v>
                </c:pt>
                <c:pt idx="5">
                  <c:v>34</c:v>
                </c:pt>
                <c:pt idx="6">
                  <c:v>31</c:v>
                </c:pt>
                <c:pt idx="7">
                  <c:v>31</c:v>
                </c:pt>
                <c:pt idx="8">
                  <c:v>35</c:v>
                </c:pt>
                <c:pt idx="9">
                  <c:v>45</c:v>
                </c:pt>
                <c:pt idx="10">
                  <c:v>28</c:v>
                </c:pt>
                <c:pt idx="11">
                  <c:v>34</c:v>
                </c:pt>
                <c:pt idx="12">
                  <c:v>17</c:v>
                </c:pt>
                <c:pt idx="13">
                  <c:v>20</c:v>
                </c:pt>
                <c:pt idx="14">
                  <c:v>20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12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18</c:v>
                </c:pt>
                <c:pt idx="6">
                  <c:v>42</c:v>
                </c:pt>
                <c:pt idx="7">
                  <c:v>19</c:v>
                </c:pt>
                <c:pt idx="8">
                  <c:v>16</c:v>
                </c:pt>
                <c:pt idx="9">
                  <c:v>19</c:v>
                </c:pt>
                <c:pt idx="10">
                  <c:v>10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0.00%</c:formatCode>
                      <c:ptCount val="31"/>
                      <c:pt idx="0">
                        <c:v>0.12264150943396226</c:v>
                      </c:pt>
                      <c:pt idx="1">
                        <c:v>0.12735849056603774</c:v>
                      </c:pt>
                      <c:pt idx="2">
                        <c:v>9.4339622641509441E-2</c:v>
                      </c:pt>
                      <c:pt idx="3">
                        <c:v>9.9056603773584911E-2</c:v>
                      </c:pt>
                      <c:pt idx="4">
                        <c:v>7.5471698113207544E-2</c:v>
                      </c:pt>
                      <c:pt idx="5">
                        <c:v>0.16037735849056603</c:v>
                      </c:pt>
                      <c:pt idx="6">
                        <c:v>0.14622641509433962</c:v>
                      </c:pt>
                      <c:pt idx="7">
                        <c:v>0.14622641509433962</c:v>
                      </c:pt>
                      <c:pt idx="8">
                        <c:v>0.1650943396226415</c:v>
                      </c:pt>
                      <c:pt idx="9">
                        <c:v>0.21226415094339623</c:v>
                      </c:pt>
                      <c:pt idx="10">
                        <c:v>0.13207547169811321</c:v>
                      </c:pt>
                      <c:pt idx="11">
                        <c:v>0.16037735849056603</c:v>
                      </c:pt>
                      <c:pt idx="12">
                        <c:v>8.0188679245283015E-2</c:v>
                      </c:pt>
                      <c:pt idx="13">
                        <c:v>9.4339622641509441E-2</c:v>
                      </c:pt>
                      <c:pt idx="14">
                        <c:v>9.4339622641509441E-2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0.00%</c:formatCode>
                      <c:ptCount val="31"/>
                      <c:pt idx="0">
                        <c:v>6.6666666666666666E-2</c:v>
                      </c:pt>
                      <c:pt idx="1">
                        <c:v>7.7777777777777779E-2</c:v>
                      </c:pt>
                      <c:pt idx="2">
                        <c:v>6.1111111111111109E-2</c:v>
                      </c:pt>
                      <c:pt idx="3">
                        <c:v>7.2222222222222215E-2</c:v>
                      </c:pt>
                      <c:pt idx="4">
                        <c:v>7.7777777777777779E-2</c:v>
                      </c:pt>
                      <c:pt idx="5">
                        <c:v>0.1</c:v>
                      </c:pt>
                      <c:pt idx="6">
                        <c:v>0.23333333333333334</c:v>
                      </c:pt>
                      <c:pt idx="7">
                        <c:v>0.10555555555555556</c:v>
                      </c:pt>
                      <c:pt idx="8">
                        <c:v>8.8888888888888892E-2</c:v>
                      </c:pt>
                      <c:pt idx="9">
                        <c:v>0.10555555555555556</c:v>
                      </c:pt>
                      <c:pt idx="10">
                        <c:v>5.5555555555555552E-2</c:v>
                      </c:pt>
                      <c:pt idx="11">
                        <c:v>6.1111111111111109E-2</c:v>
                      </c:pt>
                      <c:pt idx="12">
                        <c:v>6.1111111111111109E-2</c:v>
                      </c:pt>
                      <c:pt idx="13">
                        <c:v>6.1111111111111109E-2</c:v>
                      </c:pt>
                      <c:pt idx="14">
                        <c:v>7.7777777777777779E-2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0.00%</c:formatCode>
                <c:ptCount val="31"/>
                <c:pt idx="0">
                  <c:v>0.12264150943396226</c:v>
                </c:pt>
                <c:pt idx="1">
                  <c:v>0.12735849056603774</c:v>
                </c:pt>
                <c:pt idx="2">
                  <c:v>9.4339622641509441E-2</c:v>
                </c:pt>
                <c:pt idx="3">
                  <c:v>9.9056603773584911E-2</c:v>
                </c:pt>
                <c:pt idx="4">
                  <c:v>7.5471698113207544E-2</c:v>
                </c:pt>
                <c:pt idx="5">
                  <c:v>0.16037735849056603</c:v>
                </c:pt>
                <c:pt idx="6">
                  <c:v>0.14622641509433962</c:v>
                </c:pt>
                <c:pt idx="7">
                  <c:v>0.14622641509433962</c:v>
                </c:pt>
                <c:pt idx="8">
                  <c:v>0.1650943396226415</c:v>
                </c:pt>
                <c:pt idx="9">
                  <c:v>0.21226415094339623</c:v>
                </c:pt>
                <c:pt idx="10">
                  <c:v>0.13207547169811321</c:v>
                </c:pt>
                <c:pt idx="11">
                  <c:v>0.16037735849056603</c:v>
                </c:pt>
                <c:pt idx="12">
                  <c:v>8.0188679245283015E-2</c:v>
                </c:pt>
                <c:pt idx="13">
                  <c:v>9.4339622641509441E-2</c:v>
                </c:pt>
                <c:pt idx="14">
                  <c:v>9.4339622641509441E-2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0.00%</c:formatCode>
                <c:ptCount val="31"/>
                <c:pt idx="0">
                  <c:v>6.6666666666666666E-2</c:v>
                </c:pt>
                <c:pt idx="1">
                  <c:v>7.7777777777777779E-2</c:v>
                </c:pt>
                <c:pt idx="2">
                  <c:v>6.1111111111111109E-2</c:v>
                </c:pt>
                <c:pt idx="3">
                  <c:v>7.2222222222222215E-2</c:v>
                </c:pt>
                <c:pt idx="4">
                  <c:v>7.7777777777777779E-2</c:v>
                </c:pt>
                <c:pt idx="5">
                  <c:v>0.1</c:v>
                </c:pt>
                <c:pt idx="6">
                  <c:v>0.23333333333333334</c:v>
                </c:pt>
                <c:pt idx="7">
                  <c:v>0.10555555555555556</c:v>
                </c:pt>
                <c:pt idx="8">
                  <c:v>8.8888888888888892E-2</c:v>
                </c:pt>
                <c:pt idx="9">
                  <c:v>0.10555555555555556</c:v>
                </c:pt>
                <c:pt idx="10">
                  <c:v>5.5555555555555552E-2</c:v>
                </c:pt>
                <c:pt idx="11">
                  <c:v>6.1111111111111109E-2</c:v>
                </c:pt>
                <c:pt idx="12">
                  <c:v>6.1111111111111109E-2</c:v>
                </c:pt>
                <c:pt idx="13">
                  <c:v>6.1111111111111109E-2</c:v>
                </c:pt>
                <c:pt idx="14">
                  <c:v>7.7777777777777779E-2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26</c:v>
                      </c:pt>
                      <c:pt idx="1">
                        <c:v>27</c:v>
                      </c:pt>
                      <c:pt idx="2">
                        <c:v>20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34</c:v>
                      </c:pt>
                      <c:pt idx="6">
                        <c:v>31</c:v>
                      </c:pt>
                      <c:pt idx="7">
                        <c:v>31</c:v>
                      </c:pt>
                      <c:pt idx="8">
                        <c:v>35</c:v>
                      </c:pt>
                      <c:pt idx="9">
                        <c:v>45</c:v>
                      </c:pt>
                      <c:pt idx="10">
                        <c:v>28</c:v>
                      </c:pt>
                      <c:pt idx="11">
                        <c:v>34</c:v>
                      </c:pt>
                      <c:pt idx="12">
                        <c:v>17</c:v>
                      </c:pt>
                      <c:pt idx="13">
                        <c:v>20</c:v>
                      </c:pt>
                      <c:pt idx="14">
                        <c:v>20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12</c:v>
                      </c:pt>
                      <c:pt idx="1">
                        <c:v>14</c:v>
                      </c:pt>
                      <c:pt idx="2">
                        <c:v>11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18</c:v>
                      </c:pt>
                      <c:pt idx="6">
                        <c:v>42</c:v>
                      </c:pt>
                      <c:pt idx="7">
                        <c:v>19</c:v>
                      </c:pt>
                      <c:pt idx="8">
                        <c:v>16</c:v>
                      </c:pt>
                      <c:pt idx="9">
                        <c:v>19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11</c:v>
                      </c:pt>
                      <c:pt idx="13">
                        <c:v>11</c:v>
                      </c:pt>
                      <c:pt idx="14">
                        <c:v>14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6"/>
  <sheetViews>
    <sheetView zoomScale="84" zoomScaleNormal="84" workbookViewId="0">
      <pane xSplit="10" ySplit="4" topLeftCell="Y195" activePane="bottomRight" state="frozen"/>
      <selection pane="topRight" activeCell="M1" sqref="M1"/>
      <selection pane="bottomLeft" activeCell="A5" sqref="A5"/>
      <selection pane="bottomRight" activeCell="Y225" sqref="Y225"/>
    </sheetView>
  </sheetViews>
  <sheetFormatPr baseColWidth="10" defaultRowHeight="14.4" x14ac:dyDescent="0.3"/>
  <cols>
    <col min="1" max="1" width="26.6640625" bestFit="1" customWidth="1"/>
    <col min="2" max="2" width="32.88671875" style="45" customWidth="1"/>
    <col min="3" max="3" width="16.33203125" style="52" customWidth="1"/>
    <col min="4" max="4" width="42.5546875" customWidth="1"/>
    <col min="5" max="5" width="15.6640625" style="23" customWidth="1"/>
    <col min="6" max="6" width="17.44140625" style="24" customWidth="1"/>
    <col min="7" max="7" width="13.6640625" style="24" customWidth="1"/>
    <col min="8" max="8" width="14.6640625" hidden="1" customWidth="1"/>
    <col min="9" max="9" width="6.6640625" customWidth="1"/>
    <col min="10" max="10" width="11.5546875" style="5" customWidth="1"/>
    <col min="11" max="19" width="8.6640625" style="22" customWidth="1"/>
    <col min="20" max="40" width="14.109375" style="22" bestFit="1" customWidth="1"/>
    <col min="41" max="41" width="14.109375" bestFit="1" customWidth="1"/>
  </cols>
  <sheetData>
    <row r="1" spans="1:41" s="5" customFormat="1" ht="27.75" customHeight="1" thickTop="1" x14ac:dyDescent="0.3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5"/>
      <c r="I1" s="35"/>
      <c r="J1" s="2"/>
      <c r="K1" s="4">
        <f t="shared" ref="K1:AL1" si="0">(K3)/(K2+K3)</f>
        <v>0.10026385224274406</v>
      </c>
      <c r="L1" s="4">
        <f t="shared" si="0"/>
        <v>0.10817941952506596</v>
      </c>
      <c r="M1" s="4">
        <f t="shared" si="0"/>
        <v>8.1794195250659632E-2</v>
      </c>
      <c r="N1" s="4">
        <f t="shared" si="0"/>
        <v>8.9709762532981532E-2</v>
      </c>
      <c r="O1" s="4"/>
      <c r="P1" s="4">
        <f>(P3)/(P2+P3)</f>
        <v>0.13720316622691292</v>
      </c>
      <c r="Q1" s="4">
        <f t="shared" si="0"/>
        <v>0.19261213720316622</v>
      </c>
      <c r="R1" s="4">
        <f t="shared" si="0"/>
        <v>0.13192612137203166</v>
      </c>
      <c r="S1" s="4">
        <f t="shared" si="0"/>
        <v>0.13456464379947231</v>
      </c>
      <c r="T1" s="4">
        <f t="shared" si="0"/>
        <v>0.16886543535620052</v>
      </c>
      <c r="U1" s="4">
        <f t="shared" si="0"/>
        <v>0.10133333333333333</v>
      </c>
      <c r="V1" s="4">
        <f t="shared" si="0"/>
        <v>0.12</v>
      </c>
      <c r="W1" s="4">
        <f t="shared" si="0"/>
        <v>7.4666666666666673E-2</v>
      </c>
      <c r="X1" s="4">
        <f t="shared" si="0"/>
        <v>8.2666666666666666E-2</v>
      </c>
      <c r="Y1" s="4">
        <f>(Y3)/(Y2+Y3)</f>
        <v>9.0666666666666673E-2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:AN1" si="1">(AM3)/(AM2+AM3)</f>
        <v>0</v>
      </c>
      <c r="AN1" s="4">
        <f t="shared" si="1"/>
        <v>0</v>
      </c>
      <c r="AO1" s="4">
        <f t="shared" ref="AO1" si="2">(AO3)/(AO2+AO3)</f>
        <v>0</v>
      </c>
    </row>
    <row r="2" spans="1:41" s="11" customFormat="1" x14ac:dyDescent="0.3">
      <c r="A2" s="6"/>
      <c r="B2" s="43"/>
      <c r="C2" s="101"/>
      <c r="D2" s="7" t="s">
        <v>5</v>
      </c>
      <c r="E2" s="39"/>
      <c r="F2" s="40"/>
      <c r="G2" s="40"/>
      <c r="H2" s="41"/>
      <c r="I2" s="41"/>
      <c r="J2" s="46"/>
      <c r="K2" s="10">
        <f t="shared" ref="K2:AD2" si="3">COUNTIF(K5:K379, "")</f>
        <v>341</v>
      </c>
      <c r="L2" s="10">
        <f t="shared" si="3"/>
        <v>338</v>
      </c>
      <c r="M2" s="10">
        <f t="shared" si="3"/>
        <v>348</v>
      </c>
      <c r="N2" s="10">
        <f t="shared" si="3"/>
        <v>345</v>
      </c>
      <c r="O2" s="10"/>
      <c r="P2" s="10">
        <f t="shared" si="3"/>
        <v>327</v>
      </c>
      <c r="Q2" s="10">
        <f t="shared" si="3"/>
        <v>306</v>
      </c>
      <c r="R2" s="10">
        <f t="shared" si="3"/>
        <v>329</v>
      </c>
      <c r="S2" s="10">
        <f t="shared" si="3"/>
        <v>328</v>
      </c>
      <c r="T2" s="10">
        <f t="shared" si="3"/>
        <v>315</v>
      </c>
      <c r="U2" s="10">
        <f t="shared" si="3"/>
        <v>337</v>
      </c>
      <c r="V2" s="10">
        <f t="shared" si="3"/>
        <v>330</v>
      </c>
      <c r="W2" s="10">
        <f t="shared" si="3"/>
        <v>347</v>
      </c>
      <c r="X2" s="10">
        <f t="shared" si="3"/>
        <v>344</v>
      </c>
      <c r="Y2" s="10">
        <f t="shared" si="3"/>
        <v>341</v>
      </c>
      <c r="Z2" s="10">
        <f t="shared" si="3"/>
        <v>375</v>
      </c>
      <c r="AA2" s="10">
        <f t="shared" si="3"/>
        <v>375</v>
      </c>
      <c r="AB2" s="10">
        <f t="shared" si="3"/>
        <v>375</v>
      </c>
      <c r="AC2" s="10">
        <f t="shared" si="3"/>
        <v>375</v>
      </c>
      <c r="AD2" s="10">
        <f t="shared" si="3"/>
        <v>375</v>
      </c>
      <c r="AE2" s="10">
        <f>COUNTIF(AE5:AE379, "")</f>
        <v>375</v>
      </c>
      <c r="AF2" s="10">
        <f>COUNTIF(AF5:AF379, "")</f>
        <v>375</v>
      </c>
      <c r="AG2" s="10">
        <f>COUNTIF(AG5:AG379, "")</f>
        <v>375</v>
      </c>
      <c r="AH2" s="10">
        <f>COUNTIF(AH5:AH379, "")</f>
        <v>375</v>
      </c>
      <c r="AI2" s="10">
        <f t="shared" ref="AI2:AM2" si="4">COUNTIF(AI5:AI379, "")</f>
        <v>375</v>
      </c>
      <c r="AJ2" s="10">
        <f t="shared" si="4"/>
        <v>375</v>
      </c>
      <c r="AK2" s="10">
        <f t="shared" si="4"/>
        <v>375</v>
      </c>
      <c r="AL2" s="10">
        <f t="shared" si="4"/>
        <v>375</v>
      </c>
      <c r="AM2" s="10">
        <f t="shared" si="4"/>
        <v>375</v>
      </c>
      <c r="AN2" s="10">
        <f>COUNTIF(AN5:AN379, "")</f>
        <v>375</v>
      </c>
      <c r="AO2" s="10">
        <f>COUNTIF(AO5:AO379, "")</f>
        <v>375</v>
      </c>
    </row>
    <row r="3" spans="1:41" s="11" customFormat="1" ht="15" thickBot="1" x14ac:dyDescent="0.35">
      <c r="A3" s="12"/>
      <c r="B3" s="44"/>
      <c r="C3" s="101"/>
      <c r="D3" s="13" t="s">
        <v>6</v>
      </c>
      <c r="E3" s="36"/>
      <c r="F3" s="37"/>
      <c r="G3" s="37"/>
      <c r="H3" s="38"/>
      <c r="I3" s="38"/>
      <c r="J3" s="47"/>
      <c r="K3" s="14">
        <f>COUNTIF(K4:K447, "apagado")</f>
        <v>38</v>
      </c>
      <c r="L3" s="14">
        <f t="shared" ref="L3:AL3" si="5">COUNTIF(L4:L447, "apagado")</f>
        <v>41</v>
      </c>
      <c r="M3" s="14">
        <f t="shared" si="5"/>
        <v>31</v>
      </c>
      <c r="N3" s="14">
        <f t="shared" si="5"/>
        <v>34</v>
      </c>
      <c r="O3" s="14"/>
      <c r="P3" s="14">
        <f t="shared" si="5"/>
        <v>52</v>
      </c>
      <c r="Q3" s="14">
        <f t="shared" si="5"/>
        <v>73</v>
      </c>
      <c r="R3" s="14">
        <f t="shared" si="5"/>
        <v>50</v>
      </c>
      <c r="S3" s="14">
        <f t="shared" si="5"/>
        <v>51</v>
      </c>
      <c r="T3" s="14">
        <f t="shared" si="5"/>
        <v>64</v>
      </c>
      <c r="U3" s="14">
        <f t="shared" si="5"/>
        <v>38</v>
      </c>
      <c r="V3" s="14">
        <f t="shared" si="5"/>
        <v>45</v>
      </c>
      <c r="W3" s="14">
        <f t="shared" si="5"/>
        <v>28</v>
      </c>
      <c r="X3" s="14">
        <f t="shared" si="5"/>
        <v>31</v>
      </c>
      <c r="Y3" s="14">
        <f t="shared" si="5"/>
        <v>34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ref="AM3:AN3" si="6">COUNTIF(AM4:AM447, "apagado")</f>
        <v>0</v>
      </c>
      <c r="AN3" s="14">
        <f t="shared" si="6"/>
        <v>0</v>
      </c>
      <c r="AO3" s="14">
        <f t="shared" ref="AO3" si="7">COUNTIF(AO4:AO447, "apagado")</f>
        <v>0</v>
      </c>
    </row>
    <row r="4" spans="1:41" s="11" customFormat="1" ht="30.6" thickTop="1" thickBot="1" x14ac:dyDescent="0.4">
      <c r="A4" t="s">
        <v>7</v>
      </c>
      <c r="B4" s="45" t="s">
        <v>8</v>
      </c>
      <c r="C4" s="102" t="s">
        <v>1191</v>
      </c>
      <c r="D4" t="s">
        <v>9</v>
      </c>
      <c r="E4" t="s">
        <v>10</v>
      </c>
      <c r="F4" t="s">
        <v>11</v>
      </c>
      <c r="G4"/>
      <c r="H4" s="32" t="s">
        <v>2</v>
      </c>
      <c r="I4" s="32" t="s">
        <v>3</v>
      </c>
      <c r="J4" s="3" t="s">
        <v>4</v>
      </c>
      <c r="K4" s="15">
        <v>44774</v>
      </c>
      <c r="L4" s="15">
        <v>44775</v>
      </c>
      <c r="M4" s="15">
        <v>44776</v>
      </c>
      <c r="N4" s="15">
        <v>44777</v>
      </c>
      <c r="O4" s="15">
        <v>44778</v>
      </c>
      <c r="P4" s="15">
        <v>44779</v>
      </c>
      <c r="Q4" s="15">
        <v>44780</v>
      </c>
      <c r="R4" s="15">
        <v>44781</v>
      </c>
      <c r="S4" s="15">
        <v>44782</v>
      </c>
      <c r="T4" s="15">
        <v>44783</v>
      </c>
      <c r="U4" s="15">
        <v>44784</v>
      </c>
      <c r="V4" s="15">
        <v>44785</v>
      </c>
      <c r="W4" s="15">
        <v>44786</v>
      </c>
      <c r="X4" s="15">
        <v>44787</v>
      </c>
      <c r="Y4" s="15">
        <v>44788</v>
      </c>
      <c r="Z4" s="15">
        <v>44789</v>
      </c>
      <c r="AA4" s="15">
        <v>44790</v>
      </c>
      <c r="AB4" s="15">
        <v>44791</v>
      </c>
      <c r="AC4" s="15">
        <v>44792</v>
      </c>
      <c r="AD4" s="15">
        <v>44793</v>
      </c>
      <c r="AE4" s="15">
        <v>44794</v>
      </c>
      <c r="AF4" s="15">
        <v>44795</v>
      </c>
      <c r="AG4" s="15">
        <v>44796</v>
      </c>
      <c r="AH4" s="15">
        <v>44797</v>
      </c>
      <c r="AI4" s="15">
        <v>44798</v>
      </c>
      <c r="AJ4" s="15">
        <v>44799</v>
      </c>
      <c r="AK4" s="15">
        <v>44800</v>
      </c>
      <c r="AL4" s="15">
        <v>44801</v>
      </c>
      <c r="AM4" s="15">
        <v>44802</v>
      </c>
      <c r="AN4" s="15">
        <v>44803</v>
      </c>
      <c r="AO4" s="15">
        <v>44804</v>
      </c>
    </row>
    <row r="5" spans="1:41" ht="15.6" thickTop="1" thickBot="1" x14ac:dyDescent="0.35">
      <c r="A5" s="51" t="s">
        <v>26</v>
      </c>
      <c r="B5" s="51" t="s">
        <v>1015</v>
      </c>
      <c r="C5" s="51" t="s">
        <v>1192</v>
      </c>
      <c r="D5" s="51" t="s">
        <v>33</v>
      </c>
      <c r="E5" s="51" t="s">
        <v>19</v>
      </c>
      <c r="F5" s="51" t="s">
        <v>1184</v>
      </c>
      <c r="G5" s="51" t="s">
        <v>631</v>
      </c>
      <c r="H5" s="17">
        <f>COUNTIF(K5:AN5,"")</f>
        <v>23</v>
      </c>
      <c r="I5" s="17">
        <f t="shared" ref="I5:I68" si="8">COUNTIF(K5:AL5,"APAGADO")</f>
        <v>7</v>
      </c>
      <c r="J5" s="18">
        <f t="shared" ref="J5:J68" si="9">(H5)/(I5+H5)</f>
        <v>0.76666666666666672</v>
      </c>
      <c r="K5" s="29"/>
      <c r="L5" s="19"/>
      <c r="M5" s="19"/>
      <c r="N5" s="19"/>
      <c r="O5" s="29"/>
      <c r="P5" s="29" t="s">
        <v>1010</v>
      </c>
      <c r="Q5" s="19" t="s">
        <v>1010</v>
      </c>
      <c r="R5" s="19" t="s">
        <v>1010</v>
      </c>
      <c r="S5" s="19" t="s">
        <v>1010</v>
      </c>
      <c r="T5" s="29" t="s">
        <v>1010</v>
      </c>
      <c r="U5" s="29" t="s">
        <v>1010</v>
      </c>
      <c r="V5" s="29" t="s">
        <v>1010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19"/>
      <c r="AH5" s="19"/>
      <c r="AI5" s="19"/>
      <c r="AJ5" s="29"/>
      <c r="AK5" s="19"/>
      <c r="AL5" s="19"/>
      <c r="AM5" s="29"/>
      <c r="AN5" s="29"/>
      <c r="AO5" s="29"/>
    </row>
    <row r="6" spans="1:41" ht="15" thickBot="1" x14ac:dyDescent="0.35">
      <c r="A6" s="51" t="s">
        <v>26</v>
      </c>
      <c r="B6" s="51" t="s">
        <v>1016</v>
      </c>
      <c r="C6" s="51" t="s">
        <v>1192</v>
      </c>
      <c r="D6" s="51" t="s">
        <v>34</v>
      </c>
      <c r="E6" s="51" t="s">
        <v>19</v>
      </c>
      <c r="F6" s="51" t="s">
        <v>1184</v>
      </c>
      <c r="G6" s="51" t="s">
        <v>632</v>
      </c>
      <c r="H6" s="53">
        <f t="shared" ref="H6:H69" si="10">COUNTIF(K6:AN6,"")</f>
        <v>23</v>
      </c>
      <c r="I6" s="17">
        <f t="shared" si="8"/>
        <v>7</v>
      </c>
      <c r="J6" s="18">
        <f t="shared" si="9"/>
        <v>0.76666666666666672</v>
      </c>
      <c r="K6" s="27"/>
      <c r="L6" s="8"/>
      <c r="M6" s="8"/>
      <c r="N6" s="8"/>
      <c r="O6" s="27"/>
      <c r="P6" s="27" t="s">
        <v>1010</v>
      </c>
      <c r="Q6" s="8" t="s">
        <v>1010</v>
      </c>
      <c r="R6" s="8" t="s">
        <v>1010</v>
      </c>
      <c r="S6" s="8" t="s">
        <v>1010</v>
      </c>
      <c r="T6" s="27" t="s">
        <v>1010</v>
      </c>
      <c r="U6" s="27" t="s">
        <v>1010</v>
      </c>
      <c r="V6" s="27" t="s">
        <v>1010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8"/>
      <c r="AH6" s="8"/>
      <c r="AI6" s="8"/>
      <c r="AJ6" s="27"/>
      <c r="AK6" s="8"/>
      <c r="AL6" s="8"/>
      <c r="AM6" s="27"/>
      <c r="AN6" s="27"/>
      <c r="AO6" s="27"/>
    </row>
    <row r="7" spans="1:41" ht="15" thickBot="1" x14ac:dyDescent="0.35">
      <c r="A7" s="51" t="s">
        <v>26</v>
      </c>
      <c r="B7" s="51" t="s">
        <v>1017</v>
      </c>
      <c r="C7" s="51" t="s">
        <v>1192</v>
      </c>
      <c r="D7" s="51" t="s">
        <v>27</v>
      </c>
      <c r="E7" s="51" t="s">
        <v>19</v>
      </c>
      <c r="F7" s="51" t="s">
        <v>1185</v>
      </c>
      <c r="G7" s="51" t="s">
        <v>635</v>
      </c>
      <c r="H7" s="53">
        <f t="shared" si="10"/>
        <v>22</v>
      </c>
      <c r="I7" s="17">
        <f t="shared" si="8"/>
        <v>8</v>
      </c>
      <c r="J7" s="18">
        <f t="shared" si="9"/>
        <v>0.73333333333333328</v>
      </c>
      <c r="K7" s="27"/>
      <c r="L7" s="8"/>
      <c r="M7" s="8"/>
      <c r="N7" s="8"/>
      <c r="O7" s="27"/>
      <c r="P7" s="27" t="s">
        <v>1010</v>
      </c>
      <c r="Q7" s="8" t="s">
        <v>1010</v>
      </c>
      <c r="R7" s="8" t="s">
        <v>1010</v>
      </c>
      <c r="S7" s="8" t="s">
        <v>1010</v>
      </c>
      <c r="T7" s="27" t="s">
        <v>1010</v>
      </c>
      <c r="U7" s="27" t="s">
        <v>1010</v>
      </c>
      <c r="V7" s="27" t="s">
        <v>1010</v>
      </c>
      <c r="W7" s="27"/>
      <c r="X7" s="27"/>
      <c r="Y7" s="27" t="s">
        <v>1010</v>
      </c>
      <c r="Z7" s="27"/>
      <c r="AA7" s="27"/>
      <c r="AB7" s="27"/>
      <c r="AC7" s="27"/>
      <c r="AD7" s="27"/>
      <c r="AE7" s="27"/>
      <c r="AF7" s="27"/>
      <c r="AG7" s="8"/>
      <c r="AH7" s="8"/>
      <c r="AI7" s="8"/>
      <c r="AJ7" s="27"/>
      <c r="AK7" s="8"/>
      <c r="AL7" s="8"/>
      <c r="AM7" s="27"/>
      <c r="AN7" s="27"/>
      <c r="AO7" s="27"/>
    </row>
    <row r="8" spans="1:41" ht="15" thickBot="1" x14ac:dyDescent="0.35">
      <c r="A8" s="51" t="s">
        <v>26</v>
      </c>
      <c r="B8" s="51" t="s">
        <v>1018</v>
      </c>
      <c r="C8" s="51" t="s">
        <v>1192</v>
      </c>
      <c r="D8" s="51" t="s">
        <v>39</v>
      </c>
      <c r="E8" s="51" t="s">
        <v>15</v>
      </c>
      <c r="F8" s="51" t="s">
        <v>28</v>
      </c>
      <c r="G8" s="51" t="s">
        <v>638</v>
      </c>
      <c r="H8" s="53">
        <f t="shared" si="10"/>
        <v>23</v>
      </c>
      <c r="I8" s="17">
        <f t="shared" si="8"/>
        <v>7</v>
      </c>
      <c r="J8" s="18">
        <f t="shared" si="9"/>
        <v>0.76666666666666672</v>
      </c>
      <c r="K8" s="27"/>
      <c r="L8" s="8"/>
      <c r="M8" s="8"/>
      <c r="N8" s="8"/>
      <c r="O8" s="27"/>
      <c r="P8" s="27" t="s">
        <v>1010</v>
      </c>
      <c r="Q8" s="8" t="s">
        <v>1010</v>
      </c>
      <c r="R8" s="8" t="s">
        <v>1010</v>
      </c>
      <c r="S8" s="8" t="s">
        <v>1010</v>
      </c>
      <c r="T8" s="27" t="s">
        <v>1010</v>
      </c>
      <c r="U8" s="27" t="s">
        <v>1010</v>
      </c>
      <c r="V8" s="27" t="s">
        <v>1010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8"/>
      <c r="AH8" s="8"/>
      <c r="AI8" s="8"/>
      <c r="AJ8" s="27"/>
      <c r="AK8" s="8"/>
      <c r="AL8" s="8"/>
      <c r="AM8" s="27"/>
      <c r="AN8" s="27"/>
      <c r="AO8" s="27"/>
    </row>
    <row r="9" spans="1:41" ht="15" thickBot="1" x14ac:dyDescent="0.35">
      <c r="A9" s="51" t="s">
        <v>26</v>
      </c>
      <c r="B9" s="51" t="s">
        <v>1019</v>
      </c>
      <c r="C9" s="51" t="s">
        <v>1192</v>
      </c>
      <c r="D9" s="51" t="s">
        <v>40</v>
      </c>
      <c r="E9" s="51" t="s">
        <v>15</v>
      </c>
      <c r="F9" s="51" t="s">
        <v>28</v>
      </c>
      <c r="G9" s="51" t="s">
        <v>639</v>
      </c>
      <c r="H9" s="53">
        <f t="shared" si="10"/>
        <v>23</v>
      </c>
      <c r="I9" s="17">
        <f t="shared" si="8"/>
        <v>7</v>
      </c>
      <c r="J9" s="18">
        <f t="shared" si="9"/>
        <v>0.76666666666666672</v>
      </c>
      <c r="K9" s="27"/>
      <c r="L9" s="8"/>
      <c r="M9" s="8"/>
      <c r="N9" s="8"/>
      <c r="O9" s="27"/>
      <c r="P9" s="27" t="s">
        <v>1010</v>
      </c>
      <c r="Q9" s="8" t="s">
        <v>1010</v>
      </c>
      <c r="R9" s="8" t="s">
        <v>1010</v>
      </c>
      <c r="S9" s="8" t="s">
        <v>1010</v>
      </c>
      <c r="T9" s="27" t="s">
        <v>1010</v>
      </c>
      <c r="U9" s="27" t="s">
        <v>1010</v>
      </c>
      <c r="V9" s="27" t="s">
        <v>1010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8"/>
      <c r="AH9" s="8"/>
      <c r="AI9" s="8"/>
      <c r="AJ9" s="27"/>
      <c r="AK9" s="8"/>
      <c r="AL9" s="8"/>
      <c r="AM9" s="27"/>
      <c r="AN9" s="27"/>
      <c r="AO9" s="27"/>
    </row>
    <row r="10" spans="1:41" ht="15" thickBot="1" x14ac:dyDescent="0.35">
      <c r="A10" s="51" t="s">
        <v>26</v>
      </c>
      <c r="B10" s="51" t="s">
        <v>1020</v>
      </c>
      <c r="C10" s="51" t="s">
        <v>1192</v>
      </c>
      <c r="D10" s="51" t="s">
        <v>1021</v>
      </c>
      <c r="E10" s="51" t="s">
        <v>19</v>
      </c>
      <c r="F10" s="51" t="s">
        <v>20</v>
      </c>
      <c r="G10" s="51"/>
      <c r="H10" s="53">
        <f t="shared" si="10"/>
        <v>30</v>
      </c>
      <c r="I10" s="17">
        <f t="shared" si="8"/>
        <v>0</v>
      </c>
      <c r="J10" s="18">
        <f t="shared" si="9"/>
        <v>1</v>
      </c>
      <c r="K10" s="27"/>
      <c r="L10" s="8"/>
      <c r="M10" s="8"/>
      <c r="N10" s="8"/>
      <c r="O10" s="27"/>
      <c r="P10" s="27"/>
      <c r="Q10" s="8"/>
      <c r="R10" s="8"/>
      <c r="S10" s="8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8"/>
      <c r="AH10" s="8"/>
      <c r="AI10" s="8"/>
      <c r="AJ10" s="27"/>
      <c r="AK10" s="8"/>
      <c r="AL10" s="8"/>
      <c r="AM10" s="27"/>
      <c r="AN10" s="27"/>
      <c r="AO10" s="27"/>
    </row>
    <row r="11" spans="1:41" ht="15" thickBot="1" x14ac:dyDescent="0.35">
      <c r="A11" s="51" t="s">
        <v>26</v>
      </c>
      <c r="B11" s="51" t="s">
        <v>29</v>
      </c>
      <c r="C11" s="51" t="s">
        <v>1192</v>
      </c>
      <c r="D11" s="51" t="s">
        <v>30</v>
      </c>
      <c r="E11" s="51" t="s">
        <v>19</v>
      </c>
      <c r="F11" s="51" t="s">
        <v>28</v>
      </c>
      <c r="G11" s="51" t="s">
        <v>628</v>
      </c>
      <c r="H11" s="53">
        <f t="shared" si="10"/>
        <v>30</v>
      </c>
      <c r="I11" s="17">
        <f t="shared" si="8"/>
        <v>0</v>
      </c>
      <c r="J11" s="18">
        <f t="shared" si="9"/>
        <v>1</v>
      </c>
      <c r="K11" s="27"/>
      <c r="L11" s="8"/>
      <c r="M11" s="8"/>
      <c r="N11" s="8"/>
      <c r="O11" s="27"/>
      <c r="P11" s="27"/>
      <c r="Q11" s="8"/>
      <c r="R11" s="8"/>
      <c r="S11" s="8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8"/>
      <c r="AH11" s="8"/>
      <c r="AI11" s="8"/>
      <c r="AJ11" s="27"/>
      <c r="AK11" s="8"/>
      <c r="AL11" s="8"/>
      <c r="AM11" s="27"/>
      <c r="AN11" s="27"/>
      <c r="AO11" s="27"/>
    </row>
    <row r="12" spans="1:41" ht="15" thickBot="1" x14ac:dyDescent="0.35">
      <c r="A12" s="51" t="s">
        <v>26</v>
      </c>
      <c r="B12" s="51" t="s">
        <v>31</v>
      </c>
      <c r="C12" s="51" t="s">
        <v>1192</v>
      </c>
      <c r="D12" s="51" t="s">
        <v>32</v>
      </c>
      <c r="E12" s="51" t="s">
        <v>19</v>
      </c>
      <c r="F12" s="51" t="s">
        <v>1185</v>
      </c>
      <c r="G12" s="51" t="s">
        <v>630</v>
      </c>
      <c r="H12" s="53">
        <f t="shared" si="10"/>
        <v>30</v>
      </c>
      <c r="I12" s="17">
        <f t="shared" si="8"/>
        <v>0</v>
      </c>
      <c r="J12" s="18">
        <f t="shared" si="9"/>
        <v>1</v>
      </c>
      <c r="K12" s="27"/>
      <c r="L12" s="8"/>
      <c r="M12" s="8"/>
      <c r="N12" s="8"/>
      <c r="O12" s="27"/>
      <c r="P12" s="27"/>
      <c r="Q12" s="8"/>
      <c r="R12" s="8"/>
      <c r="S12" s="8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8"/>
      <c r="AH12" s="8"/>
      <c r="AI12" s="8"/>
      <c r="AJ12" s="27"/>
      <c r="AK12" s="8"/>
      <c r="AL12" s="8"/>
      <c r="AM12" s="27"/>
      <c r="AN12" s="27"/>
      <c r="AO12" s="27"/>
    </row>
    <row r="13" spans="1:41" ht="15" thickBot="1" x14ac:dyDescent="0.35">
      <c r="A13" s="51" t="s">
        <v>26</v>
      </c>
      <c r="B13" s="51" t="s">
        <v>35</v>
      </c>
      <c r="C13" s="51" t="s">
        <v>1192</v>
      </c>
      <c r="D13" s="51" t="s">
        <v>36</v>
      </c>
      <c r="E13" s="51" t="s">
        <v>19</v>
      </c>
      <c r="F13" s="51" t="s">
        <v>1185</v>
      </c>
      <c r="G13" s="51" t="s">
        <v>633</v>
      </c>
      <c r="H13" s="53">
        <f t="shared" si="10"/>
        <v>30</v>
      </c>
      <c r="I13" s="17">
        <f t="shared" si="8"/>
        <v>0</v>
      </c>
      <c r="J13" s="18">
        <f t="shared" si="9"/>
        <v>1</v>
      </c>
      <c r="K13" s="27"/>
      <c r="L13" s="8"/>
      <c r="M13" s="8"/>
      <c r="N13" s="8"/>
      <c r="O13" s="27"/>
      <c r="P13" s="27"/>
      <c r="Q13" s="8"/>
      <c r="R13" s="8"/>
      <c r="S13" s="8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8"/>
      <c r="AH13" s="8"/>
      <c r="AI13" s="8"/>
      <c r="AJ13" s="27"/>
      <c r="AK13" s="8"/>
      <c r="AL13" s="8"/>
      <c r="AM13" s="27"/>
      <c r="AN13" s="27"/>
      <c r="AO13" s="27"/>
    </row>
    <row r="14" spans="1:41" ht="15" thickBot="1" x14ac:dyDescent="0.35">
      <c r="A14" s="51" t="s">
        <v>26</v>
      </c>
      <c r="B14" s="51" t="s">
        <v>37</v>
      </c>
      <c r="C14" s="51" t="s">
        <v>1192</v>
      </c>
      <c r="D14" s="51" t="s">
        <v>38</v>
      </c>
      <c r="E14" s="51" t="s">
        <v>15</v>
      </c>
      <c r="F14" s="51" t="s">
        <v>1185</v>
      </c>
      <c r="G14" s="51" t="s">
        <v>637</v>
      </c>
      <c r="H14" s="53">
        <f t="shared" si="10"/>
        <v>30</v>
      </c>
      <c r="I14" s="17">
        <f t="shared" si="8"/>
        <v>0</v>
      </c>
      <c r="J14" s="18">
        <f t="shared" si="9"/>
        <v>1</v>
      </c>
      <c r="K14" s="27"/>
      <c r="L14" s="8"/>
      <c r="M14" s="8"/>
      <c r="N14" s="8"/>
      <c r="O14" s="27"/>
      <c r="P14" s="27"/>
      <c r="Q14" s="8"/>
      <c r="R14" s="8"/>
      <c r="S14" s="8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8"/>
      <c r="AH14" s="8"/>
      <c r="AI14" s="8"/>
      <c r="AJ14" s="27"/>
      <c r="AK14" s="8"/>
      <c r="AL14" s="8"/>
      <c r="AM14" s="27"/>
      <c r="AN14" s="27"/>
      <c r="AO14" s="27"/>
    </row>
    <row r="15" spans="1:41" ht="15" thickBot="1" x14ac:dyDescent="0.35">
      <c r="A15" s="51" t="s">
        <v>41</v>
      </c>
      <c r="B15" s="51" t="s">
        <v>1022</v>
      </c>
      <c r="C15" s="51" t="s">
        <v>1193</v>
      </c>
      <c r="D15" s="51" t="s">
        <v>42</v>
      </c>
      <c r="E15" s="51" t="s">
        <v>19</v>
      </c>
      <c r="F15" s="51" t="s">
        <v>1184</v>
      </c>
      <c r="G15" s="51" t="s">
        <v>640</v>
      </c>
      <c r="H15" s="53">
        <f t="shared" si="10"/>
        <v>28</v>
      </c>
      <c r="I15" s="17">
        <f t="shared" si="8"/>
        <v>2</v>
      </c>
      <c r="J15" s="18">
        <f t="shared" si="9"/>
        <v>0.93333333333333335</v>
      </c>
      <c r="K15" s="27"/>
      <c r="L15" s="8" t="s">
        <v>1010</v>
      </c>
      <c r="M15" s="8"/>
      <c r="N15" s="8"/>
      <c r="O15" s="27"/>
      <c r="P15" s="27" t="s">
        <v>1010</v>
      </c>
      <c r="Q15" s="8"/>
      <c r="R15" s="8"/>
      <c r="S15" s="8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8"/>
      <c r="AH15" s="8"/>
      <c r="AI15" s="8"/>
      <c r="AJ15" s="27"/>
      <c r="AK15" s="8"/>
      <c r="AL15" s="8"/>
      <c r="AM15" s="27"/>
      <c r="AN15" s="27"/>
      <c r="AO15" s="27"/>
    </row>
    <row r="16" spans="1:41" ht="15" thickBot="1" x14ac:dyDescent="0.35">
      <c r="A16" s="51" t="s">
        <v>43</v>
      </c>
      <c r="B16" s="51" t="s">
        <v>1023</v>
      </c>
      <c r="C16" s="51" t="s">
        <v>1192</v>
      </c>
      <c r="D16" s="51" t="s">
        <v>44</v>
      </c>
      <c r="E16" s="51" t="s">
        <v>15</v>
      </c>
      <c r="F16" s="51" t="s">
        <v>1184</v>
      </c>
      <c r="G16" s="51" t="s">
        <v>641</v>
      </c>
      <c r="H16" s="53">
        <f t="shared" si="10"/>
        <v>26</v>
      </c>
      <c r="I16" s="17">
        <f t="shared" si="8"/>
        <v>4</v>
      </c>
      <c r="J16" s="18">
        <f t="shared" si="9"/>
        <v>0.8666666666666667</v>
      </c>
      <c r="K16" s="27"/>
      <c r="L16" s="8" t="s">
        <v>1010</v>
      </c>
      <c r="M16" s="8"/>
      <c r="N16" s="8"/>
      <c r="O16" s="27"/>
      <c r="P16" s="27"/>
      <c r="Q16" s="8"/>
      <c r="R16" s="8"/>
      <c r="S16" s="8"/>
      <c r="T16" s="27"/>
      <c r="U16" s="27"/>
      <c r="V16" s="27"/>
      <c r="W16" s="27" t="s">
        <v>1010</v>
      </c>
      <c r="X16" s="27" t="s">
        <v>1010</v>
      </c>
      <c r="Y16" s="27" t="s">
        <v>1010</v>
      </c>
      <c r="Z16" s="27"/>
      <c r="AA16" s="27"/>
      <c r="AB16" s="27"/>
      <c r="AC16" s="27"/>
      <c r="AD16" s="27"/>
      <c r="AE16" s="27"/>
      <c r="AF16" s="27"/>
      <c r="AG16" s="8"/>
      <c r="AH16" s="8"/>
      <c r="AI16" s="8"/>
      <c r="AJ16" s="27"/>
      <c r="AK16" s="8"/>
      <c r="AL16" s="8"/>
      <c r="AM16" s="27"/>
      <c r="AN16" s="27"/>
      <c r="AO16" s="27"/>
    </row>
    <row r="17" spans="1:41" ht="15" thickBot="1" x14ac:dyDescent="0.35">
      <c r="A17" s="51" t="s">
        <v>52</v>
      </c>
      <c r="B17" s="51" t="s">
        <v>1024</v>
      </c>
      <c r="C17" s="51" t="s">
        <v>1192</v>
      </c>
      <c r="D17" s="51" t="s">
        <v>1025</v>
      </c>
      <c r="E17" s="51" t="s">
        <v>15</v>
      </c>
      <c r="F17" s="51" t="s">
        <v>28</v>
      </c>
      <c r="G17" s="51" t="s">
        <v>645</v>
      </c>
      <c r="H17" s="53">
        <f t="shared" si="10"/>
        <v>30</v>
      </c>
      <c r="I17" s="17">
        <f t="shared" si="8"/>
        <v>0</v>
      </c>
      <c r="J17" s="18">
        <f t="shared" si="9"/>
        <v>1</v>
      </c>
      <c r="K17" s="27"/>
      <c r="L17" s="8"/>
      <c r="M17" s="8"/>
      <c r="N17" s="8"/>
      <c r="O17" s="27"/>
      <c r="P17" s="27"/>
      <c r="Q17" s="8"/>
      <c r="R17" s="8"/>
      <c r="S17" s="8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8"/>
      <c r="AH17" s="8"/>
      <c r="AI17" s="8"/>
      <c r="AJ17" s="27"/>
      <c r="AK17" s="8"/>
      <c r="AL17" s="8"/>
      <c r="AM17" s="27"/>
      <c r="AN17" s="27"/>
      <c r="AO17" s="27"/>
    </row>
    <row r="18" spans="1:41" ht="15" thickBot="1" x14ac:dyDescent="0.35">
      <c r="A18" s="51" t="s">
        <v>52</v>
      </c>
      <c r="B18" s="51" t="s">
        <v>1026</v>
      </c>
      <c r="C18" s="51" t="s">
        <v>1192</v>
      </c>
      <c r="D18" s="51" t="s">
        <v>89</v>
      </c>
      <c r="E18" s="51" t="s">
        <v>19</v>
      </c>
      <c r="F18" s="51" t="s">
        <v>28</v>
      </c>
      <c r="G18" s="51" t="s">
        <v>652</v>
      </c>
      <c r="H18" s="53">
        <f t="shared" si="10"/>
        <v>30</v>
      </c>
      <c r="I18" s="17">
        <f t="shared" si="8"/>
        <v>0</v>
      </c>
      <c r="J18" s="18">
        <f t="shared" si="9"/>
        <v>1</v>
      </c>
      <c r="K18" s="27"/>
      <c r="L18" s="8"/>
      <c r="M18" s="8"/>
      <c r="N18" s="8"/>
      <c r="O18" s="27"/>
      <c r="P18" s="27"/>
      <c r="Q18" s="8"/>
      <c r="R18" s="8"/>
      <c r="S18" s="8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8"/>
      <c r="AH18" s="8"/>
      <c r="AI18" s="8"/>
      <c r="AJ18" s="27"/>
      <c r="AK18" s="8"/>
      <c r="AL18" s="8"/>
      <c r="AM18" s="27"/>
      <c r="AN18" s="27"/>
      <c r="AO18" s="27"/>
    </row>
    <row r="19" spans="1:41" ht="15" thickBot="1" x14ac:dyDescent="0.35">
      <c r="A19" s="51" t="s">
        <v>52</v>
      </c>
      <c r="B19" s="51" t="s">
        <v>1027</v>
      </c>
      <c r="C19" s="51" t="s">
        <v>1192</v>
      </c>
      <c r="D19" s="51" t="s">
        <v>90</v>
      </c>
      <c r="E19" s="51" t="s">
        <v>15</v>
      </c>
      <c r="F19" s="51" t="s">
        <v>28</v>
      </c>
      <c r="G19" s="51" t="s">
        <v>653</v>
      </c>
      <c r="H19" s="53">
        <f t="shared" si="10"/>
        <v>30</v>
      </c>
      <c r="I19" s="17">
        <f t="shared" si="8"/>
        <v>0</v>
      </c>
      <c r="J19" s="18">
        <f t="shared" si="9"/>
        <v>1</v>
      </c>
      <c r="K19" s="27"/>
      <c r="L19" s="8"/>
      <c r="M19" s="8"/>
      <c r="N19" s="8"/>
      <c r="O19" s="27"/>
      <c r="P19" s="27"/>
      <c r="Q19" s="8"/>
      <c r="R19" s="8"/>
      <c r="S19" s="8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8"/>
      <c r="AH19" s="8"/>
      <c r="AI19" s="8"/>
      <c r="AJ19" s="27"/>
      <c r="AK19" s="8"/>
      <c r="AL19" s="8"/>
      <c r="AM19" s="27"/>
      <c r="AN19" s="27"/>
      <c r="AO19" s="27"/>
    </row>
    <row r="20" spans="1:41" ht="15" thickBot="1" x14ac:dyDescent="0.35">
      <c r="A20" s="51" t="s">
        <v>52</v>
      </c>
      <c r="B20" s="51" t="s">
        <v>1028</v>
      </c>
      <c r="C20" s="51" t="s">
        <v>1192</v>
      </c>
      <c r="D20" s="51" t="s">
        <v>129</v>
      </c>
      <c r="E20" s="51" t="s">
        <v>19</v>
      </c>
      <c r="F20" s="51" t="s">
        <v>28</v>
      </c>
      <c r="G20" s="51" t="s">
        <v>677</v>
      </c>
      <c r="H20" s="53">
        <f t="shared" si="10"/>
        <v>30</v>
      </c>
      <c r="I20" s="17">
        <f t="shared" si="8"/>
        <v>0</v>
      </c>
      <c r="J20" s="18">
        <f t="shared" si="9"/>
        <v>1</v>
      </c>
      <c r="K20" s="27"/>
      <c r="L20" s="8"/>
      <c r="M20" s="8"/>
      <c r="N20" s="8"/>
      <c r="O20" s="27"/>
      <c r="P20" s="27"/>
      <c r="Q20" s="8"/>
      <c r="R20" s="8"/>
      <c r="S20" s="8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8"/>
      <c r="AH20" s="8"/>
      <c r="AI20" s="8"/>
      <c r="AJ20" s="27"/>
      <c r="AK20" s="8"/>
      <c r="AL20" s="8"/>
      <c r="AM20" s="27"/>
      <c r="AN20" s="27"/>
      <c r="AO20" s="27"/>
    </row>
    <row r="21" spans="1:41" ht="15" thickBot="1" x14ac:dyDescent="0.35">
      <c r="A21" s="51" t="s">
        <v>52</v>
      </c>
      <c r="B21" s="51" t="s">
        <v>1029</v>
      </c>
      <c r="C21" s="51" t="s">
        <v>1192</v>
      </c>
      <c r="D21" s="51" t="s">
        <v>152</v>
      </c>
      <c r="E21" s="51" t="s">
        <v>19</v>
      </c>
      <c r="F21" s="51" t="s">
        <v>20</v>
      </c>
      <c r="G21" s="51" t="s">
        <v>690</v>
      </c>
      <c r="H21" s="53">
        <f t="shared" si="10"/>
        <v>30</v>
      </c>
      <c r="I21" s="17">
        <f t="shared" si="8"/>
        <v>0</v>
      </c>
      <c r="J21" s="18">
        <f t="shared" si="9"/>
        <v>1</v>
      </c>
      <c r="K21" s="27"/>
      <c r="L21" s="8"/>
      <c r="M21" s="8"/>
      <c r="N21" s="8"/>
      <c r="O21" s="27"/>
      <c r="P21" s="27"/>
      <c r="Q21" s="8"/>
      <c r="R21" s="8"/>
      <c r="S21" s="8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8"/>
      <c r="AH21" s="8"/>
      <c r="AI21" s="8"/>
      <c r="AJ21" s="27"/>
      <c r="AK21" s="8"/>
      <c r="AL21" s="8"/>
      <c r="AM21" s="27"/>
      <c r="AN21" s="27"/>
      <c r="AO21" s="27"/>
    </row>
    <row r="22" spans="1:41" ht="15" thickBot="1" x14ac:dyDescent="0.35">
      <c r="A22" s="51" t="s">
        <v>52</v>
      </c>
      <c r="B22" s="51" t="s">
        <v>1030</v>
      </c>
      <c r="C22" s="51" t="s">
        <v>1192</v>
      </c>
      <c r="D22" s="51" t="s">
        <v>45</v>
      </c>
      <c r="E22" s="51" t="s">
        <v>46</v>
      </c>
      <c r="F22" s="51" t="s">
        <v>28</v>
      </c>
      <c r="G22" s="51" t="s">
        <v>691</v>
      </c>
      <c r="H22" s="53">
        <f t="shared" si="10"/>
        <v>30</v>
      </c>
      <c r="I22" s="17">
        <f t="shared" si="8"/>
        <v>0</v>
      </c>
      <c r="J22" s="18">
        <f t="shared" si="9"/>
        <v>1</v>
      </c>
      <c r="K22" s="27"/>
      <c r="L22" s="8"/>
      <c r="M22" s="8"/>
      <c r="N22" s="8"/>
      <c r="O22" s="27"/>
      <c r="P22" s="27"/>
      <c r="Q22" s="8"/>
      <c r="R22" s="8"/>
      <c r="S22" s="8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8"/>
      <c r="AH22" s="8"/>
      <c r="AI22" s="8"/>
      <c r="AJ22" s="27"/>
      <c r="AK22" s="8"/>
      <c r="AL22" s="8"/>
      <c r="AM22" s="27"/>
      <c r="AN22" s="27"/>
      <c r="AO22" s="27"/>
    </row>
    <row r="23" spans="1:41" ht="15" thickBot="1" x14ac:dyDescent="0.35">
      <c r="A23" s="51" t="s">
        <v>52</v>
      </c>
      <c r="B23" s="51" t="s">
        <v>1031</v>
      </c>
      <c r="C23" s="51" t="s">
        <v>1192</v>
      </c>
      <c r="D23" s="51" t="s">
        <v>47</v>
      </c>
      <c r="E23" s="51" t="s">
        <v>19</v>
      </c>
      <c r="F23" s="51" t="s">
        <v>20</v>
      </c>
      <c r="G23" s="51" t="s">
        <v>693</v>
      </c>
      <c r="H23" s="53">
        <f t="shared" si="10"/>
        <v>30</v>
      </c>
      <c r="I23" s="17">
        <f t="shared" si="8"/>
        <v>0</v>
      </c>
      <c r="J23" s="18">
        <f t="shared" si="9"/>
        <v>1</v>
      </c>
      <c r="K23" s="27"/>
      <c r="L23" s="8"/>
      <c r="M23" s="8"/>
      <c r="N23" s="8"/>
      <c r="O23" s="27"/>
      <c r="P23" s="27"/>
      <c r="Q23" s="8"/>
      <c r="R23" s="8"/>
      <c r="S23" s="8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8"/>
      <c r="AH23" s="8"/>
      <c r="AI23" s="8"/>
      <c r="AJ23" s="27"/>
      <c r="AK23" s="8"/>
      <c r="AL23" s="8"/>
      <c r="AM23" s="27"/>
      <c r="AN23" s="27"/>
      <c r="AO23" s="27"/>
    </row>
    <row r="24" spans="1:41" ht="15" thickBot="1" x14ac:dyDescent="0.35">
      <c r="A24" s="51" t="s">
        <v>52</v>
      </c>
      <c r="B24" s="51" t="s">
        <v>48</v>
      </c>
      <c r="C24" s="51" t="s">
        <v>1192</v>
      </c>
      <c r="D24" s="51" t="s">
        <v>49</v>
      </c>
      <c r="E24" s="51" t="s">
        <v>19</v>
      </c>
      <c r="F24" s="51" t="s">
        <v>20</v>
      </c>
      <c r="G24" s="51" t="s">
        <v>694</v>
      </c>
      <c r="H24" s="53">
        <f t="shared" si="10"/>
        <v>30</v>
      </c>
      <c r="I24" s="17">
        <f t="shared" si="8"/>
        <v>0</v>
      </c>
      <c r="J24" s="18">
        <f t="shared" si="9"/>
        <v>1</v>
      </c>
      <c r="K24" s="27"/>
      <c r="L24" s="8"/>
      <c r="M24" s="8"/>
      <c r="N24" s="8"/>
      <c r="O24" s="27"/>
      <c r="P24" s="27"/>
      <c r="Q24" s="8"/>
      <c r="R24" s="8"/>
      <c r="S24" s="8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8"/>
      <c r="AH24" s="8"/>
      <c r="AI24" s="8"/>
      <c r="AJ24" s="27"/>
      <c r="AK24" s="8"/>
      <c r="AL24" s="8"/>
      <c r="AM24" s="27"/>
      <c r="AN24" s="27"/>
      <c r="AO24" s="27"/>
    </row>
    <row r="25" spans="1:41" ht="15" thickBot="1" x14ac:dyDescent="0.35">
      <c r="A25" s="51" t="s">
        <v>52</v>
      </c>
      <c r="B25" s="51" t="s">
        <v>50</v>
      </c>
      <c r="C25" s="51" t="s">
        <v>1192</v>
      </c>
      <c r="D25" s="51" t="s">
        <v>51</v>
      </c>
      <c r="E25" s="51" t="s">
        <v>19</v>
      </c>
      <c r="F25" s="51" t="s">
        <v>20</v>
      </c>
      <c r="G25" s="51" t="s">
        <v>695</v>
      </c>
      <c r="H25" s="53">
        <f t="shared" si="10"/>
        <v>30</v>
      </c>
      <c r="I25" s="17">
        <f t="shared" si="8"/>
        <v>0</v>
      </c>
      <c r="J25" s="18">
        <f t="shared" si="9"/>
        <v>1</v>
      </c>
      <c r="K25" s="27"/>
      <c r="L25" s="8"/>
      <c r="M25" s="8"/>
      <c r="N25" s="8"/>
      <c r="O25" s="27"/>
      <c r="P25" s="27"/>
      <c r="Q25" s="8"/>
      <c r="R25" s="8"/>
      <c r="S25" s="8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8"/>
      <c r="AH25" s="8"/>
      <c r="AI25" s="8"/>
      <c r="AJ25" s="27"/>
      <c r="AK25" s="8"/>
      <c r="AL25" s="8"/>
      <c r="AM25" s="27"/>
      <c r="AN25" s="27"/>
      <c r="AO25" s="27"/>
    </row>
    <row r="26" spans="1:41" ht="15" thickBot="1" x14ac:dyDescent="0.35">
      <c r="A26" s="51" t="s">
        <v>52</v>
      </c>
      <c r="B26" s="51" t="s">
        <v>53</v>
      </c>
      <c r="C26" s="51" t="s">
        <v>1192</v>
      </c>
      <c r="D26" s="51" t="s">
        <v>54</v>
      </c>
      <c r="E26" s="51" t="s">
        <v>15</v>
      </c>
      <c r="F26" s="51" t="s">
        <v>20</v>
      </c>
      <c r="G26" s="51" t="s">
        <v>696</v>
      </c>
      <c r="H26" s="53">
        <f t="shared" si="10"/>
        <v>29</v>
      </c>
      <c r="I26" s="17">
        <f t="shared" si="8"/>
        <v>1</v>
      </c>
      <c r="J26" s="18">
        <f t="shared" si="9"/>
        <v>0.96666666666666667</v>
      </c>
      <c r="K26" s="27"/>
      <c r="L26" s="8"/>
      <c r="M26" s="8"/>
      <c r="N26" s="8"/>
      <c r="O26" s="27"/>
      <c r="P26" s="27" t="s">
        <v>1010</v>
      </c>
      <c r="Q26" s="8"/>
      <c r="R26" s="8"/>
      <c r="S26" s="8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8"/>
      <c r="AH26" s="8"/>
      <c r="AI26" s="8"/>
      <c r="AJ26" s="27"/>
      <c r="AK26" s="8"/>
      <c r="AL26" s="8"/>
      <c r="AM26" s="27"/>
      <c r="AN26" s="27"/>
      <c r="AO26" s="27"/>
    </row>
    <row r="27" spans="1:41" ht="15" thickBot="1" x14ac:dyDescent="0.35">
      <c r="A27" s="51" t="s">
        <v>52</v>
      </c>
      <c r="B27" s="51" t="s">
        <v>55</v>
      </c>
      <c r="C27" s="51" t="s">
        <v>1192</v>
      </c>
      <c r="D27" s="51" t="s">
        <v>56</v>
      </c>
      <c r="E27" s="51" t="s">
        <v>15</v>
      </c>
      <c r="F27" s="51" t="s">
        <v>20</v>
      </c>
      <c r="G27" s="51" t="s">
        <v>697</v>
      </c>
      <c r="H27" s="53">
        <f t="shared" si="10"/>
        <v>30</v>
      </c>
      <c r="I27" s="17">
        <f t="shared" si="8"/>
        <v>0</v>
      </c>
      <c r="J27" s="18">
        <f t="shared" si="9"/>
        <v>1</v>
      </c>
      <c r="K27" s="27"/>
      <c r="L27" s="8"/>
      <c r="M27" s="8"/>
      <c r="N27" s="8"/>
      <c r="O27" s="27"/>
      <c r="P27" s="27"/>
      <c r="Q27" s="8"/>
      <c r="R27" s="8"/>
      <c r="S27" s="8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8"/>
      <c r="AH27" s="8"/>
      <c r="AI27" s="8"/>
      <c r="AJ27" s="27"/>
      <c r="AK27" s="8"/>
      <c r="AL27" s="8"/>
      <c r="AM27" s="27"/>
      <c r="AN27" s="27"/>
      <c r="AO27" s="27"/>
    </row>
    <row r="28" spans="1:41" ht="15" thickBot="1" x14ac:dyDescent="0.35">
      <c r="A28" s="51" t="s">
        <v>52</v>
      </c>
      <c r="B28" s="51" t="s">
        <v>57</v>
      </c>
      <c r="C28" s="51" t="s">
        <v>1192</v>
      </c>
      <c r="D28" s="51" t="s">
        <v>58</v>
      </c>
      <c r="E28" s="51" t="s">
        <v>15</v>
      </c>
      <c r="F28" s="51" t="s">
        <v>1184</v>
      </c>
      <c r="G28" s="51" t="s">
        <v>698</v>
      </c>
      <c r="H28" s="53">
        <f t="shared" si="10"/>
        <v>30</v>
      </c>
      <c r="I28" s="17">
        <f t="shared" si="8"/>
        <v>0</v>
      </c>
      <c r="J28" s="18">
        <f t="shared" si="9"/>
        <v>1</v>
      </c>
      <c r="K28" s="27"/>
      <c r="L28" s="8"/>
      <c r="M28" s="8"/>
      <c r="N28" s="8"/>
      <c r="O28" s="27"/>
      <c r="P28" s="27"/>
      <c r="Q28" s="8"/>
      <c r="R28" s="8"/>
      <c r="S28" s="8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8"/>
      <c r="AH28" s="8"/>
      <c r="AI28" s="8"/>
      <c r="AJ28" s="27"/>
      <c r="AK28" s="8"/>
      <c r="AL28" s="8"/>
      <c r="AM28" s="27"/>
      <c r="AN28" s="27"/>
      <c r="AO28" s="27"/>
    </row>
    <row r="29" spans="1:41" ht="15" thickBot="1" x14ac:dyDescent="0.35">
      <c r="A29" s="51" t="s">
        <v>52</v>
      </c>
      <c r="B29" s="51" t="s">
        <v>60</v>
      </c>
      <c r="C29" s="51" t="s">
        <v>1192</v>
      </c>
      <c r="D29" s="51" t="s">
        <v>61</v>
      </c>
      <c r="E29" s="51" t="s">
        <v>15</v>
      </c>
      <c r="F29" s="51" t="s">
        <v>1185</v>
      </c>
      <c r="G29" s="51" t="s">
        <v>700</v>
      </c>
      <c r="H29" s="53">
        <f t="shared" si="10"/>
        <v>30</v>
      </c>
      <c r="I29" s="17">
        <f t="shared" si="8"/>
        <v>0</v>
      </c>
      <c r="J29" s="18">
        <f t="shared" si="9"/>
        <v>1</v>
      </c>
      <c r="K29" s="27"/>
      <c r="L29" s="8"/>
      <c r="M29" s="8"/>
      <c r="N29" s="8"/>
      <c r="O29" s="27"/>
      <c r="P29" s="27"/>
      <c r="Q29" s="8"/>
      <c r="R29" s="8"/>
      <c r="S29" s="8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8"/>
      <c r="AH29" s="8"/>
      <c r="AI29" s="8"/>
      <c r="AJ29" s="27"/>
      <c r="AK29" s="8"/>
      <c r="AL29" s="8"/>
      <c r="AM29" s="27"/>
      <c r="AN29" s="27"/>
      <c r="AO29" s="27"/>
    </row>
    <row r="30" spans="1:41" ht="15" thickBot="1" x14ac:dyDescent="0.35">
      <c r="A30" s="51" t="s">
        <v>52</v>
      </c>
      <c r="B30" s="51" t="s">
        <v>62</v>
      </c>
      <c r="C30" s="51" t="s">
        <v>1192</v>
      </c>
      <c r="D30" s="51" t="s">
        <v>63</v>
      </c>
      <c r="E30" s="51" t="s">
        <v>15</v>
      </c>
      <c r="F30" s="51" t="s">
        <v>20</v>
      </c>
      <c r="G30" s="51" t="s">
        <v>701</v>
      </c>
      <c r="H30" s="53">
        <f t="shared" si="10"/>
        <v>30</v>
      </c>
      <c r="I30" s="17">
        <f t="shared" si="8"/>
        <v>0</v>
      </c>
      <c r="J30" s="18">
        <f t="shared" si="9"/>
        <v>1</v>
      </c>
      <c r="K30" s="27"/>
      <c r="L30" s="8"/>
      <c r="M30" s="8"/>
      <c r="N30" s="8"/>
      <c r="O30" s="27"/>
      <c r="P30" s="27"/>
      <c r="Q30" s="8"/>
      <c r="R30" s="8"/>
      <c r="S30" s="8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8"/>
      <c r="AH30" s="8"/>
      <c r="AI30" s="8"/>
      <c r="AJ30" s="27"/>
      <c r="AK30" s="8"/>
      <c r="AL30" s="8"/>
      <c r="AM30" s="27"/>
      <c r="AN30" s="27"/>
      <c r="AO30" s="27"/>
    </row>
    <row r="31" spans="1:41" ht="15" thickBot="1" x14ac:dyDescent="0.35">
      <c r="A31" s="51" t="s">
        <v>52</v>
      </c>
      <c r="B31" s="51" t="s">
        <v>1032</v>
      </c>
      <c r="C31" s="51" t="s">
        <v>1192</v>
      </c>
      <c r="D31" s="51" t="s">
        <v>157</v>
      </c>
      <c r="E31" s="51" t="s">
        <v>46</v>
      </c>
      <c r="F31" s="51" t="s">
        <v>28</v>
      </c>
      <c r="G31" s="51" t="s">
        <v>1188</v>
      </c>
      <c r="H31" s="53">
        <f t="shared" si="10"/>
        <v>20</v>
      </c>
      <c r="I31" s="17">
        <f t="shared" si="8"/>
        <v>10</v>
      </c>
      <c r="J31" s="18">
        <f t="shared" si="9"/>
        <v>0.66666666666666663</v>
      </c>
      <c r="K31" s="27" t="s">
        <v>1010</v>
      </c>
      <c r="L31" s="8" t="s">
        <v>1010</v>
      </c>
      <c r="M31" s="8" t="s">
        <v>1010</v>
      </c>
      <c r="N31" s="8" t="s">
        <v>1010</v>
      </c>
      <c r="O31" s="27"/>
      <c r="P31" s="27" t="s">
        <v>1010</v>
      </c>
      <c r="Q31" s="8" t="s">
        <v>1010</v>
      </c>
      <c r="R31" s="8" t="s">
        <v>1010</v>
      </c>
      <c r="S31" s="8" t="s">
        <v>1010</v>
      </c>
      <c r="T31" s="27" t="s">
        <v>1010</v>
      </c>
      <c r="U31" s="27"/>
      <c r="V31" s="27" t="s">
        <v>1010</v>
      </c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8"/>
      <c r="AH31" s="8"/>
      <c r="AI31" s="8"/>
      <c r="AJ31" s="27"/>
      <c r="AK31" s="8"/>
      <c r="AL31" s="8"/>
      <c r="AM31" s="27"/>
      <c r="AN31" s="27"/>
      <c r="AO31" s="27"/>
    </row>
    <row r="32" spans="1:41" ht="15" thickBot="1" x14ac:dyDescent="0.35">
      <c r="A32" s="51" t="s">
        <v>52</v>
      </c>
      <c r="B32" s="51" t="s">
        <v>65</v>
      </c>
      <c r="C32" s="51" t="s">
        <v>1192</v>
      </c>
      <c r="D32" s="51" t="s">
        <v>66</v>
      </c>
      <c r="E32" s="51" t="s">
        <v>19</v>
      </c>
      <c r="F32" s="51" t="s">
        <v>28</v>
      </c>
      <c r="G32" s="51" t="s">
        <v>712</v>
      </c>
      <c r="H32" s="53">
        <f t="shared" si="10"/>
        <v>30</v>
      </c>
      <c r="I32" s="17">
        <f t="shared" si="8"/>
        <v>0</v>
      </c>
      <c r="J32" s="18">
        <f t="shared" si="9"/>
        <v>1</v>
      </c>
      <c r="K32" s="27"/>
      <c r="L32" s="8"/>
      <c r="M32" s="8"/>
      <c r="N32" s="8"/>
      <c r="O32" s="27"/>
      <c r="P32" s="27"/>
      <c r="Q32" s="8"/>
      <c r="R32" s="8"/>
      <c r="S32" s="8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8"/>
      <c r="AH32" s="8"/>
      <c r="AI32" s="8"/>
      <c r="AJ32" s="27"/>
      <c r="AK32" s="8"/>
      <c r="AL32" s="8"/>
      <c r="AM32" s="27"/>
      <c r="AN32" s="27"/>
      <c r="AO32" s="27"/>
    </row>
    <row r="33" spans="1:41" ht="15" thickBot="1" x14ac:dyDescent="0.35">
      <c r="A33" s="51" t="s">
        <v>52</v>
      </c>
      <c r="B33" s="51" t="s">
        <v>67</v>
      </c>
      <c r="C33" s="51" t="s">
        <v>1192</v>
      </c>
      <c r="D33" s="51" t="s">
        <v>68</v>
      </c>
      <c r="E33" s="51" t="s">
        <v>19</v>
      </c>
      <c r="F33" s="51" t="s">
        <v>28</v>
      </c>
      <c r="G33" s="51" t="s">
        <v>713</v>
      </c>
      <c r="H33" s="53">
        <f t="shared" si="10"/>
        <v>30</v>
      </c>
      <c r="I33" s="17">
        <f t="shared" si="8"/>
        <v>0</v>
      </c>
      <c r="J33" s="18">
        <f t="shared" si="9"/>
        <v>1</v>
      </c>
      <c r="K33" s="27"/>
      <c r="L33" s="8"/>
      <c r="M33" s="8"/>
      <c r="N33" s="8"/>
      <c r="O33" s="27"/>
      <c r="P33" s="27"/>
      <c r="Q33" s="8"/>
      <c r="R33" s="8"/>
      <c r="S33" s="8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8"/>
      <c r="AH33" s="8"/>
      <c r="AI33" s="8"/>
      <c r="AJ33" s="27"/>
      <c r="AK33" s="8"/>
      <c r="AL33" s="8"/>
      <c r="AM33" s="27"/>
      <c r="AN33" s="27"/>
      <c r="AO33" s="27"/>
    </row>
    <row r="34" spans="1:41" ht="15" thickBot="1" x14ac:dyDescent="0.35">
      <c r="A34" s="51" t="s">
        <v>52</v>
      </c>
      <c r="B34" s="51" t="s">
        <v>69</v>
      </c>
      <c r="C34" s="51" t="s">
        <v>1192</v>
      </c>
      <c r="D34" s="51" t="s">
        <v>70</v>
      </c>
      <c r="E34" s="51" t="s">
        <v>19</v>
      </c>
      <c r="F34" s="51" t="s">
        <v>28</v>
      </c>
      <c r="G34" s="51" t="s">
        <v>714</v>
      </c>
      <c r="H34" s="53">
        <f t="shared" si="10"/>
        <v>15</v>
      </c>
      <c r="I34" s="17">
        <f t="shared" si="8"/>
        <v>15</v>
      </c>
      <c r="J34" s="18">
        <f t="shared" si="9"/>
        <v>0.5</v>
      </c>
      <c r="K34" s="27" t="s">
        <v>1010</v>
      </c>
      <c r="L34" s="8" t="s">
        <v>1010</v>
      </c>
      <c r="M34" s="8" t="s">
        <v>1010</v>
      </c>
      <c r="N34" s="8" t="s">
        <v>1010</v>
      </c>
      <c r="O34" s="27" t="s">
        <v>1010</v>
      </c>
      <c r="P34" s="27" t="s">
        <v>1010</v>
      </c>
      <c r="Q34" s="8" t="s">
        <v>1010</v>
      </c>
      <c r="R34" s="8" t="s">
        <v>1010</v>
      </c>
      <c r="S34" s="8" t="s">
        <v>1010</v>
      </c>
      <c r="T34" s="27" t="s">
        <v>1010</v>
      </c>
      <c r="U34" s="27" t="s">
        <v>1010</v>
      </c>
      <c r="V34" s="27" t="s">
        <v>1010</v>
      </c>
      <c r="W34" s="27" t="s">
        <v>1010</v>
      </c>
      <c r="X34" s="27" t="s">
        <v>1010</v>
      </c>
      <c r="Y34" s="27" t="s">
        <v>1010</v>
      </c>
      <c r="Z34" s="27"/>
      <c r="AA34" s="27"/>
      <c r="AB34" s="27"/>
      <c r="AC34" s="27"/>
      <c r="AD34" s="27"/>
      <c r="AE34" s="27"/>
      <c r="AF34" s="27"/>
      <c r="AG34" s="8"/>
      <c r="AH34" s="8"/>
      <c r="AI34" s="8"/>
      <c r="AJ34" s="27"/>
      <c r="AK34" s="8"/>
      <c r="AL34" s="8"/>
      <c r="AM34" s="27"/>
      <c r="AN34" s="27"/>
      <c r="AO34" s="27"/>
    </row>
    <row r="35" spans="1:41" ht="15" thickBot="1" x14ac:dyDescent="0.35">
      <c r="A35" s="51" t="s">
        <v>52</v>
      </c>
      <c r="B35" s="51" t="s">
        <v>1033</v>
      </c>
      <c r="C35" s="51" t="s">
        <v>1192</v>
      </c>
      <c r="D35" s="51" t="s">
        <v>1034</v>
      </c>
      <c r="E35" s="51" t="s">
        <v>19</v>
      </c>
      <c r="F35" s="51" t="s">
        <v>28</v>
      </c>
      <c r="G35" s="51"/>
      <c r="H35" s="53">
        <f t="shared" si="10"/>
        <v>30</v>
      </c>
      <c r="I35" s="17">
        <f t="shared" si="8"/>
        <v>0</v>
      </c>
      <c r="J35" s="18">
        <f t="shared" si="9"/>
        <v>1</v>
      </c>
      <c r="K35" s="27"/>
      <c r="L35" s="8"/>
      <c r="M35" s="8"/>
      <c r="N35" s="8"/>
      <c r="O35" s="27"/>
      <c r="P35" s="27"/>
      <c r="Q35" s="8"/>
      <c r="R35" s="8"/>
      <c r="S35" s="8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8"/>
      <c r="AH35" s="8"/>
      <c r="AI35" s="8"/>
      <c r="AJ35" s="27"/>
      <c r="AK35" s="8"/>
      <c r="AL35" s="8"/>
      <c r="AM35" s="27"/>
      <c r="AN35" s="27"/>
      <c r="AO35" s="27"/>
    </row>
    <row r="36" spans="1:41" ht="15" thickBot="1" x14ac:dyDescent="0.35">
      <c r="A36" s="51" t="s">
        <v>52</v>
      </c>
      <c r="B36" s="51" t="s">
        <v>1035</v>
      </c>
      <c r="C36" s="51" t="s">
        <v>1192</v>
      </c>
      <c r="D36" s="51" t="s">
        <v>1036</v>
      </c>
      <c r="E36" s="51" t="s">
        <v>73</v>
      </c>
      <c r="F36" s="51" t="s">
        <v>28</v>
      </c>
      <c r="G36" s="51"/>
      <c r="H36" s="53">
        <f t="shared" si="10"/>
        <v>30</v>
      </c>
      <c r="I36" s="17">
        <f t="shared" si="8"/>
        <v>0</v>
      </c>
      <c r="J36" s="18">
        <f t="shared" si="9"/>
        <v>1</v>
      </c>
      <c r="K36" s="27"/>
      <c r="L36" s="8"/>
      <c r="M36" s="8"/>
      <c r="N36" s="8"/>
      <c r="O36" s="27"/>
      <c r="P36" s="27"/>
      <c r="Q36" s="8"/>
      <c r="R36" s="8"/>
      <c r="S36" s="8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8"/>
      <c r="AH36" s="8"/>
      <c r="AI36" s="8"/>
      <c r="AJ36" s="27"/>
      <c r="AK36" s="8"/>
      <c r="AL36" s="8"/>
      <c r="AM36" s="27"/>
      <c r="AN36" s="27"/>
      <c r="AO36" s="27"/>
    </row>
    <row r="37" spans="1:41" ht="15" thickBot="1" x14ac:dyDescent="0.35">
      <c r="A37" s="51" t="s">
        <v>52</v>
      </c>
      <c r="B37" s="51" t="s">
        <v>71</v>
      </c>
      <c r="C37" s="51" t="s">
        <v>1192</v>
      </c>
      <c r="D37" s="51" t="s">
        <v>72</v>
      </c>
      <c r="E37" s="51" t="s">
        <v>73</v>
      </c>
      <c r="F37" s="51" t="s">
        <v>28</v>
      </c>
      <c r="G37" s="51" t="s">
        <v>642</v>
      </c>
      <c r="H37" s="53">
        <f t="shared" si="10"/>
        <v>30</v>
      </c>
      <c r="I37" s="17">
        <f t="shared" si="8"/>
        <v>0</v>
      </c>
      <c r="J37" s="18">
        <f t="shared" si="9"/>
        <v>1</v>
      </c>
      <c r="K37" s="27"/>
      <c r="L37" s="8"/>
      <c r="M37" s="8"/>
      <c r="N37" s="8"/>
      <c r="O37" s="27"/>
      <c r="P37" s="27"/>
      <c r="Q37" s="8"/>
      <c r="R37" s="8"/>
      <c r="S37" s="8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8"/>
      <c r="AH37" s="8"/>
      <c r="AI37" s="8"/>
      <c r="AJ37" s="27"/>
      <c r="AK37" s="8"/>
      <c r="AL37" s="8"/>
      <c r="AM37" s="27"/>
      <c r="AN37" s="27"/>
      <c r="AO37" s="27"/>
    </row>
    <row r="38" spans="1:41" ht="15" thickBot="1" x14ac:dyDescent="0.35">
      <c r="A38" s="51" t="s">
        <v>52</v>
      </c>
      <c r="B38" s="51" t="s">
        <v>74</v>
      </c>
      <c r="C38" s="51" t="s">
        <v>1192</v>
      </c>
      <c r="D38" s="51" t="s">
        <v>75</v>
      </c>
      <c r="E38" s="51" t="s">
        <v>73</v>
      </c>
      <c r="F38" s="51" t="s">
        <v>28</v>
      </c>
      <c r="G38" s="51" t="s">
        <v>636</v>
      </c>
      <c r="H38" s="53">
        <f t="shared" si="10"/>
        <v>30</v>
      </c>
      <c r="I38" s="17">
        <f t="shared" si="8"/>
        <v>0</v>
      </c>
      <c r="J38" s="18">
        <f t="shared" si="9"/>
        <v>1</v>
      </c>
      <c r="K38" s="27"/>
      <c r="L38" s="8"/>
      <c r="M38" s="8"/>
      <c r="N38" s="8"/>
      <c r="O38" s="27"/>
      <c r="P38" s="27"/>
      <c r="Q38" s="8"/>
      <c r="R38" s="8"/>
      <c r="S38" s="8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8"/>
      <c r="AH38" s="8"/>
      <c r="AI38" s="8"/>
      <c r="AJ38" s="27"/>
      <c r="AK38" s="8"/>
      <c r="AL38" s="8"/>
      <c r="AM38" s="27"/>
      <c r="AN38" s="27"/>
      <c r="AO38" s="27"/>
    </row>
    <row r="39" spans="1:41" ht="15" thickBot="1" x14ac:dyDescent="0.35">
      <c r="A39" s="51" t="s">
        <v>52</v>
      </c>
      <c r="B39" s="51" t="s">
        <v>76</v>
      </c>
      <c r="C39" s="51" t="s">
        <v>1192</v>
      </c>
      <c r="D39" s="51" t="s">
        <v>77</v>
      </c>
      <c r="E39" s="51" t="s">
        <v>19</v>
      </c>
      <c r="F39" s="51" t="s">
        <v>28</v>
      </c>
      <c r="G39" s="51" t="s">
        <v>643</v>
      </c>
      <c r="H39" s="53">
        <f t="shared" si="10"/>
        <v>30</v>
      </c>
      <c r="I39" s="17">
        <f t="shared" si="8"/>
        <v>0</v>
      </c>
      <c r="J39" s="18">
        <f t="shared" si="9"/>
        <v>1</v>
      </c>
      <c r="K39" s="27"/>
      <c r="L39" s="8"/>
      <c r="M39" s="8"/>
      <c r="N39" s="8"/>
      <c r="O39" s="27"/>
      <c r="P39" s="27"/>
      <c r="Q39" s="8"/>
      <c r="R39" s="8"/>
      <c r="S39" s="8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8"/>
      <c r="AH39" s="8"/>
      <c r="AI39" s="8"/>
      <c r="AJ39" s="27"/>
      <c r="AK39" s="8"/>
      <c r="AL39" s="8"/>
      <c r="AM39" s="27"/>
      <c r="AN39" s="27"/>
      <c r="AO39" s="27"/>
    </row>
    <row r="40" spans="1:41" ht="15" thickBot="1" x14ac:dyDescent="0.35">
      <c r="A40" s="51" t="s">
        <v>52</v>
      </c>
      <c r="B40" s="51" t="s">
        <v>78</v>
      </c>
      <c r="C40" s="51" t="s">
        <v>1192</v>
      </c>
      <c r="D40" s="51" t="s">
        <v>79</v>
      </c>
      <c r="E40" s="51" t="s">
        <v>19</v>
      </c>
      <c r="F40" s="51" t="s">
        <v>28</v>
      </c>
      <c r="G40" s="51" t="s">
        <v>644</v>
      </c>
      <c r="H40" s="53">
        <f t="shared" si="10"/>
        <v>30</v>
      </c>
      <c r="I40" s="17">
        <f t="shared" si="8"/>
        <v>0</v>
      </c>
      <c r="J40" s="18">
        <f t="shared" si="9"/>
        <v>1</v>
      </c>
      <c r="K40" s="27"/>
      <c r="L40" s="8"/>
      <c r="M40" s="8"/>
      <c r="N40" s="8"/>
      <c r="O40" s="27"/>
      <c r="P40" s="27"/>
      <c r="Q40" s="8"/>
      <c r="R40" s="8"/>
      <c r="S40" s="8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8"/>
      <c r="AH40" s="8"/>
      <c r="AI40" s="8"/>
      <c r="AJ40" s="27"/>
      <c r="AK40" s="8"/>
      <c r="AL40" s="8"/>
      <c r="AM40" s="27"/>
      <c r="AN40" s="27"/>
      <c r="AO40" s="27"/>
    </row>
    <row r="41" spans="1:41" ht="15" thickBot="1" x14ac:dyDescent="0.35">
      <c r="A41" s="51" t="s">
        <v>52</v>
      </c>
      <c r="B41" s="51" t="s">
        <v>80</v>
      </c>
      <c r="C41" s="51" t="s">
        <v>1192</v>
      </c>
      <c r="D41" s="51" t="s">
        <v>81</v>
      </c>
      <c r="E41" s="51" t="s">
        <v>73</v>
      </c>
      <c r="F41" s="51" t="s">
        <v>28</v>
      </c>
      <c r="G41" s="51" t="s">
        <v>646</v>
      </c>
      <c r="H41" s="53">
        <f t="shared" si="10"/>
        <v>30</v>
      </c>
      <c r="I41" s="17">
        <f t="shared" si="8"/>
        <v>0</v>
      </c>
      <c r="J41" s="18">
        <f t="shared" si="9"/>
        <v>1</v>
      </c>
      <c r="K41" s="27"/>
      <c r="L41" s="8"/>
      <c r="M41" s="8"/>
      <c r="N41" s="8"/>
      <c r="O41" s="27"/>
      <c r="P41" s="27"/>
      <c r="Q41" s="8"/>
      <c r="R41" s="8"/>
      <c r="S41" s="8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8"/>
      <c r="AH41" s="8"/>
      <c r="AI41" s="8"/>
      <c r="AJ41" s="27"/>
      <c r="AK41" s="8"/>
      <c r="AL41" s="8"/>
      <c r="AM41" s="27"/>
      <c r="AN41" s="27"/>
      <c r="AO41" s="27"/>
    </row>
    <row r="42" spans="1:41" ht="15" thickBot="1" x14ac:dyDescent="0.35">
      <c r="A42" s="51" t="s">
        <v>52</v>
      </c>
      <c r="B42" s="51" t="s">
        <v>82</v>
      </c>
      <c r="C42" s="51" t="s">
        <v>1192</v>
      </c>
      <c r="D42" s="51" t="s">
        <v>1037</v>
      </c>
      <c r="E42" s="51" t="s">
        <v>15</v>
      </c>
      <c r="F42" s="51" t="s">
        <v>28</v>
      </c>
      <c r="G42" s="51" t="s">
        <v>647</v>
      </c>
      <c r="H42" s="53">
        <f t="shared" si="10"/>
        <v>30</v>
      </c>
      <c r="I42" s="17">
        <f t="shared" si="8"/>
        <v>0</v>
      </c>
      <c r="J42" s="18">
        <f t="shared" si="9"/>
        <v>1</v>
      </c>
      <c r="K42" s="27"/>
      <c r="L42" s="8"/>
      <c r="M42" s="8"/>
      <c r="N42" s="8"/>
      <c r="O42" s="27"/>
      <c r="P42" s="27"/>
      <c r="Q42" s="8"/>
      <c r="R42" s="8"/>
      <c r="S42" s="8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8"/>
      <c r="AH42" s="8"/>
      <c r="AI42" s="8"/>
      <c r="AJ42" s="27"/>
      <c r="AK42" s="8"/>
      <c r="AL42" s="8"/>
      <c r="AM42" s="27"/>
      <c r="AN42" s="27"/>
      <c r="AO42" s="27"/>
    </row>
    <row r="43" spans="1:41" ht="15" thickBot="1" x14ac:dyDescent="0.35">
      <c r="A43" s="51" t="s">
        <v>52</v>
      </c>
      <c r="B43" s="51" t="s">
        <v>83</v>
      </c>
      <c r="C43" s="51" t="s">
        <v>1192</v>
      </c>
      <c r="D43" s="51" t="s">
        <v>1038</v>
      </c>
      <c r="E43" s="51" t="s">
        <v>19</v>
      </c>
      <c r="F43" s="51" t="s">
        <v>28</v>
      </c>
      <c r="G43" s="51" t="s">
        <v>648</v>
      </c>
      <c r="H43" s="53">
        <f t="shared" si="10"/>
        <v>30</v>
      </c>
      <c r="I43" s="17">
        <f t="shared" si="8"/>
        <v>0</v>
      </c>
      <c r="J43" s="18">
        <f t="shared" si="9"/>
        <v>1</v>
      </c>
      <c r="K43" s="27"/>
      <c r="L43" s="8"/>
      <c r="M43" s="8"/>
      <c r="N43" s="8"/>
      <c r="O43" s="27"/>
      <c r="P43" s="27"/>
      <c r="Q43" s="8"/>
      <c r="R43" s="8"/>
      <c r="S43" s="8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8"/>
      <c r="AH43" s="8"/>
      <c r="AI43" s="8"/>
      <c r="AJ43" s="27"/>
      <c r="AK43" s="8"/>
      <c r="AL43" s="8"/>
      <c r="AM43" s="27"/>
      <c r="AN43" s="27"/>
      <c r="AO43" s="27"/>
    </row>
    <row r="44" spans="1:41" ht="15" thickBot="1" x14ac:dyDescent="0.35">
      <c r="A44" s="51" t="s">
        <v>52</v>
      </c>
      <c r="B44" s="51" t="s">
        <v>84</v>
      </c>
      <c r="C44" s="51" t="s">
        <v>1192</v>
      </c>
      <c r="D44" s="51" t="s">
        <v>85</v>
      </c>
      <c r="E44" s="51" t="s">
        <v>19</v>
      </c>
      <c r="F44" s="51" t="s">
        <v>28</v>
      </c>
      <c r="G44" s="51" t="s">
        <v>649</v>
      </c>
      <c r="H44" s="53">
        <f t="shared" si="10"/>
        <v>30</v>
      </c>
      <c r="I44" s="17">
        <f t="shared" si="8"/>
        <v>0</v>
      </c>
      <c r="J44" s="18">
        <f t="shared" si="9"/>
        <v>1</v>
      </c>
      <c r="K44" s="27"/>
      <c r="L44" s="8"/>
      <c r="M44" s="8"/>
      <c r="N44" s="8"/>
      <c r="O44" s="27"/>
      <c r="P44" s="27"/>
      <c r="Q44" s="8"/>
      <c r="R44" s="8"/>
      <c r="S44" s="8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8"/>
      <c r="AH44" s="8"/>
      <c r="AI44" s="8"/>
      <c r="AJ44" s="27"/>
      <c r="AK44" s="8"/>
      <c r="AL44" s="8"/>
      <c r="AM44" s="27"/>
      <c r="AN44" s="27"/>
      <c r="AO44" s="27"/>
    </row>
    <row r="45" spans="1:41" ht="15" thickBot="1" x14ac:dyDescent="0.35">
      <c r="A45" s="51" t="s">
        <v>52</v>
      </c>
      <c r="B45" s="51" t="s">
        <v>86</v>
      </c>
      <c r="C45" s="51" t="s">
        <v>1192</v>
      </c>
      <c r="D45" s="51" t="s">
        <v>1039</v>
      </c>
      <c r="E45" s="51" t="s">
        <v>19</v>
      </c>
      <c r="F45" s="51" t="s">
        <v>28</v>
      </c>
      <c r="G45" s="51" t="s">
        <v>650</v>
      </c>
      <c r="H45" s="53">
        <f t="shared" si="10"/>
        <v>30</v>
      </c>
      <c r="I45" s="17">
        <f t="shared" si="8"/>
        <v>0</v>
      </c>
      <c r="J45" s="18">
        <f t="shared" si="9"/>
        <v>1</v>
      </c>
      <c r="K45" s="27"/>
      <c r="L45" s="8"/>
      <c r="M45" s="8"/>
      <c r="N45" s="8"/>
      <c r="O45" s="27"/>
      <c r="P45" s="27"/>
      <c r="Q45" s="8"/>
      <c r="R45" s="8"/>
      <c r="S45" s="8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8"/>
      <c r="AH45" s="8"/>
      <c r="AI45" s="8"/>
      <c r="AJ45" s="27"/>
      <c r="AK45" s="8"/>
      <c r="AL45" s="8"/>
      <c r="AM45" s="27"/>
      <c r="AN45" s="27"/>
      <c r="AO45" s="27"/>
    </row>
    <row r="46" spans="1:41" ht="15" thickBot="1" x14ac:dyDescent="0.35">
      <c r="A46" s="51" t="s">
        <v>52</v>
      </c>
      <c r="B46" s="51" t="s">
        <v>87</v>
      </c>
      <c r="C46" s="51" t="s">
        <v>1192</v>
      </c>
      <c r="D46" s="51" t="s">
        <v>88</v>
      </c>
      <c r="E46" s="51" t="s">
        <v>19</v>
      </c>
      <c r="F46" s="51" t="s">
        <v>28</v>
      </c>
      <c r="G46" s="51" t="s">
        <v>651</v>
      </c>
      <c r="H46" s="53">
        <f t="shared" si="10"/>
        <v>30</v>
      </c>
      <c r="I46" s="17">
        <f t="shared" si="8"/>
        <v>0</v>
      </c>
      <c r="J46" s="18">
        <f t="shared" si="9"/>
        <v>1</v>
      </c>
      <c r="K46" s="27"/>
      <c r="L46" s="8"/>
      <c r="M46" s="8"/>
      <c r="N46" s="8"/>
      <c r="O46" s="27"/>
      <c r="P46" s="27"/>
      <c r="Q46" s="8"/>
      <c r="R46" s="8"/>
      <c r="S46" s="8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8"/>
      <c r="AH46" s="8"/>
      <c r="AI46" s="8"/>
      <c r="AJ46" s="27"/>
      <c r="AK46" s="8"/>
      <c r="AL46" s="8"/>
      <c r="AM46" s="27"/>
      <c r="AN46" s="27"/>
      <c r="AO46" s="27"/>
    </row>
    <row r="47" spans="1:41" ht="15" thickBot="1" x14ac:dyDescent="0.35">
      <c r="A47" s="51" t="s">
        <v>52</v>
      </c>
      <c r="B47" s="51" t="s">
        <v>91</v>
      </c>
      <c r="C47" s="51" t="s">
        <v>1192</v>
      </c>
      <c r="D47" s="51" t="s">
        <v>1040</v>
      </c>
      <c r="E47" s="51" t="s">
        <v>19</v>
      </c>
      <c r="F47" s="51" t="s">
        <v>28</v>
      </c>
      <c r="G47" s="51" t="s">
        <v>654</v>
      </c>
      <c r="H47" s="53">
        <f t="shared" si="10"/>
        <v>30</v>
      </c>
      <c r="I47" s="17">
        <f t="shared" si="8"/>
        <v>0</v>
      </c>
      <c r="J47" s="18">
        <f t="shared" si="9"/>
        <v>1</v>
      </c>
      <c r="K47" s="27"/>
      <c r="L47" s="8"/>
      <c r="M47" s="8"/>
      <c r="N47" s="8"/>
      <c r="O47" s="27"/>
      <c r="P47" s="27"/>
      <c r="Q47" s="8"/>
      <c r="R47" s="8"/>
      <c r="S47" s="8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8"/>
      <c r="AH47" s="8"/>
      <c r="AI47" s="8"/>
      <c r="AJ47" s="27"/>
      <c r="AK47" s="8"/>
      <c r="AL47" s="8"/>
      <c r="AM47" s="27"/>
      <c r="AN47" s="27"/>
      <c r="AO47" s="27"/>
    </row>
    <row r="48" spans="1:41" ht="15" thickBot="1" x14ac:dyDescent="0.35">
      <c r="A48" s="51" t="s">
        <v>52</v>
      </c>
      <c r="B48" s="51" t="s">
        <v>92</v>
      </c>
      <c r="C48" s="51" t="s">
        <v>1192</v>
      </c>
      <c r="D48" s="51" t="s">
        <v>93</v>
      </c>
      <c r="E48" s="51" t="s">
        <v>19</v>
      </c>
      <c r="F48" s="51" t="s">
        <v>28</v>
      </c>
      <c r="G48" s="51" t="s">
        <v>655</v>
      </c>
      <c r="H48" s="53">
        <f t="shared" si="10"/>
        <v>30</v>
      </c>
      <c r="I48" s="17">
        <f t="shared" si="8"/>
        <v>0</v>
      </c>
      <c r="J48" s="18">
        <f t="shared" si="9"/>
        <v>1</v>
      </c>
      <c r="K48" s="27"/>
      <c r="L48" s="8"/>
      <c r="M48" s="8"/>
      <c r="N48" s="8"/>
      <c r="O48" s="27"/>
      <c r="P48" s="27"/>
      <c r="Q48" s="8"/>
      <c r="R48" s="8"/>
      <c r="S48" s="8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8"/>
      <c r="AH48" s="8"/>
      <c r="AI48" s="8"/>
      <c r="AJ48" s="27"/>
      <c r="AK48" s="8"/>
      <c r="AL48" s="8"/>
      <c r="AM48" s="27"/>
      <c r="AN48" s="27"/>
      <c r="AO48" s="27"/>
    </row>
    <row r="49" spans="1:41" ht="15" thickBot="1" x14ac:dyDescent="0.35">
      <c r="A49" s="51" t="s">
        <v>52</v>
      </c>
      <c r="B49" s="51" t="s">
        <v>94</v>
      </c>
      <c r="C49" s="51" t="s">
        <v>1192</v>
      </c>
      <c r="D49" s="51" t="s">
        <v>95</v>
      </c>
      <c r="E49" s="51" t="s">
        <v>73</v>
      </c>
      <c r="F49" s="51" t="s">
        <v>28</v>
      </c>
      <c r="G49" s="51" t="s">
        <v>656</v>
      </c>
      <c r="H49" s="53">
        <f t="shared" si="10"/>
        <v>30</v>
      </c>
      <c r="I49" s="17">
        <f t="shared" si="8"/>
        <v>0</v>
      </c>
      <c r="J49" s="18">
        <f t="shared" si="9"/>
        <v>1</v>
      </c>
      <c r="K49" s="27"/>
      <c r="L49" s="8"/>
      <c r="M49" s="8"/>
      <c r="N49" s="8"/>
      <c r="O49" s="27"/>
      <c r="P49" s="27"/>
      <c r="Q49" s="8"/>
      <c r="R49" s="8"/>
      <c r="S49" s="8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8"/>
      <c r="AH49" s="8"/>
      <c r="AI49" s="8"/>
      <c r="AJ49" s="27"/>
      <c r="AK49" s="8"/>
      <c r="AL49" s="8"/>
      <c r="AM49" s="27"/>
      <c r="AN49" s="27"/>
      <c r="AO49" s="27"/>
    </row>
    <row r="50" spans="1:41" ht="15" thickBot="1" x14ac:dyDescent="0.35">
      <c r="A50" s="51"/>
      <c r="B50" s="51" t="s">
        <v>96</v>
      </c>
      <c r="C50" s="51" t="s">
        <v>1192</v>
      </c>
      <c r="D50" s="51" t="s">
        <v>97</v>
      </c>
      <c r="E50" s="51" t="s">
        <v>19</v>
      </c>
      <c r="F50" s="51" t="s">
        <v>1185</v>
      </c>
      <c r="G50" s="51" t="s">
        <v>657</v>
      </c>
      <c r="H50" s="53">
        <f t="shared" si="10"/>
        <v>30</v>
      </c>
      <c r="I50" s="17">
        <f t="shared" si="8"/>
        <v>0</v>
      </c>
      <c r="J50" s="18">
        <f t="shared" si="9"/>
        <v>1</v>
      </c>
      <c r="K50" s="27"/>
      <c r="L50" s="8"/>
      <c r="M50" s="8"/>
      <c r="N50" s="8"/>
      <c r="O50" s="27"/>
      <c r="P50" s="27"/>
      <c r="Q50" s="8"/>
      <c r="R50" s="8"/>
      <c r="S50" s="8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8"/>
      <c r="AH50" s="8"/>
      <c r="AI50" s="8"/>
      <c r="AJ50" s="27"/>
      <c r="AK50" s="8"/>
      <c r="AL50" s="8"/>
      <c r="AM50" s="27"/>
      <c r="AN50" s="27"/>
      <c r="AO50" s="27"/>
    </row>
    <row r="51" spans="1:41" ht="15" thickBot="1" x14ac:dyDescent="0.35">
      <c r="A51" s="51" t="s">
        <v>52</v>
      </c>
      <c r="B51" s="51" t="s">
        <v>98</v>
      </c>
      <c r="C51" s="51" t="s">
        <v>1192</v>
      </c>
      <c r="D51" s="51" t="s">
        <v>99</v>
      </c>
      <c r="E51" s="51" t="s">
        <v>73</v>
      </c>
      <c r="F51" s="51" t="s">
        <v>28</v>
      </c>
      <c r="G51" s="51" t="s">
        <v>658</v>
      </c>
      <c r="H51" s="53">
        <f t="shared" si="10"/>
        <v>30</v>
      </c>
      <c r="I51" s="17">
        <f t="shared" si="8"/>
        <v>0</v>
      </c>
      <c r="J51" s="18">
        <f t="shared" si="9"/>
        <v>1</v>
      </c>
      <c r="K51" s="27"/>
      <c r="L51" s="8"/>
      <c r="M51" s="8"/>
      <c r="N51" s="8"/>
      <c r="O51" s="27"/>
      <c r="P51" s="27"/>
      <c r="Q51" s="8"/>
      <c r="R51" s="8"/>
      <c r="S51" s="8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8"/>
      <c r="AH51" s="8"/>
      <c r="AI51" s="8"/>
      <c r="AJ51" s="27"/>
      <c r="AK51" s="8"/>
      <c r="AL51" s="8"/>
      <c r="AM51" s="27"/>
      <c r="AN51" s="27"/>
      <c r="AO51" s="27"/>
    </row>
    <row r="52" spans="1:41" ht="15" thickBot="1" x14ac:dyDescent="0.35">
      <c r="A52" s="51" t="s">
        <v>52</v>
      </c>
      <c r="B52" s="51" t="s">
        <v>100</v>
      </c>
      <c r="C52" s="51" t="s">
        <v>1192</v>
      </c>
      <c r="D52" s="51" t="s">
        <v>85</v>
      </c>
      <c r="E52" s="51" t="s">
        <v>73</v>
      </c>
      <c r="F52" s="51" t="s">
        <v>28</v>
      </c>
      <c r="G52" s="51" t="s">
        <v>659</v>
      </c>
      <c r="H52" s="53">
        <f t="shared" si="10"/>
        <v>30</v>
      </c>
      <c r="I52" s="17">
        <f t="shared" si="8"/>
        <v>0</v>
      </c>
      <c r="J52" s="18">
        <f t="shared" si="9"/>
        <v>1</v>
      </c>
      <c r="K52" s="27"/>
      <c r="L52" s="8"/>
      <c r="M52" s="8"/>
      <c r="N52" s="8"/>
      <c r="O52" s="27"/>
      <c r="P52" s="27"/>
      <c r="Q52" s="8"/>
      <c r="R52" s="8"/>
      <c r="S52" s="8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8"/>
      <c r="AH52" s="8"/>
      <c r="AI52" s="8"/>
      <c r="AJ52" s="27"/>
      <c r="AK52" s="8"/>
      <c r="AL52" s="8"/>
      <c r="AM52" s="27"/>
      <c r="AN52" s="27"/>
      <c r="AO52" s="27"/>
    </row>
    <row r="53" spans="1:41" ht="15" thickBot="1" x14ac:dyDescent="0.35">
      <c r="A53" s="51" t="s">
        <v>101</v>
      </c>
      <c r="B53" s="51" t="s">
        <v>102</v>
      </c>
      <c r="C53" s="51" t="s">
        <v>1192</v>
      </c>
      <c r="D53" s="51" t="s">
        <v>103</v>
      </c>
      <c r="E53" s="51" t="s">
        <v>19</v>
      </c>
      <c r="F53" s="51" t="s">
        <v>28</v>
      </c>
      <c r="G53" s="51" t="s">
        <v>660</v>
      </c>
      <c r="H53" s="53">
        <f t="shared" si="10"/>
        <v>30</v>
      </c>
      <c r="I53" s="17">
        <f t="shared" si="8"/>
        <v>0</v>
      </c>
      <c r="J53" s="18">
        <f t="shared" si="9"/>
        <v>1</v>
      </c>
      <c r="K53" s="27"/>
      <c r="L53" s="8"/>
      <c r="M53" s="8"/>
      <c r="N53" s="8"/>
      <c r="O53" s="27"/>
      <c r="P53" s="27"/>
      <c r="Q53" s="8"/>
      <c r="R53" s="8"/>
      <c r="S53" s="8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8"/>
      <c r="AH53" s="8"/>
      <c r="AI53" s="8"/>
      <c r="AJ53" s="27"/>
      <c r="AK53" s="8"/>
      <c r="AL53" s="8"/>
      <c r="AM53" s="27"/>
      <c r="AN53" s="27"/>
      <c r="AO53" s="27"/>
    </row>
    <row r="54" spans="1:41" ht="15" thickBot="1" x14ac:dyDescent="0.35">
      <c r="A54" s="51" t="s">
        <v>52</v>
      </c>
      <c r="B54" s="51" t="s">
        <v>104</v>
      </c>
      <c r="C54" s="51" t="s">
        <v>1192</v>
      </c>
      <c r="D54" s="51" t="s">
        <v>105</v>
      </c>
      <c r="E54" s="51" t="s">
        <v>73</v>
      </c>
      <c r="F54" s="51" t="s">
        <v>20</v>
      </c>
      <c r="G54" s="51" t="s">
        <v>661</v>
      </c>
      <c r="H54" s="53">
        <f t="shared" si="10"/>
        <v>30</v>
      </c>
      <c r="I54" s="17">
        <f t="shared" si="8"/>
        <v>0</v>
      </c>
      <c r="J54" s="18">
        <f t="shared" si="9"/>
        <v>1</v>
      </c>
      <c r="K54" s="27"/>
      <c r="L54" s="8"/>
      <c r="M54" s="8"/>
      <c r="N54" s="8"/>
      <c r="O54" s="27"/>
      <c r="P54" s="27"/>
      <c r="Q54" s="8"/>
      <c r="R54" s="8"/>
      <c r="S54" s="8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8"/>
      <c r="AH54" s="8"/>
      <c r="AI54" s="8"/>
      <c r="AJ54" s="27"/>
      <c r="AK54" s="8"/>
      <c r="AL54" s="8"/>
      <c r="AM54" s="27"/>
      <c r="AN54" s="27"/>
      <c r="AO54" s="27"/>
    </row>
    <row r="55" spans="1:41" ht="15" thickBot="1" x14ac:dyDescent="0.35">
      <c r="A55" s="51" t="s">
        <v>52</v>
      </c>
      <c r="B55" s="51" t="s">
        <v>106</v>
      </c>
      <c r="C55" s="51" t="s">
        <v>1192</v>
      </c>
      <c r="D55" s="51" t="s">
        <v>107</v>
      </c>
      <c r="E55" s="51" t="s">
        <v>19</v>
      </c>
      <c r="F55" s="51" t="s">
        <v>20</v>
      </c>
      <c r="G55" s="51" t="s">
        <v>662</v>
      </c>
      <c r="H55" s="53">
        <f t="shared" si="10"/>
        <v>30</v>
      </c>
      <c r="I55" s="17">
        <f t="shared" si="8"/>
        <v>0</v>
      </c>
      <c r="J55" s="18">
        <f t="shared" si="9"/>
        <v>1</v>
      </c>
      <c r="K55" s="27"/>
      <c r="L55" s="8"/>
      <c r="M55" s="8"/>
      <c r="N55" s="8"/>
      <c r="O55" s="27"/>
      <c r="P55" s="27"/>
      <c r="Q55" s="8"/>
      <c r="R55" s="8"/>
      <c r="S55" s="8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8"/>
      <c r="AH55" s="8"/>
      <c r="AI55" s="8"/>
      <c r="AJ55" s="27"/>
      <c r="AK55" s="8"/>
      <c r="AL55" s="8"/>
      <c r="AM55" s="27"/>
      <c r="AN55" s="27"/>
      <c r="AO55" s="27"/>
    </row>
    <row r="56" spans="1:41" ht="15" thickBot="1" x14ac:dyDescent="0.35">
      <c r="A56" s="51" t="s">
        <v>52</v>
      </c>
      <c r="B56" s="51" t="s">
        <v>108</v>
      </c>
      <c r="C56" s="51" t="s">
        <v>1192</v>
      </c>
      <c r="D56" s="51" t="s">
        <v>109</v>
      </c>
      <c r="E56" s="51" t="s">
        <v>19</v>
      </c>
      <c r="F56" s="51" t="s">
        <v>28</v>
      </c>
      <c r="G56" s="51" t="s">
        <v>663</v>
      </c>
      <c r="H56" s="53">
        <f t="shared" si="10"/>
        <v>30</v>
      </c>
      <c r="I56" s="17">
        <f t="shared" si="8"/>
        <v>0</v>
      </c>
      <c r="J56" s="18">
        <f t="shared" si="9"/>
        <v>1</v>
      </c>
      <c r="K56" s="27"/>
      <c r="L56" s="8"/>
      <c r="M56" s="8"/>
      <c r="N56" s="8"/>
      <c r="O56" s="27"/>
      <c r="P56" s="27"/>
      <c r="Q56" s="8"/>
      <c r="R56" s="8"/>
      <c r="S56" s="8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8"/>
      <c r="AH56" s="8"/>
      <c r="AI56" s="8"/>
      <c r="AJ56" s="27"/>
      <c r="AK56" s="8"/>
      <c r="AL56" s="8"/>
      <c r="AM56" s="27"/>
      <c r="AN56" s="27"/>
      <c r="AO56" s="27"/>
    </row>
    <row r="57" spans="1:41" ht="15" thickBot="1" x14ac:dyDescent="0.35">
      <c r="A57" s="51" t="s">
        <v>52</v>
      </c>
      <c r="B57" s="51" t="s">
        <v>110</v>
      </c>
      <c r="C57" s="51" t="s">
        <v>1192</v>
      </c>
      <c r="D57" s="51" t="s">
        <v>1041</v>
      </c>
      <c r="E57" s="51" t="s">
        <v>19</v>
      </c>
      <c r="F57" s="51" t="s">
        <v>28</v>
      </c>
      <c r="G57" s="51" t="s">
        <v>664</v>
      </c>
      <c r="H57" s="53">
        <f t="shared" si="10"/>
        <v>30</v>
      </c>
      <c r="I57" s="17">
        <f t="shared" si="8"/>
        <v>0</v>
      </c>
      <c r="J57" s="18">
        <f t="shared" si="9"/>
        <v>1</v>
      </c>
      <c r="K57" s="27"/>
      <c r="L57" s="8"/>
      <c r="M57" s="8"/>
      <c r="N57" s="8"/>
      <c r="O57" s="27"/>
      <c r="P57" s="27"/>
      <c r="Q57" s="8"/>
      <c r="R57" s="8"/>
      <c r="S57" s="8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8"/>
      <c r="AH57" s="8"/>
      <c r="AI57" s="8"/>
      <c r="AJ57" s="27"/>
      <c r="AK57" s="8"/>
      <c r="AL57" s="8"/>
      <c r="AM57" s="27"/>
      <c r="AN57" s="27"/>
      <c r="AO57" s="27"/>
    </row>
    <row r="58" spans="1:41" ht="15" thickBot="1" x14ac:dyDescent="0.35">
      <c r="A58" s="51" t="s">
        <v>52</v>
      </c>
      <c r="B58" s="51" t="s">
        <v>111</v>
      </c>
      <c r="C58" s="51" t="s">
        <v>1192</v>
      </c>
      <c r="D58" s="51" t="s">
        <v>112</v>
      </c>
      <c r="E58" s="51" t="s">
        <v>19</v>
      </c>
      <c r="F58" s="51" t="s">
        <v>28</v>
      </c>
      <c r="G58" s="51" t="s">
        <v>665</v>
      </c>
      <c r="H58" s="53">
        <f t="shared" si="10"/>
        <v>30</v>
      </c>
      <c r="I58" s="17">
        <f t="shared" si="8"/>
        <v>0</v>
      </c>
      <c r="J58" s="18">
        <f t="shared" si="9"/>
        <v>1</v>
      </c>
      <c r="K58" s="27"/>
      <c r="L58" s="8"/>
      <c r="M58" s="8"/>
      <c r="N58" s="8"/>
      <c r="O58" s="27"/>
      <c r="P58" s="27"/>
      <c r="Q58" s="8"/>
      <c r="R58" s="8"/>
      <c r="S58" s="8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8"/>
      <c r="AH58" s="8"/>
      <c r="AI58" s="8"/>
      <c r="AJ58" s="27"/>
      <c r="AK58" s="8"/>
      <c r="AL58" s="8"/>
      <c r="AM58" s="27"/>
      <c r="AN58" s="27"/>
      <c r="AO58" s="27"/>
    </row>
    <row r="59" spans="1:41" ht="15" thickBot="1" x14ac:dyDescent="0.35">
      <c r="A59" s="51" t="s">
        <v>52</v>
      </c>
      <c r="B59" s="51" t="s">
        <v>113</v>
      </c>
      <c r="C59" s="51" t="s">
        <v>1192</v>
      </c>
      <c r="D59" s="51" t="s">
        <v>1042</v>
      </c>
      <c r="E59" s="51" t="s">
        <v>19</v>
      </c>
      <c r="F59" s="51" t="s">
        <v>28</v>
      </c>
      <c r="G59" s="51" t="s">
        <v>666</v>
      </c>
      <c r="H59" s="53">
        <f t="shared" si="10"/>
        <v>30</v>
      </c>
      <c r="I59" s="17">
        <f t="shared" si="8"/>
        <v>0</v>
      </c>
      <c r="J59" s="18">
        <f t="shared" si="9"/>
        <v>1</v>
      </c>
      <c r="K59" s="27"/>
      <c r="L59" s="8"/>
      <c r="M59" s="8"/>
      <c r="N59" s="8"/>
      <c r="O59" s="27"/>
      <c r="P59" s="27"/>
      <c r="Q59" s="8"/>
      <c r="R59" s="8"/>
      <c r="S59" s="8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8"/>
      <c r="AH59" s="8"/>
      <c r="AI59" s="8"/>
      <c r="AJ59" s="27"/>
      <c r="AK59" s="8"/>
      <c r="AL59" s="8"/>
      <c r="AM59" s="27"/>
      <c r="AN59" s="27"/>
      <c r="AO59" s="27"/>
    </row>
    <row r="60" spans="1:41" ht="15" thickBot="1" x14ac:dyDescent="0.35">
      <c r="A60" s="51" t="s">
        <v>52</v>
      </c>
      <c r="B60" s="51" t="s">
        <v>114</v>
      </c>
      <c r="C60" s="51" t="s">
        <v>1192</v>
      </c>
      <c r="D60" s="51" t="s">
        <v>1043</v>
      </c>
      <c r="E60" s="51" t="s">
        <v>19</v>
      </c>
      <c r="F60" s="51" t="s">
        <v>28</v>
      </c>
      <c r="G60" s="51" t="s">
        <v>667</v>
      </c>
      <c r="H60" s="53">
        <f t="shared" si="10"/>
        <v>30</v>
      </c>
      <c r="I60" s="17">
        <f t="shared" si="8"/>
        <v>0</v>
      </c>
      <c r="J60" s="18">
        <f t="shared" si="9"/>
        <v>1</v>
      </c>
      <c r="K60" s="27"/>
      <c r="L60" s="8"/>
      <c r="M60" s="8"/>
      <c r="N60" s="8"/>
      <c r="O60" s="27"/>
      <c r="P60" s="27"/>
      <c r="Q60" s="8"/>
      <c r="R60" s="8"/>
      <c r="S60" s="8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8"/>
      <c r="AH60" s="8"/>
      <c r="AI60" s="8"/>
      <c r="AJ60" s="27"/>
      <c r="AK60" s="8"/>
      <c r="AL60" s="8"/>
      <c r="AM60" s="27"/>
      <c r="AN60" s="27"/>
      <c r="AO60" s="27"/>
    </row>
    <row r="61" spans="1:41" ht="15" thickBot="1" x14ac:dyDescent="0.35">
      <c r="A61" s="51" t="s">
        <v>52</v>
      </c>
      <c r="B61" s="51" t="s">
        <v>115</v>
      </c>
      <c r="C61" s="51" t="s">
        <v>1192</v>
      </c>
      <c r="D61" s="51" t="s">
        <v>116</v>
      </c>
      <c r="E61" s="51" t="s">
        <v>19</v>
      </c>
      <c r="F61" s="51" t="s">
        <v>28</v>
      </c>
      <c r="G61" s="51" t="s">
        <v>668</v>
      </c>
      <c r="H61" s="53">
        <f t="shared" si="10"/>
        <v>30</v>
      </c>
      <c r="I61" s="17">
        <f t="shared" si="8"/>
        <v>0</v>
      </c>
      <c r="J61" s="18">
        <f t="shared" si="9"/>
        <v>1</v>
      </c>
      <c r="K61" s="27"/>
      <c r="L61" s="8"/>
      <c r="M61" s="8"/>
      <c r="N61" s="8"/>
      <c r="O61" s="27"/>
      <c r="P61" s="27"/>
      <c r="Q61" s="8"/>
      <c r="R61" s="8"/>
      <c r="S61" s="8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8"/>
      <c r="AH61" s="8"/>
      <c r="AI61" s="8"/>
      <c r="AJ61" s="27"/>
      <c r="AK61" s="8"/>
      <c r="AL61" s="8"/>
      <c r="AM61" s="27"/>
      <c r="AN61" s="27"/>
      <c r="AO61" s="27"/>
    </row>
    <row r="62" spans="1:41" ht="15" thickBot="1" x14ac:dyDescent="0.35">
      <c r="A62" s="51" t="s">
        <v>52</v>
      </c>
      <c r="B62" s="51" t="s">
        <v>117</v>
      </c>
      <c r="C62" s="51" t="s">
        <v>1192</v>
      </c>
      <c r="D62" s="51" t="s">
        <v>118</v>
      </c>
      <c r="E62" s="51" t="s">
        <v>19</v>
      </c>
      <c r="F62" s="51" t="s">
        <v>28</v>
      </c>
      <c r="G62" s="51" t="s">
        <v>669</v>
      </c>
      <c r="H62" s="53">
        <f t="shared" si="10"/>
        <v>30</v>
      </c>
      <c r="I62" s="17">
        <f t="shared" si="8"/>
        <v>0</v>
      </c>
      <c r="J62" s="18">
        <f t="shared" si="9"/>
        <v>1</v>
      </c>
      <c r="K62" s="27"/>
      <c r="L62" s="8"/>
      <c r="M62" s="8"/>
      <c r="N62" s="8"/>
      <c r="O62" s="27"/>
      <c r="P62" s="27"/>
      <c r="Q62" s="8"/>
      <c r="R62" s="8"/>
      <c r="S62" s="8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8"/>
      <c r="AH62" s="8"/>
      <c r="AI62" s="8"/>
      <c r="AJ62" s="27"/>
      <c r="AK62" s="8"/>
      <c r="AL62" s="8"/>
      <c r="AM62" s="27"/>
      <c r="AN62" s="27"/>
      <c r="AO62" s="27"/>
    </row>
    <row r="63" spans="1:41" ht="15" thickBot="1" x14ac:dyDescent="0.35">
      <c r="A63" s="51" t="s">
        <v>52</v>
      </c>
      <c r="B63" s="51" t="s">
        <v>119</v>
      </c>
      <c r="C63" s="51" t="s">
        <v>1192</v>
      </c>
      <c r="D63" s="51" t="s">
        <v>120</v>
      </c>
      <c r="E63" s="51" t="s">
        <v>19</v>
      </c>
      <c r="F63" s="51" t="s">
        <v>28</v>
      </c>
      <c r="G63" s="51" t="s">
        <v>670</v>
      </c>
      <c r="H63" s="53">
        <f t="shared" si="10"/>
        <v>30</v>
      </c>
      <c r="I63" s="17">
        <f t="shared" si="8"/>
        <v>0</v>
      </c>
      <c r="J63" s="18">
        <f t="shared" si="9"/>
        <v>1</v>
      </c>
      <c r="K63" s="27"/>
      <c r="L63" s="8"/>
      <c r="M63" s="8"/>
      <c r="N63" s="8"/>
      <c r="O63" s="27"/>
      <c r="P63" s="27"/>
      <c r="Q63" s="8"/>
      <c r="R63" s="8"/>
      <c r="S63" s="8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8"/>
      <c r="AH63" s="8"/>
      <c r="AI63" s="8"/>
      <c r="AJ63" s="27"/>
      <c r="AK63" s="8"/>
      <c r="AL63" s="8"/>
      <c r="AM63" s="27"/>
      <c r="AN63" s="27"/>
      <c r="AO63" s="27"/>
    </row>
    <row r="64" spans="1:41" ht="15" thickBot="1" x14ac:dyDescent="0.35">
      <c r="A64" s="51" t="s">
        <v>52</v>
      </c>
      <c r="B64" s="51" t="s">
        <v>121</v>
      </c>
      <c r="C64" s="51" t="s">
        <v>1192</v>
      </c>
      <c r="D64" s="51" t="s">
        <v>122</v>
      </c>
      <c r="E64" s="51" t="s">
        <v>19</v>
      </c>
      <c r="F64" s="51" t="s">
        <v>28</v>
      </c>
      <c r="G64" s="51" t="s">
        <v>671</v>
      </c>
      <c r="H64" s="53">
        <f t="shared" si="10"/>
        <v>30</v>
      </c>
      <c r="I64" s="17">
        <f t="shared" si="8"/>
        <v>0</v>
      </c>
      <c r="J64" s="18">
        <f t="shared" si="9"/>
        <v>1</v>
      </c>
      <c r="K64" s="27"/>
      <c r="L64" s="8"/>
      <c r="M64" s="8"/>
      <c r="N64" s="8"/>
      <c r="O64" s="27"/>
      <c r="P64" s="27"/>
      <c r="Q64" s="8"/>
      <c r="R64" s="8"/>
      <c r="S64" s="8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8"/>
      <c r="AH64" s="8"/>
      <c r="AI64" s="8"/>
      <c r="AJ64" s="27"/>
      <c r="AK64" s="8"/>
      <c r="AL64" s="8"/>
      <c r="AM64" s="27"/>
      <c r="AN64" s="27"/>
      <c r="AO64" s="27"/>
    </row>
    <row r="65" spans="1:41" ht="15" thickBot="1" x14ac:dyDescent="0.35">
      <c r="A65" s="51" t="s">
        <v>52</v>
      </c>
      <c r="B65" s="51" t="s">
        <v>123</v>
      </c>
      <c r="C65" s="51" t="s">
        <v>1192</v>
      </c>
      <c r="D65" s="51" t="s">
        <v>1044</v>
      </c>
      <c r="E65" s="51" t="s">
        <v>19</v>
      </c>
      <c r="F65" s="51" t="s">
        <v>28</v>
      </c>
      <c r="G65" s="51" t="s">
        <v>672</v>
      </c>
      <c r="H65" s="53">
        <f t="shared" si="10"/>
        <v>30</v>
      </c>
      <c r="I65" s="17">
        <f t="shared" si="8"/>
        <v>0</v>
      </c>
      <c r="J65" s="18">
        <f t="shared" si="9"/>
        <v>1</v>
      </c>
      <c r="K65" s="27"/>
      <c r="L65" s="8"/>
      <c r="M65" s="8"/>
      <c r="N65" s="8"/>
      <c r="O65" s="27"/>
      <c r="P65" s="27"/>
      <c r="Q65" s="8"/>
      <c r="R65" s="8"/>
      <c r="S65" s="8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8"/>
      <c r="AH65" s="8"/>
      <c r="AI65" s="8"/>
      <c r="AJ65" s="27"/>
      <c r="AK65" s="8"/>
      <c r="AL65" s="8"/>
      <c r="AM65" s="27"/>
      <c r="AN65" s="27"/>
      <c r="AO65" s="27"/>
    </row>
    <row r="66" spans="1:41" ht="15" thickBot="1" x14ac:dyDescent="0.35">
      <c r="A66" s="51" t="s">
        <v>52</v>
      </c>
      <c r="B66" s="51" t="s">
        <v>124</v>
      </c>
      <c r="C66" s="51" t="s">
        <v>1192</v>
      </c>
      <c r="D66" s="51" t="s">
        <v>125</v>
      </c>
      <c r="E66" s="51" t="s">
        <v>19</v>
      </c>
      <c r="F66" s="51" t="s">
        <v>28</v>
      </c>
      <c r="G66" s="51" t="s">
        <v>673</v>
      </c>
      <c r="H66" s="53">
        <f t="shared" si="10"/>
        <v>30</v>
      </c>
      <c r="I66" s="17">
        <f t="shared" si="8"/>
        <v>0</v>
      </c>
      <c r="J66" s="18">
        <f t="shared" si="9"/>
        <v>1</v>
      </c>
      <c r="K66" s="27"/>
      <c r="L66" s="8"/>
      <c r="M66" s="8"/>
      <c r="N66" s="8"/>
      <c r="O66" s="27"/>
      <c r="P66" s="27"/>
      <c r="Q66" s="8"/>
      <c r="R66" s="8"/>
      <c r="S66" s="8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8"/>
      <c r="AH66" s="8"/>
      <c r="AI66" s="8"/>
      <c r="AJ66" s="27"/>
      <c r="AK66" s="8"/>
      <c r="AL66" s="8"/>
      <c r="AM66" s="27"/>
      <c r="AN66" s="27"/>
      <c r="AO66" s="27"/>
    </row>
    <row r="67" spans="1:41" ht="15" thickBot="1" x14ac:dyDescent="0.35">
      <c r="A67" s="51" t="s">
        <v>52</v>
      </c>
      <c r="B67" s="51" t="s">
        <v>126</v>
      </c>
      <c r="C67" s="51" t="s">
        <v>1192</v>
      </c>
      <c r="D67" s="51" t="s">
        <v>1198</v>
      </c>
      <c r="E67" s="51" t="s">
        <v>19</v>
      </c>
      <c r="F67" s="51" t="s">
        <v>28</v>
      </c>
      <c r="G67" s="51" t="s">
        <v>674</v>
      </c>
      <c r="H67" s="53">
        <f t="shared" si="10"/>
        <v>15</v>
      </c>
      <c r="I67" s="17">
        <f t="shared" si="8"/>
        <v>15</v>
      </c>
      <c r="J67" s="18">
        <f t="shared" si="9"/>
        <v>0.5</v>
      </c>
      <c r="K67" s="27" t="s">
        <v>1010</v>
      </c>
      <c r="L67" s="8" t="s">
        <v>1010</v>
      </c>
      <c r="M67" s="8" t="s">
        <v>1010</v>
      </c>
      <c r="N67" s="8" t="s">
        <v>1010</v>
      </c>
      <c r="O67" s="27" t="s">
        <v>1010</v>
      </c>
      <c r="P67" s="27" t="s">
        <v>1010</v>
      </c>
      <c r="Q67" s="8" t="s">
        <v>1010</v>
      </c>
      <c r="R67" s="8" t="s">
        <v>1010</v>
      </c>
      <c r="S67" s="8" t="s">
        <v>1010</v>
      </c>
      <c r="T67" s="27" t="s">
        <v>1010</v>
      </c>
      <c r="U67" s="27" t="s">
        <v>1010</v>
      </c>
      <c r="V67" s="27" t="s">
        <v>1010</v>
      </c>
      <c r="W67" s="27" t="s">
        <v>1010</v>
      </c>
      <c r="X67" s="27" t="s">
        <v>1010</v>
      </c>
      <c r="Y67" s="27" t="s">
        <v>1010</v>
      </c>
      <c r="Z67" s="27"/>
      <c r="AA67" s="27"/>
      <c r="AB67" s="27"/>
      <c r="AC67" s="27"/>
      <c r="AD67" s="27"/>
      <c r="AE67" s="27"/>
      <c r="AF67" s="27"/>
      <c r="AG67" s="8"/>
      <c r="AH67" s="8"/>
      <c r="AI67" s="8"/>
      <c r="AJ67" s="27"/>
      <c r="AK67" s="8"/>
      <c r="AL67" s="8"/>
      <c r="AM67" s="27"/>
      <c r="AN67" s="27"/>
      <c r="AO67" s="27"/>
    </row>
    <row r="68" spans="1:41" ht="15" thickBot="1" x14ac:dyDescent="0.35">
      <c r="A68" s="51" t="s">
        <v>52</v>
      </c>
      <c r="B68" s="51" t="s">
        <v>127</v>
      </c>
      <c r="C68" s="51" t="s">
        <v>1192</v>
      </c>
      <c r="D68" s="51" t="s">
        <v>1199</v>
      </c>
      <c r="E68" s="51" t="s">
        <v>19</v>
      </c>
      <c r="F68" s="51" t="s">
        <v>28</v>
      </c>
      <c r="G68" s="51" t="s">
        <v>675</v>
      </c>
      <c r="H68" s="53">
        <f t="shared" si="10"/>
        <v>30</v>
      </c>
      <c r="I68" s="17">
        <f t="shared" si="8"/>
        <v>0</v>
      </c>
      <c r="J68" s="18">
        <f t="shared" si="9"/>
        <v>1</v>
      </c>
      <c r="K68" s="27"/>
      <c r="L68" s="8"/>
      <c r="M68" s="8"/>
      <c r="N68" s="8"/>
      <c r="O68" s="27"/>
      <c r="P68" s="27"/>
      <c r="Q68" s="8"/>
      <c r="R68" s="8"/>
      <c r="S68" s="8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8"/>
      <c r="AH68" s="8"/>
      <c r="AI68" s="8"/>
      <c r="AJ68" s="27"/>
      <c r="AK68" s="8"/>
      <c r="AL68" s="8"/>
      <c r="AM68" s="27"/>
      <c r="AN68" s="27"/>
      <c r="AO68" s="27"/>
    </row>
    <row r="69" spans="1:41" ht="15" thickBot="1" x14ac:dyDescent="0.35">
      <c r="A69" s="51" t="s">
        <v>52</v>
      </c>
      <c r="B69" s="51" t="s">
        <v>128</v>
      </c>
      <c r="C69" s="51" t="s">
        <v>1192</v>
      </c>
      <c r="D69" s="51" t="s">
        <v>1200</v>
      </c>
      <c r="E69" s="51" t="s">
        <v>19</v>
      </c>
      <c r="F69" s="51" t="s">
        <v>28</v>
      </c>
      <c r="G69" s="51" t="s">
        <v>676</v>
      </c>
      <c r="H69" s="53">
        <f t="shared" si="10"/>
        <v>30</v>
      </c>
      <c r="I69" s="17">
        <f t="shared" ref="I69:I132" si="11">COUNTIF(K69:AL69,"APAGADO")</f>
        <v>0</v>
      </c>
      <c r="J69" s="18">
        <f t="shared" ref="J69:J132" si="12">(H69)/(I69+H69)</f>
        <v>1</v>
      </c>
      <c r="K69" s="27"/>
      <c r="L69" s="8"/>
      <c r="M69" s="8"/>
      <c r="N69" s="8"/>
      <c r="O69" s="27"/>
      <c r="P69" s="27"/>
      <c r="Q69" s="8"/>
      <c r="R69" s="8"/>
      <c r="S69" s="8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8"/>
      <c r="AH69" s="8"/>
      <c r="AI69" s="8"/>
      <c r="AJ69" s="27"/>
      <c r="AK69" s="8"/>
      <c r="AL69" s="8"/>
      <c r="AM69" s="27"/>
      <c r="AN69" s="27"/>
      <c r="AO69" s="27"/>
    </row>
    <row r="70" spans="1:41" ht="15" thickBot="1" x14ac:dyDescent="0.35">
      <c r="A70" s="51" t="s">
        <v>52</v>
      </c>
      <c r="B70" s="51" t="s">
        <v>130</v>
      </c>
      <c r="C70" s="51" t="s">
        <v>1192</v>
      </c>
      <c r="D70" s="51" t="s">
        <v>131</v>
      </c>
      <c r="E70" s="51" t="s">
        <v>19</v>
      </c>
      <c r="F70" s="51" t="s">
        <v>28</v>
      </c>
      <c r="G70" s="51" t="s">
        <v>678</v>
      </c>
      <c r="H70" s="53">
        <f t="shared" ref="H70:H133" si="13">COUNTIF(K70:AN70,"")</f>
        <v>30</v>
      </c>
      <c r="I70" s="17">
        <f t="shared" si="11"/>
        <v>0</v>
      </c>
      <c r="J70" s="18">
        <f t="shared" si="12"/>
        <v>1</v>
      </c>
      <c r="K70" s="27"/>
      <c r="L70" s="8"/>
      <c r="M70" s="8"/>
      <c r="N70" s="8"/>
      <c r="O70" s="27"/>
      <c r="P70" s="27"/>
      <c r="Q70" s="8"/>
      <c r="R70" s="8"/>
      <c r="S70" s="8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8"/>
      <c r="AH70" s="8"/>
      <c r="AI70" s="8"/>
      <c r="AJ70" s="27"/>
      <c r="AK70" s="8"/>
      <c r="AL70" s="8"/>
      <c r="AM70" s="27"/>
      <c r="AN70" s="27"/>
      <c r="AO70" s="27"/>
    </row>
    <row r="71" spans="1:41" ht="15" thickBot="1" x14ac:dyDescent="0.35">
      <c r="A71" s="51" t="s">
        <v>52</v>
      </c>
      <c r="B71" s="51" t="s">
        <v>132</v>
      </c>
      <c r="C71" s="51" t="s">
        <v>1192</v>
      </c>
      <c r="D71" s="51" t="s">
        <v>133</v>
      </c>
      <c r="E71" s="51" t="s">
        <v>19</v>
      </c>
      <c r="F71" s="51" t="s">
        <v>28</v>
      </c>
      <c r="G71" s="51" t="s">
        <v>679</v>
      </c>
      <c r="H71" s="53">
        <f t="shared" si="13"/>
        <v>30</v>
      </c>
      <c r="I71" s="17">
        <f t="shared" si="11"/>
        <v>0</v>
      </c>
      <c r="J71" s="18">
        <f t="shared" si="12"/>
        <v>1</v>
      </c>
      <c r="K71" s="27"/>
      <c r="L71" s="8"/>
      <c r="M71" s="8"/>
      <c r="N71" s="8"/>
      <c r="O71" s="27"/>
      <c r="P71" s="27"/>
      <c r="Q71" s="8"/>
      <c r="R71" s="8"/>
      <c r="S71" s="8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8"/>
      <c r="AH71" s="8"/>
      <c r="AI71" s="8"/>
      <c r="AJ71" s="27"/>
      <c r="AK71" s="8"/>
      <c r="AL71" s="8"/>
      <c r="AM71" s="27"/>
      <c r="AN71" s="27"/>
      <c r="AO71" s="27"/>
    </row>
    <row r="72" spans="1:41" ht="15" thickBot="1" x14ac:dyDescent="0.35">
      <c r="A72" s="51" t="s">
        <v>52</v>
      </c>
      <c r="B72" s="51" t="s">
        <v>134</v>
      </c>
      <c r="C72" s="51" t="s">
        <v>1192</v>
      </c>
      <c r="D72" s="51" t="s">
        <v>135</v>
      </c>
      <c r="E72" s="51" t="s">
        <v>19</v>
      </c>
      <c r="F72" s="51" t="s">
        <v>28</v>
      </c>
      <c r="G72" s="51" t="s">
        <v>680</v>
      </c>
      <c r="H72" s="53">
        <f t="shared" si="13"/>
        <v>30</v>
      </c>
      <c r="I72" s="17">
        <f t="shared" si="11"/>
        <v>0</v>
      </c>
      <c r="J72" s="18">
        <f t="shared" si="12"/>
        <v>1</v>
      </c>
      <c r="K72" s="27"/>
      <c r="L72" s="8"/>
      <c r="M72" s="8"/>
      <c r="N72" s="8"/>
      <c r="O72" s="27"/>
      <c r="P72" s="27"/>
      <c r="Q72" s="8"/>
      <c r="R72" s="8"/>
      <c r="S72" s="8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8"/>
      <c r="AH72" s="8"/>
      <c r="AI72" s="8"/>
      <c r="AJ72" s="27"/>
      <c r="AK72" s="8"/>
      <c r="AL72" s="8"/>
      <c r="AM72" s="27"/>
      <c r="AN72" s="27"/>
      <c r="AO72" s="27"/>
    </row>
    <row r="73" spans="1:41" ht="15" thickBot="1" x14ac:dyDescent="0.35">
      <c r="A73" s="51" t="s">
        <v>52</v>
      </c>
      <c r="B73" s="51" t="s">
        <v>136</v>
      </c>
      <c r="C73" s="51" t="s">
        <v>1192</v>
      </c>
      <c r="D73" s="51" t="s">
        <v>137</v>
      </c>
      <c r="E73" s="51" t="s">
        <v>19</v>
      </c>
      <c r="F73" s="51" t="s">
        <v>28</v>
      </c>
      <c r="G73" s="51" t="s">
        <v>681</v>
      </c>
      <c r="H73" s="53">
        <f t="shared" si="13"/>
        <v>30</v>
      </c>
      <c r="I73" s="17">
        <f t="shared" si="11"/>
        <v>0</v>
      </c>
      <c r="J73" s="18">
        <f t="shared" si="12"/>
        <v>1</v>
      </c>
      <c r="K73" s="27"/>
      <c r="L73" s="8"/>
      <c r="M73" s="8"/>
      <c r="N73" s="8"/>
      <c r="O73" s="27"/>
      <c r="P73" s="27"/>
      <c r="Q73" s="8"/>
      <c r="R73" s="8"/>
      <c r="S73" s="8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8"/>
      <c r="AH73" s="8"/>
      <c r="AI73" s="8"/>
      <c r="AJ73" s="27"/>
      <c r="AK73" s="8"/>
      <c r="AL73" s="8"/>
      <c r="AM73" s="27"/>
      <c r="AN73" s="27"/>
      <c r="AO73" s="27"/>
    </row>
    <row r="74" spans="1:41" ht="15" thickBot="1" x14ac:dyDescent="0.35">
      <c r="A74" s="51" t="s">
        <v>52</v>
      </c>
      <c r="B74" s="51" t="s">
        <v>138</v>
      </c>
      <c r="C74" s="51" t="s">
        <v>1192</v>
      </c>
      <c r="D74" s="51" t="s">
        <v>139</v>
      </c>
      <c r="E74" s="51" t="s">
        <v>19</v>
      </c>
      <c r="F74" s="51" t="s">
        <v>28</v>
      </c>
      <c r="G74" s="51" t="s">
        <v>682</v>
      </c>
      <c r="H74" s="53">
        <f t="shared" si="13"/>
        <v>30</v>
      </c>
      <c r="I74" s="17">
        <f t="shared" si="11"/>
        <v>0</v>
      </c>
      <c r="J74" s="18">
        <f t="shared" si="12"/>
        <v>1</v>
      </c>
      <c r="K74" s="27"/>
      <c r="L74" s="8"/>
      <c r="M74" s="8"/>
      <c r="N74" s="8"/>
      <c r="O74" s="27"/>
      <c r="P74" s="27"/>
      <c r="Q74" s="8"/>
      <c r="R74" s="8"/>
      <c r="S74" s="8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8"/>
      <c r="AH74" s="8"/>
      <c r="AI74" s="8"/>
      <c r="AJ74" s="27"/>
      <c r="AK74" s="8"/>
      <c r="AL74" s="8"/>
      <c r="AM74" s="27"/>
      <c r="AN74" s="27"/>
      <c r="AO74" s="27"/>
    </row>
    <row r="75" spans="1:41" ht="15" thickBot="1" x14ac:dyDescent="0.35">
      <c r="A75" s="51" t="s">
        <v>52</v>
      </c>
      <c r="B75" s="51" t="s">
        <v>140</v>
      </c>
      <c r="C75" s="51" t="s">
        <v>1192</v>
      </c>
      <c r="D75" s="51" t="s">
        <v>141</v>
      </c>
      <c r="E75" s="51" t="s">
        <v>19</v>
      </c>
      <c r="F75" s="51" t="s">
        <v>28</v>
      </c>
      <c r="G75" s="51" t="s">
        <v>683</v>
      </c>
      <c r="H75" s="53">
        <f t="shared" si="13"/>
        <v>30</v>
      </c>
      <c r="I75" s="17">
        <f t="shared" si="11"/>
        <v>0</v>
      </c>
      <c r="J75" s="18">
        <f t="shared" si="12"/>
        <v>1</v>
      </c>
      <c r="K75" s="27"/>
      <c r="L75" s="8"/>
      <c r="M75" s="8"/>
      <c r="N75" s="8"/>
      <c r="O75" s="27"/>
      <c r="P75" s="27"/>
      <c r="Q75" s="8"/>
      <c r="R75" s="8"/>
      <c r="S75" s="8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8"/>
      <c r="AH75" s="8"/>
      <c r="AI75" s="8"/>
      <c r="AJ75" s="27"/>
      <c r="AK75" s="8"/>
      <c r="AL75" s="8"/>
      <c r="AM75" s="27"/>
      <c r="AN75" s="27"/>
      <c r="AO75" s="27"/>
    </row>
    <row r="76" spans="1:41" ht="15" thickBot="1" x14ac:dyDescent="0.35">
      <c r="A76" s="51" t="s">
        <v>52</v>
      </c>
      <c r="B76" s="51" t="s">
        <v>142</v>
      </c>
      <c r="C76" s="51" t="s">
        <v>1192</v>
      </c>
      <c r="D76" s="51" t="s">
        <v>143</v>
      </c>
      <c r="E76" s="51" t="s">
        <v>19</v>
      </c>
      <c r="F76" s="51" t="s">
        <v>28</v>
      </c>
      <c r="G76" s="51" t="s">
        <v>684</v>
      </c>
      <c r="H76" s="53">
        <f t="shared" si="13"/>
        <v>30</v>
      </c>
      <c r="I76" s="17">
        <f t="shared" si="11"/>
        <v>0</v>
      </c>
      <c r="J76" s="18">
        <f t="shared" si="12"/>
        <v>1</v>
      </c>
      <c r="K76" s="27"/>
      <c r="L76" s="8"/>
      <c r="M76" s="8"/>
      <c r="N76" s="8"/>
      <c r="O76" s="27"/>
      <c r="P76" s="27"/>
      <c r="Q76" s="8"/>
      <c r="R76" s="8"/>
      <c r="S76" s="8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8"/>
      <c r="AH76" s="8"/>
      <c r="AI76" s="8"/>
      <c r="AJ76" s="27"/>
      <c r="AK76" s="8"/>
      <c r="AL76" s="8"/>
      <c r="AM76" s="27"/>
      <c r="AN76" s="27"/>
      <c r="AO76" s="27"/>
    </row>
    <row r="77" spans="1:41" ht="15" thickBot="1" x14ac:dyDescent="0.35">
      <c r="A77" s="51" t="s">
        <v>52</v>
      </c>
      <c r="B77" s="51" t="s">
        <v>144</v>
      </c>
      <c r="C77" s="51" t="s">
        <v>1192</v>
      </c>
      <c r="D77" s="51" t="s">
        <v>58</v>
      </c>
      <c r="E77" s="51" t="s">
        <v>73</v>
      </c>
      <c r="F77" s="51" t="s">
        <v>28</v>
      </c>
      <c r="G77" s="51" t="s">
        <v>685</v>
      </c>
      <c r="H77" s="53">
        <f t="shared" si="13"/>
        <v>30</v>
      </c>
      <c r="I77" s="17">
        <f t="shared" si="11"/>
        <v>0</v>
      </c>
      <c r="J77" s="18">
        <f t="shared" si="12"/>
        <v>1</v>
      </c>
      <c r="K77" s="27"/>
      <c r="L77" s="8"/>
      <c r="M77" s="8"/>
      <c r="N77" s="8"/>
      <c r="O77" s="27"/>
      <c r="P77" s="27"/>
      <c r="Q77" s="8"/>
      <c r="R77" s="8"/>
      <c r="S77" s="8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8"/>
      <c r="AH77" s="8"/>
      <c r="AI77" s="8"/>
      <c r="AJ77" s="27"/>
      <c r="AK77" s="8"/>
      <c r="AL77" s="8"/>
      <c r="AM77" s="27"/>
      <c r="AN77" s="27"/>
      <c r="AO77" s="27"/>
    </row>
    <row r="78" spans="1:41" ht="15" thickBot="1" x14ac:dyDescent="0.35">
      <c r="A78" s="51" t="s">
        <v>52</v>
      </c>
      <c r="B78" s="51" t="s">
        <v>145</v>
      </c>
      <c r="C78" s="51" t="s">
        <v>1192</v>
      </c>
      <c r="D78" s="51" t="s">
        <v>58</v>
      </c>
      <c r="E78" s="51" t="s">
        <v>73</v>
      </c>
      <c r="F78" s="51" t="s">
        <v>28</v>
      </c>
      <c r="G78" s="51" t="s">
        <v>686</v>
      </c>
      <c r="H78" s="53">
        <f t="shared" si="13"/>
        <v>30</v>
      </c>
      <c r="I78" s="17">
        <f t="shared" si="11"/>
        <v>0</v>
      </c>
      <c r="J78" s="18">
        <f t="shared" si="12"/>
        <v>1</v>
      </c>
      <c r="K78" s="27"/>
      <c r="L78" s="8"/>
      <c r="M78" s="8"/>
      <c r="N78" s="8"/>
      <c r="O78" s="27"/>
      <c r="P78" s="27"/>
      <c r="Q78" s="8"/>
      <c r="R78" s="8"/>
      <c r="S78" s="8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8"/>
      <c r="AH78" s="8"/>
      <c r="AI78" s="8"/>
      <c r="AJ78" s="27"/>
      <c r="AK78" s="8"/>
      <c r="AL78" s="8"/>
      <c r="AM78" s="27"/>
      <c r="AN78" s="27"/>
      <c r="AO78" s="27"/>
    </row>
    <row r="79" spans="1:41" ht="15" thickBot="1" x14ac:dyDescent="0.35">
      <c r="A79" s="51" t="s">
        <v>52</v>
      </c>
      <c r="B79" s="51" t="s">
        <v>146</v>
      </c>
      <c r="C79" s="51" t="s">
        <v>1192</v>
      </c>
      <c r="D79" s="51" t="s">
        <v>147</v>
      </c>
      <c r="E79" s="51" t="s">
        <v>19</v>
      </c>
      <c r="F79" s="51" t="s">
        <v>28</v>
      </c>
      <c r="G79" s="51" t="s">
        <v>687</v>
      </c>
      <c r="H79" s="53">
        <f t="shared" si="13"/>
        <v>30</v>
      </c>
      <c r="I79" s="17">
        <f t="shared" si="11"/>
        <v>0</v>
      </c>
      <c r="J79" s="18">
        <f t="shared" si="12"/>
        <v>1</v>
      </c>
      <c r="K79" s="27"/>
      <c r="L79" s="8"/>
      <c r="M79" s="8"/>
      <c r="N79" s="8"/>
      <c r="O79" s="27"/>
      <c r="P79" s="27"/>
      <c r="Q79" s="8"/>
      <c r="R79" s="8"/>
      <c r="S79" s="8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8"/>
      <c r="AH79" s="8"/>
      <c r="AI79" s="8"/>
      <c r="AJ79" s="27"/>
      <c r="AK79" s="8"/>
      <c r="AL79" s="8"/>
      <c r="AM79" s="27"/>
      <c r="AN79" s="27"/>
      <c r="AO79" s="27"/>
    </row>
    <row r="80" spans="1:41" ht="15" thickBot="1" x14ac:dyDescent="0.35">
      <c r="A80" s="51" t="s">
        <v>52</v>
      </c>
      <c r="B80" s="51" t="s">
        <v>148</v>
      </c>
      <c r="C80" s="51" t="s">
        <v>1192</v>
      </c>
      <c r="D80" s="51" t="s">
        <v>149</v>
      </c>
      <c r="E80" s="51" t="s">
        <v>19</v>
      </c>
      <c r="F80" s="51" t="s">
        <v>20</v>
      </c>
      <c r="G80" s="51" t="s">
        <v>688</v>
      </c>
      <c r="H80" s="53">
        <f t="shared" si="13"/>
        <v>29</v>
      </c>
      <c r="I80" s="17">
        <f t="shared" si="11"/>
        <v>1</v>
      </c>
      <c r="J80" s="18">
        <f t="shared" si="12"/>
        <v>0.96666666666666667</v>
      </c>
      <c r="K80" s="27"/>
      <c r="L80" s="8"/>
      <c r="M80" s="8"/>
      <c r="N80" s="8"/>
      <c r="O80" s="27"/>
      <c r="P80" s="27"/>
      <c r="Q80" s="8"/>
      <c r="R80" s="8" t="s">
        <v>1010</v>
      </c>
      <c r="S80" s="8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8"/>
      <c r="AH80" s="8"/>
      <c r="AI80" s="8"/>
      <c r="AJ80" s="27"/>
      <c r="AK80" s="8"/>
      <c r="AL80" s="8"/>
      <c r="AM80" s="27"/>
      <c r="AN80" s="27"/>
      <c r="AO80" s="27"/>
    </row>
    <row r="81" spans="1:41" ht="15" thickBot="1" x14ac:dyDescent="0.35">
      <c r="A81" s="51" t="s">
        <v>52</v>
      </c>
      <c r="B81" s="51" t="s">
        <v>150</v>
      </c>
      <c r="C81" s="51" t="s">
        <v>1192</v>
      </c>
      <c r="D81" s="51" t="s">
        <v>151</v>
      </c>
      <c r="E81" s="51" t="s">
        <v>19</v>
      </c>
      <c r="F81" s="51" t="s">
        <v>20</v>
      </c>
      <c r="G81" s="51" t="s">
        <v>689</v>
      </c>
      <c r="H81" s="53">
        <f t="shared" si="13"/>
        <v>30</v>
      </c>
      <c r="I81" s="17">
        <f t="shared" si="11"/>
        <v>0</v>
      </c>
      <c r="J81" s="18">
        <f t="shared" si="12"/>
        <v>1</v>
      </c>
      <c r="K81" s="27"/>
      <c r="L81" s="8"/>
      <c r="M81" s="8"/>
      <c r="N81" s="8"/>
      <c r="O81" s="27"/>
      <c r="P81" s="27"/>
      <c r="Q81" s="8"/>
      <c r="R81" s="8"/>
      <c r="S81" s="8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8"/>
      <c r="AH81" s="8"/>
      <c r="AI81" s="8"/>
      <c r="AJ81" s="27"/>
      <c r="AK81" s="8"/>
      <c r="AL81" s="8"/>
      <c r="AM81" s="27"/>
      <c r="AN81" s="27"/>
      <c r="AO81" s="27"/>
    </row>
    <row r="82" spans="1:41" ht="15" thickBot="1" x14ac:dyDescent="0.35">
      <c r="A82" s="51" t="s">
        <v>52</v>
      </c>
      <c r="B82" s="51" t="s">
        <v>153</v>
      </c>
      <c r="C82" s="51" t="s">
        <v>1192</v>
      </c>
      <c r="D82" s="51" t="s">
        <v>154</v>
      </c>
      <c r="E82" s="51" t="s">
        <v>15</v>
      </c>
      <c r="F82" s="51" t="s">
        <v>20</v>
      </c>
      <c r="G82" s="51" t="s">
        <v>692</v>
      </c>
      <c r="H82" s="53">
        <f t="shared" si="13"/>
        <v>30</v>
      </c>
      <c r="I82" s="17">
        <f t="shared" si="11"/>
        <v>0</v>
      </c>
      <c r="J82" s="18">
        <f t="shared" si="12"/>
        <v>1</v>
      </c>
      <c r="K82" s="27"/>
      <c r="L82" s="8"/>
      <c r="M82" s="8"/>
      <c r="N82" s="8"/>
      <c r="O82" s="27"/>
      <c r="P82" s="27"/>
      <c r="Q82" s="8"/>
      <c r="R82" s="8"/>
      <c r="S82" s="8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8"/>
      <c r="AH82" s="8"/>
      <c r="AI82" s="8"/>
      <c r="AJ82" s="27"/>
      <c r="AK82" s="8"/>
      <c r="AL82" s="8"/>
      <c r="AM82" s="27"/>
      <c r="AN82" s="27"/>
      <c r="AO82" s="27"/>
    </row>
    <row r="83" spans="1:41" ht="15" thickBot="1" x14ac:dyDescent="0.35">
      <c r="A83" s="51" t="s">
        <v>52</v>
      </c>
      <c r="B83" s="51" t="s">
        <v>1045</v>
      </c>
      <c r="C83" s="51" t="s">
        <v>1192</v>
      </c>
      <c r="D83" s="51" t="s">
        <v>59</v>
      </c>
      <c r="E83" s="51" t="s">
        <v>15</v>
      </c>
      <c r="F83" s="51" t="s">
        <v>20</v>
      </c>
      <c r="G83" s="51" t="s">
        <v>699</v>
      </c>
      <c r="H83" s="53">
        <f t="shared" si="13"/>
        <v>30</v>
      </c>
      <c r="I83" s="17">
        <f t="shared" si="11"/>
        <v>0</v>
      </c>
      <c r="J83" s="18">
        <f t="shared" si="12"/>
        <v>1</v>
      </c>
      <c r="K83" s="27"/>
      <c r="L83" s="8"/>
      <c r="M83" s="8"/>
      <c r="N83" s="8"/>
      <c r="O83" s="27"/>
      <c r="P83" s="27"/>
      <c r="Q83" s="8"/>
      <c r="R83" s="8"/>
      <c r="S83" s="8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8"/>
      <c r="AH83" s="8"/>
      <c r="AI83" s="8"/>
      <c r="AJ83" s="27"/>
      <c r="AK83" s="8"/>
      <c r="AL83" s="8"/>
      <c r="AM83" s="27"/>
      <c r="AN83" s="27"/>
      <c r="AO83" s="27"/>
    </row>
    <row r="84" spans="1:41" ht="15" thickBot="1" x14ac:dyDescent="0.35">
      <c r="A84" s="51" t="s">
        <v>52</v>
      </c>
      <c r="B84" s="51" t="s">
        <v>1046</v>
      </c>
      <c r="C84" s="51" t="s">
        <v>1192</v>
      </c>
      <c r="D84" s="51" t="s">
        <v>1047</v>
      </c>
      <c r="E84" s="51" t="s">
        <v>15</v>
      </c>
      <c r="F84" s="51" t="s">
        <v>1185</v>
      </c>
      <c r="G84" s="51" t="s">
        <v>702</v>
      </c>
      <c r="H84" s="53">
        <f t="shared" si="13"/>
        <v>30</v>
      </c>
      <c r="I84" s="17">
        <f t="shared" si="11"/>
        <v>0</v>
      </c>
      <c r="J84" s="18">
        <f t="shared" si="12"/>
        <v>1</v>
      </c>
      <c r="K84" s="27"/>
      <c r="L84" s="8"/>
      <c r="M84" s="8"/>
      <c r="N84" s="8"/>
      <c r="O84" s="27"/>
      <c r="P84" s="27"/>
      <c r="Q84" s="8"/>
      <c r="R84" s="8"/>
      <c r="S84" s="8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8"/>
      <c r="AH84" s="8"/>
      <c r="AI84" s="8"/>
      <c r="AJ84" s="27"/>
      <c r="AK84" s="8"/>
      <c r="AL84" s="8"/>
      <c r="AM84" s="27"/>
      <c r="AN84" s="27"/>
      <c r="AO84" s="27"/>
    </row>
    <row r="85" spans="1:41" ht="15" thickBot="1" x14ac:dyDescent="0.35">
      <c r="A85" s="51" t="s">
        <v>52</v>
      </c>
      <c r="B85" s="51" t="s">
        <v>1048</v>
      </c>
      <c r="C85" s="51" t="s">
        <v>1192</v>
      </c>
      <c r="D85" s="51" t="s">
        <v>64</v>
      </c>
      <c r="E85" s="51" t="s">
        <v>15</v>
      </c>
      <c r="F85" s="51" t="s">
        <v>28</v>
      </c>
      <c r="G85" s="51" t="s">
        <v>703</v>
      </c>
      <c r="H85" s="53">
        <f t="shared" si="13"/>
        <v>30</v>
      </c>
      <c r="I85" s="17">
        <f t="shared" si="11"/>
        <v>0</v>
      </c>
      <c r="J85" s="18">
        <f t="shared" si="12"/>
        <v>1</v>
      </c>
      <c r="K85" s="27"/>
      <c r="L85" s="8"/>
      <c r="M85" s="8"/>
      <c r="N85" s="8"/>
      <c r="O85" s="27"/>
      <c r="P85" s="27"/>
      <c r="Q85" s="8"/>
      <c r="R85" s="8"/>
      <c r="S85" s="8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8"/>
      <c r="AH85" s="8"/>
      <c r="AI85" s="8"/>
      <c r="AJ85" s="27"/>
      <c r="AK85" s="8"/>
      <c r="AL85" s="8"/>
      <c r="AM85" s="27"/>
      <c r="AN85" s="27"/>
      <c r="AO85" s="27"/>
    </row>
    <row r="86" spans="1:41" ht="15" thickBot="1" x14ac:dyDescent="0.35">
      <c r="A86" s="51" t="s">
        <v>52</v>
      </c>
      <c r="B86" s="51" t="s">
        <v>155</v>
      </c>
      <c r="C86" s="51" t="s">
        <v>1192</v>
      </c>
      <c r="D86" s="51" t="s">
        <v>156</v>
      </c>
      <c r="E86" s="51" t="s">
        <v>46</v>
      </c>
      <c r="F86" s="51" t="s">
        <v>28</v>
      </c>
      <c r="G86" s="51" t="s">
        <v>704</v>
      </c>
      <c r="H86" s="53">
        <f t="shared" si="13"/>
        <v>30</v>
      </c>
      <c r="I86" s="17">
        <f t="shared" si="11"/>
        <v>0</v>
      </c>
      <c r="J86" s="18">
        <f t="shared" si="12"/>
        <v>1</v>
      </c>
      <c r="K86" s="27"/>
      <c r="L86" s="8"/>
      <c r="M86" s="8"/>
      <c r="N86" s="8"/>
      <c r="O86" s="27"/>
      <c r="P86" s="27"/>
      <c r="Q86" s="8"/>
      <c r="R86" s="8"/>
      <c r="S86" s="8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8"/>
      <c r="AH86" s="8"/>
      <c r="AI86" s="8"/>
      <c r="AJ86" s="27"/>
      <c r="AK86" s="8"/>
      <c r="AL86" s="8"/>
      <c r="AM86" s="27"/>
      <c r="AN86" s="27"/>
      <c r="AO86" s="27"/>
    </row>
    <row r="87" spans="1:41" ht="15" thickBot="1" x14ac:dyDescent="0.35">
      <c r="A87" s="51" t="s">
        <v>52</v>
      </c>
      <c r="B87" s="51" t="s">
        <v>158</v>
      </c>
      <c r="C87" s="51" t="s">
        <v>1192</v>
      </c>
      <c r="D87" s="51" t="s">
        <v>157</v>
      </c>
      <c r="E87" s="51" t="s">
        <v>46</v>
      </c>
      <c r="F87" s="51" t="s">
        <v>28</v>
      </c>
      <c r="G87" s="51" t="s">
        <v>705</v>
      </c>
      <c r="H87" s="53">
        <f t="shared" si="13"/>
        <v>20</v>
      </c>
      <c r="I87" s="17">
        <f t="shared" si="11"/>
        <v>10</v>
      </c>
      <c r="J87" s="18">
        <f t="shared" si="12"/>
        <v>0.66666666666666663</v>
      </c>
      <c r="K87" s="27" t="s">
        <v>1010</v>
      </c>
      <c r="L87" s="8" t="s">
        <v>1010</v>
      </c>
      <c r="M87" s="8" t="s">
        <v>1010</v>
      </c>
      <c r="N87" s="8" t="s">
        <v>1010</v>
      </c>
      <c r="O87" s="27"/>
      <c r="P87" s="27" t="s">
        <v>1010</v>
      </c>
      <c r="Q87" s="8" t="s">
        <v>1010</v>
      </c>
      <c r="R87" s="8" t="s">
        <v>1010</v>
      </c>
      <c r="S87" s="8" t="s">
        <v>1010</v>
      </c>
      <c r="T87" s="27" t="s">
        <v>1010</v>
      </c>
      <c r="U87" s="27"/>
      <c r="V87" s="27" t="s">
        <v>1010</v>
      </c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8"/>
      <c r="AH87" s="8"/>
      <c r="AI87" s="8"/>
      <c r="AJ87" s="27"/>
      <c r="AK87" s="8"/>
      <c r="AL87" s="8"/>
      <c r="AM87" s="27"/>
      <c r="AN87" s="27"/>
      <c r="AO87" s="27"/>
    </row>
    <row r="88" spans="1:41" ht="15" thickBot="1" x14ac:dyDescent="0.35">
      <c r="A88" s="51" t="s">
        <v>52</v>
      </c>
      <c r="B88" s="51" t="s">
        <v>159</v>
      </c>
      <c r="C88" s="51" t="s">
        <v>1192</v>
      </c>
      <c r="D88" s="51" t="s">
        <v>160</v>
      </c>
      <c r="E88" s="51" t="s">
        <v>73</v>
      </c>
      <c r="F88" s="51" t="s">
        <v>28</v>
      </c>
      <c r="G88" s="51" t="s">
        <v>709</v>
      </c>
      <c r="H88" s="53">
        <f t="shared" si="13"/>
        <v>30</v>
      </c>
      <c r="I88" s="17">
        <f t="shared" si="11"/>
        <v>0</v>
      </c>
      <c r="J88" s="18">
        <f t="shared" si="12"/>
        <v>1</v>
      </c>
      <c r="K88" s="27"/>
      <c r="L88" s="8"/>
      <c r="M88" s="8"/>
      <c r="N88" s="8"/>
      <c r="O88" s="27"/>
      <c r="P88" s="27"/>
      <c r="Q88" s="8"/>
      <c r="R88" s="8"/>
      <c r="S88" s="8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8"/>
      <c r="AH88" s="8"/>
      <c r="AI88" s="8"/>
      <c r="AJ88" s="27"/>
      <c r="AK88" s="8"/>
      <c r="AL88" s="8"/>
      <c r="AM88" s="27"/>
      <c r="AN88" s="27"/>
      <c r="AO88" s="27"/>
    </row>
    <row r="89" spans="1:41" ht="15" thickBot="1" x14ac:dyDescent="0.35">
      <c r="A89" s="51" t="s">
        <v>52</v>
      </c>
      <c r="B89" s="51" t="s">
        <v>161</v>
      </c>
      <c r="C89" s="51" t="s">
        <v>1192</v>
      </c>
      <c r="D89" s="51" t="s">
        <v>160</v>
      </c>
      <c r="E89" s="51" t="s">
        <v>73</v>
      </c>
      <c r="F89" s="51" t="s">
        <v>28</v>
      </c>
      <c r="G89" s="51" t="s">
        <v>710</v>
      </c>
      <c r="H89" s="53">
        <f t="shared" si="13"/>
        <v>30</v>
      </c>
      <c r="I89" s="17">
        <f t="shared" si="11"/>
        <v>0</v>
      </c>
      <c r="J89" s="18">
        <f t="shared" si="12"/>
        <v>1</v>
      </c>
      <c r="K89" s="27"/>
      <c r="L89" s="8"/>
      <c r="M89" s="8"/>
      <c r="N89" s="8"/>
      <c r="O89" s="27"/>
      <c r="P89" s="27"/>
      <c r="Q89" s="8"/>
      <c r="R89" s="8"/>
      <c r="S89" s="8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8"/>
      <c r="AH89" s="8"/>
      <c r="AI89" s="8"/>
      <c r="AJ89" s="27"/>
      <c r="AK89" s="8"/>
      <c r="AL89" s="8"/>
      <c r="AM89" s="27"/>
      <c r="AN89" s="27"/>
      <c r="AO89" s="27"/>
    </row>
    <row r="90" spans="1:41" ht="15" thickBot="1" x14ac:dyDescent="0.35">
      <c r="A90" s="51" t="s">
        <v>52</v>
      </c>
      <c r="B90" s="51" t="s">
        <v>162</v>
      </c>
      <c r="C90" s="51" t="s">
        <v>1192</v>
      </c>
      <c r="D90" s="51" t="s">
        <v>163</v>
      </c>
      <c r="E90" s="51" t="s">
        <v>15</v>
      </c>
      <c r="F90" s="51" t="s">
        <v>28</v>
      </c>
      <c r="G90" s="51" t="s">
        <v>711</v>
      </c>
      <c r="H90" s="53">
        <f t="shared" si="13"/>
        <v>30</v>
      </c>
      <c r="I90" s="17">
        <f t="shared" si="11"/>
        <v>0</v>
      </c>
      <c r="J90" s="18">
        <f t="shared" si="12"/>
        <v>1</v>
      </c>
      <c r="K90" s="27"/>
      <c r="L90" s="8"/>
      <c r="M90" s="8"/>
      <c r="N90" s="8"/>
      <c r="O90" s="27"/>
      <c r="P90" s="27"/>
      <c r="Q90" s="8"/>
      <c r="R90" s="8"/>
      <c r="S90" s="8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8"/>
      <c r="AH90" s="8"/>
      <c r="AI90" s="8"/>
      <c r="AJ90" s="27"/>
      <c r="AK90" s="8"/>
      <c r="AL90" s="8"/>
      <c r="AM90" s="27"/>
      <c r="AN90" s="27"/>
      <c r="AO90" s="27"/>
    </row>
    <row r="91" spans="1:41" ht="13.95" customHeight="1" thickBot="1" x14ac:dyDescent="0.35">
      <c r="A91" s="51" t="s">
        <v>52</v>
      </c>
      <c r="B91" s="51" t="s">
        <v>164</v>
      </c>
      <c r="C91" s="51" t="s">
        <v>1192</v>
      </c>
      <c r="D91" s="51" t="s">
        <v>165</v>
      </c>
      <c r="E91" s="51" t="s">
        <v>15</v>
      </c>
      <c r="F91" s="51" t="s">
        <v>28</v>
      </c>
      <c r="G91" s="51" t="s">
        <v>715</v>
      </c>
      <c r="H91" s="53">
        <f t="shared" si="13"/>
        <v>30</v>
      </c>
      <c r="I91" s="17">
        <f t="shared" si="11"/>
        <v>0</v>
      </c>
      <c r="J91" s="18">
        <f t="shared" si="12"/>
        <v>1</v>
      </c>
      <c r="K91" s="27"/>
      <c r="L91" s="8"/>
      <c r="M91" s="8"/>
      <c r="N91" s="8"/>
      <c r="O91" s="27"/>
      <c r="P91" s="27"/>
      <c r="Q91" s="8"/>
      <c r="R91" s="8"/>
      <c r="S91" s="8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8"/>
      <c r="AH91" s="8"/>
      <c r="AI91" s="8"/>
      <c r="AJ91" s="27"/>
      <c r="AK91" s="8"/>
      <c r="AL91" s="8"/>
      <c r="AM91" s="27"/>
      <c r="AN91" s="27"/>
      <c r="AO91" s="27"/>
    </row>
    <row r="92" spans="1:41" ht="15" thickBot="1" x14ac:dyDescent="0.35">
      <c r="A92" s="51" t="s">
        <v>52</v>
      </c>
      <c r="B92" s="51" t="s">
        <v>166</v>
      </c>
      <c r="C92" s="51" t="s">
        <v>1192</v>
      </c>
      <c r="D92" s="51" t="s">
        <v>167</v>
      </c>
      <c r="E92" s="51" t="s">
        <v>19</v>
      </c>
      <c r="F92" s="51" t="s">
        <v>1184</v>
      </c>
      <c r="G92" s="51" t="s">
        <v>716</v>
      </c>
      <c r="H92" s="53">
        <f t="shared" si="13"/>
        <v>30</v>
      </c>
      <c r="I92" s="17">
        <f t="shared" si="11"/>
        <v>0</v>
      </c>
      <c r="J92" s="18">
        <f t="shared" si="12"/>
        <v>1</v>
      </c>
      <c r="K92" s="27"/>
      <c r="L92" s="8"/>
      <c r="M92" s="8"/>
      <c r="N92" s="8"/>
      <c r="O92" s="27"/>
      <c r="P92" s="27"/>
      <c r="Q92" s="8"/>
      <c r="R92" s="8"/>
      <c r="S92" s="8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8"/>
      <c r="AH92" s="8"/>
      <c r="AI92" s="8"/>
      <c r="AJ92" s="27"/>
      <c r="AK92" s="8"/>
      <c r="AL92" s="8"/>
      <c r="AM92" s="27"/>
      <c r="AN92" s="27"/>
      <c r="AO92" s="27"/>
    </row>
    <row r="93" spans="1:41" ht="15" thickBot="1" x14ac:dyDescent="0.35">
      <c r="A93" s="51" t="s">
        <v>168</v>
      </c>
      <c r="B93" s="51" t="s">
        <v>169</v>
      </c>
      <c r="C93" s="51" t="s">
        <v>1192</v>
      </c>
      <c r="D93" s="51" t="s">
        <v>170</v>
      </c>
      <c r="E93" s="51" t="s">
        <v>19</v>
      </c>
      <c r="F93" s="51" t="s">
        <v>20</v>
      </c>
      <c r="G93" s="51" t="s">
        <v>717</v>
      </c>
      <c r="H93" s="53">
        <f t="shared" si="13"/>
        <v>30</v>
      </c>
      <c r="I93" s="17">
        <f t="shared" si="11"/>
        <v>0</v>
      </c>
      <c r="J93" s="18">
        <f t="shared" si="12"/>
        <v>1</v>
      </c>
      <c r="K93" s="27"/>
      <c r="L93" s="8"/>
      <c r="M93" s="8"/>
      <c r="N93" s="8"/>
      <c r="O93" s="27"/>
      <c r="P93" s="27"/>
      <c r="Q93" s="8"/>
      <c r="R93" s="8"/>
      <c r="S93" s="8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8"/>
      <c r="AH93" s="8"/>
      <c r="AI93" s="8"/>
      <c r="AJ93" s="27"/>
      <c r="AK93" s="8"/>
      <c r="AL93" s="8"/>
      <c r="AM93" s="27"/>
      <c r="AN93" s="27"/>
      <c r="AO93" s="27"/>
    </row>
    <row r="94" spans="1:41" ht="15" thickBot="1" x14ac:dyDescent="0.35">
      <c r="A94" s="51" t="s">
        <v>171</v>
      </c>
      <c r="B94" s="51" t="s">
        <v>172</v>
      </c>
      <c r="C94" s="51" t="s">
        <v>1192</v>
      </c>
      <c r="D94" s="51" t="s">
        <v>173</v>
      </c>
      <c r="E94" s="51" t="s">
        <v>19</v>
      </c>
      <c r="F94" s="51" t="s">
        <v>20</v>
      </c>
      <c r="G94" s="51" t="s">
        <v>718</v>
      </c>
      <c r="H94" s="53">
        <f t="shared" si="13"/>
        <v>30</v>
      </c>
      <c r="I94" s="17">
        <f t="shared" si="11"/>
        <v>0</v>
      </c>
      <c r="J94" s="18">
        <f t="shared" si="12"/>
        <v>1</v>
      </c>
      <c r="K94" s="27"/>
      <c r="L94" s="8"/>
      <c r="M94" s="8"/>
      <c r="N94" s="8"/>
      <c r="O94" s="27"/>
      <c r="P94" s="27"/>
      <c r="Q94" s="8"/>
      <c r="R94" s="8"/>
      <c r="S94" s="8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8"/>
      <c r="AH94" s="8"/>
      <c r="AI94" s="8"/>
      <c r="AJ94" s="27"/>
      <c r="AK94" s="8"/>
      <c r="AL94" s="8"/>
      <c r="AM94" s="27"/>
      <c r="AN94" s="27"/>
      <c r="AO94" s="27"/>
    </row>
    <row r="95" spans="1:41" ht="15" thickBot="1" x14ac:dyDescent="0.35">
      <c r="A95" s="51" t="s">
        <v>171</v>
      </c>
      <c r="B95" s="51" t="s">
        <v>174</v>
      </c>
      <c r="C95" s="51" t="s">
        <v>1192</v>
      </c>
      <c r="D95" s="51" t="s">
        <v>175</v>
      </c>
      <c r="E95" s="51" t="s">
        <v>15</v>
      </c>
      <c r="F95" s="51" t="s">
        <v>28</v>
      </c>
      <c r="G95" s="51" t="s">
        <v>719</v>
      </c>
      <c r="H95" s="53">
        <f t="shared" si="13"/>
        <v>30</v>
      </c>
      <c r="I95" s="17">
        <f t="shared" si="11"/>
        <v>0</v>
      </c>
      <c r="J95" s="18">
        <f t="shared" si="12"/>
        <v>1</v>
      </c>
      <c r="K95" s="27"/>
      <c r="L95" s="8"/>
      <c r="M95" s="8"/>
      <c r="N95" s="8"/>
      <c r="O95" s="27"/>
      <c r="P95" s="27"/>
      <c r="Q95" s="8"/>
      <c r="R95" s="8"/>
      <c r="S95" s="8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8"/>
      <c r="AH95" s="8"/>
      <c r="AI95" s="8"/>
      <c r="AJ95" s="27"/>
      <c r="AK95" s="8"/>
      <c r="AL95" s="8"/>
      <c r="AM95" s="27"/>
      <c r="AN95" s="27"/>
      <c r="AO95" s="27"/>
    </row>
    <row r="96" spans="1:41" ht="15" thickBot="1" x14ac:dyDescent="0.35">
      <c r="A96" s="51" t="s">
        <v>171</v>
      </c>
      <c r="B96" s="51" t="s">
        <v>176</v>
      </c>
      <c r="C96" s="51" t="s">
        <v>1192</v>
      </c>
      <c r="D96" s="51" t="s">
        <v>177</v>
      </c>
      <c r="E96" s="51" t="s">
        <v>15</v>
      </c>
      <c r="F96" s="51" t="s">
        <v>28</v>
      </c>
      <c r="G96" s="51" t="s">
        <v>720</v>
      </c>
      <c r="H96" s="53">
        <f t="shared" si="13"/>
        <v>23</v>
      </c>
      <c r="I96" s="17">
        <f t="shared" si="11"/>
        <v>7</v>
      </c>
      <c r="J96" s="18">
        <f t="shared" si="12"/>
        <v>0.76666666666666672</v>
      </c>
      <c r="K96" s="27"/>
      <c r="L96" s="8"/>
      <c r="M96" s="8"/>
      <c r="N96" s="8"/>
      <c r="O96" s="27"/>
      <c r="P96" s="27"/>
      <c r="Q96" s="8"/>
      <c r="R96" s="8"/>
      <c r="S96" s="8" t="s">
        <v>1010</v>
      </c>
      <c r="T96" s="27" t="s">
        <v>1010</v>
      </c>
      <c r="U96" s="27" t="s">
        <v>1010</v>
      </c>
      <c r="V96" s="27" t="s">
        <v>1010</v>
      </c>
      <c r="W96" s="27" t="s">
        <v>1010</v>
      </c>
      <c r="X96" s="27" t="s">
        <v>1010</v>
      </c>
      <c r="Y96" s="27" t="s">
        <v>1010</v>
      </c>
      <c r="Z96" s="27"/>
      <c r="AA96" s="27"/>
      <c r="AB96" s="27"/>
      <c r="AC96" s="27"/>
      <c r="AD96" s="27"/>
      <c r="AE96" s="27"/>
      <c r="AF96" s="27"/>
      <c r="AG96" s="8"/>
      <c r="AH96" s="8"/>
      <c r="AI96" s="8"/>
      <c r="AJ96" s="27"/>
      <c r="AK96" s="8"/>
      <c r="AL96" s="8"/>
      <c r="AM96" s="27"/>
      <c r="AN96" s="27"/>
      <c r="AO96" s="27"/>
    </row>
    <row r="97" spans="1:41" ht="15" thickBot="1" x14ac:dyDescent="0.35">
      <c r="A97" s="51" t="s">
        <v>181</v>
      </c>
      <c r="B97" s="51" t="s">
        <v>1049</v>
      </c>
      <c r="C97" s="51" t="s">
        <v>1193</v>
      </c>
      <c r="D97" s="51" t="s">
        <v>184</v>
      </c>
      <c r="E97" s="51" t="s">
        <v>15</v>
      </c>
      <c r="F97" s="51" t="s">
        <v>20</v>
      </c>
      <c r="G97" s="51" t="s">
        <v>723</v>
      </c>
      <c r="H97" s="53">
        <f t="shared" si="13"/>
        <v>29</v>
      </c>
      <c r="I97" s="17">
        <f t="shared" si="11"/>
        <v>1</v>
      </c>
      <c r="J97" s="18">
        <f t="shared" si="12"/>
        <v>0.96666666666666667</v>
      </c>
      <c r="K97" s="27"/>
      <c r="L97" s="8"/>
      <c r="M97" s="8"/>
      <c r="N97" s="8"/>
      <c r="O97" s="27"/>
      <c r="P97" s="27"/>
      <c r="Q97" s="8" t="s">
        <v>1010</v>
      </c>
      <c r="R97" s="8"/>
      <c r="S97" s="8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8"/>
      <c r="AH97" s="8"/>
      <c r="AI97" s="8"/>
      <c r="AJ97" s="27"/>
      <c r="AK97" s="8"/>
      <c r="AL97" s="8"/>
      <c r="AM97" s="27"/>
      <c r="AN97" s="27"/>
      <c r="AO97" s="27"/>
    </row>
    <row r="98" spans="1:41" ht="15" thickBot="1" x14ac:dyDescent="0.35">
      <c r="A98" s="51" t="s">
        <v>178</v>
      </c>
      <c r="B98" s="51" t="s">
        <v>179</v>
      </c>
      <c r="C98" s="51" t="s">
        <v>1193</v>
      </c>
      <c r="D98" s="51" t="s">
        <v>180</v>
      </c>
      <c r="E98" s="51" t="s">
        <v>19</v>
      </c>
      <c r="F98" s="51" t="s">
        <v>20</v>
      </c>
      <c r="G98" s="51" t="s">
        <v>721</v>
      </c>
      <c r="H98" s="53">
        <f t="shared" si="13"/>
        <v>30</v>
      </c>
      <c r="I98" s="17">
        <f t="shared" si="11"/>
        <v>0</v>
      </c>
      <c r="J98" s="18">
        <f t="shared" si="12"/>
        <v>1</v>
      </c>
      <c r="K98" s="27"/>
      <c r="L98" s="8"/>
      <c r="M98" s="8"/>
      <c r="N98" s="8"/>
      <c r="O98" s="27"/>
      <c r="P98" s="27"/>
      <c r="Q98" s="8"/>
      <c r="R98" s="8"/>
      <c r="S98" s="8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8"/>
      <c r="AH98" s="8"/>
      <c r="AI98" s="8"/>
      <c r="AJ98" s="27"/>
      <c r="AK98" s="8"/>
      <c r="AL98" s="8"/>
      <c r="AM98" s="27"/>
      <c r="AN98" s="27"/>
      <c r="AO98" s="27"/>
    </row>
    <row r="99" spans="1:41" ht="15" thickBot="1" x14ac:dyDescent="0.35">
      <c r="A99" s="51" t="s">
        <v>181</v>
      </c>
      <c r="B99" s="51" t="s">
        <v>182</v>
      </c>
      <c r="C99" s="51" t="s">
        <v>1193</v>
      </c>
      <c r="D99" s="51" t="s">
        <v>183</v>
      </c>
      <c r="E99" s="51" t="s">
        <v>19</v>
      </c>
      <c r="F99" s="51" t="s">
        <v>20</v>
      </c>
      <c r="G99" s="51" t="s">
        <v>722</v>
      </c>
      <c r="H99" s="53">
        <f t="shared" si="13"/>
        <v>30</v>
      </c>
      <c r="I99" s="17">
        <f t="shared" si="11"/>
        <v>0</v>
      </c>
      <c r="J99" s="18">
        <f t="shared" si="12"/>
        <v>1</v>
      </c>
      <c r="K99" s="27"/>
      <c r="L99" s="8"/>
      <c r="M99" s="8"/>
      <c r="N99" s="8"/>
      <c r="O99" s="27"/>
      <c r="P99" s="27"/>
      <c r="Q99" s="8"/>
      <c r="R99" s="8"/>
      <c r="S99" s="8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8"/>
      <c r="AH99" s="8"/>
      <c r="AI99" s="8"/>
      <c r="AJ99" s="27"/>
      <c r="AK99" s="8"/>
      <c r="AL99" s="8"/>
      <c r="AM99" s="27"/>
      <c r="AN99" s="27"/>
      <c r="AO99" s="27"/>
    </row>
    <row r="100" spans="1:41" ht="15" thickBot="1" x14ac:dyDescent="0.35">
      <c r="A100" s="51" t="s">
        <v>187</v>
      </c>
      <c r="B100" s="51" t="s">
        <v>1050</v>
      </c>
      <c r="C100" s="51" t="s">
        <v>1192</v>
      </c>
      <c r="D100" s="51" t="s">
        <v>188</v>
      </c>
      <c r="E100" s="51" t="s">
        <v>73</v>
      </c>
      <c r="F100" s="51" t="s">
        <v>1185</v>
      </c>
      <c r="G100" s="51" t="s">
        <v>725</v>
      </c>
      <c r="H100" s="53">
        <f t="shared" si="13"/>
        <v>28</v>
      </c>
      <c r="I100" s="17">
        <f t="shared" si="11"/>
        <v>1</v>
      </c>
      <c r="J100" s="18">
        <f t="shared" si="12"/>
        <v>0.96551724137931039</v>
      </c>
      <c r="K100" s="27"/>
      <c r="L100" s="8"/>
      <c r="M100" s="8"/>
      <c r="N100" s="8"/>
      <c r="O100" s="27" t="s">
        <v>627</v>
      </c>
      <c r="P100" s="27"/>
      <c r="Q100" s="8"/>
      <c r="R100" s="8"/>
      <c r="S100" s="8"/>
      <c r="T100" s="27" t="s">
        <v>1010</v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8"/>
      <c r="AH100" s="8"/>
      <c r="AI100" s="8"/>
      <c r="AJ100" s="27"/>
      <c r="AK100" s="8"/>
      <c r="AL100" s="8"/>
      <c r="AM100" s="27"/>
      <c r="AN100" s="27"/>
      <c r="AO100" s="27"/>
    </row>
    <row r="101" spans="1:41" ht="15" thickBot="1" x14ac:dyDescent="0.35">
      <c r="A101" s="51" t="s">
        <v>187</v>
      </c>
      <c r="B101" s="51" t="s">
        <v>1051</v>
      </c>
      <c r="C101" s="51" t="s">
        <v>1192</v>
      </c>
      <c r="D101" s="51" t="s">
        <v>188</v>
      </c>
      <c r="E101" s="51" t="s">
        <v>73</v>
      </c>
      <c r="F101" s="51" t="s">
        <v>1185</v>
      </c>
      <c r="G101" s="51" t="s">
        <v>726</v>
      </c>
      <c r="H101" s="53">
        <f t="shared" si="13"/>
        <v>29</v>
      </c>
      <c r="I101" s="17">
        <f t="shared" si="11"/>
        <v>1</v>
      </c>
      <c r="J101" s="18">
        <f t="shared" si="12"/>
        <v>0.96666666666666667</v>
      </c>
      <c r="K101" s="27"/>
      <c r="L101" s="8"/>
      <c r="M101" s="8"/>
      <c r="N101" s="8"/>
      <c r="O101" s="27"/>
      <c r="P101" s="27"/>
      <c r="Q101" s="8"/>
      <c r="R101" s="8"/>
      <c r="S101" s="8"/>
      <c r="T101" s="27" t="s">
        <v>1010</v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8"/>
      <c r="AH101" s="8"/>
      <c r="AI101" s="8"/>
      <c r="AJ101" s="27"/>
      <c r="AK101" s="8"/>
      <c r="AL101" s="8"/>
      <c r="AM101" s="27"/>
      <c r="AN101" s="27"/>
      <c r="AO101" s="27"/>
    </row>
    <row r="102" spans="1:41" ht="15" thickBot="1" x14ac:dyDescent="0.35">
      <c r="A102" s="51" t="s">
        <v>187</v>
      </c>
      <c r="B102" s="51" t="s">
        <v>1052</v>
      </c>
      <c r="C102" s="51" t="s">
        <v>1192</v>
      </c>
      <c r="D102" s="51" t="s">
        <v>1053</v>
      </c>
      <c r="E102" s="51" t="s">
        <v>73</v>
      </c>
      <c r="F102" s="51" t="s">
        <v>20</v>
      </c>
      <c r="G102" s="51"/>
      <c r="H102" s="53">
        <f t="shared" si="13"/>
        <v>29</v>
      </c>
      <c r="I102" s="17">
        <f t="shared" si="11"/>
        <v>1</v>
      </c>
      <c r="J102" s="18">
        <f t="shared" si="12"/>
        <v>0.96666666666666667</v>
      </c>
      <c r="K102" s="27"/>
      <c r="L102" s="8"/>
      <c r="M102" s="8"/>
      <c r="N102" s="8"/>
      <c r="O102" s="27"/>
      <c r="P102" s="27"/>
      <c r="Q102" s="8"/>
      <c r="R102" s="8"/>
      <c r="S102" s="8"/>
      <c r="T102" s="27" t="s">
        <v>1010</v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8"/>
      <c r="AH102" s="8"/>
      <c r="AI102" s="8"/>
      <c r="AJ102" s="27"/>
      <c r="AK102" s="8"/>
      <c r="AL102" s="8"/>
      <c r="AM102" s="27"/>
      <c r="AN102" s="27"/>
      <c r="AO102" s="27"/>
    </row>
    <row r="103" spans="1:41" ht="15" thickBot="1" x14ac:dyDescent="0.35">
      <c r="A103" s="51" t="s">
        <v>187</v>
      </c>
      <c r="B103" s="51" t="s">
        <v>1054</v>
      </c>
      <c r="C103" s="51" t="s">
        <v>1192</v>
      </c>
      <c r="D103" s="51" t="s">
        <v>1053</v>
      </c>
      <c r="E103" s="51" t="s">
        <v>73</v>
      </c>
      <c r="F103" s="51" t="s">
        <v>20</v>
      </c>
      <c r="G103" s="51"/>
      <c r="H103" s="53">
        <f t="shared" si="13"/>
        <v>29</v>
      </c>
      <c r="I103" s="17">
        <f t="shared" si="11"/>
        <v>1</v>
      </c>
      <c r="J103" s="18">
        <f t="shared" si="12"/>
        <v>0.96666666666666667</v>
      </c>
      <c r="K103" s="27"/>
      <c r="L103" s="8"/>
      <c r="M103" s="8"/>
      <c r="N103" s="8"/>
      <c r="O103" s="27"/>
      <c r="P103" s="27"/>
      <c r="Q103" s="8"/>
      <c r="R103" s="8"/>
      <c r="S103" s="8"/>
      <c r="T103" s="27" t="s">
        <v>1010</v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8"/>
      <c r="AH103" s="8"/>
      <c r="AI103" s="8"/>
      <c r="AJ103" s="27"/>
      <c r="AK103" s="8"/>
      <c r="AL103" s="8"/>
      <c r="AM103" s="27"/>
      <c r="AN103" s="27"/>
      <c r="AO103" s="27"/>
    </row>
    <row r="104" spans="1:41" ht="15" thickBot="1" x14ac:dyDescent="0.35">
      <c r="A104" s="51" t="s">
        <v>187</v>
      </c>
      <c r="B104" s="51" t="s">
        <v>185</v>
      </c>
      <c r="C104" s="51" t="s">
        <v>1192</v>
      </c>
      <c r="D104" s="51" t="s">
        <v>186</v>
      </c>
      <c r="E104" s="51" t="s">
        <v>19</v>
      </c>
      <c r="F104" s="51" t="s">
        <v>16</v>
      </c>
      <c r="G104" s="51" t="s">
        <v>724</v>
      </c>
      <c r="H104" s="53">
        <f t="shared" si="13"/>
        <v>30</v>
      </c>
      <c r="I104" s="17">
        <f t="shared" si="11"/>
        <v>0</v>
      </c>
      <c r="J104" s="18">
        <f t="shared" si="12"/>
        <v>1</v>
      </c>
      <c r="K104" s="27"/>
      <c r="L104" s="8"/>
      <c r="M104" s="8"/>
      <c r="N104" s="8"/>
      <c r="O104" s="27"/>
      <c r="P104" s="27"/>
      <c r="Q104" s="8"/>
      <c r="R104" s="8"/>
      <c r="S104" s="8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8"/>
      <c r="AH104" s="8"/>
      <c r="AI104" s="8"/>
      <c r="AJ104" s="27"/>
      <c r="AK104" s="8"/>
      <c r="AL104" s="8"/>
      <c r="AM104" s="27"/>
      <c r="AN104" s="27"/>
      <c r="AO104" s="27"/>
    </row>
    <row r="105" spans="1:41" ht="16.2" customHeight="1" thickBot="1" x14ac:dyDescent="0.35">
      <c r="A105" s="51" t="s">
        <v>189</v>
      </c>
      <c r="B105" s="51" t="s">
        <v>1055</v>
      </c>
      <c r="C105" s="51" t="s">
        <v>1193</v>
      </c>
      <c r="D105" s="51" t="s">
        <v>190</v>
      </c>
      <c r="E105" s="51" t="s">
        <v>15</v>
      </c>
      <c r="F105" s="51" t="s">
        <v>28</v>
      </c>
      <c r="G105" s="51" t="s">
        <v>727</v>
      </c>
      <c r="H105" s="53">
        <f t="shared" si="13"/>
        <v>30</v>
      </c>
      <c r="I105" s="17">
        <f t="shared" si="11"/>
        <v>0</v>
      </c>
      <c r="J105" s="18">
        <f t="shared" si="12"/>
        <v>1</v>
      </c>
      <c r="K105" s="27"/>
      <c r="L105" s="8"/>
      <c r="M105" s="8"/>
      <c r="N105" s="8"/>
      <c r="O105" s="27"/>
      <c r="P105" s="27"/>
      <c r="Q105" s="8"/>
      <c r="R105" s="8"/>
      <c r="S105" s="8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8"/>
      <c r="AH105" s="8"/>
      <c r="AI105" s="8"/>
      <c r="AJ105" s="27"/>
      <c r="AK105" s="8"/>
      <c r="AL105" s="8"/>
      <c r="AM105" s="27"/>
      <c r="AN105" s="27"/>
      <c r="AO105" s="27"/>
    </row>
    <row r="106" spans="1:41" ht="15" thickBot="1" x14ac:dyDescent="0.35">
      <c r="A106" s="51" t="s">
        <v>189</v>
      </c>
      <c r="B106" s="51" t="s">
        <v>1056</v>
      </c>
      <c r="C106" s="51" t="s">
        <v>1193</v>
      </c>
      <c r="D106" s="51" t="s">
        <v>191</v>
      </c>
      <c r="E106" s="51" t="s">
        <v>15</v>
      </c>
      <c r="F106" s="51" t="s">
        <v>28</v>
      </c>
      <c r="G106" s="51" t="s">
        <v>728</v>
      </c>
      <c r="H106" s="53">
        <f t="shared" si="13"/>
        <v>30</v>
      </c>
      <c r="I106" s="17">
        <f t="shared" si="11"/>
        <v>0</v>
      </c>
      <c r="J106" s="18">
        <f t="shared" si="12"/>
        <v>1</v>
      </c>
      <c r="K106" s="27"/>
      <c r="L106" s="8"/>
      <c r="M106" s="8"/>
      <c r="N106" s="8"/>
      <c r="O106" s="27"/>
      <c r="P106" s="27"/>
      <c r="Q106" s="8"/>
      <c r="R106" s="8"/>
      <c r="S106" s="8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8"/>
      <c r="AH106" s="8"/>
      <c r="AI106" s="8"/>
      <c r="AJ106" s="27"/>
      <c r="AK106" s="8"/>
      <c r="AL106" s="8"/>
      <c r="AM106" s="27"/>
      <c r="AN106" s="27"/>
      <c r="AO106" s="27"/>
    </row>
    <row r="107" spans="1:41" ht="15" thickBot="1" x14ac:dyDescent="0.35">
      <c r="A107" s="51" t="s">
        <v>189</v>
      </c>
      <c r="B107" s="51" t="s">
        <v>1057</v>
      </c>
      <c r="C107" s="51" t="s">
        <v>1193</v>
      </c>
      <c r="D107" s="51" t="s">
        <v>192</v>
      </c>
      <c r="E107" s="51" t="s">
        <v>19</v>
      </c>
      <c r="F107" s="51" t="s">
        <v>28</v>
      </c>
      <c r="G107" s="51" t="s">
        <v>729</v>
      </c>
      <c r="H107" s="53">
        <f t="shared" si="13"/>
        <v>30</v>
      </c>
      <c r="I107" s="17">
        <f t="shared" si="11"/>
        <v>0</v>
      </c>
      <c r="J107" s="18">
        <f t="shared" si="12"/>
        <v>1</v>
      </c>
      <c r="K107" s="27"/>
      <c r="L107" s="8"/>
      <c r="M107" s="8"/>
      <c r="N107" s="8"/>
      <c r="O107" s="27"/>
      <c r="P107" s="27"/>
      <c r="Q107" s="8"/>
      <c r="R107" s="8"/>
      <c r="S107" s="8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8"/>
      <c r="AH107" s="8"/>
      <c r="AI107" s="8"/>
      <c r="AJ107" s="27"/>
      <c r="AK107" s="8"/>
      <c r="AL107" s="8"/>
      <c r="AM107" s="27"/>
      <c r="AN107" s="27"/>
      <c r="AO107" s="27"/>
    </row>
    <row r="108" spans="1:41" ht="15" thickBot="1" x14ac:dyDescent="0.35">
      <c r="A108" s="51" t="s">
        <v>189</v>
      </c>
      <c r="B108" s="51" t="s">
        <v>1058</v>
      </c>
      <c r="C108" s="51" t="s">
        <v>1193</v>
      </c>
      <c r="D108" s="51" t="s">
        <v>193</v>
      </c>
      <c r="E108" s="51" t="s">
        <v>15</v>
      </c>
      <c r="F108" s="51" t="s">
        <v>28</v>
      </c>
      <c r="G108" s="51" t="s">
        <v>730</v>
      </c>
      <c r="H108" s="53">
        <f t="shared" si="13"/>
        <v>30</v>
      </c>
      <c r="I108" s="17">
        <f t="shared" si="11"/>
        <v>0</v>
      </c>
      <c r="J108" s="18">
        <f t="shared" si="12"/>
        <v>1</v>
      </c>
      <c r="K108" s="27"/>
      <c r="L108" s="8"/>
      <c r="M108" s="8"/>
      <c r="N108" s="8"/>
      <c r="O108" s="27"/>
      <c r="P108" s="27"/>
      <c r="Q108" s="8"/>
      <c r="R108" s="8"/>
      <c r="S108" s="8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8"/>
      <c r="AH108" s="8"/>
      <c r="AI108" s="8"/>
      <c r="AJ108" s="27"/>
      <c r="AK108" s="8"/>
      <c r="AL108" s="8"/>
      <c r="AM108" s="27"/>
      <c r="AN108" s="27"/>
      <c r="AO108" s="27"/>
    </row>
    <row r="109" spans="1:41" ht="15" thickBot="1" x14ac:dyDescent="0.35">
      <c r="A109" s="51" t="s">
        <v>194</v>
      </c>
      <c r="B109" s="51" t="s">
        <v>196</v>
      </c>
      <c r="C109" s="51" t="s">
        <v>1193</v>
      </c>
      <c r="D109" s="51" t="s">
        <v>1059</v>
      </c>
      <c r="E109" s="51" t="s">
        <v>46</v>
      </c>
      <c r="F109" s="51" t="s">
        <v>20</v>
      </c>
      <c r="G109" s="51" t="s">
        <v>738</v>
      </c>
      <c r="H109" s="53">
        <f t="shared" si="13"/>
        <v>30</v>
      </c>
      <c r="I109" s="17">
        <f t="shared" si="11"/>
        <v>0</v>
      </c>
      <c r="J109" s="18">
        <f t="shared" si="12"/>
        <v>1</v>
      </c>
      <c r="K109" s="27"/>
      <c r="L109" s="8"/>
      <c r="M109" s="8"/>
      <c r="N109" s="8"/>
      <c r="O109" s="27"/>
      <c r="P109" s="27"/>
      <c r="Q109" s="8"/>
      <c r="R109" s="8"/>
      <c r="S109" s="8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8"/>
      <c r="AH109" s="8"/>
      <c r="AI109" s="8"/>
      <c r="AJ109" s="27"/>
      <c r="AK109" s="8"/>
      <c r="AL109" s="8"/>
      <c r="AM109" s="27"/>
      <c r="AN109" s="27"/>
      <c r="AO109" s="27"/>
    </row>
    <row r="110" spans="1:41" ht="15" thickBot="1" x14ac:dyDescent="0.35">
      <c r="A110" s="51" t="s">
        <v>194</v>
      </c>
      <c r="B110" s="51" t="s">
        <v>197</v>
      </c>
      <c r="C110" s="51" t="s">
        <v>1193</v>
      </c>
      <c r="D110" s="51" t="s">
        <v>198</v>
      </c>
      <c r="E110" s="51" t="s">
        <v>19</v>
      </c>
      <c r="F110" s="51" t="s">
        <v>20</v>
      </c>
      <c r="G110" s="51" t="s">
        <v>731</v>
      </c>
      <c r="H110" s="53">
        <f t="shared" si="13"/>
        <v>30</v>
      </c>
      <c r="I110" s="17">
        <f t="shared" si="11"/>
        <v>0</v>
      </c>
      <c r="J110" s="18">
        <f t="shared" si="12"/>
        <v>1</v>
      </c>
      <c r="K110" s="27"/>
      <c r="L110" s="8"/>
      <c r="M110" s="8"/>
      <c r="N110" s="8"/>
      <c r="O110" s="27"/>
      <c r="P110" s="27"/>
      <c r="Q110" s="8"/>
      <c r="R110" s="8"/>
      <c r="S110" s="8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8"/>
      <c r="AH110" s="8"/>
      <c r="AI110" s="8"/>
      <c r="AJ110" s="27"/>
      <c r="AK110" s="8"/>
      <c r="AL110" s="8"/>
      <c r="AM110" s="27"/>
      <c r="AN110" s="27"/>
      <c r="AO110" s="27"/>
    </row>
    <row r="111" spans="1:41" ht="15" thickBot="1" x14ac:dyDescent="0.35">
      <c r="A111" s="51" t="s">
        <v>199</v>
      </c>
      <c r="B111" s="51" t="s">
        <v>200</v>
      </c>
      <c r="C111" s="51" t="s">
        <v>1193</v>
      </c>
      <c r="D111" s="51" t="s">
        <v>201</v>
      </c>
      <c r="E111" s="51" t="s">
        <v>19</v>
      </c>
      <c r="F111" s="51" t="s">
        <v>1185</v>
      </c>
      <c r="G111" s="51" t="s">
        <v>732</v>
      </c>
      <c r="H111" s="53">
        <f t="shared" si="13"/>
        <v>30</v>
      </c>
      <c r="I111" s="17">
        <f t="shared" si="11"/>
        <v>0</v>
      </c>
      <c r="J111" s="18">
        <f t="shared" si="12"/>
        <v>1</v>
      </c>
      <c r="K111" s="27"/>
      <c r="L111" s="8"/>
      <c r="M111" s="8"/>
      <c r="N111" s="8"/>
      <c r="O111" s="27"/>
      <c r="P111" s="27"/>
      <c r="Q111" s="8"/>
      <c r="R111" s="8"/>
      <c r="S111" s="8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8"/>
      <c r="AH111" s="8"/>
      <c r="AI111" s="8"/>
      <c r="AJ111" s="27"/>
      <c r="AK111" s="8"/>
      <c r="AL111" s="8"/>
      <c r="AM111" s="27"/>
      <c r="AN111" s="27"/>
      <c r="AO111" s="27"/>
    </row>
    <row r="112" spans="1:41" ht="15" thickBot="1" x14ac:dyDescent="0.35">
      <c r="A112" s="51" t="s">
        <v>202</v>
      </c>
      <c r="B112" s="51" t="s">
        <v>203</v>
      </c>
      <c r="C112" s="51" t="s">
        <v>1193</v>
      </c>
      <c r="D112" s="51" t="s">
        <v>204</v>
      </c>
      <c r="E112" s="51" t="s">
        <v>15</v>
      </c>
      <c r="F112" s="51" t="s">
        <v>1185</v>
      </c>
      <c r="G112" s="51" t="s">
        <v>733</v>
      </c>
      <c r="H112" s="53">
        <f t="shared" si="13"/>
        <v>30</v>
      </c>
      <c r="I112" s="17">
        <f t="shared" si="11"/>
        <v>0</v>
      </c>
      <c r="J112" s="18">
        <f t="shared" si="12"/>
        <v>1</v>
      </c>
      <c r="K112" s="27"/>
      <c r="L112" s="8"/>
      <c r="M112" s="8"/>
      <c r="N112" s="8"/>
      <c r="O112" s="27"/>
      <c r="P112" s="27"/>
      <c r="Q112" s="8"/>
      <c r="R112" s="8"/>
      <c r="S112" s="8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8"/>
      <c r="AH112" s="8"/>
      <c r="AI112" s="8"/>
      <c r="AJ112" s="27"/>
      <c r="AK112" s="8"/>
      <c r="AL112" s="8"/>
      <c r="AM112" s="27"/>
      <c r="AN112" s="27"/>
      <c r="AO112" s="27"/>
    </row>
    <row r="113" spans="1:41" ht="15" thickBot="1" x14ac:dyDescent="0.35">
      <c r="A113" s="51" t="s">
        <v>194</v>
      </c>
      <c r="B113" s="51" t="s">
        <v>205</v>
      </c>
      <c r="C113" s="51" t="s">
        <v>1193</v>
      </c>
      <c r="D113" s="51" t="s">
        <v>206</v>
      </c>
      <c r="E113" s="51" t="s">
        <v>19</v>
      </c>
      <c r="F113" s="51" t="s">
        <v>1184</v>
      </c>
      <c r="G113" s="51" t="s">
        <v>734</v>
      </c>
      <c r="H113" s="53">
        <f t="shared" si="13"/>
        <v>29</v>
      </c>
      <c r="I113" s="17">
        <f t="shared" si="11"/>
        <v>1</v>
      </c>
      <c r="J113" s="18">
        <f t="shared" si="12"/>
        <v>0.96666666666666667</v>
      </c>
      <c r="K113" s="27"/>
      <c r="L113" s="8"/>
      <c r="M113" s="8"/>
      <c r="N113" s="8"/>
      <c r="O113" s="27"/>
      <c r="P113" s="27"/>
      <c r="Q113" s="8"/>
      <c r="R113" s="8"/>
      <c r="S113" s="8"/>
      <c r="T113" s="27"/>
      <c r="U113" s="27"/>
      <c r="V113" s="27"/>
      <c r="W113" s="27"/>
      <c r="X113" s="27"/>
      <c r="Y113" s="27" t="s">
        <v>1010</v>
      </c>
      <c r="Z113" s="27"/>
      <c r="AA113" s="27"/>
      <c r="AB113" s="27"/>
      <c r="AC113" s="27"/>
      <c r="AD113" s="27"/>
      <c r="AE113" s="27"/>
      <c r="AF113" s="27"/>
      <c r="AG113" s="8"/>
      <c r="AH113" s="8"/>
      <c r="AI113" s="8"/>
      <c r="AJ113" s="27"/>
      <c r="AK113" s="8"/>
      <c r="AL113" s="8"/>
      <c r="AM113" s="27"/>
      <c r="AN113" s="27"/>
      <c r="AO113" s="27"/>
    </row>
    <row r="114" spans="1:41" ht="15" thickBot="1" x14ac:dyDescent="0.35">
      <c r="A114" s="51" t="s">
        <v>194</v>
      </c>
      <c r="B114" s="51" t="s">
        <v>207</v>
      </c>
      <c r="C114" s="51" t="s">
        <v>1193</v>
      </c>
      <c r="D114" s="51" t="s">
        <v>208</v>
      </c>
      <c r="E114" s="51" t="s">
        <v>19</v>
      </c>
      <c r="F114" s="51" t="s">
        <v>1184</v>
      </c>
      <c r="G114" s="51" t="s">
        <v>735</v>
      </c>
      <c r="H114" s="53">
        <f t="shared" si="13"/>
        <v>30</v>
      </c>
      <c r="I114" s="17">
        <f t="shared" si="11"/>
        <v>0</v>
      </c>
      <c r="J114" s="18">
        <f t="shared" si="12"/>
        <v>1</v>
      </c>
      <c r="K114" s="27"/>
      <c r="L114" s="8"/>
      <c r="M114" s="8"/>
      <c r="N114" s="8"/>
      <c r="O114" s="27"/>
      <c r="P114" s="27"/>
      <c r="Q114" s="8"/>
      <c r="R114" s="8"/>
      <c r="S114" s="8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8"/>
      <c r="AH114" s="8"/>
      <c r="AI114" s="8"/>
      <c r="AJ114" s="27"/>
      <c r="AK114" s="8"/>
      <c r="AL114" s="8"/>
      <c r="AM114" s="27"/>
      <c r="AN114" s="27"/>
      <c r="AO114" s="27"/>
    </row>
    <row r="115" spans="1:41" ht="15" thickBot="1" x14ac:dyDescent="0.35">
      <c r="A115" s="51" t="s">
        <v>194</v>
      </c>
      <c r="B115" s="51" t="s">
        <v>209</v>
      </c>
      <c r="C115" s="51" t="s">
        <v>1193</v>
      </c>
      <c r="D115" s="51" t="s">
        <v>210</v>
      </c>
      <c r="E115" s="51" t="s">
        <v>19</v>
      </c>
      <c r="F115" s="51" t="s">
        <v>20</v>
      </c>
      <c r="G115" s="51" t="s">
        <v>736</v>
      </c>
      <c r="H115" s="53">
        <f t="shared" si="13"/>
        <v>30</v>
      </c>
      <c r="I115" s="17">
        <f t="shared" si="11"/>
        <v>0</v>
      </c>
      <c r="J115" s="18">
        <f t="shared" si="12"/>
        <v>1</v>
      </c>
      <c r="K115" s="27"/>
      <c r="L115" s="8"/>
      <c r="M115" s="8"/>
      <c r="N115" s="8"/>
      <c r="O115" s="27"/>
      <c r="P115" s="27"/>
      <c r="Q115" s="8"/>
      <c r="R115" s="8"/>
      <c r="S115" s="8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8"/>
      <c r="AH115" s="8"/>
      <c r="AI115" s="8"/>
      <c r="AJ115" s="27"/>
      <c r="AK115" s="8"/>
      <c r="AL115" s="8"/>
      <c r="AM115" s="27"/>
      <c r="AN115" s="27"/>
      <c r="AO115" s="27"/>
    </row>
    <row r="116" spans="1:41" ht="15" thickBot="1" x14ac:dyDescent="0.35">
      <c r="A116" s="51" t="s">
        <v>194</v>
      </c>
      <c r="B116" s="51" t="s">
        <v>1060</v>
      </c>
      <c r="C116" s="51" t="s">
        <v>1193</v>
      </c>
      <c r="D116" s="51" t="s">
        <v>195</v>
      </c>
      <c r="E116" s="51" t="s">
        <v>15</v>
      </c>
      <c r="F116" s="51" t="s">
        <v>1185</v>
      </c>
      <c r="G116" s="51" t="s">
        <v>737</v>
      </c>
      <c r="H116" s="53">
        <f t="shared" si="13"/>
        <v>30</v>
      </c>
      <c r="I116" s="17">
        <f t="shared" si="11"/>
        <v>0</v>
      </c>
      <c r="J116" s="18">
        <f t="shared" si="12"/>
        <v>1</v>
      </c>
      <c r="K116" s="27"/>
      <c r="L116" s="8"/>
      <c r="M116" s="8"/>
      <c r="N116" s="8"/>
      <c r="O116" s="27"/>
      <c r="P116" s="27"/>
      <c r="Q116" s="8"/>
      <c r="R116" s="8"/>
      <c r="S116" s="8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8"/>
      <c r="AH116" s="8"/>
      <c r="AI116" s="8"/>
      <c r="AJ116" s="27"/>
      <c r="AK116" s="8"/>
      <c r="AL116" s="8"/>
      <c r="AM116" s="27"/>
      <c r="AN116" s="27"/>
      <c r="AO116" s="27"/>
    </row>
    <row r="117" spans="1:41" ht="15" thickBot="1" x14ac:dyDescent="0.35">
      <c r="A117" s="51" t="s">
        <v>194</v>
      </c>
      <c r="B117" s="51" t="s">
        <v>211</v>
      </c>
      <c r="C117" s="51" t="s">
        <v>1193</v>
      </c>
      <c r="D117" s="51" t="s">
        <v>212</v>
      </c>
      <c r="E117" s="51" t="s">
        <v>73</v>
      </c>
      <c r="F117" s="51" t="s">
        <v>28</v>
      </c>
      <c r="G117" s="51" t="s">
        <v>739</v>
      </c>
      <c r="H117" s="53">
        <f t="shared" si="13"/>
        <v>30</v>
      </c>
      <c r="I117" s="17">
        <f t="shared" si="11"/>
        <v>0</v>
      </c>
      <c r="J117" s="18">
        <f t="shared" si="12"/>
        <v>1</v>
      </c>
      <c r="K117" s="27"/>
      <c r="L117" s="8"/>
      <c r="M117" s="8"/>
      <c r="N117" s="8"/>
      <c r="O117" s="27"/>
      <c r="P117" s="27"/>
      <c r="Q117" s="8"/>
      <c r="R117" s="8"/>
      <c r="S117" s="8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8"/>
      <c r="AH117" s="8"/>
      <c r="AI117" s="8"/>
      <c r="AJ117" s="27"/>
      <c r="AK117" s="8"/>
      <c r="AL117" s="8"/>
      <c r="AM117" s="27"/>
      <c r="AN117" s="27"/>
      <c r="AO117" s="27"/>
    </row>
    <row r="118" spans="1:41" ht="15" thickBot="1" x14ac:dyDescent="0.35">
      <c r="A118" s="51" t="s">
        <v>194</v>
      </c>
      <c r="B118" s="51" t="s">
        <v>213</v>
      </c>
      <c r="C118" s="51" t="s">
        <v>1193</v>
      </c>
      <c r="D118" s="51" t="s">
        <v>212</v>
      </c>
      <c r="E118" s="51" t="s">
        <v>73</v>
      </c>
      <c r="F118" s="51" t="s">
        <v>28</v>
      </c>
      <c r="G118" s="51" t="s">
        <v>740</v>
      </c>
      <c r="H118" s="53">
        <f t="shared" si="13"/>
        <v>30</v>
      </c>
      <c r="I118" s="17">
        <f t="shared" si="11"/>
        <v>0</v>
      </c>
      <c r="J118" s="18">
        <f t="shared" si="12"/>
        <v>1</v>
      </c>
      <c r="K118" s="27"/>
      <c r="L118" s="8"/>
      <c r="M118" s="8"/>
      <c r="N118" s="8"/>
      <c r="O118" s="27"/>
      <c r="P118" s="27"/>
      <c r="Q118" s="8"/>
      <c r="R118" s="8"/>
      <c r="S118" s="8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8"/>
      <c r="AH118" s="8"/>
      <c r="AI118" s="8"/>
      <c r="AJ118" s="27"/>
      <c r="AK118" s="8"/>
      <c r="AL118" s="8"/>
      <c r="AM118" s="27"/>
      <c r="AN118" s="27"/>
      <c r="AO118" s="27"/>
    </row>
    <row r="119" spans="1:41" ht="15" thickBot="1" x14ac:dyDescent="0.35">
      <c r="A119" s="51" t="s">
        <v>194</v>
      </c>
      <c r="B119" s="51" t="s">
        <v>214</v>
      </c>
      <c r="C119" s="51" t="s">
        <v>1193</v>
      </c>
      <c r="D119" s="51" t="s">
        <v>215</v>
      </c>
      <c r="E119" s="51" t="s">
        <v>73</v>
      </c>
      <c r="F119" s="51" t="s">
        <v>28</v>
      </c>
      <c r="G119" s="51" t="s">
        <v>707</v>
      </c>
      <c r="H119" s="53">
        <f t="shared" si="13"/>
        <v>30</v>
      </c>
      <c r="I119" s="17">
        <f t="shared" si="11"/>
        <v>0</v>
      </c>
      <c r="J119" s="18">
        <f t="shared" si="12"/>
        <v>1</v>
      </c>
      <c r="K119" s="27"/>
      <c r="L119" s="8"/>
      <c r="M119" s="8"/>
      <c r="N119" s="8"/>
      <c r="O119" s="27"/>
      <c r="P119" s="27"/>
      <c r="Q119" s="8"/>
      <c r="R119" s="8"/>
      <c r="S119" s="8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8"/>
      <c r="AH119" s="8"/>
      <c r="AI119" s="8"/>
      <c r="AJ119" s="27"/>
      <c r="AK119" s="8"/>
      <c r="AL119" s="8"/>
      <c r="AM119" s="27"/>
      <c r="AN119" s="27"/>
      <c r="AO119" s="27"/>
    </row>
    <row r="120" spans="1:41" ht="15" thickBot="1" x14ac:dyDescent="0.35">
      <c r="A120" s="51" t="s">
        <v>194</v>
      </c>
      <c r="B120" s="51" t="s">
        <v>216</v>
      </c>
      <c r="C120" s="51" t="s">
        <v>1193</v>
      </c>
      <c r="D120" s="51" t="s">
        <v>215</v>
      </c>
      <c r="E120" s="51" t="s">
        <v>73</v>
      </c>
      <c r="F120" s="51" t="s">
        <v>28</v>
      </c>
      <c r="G120" s="51" t="s">
        <v>708</v>
      </c>
      <c r="H120" s="53">
        <f t="shared" si="13"/>
        <v>30</v>
      </c>
      <c r="I120" s="17">
        <f t="shared" si="11"/>
        <v>0</v>
      </c>
      <c r="J120" s="18">
        <f t="shared" si="12"/>
        <v>1</v>
      </c>
      <c r="K120" s="27"/>
      <c r="L120" s="8"/>
      <c r="M120" s="8"/>
      <c r="N120" s="8"/>
      <c r="O120" s="27"/>
      <c r="P120" s="27"/>
      <c r="Q120" s="8"/>
      <c r="R120" s="8"/>
      <c r="S120" s="8"/>
      <c r="T120" s="5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8"/>
      <c r="AH120" s="8"/>
      <c r="AI120" s="8"/>
      <c r="AJ120" s="27"/>
      <c r="AK120" s="8"/>
      <c r="AL120" s="8"/>
      <c r="AM120" s="27"/>
      <c r="AN120" s="27"/>
      <c r="AO120" s="27"/>
    </row>
    <row r="121" spans="1:41" ht="15" thickBot="1" x14ac:dyDescent="0.35">
      <c r="A121" s="51" t="s">
        <v>217</v>
      </c>
      <c r="B121" s="51" t="s">
        <v>1061</v>
      </c>
      <c r="C121" s="51" t="s">
        <v>1193</v>
      </c>
      <c r="D121" s="51" t="s">
        <v>218</v>
      </c>
      <c r="E121" s="51" t="s">
        <v>15</v>
      </c>
      <c r="F121" s="51" t="s">
        <v>28</v>
      </c>
      <c r="G121" s="51" t="s">
        <v>742</v>
      </c>
      <c r="H121" s="53">
        <f t="shared" si="13"/>
        <v>30</v>
      </c>
      <c r="I121" s="17">
        <f t="shared" si="11"/>
        <v>0</v>
      </c>
      <c r="J121" s="18">
        <f t="shared" si="12"/>
        <v>1</v>
      </c>
      <c r="K121" s="27"/>
      <c r="L121" s="8"/>
      <c r="M121" s="8"/>
      <c r="N121" s="8"/>
      <c r="O121" s="27"/>
      <c r="P121" s="27"/>
      <c r="Q121" s="8"/>
      <c r="R121" s="8"/>
      <c r="S121" s="8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8"/>
      <c r="AH121" s="8"/>
      <c r="AI121" s="8"/>
      <c r="AJ121" s="27"/>
      <c r="AK121" s="8"/>
      <c r="AL121" s="8"/>
      <c r="AM121" s="27"/>
      <c r="AN121" s="27"/>
      <c r="AO121" s="27"/>
    </row>
    <row r="122" spans="1:41" ht="15" thickBot="1" x14ac:dyDescent="0.35">
      <c r="A122" s="51" t="s">
        <v>217</v>
      </c>
      <c r="B122" s="51" t="s">
        <v>1062</v>
      </c>
      <c r="C122" s="51" t="s">
        <v>1193</v>
      </c>
      <c r="D122" s="51" t="s">
        <v>219</v>
      </c>
      <c r="E122" s="51" t="s">
        <v>15</v>
      </c>
      <c r="F122" s="51" t="s">
        <v>28</v>
      </c>
      <c r="G122" s="51" t="s">
        <v>743</v>
      </c>
      <c r="H122" s="53">
        <f t="shared" si="13"/>
        <v>30</v>
      </c>
      <c r="I122" s="17">
        <f t="shared" si="11"/>
        <v>0</v>
      </c>
      <c r="J122" s="18">
        <f t="shared" si="12"/>
        <v>1</v>
      </c>
      <c r="K122" s="27"/>
      <c r="L122" s="8"/>
      <c r="M122" s="8"/>
      <c r="N122" s="8"/>
      <c r="O122" s="27"/>
      <c r="P122" s="27"/>
      <c r="Q122" s="8"/>
      <c r="R122" s="8"/>
      <c r="S122" s="8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8"/>
      <c r="AH122" s="8"/>
      <c r="AI122" s="8"/>
      <c r="AJ122" s="27"/>
      <c r="AK122" s="8"/>
      <c r="AL122" s="8"/>
      <c r="AM122" s="27"/>
      <c r="AN122" s="27"/>
      <c r="AO122" s="27"/>
    </row>
    <row r="123" spans="1:41" ht="15" thickBot="1" x14ac:dyDescent="0.35">
      <c r="A123" s="51" t="s">
        <v>220</v>
      </c>
      <c r="B123" s="51" t="s">
        <v>1063</v>
      </c>
      <c r="C123" s="51" t="s">
        <v>1193</v>
      </c>
      <c r="D123" s="51" t="s">
        <v>221</v>
      </c>
      <c r="E123" s="51"/>
      <c r="F123" s="51" t="s">
        <v>28</v>
      </c>
      <c r="G123" s="51" t="s">
        <v>744</v>
      </c>
      <c r="H123" s="53">
        <f t="shared" si="13"/>
        <v>30</v>
      </c>
      <c r="I123" s="17">
        <f t="shared" si="11"/>
        <v>0</v>
      </c>
      <c r="J123" s="18">
        <f t="shared" si="12"/>
        <v>1</v>
      </c>
      <c r="K123" s="27"/>
      <c r="L123" s="8"/>
      <c r="M123" s="8"/>
      <c r="N123" s="8"/>
      <c r="O123" s="27"/>
      <c r="P123" s="27"/>
      <c r="Q123" s="8"/>
      <c r="R123" s="8"/>
      <c r="S123" s="8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8"/>
      <c r="AH123" s="8"/>
      <c r="AI123" s="8"/>
      <c r="AJ123" s="27"/>
      <c r="AK123" s="8"/>
      <c r="AL123" s="8"/>
      <c r="AM123" s="27"/>
      <c r="AN123" s="27"/>
      <c r="AO123" s="27"/>
    </row>
    <row r="124" spans="1:41" ht="15" thickBot="1" x14ac:dyDescent="0.35">
      <c r="A124" s="51" t="s">
        <v>222</v>
      </c>
      <c r="B124" s="51" t="s">
        <v>223</v>
      </c>
      <c r="C124" s="51" t="s">
        <v>1192</v>
      </c>
      <c r="D124" s="51" t="s">
        <v>224</v>
      </c>
      <c r="E124" s="51" t="s">
        <v>15</v>
      </c>
      <c r="F124" s="51" t="s">
        <v>20</v>
      </c>
      <c r="G124" s="51" t="s">
        <v>751</v>
      </c>
      <c r="H124" s="53">
        <f t="shared" si="13"/>
        <v>30</v>
      </c>
      <c r="I124" s="17">
        <f t="shared" si="11"/>
        <v>0</v>
      </c>
      <c r="J124" s="18">
        <f t="shared" si="12"/>
        <v>1</v>
      </c>
      <c r="K124" s="27"/>
      <c r="L124" s="8"/>
      <c r="M124" s="8"/>
      <c r="N124" s="8"/>
      <c r="O124" s="27"/>
      <c r="P124" s="27"/>
      <c r="Q124" s="8"/>
      <c r="R124" s="8"/>
      <c r="S124" s="8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8"/>
      <c r="AH124" s="8"/>
      <c r="AI124" s="8"/>
      <c r="AJ124" s="27"/>
      <c r="AK124" s="8"/>
      <c r="AL124" s="8"/>
      <c r="AM124" s="27"/>
      <c r="AN124" s="27"/>
      <c r="AO124" s="27"/>
    </row>
    <row r="125" spans="1:41" ht="15" thickBot="1" x14ac:dyDescent="0.35">
      <c r="A125" s="51" t="s">
        <v>222</v>
      </c>
      <c r="B125" s="51" t="s">
        <v>227</v>
      </c>
      <c r="C125" s="51" t="s">
        <v>1192</v>
      </c>
      <c r="D125" s="51" t="s">
        <v>228</v>
      </c>
      <c r="E125" s="51" t="s">
        <v>15</v>
      </c>
      <c r="F125" s="51" t="s">
        <v>20</v>
      </c>
      <c r="G125" s="51" t="s">
        <v>753</v>
      </c>
      <c r="H125" s="53">
        <f t="shared" si="13"/>
        <v>30</v>
      </c>
      <c r="I125" s="17">
        <f t="shared" si="11"/>
        <v>0</v>
      </c>
      <c r="J125" s="18">
        <f t="shared" si="12"/>
        <v>1</v>
      </c>
      <c r="K125" s="27"/>
      <c r="L125" s="8"/>
      <c r="M125" s="8"/>
      <c r="N125" s="8"/>
      <c r="O125" s="27"/>
      <c r="P125" s="27"/>
      <c r="Q125" s="8"/>
      <c r="R125" s="8"/>
      <c r="S125" s="8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8"/>
      <c r="AH125" s="8"/>
      <c r="AI125" s="8"/>
      <c r="AJ125" s="27"/>
      <c r="AK125" s="8"/>
      <c r="AL125" s="8"/>
      <c r="AM125" s="27"/>
      <c r="AN125" s="27"/>
      <c r="AO125" s="27"/>
    </row>
    <row r="126" spans="1:41" ht="15" thickBot="1" x14ac:dyDescent="0.35">
      <c r="A126" s="51" t="s">
        <v>222</v>
      </c>
      <c r="B126" s="51" t="s">
        <v>229</v>
      </c>
      <c r="C126" s="51" t="s">
        <v>1192</v>
      </c>
      <c r="D126" s="51" t="s">
        <v>230</v>
      </c>
      <c r="E126" s="51" t="s">
        <v>73</v>
      </c>
      <c r="F126" s="51" t="s">
        <v>1185</v>
      </c>
      <c r="G126" s="51" t="s">
        <v>755</v>
      </c>
      <c r="H126" s="53">
        <f t="shared" si="13"/>
        <v>29</v>
      </c>
      <c r="I126" s="17">
        <f t="shared" si="11"/>
        <v>1</v>
      </c>
      <c r="J126" s="18">
        <f t="shared" si="12"/>
        <v>0.96666666666666667</v>
      </c>
      <c r="K126" s="27"/>
      <c r="L126" s="8"/>
      <c r="M126" s="8"/>
      <c r="N126" s="8"/>
      <c r="O126" s="27"/>
      <c r="P126" s="27"/>
      <c r="Q126" s="8"/>
      <c r="R126" s="8"/>
      <c r="S126" s="8"/>
      <c r="T126" s="27" t="s">
        <v>1010</v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8"/>
      <c r="AH126" s="8"/>
      <c r="AI126" s="8"/>
      <c r="AJ126" s="27"/>
      <c r="AK126" s="8"/>
      <c r="AL126" s="8"/>
      <c r="AM126" s="27"/>
      <c r="AN126" s="27"/>
      <c r="AO126" s="27"/>
    </row>
    <row r="127" spans="1:41" ht="15" thickBot="1" x14ac:dyDescent="0.35">
      <c r="A127" s="51" t="s">
        <v>222</v>
      </c>
      <c r="B127" s="51" t="s">
        <v>231</v>
      </c>
      <c r="C127" s="51" t="s">
        <v>1192</v>
      </c>
      <c r="D127" s="51" t="s">
        <v>230</v>
      </c>
      <c r="E127" s="51" t="s">
        <v>73</v>
      </c>
      <c r="F127" s="51" t="s">
        <v>1185</v>
      </c>
      <c r="G127" s="51" t="s">
        <v>756</v>
      </c>
      <c r="H127" s="53">
        <f t="shared" si="13"/>
        <v>29</v>
      </c>
      <c r="I127" s="17">
        <f t="shared" si="11"/>
        <v>1</v>
      </c>
      <c r="J127" s="18">
        <f t="shared" si="12"/>
        <v>0.96666666666666667</v>
      </c>
      <c r="K127" s="27"/>
      <c r="L127" s="8"/>
      <c r="M127" s="8"/>
      <c r="N127" s="8"/>
      <c r="O127" s="27"/>
      <c r="P127" s="27"/>
      <c r="Q127" s="8"/>
      <c r="R127" s="8"/>
      <c r="S127" s="8"/>
      <c r="T127" s="27" t="s">
        <v>1010</v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8"/>
      <c r="AH127" s="8"/>
      <c r="AI127" s="8"/>
      <c r="AJ127" s="27"/>
      <c r="AK127" s="8"/>
      <c r="AL127" s="8"/>
      <c r="AM127" s="27"/>
      <c r="AN127" s="27"/>
      <c r="AO127" s="27"/>
    </row>
    <row r="128" spans="1:41" ht="15" thickBot="1" x14ac:dyDescent="0.35">
      <c r="A128" s="51" t="s">
        <v>222</v>
      </c>
      <c r="B128" s="51" t="s">
        <v>1064</v>
      </c>
      <c r="C128" s="51" t="s">
        <v>1192</v>
      </c>
      <c r="D128" s="51" t="s">
        <v>247</v>
      </c>
      <c r="E128" s="51" t="s">
        <v>73</v>
      </c>
      <c r="F128" s="51" t="s">
        <v>1185</v>
      </c>
      <c r="G128" s="51" t="s">
        <v>757</v>
      </c>
      <c r="H128" s="53">
        <f t="shared" si="13"/>
        <v>23</v>
      </c>
      <c r="I128" s="17">
        <f t="shared" si="11"/>
        <v>7</v>
      </c>
      <c r="J128" s="18">
        <f t="shared" si="12"/>
        <v>0.76666666666666672</v>
      </c>
      <c r="K128" s="27" t="s">
        <v>1010</v>
      </c>
      <c r="L128" s="8" t="s">
        <v>1010</v>
      </c>
      <c r="M128" s="8" t="s">
        <v>1010</v>
      </c>
      <c r="N128" s="8" t="s">
        <v>1010</v>
      </c>
      <c r="O128" s="27" t="s">
        <v>1010</v>
      </c>
      <c r="P128" s="27" t="s">
        <v>1010</v>
      </c>
      <c r="Q128" s="8"/>
      <c r="R128" s="8"/>
      <c r="S128" s="8"/>
      <c r="T128" s="27" t="s">
        <v>1010</v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8"/>
      <c r="AH128" s="8"/>
      <c r="AI128" s="8"/>
      <c r="AJ128" s="27"/>
      <c r="AK128" s="8"/>
      <c r="AL128" s="8"/>
      <c r="AM128" s="27"/>
      <c r="AN128" s="27"/>
      <c r="AO128" s="27"/>
    </row>
    <row r="129" spans="1:41" ht="15" thickBot="1" x14ac:dyDescent="0.35">
      <c r="A129" s="51" t="s">
        <v>222</v>
      </c>
      <c r="B129" s="51" t="s">
        <v>1065</v>
      </c>
      <c r="C129" s="51" t="s">
        <v>1192</v>
      </c>
      <c r="D129" s="51" t="s">
        <v>247</v>
      </c>
      <c r="E129" s="51" t="s">
        <v>73</v>
      </c>
      <c r="F129" s="51" t="s">
        <v>1185</v>
      </c>
      <c r="G129" s="51" t="s">
        <v>758</v>
      </c>
      <c r="H129" s="53">
        <f t="shared" si="13"/>
        <v>24</v>
      </c>
      <c r="I129" s="17">
        <f t="shared" si="11"/>
        <v>6</v>
      </c>
      <c r="J129" s="18">
        <f t="shared" si="12"/>
        <v>0.8</v>
      </c>
      <c r="K129" s="27" t="s">
        <v>1010</v>
      </c>
      <c r="L129" s="8" t="s">
        <v>1010</v>
      </c>
      <c r="M129" s="8" t="s">
        <v>1010</v>
      </c>
      <c r="N129" s="8" t="s">
        <v>1010</v>
      </c>
      <c r="O129" s="27" t="s">
        <v>1010</v>
      </c>
      <c r="P129" s="27"/>
      <c r="Q129" s="8"/>
      <c r="R129" s="8"/>
      <c r="S129" s="8"/>
      <c r="T129" s="27" t="s">
        <v>1010</v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8"/>
      <c r="AH129" s="8"/>
      <c r="AI129" s="8"/>
      <c r="AJ129" s="27"/>
      <c r="AK129" s="8"/>
      <c r="AL129" s="8"/>
      <c r="AM129" s="27"/>
      <c r="AN129" s="27"/>
      <c r="AO129" s="27"/>
    </row>
    <row r="130" spans="1:41" ht="15" thickBot="1" x14ac:dyDescent="0.35">
      <c r="A130" s="51" t="s">
        <v>222</v>
      </c>
      <c r="B130" s="51" t="s">
        <v>1066</v>
      </c>
      <c r="C130" s="51" t="s">
        <v>1192</v>
      </c>
      <c r="D130" s="51" t="s">
        <v>248</v>
      </c>
      <c r="E130" s="51" t="s">
        <v>73</v>
      </c>
      <c r="F130" s="51" t="s">
        <v>1185</v>
      </c>
      <c r="G130" s="51" t="s">
        <v>759</v>
      </c>
      <c r="H130" s="53">
        <f t="shared" si="13"/>
        <v>29</v>
      </c>
      <c r="I130" s="17">
        <f t="shared" si="11"/>
        <v>1</v>
      </c>
      <c r="J130" s="18">
        <f t="shared" si="12"/>
        <v>0.96666666666666667</v>
      </c>
      <c r="K130" s="27"/>
      <c r="L130" s="8"/>
      <c r="M130" s="8"/>
      <c r="N130" s="8"/>
      <c r="O130" s="27"/>
      <c r="P130" s="27"/>
      <c r="Q130" s="8"/>
      <c r="R130" s="8"/>
      <c r="S130" s="8"/>
      <c r="T130" s="27" t="s">
        <v>1010</v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8"/>
      <c r="AH130" s="8"/>
      <c r="AI130" s="8"/>
      <c r="AJ130" s="27"/>
      <c r="AK130" s="8"/>
      <c r="AL130" s="8"/>
      <c r="AM130" s="27"/>
      <c r="AN130" s="27"/>
      <c r="AO130" s="27"/>
    </row>
    <row r="131" spans="1:41" ht="15" thickBot="1" x14ac:dyDescent="0.35">
      <c r="A131" s="51" t="s">
        <v>222</v>
      </c>
      <c r="B131" s="51" t="s">
        <v>1067</v>
      </c>
      <c r="C131" s="51" t="s">
        <v>1192</v>
      </c>
      <c r="D131" s="51" t="s">
        <v>248</v>
      </c>
      <c r="E131" s="51" t="s">
        <v>73</v>
      </c>
      <c r="F131" s="51" t="s">
        <v>1185</v>
      </c>
      <c r="G131" s="51" t="s">
        <v>760</v>
      </c>
      <c r="H131" s="53">
        <f t="shared" si="13"/>
        <v>29</v>
      </c>
      <c r="I131" s="17">
        <f t="shared" si="11"/>
        <v>1</v>
      </c>
      <c r="J131" s="18">
        <f t="shared" si="12"/>
        <v>0.96666666666666667</v>
      </c>
      <c r="K131" s="27"/>
      <c r="L131" s="8"/>
      <c r="M131" s="8"/>
      <c r="N131" s="8"/>
      <c r="O131" s="27"/>
      <c r="P131" s="27"/>
      <c r="Q131" s="8"/>
      <c r="R131" s="8"/>
      <c r="S131" s="8"/>
      <c r="T131" s="27" t="s">
        <v>1010</v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8"/>
      <c r="AH131" s="8"/>
      <c r="AI131" s="8"/>
      <c r="AJ131" s="27"/>
      <c r="AK131" s="8"/>
      <c r="AL131" s="8"/>
      <c r="AM131" s="27"/>
      <c r="AN131" s="27"/>
      <c r="AO131" s="27"/>
    </row>
    <row r="132" spans="1:41" ht="15" thickBot="1" x14ac:dyDescent="0.35">
      <c r="A132" s="51" t="s">
        <v>232</v>
      </c>
      <c r="B132" s="51" t="s">
        <v>233</v>
      </c>
      <c r="C132" s="51" t="s">
        <v>1192</v>
      </c>
      <c r="D132" s="51" t="s">
        <v>234</v>
      </c>
      <c r="E132" s="51" t="s">
        <v>15</v>
      </c>
      <c r="F132" s="51" t="s">
        <v>20</v>
      </c>
      <c r="G132" s="51" t="s">
        <v>745</v>
      </c>
      <c r="H132" s="53">
        <f t="shared" si="13"/>
        <v>30</v>
      </c>
      <c r="I132" s="17">
        <f t="shared" si="11"/>
        <v>0</v>
      </c>
      <c r="J132" s="18">
        <f t="shared" si="12"/>
        <v>1</v>
      </c>
      <c r="K132" s="27"/>
      <c r="L132" s="8"/>
      <c r="M132" s="8"/>
      <c r="N132" s="8"/>
      <c r="O132" s="27"/>
      <c r="P132" s="27"/>
      <c r="Q132" s="8"/>
      <c r="R132" s="8"/>
      <c r="S132" s="8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8"/>
      <c r="AH132" s="8"/>
      <c r="AI132" s="8"/>
      <c r="AJ132" s="27"/>
      <c r="AK132" s="8"/>
      <c r="AL132" s="8"/>
      <c r="AM132" s="27"/>
      <c r="AN132" s="27"/>
      <c r="AO132" s="27"/>
    </row>
    <row r="133" spans="1:41" ht="15" thickBot="1" x14ac:dyDescent="0.35">
      <c r="A133" s="51" t="s">
        <v>171</v>
      </c>
      <c r="B133" s="51" t="s">
        <v>235</v>
      </c>
      <c r="C133" s="51" t="s">
        <v>1192</v>
      </c>
      <c r="D133" s="51" t="s">
        <v>236</v>
      </c>
      <c r="E133" s="51" t="s">
        <v>19</v>
      </c>
      <c r="F133" s="51" t="s">
        <v>20</v>
      </c>
      <c r="G133" s="51" t="s">
        <v>746</v>
      </c>
      <c r="H133" s="53">
        <f t="shared" si="13"/>
        <v>30</v>
      </c>
      <c r="I133" s="17">
        <f t="shared" ref="I133:I196" si="14">COUNTIF(K133:AL133,"APAGADO")</f>
        <v>0</v>
      </c>
      <c r="J133" s="18">
        <f t="shared" ref="J133:J196" si="15">(H133)/(I133+H133)</f>
        <v>1</v>
      </c>
      <c r="K133" s="27"/>
      <c r="L133" s="8"/>
      <c r="M133" s="8"/>
      <c r="N133" s="8"/>
      <c r="O133" s="27"/>
      <c r="P133" s="27"/>
      <c r="Q133" s="8"/>
      <c r="R133" s="8"/>
      <c r="S133" s="8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8"/>
      <c r="AH133" s="8"/>
      <c r="AI133" s="8"/>
      <c r="AJ133" s="27"/>
      <c r="AK133" s="8"/>
      <c r="AL133" s="8"/>
      <c r="AM133" s="27"/>
      <c r="AN133" s="27"/>
      <c r="AO133" s="27"/>
    </row>
    <row r="134" spans="1:41" ht="15" thickBot="1" x14ac:dyDescent="0.35">
      <c r="A134" s="51" t="s">
        <v>222</v>
      </c>
      <c r="B134" s="51" t="s">
        <v>237</v>
      </c>
      <c r="C134" s="51" t="s">
        <v>1192</v>
      </c>
      <c r="D134" s="51" t="s">
        <v>238</v>
      </c>
      <c r="E134" s="51" t="s">
        <v>19</v>
      </c>
      <c r="F134" s="51" t="s">
        <v>20</v>
      </c>
      <c r="G134" s="51" t="s">
        <v>747</v>
      </c>
      <c r="H134" s="53">
        <f t="shared" ref="H134:H197" si="16">COUNTIF(K134:AN134,"")</f>
        <v>15</v>
      </c>
      <c r="I134" s="17">
        <f t="shared" si="14"/>
        <v>15</v>
      </c>
      <c r="J134" s="18">
        <f t="shared" si="15"/>
        <v>0.5</v>
      </c>
      <c r="K134" s="27" t="s">
        <v>1010</v>
      </c>
      <c r="L134" s="8" t="s">
        <v>1010</v>
      </c>
      <c r="M134" s="8" t="s">
        <v>1010</v>
      </c>
      <c r="N134" s="8" t="s">
        <v>1010</v>
      </c>
      <c r="O134" s="27" t="s">
        <v>1010</v>
      </c>
      <c r="P134" s="27" t="s">
        <v>1010</v>
      </c>
      <c r="Q134" s="8" t="s">
        <v>1010</v>
      </c>
      <c r="R134" s="8" t="s">
        <v>1010</v>
      </c>
      <c r="S134" s="8" t="s">
        <v>1010</v>
      </c>
      <c r="T134" s="27" t="s">
        <v>1010</v>
      </c>
      <c r="U134" s="27" t="s">
        <v>1010</v>
      </c>
      <c r="V134" s="27" t="s">
        <v>1010</v>
      </c>
      <c r="W134" s="27" t="s">
        <v>1010</v>
      </c>
      <c r="X134" s="27" t="s">
        <v>1010</v>
      </c>
      <c r="Y134" s="27" t="s">
        <v>1010</v>
      </c>
      <c r="Z134" s="27"/>
      <c r="AA134" s="27"/>
      <c r="AB134" s="27"/>
      <c r="AC134" s="27"/>
      <c r="AD134" s="27"/>
      <c r="AE134" s="27"/>
      <c r="AF134" s="27"/>
      <c r="AG134" s="8"/>
      <c r="AH134" s="8"/>
      <c r="AI134" s="8"/>
      <c r="AJ134" s="27"/>
      <c r="AK134" s="8"/>
      <c r="AL134" s="8"/>
      <c r="AM134" s="27"/>
      <c r="AN134" s="27"/>
      <c r="AO134" s="27"/>
    </row>
    <row r="135" spans="1:41" ht="15" thickBot="1" x14ac:dyDescent="0.35">
      <c r="A135" s="51" t="s">
        <v>222</v>
      </c>
      <c r="B135" s="51" t="s">
        <v>239</v>
      </c>
      <c r="C135" s="51" t="s">
        <v>1192</v>
      </c>
      <c r="D135" s="51" t="s">
        <v>240</v>
      </c>
      <c r="E135" s="51" t="s">
        <v>19</v>
      </c>
      <c r="F135" s="51" t="s">
        <v>20</v>
      </c>
      <c r="G135" s="51" t="s">
        <v>748</v>
      </c>
      <c r="H135" s="53">
        <f t="shared" si="16"/>
        <v>29</v>
      </c>
      <c r="I135" s="17">
        <f t="shared" si="14"/>
        <v>1</v>
      </c>
      <c r="J135" s="18">
        <f t="shared" si="15"/>
        <v>0.96666666666666667</v>
      </c>
      <c r="K135" s="27"/>
      <c r="L135" s="8"/>
      <c r="M135" s="8"/>
      <c r="N135" s="8"/>
      <c r="O135" s="27"/>
      <c r="P135" s="27"/>
      <c r="Q135" s="8"/>
      <c r="R135" s="8"/>
      <c r="S135" s="8"/>
      <c r="T135" s="27"/>
      <c r="U135" s="27"/>
      <c r="V135" s="27"/>
      <c r="W135" s="27"/>
      <c r="X135" s="27" t="s">
        <v>1010</v>
      </c>
      <c r="Y135" s="27"/>
      <c r="Z135" s="27"/>
      <c r="AA135" s="27"/>
      <c r="AB135" s="27"/>
      <c r="AC135" s="27"/>
      <c r="AD135" s="27"/>
      <c r="AE135" s="27"/>
      <c r="AF135" s="27"/>
      <c r="AG135" s="8"/>
      <c r="AH135" s="8"/>
      <c r="AI135" s="8"/>
      <c r="AJ135" s="27"/>
      <c r="AK135" s="8"/>
      <c r="AL135" s="8"/>
      <c r="AM135" s="27"/>
      <c r="AN135" s="27"/>
      <c r="AO135" s="27"/>
    </row>
    <row r="136" spans="1:41" ht="15" thickBot="1" x14ac:dyDescent="0.35">
      <c r="A136" s="51" t="s">
        <v>222</v>
      </c>
      <c r="B136" s="51" t="s">
        <v>241</v>
      </c>
      <c r="C136" s="51" t="s">
        <v>1192</v>
      </c>
      <c r="D136" s="51" t="s">
        <v>242</v>
      </c>
      <c r="E136" s="51" t="s">
        <v>19</v>
      </c>
      <c r="F136" s="51" t="s">
        <v>20</v>
      </c>
      <c r="G136" s="51" t="s">
        <v>749</v>
      </c>
      <c r="H136" s="53">
        <f t="shared" si="16"/>
        <v>30</v>
      </c>
      <c r="I136" s="17">
        <f t="shared" si="14"/>
        <v>0</v>
      </c>
      <c r="J136" s="18">
        <f t="shared" si="15"/>
        <v>1</v>
      </c>
      <c r="K136" s="27"/>
      <c r="L136" s="8"/>
      <c r="M136" s="8"/>
      <c r="N136" s="8"/>
      <c r="O136" s="27"/>
      <c r="P136" s="27"/>
      <c r="Q136" s="8"/>
      <c r="R136" s="8"/>
      <c r="S136" s="8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8"/>
      <c r="AH136" s="8"/>
      <c r="AI136" s="8"/>
      <c r="AJ136" s="27"/>
      <c r="AK136" s="8"/>
      <c r="AL136" s="8"/>
      <c r="AM136" s="27"/>
      <c r="AN136" s="27"/>
      <c r="AO136" s="27"/>
    </row>
    <row r="137" spans="1:41" ht="15" thickBot="1" x14ac:dyDescent="0.35">
      <c r="A137" s="51" t="s">
        <v>222</v>
      </c>
      <c r="B137" s="51" t="s">
        <v>243</v>
      </c>
      <c r="C137" s="51" t="s">
        <v>1192</v>
      </c>
      <c r="D137" s="51" t="s">
        <v>244</v>
      </c>
      <c r="E137" s="51" t="s">
        <v>15</v>
      </c>
      <c r="F137" s="51" t="s">
        <v>20</v>
      </c>
      <c r="G137" s="51" t="s">
        <v>750</v>
      </c>
      <c r="H137" s="53">
        <f t="shared" si="16"/>
        <v>29</v>
      </c>
      <c r="I137" s="17">
        <f t="shared" si="14"/>
        <v>1</v>
      </c>
      <c r="J137" s="18">
        <f t="shared" si="15"/>
        <v>0.96666666666666667</v>
      </c>
      <c r="K137" s="27"/>
      <c r="L137" s="8"/>
      <c r="M137" s="8"/>
      <c r="N137" s="8"/>
      <c r="O137" s="27"/>
      <c r="P137" s="27"/>
      <c r="Q137" s="8"/>
      <c r="R137" s="8"/>
      <c r="S137" s="8"/>
      <c r="T137" s="27"/>
      <c r="U137" s="27"/>
      <c r="V137" s="27"/>
      <c r="W137" s="27"/>
      <c r="X137" s="27"/>
      <c r="Y137" s="27" t="s">
        <v>1010</v>
      </c>
      <c r="Z137" s="27"/>
      <c r="AA137" s="27"/>
      <c r="AB137" s="27"/>
      <c r="AC137" s="27"/>
      <c r="AD137" s="27"/>
      <c r="AE137" s="27"/>
      <c r="AF137" s="27"/>
      <c r="AG137" s="8"/>
      <c r="AH137" s="8"/>
      <c r="AI137" s="8"/>
      <c r="AJ137" s="27"/>
      <c r="AK137" s="8"/>
      <c r="AL137" s="8"/>
      <c r="AM137" s="27"/>
      <c r="AN137" s="27"/>
      <c r="AO137" s="27"/>
    </row>
    <row r="138" spans="1:41" ht="15" thickBot="1" x14ac:dyDescent="0.35">
      <c r="A138" s="51" t="s">
        <v>222</v>
      </c>
      <c r="B138" s="51" t="s">
        <v>1068</v>
      </c>
      <c r="C138" s="51" t="s">
        <v>1192</v>
      </c>
      <c r="D138" s="51" t="s">
        <v>225</v>
      </c>
      <c r="E138" s="51" t="s">
        <v>15</v>
      </c>
      <c r="F138" s="51" t="s">
        <v>20</v>
      </c>
      <c r="G138" s="51" t="s">
        <v>752</v>
      </c>
      <c r="H138" s="53">
        <f t="shared" si="16"/>
        <v>30</v>
      </c>
      <c r="I138" s="17">
        <f t="shared" si="14"/>
        <v>0</v>
      </c>
      <c r="J138" s="18">
        <f t="shared" si="15"/>
        <v>1</v>
      </c>
      <c r="K138" s="27"/>
      <c r="L138" s="8"/>
      <c r="M138" s="8"/>
      <c r="N138" s="8"/>
      <c r="O138" s="27"/>
      <c r="P138" s="27"/>
      <c r="Q138" s="8"/>
      <c r="R138" s="8"/>
      <c r="S138" s="8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8"/>
      <c r="AH138" s="8"/>
      <c r="AI138" s="8"/>
      <c r="AJ138" s="27"/>
      <c r="AK138" s="8"/>
      <c r="AL138" s="8"/>
      <c r="AM138" s="27"/>
      <c r="AN138" s="27"/>
      <c r="AO138" s="27"/>
    </row>
    <row r="139" spans="1:41" ht="15" thickBot="1" x14ac:dyDescent="0.35">
      <c r="A139" s="51" t="s">
        <v>222</v>
      </c>
      <c r="B139" s="51" t="s">
        <v>1069</v>
      </c>
      <c r="C139" s="51" t="s">
        <v>1192</v>
      </c>
      <c r="D139" s="51" t="s">
        <v>226</v>
      </c>
      <c r="E139" s="51" t="s">
        <v>15</v>
      </c>
      <c r="F139" s="51" t="s">
        <v>20</v>
      </c>
      <c r="G139" s="51" t="s">
        <v>739</v>
      </c>
      <c r="H139" s="53">
        <f t="shared" si="16"/>
        <v>30</v>
      </c>
      <c r="I139" s="17">
        <f t="shared" si="14"/>
        <v>0</v>
      </c>
      <c r="J139" s="18">
        <f t="shared" si="15"/>
        <v>1</v>
      </c>
      <c r="K139" s="27"/>
      <c r="L139" s="8"/>
      <c r="M139" s="8"/>
      <c r="N139" s="8"/>
      <c r="O139" s="27"/>
      <c r="P139" s="27"/>
      <c r="Q139" s="8"/>
      <c r="R139" s="8"/>
      <c r="S139" s="8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8"/>
      <c r="AH139" s="8"/>
      <c r="AI139" s="8"/>
      <c r="AJ139" s="27"/>
      <c r="AK139" s="8"/>
      <c r="AL139" s="8"/>
      <c r="AM139" s="27"/>
      <c r="AN139" s="27"/>
      <c r="AO139" s="27"/>
    </row>
    <row r="140" spans="1:41" ht="15" thickBot="1" x14ac:dyDescent="0.35">
      <c r="A140" s="51" t="s">
        <v>222</v>
      </c>
      <c r="B140" s="51" t="s">
        <v>245</v>
      </c>
      <c r="C140" s="51" t="s">
        <v>1192</v>
      </c>
      <c r="D140" s="51" t="s">
        <v>246</v>
      </c>
      <c r="E140" s="51" t="s">
        <v>15</v>
      </c>
      <c r="F140" s="51" t="s">
        <v>28</v>
      </c>
      <c r="G140" s="51" t="s">
        <v>754</v>
      </c>
      <c r="H140" s="53">
        <f t="shared" si="16"/>
        <v>30</v>
      </c>
      <c r="I140" s="17">
        <f t="shared" si="14"/>
        <v>0</v>
      </c>
      <c r="J140" s="18">
        <f t="shared" si="15"/>
        <v>1</v>
      </c>
      <c r="K140" s="27"/>
      <c r="L140" s="8"/>
      <c r="M140" s="8"/>
      <c r="N140" s="8"/>
      <c r="O140" s="27"/>
      <c r="P140" s="27"/>
      <c r="Q140" s="8"/>
      <c r="R140" s="8"/>
      <c r="S140" s="8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8"/>
      <c r="AH140" s="8"/>
      <c r="AI140" s="8"/>
      <c r="AJ140" s="27"/>
      <c r="AK140" s="8"/>
      <c r="AL140" s="8"/>
      <c r="AM140" s="27"/>
      <c r="AN140" s="27"/>
      <c r="AO140" s="27"/>
    </row>
    <row r="141" spans="1:41" ht="15" thickBot="1" x14ac:dyDescent="0.35">
      <c r="A141" s="51" t="s">
        <v>101</v>
      </c>
      <c r="B141" s="51" t="s">
        <v>249</v>
      </c>
      <c r="C141" s="51" t="s">
        <v>1192</v>
      </c>
      <c r="D141" s="51" t="s">
        <v>250</v>
      </c>
      <c r="E141" s="51" t="s">
        <v>15</v>
      </c>
      <c r="F141" s="51" t="s">
        <v>1185</v>
      </c>
      <c r="G141" s="51" t="s">
        <v>761</v>
      </c>
      <c r="H141" s="53">
        <f t="shared" si="16"/>
        <v>30</v>
      </c>
      <c r="I141" s="17">
        <f t="shared" si="14"/>
        <v>0</v>
      </c>
      <c r="J141" s="18">
        <f t="shared" si="15"/>
        <v>1</v>
      </c>
      <c r="K141" s="27"/>
      <c r="L141" s="8"/>
      <c r="M141" s="8"/>
      <c r="N141" s="8"/>
      <c r="O141" s="27"/>
      <c r="P141" s="27"/>
      <c r="Q141" s="8"/>
      <c r="R141" s="8"/>
      <c r="S141" s="8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8"/>
      <c r="AH141" s="8"/>
      <c r="AI141" s="8"/>
      <c r="AJ141" s="27"/>
      <c r="AK141" s="8"/>
      <c r="AL141" s="8"/>
      <c r="AM141" s="27"/>
      <c r="AN141" s="27"/>
      <c r="AO141" s="27"/>
    </row>
    <row r="142" spans="1:41" ht="15" thickBot="1" x14ac:dyDescent="0.35">
      <c r="A142" s="51" t="s">
        <v>101</v>
      </c>
      <c r="B142" s="51" t="s">
        <v>251</v>
      </c>
      <c r="C142" s="51" t="s">
        <v>1192</v>
      </c>
      <c r="D142" s="51" t="s">
        <v>252</v>
      </c>
      <c r="E142" s="51" t="s">
        <v>15</v>
      </c>
      <c r="F142" s="51" t="s">
        <v>1185</v>
      </c>
      <c r="G142" s="51" t="s">
        <v>762</v>
      </c>
      <c r="H142" s="53">
        <f t="shared" si="16"/>
        <v>30</v>
      </c>
      <c r="I142" s="17">
        <f t="shared" si="14"/>
        <v>0</v>
      </c>
      <c r="J142" s="18">
        <f t="shared" si="15"/>
        <v>1</v>
      </c>
      <c r="K142" s="27"/>
      <c r="L142" s="8"/>
      <c r="M142" s="8"/>
      <c r="N142" s="8"/>
      <c r="O142" s="27"/>
      <c r="P142" s="27"/>
      <c r="Q142" s="8"/>
      <c r="R142" s="8"/>
      <c r="S142" s="8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8"/>
      <c r="AH142" s="8"/>
      <c r="AI142" s="8"/>
      <c r="AJ142" s="27"/>
      <c r="AK142" s="8"/>
      <c r="AL142" s="8"/>
      <c r="AM142" s="27"/>
      <c r="AN142" s="27"/>
      <c r="AO142" s="27"/>
    </row>
    <row r="143" spans="1:41" ht="15" thickBot="1" x14ac:dyDescent="0.35">
      <c r="A143" s="51" t="s">
        <v>101</v>
      </c>
      <c r="B143" s="51" t="s">
        <v>253</v>
      </c>
      <c r="C143" s="51" t="s">
        <v>1192</v>
      </c>
      <c r="D143" s="51" t="s">
        <v>254</v>
      </c>
      <c r="E143" s="51" t="s">
        <v>15</v>
      </c>
      <c r="F143" s="51" t="s">
        <v>1185</v>
      </c>
      <c r="G143" s="51" t="s">
        <v>763</v>
      </c>
      <c r="H143" s="53">
        <f t="shared" si="16"/>
        <v>30</v>
      </c>
      <c r="I143" s="17">
        <f t="shared" si="14"/>
        <v>0</v>
      </c>
      <c r="J143" s="18">
        <f t="shared" si="15"/>
        <v>1</v>
      </c>
      <c r="K143" s="27"/>
      <c r="L143" s="8"/>
      <c r="M143" s="8"/>
      <c r="N143" s="8"/>
      <c r="O143" s="27"/>
      <c r="P143" s="27"/>
      <c r="Q143" s="8"/>
      <c r="R143" s="8"/>
      <c r="S143" s="8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8"/>
      <c r="AH143" s="8"/>
      <c r="AI143" s="8"/>
      <c r="AJ143" s="27"/>
      <c r="AK143" s="8"/>
      <c r="AL143" s="8"/>
      <c r="AM143" s="27"/>
      <c r="AN143" s="27"/>
      <c r="AO143" s="27"/>
    </row>
    <row r="144" spans="1:41" ht="15" thickBot="1" x14ac:dyDescent="0.35">
      <c r="A144" s="51" t="s">
        <v>171</v>
      </c>
      <c r="B144" s="51" t="s">
        <v>1070</v>
      </c>
      <c r="C144" s="51" t="s">
        <v>1192</v>
      </c>
      <c r="D144" s="51" t="s">
        <v>1071</v>
      </c>
      <c r="E144" s="51" t="s">
        <v>19</v>
      </c>
      <c r="F144" s="51" t="s">
        <v>20</v>
      </c>
      <c r="G144" s="51" t="s">
        <v>764</v>
      </c>
      <c r="H144" s="53">
        <f t="shared" si="16"/>
        <v>30</v>
      </c>
      <c r="I144" s="17">
        <f t="shared" si="14"/>
        <v>0</v>
      </c>
      <c r="J144" s="18">
        <f t="shared" si="15"/>
        <v>1</v>
      </c>
      <c r="K144" s="27"/>
      <c r="L144" s="8"/>
      <c r="M144" s="8"/>
      <c r="N144" s="8"/>
      <c r="O144" s="27"/>
      <c r="P144" s="27"/>
      <c r="Q144" s="8"/>
      <c r="R144" s="8"/>
      <c r="S144" s="8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8"/>
      <c r="AH144" s="8"/>
      <c r="AI144" s="8"/>
      <c r="AJ144" s="27"/>
      <c r="AK144" s="8"/>
      <c r="AL144" s="8"/>
      <c r="AM144" s="27"/>
      <c r="AN144" s="27"/>
      <c r="AO144" s="27"/>
    </row>
    <row r="145" spans="1:41" ht="15" thickBot="1" x14ac:dyDescent="0.35">
      <c r="A145" s="51" t="s">
        <v>171</v>
      </c>
      <c r="B145" s="51" t="s">
        <v>255</v>
      </c>
      <c r="C145" s="51" t="s">
        <v>1192</v>
      </c>
      <c r="D145" s="51" t="s">
        <v>256</v>
      </c>
      <c r="E145" s="51" t="s">
        <v>19</v>
      </c>
      <c r="F145" s="51" t="s">
        <v>20</v>
      </c>
      <c r="G145" s="51" t="s">
        <v>765</v>
      </c>
      <c r="H145" s="53">
        <f t="shared" si="16"/>
        <v>30</v>
      </c>
      <c r="I145" s="17">
        <f t="shared" si="14"/>
        <v>0</v>
      </c>
      <c r="J145" s="18">
        <f t="shared" si="15"/>
        <v>1</v>
      </c>
      <c r="K145" s="27"/>
      <c r="L145" s="8"/>
      <c r="M145" s="8"/>
      <c r="N145" s="8"/>
      <c r="O145" s="27"/>
      <c r="P145" s="27"/>
      <c r="Q145" s="8"/>
      <c r="R145" s="8"/>
      <c r="S145" s="8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8"/>
      <c r="AH145" s="8"/>
      <c r="AI145" s="8"/>
      <c r="AJ145" s="27"/>
      <c r="AK145" s="8"/>
      <c r="AL145" s="8"/>
      <c r="AM145" s="27"/>
      <c r="AN145" s="27"/>
      <c r="AO145" s="27"/>
    </row>
    <row r="146" spans="1:41" ht="15" thickBot="1" x14ac:dyDescent="0.35">
      <c r="A146" s="51" t="s">
        <v>257</v>
      </c>
      <c r="B146" s="51" t="s">
        <v>258</v>
      </c>
      <c r="C146" s="51" t="s">
        <v>1192</v>
      </c>
      <c r="D146" s="51" t="s">
        <v>259</v>
      </c>
      <c r="E146" s="51" t="s">
        <v>73</v>
      </c>
      <c r="F146" s="51" t="s">
        <v>28</v>
      </c>
      <c r="G146" s="51" t="s">
        <v>766</v>
      </c>
      <c r="H146" s="53">
        <f t="shared" si="16"/>
        <v>30</v>
      </c>
      <c r="I146" s="17">
        <f t="shared" si="14"/>
        <v>0</v>
      </c>
      <c r="J146" s="18">
        <f t="shared" si="15"/>
        <v>1</v>
      </c>
      <c r="K146" s="27"/>
      <c r="L146" s="8"/>
      <c r="M146" s="8"/>
      <c r="N146" s="8"/>
      <c r="O146" s="27"/>
      <c r="P146" s="27"/>
      <c r="Q146" s="8"/>
      <c r="R146" s="8"/>
      <c r="S146" s="8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8"/>
      <c r="AH146" s="8"/>
      <c r="AI146" s="8"/>
      <c r="AJ146" s="27"/>
      <c r="AK146" s="8"/>
      <c r="AL146" s="8"/>
      <c r="AM146" s="27"/>
      <c r="AN146" s="27"/>
      <c r="AO146" s="27"/>
    </row>
    <row r="147" spans="1:41" ht="15" thickBot="1" x14ac:dyDescent="0.35">
      <c r="A147" s="51" t="s">
        <v>257</v>
      </c>
      <c r="B147" s="51" t="s">
        <v>260</v>
      </c>
      <c r="C147" s="51" t="s">
        <v>1192</v>
      </c>
      <c r="D147" s="51" t="s">
        <v>259</v>
      </c>
      <c r="E147" s="51" t="s">
        <v>46</v>
      </c>
      <c r="F147" s="51" t="s">
        <v>28</v>
      </c>
      <c r="G147" s="51" t="s">
        <v>741</v>
      </c>
      <c r="H147" s="53">
        <f t="shared" si="16"/>
        <v>30</v>
      </c>
      <c r="I147" s="17">
        <f t="shared" si="14"/>
        <v>0</v>
      </c>
      <c r="J147" s="18">
        <f t="shared" si="15"/>
        <v>1</v>
      </c>
      <c r="K147" s="27"/>
      <c r="L147" s="8"/>
      <c r="M147" s="8"/>
      <c r="N147" s="8"/>
      <c r="O147" s="27"/>
      <c r="P147" s="27"/>
      <c r="Q147" s="8"/>
      <c r="R147" s="8"/>
      <c r="S147" s="8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8"/>
      <c r="AH147" s="8"/>
      <c r="AI147" s="8"/>
      <c r="AJ147" s="27"/>
      <c r="AK147" s="8"/>
      <c r="AL147" s="8"/>
      <c r="AM147" s="27"/>
      <c r="AN147" s="27"/>
      <c r="AO147" s="27"/>
    </row>
    <row r="148" spans="1:41" ht="15" thickBot="1" x14ac:dyDescent="0.35">
      <c r="A148" s="51" t="s">
        <v>261</v>
      </c>
      <c r="B148" s="51" t="s">
        <v>1072</v>
      </c>
      <c r="C148" s="51" t="s">
        <v>1193</v>
      </c>
      <c r="D148" s="51" t="s">
        <v>262</v>
      </c>
      <c r="E148" s="51" t="s">
        <v>15</v>
      </c>
      <c r="F148" s="51" t="s">
        <v>1184</v>
      </c>
      <c r="G148" s="51" t="s">
        <v>767</v>
      </c>
      <c r="H148" s="53">
        <f t="shared" si="16"/>
        <v>30</v>
      </c>
      <c r="I148" s="17">
        <f t="shared" si="14"/>
        <v>0</v>
      </c>
      <c r="J148" s="18">
        <f t="shared" si="15"/>
        <v>1</v>
      </c>
      <c r="K148" s="27"/>
      <c r="L148" s="8"/>
      <c r="M148" s="8"/>
      <c r="N148" s="8"/>
      <c r="O148" s="27"/>
      <c r="P148" s="27"/>
      <c r="Q148" s="8"/>
      <c r="R148" s="8"/>
      <c r="S148" s="8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8"/>
      <c r="AH148" s="8"/>
      <c r="AI148" s="8"/>
      <c r="AJ148" s="27"/>
      <c r="AK148" s="8"/>
      <c r="AL148" s="8"/>
      <c r="AM148" s="27"/>
      <c r="AN148" s="27"/>
      <c r="AO148" s="27"/>
    </row>
    <row r="149" spans="1:41" ht="15" thickBot="1" x14ac:dyDescent="0.35">
      <c r="A149" s="51" t="s">
        <v>261</v>
      </c>
      <c r="B149" s="51" t="s">
        <v>263</v>
      </c>
      <c r="C149" s="51" t="s">
        <v>1193</v>
      </c>
      <c r="D149" s="51" t="s">
        <v>264</v>
      </c>
      <c r="E149" s="51" t="s">
        <v>73</v>
      </c>
      <c r="F149" s="51" t="s">
        <v>28</v>
      </c>
      <c r="G149" s="51" t="s">
        <v>768</v>
      </c>
      <c r="H149" s="53">
        <f t="shared" si="16"/>
        <v>30</v>
      </c>
      <c r="I149" s="17">
        <f t="shared" si="14"/>
        <v>0</v>
      </c>
      <c r="J149" s="18">
        <f t="shared" si="15"/>
        <v>1</v>
      </c>
      <c r="K149" s="27"/>
      <c r="L149" s="8"/>
      <c r="M149" s="8"/>
      <c r="N149" s="8"/>
      <c r="O149" s="27"/>
      <c r="P149" s="27"/>
      <c r="Q149" s="8"/>
      <c r="R149" s="8"/>
      <c r="S149" s="8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8"/>
      <c r="AH149" s="8"/>
      <c r="AI149" s="8"/>
      <c r="AJ149" s="27"/>
      <c r="AK149" s="8"/>
      <c r="AL149" s="8"/>
      <c r="AM149" s="27"/>
      <c r="AN149" s="27"/>
      <c r="AO149" s="27"/>
    </row>
    <row r="150" spans="1:41" ht="15" thickBot="1" x14ac:dyDescent="0.35">
      <c r="A150" s="51" t="s">
        <v>261</v>
      </c>
      <c r="B150" s="51" t="s">
        <v>265</v>
      </c>
      <c r="C150" s="51" t="s">
        <v>1193</v>
      </c>
      <c r="D150" s="51" t="s">
        <v>264</v>
      </c>
      <c r="E150" s="51" t="s">
        <v>73</v>
      </c>
      <c r="F150" s="51" t="s">
        <v>28</v>
      </c>
      <c r="G150" s="51" t="s">
        <v>769</v>
      </c>
      <c r="H150" s="53">
        <f t="shared" si="16"/>
        <v>30</v>
      </c>
      <c r="I150" s="17">
        <f t="shared" si="14"/>
        <v>0</v>
      </c>
      <c r="J150" s="18">
        <f t="shared" si="15"/>
        <v>1</v>
      </c>
      <c r="K150" s="27"/>
      <c r="L150" s="8"/>
      <c r="M150" s="8"/>
      <c r="N150" s="8"/>
      <c r="O150" s="27"/>
      <c r="P150" s="27"/>
      <c r="Q150" s="8"/>
      <c r="R150" s="8"/>
      <c r="S150" s="8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8"/>
      <c r="AH150" s="8"/>
      <c r="AI150" s="8"/>
      <c r="AJ150" s="27"/>
      <c r="AK150" s="8"/>
      <c r="AL150" s="8"/>
      <c r="AM150" s="27"/>
      <c r="AN150" s="27"/>
      <c r="AO150" s="27"/>
    </row>
    <row r="151" spans="1:41" ht="15" thickBot="1" x14ac:dyDescent="0.35">
      <c r="A151" s="51" t="s">
        <v>271</v>
      </c>
      <c r="B151" s="51" t="s">
        <v>1073</v>
      </c>
      <c r="C151" s="51" t="s">
        <v>1192</v>
      </c>
      <c r="D151" s="51" t="s">
        <v>276</v>
      </c>
      <c r="E151" s="51" t="s">
        <v>73</v>
      </c>
      <c r="F151" s="51" t="s">
        <v>28</v>
      </c>
      <c r="G151" s="51" t="s">
        <v>774</v>
      </c>
      <c r="H151" s="53">
        <f t="shared" si="16"/>
        <v>30</v>
      </c>
      <c r="I151" s="17">
        <f t="shared" si="14"/>
        <v>0</v>
      </c>
      <c r="J151" s="18">
        <f t="shared" si="15"/>
        <v>1</v>
      </c>
      <c r="K151" s="27"/>
      <c r="L151" s="8"/>
      <c r="M151" s="8"/>
      <c r="N151" s="8"/>
      <c r="O151" s="27"/>
      <c r="P151" s="27"/>
      <c r="Q151" s="8"/>
      <c r="R151" s="8"/>
      <c r="S151" s="8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8"/>
      <c r="AH151" s="8"/>
      <c r="AI151" s="8"/>
      <c r="AJ151" s="27"/>
      <c r="AK151" s="8"/>
      <c r="AL151" s="8"/>
      <c r="AM151" s="27"/>
      <c r="AN151" s="27"/>
      <c r="AO151" s="27"/>
    </row>
    <row r="152" spans="1:41" ht="15" thickBot="1" x14ac:dyDescent="0.35">
      <c r="A152" s="51" t="s">
        <v>271</v>
      </c>
      <c r="B152" s="51" t="s">
        <v>1074</v>
      </c>
      <c r="C152" s="51" t="s">
        <v>1192</v>
      </c>
      <c r="D152" s="51" t="s">
        <v>1075</v>
      </c>
      <c r="E152" s="51" t="s">
        <v>19</v>
      </c>
      <c r="F152" s="51" t="s">
        <v>28</v>
      </c>
      <c r="G152" s="51" t="s">
        <v>778</v>
      </c>
      <c r="H152" s="53">
        <f t="shared" si="16"/>
        <v>30</v>
      </c>
      <c r="I152" s="17">
        <f t="shared" si="14"/>
        <v>0</v>
      </c>
      <c r="J152" s="18">
        <f t="shared" si="15"/>
        <v>1</v>
      </c>
      <c r="K152" s="27"/>
      <c r="L152" s="8"/>
      <c r="M152" s="8"/>
      <c r="N152" s="8"/>
      <c r="O152" s="27"/>
      <c r="P152" s="27"/>
      <c r="Q152" s="8"/>
      <c r="R152" s="8"/>
      <c r="S152" s="8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8"/>
      <c r="AH152" s="8"/>
      <c r="AI152" s="8"/>
      <c r="AJ152" s="27"/>
      <c r="AK152" s="8"/>
      <c r="AL152" s="8"/>
      <c r="AM152" s="27"/>
      <c r="AN152" s="27"/>
      <c r="AO152" s="27"/>
    </row>
    <row r="153" spans="1:41" ht="15" thickBot="1" x14ac:dyDescent="0.35">
      <c r="A153" s="51" t="s">
        <v>271</v>
      </c>
      <c r="B153" s="51" t="s">
        <v>1076</v>
      </c>
      <c r="C153" s="51" t="s">
        <v>1192</v>
      </c>
      <c r="D153" s="51" t="s">
        <v>283</v>
      </c>
      <c r="E153" s="51" t="s">
        <v>19</v>
      </c>
      <c r="F153" s="51" t="s">
        <v>28</v>
      </c>
      <c r="G153" s="51" t="s">
        <v>779</v>
      </c>
      <c r="H153" s="53">
        <f t="shared" si="16"/>
        <v>30</v>
      </c>
      <c r="I153" s="17">
        <f t="shared" si="14"/>
        <v>0</v>
      </c>
      <c r="J153" s="18">
        <f t="shared" si="15"/>
        <v>1</v>
      </c>
      <c r="K153" s="27"/>
      <c r="L153" s="8"/>
      <c r="M153" s="8"/>
      <c r="N153" s="8"/>
      <c r="O153" s="27"/>
      <c r="P153" s="27"/>
      <c r="Q153" s="8"/>
      <c r="R153" s="8"/>
      <c r="S153" s="8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8"/>
      <c r="AH153" s="8"/>
      <c r="AI153" s="8"/>
      <c r="AJ153" s="27"/>
      <c r="AK153" s="8"/>
      <c r="AL153" s="8"/>
      <c r="AM153" s="27"/>
      <c r="AN153" s="27"/>
      <c r="AO153" s="27"/>
    </row>
    <row r="154" spans="1:41" ht="15" thickBot="1" x14ac:dyDescent="0.35">
      <c r="A154" s="51" t="s">
        <v>271</v>
      </c>
      <c r="B154" s="51" t="s">
        <v>1077</v>
      </c>
      <c r="C154" s="51" t="s">
        <v>1192</v>
      </c>
      <c r="D154" s="51" t="s">
        <v>286</v>
      </c>
      <c r="E154" s="51" t="s">
        <v>73</v>
      </c>
      <c r="F154" s="51" t="s">
        <v>28</v>
      </c>
      <c r="G154" s="51" t="s">
        <v>781</v>
      </c>
      <c r="H154" s="53">
        <f t="shared" si="16"/>
        <v>30</v>
      </c>
      <c r="I154" s="17">
        <f t="shared" si="14"/>
        <v>0</v>
      </c>
      <c r="J154" s="18">
        <f t="shared" si="15"/>
        <v>1</v>
      </c>
      <c r="K154" s="27"/>
      <c r="L154" s="8"/>
      <c r="M154" s="8"/>
      <c r="N154" s="8"/>
      <c r="O154" s="27"/>
      <c r="P154" s="27"/>
      <c r="Q154" s="8"/>
      <c r="R154" s="8"/>
      <c r="S154" s="8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8"/>
      <c r="AH154" s="8"/>
      <c r="AI154" s="8"/>
      <c r="AJ154" s="27"/>
      <c r="AK154" s="8"/>
      <c r="AL154" s="8"/>
      <c r="AM154" s="27"/>
      <c r="AN154" s="27"/>
      <c r="AO154" s="27"/>
    </row>
    <row r="155" spans="1:41" ht="15" thickBot="1" x14ac:dyDescent="0.35">
      <c r="A155" s="51" t="s">
        <v>271</v>
      </c>
      <c r="B155" s="51" t="s">
        <v>1078</v>
      </c>
      <c r="C155" s="51" t="s">
        <v>1192</v>
      </c>
      <c r="D155" s="51" t="s">
        <v>286</v>
      </c>
      <c r="E155" s="51" t="s">
        <v>73</v>
      </c>
      <c r="F155" s="51" t="s">
        <v>28</v>
      </c>
      <c r="G155" s="51" t="s">
        <v>782</v>
      </c>
      <c r="H155" s="53">
        <f t="shared" si="16"/>
        <v>30</v>
      </c>
      <c r="I155" s="17">
        <f t="shared" si="14"/>
        <v>0</v>
      </c>
      <c r="J155" s="18">
        <f t="shared" si="15"/>
        <v>1</v>
      </c>
      <c r="K155" s="27"/>
      <c r="L155" s="8"/>
      <c r="M155" s="8"/>
      <c r="N155" s="8"/>
      <c r="O155" s="27"/>
      <c r="P155" s="27"/>
      <c r="Q155" s="8"/>
      <c r="R155" s="8"/>
      <c r="S155" s="8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8"/>
      <c r="AH155" s="8"/>
      <c r="AI155" s="8"/>
      <c r="AJ155" s="27"/>
      <c r="AK155" s="8"/>
      <c r="AL155" s="8"/>
      <c r="AM155" s="27"/>
      <c r="AN155" s="27"/>
      <c r="AO155" s="27"/>
    </row>
    <row r="156" spans="1:41" ht="15" thickBot="1" x14ac:dyDescent="0.35">
      <c r="A156" s="51" t="s">
        <v>271</v>
      </c>
      <c r="B156" s="51" t="s">
        <v>1079</v>
      </c>
      <c r="C156" s="51" t="s">
        <v>1192</v>
      </c>
      <c r="D156" s="51" t="s">
        <v>267</v>
      </c>
      <c r="E156" s="51" t="s">
        <v>46</v>
      </c>
      <c r="F156" s="51" t="s">
        <v>1184</v>
      </c>
      <c r="G156" s="51" t="s">
        <v>770</v>
      </c>
      <c r="H156" s="53">
        <f t="shared" si="16"/>
        <v>15</v>
      </c>
      <c r="I156" s="17">
        <f t="shared" si="14"/>
        <v>15</v>
      </c>
      <c r="J156" s="18">
        <f t="shared" si="15"/>
        <v>0.5</v>
      </c>
      <c r="K156" s="27" t="s">
        <v>1010</v>
      </c>
      <c r="L156" s="8" t="s">
        <v>1010</v>
      </c>
      <c r="M156" s="8" t="s">
        <v>1010</v>
      </c>
      <c r="N156" s="8" t="s">
        <v>1010</v>
      </c>
      <c r="O156" s="27" t="s">
        <v>1010</v>
      </c>
      <c r="P156" s="27" t="s">
        <v>1010</v>
      </c>
      <c r="Q156" s="8" t="s">
        <v>1010</v>
      </c>
      <c r="R156" s="8" t="s">
        <v>1010</v>
      </c>
      <c r="S156" s="8" t="s">
        <v>1010</v>
      </c>
      <c r="T156" s="27" t="s">
        <v>1010</v>
      </c>
      <c r="U156" s="27" t="s">
        <v>1010</v>
      </c>
      <c r="V156" s="27" t="s">
        <v>1010</v>
      </c>
      <c r="W156" s="27" t="s">
        <v>1010</v>
      </c>
      <c r="X156" s="27" t="s">
        <v>1010</v>
      </c>
      <c r="Y156" s="27" t="s">
        <v>1010</v>
      </c>
      <c r="Z156" s="27"/>
      <c r="AA156" s="27"/>
      <c r="AB156" s="27"/>
      <c r="AC156" s="27"/>
      <c r="AD156" s="27"/>
      <c r="AE156" s="27"/>
      <c r="AF156" s="27"/>
      <c r="AG156" s="8"/>
      <c r="AH156" s="8"/>
      <c r="AI156" s="8"/>
      <c r="AJ156" s="27"/>
      <c r="AK156" s="8"/>
      <c r="AL156" s="8"/>
      <c r="AM156" s="27"/>
      <c r="AN156" s="27"/>
      <c r="AO156" s="27"/>
    </row>
    <row r="157" spans="1:41" ht="15" thickBot="1" x14ac:dyDescent="0.35">
      <c r="A157" s="51" t="s">
        <v>268</v>
      </c>
      <c r="B157" s="51" t="s">
        <v>269</v>
      </c>
      <c r="C157" s="51" t="s">
        <v>1192</v>
      </c>
      <c r="D157" s="51" t="s">
        <v>270</v>
      </c>
      <c r="E157" s="51" t="s">
        <v>19</v>
      </c>
      <c r="F157" s="51" t="s">
        <v>1184</v>
      </c>
      <c r="G157" s="51" t="s">
        <v>771</v>
      </c>
      <c r="H157" s="53">
        <f t="shared" si="16"/>
        <v>18</v>
      </c>
      <c r="I157" s="17">
        <f t="shared" si="14"/>
        <v>12</v>
      </c>
      <c r="J157" s="18">
        <f t="shared" si="15"/>
        <v>0.6</v>
      </c>
      <c r="K157" s="27" t="s">
        <v>1010</v>
      </c>
      <c r="L157" s="8" t="s">
        <v>1010</v>
      </c>
      <c r="M157" s="8" t="s">
        <v>1010</v>
      </c>
      <c r="N157" s="8" t="s">
        <v>1010</v>
      </c>
      <c r="O157" s="27" t="s">
        <v>1010</v>
      </c>
      <c r="P157" s="27" t="s">
        <v>1010</v>
      </c>
      <c r="Q157" s="8" t="s">
        <v>1010</v>
      </c>
      <c r="R157" s="8" t="s">
        <v>1010</v>
      </c>
      <c r="S157" s="8" t="s">
        <v>1010</v>
      </c>
      <c r="T157" s="27" t="s">
        <v>1010</v>
      </c>
      <c r="U157" s="27" t="s">
        <v>1010</v>
      </c>
      <c r="V157" s="27" t="s">
        <v>1010</v>
      </c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8"/>
      <c r="AH157" s="8"/>
      <c r="AI157" s="8"/>
      <c r="AJ157" s="27"/>
      <c r="AK157" s="8"/>
      <c r="AL157" s="8"/>
      <c r="AM157" s="27"/>
      <c r="AN157" s="27"/>
      <c r="AO157" s="27"/>
    </row>
    <row r="158" spans="1:41" ht="15" thickBot="1" x14ac:dyDescent="0.35">
      <c r="A158" s="51" t="s">
        <v>271</v>
      </c>
      <c r="B158" s="51" t="s">
        <v>272</v>
      </c>
      <c r="C158" s="51" t="s">
        <v>1192</v>
      </c>
      <c r="D158" s="51" t="s">
        <v>273</v>
      </c>
      <c r="E158" s="51" t="s">
        <v>73</v>
      </c>
      <c r="F158" s="51" t="s">
        <v>28</v>
      </c>
      <c r="G158" s="51" t="s">
        <v>772</v>
      </c>
      <c r="H158" s="53">
        <f t="shared" si="16"/>
        <v>15</v>
      </c>
      <c r="I158" s="17">
        <f t="shared" si="14"/>
        <v>15</v>
      </c>
      <c r="J158" s="18">
        <f t="shared" si="15"/>
        <v>0.5</v>
      </c>
      <c r="K158" s="27" t="s">
        <v>1010</v>
      </c>
      <c r="L158" s="8" t="s">
        <v>1010</v>
      </c>
      <c r="M158" s="8" t="s">
        <v>1010</v>
      </c>
      <c r="N158" s="8" t="s">
        <v>1010</v>
      </c>
      <c r="O158" s="27" t="s">
        <v>1010</v>
      </c>
      <c r="P158" s="27" t="s">
        <v>1010</v>
      </c>
      <c r="Q158" s="8" t="s">
        <v>1010</v>
      </c>
      <c r="R158" s="8" t="s">
        <v>1010</v>
      </c>
      <c r="S158" s="8" t="s">
        <v>1010</v>
      </c>
      <c r="T158" s="27" t="s">
        <v>1010</v>
      </c>
      <c r="U158" s="27" t="s">
        <v>1010</v>
      </c>
      <c r="V158" s="27" t="s">
        <v>1010</v>
      </c>
      <c r="W158" s="27" t="s">
        <v>1010</v>
      </c>
      <c r="X158" s="27" t="s">
        <v>1010</v>
      </c>
      <c r="Y158" s="27" t="s">
        <v>1010</v>
      </c>
      <c r="Z158" s="27"/>
      <c r="AA158" s="27"/>
      <c r="AB158" s="27"/>
      <c r="AC158" s="27"/>
      <c r="AD158" s="27"/>
      <c r="AE158" s="27"/>
      <c r="AF158" s="27"/>
      <c r="AG158" s="8"/>
      <c r="AH158" s="8"/>
      <c r="AI158" s="8"/>
      <c r="AJ158" s="27"/>
      <c r="AK158" s="8"/>
      <c r="AL158" s="8"/>
      <c r="AM158" s="27"/>
      <c r="AN158" s="27"/>
      <c r="AO158" s="27"/>
    </row>
    <row r="159" spans="1:41" ht="15" thickBot="1" x14ac:dyDescent="0.35">
      <c r="A159" s="51" t="s">
        <v>271</v>
      </c>
      <c r="B159" s="51" t="s">
        <v>274</v>
      </c>
      <c r="C159" s="51" t="s">
        <v>1192</v>
      </c>
      <c r="D159" s="51" t="s">
        <v>275</v>
      </c>
      <c r="E159" s="51" t="s">
        <v>46</v>
      </c>
      <c r="F159" s="51" t="s">
        <v>28</v>
      </c>
      <c r="G159" s="51" t="s">
        <v>773</v>
      </c>
      <c r="H159" s="53">
        <f t="shared" si="16"/>
        <v>30</v>
      </c>
      <c r="I159" s="17">
        <f t="shared" si="14"/>
        <v>0</v>
      </c>
      <c r="J159" s="18">
        <f t="shared" si="15"/>
        <v>1</v>
      </c>
      <c r="K159" s="27"/>
      <c r="L159" s="8"/>
      <c r="M159" s="8"/>
      <c r="N159" s="8"/>
      <c r="O159" s="27"/>
      <c r="P159" s="27"/>
      <c r="Q159" s="8"/>
      <c r="R159" s="8"/>
      <c r="S159" s="8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8"/>
      <c r="AH159" s="8"/>
      <c r="AI159" s="8"/>
      <c r="AJ159" s="27"/>
      <c r="AK159" s="8"/>
      <c r="AL159" s="8"/>
      <c r="AM159" s="27"/>
      <c r="AN159" s="27"/>
      <c r="AO159" s="27"/>
    </row>
    <row r="160" spans="1:41" ht="15" thickBot="1" x14ac:dyDescent="0.35">
      <c r="A160" s="51" t="s">
        <v>268</v>
      </c>
      <c r="B160" s="51" t="s">
        <v>277</v>
      </c>
      <c r="C160" s="51" t="s">
        <v>1192</v>
      </c>
      <c r="D160" s="51" t="s">
        <v>278</v>
      </c>
      <c r="E160" s="51" t="s">
        <v>19</v>
      </c>
      <c r="F160" s="51" t="s">
        <v>28</v>
      </c>
      <c r="G160" s="51" t="s">
        <v>775</v>
      </c>
      <c r="H160" s="53">
        <f t="shared" si="16"/>
        <v>28</v>
      </c>
      <c r="I160" s="17">
        <f t="shared" si="14"/>
        <v>2</v>
      </c>
      <c r="J160" s="18">
        <f t="shared" si="15"/>
        <v>0.93333333333333335</v>
      </c>
      <c r="K160" s="27"/>
      <c r="L160" s="8"/>
      <c r="M160" s="8"/>
      <c r="N160" s="8"/>
      <c r="O160" s="27"/>
      <c r="P160" s="27" t="s">
        <v>1010</v>
      </c>
      <c r="Q160" s="8" t="s">
        <v>1010</v>
      </c>
      <c r="R160" s="8"/>
      <c r="S160" s="8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8"/>
      <c r="AH160" s="8"/>
      <c r="AI160" s="8"/>
      <c r="AJ160" s="27"/>
      <c r="AK160" s="8"/>
      <c r="AL160" s="8"/>
      <c r="AM160" s="27"/>
      <c r="AN160" s="27"/>
      <c r="AO160" s="27"/>
    </row>
    <row r="161" spans="1:41" ht="15" thickBot="1" x14ac:dyDescent="0.35">
      <c r="A161" s="51" t="s">
        <v>271</v>
      </c>
      <c r="B161" s="51" t="s">
        <v>279</v>
      </c>
      <c r="C161" s="51" t="s">
        <v>1192</v>
      </c>
      <c r="D161" s="51" t="s">
        <v>280</v>
      </c>
      <c r="E161" s="51" t="s">
        <v>19</v>
      </c>
      <c r="F161" s="51" t="s">
        <v>28</v>
      </c>
      <c r="G161" s="51" t="s">
        <v>776</v>
      </c>
      <c r="H161" s="53">
        <f t="shared" si="16"/>
        <v>30</v>
      </c>
      <c r="I161" s="17">
        <f t="shared" si="14"/>
        <v>0</v>
      </c>
      <c r="J161" s="18">
        <f t="shared" si="15"/>
        <v>1</v>
      </c>
      <c r="K161" s="27"/>
      <c r="L161" s="8"/>
      <c r="M161" s="8"/>
      <c r="N161" s="8"/>
      <c r="O161" s="27"/>
      <c r="P161" s="27"/>
      <c r="Q161" s="8"/>
      <c r="R161" s="8"/>
      <c r="S161" s="8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8"/>
      <c r="AH161" s="8"/>
      <c r="AI161" s="8"/>
      <c r="AJ161" s="27"/>
      <c r="AK161" s="8"/>
      <c r="AL161" s="8"/>
      <c r="AM161" s="27"/>
      <c r="AN161" s="27"/>
      <c r="AO161" s="27"/>
    </row>
    <row r="162" spans="1:41" ht="15" thickBot="1" x14ac:dyDescent="0.35">
      <c r="A162" s="51" t="s">
        <v>271</v>
      </c>
      <c r="B162" s="51" t="s">
        <v>281</v>
      </c>
      <c r="C162" s="51" t="s">
        <v>1192</v>
      </c>
      <c r="D162" s="51" t="s">
        <v>282</v>
      </c>
      <c r="E162" s="51" t="s">
        <v>19</v>
      </c>
      <c r="F162" s="51" t="s">
        <v>28</v>
      </c>
      <c r="G162" s="51" t="s">
        <v>777</v>
      </c>
      <c r="H162" s="53">
        <f t="shared" si="16"/>
        <v>27</v>
      </c>
      <c r="I162" s="17">
        <f t="shared" si="14"/>
        <v>3</v>
      </c>
      <c r="J162" s="18">
        <f t="shared" si="15"/>
        <v>0.9</v>
      </c>
      <c r="K162" s="27" t="s">
        <v>1010</v>
      </c>
      <c r="L162" s="8"/>
      <c r="M162" s="8"/>
      <c r="N162" s="8"/>
      <c r="O162" s="27"/>
      <c r="P162" s="27" t="s">
        <v>1010</v>
      </c>
      <c r="Q162" s="8"/>
      <c r="R162" s="8"/>
      <c r="S162" s="8"/>
      <c r="T162" s="27"/>
      <c r="U162" s="27"/>
      <c r="V162" s="27"/>
      <c r="W162" s="27" t="s">
        <v>1010</v>
      </c>
      <c r="X162" s="27"/>
      <c r="Y162" s="27"/>
      <c r="Z162" s="27"/>
      <c r="AA162" s="27"/>
      <c r="AB162" s="27"/>
      <c r="AC162" s="27"/>
      <c r="AD162" s="27"/>
      <c r="AE162" s="27"/>
      <c r="AF162" s="27"/>
      <c r="AG162" s="8"/>
      <c r="AH162" s="8"/>
      <c r="AI162" s="8"/>
      <c r="AJ162" s="27"/>
      <c r="AK162" s="8"/>
      <c r="AL162" s="8"/>
      <c r="AM162" s="27"/>
      <c r="AN162" s="27"/>
      <c r="AO162" s="27"/>
    </row>
    <row r="163" spans="1:41" ht="15" thickBot="1" x14ac:dyDescent="0.35">
      <c r="A163" s="51" t="s">
        <v>271</v>
      </c>
      <c r="B163" s="51" t="s">
        <v>284</v>
      </c>
      <c r="C163" s="51" t="s">
        <v>1192</v>
      </c>
      <c r="D163" s="51" t="s">
        <v>285</v>
      </c>
      <c r="E163" s="51" t="s">
        <v>19</v>
      </c>
      <c r="F163" s="51" t="s">
        <v>1184</v>
      </c>
      <c r="G163" s="51" t="s">
        <v>780</v>
      </c>
      <c r="H163" s="53">
        <f t="shared" si="16"/>
        <v>16</v>
      </c>
      <c r="I163" s="17">
        <f t="shared" si="14"/>
        <v>14</v>
      </c>
      <c r="J163" s="18">
        <f t="shared" si="15"/>
        <v>0.53333333333333333</v>
      </c>
      <c r="K163" s="27" t="s">
        <v>1010</v>
      </c>
      <c r="L163" s="8" t="s">
        <v>1010</v>
      </c>
      <c r="M163" s="8" t="s">
        <v>1010</v>
      </c>
      <c r="N163" s="8" t="s">
        <v>1010</v>
      </c>
      <c r="O163" s="27" t="s">
        <v>1010</v>
      </c>
      <c r="P163" s="27" t="s">
        <v>1010</v>
      </c>
      <c r="Q163" s="8" t="s">
        <v>1010</v>
      </c>
      <c r="R163" s="8" t="s">
        <v>1010</v>
      </c>
      <c r="S163" s="8" t="s">
        <v>1010</v>
      </c>
      <c r="T163" s="27" t="s">
        <v>1010</v>
      </c>
      <c r="U163" s="27" t="s">
        <v>1010</v>
      </c>
      <c r="V163" s="27" t="s">
        <v>1010</v>
      </c>
      <c r="W163" s="27" t="s">
        <v>1010</v>
      </c>
      <c r="X163" s="27" t="s">
        <v>1010</v>
      </c>
      <c r="Y163" s="27"/>
      <c r="Z163" s="27"/>
      <c r="AA163" s="27"/>
      <c r="AB163" s="27"/>
      <c r="AC163" s="27"/>
      <c r="AD163" s="27"/>
      <c r="AE163" s="27"/>
      <c r="AF163" s="27"/>
      <c r="AG163" s="8"/>
      <c r="AH163" s="8"/>
      <c r="AI163" s="8"/>
      <c r="AJ163" s="27"/>
      <c r="AK163" s="8"/>
      <c r="AL163" s="8"/>
      <c r="AM163" s="27"/>
      <c r="AN163" s="27"/>
      <c r="AO163" s="27"/>
    </row>
    <row r="164" spans="1:41" ht="15" thickBot="1" x14ac:dyDescent="0.35">
      <c r="A164" s="51" t="s">
        <v>271</v>
      </c>
      <c r="B164" s="51" t="s">
        <v>287</v>
      </c>
      <c r="C164" s="51" t="s">
        <v>1192</v>
      </c>
      <c r="D164" s="51" t="s">
        <v>288</v>
      </c>
      <c r="E164" s="51" t="s">
        <v>15</v>
      </c>
      <c r="F164" s="51" t="s">
        <v>28</v>
      </c>
      <c r="G164" s="51" t="s">
        <v>783</v>
      </c>
      <c r="H164" s="53">
        <f t="shared" si="16"/>
        <v>30</v>
      </c>
      <c r="I164" s="17">
        <f t="shared" si="14"/>
        <v>0</v>
      </c>
      <c r="J164" s="18">
        <f t="shared" si="15"/>
        <v>1</v>
      </c>
      <c r="K164" s="27"/>
      <c r="L164" s="8"/>
      <c r="M164" s="8"/>
      <c r="N164" s="8"/>
      <c r="O164" s="27"/>
      <c r="P164" s="27"/>
      <c r="Q164" s="8"/>
      <c r="R164" s="8"/>
      <c r="S164" s="8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8"/>
      <c r="AH164" s="8"/>
      <c r="AI164" s="8"/>
      <c r="AJ164" s="27"/>
      <c r="AK164" s="8"/>
      <c r="AL164" s="8"/>
      <c r="AM164" s="27"/>
      <c r="AN164" s="27"/>
      <c r="AO164" s="27"/>
    </row>
    <row r="165" spans="1:41" ht="15" thickBot="1" x14ac:dyDescent="0.35">
      <c r="A165" s="51" t="s">
        <v>291</v>
      </c>
      <c r="B165" s="51" t="s">
        <v>1080</v>
      </c>
      <c r="C165" s="51" t="s">
        <v>1192</v>
      </c>
      <c r="D165" s="51" t="s">
        <v>1081</v>
      </c>
      <c r="E165" s="51" t="s">
        <v>19</v>
      </c>
      <c r="F165" s="51" t="s">
        <v>20</v>
      </c>
      <c r="G165" s="51" t="s">
        <v>784</v>
      </c>
      <c r="H165" s="53">
        <f t="shared" si="16"/>
        <v>30</v>
      </c>
      <c r="I165" s="17">
        <f t="shared" si="14"/>
        <v>0</v>
      </c>
      <c r="J165" s="18">
        <f t="shared" si="15"/>
        <v>1</v>
      </c>
      <c r="K165" s="27"/>
      <c r="L165" s="8"/>
      <c r="M165" s="8"/>
      <c r="N165" s="8"/>
      <c r="O165" s="27"/>
      <c r="P165" s="27"/>
      <c r="Q165" s="8"/>
      <c r="R165" s="8"/>
      <c r="S165" s="8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8"/>
      <c r="AH165" s="8"/>
      <c r="AI165" s="8"/>
      <c r="AJ165" s="27"/>
      <c r="AK165" s="8"/>
      <c r="AL165" s="8"/>
      <c r="AM165" s="27"/>
      <c r="AN165" s="27"/>
      <c r="AO165" s="27"/>
    </row>
    <row r="166" spans="1:41" ht="15" thickBot="1" x14ac:dyDescent="0.35">
      <c r="A166" s="51" t="s">
        <v>232</v>
      </c>
      <c r="B166" s="51" t="s">
        <v>289</v>
      </c>
      <c r="C166" s="51" t="s">
        <v>1193</v>
      </c>
      <c r="D166" s="51" t="s">
        <v>290</v>
      </c>
      <c r="E166" s="51" t="s">
        <v>15</v>
      </c>
      <c r="F166" s="51" t="s">
        <v>28</v>
      </c>
      <c r="G166" s="51" t="s">
        <v>1197</v>
      </c>
      <c r="H166" s="53">
        <f t="shared" si="16"/>
        <v>15</v>
      </c>
      <c r="I166" s="17">
        <f t="shared" si="14"/>
        <v>15</v>
      </c>
      <c r="J166" s="18">
        <f t="shared" si="15"/>
        <v>0.5</v>
      </c>
      <c r="K166" s="27" t="s">
        <v>1010</v>
      </c>
      <c r="L166" s="8" t="s">
        <v>1010</v>
      </c>
      <c r="M166" s="8" t="s">
        <v>1010</v>
      </c>
      <c r="N166" s="8" t="s">
        <v>1010</v>
      </c>
      <c r="O166" s="27" t="s">
        <v>1010</v>
      </c>
      <c r="P166" s="27" t="s">
        <v>1010</v>
      </c>
      <c r="Q166" s="8" t="s">
        <v>1010</v>
      </c>
      <c r="R166" s="8" t="s">
        <v>1010</v>
      </c>
      <c r="S166" s="8" t="s">
        <v>1010</v>
      </c>
      <c r="T166" s="27" t="s">
        <v>1010</v>
      </c>
      <c r="U166" s="27" t="s">
        <v>1010</v>
      </c>
      <c r="V166" s="27" t="s">
        <v>1010</v>
      </c>
      <c r="W166" s="27" t="s">
        <v>1010</v>
      </c>
      <c r="X166" s="27" t="s">
        <v>1010</v>
      </c>
      <c r="Y166" s="27" t="s">
        <v>1010</v>
      </c>
      <c r="Z166" s="27"/>
      <c r="AA166" s="27"/>
      <c r="AB166" s="27"/>
      <c r="AC166" s="27"/>
      <c r="AD166" s="27"/>
      <c r="AE166" s="27"/>
      <c r="AF166" s="27"/>
      <c r="AG166" s="8"/>
      <c r="AH166" s="8"/>
      <c r="AI166" s="8"/>
      <c r="AJ166" s="27"/>
      <c r="AK166" s="8"/>
      <c r="AL166" s="8"/>
      <c r="AM166" s="27"/>
      <c r="AN166" s="27"/>
      <c r="AO166" s="27"/>
    </row>
    <row r="167" spans="1:41" ht="15" thickBot="1" x14ac:dyDescent="0.35">
      <c r="A167" s="51" t="s">
        <v>291</v>
      </c>
      <c r="B167" s="51" t="s">
        <v>292</v>
      </c>
      <c r="C167" s="51" t="s">
        <v>1193</v>
      </c>
      <c r="D167" s="51" t="s">
        <v>293</v>
      </c>
      <c r="E167" s="51" t="s">
        <v>15</v>
      </c>
      <c r="F167" s="51" t="s">
        <v>28</v>
      </c>
      <c r="G167" s="51" t="s">
        <v>785</v>
      </c>
      <c r="H167" s="53">
        <f t="shared" si="16"/>
        <v>30</v>
      </c>
      <c r="I167" s="17">
        <f t="shared" si="14"/>
        <v>0</v>
      </c>
      <c r="J167" s="18">
        <f t="shared" si="15"/>
        <v>1</v>
      </c>
      <c r="K167" s="27"/>
      <c r="L167" s="8"/>
      <c r="M167" s="8"/>
      <c r="N167" s="8"/>
      <c r="O167" s="27"/>
      <c r="P167" s="27"/>
      <c r="Q167" s="8"/>
      <c r="R167" s="8"/>
      <c r="S167" s="8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8"/>
      <c r="AH167" s="8"/>
      <c r="AI167" s="8"/>
      <c r="AJ167" s="27"/>
      <c r="AK167" s="8"/>
      <c r="AL167" s="8"/>
      <c r="AM167" s="27"/>
      <c r="AN167" s="27"/>
      <c r="AO167" s="27"/>
    </row>
    <row r="168" spans="1:41" ht="15" thickBot="1" x14ac:dyDescent="0.35">
      <c r="A168" s="51" t="s">
        <v>12</v>
      </c>
      <c r="B168" s="99" t="s">
        <v>13</v>
      </c>
      <c r="C168" s="51" t="s">
        <v>1193</v>
      </c>
      <c r="D168" s="51" t="s">
        <v>14</v>
      </c>
      <c r="E168" s="51" t="s">
        <v>15</v>
      </c>
      <c r="F168" s="51" t="s">
        <v>1184</v>
      </c>
      <c r="G168" s="51" t="s">
        <v>786</v>
      </c>
      <c r="H168" s="53">
        <f t="shared" si="16"/>
        <v>29</v>
      </c>
      <c r="I168" s="17">
        <f t="shared" si="14"/>
        <v>1</v>
      </c>
      <c r="J168" s="18">
        <f t="shared" si="15"/>
        <v>0.96666666666666667</v>
      </c>
      <c r="K168" s="27"/>
      <c r="L168" s="8"/>
      <c r="M168" s="8"/>
      <c r="N168" s="8"/>
      <c r="O168" s="27"/>
      <c r="P168" s="27"/>
      <c r="Q168" s="8" t="s">
        <v>1010</v>
      </c>
      <c r="R168" s="8"/>
      <c r="S168" s="8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8"/>
      <c r="AH168" s="8"/>
      <c r="AI168" s="8"/>
      <c r="AJ168" s="27"/>
      <c r="AK168" s="8"/>
      <c r="AL168" s="8"/>
      <c r="AM168" s="27"/>
      <c r="AN168" s="27"/>
      <c r="AO168" s="27"/>
    </row>
    <row r="169" spans="1:41" ht="15" thickBot="1" x14ac:dyDescent="0.35">
      <c r="A169" s="51" t="s">
        <v>382</v>
      </c>
      <c r="B169" s="51" t="s">
        <v>1082</v>
      </c>
      <c r="C169" s="51" t="s">
        <v>1193</v>
      </c>
      <c r="D169" s="51" t="s">
        <v>1083</v>
      </c>
      <c r="E169" s="51" t="s">
        <v>73</v>
      </c>
      <c r="F169" s="51" t="s">
        <v>28</v>
      </c>
      <c r="G169" s="51"/>
      <c r="H169" s="53">
        <f t="shared" si="16"/>
        <v>29</v>
      </c>
      <c r="I169" s="17">
        <f t="shared" si="14"/>
        <v>1</v>
      </c>
      <c r="J169" s="18">
        <f t="shared" si="15"/>
        <v>0.96666666666666667</v>
      </c>
      <c r="K169" s="27"/>
      <c r="L169" s="8"/>
      <c r="M169" s="8"/>
      <c r="N169" s="8"/>
      <c r="O169" s="27"/>
      <c r="P169" s="27"/>
      <c r="Q169" s="8" t="s">
        <v>1010</v>
      </c>
      <c r="R169" s="8"/>
      <c r="S169" s="8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8"/>
      <c r="AH169" s="8"/>
      <c r="AI169" s="8"/>
      <c r="AJ169" s="27"/>
      <c r="AK169" s="8"/>
      <c r="AL169" s="8"/>
      <c r="AM169" s="27"/>
      <c r="AN169" s="27"/>
      <c r="AO169" s="27"/>
    </row>
    <row r="170" spans="1:41" ht="15" thickBot="1" x14ac:dyDescent="0.35">
      <c r="A170" s="51" t="s">
        <v>1084</v>
      </c>
      <c r="B170" s="51" t="s">
        <v>1085</v>
      </c>
      <c r="C170" s="51" t="s">
        <v>1193</v>
      </c>
      <c r="D170" s="51" t="s">
        <v>1083</v>
      </c>
      <c r="E170" s="51" t="s">
        <v>73</v>
      </c>
      <c r="F170" s="51" t="s">
        <v>28</v>
      </c>
      <c r="G170" s="51"/>
      <c r="H170" s="53">
        <f t="shared" si="16"/>
        <v>29</v>
      </c>
      <c r="I170" s="17">
        <f t="shared" si="14"/>
        <v>1</v>
      </c>
      <c r="J170" s="18">
        <f t="shared" si="15"/>
        <v>0.96666666666666667</v>
      </c>
      <c r="K170" s="27"/>
      <c r="L170" s="8"/>
      <c r="M170" s="8"/>
      <c r="N170" s="8"/>
      <c r="O170" s="27"/>
      <c r="P170" s="27"/>
      <c r="Q170" s="8" t="s">
        <v>1010</v>
      </c>
      <c r="R170" s="8"/>
      <c r="S170" s="8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8"/>
      <c r="AH170" s="8"/>
      <c r="AI170" s="8"/>
      <c r="AJ170" s="27"/>
      <c r="AK170" s="8"/>
      <c r="AL170" s="8"/>
      <c r="AM170" s="27"/>
      <c r="AN170" s="27"/>
      <c r="AO170" s="27"/>
    </row>
    <row r="171" spans="1:41" ht="15" thickBot="1" x14ac:dyDescent="0.35">
      <c r="A171" s="51" t="s">
        <v>17</v>
      </c>
      <c r="B171" s="99" t="s">
        <v>18</v>
      </c>
      <c r="C171" s="51" t="s">
        <v>1193</v>
      </c>
      <c r="D171" s="51" t="s">
        <v>1086</v>
      </c>
      <c r="E171" s="51" t="s">
        <v>19</v>
      </c>
      <c r="F171" s="51" t="s">
        <v>20</v>
      </c>
      <c r="G171" s="51" t="s">
        <v>787</v>
      </c>
      <c r="H171" s="53">
        <f t="shared" si="16"/>
        <v>30</v>
      </c>
      <c r="I171" s="17">
        <f t="shared" si="14"/>
        <v>0</v>
      </c>
      <c r="J171" s="18">
        <f t="shared" si="15"/>
        <v>1</v>
      </c>
      <c r="K171" s="27"/>
      <c r="L171" s="8"/>
      <c r="M171" s="8"/>
      <c r="N171" s="8"/>
      <c r="O171" s="27"/>
      <c r="P171" s="27"/>
      <c r="Q171" s="8"/>
      <c r="R171" s="8"/>
      <c r="S171" s="8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8"/>
      <c r="AH171" s="8"/>
      <c r="AI171" s="8"/>
      <c r="AJ171" s="27"/>
      <c r="AK171" s="8"/>
      <c r="AL171" s="8"/>
      <c r="AM171" s="27"/>
      <c r="AN171" s="27"/>
      <c r="AO171" s="27"/>
    </row>
    <row r="172" spans="1:41" ht="15" thickBot="1" x14ac:dyDescent="0.35">
      <c r="A172" s="51" t="s">
        <v>17</v>
      </c>
      <c r="B172" s="99" t="s">
        <v>21</v>
      </c>
      <c r="C172" s="51" t="s">
        <v>1193</v>
      </c>
      <c r="D172" s="51" t="s">
        <v>22</v>
      </c>
      <c r="E172" s="51" t="s">
        <v>19</v>
      </c>
      <c r="F172" s="51" t="s">
        <v>20</v>
      </c>
      <c r="G172" s="51" t="s">
        <v>736</v>
      </c>
      <c r="H172" s="53">
        <f t="shared" si="16"/>
        <v>30</v>
      </c>
      <c r="I172" s="17">
        <f t="shared" si="14"/>
        <v>0</v>
      </c>
      <c r="J172" s="18">
        <f t="shared" si="15"/>
        <v>1</v>
      </c>
      <c r="K172" s="27"/>
      <c r="L172" s="8"/>
      <c r="M172" s="8"/>
      <c r="N172" s="8"/>
      <c r="O172" s="27"/>
      <c r="P172" s="27"/>
      <c r="Q172" s="8"/>
      <c r="R172" s="8"/>
      <c r="S172" s="8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8"/>
      <c r="AH172" s="8"/>
      <c r="AI172" s="8"/>
      <c r="AJ172" s="27"/>
      <c r="AK172" s="8"/>
      <c r="AL172" s="8"/>
      <c r="AM172" s="27"/>
      <c r="AN172" s="27"/>
      <c r="AO172" s="27"/>
    </row>
    <row r="173" spans="1:41" ht="15" thickBot="1" x14ac:dyDescent="0.35">
      <c r="A173" s="51" t="s">
        <v>17</v>
      </c>
      <c r="B173" s="99" t="s">
        <v>23</v>
      </c>
      <c r="C173" s="51" t="s">
        <v>1193</v>
      </c>
      <c r="D173" s="51" t="s">
        <v>1087</v>
      </c>
      <c r="E173" s="51" t="s">
        <v>15</v>
      </c>
      <c r="F173" s="51" t="s">
        <v>1185</v>
      </c>
      <c r="G173" s="51" t="s">
        <v>788</v>
      </c>
      <c r="H173" s="53">
        <f t="shared" si="16"/>
        <v>30</v>
      </c>
      <c r="I173" s="17">
        <f t="shared" si="14"/>
        <v>0</v>
      </c>
      <c r="J173" s="18">
        <f t="shared" si="15"/>
        <v>1</v>
      </c>
      <c r="K173" s="27"/>
      <c r="L173" s="8"/>
      <c r="M173" s="8"/>
      <c r="N173" s="8"/>
      <c r="O173" s="27"/>
      <c r="P173" s="27"/>
      <c r="Q173" s="8"/>
      <c r="R173" s="8"/>
      <c r="S173" s="8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8"/>
      <c r="AH173" s="8"/>
      <c r="AI173" s="8"/>
      <c r="AJ173" s="27"/>
      <c r="AK173" s="8"/>
      <c r="AL173" s="8"/>
      <c r="AM173" s="27"/>
      <c r="AN173" s="27"/>
      <c r="AO173" s="27"/>
    </row>
    <row r="174" spans="1:41" ht="15" thickBot="1" x14ac:dyDescent="0.35">
      <c r="A174" s="51" t="s">
        <v>17</v>
      </c>
      <c r="B174" s="99" t="s">
        <v>24</v>
      </c>
      <c r="C174" s="51" t="s">
        <v>1193</v>
      </c>
      <c r="D174" s="51" t="s">
        <v>25</v>
      </c>
      <c r="E174" s="51" t="s">
        <v>15</v>
      </c>
      <c r="F174" s="51" t="s">
        <v>20</v>
      </c>
      <c r="G174" s="51" t="s">
        <v>789</v>
      </c>
      <c r="H174" s="53">
        <f t="shared" si="16"/>
        <v>30</v>
      </c>
      <c r="I174" s="17">
        <f t="shared" si="14"/>
        <v>0</v>
      </c>
      <c r="J174" s="18">
        <f t="shared" si="15"/>
        <v>1</v>
      </c>
      <c r="K174" s="27"/>
      <c r="L174" s="8"/>
      <c r="M174" s="8"/>
      <c r="N174" s="8"/>
      <c r="O174" s="27"/>
      <c r="P174" s="27"/>
      <c r="Q174" s="8"/>
      <c r="R174" s="8"/>
      <c r="S174" s="8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8"/>
      <c r="AH174" s="8"/>
      <c r="AI174" s="8"/>
      <c r="AJ174" s="27"/>
      <c r="AK174" s="8"/>
      <c r="AL174" s="8"/>
      <c r="AM174" s="27"/>
      <c r="AN174" s="27"/>
      <c r="AO174" s="27"/>
    </row>
    <row r="175" spans="1:41" ht="15" thickBot="1" x14ac:dyDescent="0.35">
      <c r="A175" s="51" t="s">
        <v>294</v>
      </c>
      <c r="B175" s="51" t="s">
        <v>1088</v>
      </c>
      <c r="C175" s="51" t="s">
        <v>1192</v>
      </c>
      <c r="D175" s="51" t="s">
        <v>295</v>
      </c>
      <c r="E175" s="51" t="s">
        <v>73</v>
      </c>
      <c r="F175" s="51" t="s">
        <v>28</v>
      </c>
      <c r="G175" s="51" t="s">
        <v>790</v>
      </c>
      <c r="H175" s="53">
        <f t="shared" si="16"/>
        <v>23</v>
      </c>
      <c r="I175" s="17">
        <f t="shared" si="14"/>
        <v>7</v>
      </c>
      <c r="J175" s="18">
        <f t="shared" si="15"/>
        <v>0.76666666666666672</v>
      </c>
      <c r="K175" s="27"/>
      <c r="L175" s="8"/>
      <c r="M175" s="8"/>
      <c r="N175" s="8"/>
      <c r="O175" s="27"/>
      <c r="P175" s="27" t="s">
        <v>1010</v>
      </c>
      <c r="Q175" s="8" t="s">
        <v>1010</v>
      </c>
      <c r="R175" s="8" t="s">
        <v>1010</v>
      </c>
      <c r="S175" s="8" t="s">
        <v>1010</v>
      </c>
      <c r="T175" s="27" t="s">
        <v>1010</v>
      </c>
      <c r="U175" s="27" t="s">
        <v>1010</v>
      </c>
      <c r="V175" s="27" t="s">
        <v>1010</v>
      </c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8"/>
      <c r="AH175" s="8"/>
      <c r="AI175" s="8"/>
      <c r="AJ175" s="27"/>
      <c r="AK175" s="8"/>
      <c r="AL175" s="8"/>
      <c r="AM175" s="27"/>
      <c r="AN175" s="27"/>
      <c r="AO175" s="27"/>
    </row>
    <row r="176" spans="1:41" ht="15" thickBot="1" x14ac:dyDescent="0.35">
      <c r="A176" s="51" t="s">
        <v>298</v>
      </c>
      <c r="B176" s="51" t="s">
        <v>1089</v>
      </c>
      <c r="C176" s="51" t="s">
        <v>1192</v>
      </c>
      <c r="D176" s="51" t="s">
        <v>299</v>
      </c>
      <c r="E176" s="51" t="s">
        <v>19</v>
      </c>
      <c r="F176" s="51" t="s">
        <v>28</v>
      </c>
      <c r="G176" s="51" t="s">
        <v>791</v>
      </c>
      <c r="H176" s="53">
        <f t="shared" si="16"/>
        <v>23</v>
      </c>
      <c r="I176" s="17">
        <f t="shared" si="14"/>
        <v>7</v>
      </c>
      <c r="J176" s="18">
        <f t="shared" si="15"/>
        <v>0.76666666666666672</v>
      </c>
      <c r="K176" s="27"/>
      <c r="L176" s="8"/>
      <c r="M176" s="8"/>
      <c r="N176" s="8"/>
      <c r="O176" s="27"/>
      <c r="P176" s="27" t="s">
        <v>1010</v>
      </c>
      <c r="Q176" s="8" t="s">
        <v>1010</v>
      </c>
      <c r="R176" s="8" t="s">
        <v>1010</v>
      </c>
      <c r="S176" s="8" t="s">
        <v>1010</v>
      </c>
      <c r="T176" s="27" t="s">
        <v>1010</v>
      </c>
      <c r="U176" s="27" t="s">
        <v>1010</v>
      </c>
      <c r="V176" s="27" t="s">
        <v>1010</v>
      </c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8"/>
      <c r="AH176" s="8"/>
      <c r="AI176" s="8"/>
      <c r="AJ176" s="27"/>
      <c r="AK176" s="8"/>
      <c r="AL176" s="8"/>
      <c r="AM176" s="27"/>
      <c r="AN176" s="27"/>
      <c r="AO176" s="27"/>
    </row>
    <row r="177" spans="1:41" ht="15" thickBot="1" x14ac:dyDescent="0.35">
      <c r="A177" s="51" t="s">
        <v>298</v>
      </c>
      <c r="B177" s="51" t="s">
        <v>1090</v>
      </c>
      <c r="C177" s="51" t="s">
        <v>1192</v>
      </c>
      <c r="D177" s="51" t="s">
        <v>302</v>
      </c>
      <c r="E177" s="51" t="s">
        <v>19</v>
      </c>
      <c r="F177" s="51" t="s">
        <v>1184</v>
      </c>
      <c r="G177" s="51" t="s">
        <v>793</v>
      </c>
      <c r="H177" s="53">
        <f t="shared" si="16"/>
        <v>23</v>
      </c>
      <c r="I177" s="17">
        <f t="shared" si="14"/>
        <v>7</v>
      </c>
      <c r="J177" s="18">
        <f t="shared" si="15"/>
        <v>0.76666666666666672</v>
      </c>
      <c r="K177" s="27"/>
      <c r="L177" s="8"/>
      <c r="M177" s="8"/>
      <c r="N177" s="8"/>
      <c r="O177" s="27"/>
      <c r="P177" s="27" t="s">
        <v>1010</v>
      </c>
      <c r="Q177" s="8" t="s">
        <v>1010</v>
      </c>
      <c r="R177" s="8" t="s">
        <v>1010</v>
      </c>
      <c r="S177" s="8" t="s">
        <v>1010</v>
      </c>
      <c r="T177" s="27" t="s">
        <v>1010</v>
      </c>
      <c r="U177" s="27" t="s">
        <v>1010</v>
      </c>
      <c r="V177" s="27" t="s">
        <v>1010</v>
      </c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8"/>
      <c r="AH177" s="8"/>
      <c r="AI177" s="8"/>
      <c r="AJ177" s="27"/>
      <c r="AK177" s="8"/>
      <c r="AL177" s="8"/>
      <c r="AM177" s="27"/>
      <c r="AN177" s="27"/>
      <c r="AO177" s="27"/>
    </row>
    <row r="178" spans="1:41" ht="15" thickBot="1" x14ac:dyDescent="0.35">
      <c r="A178" s="51" t="s">
        <v>271</v>
      </c>
      <c r="B178" s="51" t="s">
        <v>296</v>
      </c>
      <c r="C178" s="51" t="s">
        <v>1192</v>
      </c>
      <c r="D178" s="51" t="s">
        <v>297</v>
      </c>
      <c r="E178" s="51" t="s">
        <v>73</v>
      </c>
      <c r="F178" s="51" t="s">
        <v>28</v>
      </c>
      <c r="G178" s="51" t="s">
        <v>1189</v>
      </c>
      <c r="H178" s="53">
        <f t="shared" si="16"/>
        <v>30</v>
      </c>
      <c r="I178" s="17">
        <f t="shared" si="14"/>
        <v>0</v>
      </c>
      <c r="J178" s="18">
        <f t="shared" si="15"/>
        <v>1</v>
      </c>
      <c r="K178" s="27"/>
      <c r="L178" s="8"/>
      <c r="M178" s="8"/>
      <c r="N178" s="8"/>
      <c r="O178" s="27"/>
      <c r="P178" s="27"/>
      <c r="Q178" s="8"/>
      <c r="R178" s="8"/>
      <c r="S178" s="8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8"/>
      <c r="AH178" s="8"/>
      <c r="AI178" s="8"/>
      <c r="AJ178" s="27"/>
      <c r="AK178" s="8"/>
      <c r="AL178" s="8"/>
      <c r="AM178" s="27"/>
      <c r="AN178" s="27"/>
      <c r="AO178" s="27"/>
    </row>
    <row r="179" spans="1:41" ht="15" thickBot="1" x14ac:dyDescent="0.35">
      <c r="A179" s="51" t="s">
        <v>294</v>
      </c>
      <c r="B179" s="51" t="s">
        <v>300</v>
      </c>
      <c r="C179" s="51" t="s">
        <v>1192</v>
      </c>
      <c r="D179" s="51" t="s">
        <v>301</v>
      </c>
      <c r="E179" s="51" t="s">
        <v>19</v>
      </c>
      <c r="F179" s="51" t="s">
        <v>1184</v>
      </c>
      <c r="G179" s="51" t="s">
        <v>792</v>
      </c>
      <c r="H179" s="53">
        <f t="shared" si="16"/>
        <v>30</v>
      </c>
      <c r="I179" s="17">
        <f t="shared" si="14"/>
        <v>0</v>
      </c>
      <c r="J179" s="18">
        <f t="shared" si="15"/>
        <v>1</v>
      </c>
      <c r="K179" s="27"/>
      <c r="L179" s="8"/>
      <c r="M179" s="8"/>
      <c r="N179" s="8"/>
      <c r="O179" s="27"/>
      <c r="P179" s="27"/>
      <c r="Q179" s="8"/>
      <c r="R179" s="8"/>
      <c r="S179" s="8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8"/>
      <c r="AH179" s="8"/>
      <c r="AI179" s="8"/>
      <c r="AJ179" s="27"/>
      <c r="AK179" s="8"/>
      <c r="AL179" s="8"/>
      <c r="AM179" s="27"/>
      <c r="AN179" s="27"/>
      <c r="AO179" s="27"/>
    </row>
    <row r="180" spans="1:41" ht="15" thickBot="1" x14ac:dyDescent="0.35">
      <c r="A180" s="51" t="s">
        <v>298</v>
      </c>
      <c r="B180" s="51" t="s">
        <v>303</v>
      </c>
      <c r="C180" s="51" t="s">
        <v>1192</v>
      </c>
      <c r="D180" s="51" t="s">
        <v>304</v>
      </c>
      <c r="E180" s="51" t="s">
        <v>15</v>
      </c>
      <c r="F180" s="51" t="s">
        <v>1184</v>
      </c>
      <c r="G180" s="51" t="s">
        <v>794</v>
      </c>
      <c r="H180" s="53">
        <f t="shared" si="16"/>
        <v>23</v>
      </c>
      <c r="I180" s="17">
        <f t="shared" si="14"/>
        <v>7</v>
      </c>
      <c r="J180" s="18">
        <f t="shared" si="15"/>
        <v>0.76666666666666672</v>
      </c>
      <c r="K180" s="27"/>
      <c r="L180" s="8"/>
      <c r="M180" s="8"/>
      <c r="N180" s="8"/>
      <c r="O180" s="27"/>
      <c r="P180" s="27" t="s">
        <v>1010</v>
      </c>
      <c r="Q180" s="8" t="s">
        <v>1010</v>
      </c>
      <c r="R180" s="8" t="s">
        <v>1010</v>
      </c>
      <c r="S180" s="8" t="s">
        <v>1010</v>
      </c>
      <c r="T180" s="27" t="s">
        <v>1010</v>
      </c>
      <c r="U180" s="27" t="s">
        <v>1010</v>
      </c>
      <c r="V180" s="27" t="s">
        <v>1010</v>
      </c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8"/>
      <c r="AH180" s="8"/>
      <c r="AI180" s="8"/>
      <c r="AJ180" s="27"/>
      <c r="AK180" s="8"/>
      <c r="AL180" s="8"/>
      <c r="AM180" s="27"/>
      <c r="AN180" s="27"/>
      <c r="AO180" s="27"/>
    </row>
    <row r="181" spans="1:41" ht="15" thickBot="1" x14ac:dyDescent="0.35">
      <c r="A181" s="51" t="s">
        <v>305</v>
      </c>
      <c r="B181" s="51" t="s">
        <v>306</v>
      </c>
      <c r="C181" s="51" t="s">
        <v>1192</v>
      </c>
      <c r="D181" s="51" t="s">
        <v>307</v>
      </c>
      <c r="E181" s="51" t="s">
        <v>73</v>
      </c>
      <c r="F181" s="51" t="s">
        <v>28</v>
      </c>
      <c r="G181" s="51" t="s">
        <v>795</v>
      </c>
      <c r="H181" s="53">
        <f t="shared" si="16"/>
        <v>30</v>
      </c>
      <c r="I181" s="17">
        <f t="shared" si="14"/>
        <v>0</v>
      </c>
      <c r="J181" s="18">
        <f t="shared" si="15"/>
        <v>1</v>
      </c>
      <c r="K181" s="27"/>
      <c r="L181" s="8"/>
      <c r="M181" s="8"/>
      <c r="N181" s="8"/>
      <c r="O181" s="27"/>
      <c r="P181" s="27"/>
      <c r="Q181" s="8"/>
      <c r="R181" s="8"/>
      <c r="S181" s="8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8"/>
      <c r="AH181" s="8"/>
      <c r="AI181" s="8"/>
      <c r="AJ181" s="27"/>
      <c r="AK181" s="8"/>
      <c r="AL181" s="8"/>
      <c r="AM181" s="27"/>
      <c r="AN181" s="27"/>
      <c r="AO181" s="27"/>
    </row>
    <row r="182" spans="1:41" ht="15" thickBot="1" x14ac:dyDescent="0.35">
      <c r="A182" s="51" t="s">
        <v>305</v>
      </c>
      <c r="B182" s="51" t="s">
        <v>308</v>
      </c>
      <c r="C182" s="51" t="s">
        <v>1192</v>
      </c>
      <c r="D182" s="51" t="s">
        <v>309</v>
      </c>
      <c r="E182" s="51" t="s">
        <v>19</v>
      </c>
      <c r="F182" s="51" t="s">
        <v>20</v>
      </c>
      <c r="G182" s="51" t="s">
        <v>796</v>
      </c>
      <c r="H182" s="53">
        <f t="shared" si="16"/>
        <v>30</v>
      </c>
      <c r="I182" s="17">
        <f t="shared" si="14"/>
        <v>0</v>
      </c>
      <c r="J182" s="18">
        <f t="shared" si="15"/>
        <v>1</v>
      </c>
      <c r="K182" s="27"/>
      <c r="L182" s="8"/>
      <c r="M182" s="8"/>
      <c r="N182" s="8"/>
      <c r="O182" s="27"/>
      <c r="P182" s="27"/>
      <c r="Q182" s="8"/>
      <c r="R182" s="8"/>
      <c r="S182" s="8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8"/>
      <c r="AH182" s="8"/>
      <c r="AI182" s="8"/>
      <c r="AJ182" s="27"/>
      <c r="AK182" s="8"/>
      <c r="AL182" s="8"/>
      <c r="AM182" s="27"/>
      <c r="AN182" s="27"/>
      <c r="AO182" s="27"/>
    </row>
    <row r="183" spans="1:41" ht="15" thickBot="1" x14ac:dyDescent="0.35">
      <c r="A183" s="51" t="s">
        <v>305</v>
      </c>
      <c r="B183" s="51" t="s">
        <v>310</v>
      </c>
      <c r="C183" s="51" t="s">
        <v>1192</v>
      </c>
      <c r="D183" s="51" t="s">
        <v>311</v>
      </c>
      <c r="E183" s="51" t="s">
        <v>19</v>
      </c>
      <c r="F183" s="51" t="s">
        <v>20</v>
      </c>
      <c r="G183" s="51" t="s">
        <v>797</v>
      </c>
      <c r="H183" s="53">
        <f t="shared" si="16"/>
        <v>30</v>
      </c>
      <c r="I183" s="17">
        <f t="shared" si="14"/>
        <v>0</v>
      </c>
      <c r="J183" s="18">
        <f t="shared" si="15"/>
        <v>1</v>
      </c>
      <c r="K183" s="27"/>
      <c r="L183" s="8"/>
      <c r="M183" s="8"/>
      <c r="N183" s="8"/>
      <c r="O183" s="27"/>
      <c r="P183" s="27"/>
      <c r="Q183" s="8"/>
      <c r="R183" s="8"/>
      <c r="S183" s="8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8"/>
      <c r="AH183" s="8"/>
      <c r="AI183" s="8"/>
      <c r="AJ183" s="27"/>
      <c r="AK183" s="8"/>
      <c r="AL183" s="8"/>
      <c r="AM183" s="27"/>
      <c r="AN183" s="27"/>
      <c r="AO183" s="27"/>
    </row>
    <row r="184" spans="1:41" ht="15" thickBot="1" x14ac:dyDescent="0.35">
      <c r="A184" s="51" t="s">
        <v>305</v>
      </c>
      <c r="B184" s="51" t="s">
        <v>312</v>
      </c>
      <c r="C184" s="51" t="s">
        <v>1192</v>
      </c>
      <c r="D184" s="51" t="s">
        <v>313</v>
      </c>
      <c r="E184" s="51" t="s">
        <v>19</v>
      </c>
      <c r="F184" s="51" t="s">
        <v>20</v>
      </c>
      <c r="G184" s="51" t="s">
        <v>798</v>
      </c>
      <c r="H184" s="53">
        <f t="shared" si="16"/>
        <v>30</v>
      </c>
      <c r="I184" s="17">
        <f t="shared" si="14"/>
        <v>0</v>
      </c>
      <c r="J184" s="18">
        <f t="shared" si="15"/>
        <v>1</v>
      </c>
      <c r="K184" s="27"/>
      <c r="L184" s="8"/>
      <c r="M184" s="8"/>
      <c r="N184" s="8"/>
      <c r="O184" s="27"/>
      <c r="P184" s="27"/>
      <c r="Q184" s="8"/>
      <c r="R184" s="8"/>
      <c r="S184" s="8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8"/>
      <c r="AH184" s="8"/>
      <c r="AI184" s="8"/>
      <c r="AJ184" s="27"/>
      <c r="AK184" s="8"/>
      <c r="AL184" s="8"/>
      <c r="AM184" s="27"/>
      <c r="AN184" s="27"/>
      <c r="AO184" s="27"/>
    </row>
    <row r="185" spans="1:41" ht="15" thickBot="1" x14ac:dyDescent="0.35">
      <c r="A185" s="51" t="s">
        <v>314</v>
      </c>
      <c r="B185" s="51" t="s">
        <v>1091</v>
      </c>
      <c r="C185" s="51" t="s">
        <v>1192</v>
      </c>
      <c r="D185" s="51" t="s">
        <v>317</v>
      </c>
      <c r="E185" s="51" t="s">
        <v>19</v>
      </c>
      <c r="F185" s="51" t="s">
        <v>28</v>
      </c>
      <c r="G185" s="51" t="s">
        <v>799</v>
      </c>
      <c r="H185" s="53">
        <f t="shared" si="16"/>
        <v>30</v>
      </c>
      <c r="I185" s="17">
        <f t="shared" si="14"/>
        <v>0</v>
      </c>
      <c r="J185" s="18">
        <f t="shared" si="15"/>
        <v>1</v>
      </c>
      <c r="K185" s="27"/>
      <c r="L185" s="8"/>
      <c r="M185" s="8"/>
      <c r="N185" s="8"/>
      <c r="O185" s="27"/>
      <c r="P185" s="27"/>
      <c r="Q185" s="8"/>
      <c r="R185" s="8"/>
      <c r="S185" s="8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8"/>
      <c r="AH185" s="8"/>
      <c r="AI185" s="8"/>
      <c r="AJ185" s="27"/>
      <c r="AK185" s="8"/>
      <c r="AL185" s="8"/>
      <c r="AM185" s="27"/>
      <c r="AN185" s="27"/>
      <c r="AO185" s="27"/>
    </row>
    <row r="186" spans="1:41" ht="15" thickBot="1" x14ac:dyDescent="0.35">
      <c r="A186" s="51" t="s">
        <v>314</v>
      </c>
      <c r="B186" s="51" t="s">
        <v>315</v>
      </c>
      <c r="C186" s="51" t="s">
        <v>1192</v>
      </c>
      <c r="D186" s="51" t="s">
        <v>316</v>
      </c>
      <c r="E186" s="51" t="s">
        <v>15</v>
      </c>
      <c r="F186" s="51" t="s">
        <v>20</v>
      </c>
      <c r="G186" s="51" t="s">
        <v>805</v>
      </c>
      <c r="H186" s="53">
        <f t="shared" si="16"/>
        <v>30</v>
      </c>
      <c r="I186" s="17">
        <f t="shared" si="14"/>
        <v>0</v>
      </c>
      <c r="J186" s="18">
        <f t="shared" si="15"/>
        <v>1</v>
      </c>
      <c r="K186" s="27"/>
      <c r="L186" s="8"/>
      <c r="M186" s="8"/>
      <c r="N186" s="8"/>
      <c r="O186" s="27"/>
      <c r="P186" s="27"/>
      <c r="Q186" s="8"/>
      <c r="R186" s="8"/>
      <c r="S186" s="8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8"/>
      <c r="AH186" s="8"/>
      <c r="AI186" s="8"/>
      <c r="AJ186" s="27"/>
      <c r="AK186" s="8"/>
      <c r="AL186" s="8"/>
      <c r="AM186" s="27"/>
      <c r="AN186" s="27"/>
      <c r="AO186" s="27"/>
    </row>
    <row r="187" spans="1:41" ht="15" thickBot="1" x14ac:dyDescent="0.35">
      <c r="A187" s="51" t="s">
        <v>314</v>
      </c>
      <c r="B187" s="51" t="s">
        <v>318</v>
      </c>
      <c r="C187" s="51" t="s">
        <v>1192</v>
      </c>
      <c r="D187" s="51" t="s">
        <v>319</v>
      </c>
      <c r="E187" s="51" t="s">
        <v>19</v>
      </c>
      <c r="F187" s="51" t="s">
        <v>20</v>
      </c>
      <c r="G187" s="51" t="s">
        <v>800</v>
      </c>
      <c r="H187" s="53">
        <f t="shared" si="16"/>
        <v>30</v>
      </c>
      <c r="I187" s="17">
        <f t="shared" si="14"/>
        <v>0</v>
      </c>
      <c r="J187" s="18">
        <f t="shared" si="15"/>
        <v>1</v>
      </c>
      <c r="K187" s="27"/>
      <c r="L187" s="8"/>
      <c r="M187" s="8"/>
      <c r="N187" s="8"/>
      <c r="O187" s="27"/>
      <c r="P187" s="27"/>
      <c r="Q187" s="8"/>
      <c r="R187" s="8"/>
      <c r="S187" s="8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8"/>
      <c r="AH187" s="8"/>
      <c r="AI187" s="8"/>
      <c r="AJ187" s="27"/>
      <c r="AK187" s="8"/>
      <c r="AL187" s="8"/>
      <c r="AM187" s="27"/>
      <c r="AN187" s="27"/>
      <c r="AO187" s="27"/>
    </row>
    <row r="188" spans="1:41" ht="15" thickBot="1" x14ac:dyDescent="0.35">
      <c r="A188" s="51" t="s">
        <v>314</v>
      </c>
      <c r="B188" s="51" t="s">
        <v>320</v>
      </c>
      <c r="C188" s="51" t="s">
        <v>1192</v>
      </c>
      <c r="D188" s="51" t="s">
        <v>321</v>
      </c>
      <c r="E188" s="51" t="s">
        <v>19</v>
      </c>
      <c r="F188" s="51" t="s">
        <v>1185</v>
      </c>
      <c r="G188" s="51" t="s">
        <v>801</v>
      </c>
      <c r="H188" s="53">
        <f t="shared" si="16"/>
        <v>30</v>
      </c>
      <c r="I188" s="17">
        <f t="shared" si="14"/>
        <v>0</v>
      </c>
      <c r="J188" s="18">
        <f t="shared" si="15"/>
        <v>1</v>
      </c>
      <c r="K188" s="27"/>
      <c r="L188" s="8"/>
      <c r="M188" s="8"/>
      <c r="N188" s="8"/>
      <c r="O188" s="27"/>
      <c r="P188" s="27"/>
      <c r="Q188" s="8"/>
      <c r="R188" s="8"/>
      <c r="S188" s="8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8"/>
      <c r="AH188" s="8"/>
      <c r="AI188" s="8"/>
      <c r="AJ188" s="27"/>
      <c r="AK188" s="8"/>
      <c r="AL188" s="8"/>
      <c r="AM188" s="27"/>
      <c r="AN188" s="27"/>
      <c r="AO188" s="27"/>
    </row>
    <row r="189" spans="1:41" ht="15" thickBot="1" x14ac:dyDescent="0.35">
      <c r="A189" s="51" t="s">
        <v>314</v>
      </c>
      <c r="B189" s="51" t="s">
        <v>322</v>
      </c>
      <c r="C189" s="51" t="s">
        <v>1192</v>
      </c>
      <c r="D189" s="51" t="s">
        <v>323</v>
      </c>
      <c r="E189" s="51" t="s">
        <v>19</v>
      </c>
      <c r="F189" s="51" t="s">
        <v>20</v>
      </c>
      <c r="G189" s="51" t="s">
        <v>802</v>
      </c>
      <c r="H189" s="53">
        <f t="shared" si="16"/>
        <v>30</v>
      </c>
      <c r="I189" s="17">
        <f t="shared" si="14"/>
        <v>0</v>
      </c>
      <c r="J189" s="18">
        <f t="shared" si="15"/>
        <v>1</v>
      </c>
      <c r="K189" s="27"/>
      <c r="L189" s="8"/>
      <c r="M189" s="8"/>
      <c r="N189" s="8"/>
      <c r="O189" s="27"/>
      <c r="P189" s="27"/>
      <c r="Q189" s="8"/>
      <c r="R189" s="8"/>
      <c r="S189" s="8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8"/>
      <c r="AH189" s="8"/>
      <c r="AI189" s="8"/>
      <c r="AJ189" s="27"/>
      <c r="AK189" s="8"/>
      <c r="AL189" s="8"/>
      <c r="AM189" s="27"/>
      <c r="AN189" s="27"/>
      <c r="AO189" s="27"/>
    </row>
    <row r="190" spans="1:41" ht="15" thickBot="1" x14ac:dyDescent="0.35">
      <c r="A190" s="51" t="s">
        <v>324</v>
      </c>
      <c r="B190" s="51" t="s">
        <v>325</v>
      </c>
      <c r="C190" s="51" t="s">
        <v>1192</v>
      </c>
      <c r="D190" s="51" t="s">
        <v>326</v>
      </c>
      <c r="E190" s="51" t="s">
        <v>19</v>
      </c>
      <c r="F190" s="51" t="s">
        <v>20</v>
      </c>
      <c r="G190" s="51" t="s">
        <v>1190</v>
      </c>
      <c r="H190" s="53">
        <f t="shared" si="16"/>
        <v>30</v>
      </c>
      <c r="I190" s="17">
        <f t="shared" si="14"/>
        <v>0</v>
      </c>
      <c r="J190" s="18">
        <f t="shared" si="15"/>
        <v>1</v>
      </c>
      <c r="K190" s="27"/>
      <c r="L190" s="8"/>
      <c r="M190" s="8"/>
      <c r="N190" s="8"/>
      <c r="O190" s="27"/>
      <c r="P190" s="27"/>
      <c r="Q190" s="8"/>
      <c r="R190" s="8"/>
      <c r="S190" s="8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8"/>
      <c r="AH190" s="8"/>
      <c r="AI190" s="8"/>
      <c r="AJ190" s="27"/>
      <c r="AK190" s="8"/>
      <c r="AL190" s="8"/>
      <c r="AM190" s="27"/>
      <c r="AN190" s="27"/>
      <c r="AO190" s="27"/>
    </row>
    <row r="191" spans="1:41" ht="15" thickBot="1" x14ac:dyDescent="0.35">
      <c r="A191" s="51" t="s">
        <v>52</v>
      </c>
      <c r="B191" s="51" t="s">
        <v>327</v>
      </c>
      <c r="C191" s="51" t="s">
        <v>1192</v>
      </c>
      <c r="D191" s="51" t="s">
        <v>328</v>
      </c>
      <c r="E191" s="51" t="s">
        <v>19</v>
      </c>
      <c r="F191" s="51" t="s">
        <v>1184</v>
      </c>
      <c r="G191" s="51" t="s">
        <v>803</v>
      </c>
      <c r="H191" s="53">
        <f t="shared" si="16"/>
        <v>28</v>
      </c>
      <c r="I191" s="17">
        <f t="shared" si="14"/>
        <v>2</v>
      </c>
      <c r="J191" s="18">
        <f t="shared" si="15"/>
        <v>0.93333333333333335</v>
      </c>
      <c r="K191" s="27" t="s">
        <v>1010</v>
      </c>
      <c r="L191" s="8" t="s">
        <v>1010</v>
      </c>
      <c r="M191" s="8"/>
      <c r="N191" s="8"/>
      <c r="O191" s="27"/>
      <c r="P191" s="27"/>
      <c r="Q191" s="8"/>
      <c r="R191" s="8"/>
      <c r="S191" s="8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8"/>
      <c r="AH191" s="8"/>
      <c r="AI191" s="8"/>
      <c r="AJ191" s="27"/>
      <c r="AK191" s="8"/>
      <c r="AL191" s="8"/>
      <c r="AM191" s="27"/>
      <c r="AN191" s="27"/>
      <c r="AO191" s="27"/>
    </row>
    <row r="192" spans="1:41" ht="15" thickBot="1" x14ac:dyDescent="0.35">
      <c r="A192" s="51" t="s">
        <v>314</v>
      </c>
      <c r="B192" s="51" t="s">
        <v>329</v>
      </c>
      <c r="C192" s="51" t="s">
        <v>1192</v>
      </c>
      <c r="D192" s="51" t="s">
        <v>330</v>
      </c>
      <c r="E192" s="51" t="s">
        <v>19</v>
      </c>
      <c r="F192" s="51" t="s">
        <v>1184</v>
      </c>
      <c r="G192" s="51" t="s">
        <v>804</v>
      </c>
      <c r="H192" s="53">
        <f t="shared" si="16"/>
        <v>30</v>
      </c>
      <c r="I192" s="17">
        <f t="shared" si="14"/>
        <v>0</v>
      </c>
      <c r="J192" s="18">
        <f t="shared" si="15"/>
        <v>1</v>
      </c>
      <c r="K192" s="27"/>
      <c r="L192" s="8"/>
      <c r="M192" s="8"/>
      <c r="N192" s="8"/>
      <c r="O192" s="27"/>
      <c r="P192" s="27"/>
      <c r="Q192" s="8"/>
      <c r="R192" s="8"/>
      <c r="S192" s="8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8"/>
      <c r="AH192" s="8"/>
      <c r="AI192" s="8"/>
      <c r="AJ192" s="27"/>
      <c r="AK192" s="8"/>
      <c r="AL192" s="8"/>
      <c r="AM192" s="27"/>
      <c r="AN192" s="27"/>
      <c r="AO192" s="27"/>
    </row>
    <row r="193" spans="1:41" ht="15" thickBot="1" x14ac:dyDescent="0.35">
      <c r="A193" s="51" t="s">
        <v>314</v>
      </c>
      <c r="B193" s="51" t="s">
        <v>331</v>
      </c>
      <c r="C193" s="51" t="s">
        <v>1192</v>
      </c>
      <c r="D193" s="51" t="s">
        <v>332</v>
      </c>
      <c r="E193" s="51" t="s">
        <v>15</v>
      </c>
      <c r="F193" s="51" t="s">
        <v>28</v>
      </c>
      <c r="G193" s="51" t="s">
        <v>806</v>
      </c>
      <c r="H193" s="53">
        <f t="shared" si="16"/>
        <v>30</v>
      </c>
      <c r="I193" s="17">
        <f t="shared" si="14"/>
        <v>0</v>
      </c>
      <c r="J193" s="18">
        <f t="shared" si="15"/>
        <v>1</v>
      </c>
      <c r="K193" s="27"/>
      <c r="L193" s="8"/>
      <c r="M193" s="8"/>
      <c r="N193" s="8"/>
      <c r="O193" s="27"/>
      <c r="P193" s="27"/>
      <c r="Q193" s="8"/>
      <c r="R193" s="8"/>
      <c r="S193" s="8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8"/>
      <c r="AH193" s="8"/>
      <c r="AI193" s="8"/>
      <c r="AJ193" s="27"/>
      <c r="AK193" s="8"/>
      <c r="AL193" s="8"/>
      <c r="AM193" s="27"/>
      <c r="AN193" s="27"/>
      <c r="AO193" s="27"/>
    </row>
    <row r="194" spans="1:41" ht="15" thickBot="1" x14ac:dyDescent="0.35">
      <c r="A194" s="51" t="s">
        <v>335</v>
      </c>
      <c r="B194" s="51" t="s">
        <v>333</v>
      </c>
      <c r="C194" s="51" t="s">
        <v>1193</v>
      </c>
      <c r="D194" s="51" t="s">
        <v>334</v>
      </c>
      <c r="E194" s="51" t="s">
        <v>15</v>
      </c>
      <c r="F194" s="51" t="s">
        <v>28</v>
      </c>
      <c r="G194" s="51" t="s">
        <v>807</v>
      </c>
      <c r="H194" s="53">
        <f t="shared" si="16"/>
        <v>30</v>
      </c>
      <c r="I194" s="17">
        <f t="shared" si="14"/>
        <v>0</v>
      </c>
      <c r="J194" s="18">
        <f t="shared" si="15"/>
        <v>1</v>
      </c>
      <c r="K194" s="27"/>
      <c r="L194" s="8"/>
      <c r="M194" s="8"/>
      <c r="N194" s="8"/>
      <c r="O194" s="27"/>
      <c r="P194" s="27"/>
      <c r="Q194" s="8"/>
      <c r="R194" s="8"/>
      <c r="S194" s="8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8"/>
      <c r="AH194" s="8"/>
      <c r="AI194" s="8"/>
      <c r="AJ194" s="27"/>
      <c r="AK194" s="8"/>
      <c r="AL194" s="8"/>
      <c r="AM194" s="27"/>
      <c r="AN194" s="27"/>
      <c r="AO194" s="27"/>
    </row>
    <row r="195" spans="1:41" ht="15" thickBot="1" x14ac:dyDescent="0.35">
      <c r="A195" s="51" t="s">
        <v>335</v>
      </c>
      <c r="B195" s="51" t="s">
        <v>336</v>
      </c>
      <c r="C195" s="51" t="s">
        <v>1193</v>
      </c>
      <c r="D195" s="51" t="s">
        <v>337</v>
      </c>
      <c r="E195" s="51" t="s">
        <v>73</v>
      </c>
      <c r="F195" s="51" t="s">
        <v>28</v>
      </c>
      <c r="G195" s="51" t="s">
        <v>808</v>
      </c>
      <c r="H195" s="53">
        <f t="shared" si="16"/>
        <v>30</v>
      </c>
      <c r="I195" s="17">
        <f t="shared" si="14"/>
        <v>0</v>
      </c>
      <c r="J195" s="18">
        <f t="shared" si="15"/>
        <v>1</v>
      </c>
      <c r="K195" s="27"/>
      <c r="L195" s="8"/>
      <c r="M195" s="8"/>
      <c r="N195" s="8"/>
      <c r="O195" s="27"/>
      <c r="P195" s="27"/>
      <c r="Q195" s="8"/>
      <c r="R195" s="8"/>
      <c r="S195" s="8"/>
      <c r="T195" s="27"/>
      <c r="U195" s="57"/>
      <c r="V195" s="5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8"/>
      <c r="AH195" s="8"/>
      <c r="AI195" s="8"/>
      <c r="AJ195" s="27"/>
      <c r="AK195" s="8"/>
      <c r="AL195" s="8"/>
      <c r="AM195" s="27"/>
      <c r="AN195" s="27"/>
      <c r="AO195" s="27"/>
    </row>
    <row r="196" spans="1:41" ht="15" thickBot="1" x14ac:dyDescent="0.35">
      <c r="A196" s="51" t="s">
        <v>335</v>
      </c>
      <c r="B196" s="51" t="s">
        <v>338</v>
      </c>
      <c r="C196" s="51" t="s">
        <v>1193</v>
      </c>
      <c r="D196" s="51" t="s">
        <v>337</v>
      </c>
      <c r="E196" s="51" t="s">
        <v>73</v>
      </c>
      <c r="F196" s="51" t="s">
        <v>28</v>
      </c>
      <c r="G196" s="51" t="s">
        <v>809</v>
      </c>
      <c r="H196" s="53">
        <f t="shared" si="16"/>
        <v>30</v>
      </c>
      <c r="I196" s="17">
        <f t="shared" si="14"/>
        <v>0</v>
      </c>
      <c r="J196" s="18">
        <f t="shared" si="15"/>
        <v>1</v>
      </c>
      <c r="K196" s="27"/>
      <c r="L196" s="8"/>
      <c r="M196" s="8"/>
      <c r="N196" s="8"/>
      <c r="O196" s="27"/>
      <c r="P196" s="27"/>
      <c r="Q196" s="8"/>
      <c r="R196" s="8"/>
      <c r="S196" s="8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8"/>
      <c r="AH196" s="8"/>
      <c r="AI196" s="8"/>
      <c r="AJ196" s="27"/>
      <c r="AK196" s="8"/>
      <c r="AL196" s="8"/>
      <c r="AM196" s="27"/>
      <c r="AN196" s="27"/>
      <c r="AO196" s="27"/>
    </row>
    <row r="197" spans="1:41" ht="15" thickBot="1" x14ac:dyDescent="0.35">
      <c r="A197" s="51" t="s">
        <v>335</v>
      </c>
      <c r="B197" s="51" t="s">
        <v>339</v>
      </c>
      <c r="C197" s="51" t="s">
        <v>1193</v>
      </c>
      <c r="D197" s="51" t="s">
        <v>340</v>
      </c>
      <c r="E197" s="51" t="s">
        <v>73</v>
      </c>
      <c r="F197" s="51" t="s">
        <v>28</v>
      </c>
      <c r="G197" s="51" t="s">
        <v>810</v>
      </c>
      <c r="H197" s="53">
        <f t="shared" si="16"/>
        <v>30</v>
      </c>
      <c r="I197" s="17">
        <f t="shared" ref="I197:I262" si="17">COUNTIF(K197:AL197,"APAGADO")</f>
        <v>0</v>
      </c>
      <c r="J197" s="18">
        <f t="shared" ref="J197:J262" si="18">(H197)/(I197+H197)</f>
        <v>1</v>
      </c>
      <c r="K197" s="27"/>
      <c r="L197" s="8"/>
      <c r="M197" s="8"/>
      <c r="N197" s="8"/>
      <c r="O197" s="27"/>
      <c r="P197" s="27"/>
      <c r="Q197" s="8"/>
      <c r="R197" s="8"/>
      <c r="S197" s="8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8"/>
      <c r="AH197" s="8"/>
      <c r="AI197" s="8"/>
      <c r="AJ197" s="27"/>
      <c r="AK197" s="8"/>
      <c r="AL197" s="8"/>
      <c r="AM197" s="27"/>
      <c r="AN197" s="27"/>
      <c r="AO197" s="27"/>
    </row>
    <row r="198" spans="1:41" ht="15" thickBot="1" x14ac:dyDescent="0.35">
      <c r="A198" s="51" t="s">
        <v>335</v>
      </c>
      <c r="B198" s="51" t="s">
        <v>341</v>
      </c>
      <c r="C198" s="51" t="s">
        <v>1193</v>
      </c>
      <c r="D198" s="51" t="s">
        <v>340</v>
      </c>
      <c r="E198" s="51" t="s">
        <v>73</v>
      </c>
      <c r="F198" s="51" t="s">
        <v>28</v>
      </c>
      <c r="G198" s="51" t="s">
        <v>811</v>
      </c>
      <c r="H198" s="53">
        <f t="shared" ref="H198:H261" si="19">COUNTIF(K198:AN198,"")</f>
        <v>30</v>
      </c>
      <c r="I198" s="17">
        <f t="shared" si="17"/>
        <v>0</v>
      </c>
      <c r="J198" s="18">
        <f t="shared" si="18"/>
        <v>1</v>
      </c>
      <c r="K198" s="27"/>
      <c r="L198" s="8"/>
      <c r="M198" s="8"/>
      <c r="N198" s="8"/>
      <c r="O198" s="27"/>
      <c r="P198" s="27"/>
      <c r="Q198" s="8"/>
      <c r="R198" s="8"/>
      <c r="S198" s="8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8"/>
      <c r="AH198" s="8"/>
      <c r="AI198" s="8"/>
      <c r="AJ198" s="27"/>
      <c r="AK198" s="8"/>
      <c r="AL198" s="8"/>
      <c r="AM198" s="27"/>
      <c r="AN198" s="27"/>
      <c r="AO198" s="27"/>
    </row>
    <row r="199" spans="1:41" ht="15" thickBot="1" x14ac:dyDescent="0.35">
      <c r="A199" s="51" t="s">
        <v>41</v>
      </c>
      <c r="B199" s="51" t="s">
        <v>343</v>
      </c>
      <c r="C199" s="51" t="s">
        <v>1193</v>
      </c>
      <c r="D199" s="51" t="s">
        <v>344</v>
      </c>
      <c r="E199" s="51" t="s">
        <v>15</v>
      </c>
      <c r="F199" s="51" t="s">
        <v>28</v>
      </c>
      <c r="G199" s="51" t="s">
        <v>814</v>
      </c>
      <c r="H199" s="53">
        <f t="shared" si="19"/>
        <v>28</v>
      </c>
      <c r="I199" s="17">
        <f t="shared" si="17"/>
        <v>2</v>
      </c>
      <c r="J199" s="18">
        <f t="shared" si="18"/>
        <v>0.93333333333333335</v>
      </c>
      <c r="K199" s="27"/>
      <c r="L199" s="8" t="s">
        <v>1010</v>
      </c>
      <c r="M199" s="8"/>
      <c r="N199" s="8"/>
      <c r="O199" s="27"/>
      <c r="P199" s="27" t="s">
        <v>1010</v>
      </c>
      <c r="Q199" s="8"/>
      <c r="R199" s="8"/>
      <c r="S199" s="8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8"/>
      <c r="AH199" s="8"/>
      <c r="AI199" s="8"/>
      <c r="AJ199" s="27"/>
      <c r="AK199" s="8"/>
      <c r="AL199" s="8"/>
      <c r="AM199" s="27"/>
      <c r="AN199" s="27"/>
      <c r="AO199" s="27"/>
    </row>
    <row r="200" spans="1:41" ht="15" thickBot="1" x14ac:dyDescent="0.35">
      <c r="A200" s="51" t="s">
        <v>41</v>
      </c>
      <c r="B200" s="51" t="s">
        <v>345</v>
      </c>
      <c r="C200" s="51" t="s">
        <v>1193</v>
      </c>
      <c r="D200" s="51" t="s">
        <v>344</v>
      </c>
      <c r="E200" s="51" t="s">
        <v>73</v>
      </c>
      <c r="F200" s="51" t="s">
        <v>28</v>
      </c>
      <c r="G200" s="51" t="s">
        <v>815</v>
      </c>
      <c r="H200" s="53">
        <f t="shared" si="19"/>
        <v>28</v>
      </c>
      <c r="I200" s="17">
        <f t="shared" si="17"/>
        <v>2</v>
      </c>
      <c r="J200" s="18">
        <f t="shared" si="18"/>
        <v>0.93333333333333335</v>
      </c>
      <c r="K200" s="27"/>
      <c r="L200" s="8" t="s">
        <v>1010</v>
      </c>
      <c r="M200" s="8"/>
      <c r="N200" s="8"/>
      <c r="O200" s="27"/>
      <c r="P200" s="27" t="s">
        <v>1010</v>
      </c>
      <c r="Q200" s="8"/>
      <c r="R200" s="8"/>
      <c r="S200" s="8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8"/>
      <c r="AH200" s="8"/>
      <c r="AI200" s="8"/>
      <c r="AJ200" s="27"/>
      <c r="AK200" s="8"/>
      <c r="AL200" s="8"/>
      <c r="AM200" s="27"/>
      <c r="AN200" s="27"/>
      <c r="AO200" s="27"/>
    </row>
    <row r="201" spans="1:41" ht="15" thickBot="1" x14ac:dyDescent="0.35">
      <c r="A201" s="51" t="s">
        <v>189</v>
      </c>
      <c r="B201" s="51" t="s">
        <v>346</v>
      </c>
      <c r="C201" s="51" t="s">
        <v>1193</v>
      </c>
      <c r="D201" s="51" t="s">
        <v>347</v>
      </c>
      <c r="E201" s="51" t="s">
        <v>15</v>
      </c>
      <c r="F201" s="51" t="s">
        <v>28</v>
      </c>
      <c r="G201" s="51" t="s">
        <v>816</v>
      </c>
      <c r="H201" s="53">
        <f t="shared" si="19"/>
        <v>30</v>
      </c>
      <c r="I201" s="17">
        <f t="shared" si="17"/>
        <v>0</v>
      </c>
      <c r="J201" s="18">
        <f t="shared" si="18"/>
        <v>1</v>
      </c>
      <c r="K201" s="27"/>
      <c r="L201" s="8"/>
      <c r="M201" s="8"/>
      <c r="N201" s="8"/>
      <c r="O201" s="27"/>
      <c r="P201" s="27"/>
      <c r="Q201" s="8"/>
      <c r="R201" s="8"/>
      <c r="S201" s="8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8"/>
      <c r="AH201" s="8"/>
      <c r="AI201" s="8"/>
      <c r="AJ201" s="27"/>
      <c r="AK201" s="8"/>
      <c r="AL201" s="8"/>
      <c r="AM201" s="27"/>
      <c r="AN201" s="27"/>
      <c r="AO201" s="27"/>
    </row>
    <row r="202" spans="1:41" ht="15" thickBot="1" x14ac:dyDescent="0.35">
      <c r="A202" s="51" t="s">
        <v>189</v>
      </c>
      <c r="B202" s="51" t="s">
        <v>348</v>
      </c>
      <c r="C202" s="51" t="s">
        <v>1193</v>
      </c>
      <c r="D202" s="51" t="s">
        <v>347</v>
      </c>
      <c r="E202" s="51" t="s">
        <v>73</v>
      </c>
      <c r="F202" s="51" t="s">
        <v>28</v>
      </c>
      <c r="G202" s="51" t="s">
        <v>817</v>
      </c>
      <c r="H202" s="53">
        <f t="shared" si="19"/>
        <v>30</v>
      </c>
      <c r="I202" s="17">
        <f t="shared" si="17"/>
        <v>0</v>
      </c>
      <c r="J202" s="18">
        <f t="shared" si="18"/>
        <v>1</v>
      </c>
      <c r="K202" s="27"/>
      <c r="L202" s="8"/>
      <c r="M202" s="8"/>
      <c r="N202" s="8"/>
      <c r="O202" s="27"/>
      <c r="P202" s="27"/>
      <c r="Q202" s="8"/>
      <c r="R202" s="8"/>
      <c r="S202" s="8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8"/>
      <c r="AH202" s="8"/>
      <c r="AI202" s="8"/>
      <c r="AJ202" s="27"/>
      <c r="AK202" s="8"/>
      <c r="AL202" s="8"/>
      <c r="AM202" s="27"/>
      <c r="AN202" s="27"/>
      <c r="AO202" s="27"/>
    </row>
    <row r="203" spans="1:41" ht="15" thickBot="1" x14ac:dyDescent="0.35">
      <c r="A203" s="51" t="s">
        <v>217</v>
      </c>
      <c r="B203" s="51" t="s">
        <v>349</v>
      </c>
      <c r="C203" s="51" t="s">
        <v>1193</v>
      </c>
      <c r="D203" s="51" t="s">
        <v>350</v>
      </c>
      <c r="E203" s="51" t="s">
        <v>15</v>
      </c>
      <c r="F203" s="51" t="s">
        <v>28</v>
      </c>
      <c r="G203" s="51" t="s">
        <v>818</v>
      </c>
      <c r="H203" s="53">
        <f t="shared" si="19"/>
        <v>30</v>
      </c>
      <c r="I203" s="17">
        <f t="shared" si="17"/>
        <v>0</v>
      </c>
      <c r="J203" s="18">
        <f t="shared" si="18"/>
        <v>1</v>
      </c>
      <c r="K203" s="27"/>
      <c r="L203" s="8"/>
      <c r="M203" s="8"/>
      <c r="N203" s="8"/>
      <c r="O203" s="27"/>
      <c r="P203" s="27"/>
      <c r="Q203" s="8"/>
      <c r="R203" s="8"/>
      <c r="S203" s="8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8"/>
      <c r="AH203" s="8"/>
      <c r="AI203" s="8"/>
      <c r="AJ203" s="27"/>
      <c r="AK203" s="8"/>
      <c r="AL203" s="8"/>
      <c r="AM203" s="27"/>
      <c r="AN203" s="27"/>
      <c r="AO203" s="27"/>
    </row>
    <row r="204" spans="1:41" ht="15" thickBot="1" x14ac:dyDescent="0.35">
      <c r="A204" s="51" t="s">
        <v>217</v>
      </c>
      <c r="B204" s="51" t="s">
        <v>351</v>
      </c>
      <c r="C204" s="51" t="s">
        <v>1193</v>
      </c>
      <c r="D204" s="51" t="s">
        <v>350</v>
      </c>
      <c r="E204" s="51" t="s">
        <v>73</v>
      </c>
      <c r="F204" s="51" t="s">
        <v>28</v>
      </c>
      <c r="G204" s="51" t="s">
        <v>819</v>
      </c>
      <c r="H204" s="53">
        <f t="shared" si="19"/>
        <v>30</v>
      </c>
      <c r="I204" s="17">
        <f t="shared" si="17"/>
        <v>0</v>
      </c>
      <c r="J204" s="18">
        <f t="shared" si="18"/>
        <v>1</v>
      </c>
      <c r="K204" s="27"/>
      <c r="L204" s="8"/>
      <c r="M204" s="8"/>
      <c r="N204" s="8"/>
      <c r="O204" s="27"/>
      <c r="P204" s="27"/>
      <c r="Q204" s="8"/>
      <c r="R204" s="8"/>
      <c r="S204" s="8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8"/>
      <c r="AH204" s="8"/>
      <c r="AI204" s="8"/>
      <c r="AJ204" s="27"/>
      <c r="AK204" s="8"/>
      <c r="AL204" s="8"/>
      <c r="AM204" s="27"/>
      <c r="AN204" s="27"/>
      <c r="AO204" s="27"/>
    </row>
    <row r="205" spans="1:41" ht="15" thickBot="1" x14ac:dyDescent="0.35">
      <c r="A205" s="51" t="s">
        <v>232</v>
      </c>
      <c r="B205" s="51" t="s">
        <v>1092</v>
      </c>
      <c r="C205" s="51" t="s">
        <v>1193</v>
      </c>
      <c r="D205" s="51" t="s">
        <v>352</v>
      </c>
      <c r="E205" s="51" t="s">
        <v>19</v>
      </c>
      <c r="F205" s="51" t="s">
        <v>28</v>
      </c>
      <c r="G205" s="51" t="s">
        <v>829</v>
      </c>
      <c r="H205" s="53">
        <f t="shared" si="19"/>
        <v>29</v>
      </c>
      <c r="I205" s="17">
        <f t="shared" si="17"/>
        <v>1</v>
      </c>
      <c r="J205" s="18">
        <f t="shared" si="18"/>
        <v>0.96666666666666667</v>
      </c>
      <c r="K205" s="27"/>
      <c r="L205" s="8"/>
      <c r="M205" s="8"/>
      <c r="N205" s="8"/>
      <c r="O205" s="27"/>
      <c r="P205" s="27"/>
      <c r="Q205" s="8"/>
      <c r="R205" s="8"/>
      <c r="S205" s="8"/>
      <c r="T205" s="27"/>
      <c r="U205" s="27"/>
      <c r="V205" s="27"/>
      <c r="W205" s="27"/>
      <c r="X205" s="27"/>
      <c r="Y205" s="27" t="s">
        <v>1010</v>
      </c>
      <c r="Z205" s="27"/>
      <c r="AA205" s="27"/>
      <c r="AB205" s="27"/>
      <c r="AC205" s="27"/>
      <c r="AD205" s="27"/>
      <c r="AE205" s="27"/>
      <c r="AF205" s="27"/>
      <c r="AG205" s="8"/>
      <c r="AH205" s="8"/>
      <c r="AI205" s="8"/>
      <c r="AJ205" s="27"/>
      <c r="AK205" s="8"/>
      <c r="AL205" s="8"/>
      <c r="AM205" s="27"/>
      <c r="AN205" s="27"/>
      <c r="AO205" s="27"/>
    </row>
    <row r="206" spans="1:41" ht="15" thickBot="1" x14ac:dyDescent="0.35">
      <c r="A206" s="51" t="s">
        <v>232</v>
      </c>
      <c r="B206" s="51" t="s">
        <v>353</v>
      </c>
      <c r="C206" s="51" t="s">
        <v>1193</v>
      </c>
      <c r="D206" s="51" t="s">
        <v>352</v>
      </c>
      <c r="E206" s="51" t="s">
        <v>73</v>
      </c>
      <c r="F206" s="51" t="s">
        <v>28</v>
      </c>
      <c r="G206" s="51" t="s">
        <v>820</v>
      </c>
      <c r="H206" s="53">
        <f t="shared" si="19"/>
        <v>29</v>
      </c>
      <c r="I206" s="17">
        <f t="shared" si="17"/>
        <v>1</v>
      </c>
      <c r="J206" s="18">
        <f t="shared" si="18"/>
        <v>0.96666666666666667</v>
      </c>
      <c r="K206" s="27"/>
      <c r="L206" s="8"/>
      <c r="M206" s="8"/>
      <c r="N206" s="8"/>
      <c r="O206" s="27"/>
      <c r="P206" s="27"/>
      <c r="Q206" s="8" t="s">
        <v>1010</v>
      </c>
      <c r="R206" s="8"/>
      <c r="S206" s="8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8"/>
      <c r="AH206" s="8"/>
      <c r="AI206" s="8"/>
      <c r="AJ206" s="27"/>
      <c r="AK206" s="8"/>
      <c r="AL206" s="8"/>
      <c r="AM206" s="27"/>
      <c r="AN206" s="27"/>
      <c r="AO206" s="27"/>
    </row>
    <row r="207" spans="1:41" ht="15" thickBot="1" x14ac:dyDescent="0.35">
      <c r="A207" s="51" t="s">
        <v>291</v>
      </c>
      <c r="B207" s="51" t="s">
        <v>354</v>
      </c>
      <c r="C207" s="51" t="s">
        <v>1192</v>
      </c>
      <c r="D207" s="51" t="s">
        <v>355</v>
      </c>
      <c r="E207" s="51" t="s">
        <v>73</v>
      </c>
      <c r="F207" s="51" t="s">
        <v>28</v>
      </c>
      <c r="G207" s="51" t="s">
        <v>821</v>
      </c>
      <c r="H207" s="53">
        <f t="shared" si="19"/>
        <v>30</v>
      </c>
      <c r="I207" s="17">
        <f t="shared" si="17"/>
        <v>0</v>
      </c>
      <c r="J207" s="18">
        <f t="shared" si="18"/>
        <v>1</v>
      </c>
      <c r="K207" s="27"/>
      <c r="L207" s="8"/>
      <c r="M207" s="8"/>
      <c r="N207" s="8"/>
      <c r="O207" s="27"/>
      <c r="P207" s="27"/>
      <c r="Q207" s="8"/>
      <c r="R207" s="8"/>
      <c r="S207" s="8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8"/>
      <c r="AH207" s="8"/>
      <c r="AI207" s="8"/>
      <c r="AJ207" s="27"/>
      <c r="AK207" s="8"/>
      <c r="AL207" s="8"/>
      <c r="AM207" s="27"/>
      <c r="AN207" s="27"/>
      <c r="AO207" s="27"/>
    </row>
    <row r="208" spans="1:41" ht="15" thickBot="1" x14ac:dyDescent="0.35">
      <c r="A208" s="51" t="s">
        <v>356</v>
      </c>
      <c r="B208" s="51" t="s">
        <v>357</v>
      </c>
      <c r="C208" s="51" t="s">
        <v>1193</v>
      </c>
      <c r="D208" s="51" t="s">
        <v>358</v>
      </c>
      <c r="E208" s="51" t="s">
        <v>15</v>
      </c>
      <c r="F208" s="51" t="s">
        <v>28</v>
      </c>
      <c r="G208" s="51" t="s">
        <v>823</v>
      </c>
      <c r="H208" s="53">
        <f t="shared" si="19"/>
        <v>29</v>
      </c>
      <c r="I208" s="17">
        <f t="shared" si="17"/>
        <v>1</v>
      </c>
      <c r="J208" s="18">
        <f t="shared" si="18"/>
        <v>0.96666666666666667</v>
      </c>
      <c r="K208" s="27"/>
      <c r="L208" s="8"/>
      <c r="M208" s="8"/>
      <c r="N208" s="8"/>
      <c r="O208" s="27"/>
      <c r="P208" s="27"/>
      <c r="Q208" s="8"/>
      <c r="R208" s="8" t="s">
        <v>1010</v>
      </c>
      <c r="S208" s="8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8"/>
      <c r="AH208" s="8"/>
      <c r="AI208" s="8"/>
      <c r="AJ208" s="27"/>
      <c r="AK208" s="8"/>
      <c r="AL208" s="8"/>
      <c r="AM208" s="27"/>
      <c r="AN208" s="27"/>
      <c r="AO208" s="27"/>
    </row>
    <row r="209" spans="1:41" ht="15" thickBot="1" x14ac:dyDescent="0.35">
      <c r="A209" s="51" t="s">
        <v>356</v>
      </c>
      <c r="B209" s="51" t="s">
        <v>359</v>
      </c>
      <c r="C209" s="51" t="s">
        <v>1193</v>
      </c>
      <c r="D209" s="51" t="s">
        <v>358</v>
      </c>
      <c r="E209" s="51" t="s">
        <v>73</v>
      </c>
      <c r="F209" s="51" t="s">
        <v>28</v>
      </c>
      <c r="G209" s="51" t="s">
        <v>824</v>
      </c>
      <c r="H209" s="53">
        <f t="shared" si="19"/>
        <v>29</v>
      </c>
      <c r="I209" s="17">
        <f t="shared" si="17"/>
        <v>1</v>
      </c>
      <c r="J209" s="18">
        <f t="shared" si="18"/>
        <v>0.96666666666666667</v>
      </c>
      <c r="K209" s="27"/>
      <c r="L209" s="8"/>
      <c r="M209" s="8"/>
      <c r="N209" s="8"/>
      <c r="O209" s="27"/>
      <c r="P209" s="27"/>
      <c r="Q209" s="8"/>
      <c r="R209" s="8" t="s">
        <v>1010</v>
      </c>
      <c r="S209" s="8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8"/>
      <c r="AH209" s="8"/>
      <c r="AI209" s="8"/>
      <c r="AJ209" s="27"/>
      <c r="AK209" s="8"/>
      <c r="AL209" s="8"/>
      <c r="AM209" s="27"/>
      <c r="AN209" s="27"/>
      <c r="AO209" s="27"/>
    </row>
    <row r="210" spans="1:41" ht="15" thickBot="1" x14ac:dyDescent="0.35">
      <c r="A210" s="51" t="s">
        <v>360</v>
      </c>
      <c r="B210" s="51" t="s">
        <v>1093</v>
      </c>
      <c r="C210" s="51" t="s">
        <v>1193</v>
      </c>
      <c r="D210" s="51" t="s">
        <v>361</v>
      </c>
      <c r="E210" s="51" t="s">
        <v>15</v>
      </c>
      <c r="F210" s="51" t="s">
        <v>28</v>
      </c>
      <c r="G210" s="51" t="s">
        <v>830</v>
      </c>
      <c r="H210" s="53">
        <f t="shared" si="19"/>
        <v>15</v>
      </c>
      <c r="I210" s="17">
        <f t="shared" si="17"/>
        <v>15</v>
      </c>
      <c r="J210" s="18">
        <f t="shared" si="18"/>
        <v>0.5</v>
      </c>
      <c r="K210" s="27" t="s">
        <v>1010</v>
      </c>
      <c r="L210" s="8" t="s">
        <v>1010</v>
      </c>
      <c r="M210" s="8" t="s">
        <v>1010</v>
      </c>
      <c r="N210" s="8" t="s">
        <v>1010</v>
      </c>
      <c r="O210" s="27" t="s">
        <v>1010</v>
      </c>
      <c r="P210" s="27" t="s">
        <v>1010</v>
      </c>
      <c r="Q210" s="8" t="s">
        <v>1010</v>
      </c>
      <c r="R210" s="8" t="s">
        <v>1010</v>
      </c>
      <c r="S210" s="8" t="s">
        <v>1010</v>
      </c>
      <c r="T210" s="27" t="s">
        <v>1010</v>
      </c>
      <c r="U210" s="27" t="s">
        <v>1010</v>
      </c>
      <c r="V210" s="27" t="s">
        <v>1010</v>
      </c>
      <c r="W210" s="27" t="s">
        <v>1010</v>
      </c>
      <c r="X210" s="27" t="s">
        <v>1010</v>
      </c>
      <c r="Y210" s="27" t="s">
        <v>1010</v>
      </c>
      <c r="Z210" s="27"/>
      <c r="AA210" s="27"/>
      <c r="AB210" s="27"/>
      <c r="AC210" s="27"/>
      <c r="AD210" s="27"/>
      <c r="AE210" s="27"/>
      <c r="AF210" s="27"/>
      <c r="AG210" s="8"/>
      <c r="AH210" s="8"/>
      <c r="AI210" s="8"/>
      <c r="AJ210" s="27"/>
      <c r="AK210" s="8"/>
      <c r="AL210" s="8"/>
      <c r="AM210" s="27"/>
      <c r="AN210" s="27"/>
      <c r="AO210" s="27"/>
    </row>
    <row r="211" spans="1:41" ht="15" thickBot="1" x14ac:dyDescent="0.35">
      <c r="A211" s="51" t="s">
        <v>199</v>
      </c>
      <c r="B211" s="51" t="s">
        <v>362</v>
      </c>
      <c r="C211" s="51" t="s">
        <v>1193</v>
      </c>
      <c r="D211" s="51" t="s">
        <v>363</v>
      </c>
      <c r="E211" s="51" t="s">
        <v>15</v>
      </c>
      <c r="F211" s="51" t="s">
        <v>1185</v>
      </c>
      <c r="G211" s="51" t="s">
        <v>825</v>
      </c>
      <c r="H211" s="53">
        <f t="shared" si="19"/>
        <v>30</v>
      </c>
      <c r="I211" s="17">
        <f t="shared" si="17"/>
        <v>0</v>
      </c>
      <c r="J211" s="18">
        <f t="shared" si="18"/>
        <v>1</v>
      </c>
      <c r="K211" s="27"/>
      <c r="L211" s="8"/>
      <c r="M211" s="8"/>
      <c r="N211" s="8"/>
      <c r="O211" s="27"/>
      <c r="P211" s="27"/>
      <c r="Q211" s="8"/>
      <c r="R211" s="8"/>
      <c r="S211" s="8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8"/>
      <c r="AH211" s="8"/>
      <c r="AI211" s="8"/>
      <c r="AJ211" s="27"/>
      <c r="AK211" s="8"/>
      <c r="AL211" s="8"/>
      <c r="AM211" s="27"/>
      <c r="AN211" s="27"/>
      <c r="AO211" s="27"/>
    </row>
    <row r="212" spans="1:41" ht="15" thickBot="1" x14ac:dyDescent="0.35">
      <c r="A212" s="51" t="s">
        <v>199</v>
      </c>
      <c r="B212" s="51" t="s">
        <v>364</v>
      </c>
      <c r="C212" s="51" t="s">
        <v>1193</v>
      </c>
      <c r="D212" s="51" t="s">
        <v>363</v>
      </c>
      <c r="E212" s="51" t="s">
        <v>73</v>
      </c>
      <c r="F212" s="51" t="s">
        <v>1185</v>
      </c>
      <c r="G212" s="51" t="s">
        <v>826</v>
      </c>
      <c r="H212" s="53">
        <f t="shared" si="19"/>
        <v>30</v>
      </c>
      <c r="I212" s="17">
        <f t="shared" si="17"/>
        <v>0</v>
      </c>
      <c r="J212" s="18">
        <f t="shared" si="18"/>
        <v>1</v>
      </c>
      <c r="K212" s="27"/>
      <c r="L212" s="8"/>
      <c r="M212" s="8"/>
      <c r="N212" s="8"/>
      <c r="O212" s="27"/>
      <c r="P212" s="27"/>
      <c r="Q212" s="8"/>
      <c r="R212" s="8"/>
      <c r="S212" s="8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8"/>
      <c r="AH212" s="8"/>
      <c r="AI212" s="8"/>
      <c r="AJ212" s="27"/>
      <c r="AK212" s="8"/>
      <c r="AL212" s="8"/>
      <c r="AM212" s="27"/>
      <c r="AN212" s="27"/>
      <c r="AO212" s="27"/>
    </row>
    <row r="213" spans="1:41" ht="15" thickBot="1" x14ac:dyDescent="0.35">
      <c r="A213" s="51" t="s">
        <v>365</v>
      </c>
      <c r="B213" s="51" t="s">
        <v>366</v>
      </c>
      <c r="C213" s="51" t="s">
        <v>1193</v>
      </c>
      <c r="D213" s="51" t="s">
        <v>1094</v>
      </c>
      <c r="E213" s="51" t="s">
        <v>15</v>
      </c>
      <c r="F213" s="51" t="s">
        <v>28</v>
      </c>
      <c r="G213" s="51" t="s">
        <v>831</v>
      </c>
      <c r="H213" s="53">
        <f t="shared" si="19"/>
        <v>18</v>
      </c>
      <c r="I213" s="17">
        <f t="shared" si="17"/>
        <v>12</v>
      </c>
      <c r="J213" s="18">
        <f t="shared" si="18"/>
        <v>0.6</v>
      </c>
      <c r="K213" s="27"/>
      <c r="L213" s="8"/>
      <c r="M213" s="8"/>
      <c r="N213" s="8" t="s">
        <v>1010</v>
      </c>
      <c r="O213" s="27" t="s">
        <v>1010</v>
      </c>
      <c r="P213" s="27" t="s">
        <v>1010</v>
      </c>
      <c r="Q213" s="8" t="s">
        <v>1010</v>
      </c>
      <c r="R213" s="8" t="s">
        <v>1010</v>
      </c>
      <c r="S213" s="8" t="s">
        <v>1010</v>
      </c>
      <c r="T213" s="27" t="s">
        <v>1010</v>
      </c>
      <c r="U213" s="27" t="s">
        <v>1010</v>
      </c>
      <c r="V213" s="27" t="s">
        <v>1010</v>
      </c>
      <c r="W213" s="27" t="s">
        <v>1010</v>
      </c>
      <c r="X213" s="27" t="s">
        <v>1010</v>
      </c>
      <c r="Y213" s="27" t="s">
        <v>1010</v>
      </c>
      <c r="Z213" s="27"/>
      <c r="AA213" s="27"/>
      <c r="AB213" s="27"/>
      <c r="AC213" s="27"/>
      <c r="AD213" s="27"/>
      <c r="AE213" s="27"/>
      <c r="AF213" s="27"/>
      <c r="AG213" s="8"/>
      <c r="AH213" s="8"/>
      <c r="AI213" s="8"/>
      <c r="AJ213" s="27"/>
      <c r="AK213" s="8"/>
      <c r="AL213" s="8"/>
      <c r="AM213" s="27"/>
      <c r="AN213" s="27"/>
      <c r="AO213" s="27"/>
    </row>
    <row r="214" spans="1:41" ht="15" thickBot="1" x14ac:dyDescent="0.35">
      <c r="A214" s="51" t="s">
        <v>365</v>
      </c>
      <c r="B214" s="51" t="s">
        <v>367</v>
      </c>
      <c r="C214" s="51" t="s">
        <v>1193</v>
      </c>
      <c r="D214" s="51" t="s">
        <v>1094</v>
      </c>
      <c r="E214" s="51" t="s">
        <v>73</v>
      </c>
      <c r="F214" s="51" t="s">
        <v>28</v>
      </c>
      <c r="G214" s="51" t="s">
        <v>832</v>
      </c>
      <c r="H214" s="53">
        <f t="shared" si="19"/>
        <v>18</v>
      </c>
      <c r="I214" s="17">
        <f t="shared" si="17"/>
        <v>12</v>
      </c>
      <c r="J214" s="18">
        <f t="shared" si="18"/>
        <v>0.6</v>
      </c>
      <c r="K214" s="27"/>
      <c r="L214" s="8"/>
      <c r="M214" s="8"/>
      <c r="N214" s="8" t="s">
        <v>1010</v>
      </c>
      <c r="O214" s="27" t="s">
        <v>1010</v>
      </c>
      <c r="P214" s="27" t="s">
        <v>1010</v>
      </c>
      <c r="Q214" s="8" t="s">
        <v>1010</v>
      </c>
      <c r="R214" s="8" t="s">
        <v>1010</v>
      </c>
      <c r="S214" s="8" t="s">
        <v>1010</v>
      </c>
      <c r="T214" s="27" t="s">
        <v>1010</v>
      </c>
      <c r="U214" s="27" t="s">
        <v>1010</v>
      </c>
      <c r="V214" s="27" t="s">
        <v>1010</v>
      </c>
      <c r="W214" s="27" t="s">
        <v>1010</v>
      </c>
      <c r="X214" s="27" t="s">
        <v>1010</v>
      </c>
      <c r="Y214" s="27" t="s">
        <v>1010</v>
      </c>
      <c r="Z214" s="27"/>
      <c r="AA214" s="27"/>
      <c r="AB214" s="27"/>
      <c r="AC214" s="27"/>
      <c r="AD214" s="27"/>
      <c r="AE214" s="27"/>
      <c r="AF214" s="27"/>
      <c r="AG214" s="8"/>
      <c r="AH214" s="8"/>
      <c r="AI214" s="8"/>
      <c r="AJ214" s="27"/>
      <c r="AK214" s="8"/>
      <c r="AL214" s="8"/>
      <c r="AM214" s="27"/>
      <c r="AN214" s="27"/>
      <c r="AO214" s="27"/>
    </row>
    <row r="215" spans="1:41" ht="15" thickBot="1" x14ac:dyDescent="0.35">
      <c r="A215" s="51" t="s">
        <v>356</v>
      </c>
      <c r="B215" s="51" t="s">
        <v>368</v>
      </c>
      <c r="C215" s="51" t="s">
        <v>1193</v>
      </c>
      <c r="D215" s="51" t="s">
        <v>369</v>
      </c>
      <c r="E215" s="51" t="s">
        <v>15</v>
      </c>
      <c r="F215" s="51" t="s">
        <v>28</v>
      </c>
      <c r="G215" s="51" t="s">
        <v>828</v>
      </c>
      <c r="H215" s="53">
        <f t="shared" si="19"/>
        <v>15</v>
      </c>
      <c r="I215" s="17">
        <f t="shared" si="17"/>
        <v>15</v>
      </c>
      <c r="J215" s="18">
        <f t="shared" si="18"/>
        <v>0.5</v>
      </c>
      <c r="K215" s="27" t="s">
        <v>1010</v>
      </c>
      <c r="L215" s="8" t="s">
        <v>1010</v>
      </c>
      <c r="M215" s="8" t="s">
        <v>1010</v>
      </c>
      <c r="N215" s="8" t="s">
        <v>1010</v>
      </c>
      <c r="O215" s="27" t="s">
        <v>1010</v>
      </c>
      <c r="P215" s="27" t="s">
        <v>1010</v>
      </c>
      <c r="Q215" s="8" t="s">
        <v>1010</v>
      </c>
      <c r="R215" s="8" t="s">
        <v>1010</v>
      </c>
      <c r="S215" s="8" t="s">
        <v>1010</v>
      </c>
      <c r="T215" s="27" t="s">
        <v>1010</v>
      </c>
      <c r="U215" s="27" t="s">
        <v>1010</v>
      </c>
      <c r="V215" s="27" t="s">
        <v>1010</v>
      </c>
      <c r="W215" s="27" t="s">
        <v>1010</v>
      </c>
      <c r="X215" s="27" t="s">
        <v>1010</v>
      </c>
      <c r="Y215" s="27" t="s">
        <v>1010</v>
      </c>
      <c r="Z215" s="27"/>
      <c r="AA215" s="27"/>
      <c r="AB215" s="27"/>
      <c r="AC215" s="27"/>
      <c r="AD215" s="27"/>
      <c r="AE215" s="27"/>
      <c r="AF215" s="27"/>
      <c r="AG215" s="8"/>
      <c r="AH215" s="8"/>
      <c r="AI215" s="8"/>
      <c r="AJ215" s="27"/>
      <c r="AK215" s="8"/>
      <c r="AL215" s="8"/>
      <c r="AM215" s="27"/>
      <c r="AN215" s="27"/>
      <c r="AO215" s="27"/>
    </row>
    <row r="216" spans="1:41" ht="15" thickBot="1" x14ac:dyDescent="0.35">
      <c r="A216" s="51" t="s">
        <v>356</v>
      </c>
      <c r="B216" s="51" t="s">
        <v>370</v>
      </c>
      <c r="C216" s="51" t="s">
        <v>1193</v>
      </c>
      <c r="D216" s="51" t="s">
        <v>369</v>
      </c>
      <c r="E216" s="51" t="s">
        <v>73</v>
      </c>
      <c r="F216" s="51" t="s">
        <v>28</v>
      </c>
      <c r="G216" s="51" t="s">
        <v>827</v>
      </c>
      <c r="H216" s="53">
        <f t="shared" si="19"/>
        <v>15</v>
      </c>
      <c r="I216" s="17">
        <f t="shared" si="17"/>
        <v>15</v>
      </c>
      <c r="J216" s="18">
        <f t="shared" si="18"/>
        <v>0.5</v>
      </c>
      <c r="K216" s="27" t="s">
        <v>1010</v>
      </c>
      <c r="L216" s="8" t="s">
        <v>1010</v>
      </c>
      <c r="M216" s="8" t="s">
        <v>1010</v>
      </c>
      <c r="N216" s="8" t="s">
        <v>1010</v>
      </c>
      <c r="O216" s="27" t="s">
        <v>1010</v>
      </c>
      <c r="P216" s="27" t="s">
        <v>1010</v>
      </c>
      <c r="Q216" s="8" t="s">
        <v>1010</v>
      </c>
      <c r="R216" s="8" t="s">
        <v>1010</v>
      </c>
      <c r="S216" s="8" t="s">
        <v>1010</v>
      </c>
      <c r="T216" s="27" t="s">
        <v>1010</v>
      </c>
      <c r="U216" s="27" t="s">
        <v>1010</v>
      </c>
      <c r="V216" s="27" t="s">
        <v>1010</v>
      </c>
      <c r="W216" s="27" t="s">
        <v>1010</v>
      </c>
      <c r="X216" s="27" t="s">
        <v>1010</v>
      </c>
      <c r="Y216" s="27" t="s">
        <v>1010</v>
      </c>
      <c r="Z216" s="27"/>
      <c r="AA216" s="27"/>
      <c r="AB216" s="27"/>
      <c r="AC216" s="27"/>
      <c r="AD216" s="27"/>
      <c r="AE216" s="27"/>
      <c r="AF216" s="27"/>
      <c r="AG216" s="8"/>
      <c r="AH216" s="8"/>
      <c r="AI216" s="8"/>
      <c r="AJ216" s="27"/>
      <c r="AK216" s="8"/>
      <c r="AL216" s="8"/>
      <c r="AM216" s="27"/>
      <c r="AN216" s="27"/>
      <c r="AO216" s="27"/>
    </row>
    <row r="217" spans="1:41" ht="15" thickBot="1" x14ac:dyDescent="0.35">
      <c r="A217" s="51" t="s">
        <v>187</v>
      </c>
      <c r="B217" s="51" t="s">
        <v>1095</v>
      </c>
      <c r="C217" s="51" t="s">
        <v>1192</v>
      </c>
      <c r="D217" s="51" t="s">
        <v>1096</v>
      </c>
      <c r="E217" s="51" t="s">
        <v>73</v>
      </c>
      <c r="F217" s="51" t="s">
        <v>28</v>
      </c>
      <c r="G217" s="51"/>
      <c r="H217" s="53">
        <f t="shared" si="19"/>
        <v>18</v>
      </c>
      <c r="I217" s="17">
        <f t="shared" si="17"/>
        <v>12</v>
      </c>
      <c r="J217" s="18">
        <f t="shared" si="18"/>
        <v>0.6</v>
      </c>
      <c r="K217" s="27"/>
      <c r="L217" s="8" t="s">
        <v>1010</v>
      </c>
      <c r="M217" s="8"/>
      <c r="N217" s="8" t="s">
        <v>1010</v>
      </c>
      <c r="O217" s="27" t="s">
        <v>1010</v>
      </c>
      <c r="P217" s="27" t="s">
        <v>1010</v>
      </c>
      <c r="Q217" s="8" t="s">
        <v>1010</v>
      </c>
      <c r="R217" s="8" t="s">
        <v>1010</v>
      </c>
      <c r="S217" s="8" t="s">
        <v>1010</v>
      </c>
      <c r="T217" s="27" t="s">
        <v>1010</v>
      </c>
      <c r="U217" s="27" t="s">
        <v>1010</v>
      </c>
      <c r="V217" s="27" t="s">
        <v>1010</v>
      </c>
      <c r="W217" s="27"/>
      <c r="X217" s="27" t="s">
        <v>1010</v>
      </c>
      <c r="Y217" s="27" t="s">
        <v>1010</v>
      </c>
      <c r="Z217" s="27"/>
      <c r="AA217" s="27"/>
      <c r="AB217" s="27"/>
      <c r="AC217" s="27"/>
      <c r="AD217" s="27"/>
      <c r="AE217" s="27"/>
      <c r="AF217" s="27"/>
      <c r="AG217" s="8"/>
      <c r="AH217" s="8"/>
      <c r="AI217" s="8"/>
      <c r="AJ217" s="27"/>
      <c r="AK217" s="8"/>
      <c r="AL217" s="8"/>
      <c r="AM217" s="27"/>
      <c r="AN217" s="27"/>
      <c r="AO217" s="27"/>
    </row>
    <row r="218" spans="1:41" ht="15" thickBot="1" x14ac:dyDescent="0.35">
      <c r="A218" s="51" t="s">
        <v>189</v>
      </c>
      <c r="B218" s="51" t="s">
        <v>1097</v>
      </c>
      <c r="C218" s="51" t="s">
        <v>1193</v>
      </c>
      <c r="D218" s="51" t="s">
        <v>1098</v>
      </c>
      <c r="E218" s="51" t="s">
        <v>73</v>
      </c>
      <c r="F218" s="51" t="s">
        <v>28</v>
      </c>
      <c r="G218" s="51"/>
      <c r="H218" s="53">
        <f t="shared" si="19"/>
        <v>30</v>
      </c>
      <c r="I218" s="17">
        <f t="shared" si="17"/>
        <v>0</v>
      </c>
      <c r="J218" s="18">
        <f t="shared" si="18"/>
        <v>1</v>
      </c>
      <c r="K218" s="27"/>
      <c r="L218" s="8"/>
      <c r="M218" s="8"/>
      <c r="N218" s="8"/>
      <c r="O218" s="27"/>
      <c r="P218" s="27"/>
      <c r="Q218" s="8"/>
      <c r="R218" s="8"/>
      <c r="S218" s="8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8"/>
      <c r="AH218" s="8"/>
      <c r="AI218" s="8"/>
      <c r="AJ218" s="27"/>
      <c r="AK218" s="8"/>
      <c r="AL218" s="8"/>
      <c r="AM218" s="27"/>
      <c r="AN218" s="27"/>
      <c r="AO218" s="27"/>
    </row>
    <row r="219" spans="1:41" ht="15" thickBot="1" x14ac:dyDescent="0.35">
      <c r="A219" s="51" t="s">
        <v>217</v>
      </c>
      <c r="B219" s="51" t="s">
        <v>1099</v>
      </c>
      <c r="C219" s="51" t="s">
        <v>1193</v>
      </c>
      <c r="D219" s="51" t="s">
        <v>1100</v>
      </c>
      <c r="E219" s="51" t="s">
        <v>19</v>
      </c>
      <c r="F219" s="51" t="s">
        <v>28</v>
      </c>
      <c r="G219" s="51"/>
      <c r="H219" s="53">
        <f t="shared" si="19"/>
        <v>30</v>
      </c>
      <c r="I219" s="17">
        <f t="shared" si="17"/>
        <v>0</v>
      </c>
      <c r="J219" s="18">
        <f t="shared" si="18"/>
        <v>1</v>
      </c>
      <c r="K219" s="27"/>
      <c r="L219" s="8"/>
      <c r="M219" s="8"/>
      <c r="N219" s="8"/>
      <c r="O219" s="27"/>
      <c r="P219" s="27"/>
      <c r="Q219" s="8"/>
      <c r="R219" s="8"/>
      <c r="S219" s="8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8"/>
      <c r="AH219" s="8"/>
      <c r="AI219" s="8"/>
      <c r="AJ219" s="27"/>
      <c r="AK219" s="8"/>
      <c r="AL219" s="8"/>
      <c r="AM219" s="27"/>
      <c r="AN219" s="27"/>
      <c r="AO219" s="27"/>
    </row>
    <row r="220" spans="1:41" ht="15" thickBot="1" x14ac:dyDescent="0.35">
      <c r="A220" s="51" t="s">
        <v>291</v>
      </c>
      <c r="B220" s="51" t="s">
        <v>371</v>
      </c>
      <c r="C220" s="51" t="s">
        <v>1193</v>
      </c>
      <c r="D220" s="51" t="s">
        <v>355</v>
      </c>
      <c r="E220" s="51" t="s">
        <v>15</v>
      </c>
      <c r="F220" s="51" t="s">
        <v>28</v>
      </c>
      <c r="G220" s="51" t="s">
        <v>822</v>
      </c>
      <c r="H220" s="53">
        <f t="shared" si="19"/>
        <v>30</v>
      </c>
      <c r="I220" s="17">
        <f t="shared" si="17"/>
        <v>0</v>
      </c>
      <c r="J220" s="18">
        <f t="shared" si="18"/>
        <v>1</v>
      </c>
      <c r="K220" s="27"/>
      <c r="L220" s="8"/>
      <c r="M220" s="8"/>
      <c r="N220" s="8"/>
      <c r="O220" s="27"/>
      <c r="P220" s="27"/>
      <c r="Q220" s="8"/>
      <c r="R220" s="8"/>
      <c r="S220" s="8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8"/>
      <c r="AH220" s="8"/>
      <c r="AI220" s="8"/>
      <c r="AJ220" s="27"/>
      <c r="AK220" s="8"/>
      <c r="AL220" s="8"/>
      <c r="AM220" s="27"/>
      <c r="AN220" s="27"/>
      <c r="AO220" s="27"/>
    </row>
    <row r="221" spans="1:41" ht="15" thickBot="1" x14ac:dyDescent="0.35">
      <c r="A221" s="51" t="s">
        <v>291</v>
      </c>
      <c r="B221" s="51" t="s">
        <v>1101</v>
      </c>
      <c r="C221" s="51" t="s">
        <v>1193</v>
      </c>
      <c r="D221" s="51" t="s">
        <v>1102</v>
      </c>
      <c r="E221" s="51" t="s">
        <v>73</v>
      </c>
      <c r="F221" s="51" t="s">
        <v>28</v>
      </c>
      <c r="G221" s="51"/>
      <c r="H221" s="53">
        <f t="shared" si="19"/>
        <v>30</v>
      </c>
      <c r="I221" s="17">
        <f t="shared" si="17"/>
        <v>0</v>
      </c>
      <c r="J221" s="18">
        <f t="shared" si="18"/>
        <v>1</v>
      </c>
      <c r="K221" s="27"/>
      <c r="L221" s="8"/>
      <c r="M221" s="8"/>
      <c r="N221" s="8"/>
      <c r="O221" s="27"/>
      <c r="P221" s="27"/>
      <c r="Q221" s="8"/>
      <c r="R221" s="8"/>
      <c r="S221" s="8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8"/>
      <c r="AH221" s="8"/>
      <c r="AI221" s="8"/>
      <c r="AJ221" s="27"/>
      <c r="AK221" s="8"/>
      <c r="AL221" s="8"/>
      <c r="AM221" s="27"/>
      <c r="AN221" s="27"/>
      <c r="AO221" s="27"/>
    </row>
    <row r="222" spans="1:41" ht="15" thickBot="1" x14ac:dyDescent="0.35">
      <c r="A222" s="51" t="s">
        <v>356</v>
      </c>
      <c r="B222" s="51" t="s">
        <v>1103</v>
      </c>
      <c r="C222" s="51" t="s">
        <v>1193</v>
      </c>
      <c r="D222" s="51" t="s">
        <v>358</v>
      </c>
      <c r="E222" s="51" t="s">
        <v>19</v>
      </c>
      <c r="F222" s="51" t="s">
        <v>28</v>
      </c>
      <c r="G222" s="51"/>
      <c r="H222" s="53">
        <f t="shared" si="19"/>
        <v>29</v>
      </c>
      <c r="I222" s="17">
        <f t="shared" si="17"/>
        <v>1</v>
      </c>
      <c r="J222" s="18">
        <f t="shared" si="18"/>
        <v>0.96666666666666667</v>
      </c>
      <c r="K222" s="27"/>
      <c r="L222" s="8"/>
      <c r="M222" s="8"/>
      <c r="N222" s="8"/>
      <c r="O222" s="27"/>
      <c r="P222" s="27"/>
      <c r="Q222" s="8"/>
      <c r="R222" s="8" t="s">
        <v>1010</v>
      </c>
      <c r="S222" s="8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8"/>
      <c r="AH222" s="8"/>
      <c r="AI222" s="8"/>
      <c r="AJ222" s="27"/>
      <c r="AK222" s="8"/>
      <c r="AL222" s="8"/>
      <c r="AM222" s="27"/>
      <c r="AN222" s="27"/>
      <c r="AO222" s="27"/>
    </row>
    <row r="223" spans="1:41" ht="15" thickBot="1" x14ac:dyDescent="0.35">
      <c r="A223" s="51" t="s">
        <v>199</v>
      </c>
      <c r="B223" s="51" t="s">
        <v>1104</v>
      </c>
      <c r="C223" s="51" t="s">
        <v>1193</v>
      </c>
      <c r="D223" s="51" t="s">
        <v>1105</v>
      </c>
      <c r="E223" s="51" t="s">
        <v>73</v>
      </c>
      <c r="F223" s="51" t="s">
        <v>28</v>
      </c>
      <c r="G223" s="51"/>
      <c r="H223" s="53">
        <f t="shared" si="19"/>
        <v>30</v>
      </c>
      <c r="I223" s="17">
        <f t="shared" si="17"/>
        <v>0</v>
      </c>
      <c r="J223" s="18">
        <f t="shared" si="18"/>
        <v>1</v>
      </c>
      <c r="K223" s="27"/>
      <c r="L223" s="8"/>
      <c r="M223" s="8"/>
      <c r="N223" s="8"/>
      <c r="O223" s="27"/>
      <c r="P223" s="27"/>
      <c r="Q223" s="8"/>
      <c r="R223" s="8"/>
      <c r="S223" s="8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8"/>
      <c r="AH223" s="8"/>
      <c r="AI223" s="8"/>
      <c r="AJ223" s="27"/>
      <c r="AK223" s="8"/>
      <c r="AL223" s="8"/>
      <c r="AM223" s="27"/>
      <c r="AN223" s="27"/>
      <c r="AO223" s="27"/>
    </row>
    <row r="224" spans="1:41" ht="15" thickBot="1" x14ac:dyDescent="0.35">
      <c r="A224" s="51" t="s">
        <v>365</v>
      </c>
      <c r="B224" s="51" t="s">
        <v>1106</v>
      </c>
      <c r="C224" s="51" t="s">
        <v>1193</v>
      </c>
      <c r="D224" s="51" t="s">
        <v>1107</v>
      </c>
      <c r="E224" s="51" t="s">
        <v>19</v>
      </c>
      <c r="F224" s="51" t="s">
        <v>28</v>
      </c>
      <c r="G224" s="51"/>
      <c r="H224" s="53">
        <f t="shared" si="19"/>
        <v>20</v>
      </c>
      <c r="I224" s="17">
        <f t="shared" si="17"/>
        <v>10</v>
      </c>
      <c r="J224" s="18">
        <f t="shared" si="18"/>
        <v>0.66666666666666663</v>
      </c>
      <c r="K224" s="27"/>
      <c r="L224" s="8"/>
      <c r="M224" s="8"/>
      <c r="N224" s="8" t="s">
        <v>1010</v>
      </c>
      <c r="O224" s="27" t="s">
        <v>1010</v>
      </c>
      <c r="P224" s="27" t="s">
        <v>1010</v>
      </c>
      <c r="Q224" s="8" t="s">
        <v>1010</v>
      </c>
      <c r="R224" s="8" t="s">
        <v>1010</v>
      </c>
      <c r="S224" s="8" t="s">
        <v>1010</v>
      </c>
      <c r="T224" s="27"/>
      <c r="U224" s="27"/>
      <c r="V224" s="27" t="s">
        <v>1010</v>
      </c>
      <c r="W224" s="27" t="s">
        <v>1010</v>
      </c>
      <c r="X224" s="27" t="s">
        <v>1010</v>
      </c>
      <c r="Y224" s="27" t="s">
        <v>1010</v>
      </c>
      <c r="Z224" s="27"/>
      <c r="AA224" s="27"/>
      <c r="AB224" s="27"/>
      <c r="AC224" s="27"/>
      <c r="AD224" s="27"/>
      <c r="AE224" s="27"/>
      <c r="AF224" s="27"/>
      <c r="AG224" s="8"/>
      <c r="AH224" s="8"/>
      <c r="AI224" s="8"/>
      <c r="AJ224" s="27"/>
      <c r="AK224" s="8"/>
      <c r="AL224" s="8"/>
      <c r="AM224" s="27"/>
      <c r="AN224" s="27"/>
      <c r="AO224" s="27"/>
    </row>
    <row r="225" spans="1:41" ht="15" thickBot="1" x14ac:dyDescent="0.35">
      <c r="A225" s="51" t="s">
        <v>356</v>
      </c>
      <c r="B225" s="51" t="s">
        <v>1108</v>
      </c>
      <c r="C225" s="51" t="s">
        <v>1193</v>
      </c>
      <c r="D225" s="51" t="s">
        <v>1109</v>
      </c>
      <c r="E225" s="51" t="s">
        <v>73</v>
      </c>
      <c r="F225" s="51" t="s">
        <v>28</v>
      </c>
      <c r="G225" s="51"/>
      <c r="H225" s="53">
        <f t="shared" si="19"/>
        <v>28</v>
      </c>
      <c r="I225" s="17">
        <f t="shared" si="17"/>
        <v>2</v>
      </c>
      <c r="J225" s="18">
        <f t="shared" si="18"/>
        <v>0.93333333333333335</v>
      </c>
      <c r="K225" s="27" t="s">
        <v>1010</v>
      </c>
      <c r="L225" s="8"/>
      <c r="M225" s="8" t="s">
        <v>1010</v>
      </c>
      <c r="N225" s="8"/>
      <c r="O225" s="27"/>
      <c r="P225" s="27"/>
      <c r="Q225" s="8"/>
      <c r="R225" s="8"/>
      <c r="S225" s="8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8"/>
      <c r="AH225" s="8"/>
      <c r="AI225" s="8"/>
      <c r="AJ225" s="27"/>
      <c r="AK225" s="8"/>
      <c r="AL225" s="8"/>
      <c r="AM225" s="27"/>
      <c r="AN225" s="27"/>
      <c r="AO225" s="27"/>
    </row>
    <row r="226" spans="1:41" ht="15" thickBot="1" x14ac:dyDescent="0.35">
      <c r="A226" s="51" t="s">
        <v>232</v>
      </c>
      <c r="B226" s="51" t="s">
        <v>1110</v>
      </c>
      <c r="C226" s="51" t="s">
        <v>1193</v>
      </c>
      <c r="D226" s="51" t="s">
        <v>1111</v>
      </c>
      <c r="E226" s="51" t="s">
        <v>73</v>
      </c>
      <c r="F226" s="51" t="s">
        <v>28</v>
      </c>
      <c r="G226" s="51"/>
      <c r="H226" s="53">
        <f t="shared" si="19"/>
        <v>30</v>
      </c>
      <c r="I226" s="17">
        <f t="shared" si="17"/>
        <v>0</v>
      </c>
      <c r="J226" s="18">
        <f t="shared" si="18"/>
        <v>1</v>
      </c>
      <c r="K226" s="27"/>
      <c r="L226" s="8"/>
      <c r="M226" s="8"/>
      <c r="N226" s="8"/>
      <c r="O226" s="27"/>
      <c r="P226" s="27"/>
      <c r="Q226" s="8"/>
      <c r="R226" s="8"/>
      <c r="S226" s="8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8"/>
      <c r="AH226" s="8"/>
      <c r="AI226" s="8"/>
      <c r="AJ226" s="27"/>
      <c r="AK226" s="8"/>
      <c r="AL226" s="8"/>
      <c r="AM226" s="27"/>
      <c r="AN226" s="27"/>
      <c r="AO226" s="27"/>
    </row>
    <row r="227" spans="1:41" ht="15" thickBot="1" x14ac:dyDescent="0.35">
      <c r="A227" s="51" t="s">
        <v>372</v>
      </c>
      <c r="B227" s="51" t="s">
        <v>373</v>
      </c>
      <c r="C227" s="51" t="s">
        <v>1193</v>
      </c>
      <c r="D227" s="51" t="s">
        <v>374</v>
      </c>
      <c r="E227" s="51" t="s">
        <v>15</v>
      </c>
      <c r="F227" s="51" t="s">
        <v>28</v>
      </c>
      <c r="G227" s="51" t="s">
        <v>833</v>
      </c>
      <c r="H227" s="53">
        <f t="shared" si="19"/>
        <v>29</v>
      </c>
      <c r="I227" s="17">
        <f t="shared" si="17"/>
        <v>1</v>
      </c>
      <c r="J227" s="18">
        <f t="shared" si="18"/>
        <v>0.96666666666666667</v>
      </c>
      <c r="K227" s="27"/>
      <c r="L227" s="8"/>
      <c r="M227" s="8"/>
      <c r="N227" s="8"/>
      <c r="O227" s="27"/>
      <c r="P227" s="27"/>
      <c r="Q227" s="8" t="s">
        <v>1010</v>
      </c>
      <c r="R227" s="8"/>
      <c r="S227" s="8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8"/>
      <c r="AH227" s="8"/>
      <c r="AI227" s="8"/>
      <c r="AJ227" s="27"/>
      <c r="AK227" s="8"/>
      <c r="AL227" s="8"/>
      <c r="AM227" s="27"/>
      <c r="AN227" s="27"/>
      <c r="AO227" s="27"/>
    </row>
    <row r="228" spans="1:41" ht="15" thickBot="1" x14ac:dyDescent="0.35">
      <c r="A228" s="51" t="s">
        <v>372</v>
      </c>
      <c r="B228" s="51" t="s">
        <v>1112</v>
      </c>
      <c r="C228" s="51" t="s">
        <v>1193</v>
      </c>
      <c r="D228" s="51" t="s">
        <v>375</v>
      </c>
      <c r="E228" s="51" t="s">
        <v>15</v>
      </c>
      <c r="F228" s="51" t="s">
        <v>28</v>
      </c>
      <c r="G228" s="51" t="s">
        <v>834</v>
      </c>
      <c r="H228" s="53">
        <f t="shared" si="19"/>
        <v>29</v>
      </c>
      <c r="I228" s="17">
        <f t="shared" si="17"/>
        <v>1</v>
      </c>
      <c r="J228" s="18">
        <f t="shared" si="18"/>
        <v>0.96666666666666667</v>
      </c>
      <c r="K228" s="27"/>
      <c r="L228" s="8"/>
      <c r="M228" s="8"/>
      <c r="N228" s="8"/>
      <c r="O228" s="27"/>
      <c r="P228" s="27"/>
      <c r="Q228" s="8" t="s">
        <v>1010</v>
      </c>
      <c r="R228" s="8"/>
      <c r="S228" s="8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8"/>
      <c r="AH228" s="8"/>
      <c r="AI228" s="8"/>
      <c r="AJ228" s="27"/>
      <c r="AK228" s="8"/>
      <c r="AL228" s="8"/>
      <c r="AM228" s="27"/>
      <c r="AN228" s="27"/>
      <c r="AO228" s="27"/>
    </row>
    <row r="229" spans="1:41" ht="15" thickBot="1" x14ac:dyDescent="0.35">
      <c r="A229" s="51" t="s">
        <v>372</v>
      </c>
      <c r="B229" s="51" t="s">
        <v>376</v>
      </c>
      <c r="C229" s="51" t="s">
        <v>1193</v>
      </c>
      <c r="D229" s="51" t="s">
        <v>377</v>
      </c>
      <c r="E229" s="51" t="s">
        <v>73</v>
      </c>
      <c r="F229" s="51" t="s">
        <v>28</v>
      </c>
      <c r="G229" s="51" t="s">
        <v>835</v>
      </c>
      <c r="H229" s="53">
        <f t="shared" si="19"/>
        <v>29</v>
      </c>
      <c r="I229" s="17">
        <f t="shared" si="17"/>
        <v>1</v>
      </c>
      <c r="J229" s="18">
        <f t="shared" si="18"/>
        <v>0.96666666666666667</v>
      </c>
      <c r="K229" s="27"/>
      <c r="L229" s="8"/>
      <c r="M229" s="8"/>
      <c r="N229" s="8"/>
      <c r="O229" s="27"/>
      <c r="P229" s="27"/>
      <c r="Q229" s="8" t="s">
        <v>1010</v>
      </c>
      <c r="R229" s="8"/>
      <c r="S229" s="8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8"/>
      <c r="AH229" s="8"/>
      <c r="AI229" s="8"/>
      <c r="AJ229" s="27"/>
      <c r="AK229" s="8"/>
      <c r="AL229" s="8"/>
      <c r="AM229" s="27"/>
      <c r="AN229" s="27"/>
      <c r="AO229" s="27"/>
    </row>
    <row r="230" spans="1:41" ht="15" thickBot="1" x14ac:dyDescent="0.35">
      <c r="A230" s="51" t="s">
        <v>372</v>
      </c>
      <c r="B230" s="51" t="s">
        <v>378</v>
      </c>
      <c r="C230" s="51" t="s">
        <v>1193</v>
      </c>
      <c r="D230" s="51" t="s">
        <v>377</v>
      </c>
      <c r="E230" s="51" t="s">
        <v>73</v>
      </c>
      <c r="F230" s="51" t="s">
        <v>28</v>
      </c>
      <c r="G230" s="51" t="s">
        <v>836</v>
      </c>
      <c r="H230" s="53">
        <f t="shared" si="19"/>
        <v>29</v>
      </c>
      <c r="I230" s="17">
        <f t="shared" si="17"/>
        <v>1</v>
      </c>
      <c r="J230" s="18">
        <f t="shared" si="18"/>
        <v>0.96666666666666667</v>
      </c>
      <c r="K230" s="27"/>
      <c r="L230" s="8"/>
      <c r="M230" s="8"/>
      <c r="N230" s="8"/>
      <c r="O230" s="27"/>
      <c r="P230" s="27"/>
      <c r="Q230" s="8" t="s">
        <v>1010</v>
      </c>
      <c r="R230" s="8"/>
      <c r="S230" s="8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8"/>
      <c r="AH230" s="8"/>
      <c r="AI230" s="8"/>
      <c r="AJ230" s="27"/>
      <c r="AK230" s="8"/>
      <c r="AL230" s="8"/>
      <c r="AM230" s="27"/>
      <c r="AN230" s="27"/>
      <c r="AO230" s="27"/>
    </row>
    <row r="231" spans="1:41" ht="15" thickBot="1" x14ac:dyDescent="0.35">
      <c r="A231" s="51" t="s">
        <v>372</v>
      </c>
      <c r="B231" s="51" t="s">
        <v>379</v>
      </c>
      <c r="C231" s="51" t="s">
        <v>1193</v>
      </c>
      <c r="D231" s="51" t="s">
        <v>380</v>
      </c>
      <c r="E231" s="51" t="s">
        <v>73</v>
      </c>
      <c r="F231" s="51" t="s">
        <v>28</v>
      </c>
      <c r="G231" s="51" t="s">
        <v>837</v>
      </c>
      <c r="H231" s="53">
        <f t="shared" si="19"/>
        <v>29</v>
      </c>
      <c r="I231" s="17">
        <f t="shared" si="17"/>
        <v>1</v>
      </c>
      <c r="J231" s="18">
        <f t="shared" si="18"/>
        <v>0.96666666666666667</v>
      </c>
      <c r="K231" s="27"/>
      <c r="L231" s="8"/>
      <c r="M231" s="8"/>
      <c r="N231" s="8"/>
      <c r="O231" s="27"/>
      <c r="P231" s="27"/>
      <c r="Q231" s="8" t="s">
        <v>1010</v>
      </c>
      <c r="R231" s="8"/>
      <c r="S231" s="8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8"/>
      <c r="AH231" s="8"/>
      <c r="AI231" s="8"/>
      <c r="AJ231" s="27"/>
      <c r="AK231" s="8"/>
      <c r="AL231" s="8"/>
      <c r="AM231" s="27"/>
      <c r="AN231" s="27"/>
      <c r="AO231" s="27"/>
    </row>
    <row r="232" spans="1:41" ht="15" thickBot="1" x14ac:dyDescent="0.35">
      <c r="A232" s="51" t="s">
        <v>372</v>
      </c>
      <c r="B232" s="51" t="s">
        <v>381</v>
      </c>
      <c r="C232" s="51" t="s">
        <v>1193</v>
      </c>
      <c r="D232" s="51" t="s">
        <v>380</v>
      </c>
      <c r="E232" s="51" t="s">
        <v>46</v>
      </c>
      <c r="F232" s="51" t="s">
        <v>28</v>
      </c>
      <c r="G232" s="51" t="s">
        <v>838</v>
      </c>
      <c r="H232" s="53">
        <f t="shared" si="19"/>
        <v>29</v>
      </c>
      <c r="I232" s="17">
        <f t="shared" si="17"/>
        <v>1</v>
      </c>
      <c r="J232" s="18">
        <f t="shared" si="18"/>
        <v>0.96666666666666667</v>
      </c>
      <c r="K232" s="27"/>
      <c r="L232" s="8"/>
      <c r="M232" s="8"/>
      <c r="N232" s="8"/>
      <c r="O232" s="27"/>
      <c r="P232" s="27"/>
      <c r="Q232" s="8" t="s">
        <v>1010</v>
      </c>
      <c r="R232" s="8"/>
      <c r="S232" s="8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8"/>
      <c r="AH232" s="8"/>
      <c r="AI232" s="8"/>
      <c r="AJ232" s="27"/>
      <c r="AK232" s="8"/>
      <c r="AL232" s="8"/>
      <c r="AM232" s="27"/>
      <c r="AN232" s="27"/>
      <c r="AO232" s="27"/>
    </row>
    <row r="233" spans="1:41" ht="15" thickBot="1" x14ac:dyDescent="0.35">
      <c r="A233" s="51" t="s">
        <v>382</v>
      </c>
      <c r="B233" s="51" t="s">
        <v>1113</v>
      </c>
      <c r="C233" s="51" t="s">
        <v>1193</v>
      </c>
      <c r="D233" s="51" t="s">
        <v>388</v>
      </c>
      <c r="E233" s="51" t="s">
        <v>15</v>
      </c>
      <c r="F233" s="51" t="s">
        <v>28</v>
      </c>
      <c r="G233" s="51" t="s">
        <v>843</v>
      </c>
      <c r="H233" s="53">
        <f t="shared" si="19"/>
        <v>29</v>
      </c>
      <c r="I233" s="17">
        <f t="shared" si="17"/>
        <v>1</v>
      </c>
      <c r="J233" s="18">
        <f t="shared" si="18"/>
        <v>0.96666666666666667</v>
      </c>
      <c r="K233" s="27"/>
      <c r="L233" s="8"/>
      <c r="M233" s="8"/>
      <c r="N233" s="8"/>
      <c r="O233" s="27"/>
      <c r="P233" s="27"/>
      <c r="Q233" s="8" t="s">
        <v>1010</v>
      </c>
      <c r="R233" s="8"/>
      <c r="S233" s="8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8"/>
      <c r="AH233" s="8"/>
      <c r="AI233" s="8"/>
      <c r="AJ233" s="27"/>
      <c r="AK233" s="8"/>
      <c r="AL233" s="8"/>
      <c r="AM233" s="27"/>
      <c r="AN233" s="27"/>
      <c r="AO233" s="27"/>
    </row>
    <row r="234" spans="1:41" ht="15" thickBot="1" x14ac:dyDescent="0.35">
      <c r="A234" s="51" t="s">
        <v>382</v>
      </c>
      <c r="B234" s="51" t="s">
        <v>1114</v>
      </c>
      <c r="C234" s="51" t="s">
        <v>1193</v>
      </c>
      <c r="D234" s="51" t="s">
        <v>1115</v>
      </c>
      <c r="E234" s="51" t="s">
        <v>19</v>
      </c>
      <c r="F234" s="51" t="s">
        <v>28</v>
      </c>
      <c r="G234" s="51" t="s">
        <v>997</v>
      </c>
      <c r="H234" s="53">
        <f t="shared" si="19"/>
        <v>29</v>
      </c>
      <c r="I234" s="17">
        <f t="shared" si="17"/>
        <v>1</v>
      </c>
      <c r="J234" s="18">
        <f t="shared" si="18"/>
        <v>0.96666666666666667</v>
      </c>
      <c r="K234" s="27"/>
      <c r="L234" s="8"/>
      <c r="M234" s="8"/>
      <c r="N234" s="8"/>
      <c r="O234" s="27"/>
      <c r="P234" s="27"/>
      <c r="Q234" s="8" t="s">
        <v>1010</v>
      </c>
      <c r="R234" s="8"/>
      <c r="S234" s="8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8"/>
      <c r="AH234" s="8"/>
      <c r="AI234" s="8"/>
      <c r="AJ234" s="27"/>
      <c r="AK234" s="8"/>
      <c r="AL234" s="8"/>
      <c r="AM234" s="27"/>
      <c r="AN234" s="27"/>
      <c r="AO234" s="27"/>
    </row>
    <row r="235" spans="1:41" ht="15" thickBot="1" x14ac:dyDescent="0.35">
      <c r="A235" s="51" t="s">
        <v>382</v>
      </c>
      <c r="B235" s="51" t="s">
        <v>1116</v>
      </c>
      <c r="C235" s="51" t="s">
        <v>1193</v>
      </c>
      <c r="D235" s="51" t="s">
        <v>1117</v>
      </c>
      <c r="E235" s="51" t="s">
        <v>19</v>
      </c>
      <c r="F235" s="51" t="s">
        <v>28</v>
      </c>
      <c r="G235" s="51" t="s">
        <v>998</v>
      </c>
      <c r="H235" s="53">
        <f t="shared" si="19"/>
        <v>29</v>
      </c>
      <c r="I235" s="17">
        <f t="shared" si="17"/>
        <v>1</v>
      </c>
      <c r="J235" s="18">
        <f t="shared" si="18"/>
        <v>0.96666666666666667</v>
      </c>
      <c r="K235" s="27"/>
      <c r="L235" s="8"/>
      <c r="M235" s="8"/>
      <c r="N235" s="8"/>
      <c r="O235" s="27"/>
      <c r="P235" s="27"/>
      <c r="Q235" s="8" t="s">
        <v>1010</v>
      </c>
      <c r="R235" s="8"/>
      <c r="S235" s="8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8"/>
      <c r="AH235" s="8"/>
      <c r="AI235" s="8"/>
      <c r="AJ235" s="27"/>
      <c r="AK235" s="8"/>
      <c r="AL235" s="8"/>
      <c r="AM235" s="27"/>
      <c r="AN235" s="27"/>
      <c r="AO235" s="27"/>
    </row>
    <row r="236" spans="1:41" ht="15" thickBot="1" x14ac:dyDescent="0.35">
      <c r="A236" s="51" t="s">
        <v>382</v>
      </c>
      <c r="B236" s="51" t="s">
        <v>1118</v>
      </c>
      <c r="C236" s="51" t="s">
        <v>1193</v>
      </c>
      <c r="D236" s="51" t="s">
        <v>1119</v>
      </c>
      <c r="E236" s="51" t="s">
        <v>19</v>
      </c>
      <c r="F236" s="51" t="s">
        <v>28</v>
      </c>
      <c r="G236" s="51" t="s">
        <v>999</v>
      </c>
      <c r="H236" s="53">
        <f t="shared" si="19"/>
        <v>29</v>
      </c>
      <c r="I236" s="17">
        <f t="shared" si="17"/>
        <v>1</v>
      </c>
      <c r="J236" s="18">
        <f t="shared" si="18"/>
        <v>0.96666666666666667</v>
      </c>
      <c r="K236" s="27"/>
      <c r="L236" s="8"/>
      <c r="M236" s="8"/>
      <c r="N236" s="8"/>
      <c r="O236" s="27"/>
      <c r="P236" s="27"/>
      <c r="Q236" s="8" t="s">
        <v>1010</v>
      </c>
      <c r="R236" s="8"/>
      <c r="S236" s="8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8"/>
      <c r="AH236" s="8"/>
      <c r="AI236" s="8"/>
      <c r="AJ236" s="27"/>
      <c r="AK236" s="8"/>
      <c r="AL236" s="8"/>
      <c r="AM236" s="27"/>
      <c r="AN236" s="27"/>
      <c r="AO236" s="27"/>
    </row>
    <row r="237" spans="1:41" ht="15" thickBot="1" x14ac:dyDescent="0.35">
      <c r="A237" s="51" t="s">
        <v>382</v>
      </c>
      <c r="B237" s="51" t="s">
        <v>1120</v>
      </c>
      <c r="C237" s="51" t="s">
        <v>1193</v>
      </c>
      <c r="D237" s="51" t="s">
        <v>1121</v>
      </c>
      <c r="E237" s="51" t="s">
        <v>19</v>
      </c>
      <c r="F237" s="51" t="s">
        <v>28</v>
      </c>
      <c r="G237" s="51" t="s">
        <v>1000</v>
      </c>
      <c r="H237" s="53">
        <f t="shared" si="19"/>
        <v>29</v>
      </c>
      <c r="I237" s="17">
        <f t="shared" si="17"/>
        <v>1</v>
      </c>
      <c r="J237" s="18">
        <f t="shared" si="18"/>
        <v>0.96666666666666667</v>
      </c>
      <c r="K237" s="27"/>
      <c r="L237" s="8"/>
      <c r="M237" s="8"/>
      <c r="N237" s="8"/>
      <c r="O237" s="27"/>
      <c r="P237" s="27"/>
      <c r="Q237" s="8" t="s">
        <v>1010</v>
      </c>
      <c r="R237" s="8"/>
      <c r="S237" s="8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8"/>
      <c r="AH237" s="8"/>
      <c r="AI237" s="8"/>
      <c r="AJ237" s="27"/>
      <c r="AK237" s="8"/>
      <c r="AL237" s="8"/>
      <c r="AM237" s="27"/>
      <c r="AN237" s="27"/>
      <c r="AO237" s="27"/>
    </row>
    <row r="238" spans="1:41" ht="15" thickBot="1" x14ac:dyDescent="0.35">
      <c r="A238" s="51" t="s">
        <v>382</v>
      </c>
      <c r="B238" s="51" t="s">
        <v>1122</v>
      </c>
      <c r="C238" s="51" t="s">
        <v>1193</v>
      </c>
      <c r="D238" s="51" t="s">
        <v>383</v>
      </c>
      <c r="E238" s="51" t="s">
        <v>15</v>
      </c>
      <c r="F238" s="51" t="s">
        <v>28</v>
      </c>
      <c r="G238" s="51" t="s">
        <v>839</v>
      </c>
      <c r="H238" s="53">
        <f t="shared" si="19"/>
        <v>29</v>
      </c>
      <c r="I238" s="17">
        <f t="shared" si="17"/>
        <v>1</v>
      </c>
      <c r="J238" s="18">
        <f t="shared" si="18"/>
        <v>0.96666666666666667</v>
      </c>
      <c r="K238" s="27"/>
      <c r="L238" s="8"/>
      <c r="M238" s="8"/>
      <c r="N238" s="8"/>
      <c r="O238" s="27"/>
      <c r="P238" s="27"/>
      <c r="Q238" s="8" t="s">
        <v>1010</v>
      </c>
      <c r="R238" s="8"/>
      <c r="S238" s="8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8"/>
      <c r="AH238" s="8"/>
      <c r="AI238" s="8"/>
      <c r="AJ238" s="27"/>
      <c r="AK238" s="8"/>
      <c r="AL238" s="8"/>
      <c r="AM238" s="27"/>
      <c r="AN238" s="27"/>
      <c r="AO238" s="27"/>
    </row>
    <row r="239" spans="1:41" ht="15" thickBot="1" x14ac:dyDescent="0.35">
      <c r="A239" s="51" t="s">
        <v>382</v>
      </c>
      <c r="B239" s="51" t="s">
        <v>1123</v>
      </c>
      <c r="C239" s="51" t="s">
        <v>1193</v>
      </c>
      <c r="D239" s="51" t="s">
        <v>384</v>
      </c>
      <c r="E239" s="51" t="s">
        <v>15</v>
      </c>
      <c r="F239" s="51" t="s">
        <v>28</v>
      </c>
      <c r="G239" s="51" t="s">
        <v>842</v>
      </c>
      <c r="H239" s="53">
        <f t="shared" si="19"/>
        <v>29</v>
      </c>
      <c r="I239" s="17">
        <f t="shared" si="17"/>
        <v>1</v>
      </c>
      <c r="J239" s="18">
        <f t="shared" si="18"/>
        <v>0.96666666666666667</v>
      </c>
      <c r="K239" s="27"/>
      <c r="L239" s="8"/>
      <c r="M239" s="8"/>
      <c r="N239" s="8"/>
      <c r="O239" s="27"/>
      <c r="P239" s="27"/>
      <c r="Q239" s="8" t="s">
        <v>1010</v>
      </c>
      <c r="R239" s="8"/>
      <c r="S239" s="8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8"/>
      <c r="AH239" s="8"/>
      <c r="AI239" s="8"/>
      <c r="AJ239" s="27"/>
      <c r="AK239" s="8"/>
      <c r="AL239" s="8"/>
      <c r="AM239" s="27"/>
      <c r="AN239" s="27"/>
      <c r="AO239" s="27"/>
    </row>
    <row r="240" spans="1:41" ht="15" thickBot="1" x14ac:dyDescent="0.35">
      <c r="A240" s="51" t="s">
        <v>382</v>
      </c>
      <c r="B240" s="51" t="s">
        <v>385</v>
      </c>
      <c r="C240" s="51" t="s">
        <v>1193</v>
      </c>
      <c r="D240" s="51" t="s">
        <v>386</v>
      </c>
      <c r="E240" s="51" t="s">
        <v>73</v>
      </c>
      <c r="F240" s="51" t="s">
        <v>28</v>
      </c>
      <c r="G240" s="51" t="s">
        <v>840</v>
      </c>
      <c r="H240" s="53">
        <f t="shared" si="19"/>
        <v>29</v>
      </c>
      <c r="I240" s="17">
        <f t="shared" si="17"/>
        <v>1</v>
      </c>
      <c r="J240" s="18">
        <f t="shared" si="18"/>
        <v>0.96666666666666667</v>
      </c>
      <c r="K240" s="27"/>
      <c r="L240" s="8"/>
      <c r="M240" s="8"/>
      <c r="N240" s="8"/>
      <c r="O240" s="27"/>
      <c r="P240" s="27"/>
      <c r="Q240" s="8" t="s">
        <v>1010</v>
      </c>
      <c r="R240" s="8"/>
      <c r="S240" s="8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8"/>
      <c r="AH240" s="8"/>
      <c r="AI240" s="8"/>
      <c r="AJ240" s="27"/>
      <c r="AK240" s="8"/>
      <c r="AL240" s="8"/>
      <c r="AM240" s="27"/>
      <c r="AN240" s="27"/>
      <c r="AO240" s="27"/>
    </row>
    <row r="241" spans="1:41" ht="15" thickBot="1" x14ac:dyDescent="0.35">
      <c r="A241" s="51" t="s">
        <v>382</v>
      </c>
      <c r="B241" s="51" t="s">
        <v>387</v>
      </c>
      <c r="C241" s="51" t="s">
        <v>1193</v>
      </c>
      <c r="D241" s="51" t="s">
        <v>386</v>
      </c>
      <c r="E241" s="51" t="s">
        <v>73</v>
      </c>
      <c r="F241" s="51" t="s">
        <v>28</v>
      </c>
      <c r="G241" s="51" t="s">
        <v>841</v>
      </c>
      <c r="H241" s="53">
        <f t="shared" si="19"/>
        <v>29</v>
      </c>
      <c r="I241" s="17">
        <f t="shared" si="17"/>
        <v>1</v>
      </c>
      <c r="J241" s="18">
        <f t="shared" si="18"/>
        <v>0.96666666666666667</v>
      </c>
      <c r="K241" s="27"/>
      <c r="L241" s="8"/>
      <c r="M241" s="8"/>
      <c r="N241" s="8"/>
      <c r="O241" s="27"/>
      <c r="P241" s="27"/>
      <c r="Q241" s="8" t="s">
        <v>1010</v>
      </c>
      <c r="R241" s="8"/>
      <c r="S241" s="8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8"/>
      <c r="AH241" s="8"/>
      <c r="AI241" s="8"/>
      <c r="AJ241" s="27"/>
      <c r="AK241" s="8"/>
      <c r="AL241" s="8"/>
      <c r="AM241" s="27"/>
      <c r="AN241" s="27"/>
      <c r="AO241" s="27"/>
    </row>
    <row r="242" spans="1:41" ht="15" thickBot="1" x14ac:dyDescent="0.35">
      <c r="A242" s="51" t="s">
        <v>988</v>
      </c>
      <c r="B242" s="51" t="s">
        <v>1124</v>
      </c>
      <c r="C242" s="51" t="s">
        <v>1193</v>
      </c>
      <c r="D242" s="51" t="s">
        <v>1125</v>
      </c>
      <c r="E242" s="51" t="s">
        <v>1186</v>
      </c>
      <c r="F242" s="51" t="s">
        <v>28</v>
      </c>
      <c r="G242" s="51" t="s">
        <v>990</v>
      </c>
      <c r="H242" s="53">
        <f t="shared" si="19"/>
        <v>21</v>
      </c>
      <c r="I242" s="17">
        <f t="shared" si="17"/>
        <v>9</v>
      </c>
      <c r="J242" s="18">
        <f t="shared" si="18"/>
        <v>0.7</v>
      </c>
      <c r="K242" s="27"/>
      <c r="L242" s="8"/>
      <c r="M242" s="8"/>
      <c r="N242" s="8"/>
      <c r="O242" s="27"/>
      <c r="P242" s="27"/>
      <c r="Q242" s="8" t="s">
        <v>1010</v>
      </c>
      <c r="R242" s="8" t="s">
        <v>1010</v>
      </c>
      <c r="S242" s="8" t="s">
        <v>1010</v>
      </c>
      <c r="T242" s="27" t="s">
        <v>1010</v>
      </c>
      <c r="U242" s="27" t="s">
        <v>1010</v>
      </c>
      <c r="V242" s="27" t="s">
        <v>1010</v>
      </c>
      <c r="W242" s="27" t="s">
        <v>1010</v>
      </c>
      <c r="X242" s="27" t="s">
        <v>1010</v>
      </c>
      <c r="Y242" s="27" t="s">
        <v>1010</v>
      </c>
      <c r="Z242" s="27"/>
      <c r="AA242" s="27"/>
      <c r="AB242" s="27"/>
      <c r="AC242" s="27"/>
      <c r="AD242" s="27"/>
      <c r="AE242" s="27"/>
      <c r="AF242" s="27"/>
      <c r="AG242" s="8"/>
      <c r="AH242" s="8"/>
      <c r="AI242" s="8"/>
      <c r="AJ242" s="27"/>
      <c r="AK242" s="8"/>
      <c r="AL242" s="8"/>
      <c r="AM242" s="27"/>
      <c r="AN242" s="27"/>
      <c r="AO242" s="27"/>
    </row>
    <row r="243" spans="1:41" ht="15" thickBot="1" x14ac:dyDescent="0.35">
      <c r="A243" s="51" t="s">
        <v>988</v>
      </c>
      <c r="B243" s="51" t="s">
        <v>987</v>
      </c>
      <c r="C243" s="51" t="s">
        <v>1193</v>
      </c>
      <c r="D243" s="51" t="s">
        <v>1125</v>
      </c>
      <c r="E243" s="51" t="s">
        <v>1187</v>
      </c>
      <c r="F243" s="51" t="s">
        <v>28</v>
      </c>
      <c r="G243" s="51" t="s">
        <v>989</v>
      </c>
      <c r="H243" s="53">
        <f t="shared" si="19"/>
        <v>20</v>
      </c>
      <c r="I243" s="17">
        <f t="shared" si="17"/>
        <v>10</v>
      </c>
      <c r="J243" s="18">
        <f t="shared" si="18"/>
        <v>0.66666666666666663</v>
      </c>
      <c r="K243" s="27"/>
      <c r="L243" s="8"/>
      <c r="M243" s="8"/>
      <c r="N243" s="8"/>
      <c r="O243" s="27"/>
      <c r="P243" s="27" t="s">
        <v>1010</v>
      </c>
      <c r="Q243" s="8" t="s">
        <v>1010</v>
      </c>
      <c r="R243" s="8" t="s">
        <v>1010</v>
      </c>
      <c r="S243" s="8" t="s">
        <v>1010</v>
      </c>
      <c r="T243" s="27" t="s">
        <v>1010</v>
      </c>
      <c r="U243" s="27" t="s">
        <v>1010</v>
      </c>
      <c r="V243" s="27" t="s">
        <v>1010</v>
      </c>
      <c r="W243" s="27" t="s">
        <v>1010</v>
      </c>
      <c r="X243" s="27" t="s">
        <v>1010</v>
      </c>
      <c r="Y243" s="27" t="s">
        <v>1010</v>
      </c>
      <c r="Z243" s="27"/>
      <c r="AA243" s="27"/>
      <c r="AB243" s="27"/>
      <c r="AC243" s="27"/>
      <c r="AD243" s="27"/>
      <c r="AE243" s="27"/>
      <c r="AF243" s="27"/>
      <c r="AG243" s="8"/>
      <c r="AH243" s="8"/>
      <c r="AI243" s="8"/>
      <c r="AJ243" s="27"/>
      <c r="AK243" s="8"/>
      <c r="AL243" s="8"/>
      <c r="AM243" s="27"/>
      <c r="AN243" s="27"/>
      <c r="AO243" s="27"/>
    </row>
    <row r="244" spans="1:41" ht="15" thickBot="1" x14ac:dyDescent="0.35">
      <c r="A244" s="51" t="s">
        <v>268</v>
      </c>
      <c r="B244" s="51" t="s">
        <v>1126</v>
      </c>
      <c r="C244" s="51" t="s">
        <v>1192</v>
      </c>
      <c r="D244" s="51" t="s">
        <v>342</v>
      </c>
      <c r="E244" s="51" t="s">
        <v>73</v>
      </c>
      <c r="F244" s="51" t="s">
        <v>28</v>
      </c>
      <c r="G244" s="51" t="s">
        <v>812</v>
      </c>
      <c r="H244" s="53">
        <f t="shared" si="19"/>
        <v>20</v>
      </c>
      <c r="I244" s="17">
        <f t="shared" si="17"/>
        <v>10</v>
      </c>
      <c r="J244" s="18">
        <f t="shared" si="18"/>
        <v>0.66666666666666663</v>
      </c>
      <c r="K244" s="27" t="s">
        <v>1010</v>
      </c>
      <c r="L244" s="8" t="s">
        <v>1010</v>
      </c>
      <c r="M244" s="8" t="s">
        <v>1010</v>
      </c>
      <c r="N244" s="8" t="s">
        <v>1010</v>
      </c>
      <c r="O244" s="27" t="s">
        <v>1010</v>
      </c>
      <c r="P244" s="27" t="s">
        <v>1010</v>
      </c>
      <c r="Q244" s="8" t="s">
        <v>1010</v>
      </c>
      <c r="R244" s="8" t="s">
        <v>1010</v>
      </c>
      <c r="S244" s="8" t="s">
        <v>1010</v>
      </c>
      <c r="T244" s="27" t="s">
        <v>1010</v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8"/>
      <c r="AH244" s="8"/>
      <c r="AI244" s="8"/>
      <c r="AJ244" s="27"/>
      <c r="AK244" s="8"/>
      <c r="AL244" s="8"/>
      <c r="AM244" s="27"/>
      <c r="AN244" s="27"/>
      <c r="AO244" s="27"/>
    </row>
    <row r="245" spans="1:41" ht="15" thickBot="1" x14ac:dyDescent="0.35">
      <c r="A245" s="51" t="s">
        <v>268</v>
      </c>
      <c r="B245" s="51" t="s">
        <v>1127</v>
      </c>
      <c r="C245" s="51" t="s">
        <v>1192</v>
      </c>
      <c r="D245" s="51" t="s">
        <v>342</v>
      </c>
      <c r="E245" s="51" t="s">
        <v>73</v>
      </c>
      <c r="F245" s="51" t="s">
        <v>28</v>
      </c>
      <c r="G245" s="51" t="s">
        <v>813</v>
      </c>
      <c r="H245" s="53">
        <f t="shared" si="19"/>
        <v>20</v>
      </c>
      <c r="I245" s="17">
        <f t="shared" si="17"/>
        <v>10</v>
      </c>
      <c r="J245" s="18">
        <f t="shared" si="18"/>
        <v>0.66666666666666663</v>
      </c>
      <c r="K245" s="27" t="s">
        <v>1010</v>
      </c>
      <c r="L245" s="27" t="s">
        <v>1010</v>
      </c>
      <c r="M245" s="27" t="s">
        <v>1010</v>
      </c>
      <c r="N245" s="27" t="s">
        <v>1010</v>
      </c>
      <c r="O245" s="27" t="s">
        <v>1010</v>
      </c>
      <c r="P245" s="27" t="s">
        <v>1010</v>
      </c>
      <c r="Q245" s="27" t="s">
        <v>1010</v>
      </c>
      <c r="R245" s="27" t="s">
        <v>1010</v>
      </c>
      <c r="S245" s="27" t="s">
        <v>1010</v>
      </c>
      <c r="T245" s="27" t="s">
        <v>1010</v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</row>
    <row r="246" spans="1:41" ht="15" thickBot="1" x14ac:dyDescent="0.35">
      <c r="A246" s="51" t="s">
        <v>268</v>
      </c>
      <c r="B246" s="51" t="s">
        <v>1128</v>
      </c>
      <c r="C246" s="51" t="s">
        <v>1192</v>
      </c>
      <c r="D246" s="51" t="s">
        <v>1129</v>
      </c>
      <c r="E246" s="51" t="s">
        <v>19</v>
      </c>
      <c r="F246" s="51" t="s">
        <v>28</v>
      </c>
      <c r="G246" s="51"/>
      <c r="H246" s="53">
        <f t="shared" si="19"/>
        <v>30</v>
      </c>
      <c r="I246" s="17">
        <f t="shared" si="17"/>
        <v>0</v>
      </c>
      <c r="J246" s="18">
        <f t="shared" si="18"/>
        <v>1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</row>
    <row r="247" spans="1:41" ht="15" thickBot="1" x14ac:dyDescent="0.35">
      <c r="A247" s="51" t="s">
        <v>268</v>
      </c>
      <c r="B247" s="51" t="s">
        <v>1130</v>
      </c>
      <c r="C247" s="51" t="s">
        <v>1192</v>
      </c>
      <c r="D247" s="51" t="s">
        <v>1131</v>
      </c>
      <c r="E247" s="51" t="s">
        <v>19</v>
      </c>
      <c r="F247" s="51" t="s">
        <v>28</v>
      </c>
      <c r="G247" s="51"/>
      <c r="H247" s="53">
        <f t="shared" si="19"/>
        <v>30</v>
      </c>
      <c r="I247" s="17">
        <f t="shared" si="17"/>
        <v>0</v>
      </c>
      <c r="J247" s="18">
        <f t="shared" si="18"/>
        <v>1</v>
      </c>
      <c r="K247" s="27"/>
      <c r="L247" s="8"/>
      <c r="M247" s="8"/>
      <c r="N247" s="8"/>
      <c r="O247" s="27"/>
      <c r="P247" s="27"/>
      <c r="Q247" s="8"/>
      <c r="R247" s="8"/>
      <c r="S247" s="8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8"/>
      <c r="AH247" s="8"/>
      <c r="AI247" s="8"/>
      <c r="AJ247" s="27"/>
      <c r="AK247" s="8"/>
      <c r="AL247" s="8"/>
      <c r="AM247" s="27"/>
      <c r="AN247" s="27"/>
      <c r="AO247" s="27"/>
    </row>
    <row r="248" spans="1:41" ht="15" thickBot="1" x14ac:dyDescent="0.35">
      <c r="A248" s="51" t="s">
        <v>268</v>
      </c>
      <c r="B248" s="51" t="s">
        <v>389</v>
      </c>
      <c r="C248" s="51" t="s">
        <v>1192</v>
      </c>
      <c r="D248" s="51" t="s">
        <v>390</v>
      </c>
      <c r="E248" s="51" t="s">
        <v>19</v>
      </c>
      <c r="F248" s="51" t="s">
        <v>28</v>
      </c>
      <c r="G248" s="51" t="s">
        <v>844</v>
      </c>
      <c r="H248" s="53">
        <f t="shared" si="19"/>
        <v>30</v>
      </c>
      <c r="I248" s="17">
        <f t="shared" si="17"/>
        <v>0</v>
      </c>
      <c r="J248" s="18">
        <f t="shared" si="18"/>
        <v>1</v>
      </c>
      <c r="K248" s="27"/>
      <c r="L248" s="8"/>
      <c r="M248" s="8"/>
      <c r="N248" s="8"/>
      <c r="O248" s="27"/>
      <c r="P248" s="27"/>
      <c r="Q248" s="8"/>
      <c r="R248" s="8"/>
      <c r="S248" s="8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8"/>
      <c r="AH248" s="8"/>
      <c r="AI248" s="8"/>
      <c r="AJ248" s="27"/>
      <c r="AK248" s="8"/>
      <c r="AL248" s="8"/>
      <c r="AM248" s="27"/>
      <c r="AN248" s="27"/>
      <c r="AO248" s="27"/>
    </row>
    <row r="249" spans="1:41" ht="15" thickBot="1" x14ac:dyDescent="0.35">
      <c r="A249" s="51" t="s">
        <v>391</v>
      </c>
      <c r="B249" s="51" t="s">
        <v>392</v>
      </c>
      <c r="C249" s="51" t="s">
        <v>1192</v>
      </c>
      <c r="D249" s="51" t="s">
        <v>393</v>
      </c>
      <c r="E249" s="51" t="s">
        <v>19</v>
      </c>
      <c r="F249" s="51" t="s">
        <v>28</v>
      </c>
      <c r="G249" s="51" t="s">
        <v>845</v>
      </c>
      <c r="H249" s="53">
        <f t="shared" si="19"/>
        <v>30</v>
      </c>
      <c r="I249" s="17">
        <f t="shared" si="17"/>
        <v>0</v>
      </c>
      <c r="J249" s="18">
        <f t="shared" si="18"/>
        <v>1</v>
      </c>
      <c r="K249" s="27"/>
      <c r="L249" s="8"/>
      <c r="M249" s="8"/>
      <c r="N249" s="8"/>
      <c r="O249" s="27"/>
      <c r="P249" s="27"/>
      <c r="Q249" s="8"/>
      <c r="R249" s="8"/>
      <c r="S249" s="8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8"/>
      <c r="AH249" s="8"/>
      <c r="AI249" s="8"/>
      <c r="AJ249" s="27"/>
      <c r="AK249" s="8"/>
      <c r="AL249" s="8"/>
      <c r="AM249" s="27"/>
      <c r="AN249" s="27"/>
      <c r="AO249" s="27"/>
    </row>
    <row r="250" spans="1:41" ht="15" thickBot="1" x14ac:dyDescent="0.35">
      <c r="A250" s="51" t="s">
        <v>391</v>
      </c>
      <c r="B250" s="51" t="s">
        <v>394</v>
      </c>
      <c r="C250" s="51" t="s">
        <v>1192</v>
      </c>
      <c r="D250" s="51" t="s">
        <v>395</v>
      </c>
      <c r="E250" s="51" t="s">
        <v>19</v>
      </c>
      <c r="F250" s="51" t="s">
        <v>28</v>
      </c>
      <c r="G250" s="51" t="s">
        <v>846</v>
      </c>
      <c r="H250" s="53">
        <f t="shared" si="19"/>
        <v>30</v>
      </c>
      <c r="I250" s="17">
        <f t="shared" si="17"/>
        <v>0</v>
      </c>
      <c r="J250" s="18">
        <f t="shared" si="18"/>
        <v>1</v>
      </c>
      <c r="K250" s="27"/>
      <c r="L250" s="8"/>
      <c r="M250" s="8"/>
      <c r="N250" s="8"/>
      <c r="O250" s="27"/>
      <c r="P250" s="27"/>
      <c r="Q250" s="8"/>
      <c r="R250" s="8"/>
      <c r="S250" s="8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8"/>
      <c r="AH250" s="8"/>
      <c r="AI250" s="8"/>
      <c r="AJ250" s="27"/>
      <c r="AK250" s="8"/>
      <c r="AL250" s="8"/>
      <c r="AM250" s="27"/>
      <c r="AN250" s="27"/>
      <c r="AO250" s="27"/>
    </row>
    <row r="251" spans="1:41" ht="15" thickBot="1" x14ac:dyDescent="0.35">
      <c r="A251" s="51" t="s">
        <v>396</v>
      </c>
      <c r="B251" s="51" t="s">
        <v>397</v>
      </c>
      <c r="C251" s="51" t="s">
        <v>1192</v>
      </c>
      <c r="D251" s="51" t="s">
        <v>398</v>
      </c>
      <c r="E251" s="51" t="s">
        <v>19</v>
      </c>
      <c r="F251" s="51" t="s">
        <v>20</v>
      </c>
      <c r="G251" s="51" t="s">
        <v>847</v>
      </c>
      <c r="H251" s="53">
        <f t="shared" si="19"/>
        <v>30</v>
      </c>
      <c r="I251" s="17">
        <f t="shared" si="17"/>
        <v>0</v>
      </c>
      <c r="J251" s="18">
        <f t="shared" si="18"/>
        <v>1</v>
      </c>
      <c r="K251" s="27"/>
      <c r="L251" s="8"/>
      <c r="M251" s="8"/>
      <c r="N251" s="8"/>
      <c r="O251" s="27"/>
      <c r="P251" s="27"/>
      <c r="Q251" s="8"/>
      <c r="R251" s="8"/>
      <c r="S251" s="8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8"/>
      <c r="AH251" s="8"/>
      <c r="AI251" s="8"/>
      <c r="AJ251" s="27"/>
      <c r="AK251" s="8"/>
      <c r="AL251" s="8"/>
      <c r="AM251" s="27"/>
      <c r="AN251" s="27"/>
      <c r="AO251" s="27"/>
    </row>
    <row r="252" spans="1:41" ht="15" thickBot="1" x14ac:dyDescent="0.35">
      <c r="A252" s="51" t="s">
        <v>298</v>
      </c>
      <c r="B252" s="51" t="s">
        <v>1132</v>
      </c>
      <c r="C252" s="51" t="s">
        <v>1192</v>
      </c>
      <c r="D252" s="51" t="s">
        <v>401</v>
      </c>
      <c r="E252" s="51" t="s">
        <v>19</v>
      </c>
      <c r="F252" s="51" t="s">
        <v>1184</v>
      </c>
      <c r="G252" s="51" t="s">
        <v>851</v>
      </c>
      <c r="H252" s="53">
        <f t="shared" si="19"/>
        <v>23</v>
      </c>
      <c r="I252" s="17">
        <f t="shared" si="17"/>
        <v>7</v>
      </c>
      <c r="J252" s="18">
        <f t="shared" si="18"/>
        <v>0.76666666666666672</v>
      </c>
      <c r="K252" s="27"/>
      <c r="L252" s="8"/>
      <c r="M252" s="8"/>
      <c r="N252" s="8"/>
      <c r="O252" s="27"/>
      <c r="P252" s="27" t="s">
        <v>1010</v>
      </c>
      <c r="Q252" s="8" t="s">
        <v>1010</v>
      </c>
      <c r="R252" s="8" t="s">
        <v>1010</v>
      </c>
      <c r="S252" s="8" t="s">
        <v>1010</v>
      </c>
      <c r="T252" s="27" t="s">
        <v>1010</v>
      </c>
      <c r="U252" s="27" t="s">
        <v>1010</v>
      </c>
      <c r="V252" s="27" t="s">
        <v>1010</v>
      </c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8"/>
      <c r="AH252" s="8"/>
      <c r="AI252" s="8"/>
      <c r="AJ252" s="27"/>
      <c r="AK252" s="8"/>
      <c r="AL252" s="8"/>
      <c r="AM252" s="27"/>
      <c r="AN252" s="27"/>
      <c r="AO252" s="27"/>
    </row>
    <row r="253" spans="1:41" ht="15" thickBot="1" x14ac:dyDescent="0.35">
      <c r="A253" s="51" t="s">
        <v>298</v>
      </c>
      <c r="B253" s="51" t="s">
        <v>399</v>
      </c>
      <c r="C253" s="51" t="s">
        <v>1192</v>
      </c>
      <c r="D253" s="51" t="s">
        <v>400</v>
      </c>
      <c r="E253" s="51" t="s">
        <v>19</v>
      </c>
      <c r="F253" s="51" t="s">
        <v>28</v>
      </c>
      <c r="G253" s="51" t="s">
        <v>850</v>
      </c>
      <c r="H253" s="53">
        <f t="shared" si="19"/>
        <v>30</v>
      </c>
      <c r="I253" s="17">
        <f t="shared" si="17"/>
        <v>0</v>
      </c>
      <c r="J253" s="18">
        <f t="shared" si="18"/>
        <v>1</v>
      </c>
      <c r="K253" s="27"/>
      <c r="L253" s="8"/>
      <c r="M253" s="8"/>
      <c r="N253" s="8"/>
      <c r="O253" s="27"/>
      <c r="P253" s="27"/>
      <c r="Q253" s="8"/>
      <c r="R253" s="8"/>
      <c r="S253" s="8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8"/>
      <c r="AH253" s="8"/>
      <c r="AI253" s="8"/>
      <c r="AJ253" s="27"/>
      <c r="AK253" s="8"/>
      <c r="AL253" s="8"/>
      <c r="AM253" s="27"/>
      <c r="AN253" s="27"/>
      <c r="AO253" s="27"/>
    </row>
    <row r="254" spans="1:41" ht="15" thickBot="1" x14ac:dyDescent="0.35">
      <c r="A254" s="51" t="s">
        <v>298</v>
      </c>
      <c r="B254" s="51" t="s">
        <v>402</v>
      </c>
      <c r="C254" s="51" t="s">
        <v>1192</v>
      </c>
      <c r="D254" s="51" t="s">
        <v>403</v>
      </c>
      <c r="E254" s="51" t="s">
        <v>73</v>
      </c>
      <c r="F254" s="51" t="s">
        <v>28</v>
      </c>
      <c r="G254" s="51" t="s">
        <v>848</v>
      </c>
      <c r="H254" s="53">
        <f t="shared" si="19"/>
        <v>15</v>
      </c>
      <c r="I254" s="17">
        <f t="shared" si="17"/>
        <v>15</v>
      </c>
      <c r="J254" s="18">
        <f t="shared" si="18"/>
        <v>0.5</v>
      </c>
      <c r="K254" s="27" t="s">
        <v>1010</v>
      </c>
      <c r="L254" s="8" t="s">
        <v>1010</v>
      </c>
      <c r="M254" s="8" t="s">
        <v>1010</v>
      </c>
      <c r="N254" s="8" t="s">
        <v>1010</v>
      </c>
      <c r="O254" s="27" t="s">
        <v>1010</v>
      </c>
      <c r="P254" s="27" t="s">
        <v>1010</v>
      </c>
      <c r="Q254" s="8" t="s">
        <v>1010</v>
      </c>
      <c r="R254" s="8" t="s">
        <v>1010</v>
      </c>
      <c r="S254" s="8" t="s">
        <v>1010</v>
      </c>
      <c r="T254" s="27" t="s">
        <v>1010</v>
      </c>
      <c r="U254" s="27" t="s">
        <v>1010</v>
      </c>
      <c r="V254" s="27" t="s">
        <v>1010</v>
      </c>
      <c r="W254" s="27" t="s">
        <v>1010</v>
      </c>
      <c r="X254" s="27" t="s">
        <v>1010</v>
      </c>
      <c r="Y254" s="27" t="s">
        <v>1010</v>
      </c>
      <c r="Z254" s="27"/>
      <c r="AA254" s="27"/>
      <c r="AB254" s="27"/>
      <c r="AC254" s="27"/>
      <c r="AD254" s="27"/>
      <c r="AE254" s="27"/>
      <c r="AF254" s="27"/>
      <c r="AG254" s="8"/>
      <c r="AH254" s="8"/>
      <c r="AI254" s="8"/>
      <c r="AJ254" s="27"/>
      <c r="AK254" s="8"/>
      <c r="AL254" s="8"/>
      <c r="AM254" s="27"/>
      <c r="AN254" s="27"/>
      <c r="AO254" s="27"/>
    </row>
    <row r="255" spans="1:41" ht="15" thickBot="1" x14ac:dyDescent="0.35">
      <c r="A255" s="51" t="s">
        <v>298</v>
      </c>
      <c r="B255" s="51" t="s">
        <v>404</v>
      </c>
      <c r="C255" s="51" t="s">
        <v>1192</v>
      </c>
      <c r="D255" s="51" t="s">
        <v>403</v>
      </c>
      <c r="E255" s="51" t="s">
        <v>73</v>
      </c>
      <c r="F255" s="51" t="s">
        <v>28</v>
      </c>
      <c r="G255" s="51" t="s">
        <v>849</v>
      </c>
      <c r="H255" s="53">
        <f t="shared" si="19"/>
        <v>15</v>
      </c>
      <c r="I255" s="17">
        <f t="shared" si="17"/>
        <v>15</v>
      </c>
      <c r="J255" s="18">
        <f t="shared" si="18"/>
        <v>0.5</v>
      </c>
      <c r="K255" s="27" t="s">
        <v>1010</v>
      </c>
      <c r="L255" s="8" t="s">
        <v>1010</v>
      </c>
      <c r="M255" s="8" t="s">
        <v>1010</v>
      </c>
      <c r="N255" s="8" t="s">
        <v>1010</v>
      </c>
      <c r="O255" s="27" t="s">
        <v>1010</v>
      </c>
      <c r="P255" s="27" t="s">
        <v>1010</v>
      </c>
      <c r="Q255" s="8" t="s">
        <v>1010</v>
      </c>
      <c r="R255" s="8" t="s">
        <v>1010</v>
      </c>
      <c r="S255" s="8" t="s">
        <v>1010</v>
      </c>
      <c r="T255" s="27" t="s">
        <v>1010</v>
      </c>
      <c r="U255" s="27" t="s">
        <v>1010</v>
      </c>
      <c r="V255" s="27" t="s">
        <v>1010</v>
      </c>
      <c r="W255" s="27" t="s">
        <v>1010</v>
      </c>
      <c r="X255" s="27" t="s">
        <v>1010</v>
      </c>
      <c r="Y255" s="27" t="s">
        <v>1010</v>
      </c>
      <c r="Z255" s="27"/>
      <c r="AA255" s="27"/>
      <c r="AB255" s="27"/>
      <c r="AC255" s="27"/>
      <c r="AD255" s="27"/>
      <c r="AE255" s="27"/>
      <c r="AF255" s="27"/>
      <c r="AG255" s="8"/>
      <c r="AH255" s="8"/>
      <c r="AI255" s="8"/>
      <c r="AJ255" s="27"/>
      <c r="AK255" s="8"/>
      <c r="AL255" s="8"/>
      <c r="AM255" s="27"/>
      <c r="AN255" s="27"/>
      <c r="AO255" s="27"/>
    </row>
    <row r="256" spans="1:41" ht="15" thickBot="1" x14ac:dyDescent="0.35">
      <c r="A256" s="51" t="s">
        <v>391</v>
      </c>
      <c r="B256" s="51" t="s">
        <v>405</v>
      </c>
      <c r="C256" s="51" t="s">
        <v>1192</v>
      </c>
      <c r="D256" s="51" t="s">
        <v>406</v>
      </c>
      <c r="E256" s="51" t="s">
        <v>19</v>
      </c>
      <c r="F256" s="51" t="s">
        <v>20</v>
      </c>
      <c r="G256" s="51" t="s">
        <v>853</v>
      </c>
      <c r="H256" s="53">
        <f t="shared" si="19"/>
        <v>29</v>
      </c>
      <c r="I256" s="17">
        <f t="shared" si="17"/>
        <v>1</v>
      </c>
      <c r="J256" s="18">
        <f t="shared" si="18"/>
        <v>0.96666666666666667</v>
      </c>
      <c r="K256" s="27"/>
      <c r="L256" s="8"/>
      <c r="M256" s="8"/>
      <c r="N256" s="8"/>
      <c r="O256" s="27"/>
      <c r="P256" s="27"/>
      <c r="Q256" s="8"/>
      <c r="R256" s="8"/>
      <c r="S256" s="8"/>
      <c r="T256" s="27"/>
      <c r="U256" s="27"/>
      <c r="V256" s="27" t="s">
        <v>1010</v>
      </c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8"/>
      <c r="AH256" s="8"/>
      <c r="AI256" s="8"/>
      <c r="AJ256" s="27"/>
      <c r="AK256" s="8"/>
      <c r="AL256" s="8"/>
      <c r="AM256" s="27"/>
      <c r="AN256" s="27"/>
      <c r="AO256" s="27"/>
    </row>
    <row r="257" spans="1:41" ht="15" thickBot="1" x14ac:dyDescent="0.35">
      <c r="A257" s="51" t="s">
        <v>391</v>
      </c>
      <c r="B257" s="51" t="s">
        <v>407</v>
      </c>
      <c r="C257" s="51" t="s">
        <v>1192</v>
      </c>
      <c r="D257" s="51" t="s">
        <v>408</v>
      </c>
      <c r="E257" s="51" t="s">
        <v>15</v>
      </c>
      <c r="F257" s="51" t="s">
        <v>20</v>
      </c>
      <c r="G257" s="51" t="s">
        <v>854</v>
      </c>
      <c r="H257" s="53">
        <f t="shared" si="19"/>
        <v>30</v>
      </c>
      <c r="I257" s="17">
        <f t="shared" si="17"/>
        <v>0</v>
      </c>
      <c r="J257" s="18">
        <f t="shared" si="18"/>
        <v>1</v>
      </c>
      <c r="K257" s="27"/>
      <c r="L257" s="8"/>
      <c r="M257" s="8"/>
      <c r="N257" s="8"/>
      <c r="O257" s="27"/>
      <c r="P257" s="27"/>
      <c r="Q257" s="8"/>
      <c r="R257" s="8"/>
      <c r="S257" s="8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8"/>
      <c r="AH257" s="8"/>
      <c r="AI257" s="8"/>
      <c r="AJ257" s="27"/>
      <c r="AK257" s="8"/>
      <c r="AL257" s="8"/>
      <c r="AM257" s="27"/>
      <c r="AN257" s="27"/>
      <c r="AO257" s="27"/>
    </row>
    <row r="258" spans="1:41" ht="15" thickBot="1" x14ac:dyDescent="0.35">
      <c r="A258" s="51" t="s">
        <v>409</v>
      </c>
      <c r="B258" s="51" t="s">
        <v>410</v>
      </c>
      <c r="C258" s="51" t="s">
        <v>1192</v>
      </c>
      <c r="D258" s="51" t="s">
        <v>411</v>
      </c>
      <c r="E258" s="51" t="s">
        <v>19</v>
      </c>
      <c r="F258" s="51" t="s">
        <v>28</v>
      </c>
      <c r="G258" s="51" t="s">
        <v>855</v>
      </c>
      <c r="H258" s="53">
        <f t="shared" si="19"/>
        <v>30</v>
      </c>
      <c r="I258" s="17">
        <f t="shared" si="17"/>
        <v>0</v>
      </c>
      <c r="J258" s="18">
        <f t="shared" si="18"/>
        <v>1</v>
      </c>
      <c r="K258" s="27"/>
      <c r="L258" s="8"/>
      <c r="M258" s="8"/>
      <c r="N258" s="8"/>
      <c r="O258" s="27"/>
      <c r="P258" s="27"/>
      <c r="Q258" s="8"/>
      <c r="R258" s="8"/>
      <c r="S258" s="8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8"/>
      <c r="AH258" s="8"/>
      <c r="AI258" s="8"/>
      <c r="AJ258" s="27"/>
      <c r="AK258" s="8"/>
      <c r="AL258" s="8"/>
      <c r="AM258" s="27"/>
      <c r="AN258" s="27"/>
      <c r="AO258" s="27"/>
    </row>
    <row r="259" spans="1:41" ht="15" thickBot="1" x14ac:dyDescent="0.35">
      <c r="A259" s="51" t="s">
        <v>409</v>
      </c>
      <c r="B259" s="51" t="s">
        <v>412</v>
      </c>
      <c r="C259" s="51" t="s">
        <v>1192</v>
      </c>
      <c r="D259" s="51" t="s">
        <v>411</v>
      </c>
      <c r="E259" s="51" t="s">
        <v>73</v>
      </c>
      <c r="F259" s="51" t="s">
        <v>28</v>
      </c>
      <c r="G259" s="51" t="s">
        <v>856</v>
      </c>
      <c r="H259" s="53">
        <f t="shared" si="19"/>
        <v>30</v>
      </c>
      <c r="I259" s="17">
        <f t="shared" si="17"/>
        <v>0</v>
      </c>
      <c r="J259" s="18">
        <f t="shared" si="18"/>
        <v>1</v>
      </c>
      <c r="K259" s="27"/>
      <c r="L259" s="8"/>
      <c r="M259" s="8"/>
      <c r="N259" s="8"/>
      <c r="O259" s="27"/>
      <c r="P259" s="27"/>
      <c r="Q259" s="8"/>
      <c r="R259" s="8"/>
      <c r="S259" s="8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8"/>
      <c r="AH259" s="8"/>
      <c r="AI259" s="8"/>
      <c r="AJ259" s="27"/>
      <c r="AK259" s="8"/>
      <c r="AL259" s="8"/>
      <c r="AM259" s="27"/>
      <c r="AN259" s="27"/>
      <c r="AO259" s="27"/>
    </row>
    <row r="260" spans="1:41" ht="15" thickBot="1" x14ac:dyDescent="0.35">
      <c r="A260" s="51" t="s">
        <v>409</v>
      </c>
      <c r="B260" s="51" t="s">
        <v>413</v>
      </c>
      <c r="C260" s="51" t="s">
        <v>1192</v>
      </c>
      <c r="D260" s="51" t="s">
        <v>411</v>
      </c>
      <c r="E260" s="51" t="s">
        <v>73</v>
      </c>
      <c r="F260" s="51" t="s">
        <v>28</v>
      </c>
      <c r="G260" s="51" t="s">
        <v>857</v>
      </c>
      <c r="H260" s="53">
        <f t="shared" si="19"/>
        <v>30</v>
      </c>
      <c r="I260" s="17">
        <f t="shared" si="17"/>
        <v>0</v>
      </c>
      <c r="J260" s="18">
        <f t="shared" si="18"/>
        <v>1</v>
      </c>
      <c r="K260" s="27"/>
      <c r="L260" s="8"/>
      <c r="M260" s="8"/>
      <c r="N260" s="8"/>
      <c r="O260" s="27"/>
      <c r="P260" s="27"/>
      <c r="Q260" s="8"/>
      <c r="R260" s="8"/>
      <c r="S260" s="8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8"/>
      <c r="AH260" s="8"/>
      <c r="AI260" s="8"/>
      <c r="AJ260" s="27"/>
      <c r="AK260" s="8"/>
      <c r="AL260" s="8"/>
      <c r="AM260" s="27"/>
      <c r="AN260" s="27"/>
      <c r="AO260" s="27"/>
    </row>
    <row r="261" spans="1:41" ht="15" thickBot="1" x14ac:dyDescent="0.35">
      <c r="A261" s="51" t="s">
        <v>416</v>
      </c>
      <c r="B261" s="51" t="s">
        <v>993</v>
      </c>
      <c r="C261" s="51" t="s">
        <v>1192</v>
      </c>
      <c r="D261" s="51" t="s">
        <v>994</v>
      </c>
      <c r="E261" s="51" t="s">
        <v>19</v>
      </c>
      <c r="F261" s="51" t="s">
        <v>28</v>
      </c>
      <c r="G261" s="51" t="s">
        <v>1001</v>
      </c>
      <c r="H261" s="53">
        <f t="shared" si="19"/>
        <v>30</v>
      </c>
      <c r="I261" s="17">
        <f t="shared" si="17"/>
        <v>0</v>
      </c>
      <c r="J261" s="18">
        <f t="shared" si="18"/>
        <v>1</v>
      </c>
      <c r="K261" s="27"/>
      <c r="L261" s="8"/>
      <c r="M261" s="8"/>
      <c r="N261" s="8"/>
      <c r="O261" s="27"/>
      <c r="P261" s="27"/>
      <c r="Q261" s="8"/>
      <c r="R261" s="8"/>
      <c r="S261" s="8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8"/>
      <c r="AH261" s="8"/>
      <c r="AI261" s="8"/>
      <c r="AJ261" s="27"/>
      <c r="AK261" s="8"/>
      <c r="AL261" s="8"/>
      <c r="AM261" s="27"/>
      <c r="AN261" s="27"/>
      <c r="AO261" s="27"/>
    </row>
    <row r="262" spans="1:41" ht="15" thickBot="1" x14ac:dyDescent="0.35">
      <c r="A262" s="51" t="s">
        <v>409</v>
      </c>
      <c r="B262" s="51" t="s">
        <v>995</v>
      </c>
      <c r="C262" s="51" t="s">
        <v>1192</v>
      </c>
      <c r="D262" s="51" t="s">
        <v>996</v>
      </c>
      <c r="E262" s="51" t="s">
        <v>19</v>
      </c>
      <c r="F262" s="51" t="s">
        <v>28</v>
      </c>
      <c r="G262" s="51" t="s">
        <v>1002</v>
      </c>
      <c r="H262" s="53">
        <f t="shared" ref="H262:H325" si="20">COUNTIF(K262:AN262,"")</f>
        <v>29</v>
      </c>
      <c r="I262" s="17">
        <f t="shared" si="17"/>
        <v>1</v>
      </c>
      <c r="J262" s="18">
        <f t="shared" si="18"/>
        <v>0.96666666666666667</v>
      </c>
      <c r="K262" s="27"/>
      <c r="L262" s="8" t="s">
        <v>1010</v>
      </c>
      <c r="M262" s="8"/>
      <c r="N262" s="8"/>
      <c r="O262" s="27"/>
      <c r="P262" s="27"/>
      <c r="Q262" s="8"/>
      <c r="R262" s="8"/>
      <c r="S262" s="8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8"/>
      <c r="AH262" s="8"/>
      <c r="AI262" s="8"/>
      <c r="AJ262" s="27"/>
      <c r="AK262" s="8"/>
      <c r="AL262" s="8"/>
      <c r="AM262" s="27"/>
      <c r="AN262" s="27"/>
      <c r="AO262" s="27"/>
    </row>
    <row r="263" spans="1:41" ht="15" thickBot="1" x14ac:dyDescent="0.35">
      <c r="A263" s="51" t="s">
        <v>409</v>
      </c>
      <c r="B263" s="51" t="s">
        <v>1133</v>
      </c>
      <c r="C263" s="51" t="s">
        <v>1192</v>
      </c>
      <c r="D263" s="51" t="s">
        <v>1134</v>
      </c>
      <c r="E263" s="51" t="s">
        <v>19</v>
      </c>
      <c r="F263" s="51" t="s">
        <v>28</v>
      </c>
      <c r="G263" s="51"/>
      <c r="H263" s="53">
        <f t="shared" si="20"/>
        <v>30</v>
      </c>
      <c r="I263" s="17">
        <f t="shared" ref="I263:I326" si="21">COUNTIF(K263:AL263,"APAGADO")</f>
        <v>0</v>
      </c>
      <c r="J263" s="18">
        <f t="shared" ref="J263:J326" si="22">(H263)/(I263+H263)</f>
        <v>1</v>
      </c>
      <c r="K263" s="27"/>
      <c r="L263" s="8"/>
      <c r="M263" s="8"/>
      <c r="N263" s="8"/>
      <c r="O263" s="27"/>
      <c r="P263" s="27"/>
      <c r="Q263" s="8"/>
      <c r="R263" s="8"/>
      <c r="S263" s="8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8"/>
      <c r="AH263" s="8"/>
      <c r="AI263" s="8"/>
      <c r="AJ263" s="27"/>
      <c r="AK263" s="8"/>
      <c r="AL263" s="8"/>
      <c r="AM263" s="27"/>
      <c r="AN263" s="27"/>
      <c r="AO263" s="27"/>
    </row>
    <row r="264" spans="1:41" ht="15" thickBot="1" x14ac:dyDescent="0.35">
      <c r="A264" s="51" t="s">
        <v>409</v>
      </c>
      <c r="B264" s="51" t="s">
        <v>414</v>
      </c>
      <c r="C264" s="51" t="s">
        <v>1192</v>
      </c>
      <c r="D264" s="51" t="s">
        <v>415</v>
      </c>
      <c r="E264" s="51" t="s">
        <v>15</v>
      </c>
      <c r="F264" s="51" t="s">
        <v>20</v>
      </c>
      <c r="G264" s="51" t="s">
        <v>852</v>
      </c>
      <c r="H264" s="53">
        <f t="shared" si="20"/>
        <v>30</v>
      </c>
      <c r="I264" s="17">
        <f t="shared" si="21"/>
        <v>0</v>
      </c>
      <c r="J264" s="18">
        <f t="shared" si="22"/>
        <v>1</v>
      </c>
      <c r="K264" s="27"/>
      <c r="L264" s="8"/>
      <c r="M264" s="8"/>
      <c r="N264" s="8"/>
      <c r="O264" s="27"/>
      <c r="P264" s="27"/>
      <c r="Q264" s="8"/>
      <c r="R264" s="8"/>
      <c r="S264" s="8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8"/>
      <c r="AH264" s="8"/>
      <c r="AI264" s="8"/>
      <c r="AJ264" s="27"/>
      <c r="AK264" s="8"/>
      <c r="AL264" s="8"/>
      <c r="AM264" s="27"/>
      <c r="AN264" s="27"/>
      <c r="AO264" s="27"/>
    </row>
    <row r="265" spans="1:41" ht="15" thickBot="1" x14ac:dyDescent="0.35">
      <c r="A265" s="51" t="s">
        <v>416</v>
      </c>
      <c r="B265" s="51" t="s">
        <v>417</v>
      </c>
      <c r="C265" s="51" t="s">
        <v>1192</v>
      </c>
      <c r="D265" s="51" t="s">
        <v>418</v>
      </c>
      <c r="E265" s="51" t="s">
        <v>73</v>
      </c>
      <c r="F265" s="51" t="s">
        <v>28</v>
      </c>
      <c r="G265" s="51" t="s">
        <v>858</v>
      </c>
      <c r="H265" s="53">
        <f t="shared" si="20"/>
        <v>30</v>
      </c>
      <c r="I265" s="17">
        <f t="shared" si="21"/>
        <v>0</v>
      </c>
      <c r="J265" s="18">
        <f t="shared" si="22"/>
        <v>1</v>
      </c>
      <c r="K265" s="27"/>
      <c r="L265" s="8"/>
      <c r="M265" s="8"/>
      <c r="N265" s="8"/>
      <c r="O265" s="27"/>
      <c r="P265" s="27"/>
      <c r="Q265" s="8"/>
      <c r="R265" s="8"/>
      <c r="S265" s="8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8"/>
      <c r="AH265" s="8"/>
      <c r="AI265" s="8"/>
      <c r="AJ265" s="27"/>
      <c r="AK265" s="8"/>
      <c r="AL265" s="8"/>
      <c r="AM265" s="27"/>
      <c r="AN265" s="27"/>
      <c r="AO265" s="27"/>
    </row>
    <row r="266" spans="1:41" ht="15" thickBot="1" x14ac:dyDescent="0.35">
      <c r="A266" s="51" t="s">
        <v>416</v>
      </c>
      <c r="B266" s="51" t="s">
        <v>419</v>
      </c>
      <c r="C266" s="51" t="s">
        <v>1192</v>
      </c>
      <c r="D266" s="51" t="s">
        <v>418</v>
      </c>
      <c r="E266" s="51" t="s">
        <v>73</v>
      </c>
      <c r="F266" s="51" t="s">
        <v>28</v>
      </c>
      <c r="G266" s="51" t="s">
        <v>859</v>
      </c>
      <c r="H266" s="53">
        <f t="shared" si="20"/>
        <v>30</v>
      </c>
      <c r="I266" s="17">
        <f t="shared" si="21"/>
        <v>0</v>
      </c>
      <c r="J266" s="18">
        <f t="shared" si="22"/>
        <v>1</v>
      </c>
      <c r="K266" s="27"/>
      <c r="L266" s="8"/>
      <c r="M266" s="8"/>
      <c r="N266" s="8"/>
      <c r="O266" s="27"/>
      <c r="P266" s="27"/>
      <c r="Q266" s="8"/>
      <c r="R266" s="8"/>
      <c r="S266" s="8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8"/>
      <c r="AH266" s="8"/>
      <c r="AI266" s="8"/>
      <c r="AJ266" s="27"/>
      <c r="AK266" s="8"/>
      <c r="AL266" s="8"/>
      <c r="AM266" s="27"/>
      <c r="AN266" s="27"/>
      <c r="AO266" s="27"/>
    </row>
    <row r="267" spans="1:41" ht="15" thickBot="1" x14ac:dyDescent="0.35">
      <c r="A267" s="51" t="s">
        <v>409</v>
      </c>
      <c r="B267" s="51" t="s">
        <v>420</v>
      </c>
      <c r="C267" s="51" t="s">
        <v>1192</v>
      </c>
      <c r="D267" s="51" t="s">
        <v>421</v>
      </c>
      <c r="E267" s="51" t="s">
        <v>73</v>
      </c>
      <c r="F267" s="51" t="s">
        <v>28</v>
      </c>
      <c r="G267" s="51" t="s">
        <v>860</v>
      </c>
      <c r="H267" s="53">
        <f t="shared" si="20"/>
        <v>29</v>
      </c>
      <c r="I267" s="17">
        <f t="shared" si="21"/>
        <v>1</v>
      </c>
      <c r="J267" s="18">
        <f t="shared" si="22"/>
        <v>0.96666666666666667</v>
      </c>
      <c r="K267" s="27"/>
      <c r="L267" s="8" t="s">
        <v>1010</v>
      </c>
      <c r="M267" s="8"/>
      <c r="N267" s="8"/>
      <c r="O267" s="27"/>
      <c r="P267" s="27"/>
      <c r="Q267" s="8"/>
      <c r="R267" s="8"/>
      <c r="S267" s="8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8"/>
      <c r="AH267" s="8"/>
      <c r="AI267" s="8"/>
      <c r="AJ267" s="27"/>
      <c r="AK267" s="8"/>
      <c r="AL267" s="8"/>
      <c r="AM267" s="27"/>
      <c r="AN267" s="27"/>
      <c r="AO267" s="27"/>
    </row>
    <row r="268" spans="1:41" ht="15" thickBot="1" x14ac:dyDescent="0.35">
      <c r="A268" s="51" t="s">
        <v>409</v>
      </c>
      <c r="B268" s="51" t="s">
        <v>422</v>
      </c>
      <c r="C268" s="51" t="s">
        <v>1192</v>
      </c>
      <c r="D268" s="51" t="s">
        <v>421</v>
      </c>
      <c r="E268" s="51" t="s">
        <v>73</v>
      </c>
      <c r="F268" s="51" t="s">
        <v>28</v>
      </c>
      <c r="G268" s="51" t="s">
        <v>861</v>
      </c>
      <c r="H268" s="53">
        <f t="shared" si="20"/>
        <v>29</v>
      </c>
      <c r="I268" s="17">
        <f t="shared" si="21"/>
        <v>1</v>
      </c>
      <c r="J268" s="18">
        <f t="shared" si="22"/>
        <v>0.96666666666666667</v>
      </c>
      <c r="K268" s="27"/>
      <c r="L268" s="8" t="s">
        <v>1010</v>
      </c>
      <c r="M268" s="8"/>
      <c r="N268" s="8"/>
      <c r="O268" s="27"/>
      <c r="P268" s="27"/>
      <c r="Q268" s="8"/>
      <c r="R268" s="8"/>
      <c r="S268" s="8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8"/>
      <c r="AH268" s="8"/>
      <c r="AI268" s="8"/>
      <c r="AJ268" s="27"/>
      <c r="AK268" s="8"/>
      <c r="AL268" s="8"/>
      <c r="AM268" s="27"/>
      <c r="AN268" s="27"/>
      <c r="AO268" s="27"/>
    </row>
    <row r="269" spans="1:41" ht="15" thickBot="1" x14ac:dyDescent="0.35">
      <c r="A269" s="51" t="s">
        <v>409</v>
      </c>
      <c r="B269" s="51" t="s">
        <v>423</v>
      </c>
      <c r="C269" s="51" t="s">
        <v>1192</v>
      </c>
      <c r="D269" s="51" t="s">
        <v>424</v>
      </c>
      <c r="E269" s="51" t="s">
        <v>73</v>
      </c>
      <c r="F269" s="51" t="s">
        <v>28</v>
      </c>
      <c r="G269" s="51" t="s">
        <v>862</v>
      </c>
      <c r="H269" s="53">
        <f t="shared" si="20"/>
        <v>29</v>
      </c>
      <c r="I269" s="17">
        <f t="shared" si="21"/>
        <v>1</v>
      </c>
      <c r="J269" s="18">
        <f t="shared" si="22"/>
        <v>0.96666666666666667</v>
      </c>
      <c r="K269" s="27"/>
      <c r="L269" s="8" t="s">
        <v>1010</v>
      </c>
      <c r="M269" s="8"/>
      <c r="N269" s="8"/>
      <c r="O269" s="27"/>
      <c r="P269" s="27"/>
      <c r="Q269" s="8"/>
      <c r="R269" s="8"/>
      <c r="S269" s="8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8"/>
      <c r="AH269" s="8"/>
      <c r="AI269" s="8"/>
      <c r="AJ269" s="27"/>
      <c r="AK269" s="8"/>
      <c r="AL269" s="8"/>
      <c r="AM269" s="27"/>
      <c r="AN269" s="27"/>
      <c r="AO269" s="27"/>
    </row>
    <row r="270" spans="1:41" ht="15" thickBot="1" x14ac:dyDescent="0.35">
      <c r="A270" s="51" t="s">
        <v>409</v>
      </c>
      <c r="B270" s="51" t="s">
        <v>425</v>
      </c>
      <c r="C270" s="51" t="s">
        <v>1192</v>
      </c>
      <c r="D270" s="51" t="s">
        <v>424</v>
      </c>
      <c r="E270" s="51" t="s">
        <v>73</v>
      </c>
      <c r="F270" s="51" t="s">
        <v>28</v>
      </c>
      <c r="G270" s="51" t="s">
        <v>863</v>
      </c>
      <c r="H270" s="53">
        <f t="shared" si="20"/>
        <v>29</v>
      </c>
      <c r="I270" s="17">
        <f t="shared" si="21"/>
        <v>1</v>
      </c>
      <c r="J270" s="18">
        <f t="shared" si="22"/>
        <v>0.96666666666666667</v>
      </c>
      <c r="K270" s="27"/>
      <c r="L270" s="8" t="s">
        <v>1010</v>
      </c>
      <c r="M270" s="8"/>
      <c r="N270" s="8"/>
      <c r="O270" s="27"/>
      <c r="P270" s="27"/>
      <c r="Q270" s="8"/>
      <c r="R270" s="8"/>
      <c r="S270" s="8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8"/>
      <c r="AH270" s="8"/>
      <c r="AI270" s="8"/>
      <c r="AJ270" s="27"/>
      <c r="AK270" s="8"/>
      <c r="AL270" s="8"/>
      <c r="AM270" s="27"/>
      <c r="AN270" s="27"/>
      <c r="AO270" s="27"/>
    </row>
    <row r="271" spans="1:41" ht="15" thickBot="1" x14ac:dyDescent="0.35">
      <c r="A271" s="51" t="s">
        <v>199</v>
      </c>
      <c r="B271" s="51" t="s">
        <v>426</v>
      </c>
      <c r="C271" s="51" t="s">
        <v>1193</v>
      </c>
      <c r="D271" s="51" t="s">
        <v>427</v>
      </c>
      <c r="E271" s="51" t="s">
        <v>15</v>
      </c>
      <c r="F271" s="51" t="s">
        <v>20</v>
      </c>
      <c r="G271" s="51" t="s">
        <v>866</v>
      </c>
      <c r="H271" s="53">
        <f t="shared" si="20"/>
        <v>30</v>
      </c>
      <c r="I271" s="17">
        <f t="shared" si="21"/>
        <v>0</v>
      </c>
      <c r="J271" s="18">
        <f t="shared" si="22"/>
        <v>1</v>
      </c>
      <c r="K271" s="27"/>
      <c r="L271" s="8"/>
      <c r="M271" s="8"/>
      <c r="N271" s="8"/>
      <c r="O271" s="27"/>
      <c r="P271" s="27"/>
      <c r="Q271" s="8"/>
      <c r="R271" s="8"/>
      <c r="S271" s="8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8"/>
      <c r="AH271" s="8"/>
      <c r="AI271" s="8"/>
      <c r="AJ271" s="27"/>
      <c r="AK271" s="8"/>
      <c r="AL271" s="8"/>
      <c r="AM271" s="27"/>
      <c r="AN271" s="27"/>
      <c r="AO271" s="27"/>
    </row>
    <row r="272" spans="1:41" ht="15" thickBot="1" x14ac:dyDescent="0.35">
      <c r="A272" s="51" t="s">
        <v>199</v>
      </c>
      <c r="B272" s="51" t="s">
        <v>428</v>
      </c>
      <c r="C272" s="51" t="s">
        <v>1193</v>
      </c>
      <c r="D272" s="51" t="s">
        <v>429</v>
      </c>
      <c r="E272" s="51" t="s">
        <v>15</v>
      </c>
      <c r="F272" s="51" t="s">
        <v>20</v>
      </c>
      <c r="G272" s="51" t="s">
        <v>868</v>
      </c>
      <c r="H272" s="53">
        <f t="shared" si="20"/>
        <v>30</v>
      </c>
      <c r="I272" s="17">
        <f t="shared" si="21"/>
        <v>0</v>
      </c>
      <c r="J272" s="18">
        <f t="shared" si="22"/>
        <v>1</v>
      </c>
      <c r="K272" s="27"/>
      <c r="L272" s="8"/>
      <c r="M272" s="8"/>
      <c r="N272" s="8"/>
      <c r="O272" s="27"/>
      <c r="P272" s="27"/>
      <c r="Q272" s="8"/>
      <c r="R272" s="8"/>
      <c r="S272" s="8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8"/>
      <c r="AH272" s="8"/>
      <c r="AI272" s="8"/>
      <c r="AJ272" s="27"/>
      <c r="AK272" s="8"/>
      <c r="AL272" s="8"/>
      <c r="AM272" s="27"/>
      <c r="AN272" s="27"/>
      <c r="AO272" s="27"/>
    </row>
    <row r="273" spans="1:41" ht="15" thickBot="1" x14ac:dyDescent="0.35">
      <c r="A273" s="51" t="s">
        <v>199</v>
      </c>
      <c r="B273" s="51" t="s">
        <v>1135</v>
      </c>
      <c r="C273" s="51" t="s">
        <v>1193</v>
      </c>
      <c r="D273" s="51" t="s">
        <v>1136</v>
      </c>
      <c r="E273" s="51" t="s">
        <v>73</v>
      </c>
      <c r="F273" s="51" t="s">
        <v>20</v>
      </c>
      <c r="G273" s="51"/>
      <c r="H273" s="53">
        <f t="shared" si="20"/>
        <v>30</v>
      </c>
      <c r="I273" s="17">
        <f t="shared" si="21"/>
        <v>0</v>
      </c>
      <c r="J273" s="18">
        <f t="shared" si="22"/>
        <v>1</v>
      </c>
      <c r="K273" s="27"/>
      <c r="L273" s="8"/>
      <c r="M273" s="8"/>
      <c r="N273" s="8"/>
      <c r="O273" s="27"/>
      <c r="P273" s="27"/>
      <c r="Q273" s="8"/>
      <c r="R273" s="8"/>
      <c r="S273" s="8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8"/>
      <c r="AH273" s="8"/>
      <c r="AI273" s="8"/>
      <c r="AJ273" s="27"/>
      <c r="AK273" s="8"/>
      <c r="AL273" s="8"/>
      <c r="AM273" s="27"/>
      <c r="AN273" s="27"/>
      <c r="AO273" s="27"/>
    </row>
    <row r="274" spans="1:41" ht="15" thickBot="1" x14ac:dyDescent="0.35">
      <c r="A274" s="51" t="s">
        <v>199</v>
      </c>
      <c r="B274" s="51" t="s">
        <v>1137</v>
      </c>
      <c r="C274" s="51" t="s">
        <v>1193</v>
      </c>
      <c r="D274" s="51" t="s">
        <v>1136</v>
      </c>
      <c r="E274" s="51" t="s">
        <v>73</v>
      </c>
      <c r="F274" s="51" t="s">
        <v>20</v>
      </c>
      <c r="G274" s="51"/>
      <c r="H274" s="53">
        <f t="shared" si="20"/>
        <v>30</v>
      </c>
      <c r="I274" s="17">
        <f t="shared" si="21"/>
        <v>0</v>
      </c>
      <c r="J274" s="18">
        <f t="shared" si="22"/>
        <v>1</v>
      </c>
      <c r="K274" s="27"/>
      <c r="L274" s="8"/>
      <c r="M274" s="8"/>
      <c r="N274" s="8"/>
      <c r="O274" s="27"/>
      <c r="P274" s="27"/>
      <c r="Q274" s="8"/>
      <c r="R274" s="8"/>
      <c r="S274" s="8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8"/>
      <c r="AH274" s="8"/>
      <c r="AI274" s="8"/>
      <c r="AJ274" s="27"/>
      <c r="AK274" s="8"/>
      <c r="AL274" s="8"/>
      <c r="AM274" s="27"/>
      <c r="AN274" s="27"/>
      <c r="AO274" s="27"/>
    </row>
    <row r="275" spans="1:41" ht="15" thickBot="1" x14ac:dyDescent="0.35">
      <c r="A275" s="51" t="s">
        <v>199</v>
      </c>
      <c r="B275" s="51" t="s">
        <v>430</v>
      </c>
      <c r="C275" s="51" t="s">
        <v>1193</v>
      </c>
      <c r="D275" s="51" t="s">
        <v>431</v>
      </c>
      <c r="E275" s="51" t="s">
        <v>19</v>
      </c>
      <c r="F275" s="51" t="s">
        <v>20</v>
      </c>
      <c r="G275" s="51" t="s">
        <v>864</v>
      </c>
      <c r="H275" s="53">
        <f t="shared" si="20"/>
        <v>30</v>
      </c>
      <c r="I275" s="17">
        <f t="shared" si="21"/>
        <v>0</v>
      </c>
      <c r="J275" s="18">
        <f t="shared" si="22"/>
        <v>1</v>
      </c>
      <c r="K275" s="27"/>
      <c r="L275" s="8"/>
      <c r="M275" s="8"/>
      <c r="N275" s="8"/>
      <c r="O275" s="27"/>
      <c r="P275" s="27"/>
      <c r="Q275" s="8"/>
      <c r="R275" s="8"/>
      <c r="S275" s="8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8"/>
      <c r="AH275" s="8"/>
      <c r="AI275" s="8"/>
      <c r="AJ275" s="27"/>
      <c r="AK275" s="8"/>
      <c r="AL275" s="8"/>
      <c r="AM275" s="27"/>
      <c r="AN275" s="27"/>
      <c r="AO275" s="27"/>
    </row>
    <row r="276" spans="1:41" ht="15" thickBot="1" x14ac:dyDescent="0.35">
      <c r="A276" s="51" t="s">
        <v>199</v>
      </c>
      <c r="B276" s="51" t="s">
        <v>432</v>
      </c>
      <c r="C276" s="51" t="s">
        <v>1193</v>
      </c>
      <c r="D276" s="51" t="s">
        <v>433</v>
      </c>
      <c r="E276" s="51" t="s">
        <v>19</v>
      </c>
      <c r="F276" s="51" t="s">
        <v>20</v>
      </c>
      <c r="G276" s="51" t="s">
        <v>865</v>
      </c>
      <c r="H276" s="53">
        <f t="shared" si="20"/>
        <v>30</v>
      </c>
      <c r="I276" s="17">
        <f t="shared" si="21"/>
        <v>0</v>
      </c>
      <c r="J276" s="18">
        <f t="shared" si="22"/>
        <v>1</v>
      </c>
      <c r="K276" s="27"/>
      <c r="L276" s="8"/>
      <c r="M276" s="8"/>
      <c r="N276" s="8"/>
      <c r="O276" s="27"/>
      <c r="P276" s="27"/>
      <c r="Q276" s="8"/>
      <c r="R276" s="8"/>
      <c r="S276" s="8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8"/>
      <c r="AH276" s="8"/>
      <c r="AI276" s="8"/>
      <c r="AJ276" s="27"/>
      <c r="AK276" s="8"/>
      <c r="AL276" s="8"/>
      <c r="AM276" s="27"/>
      <c r="AN276" s="27"/>
      <c r="AO276" s="27"/>
    </row>
    <row r="277" spans="1:41" ht="15" thickBot="1" x14ac:dyDescent="0.35">
      <c r="A277" s="51" t="s">
        <v>199</v>
      </c>
      <c r="B277" s="51" t="s">
        <v>434</v>
      </c>
      <c r="C277" s="51" t="s">
        <v>1193</v>
      </c>
      <c r="D277" s="51" t="s">
        <v>435</v>
      </c>
      <c r="E277" s="51" t="s">
        <v>73</v>
      </c>
      <c r="F277" s="51" t="s">
        <v>28</v>
      </c>
      <c r="G277" s="51" t="s">
        <v>869</v>
      </c>
      <c r="H277" s="53">
        <f t="shared" si="20"/>
        <v>30</v>
      </c>
      <c r="I277" s="17">
        <f t="shared" si="21"/>
        <v>0</v>
      </c>
      <c r="J277" s="18">
        <f t="shared" si="22"/>
        <v>1</v>
      </c>
      <c r="K277" s="27"/>
      <c r="L277" s="8"/>
      <c r="M277" s="8"/>
      <c r="N277" s="8"/>
      <c r="O277" s="27"/>
      <c r="P277" s="27"/>
      <c r="Q277" s="8"/>
      <c r="R277" s="8"/>
      <c r="S277" s="8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8"/>
      <c r="AH277" s="8"/>
      <c r="AI277" s="8"/>
      <c r="AJ277" s="27"/>
      <c r="AK277" s="8"/>
      <c r="AL277" s="8"/>
      <c r="AM277" s="27"/>
      <c r="AN277" s="27"/>
      <c r="AO277" s="27"/>
    </row>
    <row r="278" spans="1:41" ht="15" thickBot="1" x14ac:dyDescent="0.35">
      <c r="A278" s="51" t="s">
        <v>199</v>
      </c>
      <c r="B278" s="51" t="s">
        <v>436</v>
      </c>
      <c r="C278" s="51" t="s">
        <v>1193</v>
      </c>
      <c r="D278" s="51" t="s">
        <v>435</v>
      </c>
      <c r="E278" s="51" t="s">
        <v>73</v>
      </c>
      <c r="F278" s="51" t="s">
        <v>28</v>
      </c>
      <c r="G278" s="51" t="s">
        <v>870</v>
      </c>
      <c r="H278" s="53">
        <f t="shared" si="20"/>
        <v>30</v>
      </c>
      <c r="I278" s="17">
        <f t="shared" si="21"/>
        <v>0</v>
      </c>
      <c r="J278" s="18">
        <f t="shared" si="22"/>
        <v>1</v>
      </c>
      <c r="K278" s="27"/>
      <c r="L278" s="8"/>
      <c r="M278" s="8"/>
      <c r="N278" s="8"/>
      <c r="O278" s="27"/>
      <c r="P278" s="27"/>
      <c r="Q278" s="8"/>
      <c r="R278" s="8"/>
      <c r="S278" s="8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8"/>
      <c r="AH278" s="8"/>
      <c r="AI278" s="8"/>
      <c r="AJ278" s="27"/>
      <c r="AK278" s="8"/>
      <c r="AL278" s="8"/>
      <c r="AM278" s="27"/>
      <c r="AN278" s="27"/>
      <c r="AO278" s="27"/>
    </row>
    <row r="279" spans="1:41" ht="15" thickBot="1" x14ac:dyDescent="0.35">
      <c r="A279" s="51" t="s">
        <v>199</v>
      </c>
      <c r="B279" s="51" t="s">
        <v>437</v>
      </c>
      <c r="C279" s="51" t="s">
        <v>1193</v>
      </c>
      <c r="D279" s="51" t="s">
        <v>438</v>
      </c>
      <c r="E279" s="51" t="s">
        <v>73</v>
      </c>
      <c r="F279" s="51" t="s">
        <v>28</v>
      </c>
      <c r="G279" s="51" t="s">
        <v>871</v>
      </c>
      <c r="H279" s="53">
        <f t="shared" si="20"/>
        <v>30</v>
      </c>
      <c r="I279" s="17">
        <f t="shared" si="21"/>
        <v>0</v>
      </c>
      <c r="J279" s="18">
        <f t="shared" si="22"/>
        <v>1</v>
      </c>
      <c r="K279" s="27"/>
      <c r="L279" s="8"/>
      <c r="M279" s="8"/>
      <c r="N279" s="8"/>
      <c r="O279" s="27"/>
      <c r="P279" s="27"/>
      <c r="Q279" s="8"/>
      <c r="R279" s="8"/>
      <c r="S279" s="8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8"/>
      <c r="AH279" s="8"/>
      <c r="AI279" s="8"/>
      <c r="AJ279" s="27"/>
      <c r="AK279" s="8"/>
      <c r="AL279" s="8"/>
      <c r="AM279" s="27"/>
      <c r="AN279" s="27"/>
      <c r="AO279" s="27"/>
    </row>
    <row r="280" spans="1:41" ht="15" thickBot="1" x14ac:dyDescent="0.35">
      <c r="A280" s="51" t="s">
        <v>199</v>
      </c>
      <c r="B280" s="51" t="s">
        <v>439</v>
      </c>
      <c r="C280" s="51" t="s">
        <v>1193</v>
      </c>
      <c r="D280" s="51" t="s">
        <v>438</v>
      </c>
      <c r="E280" s="51" t="s">
        <v>73</v>
      </c>
      <c r="F280" s="51" t="s">
        <v>28</v>
      </c>
      <c r="G280" s="51" t="s">
        <v>872</v>
      </c>
      <c r="H280" s="53">
        <f t="shared" si="20"/>
        <v>30</v>
      </c>
      <c r="I280" s="17">
        <f t="shared" si="21"/>
        <v>0</v>
      </c>
      <c r="J280" s="18">
        <f t="shared" si="22"/>
        <v>1</v>
      </c>
      <c r="K280" s="27"/>
      <c r="L280" s="8"/>
      <c r="M280" s="8"/>
      <c r="N280" s="8"/>
      <c r="O280" s="27"/>
      <c r="P280" s="27"/>
      <c r="Q280" s="8"/>
      <c r="R280" s="8"/>
      <c r="S280" s="8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8"/>
      <c r="AH280" s="8"/>
      <c r="AI280" s="8"/>
      <c r="AJ280" s="27"/>
      <c r="AK280" s="8"/>
      <c r="AL280" s="8"/>
      <c r="AM280" s="27"/>
      <c r="AN280" s="27"/>
      <c r="AO280" s="27"/>
    </row>
    <row r="281" spans="1:41" ht="15" thickBot="1" x14ac:dyDescent="0.35">
      <c r="A281" s="51" t="s">
        <v>440</v>
      </c>
      <c r="B281" s="51" t="s">
        <v>441</v>
      </c>
      <c r="C281" s="51" t="s">
        <v>1193</v>
      </c>
      <c r="D281" s="51" t="s">
        <v>442</v>
      </c>
      <c r="E281" s="51" t="s">
        <v>19</v>
      </c>
      <c r="F281" s="51" t="s">
        <v>20</v>
      </c>
      <c r="G281" s="51" t="s">
        <v>873</v>
      </c>
      <c r="H281" s="53">
        <f t="shared" si="20"/>
        <v>30</v>
      </c>
      <c r="I281" s="17">
        <f t="shared" si="21"/>
        <v>0</v>
      </c>
      <c r="J281" s="18">
        <f t="shared" si="22"/>
        <v>1</v>
      </c>
      <c r="K281" s="27"/>
      <c r="L281" s="8"/>
      <c r="M281" s="8"/>
      <c r="N281" s="8"/>
      <c r="O281" s="27"/>
      <c r="P281" s="27"/>
      <c r="Q281" s="8"/>
      <c r="R281" s="8"/>
      <c r="S281" s="8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8"/>
      <c r="AH281" s="8"/>
      <c r="AI281" s="8"/>
      <c r="AJ281" s="27"/>
      <c r="AK281" s="8"/>
      <c r="AL281" s="8"/>
      <c r="AM281" s="27"/>
      <c r="AN281" s="27"/>
      <c r="AO281" s="27"/>
    </row>
    <row r="282" spans="1:41" ht="15" thickBot="1" x14ac:dyDescent="0.35">
      <c r="A282" s="51" t="s">
        <v>445</v>
      </c>
      <c r="B282" s="51" t="s">
        <v>443</v>
      </c>
      <c r="C282" s="51" t="s">
        <v>1193</v>
      </c>
      <c r="D282" s="51" t="s">
        <v>444</v>
      </c>
      <c r="E282" s="51" t="s">
        <v>19</v>
      </c>
      <c r="F282" s="51" t="s">
        <v>20</v>
      </c>
      <c r="G282" s="51" t="s">
        <v>876</v>
      </c>
      <c r="H282" s="53">
        <f t="shared" si="20"/>
        <v>30</v>
      </c>
      <c r="I282" s="17">
        <f t="shared" si="21"/>
        <v>0</v>
      </c>
      <c r="J282" s="18">
        <f t="shared" si="22"/>
        <v>1</v>
      </c>
      <c r="K282" s="27"/>
      <c r="L282" s="8"/>
      <c r="M282" s="8"/>
      <c r="N282" s="8"/>
      <c r="O282" s="27"/>
      <c r="P282" s="27"/>
      <c r="Q282" s="8"/>
      <c r="R282" s="8"/>
      <c r="S282" s="8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8"/>
      <c r="AH282" s="8"/>
      <c r="AI282" s="8"/>
      <c r="AJ282" s="27"/>
      <c r="AK282" s="8"/>
      <c r="AL282" s="8"/>
      <c r="AM282" s="27"/>
      <c r="AN282" s="27"/>
      <c r="AO282" s="27"/>
    </row>
    <row r="283" spans="1:41" ht="15" thickBot="1" x14ac:dyDescent="0.35">
      <c r="A283" s="51" t="s">
        <v>445</v>
      </c>
      <c r="B283" s="51" t="s">
        <v>446</v>
      </c>
      <c r="C283" s="51" t="s">
        <v>1193</v>
      </c>
      <c r="D283" s="51" t="s">
        <v>447</v>
      </c>
      <c r="E283" s="51" t="s">
        <v>46</v>
      </c>
      <c r="F283" s="51" t="s">
        <v>20</v>
      </c>
      <c r="G283" s="51" t="s">
        <v>877</v>
      </c>
      <c r="H283" s="53">
        <f t="shared" si="20"/>
        <v>30</v>
      </c>
      <c r="I283" s="17">
        <f t="shared" si="21"/>
        <v>0</v>
      </c>
      <c r="J283" s="18">
        <f t="shared" si="22"/>
        <v>1</v>
      </c>
      <c r="K283" s="27"/>
      <c r="L283" s="8"/>
      <c r="M283" s="8"/>
      <c r="N283" s="8"/>
      <c r="O283" s="27"/>
      <c r="P283" s="27"/>
      <c r="Q283" s="8"/>
      <c r="R283" s="8"/>
      <c r="S283" s="8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8"/>
      <c r="AH283" s="8"/>
      <c r="AI283" s="8"/>
      <c r="AJ283" s="27"/>
      <c r="AK283" s="8"/>
      <c r="AL283" s="8"/>
      <c r="AM283" s="27"/>
      <c r="AN283" s="27"/>
      <c r="AO283" s="27"/>
    </row>
    <row r="284" spans="1:41" ht="15" thickBot="1" x14ac:dyDescent="0.35">
      <c r="A284" s="51" t="s">
        <v>445</v>
      </c>
      <c r="B284" s="51" t="s">
        <v>448</v>
      </c>
      <c r="C284" s="51" t="s">
        <v>1193</v>
      </c>
      <c r="D284" s="51" t="s">
        <v>449</v>
      </c>
      <c r="E284" s="51" t="s">
        <v>15</v>
      </c>
      <c r="F284" s="51" t="s">
        <v>28</v>
      </c>
      <c r="G284" s="51" t="s">
        <v>879</v>
      </c>
      <c r="H284" s="53">
        <f t="shared" si="20"/>
        <v>30</v>
      </c>
      <c r="I284" s="17">
        <f t="shared" si="21"/>
        <v>0</v>
      </c>
      <c r="J284" s="18">
        <f t="shared" si="22"/>
        <v>1</v>
      </c>
      <c r="K284" s="27"/>
      <c r="L284" s="8"/>
      <c r="M284" s="8"/>
      <c r="N284" s="8"/>
      <c r="O284" s="27"/>
      <c r="P284" s="27"/>
      <c r="Q284" s="8"/>
      <c r="R284" s="8"/>
      <c r="S284" s="8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8"/>
      <c r="AH284" s="8"/>
      <c r="AI284" s="8"/>
      <c r="AJ284" s="27"/>
      <c r="AK284" s="8"/>
      <c r="AL284" s="8"/>
      <c r="AM284" s="27"/>
      <c r="AN284" s="27"/>
      <c r="AO284" s="27"/>
    </row>
    <row r="285" spans="1:41" ht="15" thickBot="1" x14ac:dyDescent="0.35">
      <c r="A285" s="51" t="s">
        <v>445</v>
      </c>
      <c r="B285" s="51" t="s">
        <v>450</v>
      </c>
      <c r="C285" s="51" t="s">
        <v>1193</v>
      </c>
      <c r="D285" s="51" t="s">
        <v>451</v>
      </c>
      <c r="E285" s="51" t="s">
        <v>15</v>
      </c>
      <c r="F285" s="51" t="s">
        <v>28</v>
      </c>
      <c r="G285" s="51" t="s">
        <v>880</v>
      </c>
      <c r="H285" s="53">
        <f t="shared" si="20"/>
        <v>30</v>
      </c>
      <c r="I285" s="17">
        <f t="shared" si="21"/>
        <v>0</v>
      </c>
      <c r="J285" s="18">
        <f t="shared" si="22"/>
        <v>1</v>
      </c>
      <c r="K285" s="27"/>
      <c r="L285" s="8"/>
      <c r="M285" s="8"/>
      <c r="N285" s="8"/>
      <c r="O285" s="27"/>
      <c r="P285" s="27"/>
      <c r="Q285" s="8"/>
      <c r="R285" s="8"/>
      <c r="S285" s="8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8"/>
      <c r="AH285" s="8"/>
      <c r="AI285" s="8"/>
      <c r="AJ285" s="27"/>
      <c r="AK285" s="8"/>
      <c r="AL285" s="8"/>
      <c r="AM285" s="27"/>
      <c r="AN285" s="27"/>
      <c r="AO285" s="27"/>
    </row>
    <row r="286" spans="1:41" ht="15" thickBot="1" x14ac:dyDescent="0.35">
      <c r="A286" s="51" t="s">
        <v>445</v>
      </c>
      <c r="B286" s="51" t="s">
        <v>452</v>
      </c>
      <c r="C286" s="51" t="s">
        <v>1193</v>
      </c>
      <c r="D286" s="51" t="s">
        <v>453</v>
      </c>
      <c r="E286" s="51" t="s">
        <v>15</v>
      </c>
      <c r="F286" s="51" t="s">
        <v>20</v>
      </c>
      <c r="G286" s="51" t="s">
        <v>874</v>
      </c>
      <c r="H286" s="53">
        <f t="shared" si="20"/>
        <v>30</v>
      </c>
      <c r="I286" s="17">
        <f t="shared" si="21"/>
        <v>0</v>
      </c>
      <c r="J286" s="18">
        <f t="shared" si="22"/>
        <v>1</v>
      </c>
      <c r="K286" s="27"/>
      <c r="L286" s="8"/>
      <c r="M286" s="8"/>
      <c r="N286" s="8"/>
      <c r="O286" s="27"/>
      <c r="P286" s="27"/>
      <c r="Q286" s="8"/>
      <c r="R286" s="8"/>
      <c r="S286" s="8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8"/>
      <c r="AH286" s="8"/>
      <c r="AI286" s="8"/>
      <c r="AJ286" s="27"/>
      <c r="AK286" s="8"/>
      <c r="AL286" s="8"/>
      <c r="AM286" s="27"/>
      <c r="AN286" s="27"/>
      <c r="AO286" s="27"/>
    </row>
    <row r="287" spans="1:41" ht="15" thickBot="1" x14ac:dyDescent="0.35">
      <c r="A287" s="51" t="s">
        <v>445</v>
      </c>
      <c r="B287" s="51" t="s">
        <v>454</v>
      </c>
      <c r="C287" s="51" t="s">
        <v>1193</v>
      </c>
      <c r="D287" s="51" t="s">
        <v>455</v>
      </c>
      <c r="E287" s="51" t="s">
        <v>19</v>
      </c>
      <c r="F287" s="51" t="s">
        <v>20</v>
      </c>
      <c r="G287" s="51" t="s">
        <v>875</v>
      </c>
      <c r="H287" s="53">
        <f t="shared" si="20"/>
        <v>30</v>
      </c>
      <c r="I287" s="17">
        <f t="shared" si="21"/>
        <v>0</v>
      </c>
      <c r="J287" s="18">
        <f t="shared" si="22"/>
        <v>1</v>
      </c>
      <c r="K287" s="27"/>
      <c r="L287" s="8"/>
      <c r="M287" s="8"/>
      <c r="N287" s="8"/>
      <c r="O287" s="27"/>
      <c r="P287" s="27"/>
      <c r="Q287" s="8"/>
      <c r="R287" s="8"/>
      <c r="S287" s="8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8"/>
      <c r="AH287" s="8"/>
      <c r="AI287" s="8"/>
      <c r="AJ287" s="27"/>
      <c r="AK287" s="8"/>
      <c r="AL287" s="8"/>
      <c r="AM287" s="27"/>
      <c r="AN287" s="27"/>
      <c r="AO287" s="27"/>
    </row>
    <row r="288" spans="1:41" ht="15" thickBot="1" x14ac:dyDescent="0.35">
      <c r="A288" s="51" t="s">
        <v>445</v>
      </c>
      <c r="B288" s="51" t="s">
        <v>456</v>
      </c>
      <c r="C288" s="51" t="s">
        <v>1193</v>
      </c>
      <c r="D288" s="51" t="s">
        <v>457</v>
      </c>
      <c r="E288" s="51" t="s">
        <v>15</v>
      </c>
      <c r="F288" s="51" t="s">
        <v>1185</v>
      </c>
      <c r="G288" s="51" t="s">
        <v>878</v>
      </c>
      <c r="H288" s="53">
        <f t="shared" si="20"/>
        <v>30</v>
      </c>
      <c r="I288" s="17">
        <f t="shared" si="21"/>
        <v>0</v>
      </c>
      <c r="J288" s="18">
        <f t="shared" si="22"/>
        <v>1</v>
      </c>
      <c r="K288" s="27"/>
      <c r="L288" s="8"/>
      <c r="M288" s="8"/>
      <c r="N288" s="8"/>
      <c r="O288" s="27"/>
      <c r="P288" s="27"/>
      <c r="Q288" s="8"/>
      <c r="R288" s="8"/>
      <c r="S288" s="8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8"/>
      <c r="AH288" s="8"/>
      <c r="AI288" s="8"/>
      <c r="AJ288" s="27"/>
      <c r="AK288" s="8"/>
      <c r="AL288" s="8"/>
      <c r="AM288" s="27"/>
      <c r="AN288" s="27"/>
      <c r="AO288" s="27"/>
    </row>
    <row r="289" spans="1:41" ht="16.95" customHeight="1" thickBot="1" x14ac:dyDescent="0.35">
      <c r="A289" s="51" t="s">
        <v>168</v>
      </c>
      <c r="B289" s="51" t="s">
        <v>1138</v>
      </c>
      <c r="C289" s="51" t="s">
        <v>1192</v>
      </c>
      <c r="D289" s="51" t="s">
        <v>461</v>
      </c>
      <c r="E289" s="51" t="s">
        <v>73</v>
      </c>
      <c r="F289" s="51" t="s">
        <v>28</v>
      </c>
      <c r="G289" s="51" t="s">
        <v>883</v>
      </c>
      <c r="H289" s="53">
        <f t="shared" si="20"/>
        <v>21</v>
      </c>
      <c r="I289" s="17">
        <f t="shared" si="21"/>
        <v>9</v>
      </c>
      <c r="J289" s="18">
        <f t="shared" si="22"/>
        <v>0.7</v>
      </c>
      <c r="K289" s="27" t="s">
        <v>1010</v>
      </c>
      <c r="L289" s="8" t="s">
        <v>1010</v>
      </c>
      <c r="M289" s="8"/>
      <c r="N289" s="8"/>
      <c r="O289" s="27"/>
      <c r="P289" s="27"/>
      <c r="Q289" s="8"/>
      <c r="R289" s="8"/>
      <c r="S289" s="8" t="s">
        <v>1010</v>
      </c>
      <c r="T289" s="27" t="s">
        <v>1010</v>
      </c>
      <c r="U289" s="27" t="s">
        <v>1010</v>
      </c>
      <c r="V289" s="27" t="s">
        <v>1010</v>
      </c>
      <c r="W289" s="27" t="s">
        <v>1010</v>
      </c>
      <c r="X289" s="27" t="s">
        <v>1010</v>
      </c>
      <c r="Y289" s="27" t="s">
        <v>1010</v>
      </c>
      <c r="Z289" s="27"/>
      <c r="AA289" s="27"/>
      <c r="AB289" s="27"/>
      <c r="AC289" s="27"/>
      <c r="AD289" s="27"/>
      <c r="AE289" s="27"/>
      <c r="AF289" s="27"/>
      <c r="AG289" s="8"/>
      <c r="AH289" s="8"/>
      <c r="AI289" s="8"/>
      <c r="AJ289" s="27"/>
      <c r="AK289" s="8"/>
      <c r="AL289" s="8"/>
      <c r="AM289" s="27"/>
      <c r="AN289" s="27"/>
      <c r="AO289" s="27"/>
    </row>
    <row r="290" spans="1:41" ht="15" thickBot="1" x14ac:dyDescent="0.35">
      <c r="A290" s="51" t="s">
        <v>168</v>
      </c>
      <c r="B290" s="51" t="s">
        <v>1139</v>
      </c>
      <c r="C290" s="51" t="s">
        <v>1192</v>
      </c>
      <c r="D290" s="51" t="s">
        <v>461</v>
      </c>
      <c r="E290" s="51" t="s">
        <v>73</v>
      </c>
      <c r="F290" s="51" t="s">
        <v>28</v>
      </c>
      <c r="G290" s="51" t="s">
        <v>884</v>
      </c>
      <c r="H290" s="53">
        <f t="shared" si="20"/>
        <v>21</v>
      </c>
      <c r="I290" s="17">
        <f t="shared" si="21"/>
        <v>9</v>
      </c>
      <c r="J290" s="18">
        <f t="shared" si="22"/>
        <v>0.7</v>
      </c>
      <c r="K290" s="27" t="s">
        <v>1010</v>
      </c>
      <c r="L290" s="8" t="s">
        <v>1010</v>
      </c>
      <c r="M290" s="8"/>
      <c r="N290" s="8"/>
      <c r="O290" s="27"/>
      <c r="P290" s="27"/>
      <c r="Q290" s="8"/>
      <c r="R290" s="8"/>
      <c r="S290" s="8" t="s">
        <v>1010</v>
      </c>
      <c r="T290" s="27" t="s">
        <v>1010</v>
      </c>
      <c r="U290" s="27" t="s">
        <v>1010</v>
      </c>
      <c r="V290" s="27" t="s">
        <v>1010</v>
      </c>
      <c r="W290" s="27" t="s">
        <v>1010</v>
      </c>
      <c r="X290" s="27" t="s">
        <v>1010</v>
      </c>
      <c r="Y290" s="27" t="s">
        <v>1010</v>
      </c>
      <c r="Z290" s="27"/>
      <c r="AA290" s="27"/>
      <c r="AB290" s="27"/>
      <c r="AC290" s="27"/>
      <c r="AD290" s="27"/>
      <c r="AE290" s="27"/>
      <c r="AF290" s="27"/>
      <c r="AG290" s="8"/>
      <c r="AH290" s="8"/>
      <c r="AI290" s="8"/>
      <c r="AJ290" s="27"/>
      <c r="AK290" s="8"/>
      <c r="AL290" s="8"/>
      <c r="AM290" s="27"/>
      <c r="AN290" s="27"/>
      <c r="AO290" s="27"/>
    </row>
    <row r="291" spans="1:41" ht="15" thickBot="1" x14ac:dyDescent="0.35">
      <c r="A291" s="51" t="s">
        <v>168</v>
      </c>
      <c r="B291" s="51" t="s">
        <v>458</v>
      </c>
      <c r="C291" s="51" t="s">
        <v>1192</v>
      </c>
      <c r="D291" s="51" t="s">
        <v>459</v>
      </c>
      <c r="E291" s="51" t="s">
        <v>73</v>
      </c>
      <c r="F291" s="51" t="s">
        <v>28</v>
      </c>
      <c r="G291" s="51" t="s">
        <v>881</v>
      </c>
      <c r="H291" s="53">
        <f t="shared" si="20"/>
        <v>21</v>
      </c>
      <c r="I291" s="17">
        <f t="shared" si="21"/>
        <v>9</v>
      </c>
      <c r="J291" s="18">
        <f t="shared" si="22"/>
        <v>0.7</v>
      </c>
      <c r="K291" s="27" t="s">
        <v>1010</v>
      </c>
      <c r="L291" s="8" t="s">
        <v>1010</v>
      </c>
      <c r="M291" s="8"/>
      <c r="N291" s="8"/>
      <c r="O291" s="27"/>
      <c r="P291" s="27"/>
      <c r="Q291" s="8"/>
      <c r="R291" s="8"/>
      <c r="S291" s="8" t="s">
        <v>1010</v>
      </c>
      <c r="T291" s="27" t="s">
        <v>1010</v>
      </c>
      <c r="U291" s="27" t="s">
        <v>1010</v>
      </c>
      <c r="V291" s="27" t="s">
        <v>1010</v>
      </c>
      <c r="W291" s="27" t="s">
        <v>1010</v>
      </c>
      <c r="X291" s="27" t="s">
        <v>1010</v>
      </c>
      <c r="Y291" s="27" t="s">
        <v>1010</v>
      </c>
      <c r="Z291" s="27"/>
      <c r="AA291" s="27"/>
      <c r="AB291" s="27"/>
      <c r="AC291" s="27"/>
      <c r="AD291" s="27"/>
      <c r="AE291" s="27"/>
      <c r="AF291" s="27"/>
      <c r="AG291" s="8"/>
      <c r="AH291" s="8"/>
      <c r="AI291" s="8"/>
      <c r="AJ291" s="27"/>
      <c r="AK291" s="8"/>
      <c r="AL291" s="8"/>
      <c r="AM291" s="27"/>
      <c r="AN291" s="27"/>
      <c r="AO291" s="27"/>
    </row>
    <row r="292" spans="1:41" ht="15" thickBot="1" x14ac:dyDescent="0.35">
      <c r="A292" s="51" t="s">
        <v>168</v>
      </c>
      <c r="B292" s="51" t="s">
        <v>460</v>
      </c>
      <c r="C292" s="51" t="s">
        <v>1192</v>
      </c>
      <c r="D292" s="51" t="s">
        <v>459</v>
      </c>
      <c r="E292" s="51" t="s">
        <v>73</v>
      </c>
      <c r="F292" s="51" t="s">
        <v>28</v>
      </c>
      <c r="G292" s="51" t="s">
        <v>882</v>
      </c>
      <c r="H292" s="53">
        <f t="shared" si="20"/>
        <v>21</v>
      </c>
      <c r="I292" s="17">
        <f t="shared" si="21"/>
        <v>9</v>
      </c>
      <c r="J292" s="18">
        <f t="shared" si="22"/>
        <v>0.7</v>
      </c>
      <c r="K292" s="27" t="s">
        <v>1010</v>
      </c>
      <c r="L292" s="8" t="s">
        <v>1010</v>
      </c>
      <c r="M292" s="8"/>
      <c r="N292" s="8"/>
      <c r="O292" s="27"/>
      <c r="P292" s="27"/>
      <c r="Q292" s="8"/>
      <c r="R292" s="8"/>
      <c r="S292" s="8" t="s">
        <v>1010</v>
      </c>
      <c r="T292" s="27" t="s">
        <v>1010</v>
      </c>
      <c r="U292" s="27" t="s">
        <v>1010</v>
      </c>
      <c r="V292" s="27" t="s">
        <v>1010</v>
      </c>
      <c r="W292" s="27" t="s">
        <v>1010</v>
      </c>
      <c r="X292" s="27" t="s">
        <v>1010</v>
      </c>
      <c r="Y292" s="27" t="s">
        <v>1010</v>
      </c>
      <c r="Z292" s="27"/>
      <c r="AA292" s="27"/>
      <c r="AB292" s="27"/>
      <c r="AC292" s="27"/>
      <c r="AD292" s="27"/>
      <c r="AE292" s="27"/>
      <c r="AF292" s="27"/>
      <c r="AG292" s="8"/>
      <c r="AH292" s="8"/>
      <c r="AI292" s="8"/>
      <c r="AJ292" s="27"/>
      <c r="AK292" s="8"/>
      <c r="AL292" s="8"/>
      <c r="AM292" s="27"/>
      <c r="AN292" s="27"/>
      <c r="AO292" s="27"/>
    </row>
    <row r="293" spans="1:41" ht="15" thickBot="1" x14ac:dyDescent="0.35">
      <c r="A293" s="51" t="s">
        <v>462</v>
      </c>
      <c r="B293" s="51" t="s">
        <v>1140</v>
      </c>
      <c r="C293" s="51" t="s">
        <v>1193</v>
      </c>
      <c r="D293" s="51" t="s">
        <v>476</v>
      </c>
      <c r="E293" s="51" t="s">
        <v>19</v>
      </c>
      <c r="F293" s="51" t="s">
        <v>20</v>
      </c>
      <c r="G293" s="51" t="s">
        <v>890</v>
      </c>
      <c r="H293" s="53">
        <f t="shared" si="20"/>
        <v>30</v>
      </c>
      <c r="I293" s="17">
        <f t="shared" si="21"/>
        <v>0</v>
      </c>
      <c r="J293" s="18">
        <f t="shared" si="22"/>
        <v>1</v>
      </c>
      <c r="K293" s="27"/>
      <c r="L293" s="8"/>
      <c r="M293" s="8"/>
      <c r="N293" s="8"/>
      <c r="O293" s="27"/>
      <c r="P293" s="27"/>
      <c r="Q293" s="8"/>
      <c r="R293" s="8"/>
      <c r="S293" s="8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8"/>
      <c r="AH293" s="8"/>
      <c r="AI293" s="8"/>
      <c r="AJ293" s="27"/>
      <c r="AK293" s="8"/>
      <c r="AL293" s="8"/>
      <c r="AM293" s="27"/>
      <c r="AN293" s="27"/>
      <c r="AO293" s="27"/>
    </row>
    <row r="294" spans="1:41" ht="15" thickBot="1" x14ac:dyDescent="0.35">
      <c r="A294" s="51" t="s">
        <v>462</v>
      </c>
      <c r="B294" s="51" t="s">
        <v>466</v>
      </c>
      <c r="C294" s="51" t="s">
        <v>1193</v>
      </c>
      <c r="D294" s="51" t="s">
        <v>467</v>
      </c>
      <c r="E294" s="51" t="s">
        <v>19</v>
      </c>
      <c r="F294" s="51" t="s">
        <v>28</v>
      </c>
      <c r="G294" s="51" t="s">
        <v>894</v>
      </c>
      <c r="H294" s="53">
        <f t="shared" si="20"/>
        <v>30</v>
      </c>
      <c r="I294" s="17">
        <f t="shared" si="21"/>
        <v>0</v>
      </c>
      <c r="J294" s="18">
        <f t="shared" si="22"/>
        <v>1</v>
      </c>
      <c r="K294" s="27"/>
      <c r="L294" s="8"/>
      <c r="M294" s="8"/>
      <c r="N294" s="8"/>
      <c r="O294" s="27"/>
      <c r="P294" s="27"/>
      <c r="Q294" s="8"/>
      <c r="R294" s="8"/>
      <c r="S294" s="8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8"/>
      <c r="AH294" s="8"/>
      <c r="AI294" s="8"/>
      <c r="AJ294" s="27"/>
      <c r="AK294" s="8"/>
      <c r="AL294" s="8"/>
      <c r="AM294" s="27"/>
      <c r="AN294" s="27"/>
      <c r="AO294" s="27"/>
    </row>
    <row r="295" spans="1:41" ht="15" thickBot="1" x14ac:dyDescent="0.35">
      <c r="A295" s="51" t="s">
        <v>462</v>
      </c>
      <c r="B295" s="51" t="s">
        <v>1141</v>
      </c>
      <c r="C295" s="51" t="s">
        <v>1193</v>
      </c>
      <c r="D295" s="51" t="s">
        <v>477</v>
      </c>
      <c r="E295" s="51" t="s">
        <v>15</v>
      </c>
      <c r="F295" s="51" t="s">
        <v>20</v>
      </c>
      <c r="G295" s="51" t="s">
        <v>885</v>
      </c>
      <c r="H295" s="53">
        <f t="shared" si="20"/>
        <v>30</v>
      </c>
      <c r="I295" s="17">
        <f t="shared" si="21"/>
        <v>0</v>
      </c>
      <c r="J295" s="18">
        <f t="shared" si="22"/>
        <v>1</v>
      </c>
      <c r="K295" s="27"/>
      <c r="L295" s="8"/>
      <c r="M295" s="8"/>
      <c r="N295" s="8"/>
      <c r="O295" s="27"/>
      <c r="P295" s="27"/>
      <c r="Q295" s="8"/>
      <c r="R295" s="8"/>
      <c r="S295" s="8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8"/>
      <c r="AH295" s="8"/>
      <c r="AI295" s="8"/>
      <c r="AJ295" s="27"/>
      <c r="AK295" s="8"/>
      <c r="AL295" s="8"/>
      <c r="AM295" s="27"/>
      <c r="AN295" s="27"/>
      <c r="AO295" s="27"/>
    </row>
    <row r="296" spans="1:41" ht="15" thickBot="1" x14ac:dyDescent="0.35">
      <c r="A296" s="51" t="s">
        <v>356</v>
      </c>
      <c r="B296" s="51" t="s">
        <v>1142</v>
      </c>
      <c r="C296" s="51" t="s">
        <v>1193</v>
      </c>
      <c r="D296" s="51" t="s">
        <v>480</v>
      </c>
      <c r="E296" s="51" t="s">
        <v>73</v>
      </c>
      <c r="F296" s="51" t="s">
        <v>16</v>
      </c>
      <c r="G296" s="51" t="s">
        <v>896</v>
      </c>
      <c r="H296" s="53">
        <f t="shared" si="20"/>
        <v>30</v>
      </c>
      <c r="I296" s="17">
        <f t="shared" si="21"/>
        <v>0</v>
      </c>
      <c r="J296" s="18">
        <f t="shared" si="22"/>
        <v>1</v>
      </c>
      <c r="K296" s="27"/>
      <c r="L296" s="8"/>
      <c r="M296" s="8"/>
      <c r="N296" s="8"/>
      <c r="O296" s="27"/>
      <c r="P296" s="27"/>
      <c r="Q296" s="8"/>
      <c r="R296" s="8"/>
      <c r="S296" s="8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8"/>
      <c r="AH296" s="8"/>
      <c r="AI296" s="8"/>
      <c r="AJ296" s="27"/>
      <c r="AK296" s="8"/>
      <c r="AL296" s="8"/>
      <c r="AM296" s="27"/>
      <c r="AN296" s="27"/>
      <c r="AO296" s="27"/>
    </row>
    <row r="297" spans="1:41" ht="15" thickBot="1" x14ac:dyDescent="0.35">
      <c r="A297" s="51" t="s">
        <v>356</v>
      </c>
      <c r="B297" s="51" t="s">
        <v>1143</v>
      </c>
      <c r="C297" s="51" t="s">
        <v>1193</v>
      </c>
      <c r="D297" s="51" t="s">
        <v>480</v>
      </c>
      <c r="E297" s="51" t="s">
        <v>73</v>
      </c>
      <c r="F297" s="51" t="s">
        <v>16</v>
      </c>
      <c r="G297" s="51" t="s">
        <v>897</v>
      </c>
      <c r="H297" s="53">
        <f t="shared" si="20"/>
        <v>30</v>
      </c>
      <c r="I297" s="17">
        <f t="shared" si="21"/>
        <v>0</v>
      </c>
      <c r="J297" s="18">
        <f t="shared" si="22"/>
        <v>1</v>
      </c>
      <c r="K297" s="27"/>
      <c r="L297" s="8"/>
      <c r="M297" s="8"/>
      <c r="N297" s="8"/>
      <c r="O297" s="27"/>
      <c r="P297" s="27"/>
      <c r="Q297" s="8"/>
      <c r="R297" s="8"/>
      <c r="S297" s="8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8"/>
      <c r="AH297" s="8"/>
      <c r="AI297" s="8"/>
      <c r="AJ297" s="27"/>
      <c r="AK297" s="8"/>
      <c r="AL297" s="8"/>
      <c r="AM297" s="27"/>
      <c r="AN297" s="27"/>
      <c r="AO297" s="27"/>
    </row>
    <row r="298" spans="1:41" ht="15" thickBot="1" x14ac:dyDescent="0.35">
      <c r="A298" s="51" t="s">
        <v>462</v>
      </c>
      <c r="B298" s="51" t="s">
        <v>1144</v>
      </c>
      <c r="C298" s="51" t="s">
        <v>1193</v>
      </c>
      <c r="D298" s="51" t="s">
        <v>483</v>
      </c>
      <c r="E298" s="51" t="s">
        <v>73</v>
      </c>
      <c r="F298" s="51" t="s">
        <v>28</v>
      </c>
      <c r="G298" s="51" t="s">
        <v>901</v>
      </c>
      <c r="H298" s="53">
        <f t="shared" si="20"/>
        <v>30</v>
      </c>
      <c r="I298" s="17">
        <f t="shared" si="21"/>
        <v>0</v>
      </c>
      <c r="J298" s="18">
        <f t="shared" si="22"/>
        <v>1</v>
      </c>
      <c r="K298" s="27"/>
      <c r="L298" s="8"/>
      <c r="M298" s="8"/>
      <c r="N298" s="8"/>
      <c r="O298" s="27"/>
      <c r="P298" s="27"/>
      <c r="Q298" s="8"/>
      <c r="R298" s="8"/>
      <c r="S298" s="8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8"/>
      <c r="AH298" s="8"/>
      <c r="AI298" s="8"/>
      <c r="AJ298" s="27"/>
      <c r="AK298" s="8"/>
      <c r="AL298" s="8"/>
      <c r="AM298" s="27"/>
      <c r="AN298" s="27"/>
      <c r="AO298" s="27"/>
    </row>
    <row r="299" spans="1:41" ht="15" thickBot="1" x14ac:dyDescent="0.35">
      <c r="A299" s="51" t="s">
        <v>462</v>
      </c>
      <c r="B299" s="51" t="s">
        <v>1145</v>
      </c>
      <c r="C299" s="51" t="s">
        <v>1193</v>
      </c>
      <c r="D299" s="51" t="s">
        <v>483</v>
      </c>
      <c r="E299" s="51" t="s">
        <v>73</v>
      </c>
      <c r="F299" s="51" t="s">
        <v>28</v>
      </c>
      <c r="G299" s="51" t="s">
        <v>902</v>
      </c>
      <c r="H299" s="53">
        <f t="shared" si="20"/>
        <v>30</v>
      </c>
      <c r="I299" s="17">
        <f t="shared" si="21"/>
        <v>0</v>
      </c>
      <c r="J299" s="18">
        <f t="shared" si="22"/>
        <v>1</v>
      </c>
      <c r="K299" s="27"/>
      <c r="L299" s="8"/>
      <c r="M299" s="8"/>
      <c r="N299" s="8"/>
      <c r="O299" s="27"/>
      <c r="P299" s="27"/>
      <c r="Q299" s="8"/>
      <c r="R299" s="8"/>
      <c r="S299" s="8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8"/>
      <c r="AH299" s="8"/>
      <c r="AI299" s="8"/>
      <c r="AJ299" s="27"/>
      <c r="AK299" s="8"/>
      <c r="AL299" s="8"/>
      <c r="AM299" s="27"/>
      <c r="AN299" s="27"/>
      <c r="AO299" s="27"/>
    </row>
    <row r="300" spans="1:41" ht="15" thickBot="1" x14ac:dyDescent="0.35">
      <c r="A300" s="51" t="s">
        <v>462</v>
      </c>
      <c r="B300" s="51" t="s">
        <v>471</v>
      </c>
      <c r="C300" s="51" t="s">
        <v>1193</v>
      </c>
      <c r="D300" s="51" t="s">
        <v>1146</v>
      </c>
      <c r="E300" s="51" t="s">
        <v>19</v>
      </c>
      <c r="F300" s="51" t="s">
        <v>20</v>
      </c>
      <c r="G300" s="51" t="s">
        <v>887</v>
      </c>
      <c r="H300" s="53">
        <f t="shared" si="20"/>
        <v>30</v>
      </c>
      <c r="I300" s="17">
        <f t="shared" si="21"/>
        <v>0</v>
      </c>
      <c r="J300" s="18">
        <f t="shared" si="22"/>
        <v>1</v>
      </c>
      <c r="K300" s="27"/>
      <c r="L300" s="8"/>
      <c r="M300" s="8"/>
      <c r="N300" s="8"/>
      <c r="O300" s="27"/>
      <c r="P300" s="27"/>
      <c r="Q300" s="8"/>
      <c r="R300" s="8"/>
      <c r="S300" s="8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8"/>
      <c r="AH300" s="8"/>
      <c r="AI300" s="8"/>
      <c r="AJ300" s="27"/>
      <c r="AK300" s="8"/>
      <c r="AL300" s="8"/>
      <c r="AM300" s="27"/>
      <c r="AN300" s="27"/>
      <c r="AO300" s="27"/>
    </row>
    <row r="301" spans="1:41" ht="15" thickBot="1" x14ac:dyDescent="0.35">
      <c r="A301" s="51" t="s">
        <v>356</v>
      </c>
      <c r="B301" s="51" t="s">
        <v>472</v>
      </c>
      <c r="C301" s="51" t="s">
        <v>1193</v>
      </c>
      <c r="D301" s="51" t="s">
        <v>473</v>
      </c>
      <c r="E301" s="51" t="s">
        <v>19</v>
      </c>
      <c r="F301" s="51" t="s">
        <v>20</v>
      </c>
      <c r="G301" s="51" t="s">
        <v>888</v>
      </c>
      <c r="H301" s="53">
        <f t="shared" si="20"/>
        <v>30</v>
      </c>
      <c r="I301" s="17">
        <f t="shared" si="21"/>
        <v>0</v>
      </c>
      <c r="J301" s="18">
        <f t="shared" si="22"/>
        <v>1</v>
      </c>
      <c r="K301" s="27"/>
      <c r="L301" s="8"/>
      <c r="M301" s="8"/>
      <c r="N301" s="8"/>
      <c r="O301" s="27"/>
      <c r="P301" s="27"/>
      <c r="Q301" s="8"/>
      <c r="R301" s="8"/>
      <c r="S301" s="8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8"/>
      <c r="AH301" s="8"/>
      <c r="AI301" s="8"/>
      <c r="AJ301" s="27"/>
      <c r="AK301" s="8"/>
      <c r="AL301" s="8"/>
      <c r="AM301" s="27"/>
      <c r="AN301" s="27"/>
      <c r="AO301" s="27"/>
    </row>
    <row r="302" spans="1:41" ht="15" thickBot="1" x14ac:dyDescent="0.35">
      <c r="A302" s="51" t="s">
        <v>462</v>
      </c>
      <c r="B302" s="51" t="s">
        <v>474</v>
      </c>
      <c r="C302" s="51" t="s">
        <v>1193</v>
      </c>
      <c r="D302" s="51" t="s">
        <v>475</v>
      </c>
      <c r="E302" s="51" t="s">
        <v>19</v>
      </c>
      <c r="F302" s="51" t="s">
        <v>20</v>
      </c>
      <c r="G302" s="51" t="s">
        <v>889</v>
      </c>
      <c r="H302" s="53">
        <f t="shared" si="20"/>
        <v>28</v>
      </c>
      <c r="I302" s="17">
        <f t="shared" si="21"/>
        <v>2</v>
      </c>
      <c r="J302" s="18">
        <f t="shared" si="22"/>
        <v>0.93333333333333335</v>
      </c>
      <c r="K302" s="27" t="s">
        <v>1010</v>
      </c>
      <c r="L302" s="8" t="s">
        <v>1010</v>
      </c>
      <c r="M302" s="8"/>
      <c r="N302" s="8"/>
      <c r="O302" s="27"/>
      <c r="P302" s="27"/>
      <c r="Q302" s="8"/>
      <c r="R302" s="8"/>
      <c r="S302" s="8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8"/>
      <c r="AH302" s="8"/>
      <c r="AI302" s="8"/>
      <c r="AJ302" s="27"/>
      <c r="AK302" s="8"/>
      <c r="AL302" s="8"/>
      <c r="AM302" s="27"/>
      <c r="AN302" s="27"/>
      <c r="AO302" s="27"/>
    </row>
    <row r="303" spans="1:41" ht="15" thickBot="1" x14ac:dyDescent="0.35">
      <c r="A303" s="51" t="s">
        <v>462</v>
      </c>
      <c r="B303" s="51" t="s">
        <v>1147</v>
      </c>
      <c r="C303" s="51" t="s">
        <v>1193</v>
      </c>
      <c r="D303" s="51" t="s">
        <v>463</v>
      </c>
      <c r="E303" s="51" t="s">
        <v>15</v>
      </c>
      <c r="F303" s="51" t="s">
        <v>20</v>
      </c>
      <c r="G303" s="51" t="s">
        <v>891</v>
      </c>
      <c r="H303" s="53">
        <f t="shared" si="20"/>
        <v>30</v>
      </c>
      <c r="I303" s="17">
        <f t="shared" si="21"/>
        <v>0</v>
      </c>
      <c r="J303" s="18">
        <f t="shared" si="22"/>
        <v>1</v>
      </c>
      <c r="K303" s="27"/>
      <c r="L303" s="8"/>
      <c r="M303" s="8"/>
      <c r="N303" s="8"/>
      <c r="O303" s="27"/>
      <c r="P303" s="27"/>
      <c r="Q303" s="8"/>
      <c r="R303" s="8"/>
      <c r="S303" s="8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8"/>
      <c r="AH303" s="8"/>
      <c r="AI303" s="8"/>
      <c r="AJ303" s="27"/>
      <c r="AK303" s="8"/>
      <c r="AL303" s="8"/>
      <c r="AM303" s="27"/>
      <c r="AN303" s="27"/>
      <c r="AO303" s="27"/>
    </row>
    <row r="304" spans="1:41" ht="15" thickBot="1" x14ac:dyDescent="0.35">
      <c r="A304" s="51" t="s">
        <v>462</v>
      </c>
      <c r="B304" s="51" t="s">
        <v>1148</v>
      </c>
      <c r="C304" s="51" t="s">
        <v>1193</v>
      </c>
      <c r="D304" s="51" t="s">
        <v>464</v>
      </c>
      <c r="E304" s="51" t="s">
        <v>19</v>
      </c>
      <c r="F304" s="51" t="s">
        <v>28</v>
      </c>
      <c r="G304" s="51" t="s">
        <v>892</v>
      </c>
      <c r="H304" s="53">
        <f t="shared" si="20"/>
        <v>30</v>
      </c>
      <c r="I304" s="17">
        <f t="shared" si="21"/>
        <v>0</v>
      </c>
      <c r="J304" s="18">
        <f t="shared" si="22"/>
        <v>1</v>
      </c>
      <c r="K304" s="27"/>
      <c r="L304" s="8"/>
      <c r="M304" s="8"/>
      <c r="N304" s="8"/>
      <c r="O304" s="27"/>
      <c r="P304" s="27"/>
      <c r="Q304" s="8"/>
      <c r="R304" s="8"/>
      <c r="S304" s="8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8"/>
      <c r="AH304" s="8"/>
      <c r="AI304" s="8"/>
      <c r="AJ304" s="27"/>
      <c r="AK304" s="8"/>
      <c r="AL304" s="8"/>
      <c r="AM304" s="27"/>
      <c r="AN304" s="27"/>
      <c r="AO304" s="27"/>
    </row>
    <row r="305" spans="1:41" ht="15" thickBot="1" x14ac:dyDescent="0.35">
      <c r="A305" s="51" t="s">
        <v>462</v>
      </c>
      <c r="B305" s="51" t="s">
        <v>1149</v>
      </c>
      <c r="C305" s="51" t="s">
        <v>1193</v>
      </c>
      <c r="D305" s="51" t="s">
        <v>465</v>
      </c>
      <c r="E305" s="51" t="s">
        <v>19</v>
      </c>
      <c r="F305" s="51" t="s">
        <v>28</v>
      </c>
      <c r="G305" s="51" t="s">
        <v>893</v>
      </c>
      <c r="H305" s="53">
        <f t="shared" si="20"/>
        <v>30</v>
      </c>
      <c r="I305" s="17">
        <f t="shared" si="21"/>
        <v>0</v>
      </c>
      <c r="J305" s="18">
        <f t="shared" si="22"/>
        <v>1</v>
      </c>
      <c r="K305" s="27"/>
      <c r="L305" s="8"/>
      <c r="M305" s="8"/>
      <c r="N305" s="8"/>
      <c r="O305" s="27"/>
      <c r="P305" s="27"/>
      <c r="Q305" s="8"/>
      <c r="R305" s="8"/>
      <c r="S305" s="8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8"/>
      <c r="AH305" s="8"/>
      <c r="AI305" s="8"/>
      <c r="AJ305" s="27"/>
      <c r="AK305" s="8"/>
      <c r="AL305" s="8"/>
      <c r="AM305" s="27"/>
      <c r="AN305" s="27"/>
      <c r="AO305" s="27"/>
    </row>
    <row r="306" spans="1:41" ht="15" thickBot="1" x14ac:dyDescent="0.35">
      <c r="A306" s="51" t="s">
        <v>462</v>
      </c>
      <c r="B306" s="51" t="s">
        <v>1150</v>
      </c>
      <c r="C306" s="51" t="s">
        <v>1193</v>
      </c>
      <c r="D306" s="51" t="s">
        <v>468</v>
      </c>
      <c r="E306" s="51" t="s">
        <v>15</v>
      </c>
      <c r="F306" s="51" t="s">
        <v>20</v>
      </c>
      <c r="G306" s="51" t="s">
        <v>867</v>
      </c>
      <c r="H306" s="53">
        <f t="shared" si="20"/>
        <v>30</v>
      </c>
      <c r="I306" s="17">
        <f t="shared" si="21"/>
        <v>0</v>
      </c>
      <c r="J306" s="18">
        <f t="shared" si="22"/>
        <v>1</v>
      </c>
      <c r="K306" s="27"/>
      <c r="L306" s="8"/>
      <c r="M306" s="8"/>
      <c r="N306" s="8"/>
      <c r="O306" s="27"/>
      <c r="P306" s="27"/>
      <c r="Q306" s="8"/>
      <c r="R306" s="8"/>
      <c r="S306" s="8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8"/>
      <c r="AH306" s="8"/>
      <c r="AI306" s="8"/>
      <c r="AJ306" s="27"/>
      <c r="AK306" s="8"/>
      <c r="AL306" s="8"/>
      <c r="AM306" s="27"/>
      <c r="AN306" s="27"/>
      <c r="AO306" s="27"/>
    </row>
    <row r="307" spans="1:41" ht="15" thickBot="1" x14ac:dyDescent="0.35">
      <c r="A307" s="51" t="s">
        <v>462</v>
      </c>
      <c r="B307" s="51" t="s">
        <v>1151</v>
      </c>
      <c r="C307" s="51" t="s">
        <v>1193</v>
      </c>
      <c r="D307" s="51" t="s">
        <v>469</v>
      </c>
      <c r="E307" s="51" t="s">
        <v>15</v>
      </c>
      <c r="F307" s="51" t="s">
        <v>20</v>
      </c>
      <c r="G307" s="51" t="s">
        <v>895</v>
      </c>
      <c r="H307" s="53">
        <f t="shared" si="20"/>
        <v>30</v>
      </c>
      <c r="I307" s="17">
        <f t="shared" si="21"/>
        <v>0</v>
      </c>
      <c r="J307" s="18">
        <f t="shared" si="22"/>
        <v>1</v>
      </c>
      <c r="K307" s="27"/>
      <c r="L307" s="8"/>
      <c r="M307" s="8"/>
      <c r="N307" s="8"/>
      <c r="O307" s="27"/>
      <c r="P307" s="27"/>
      <c r="Q307" s="8"/>
      <c r="R307" s="8"/>
      <c r="S307" s="8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8"/>
      <c r="AH307" s="8"/>
      <c r="AI307" s="8"/>
      <c r="AJ307" s="27"/>
      <c r="AK307" s="8"/>
      <c r="AL307" s="8"/>
      <c r="AM307" s="27"/>
      <c r="AN307" s="27"/>
      <c r="AO307" s="27"/>
    </row>
    <row r="308" spans="1:41" ht="15" thickBot="1" x14ac:dyDescent="0.35">
      <c r="A308" s="51" t="s">
        <v>462</v>
      </c>
      <c r="B308" s="51" t="s">
        <v>478</v>
      </c>
      <c r="C308" s="51" t="s">
        <v>1193</v>
      </c>
      <c r="D308" s="51" t="s">
        <v>479</v>
      </c>
      <c r="E308" s="51" t="s">
        <v>15</v>
      </c>
      <c r="F308" s="51" t="s">
        <v>20</v>
      </c>
      <c r="G308" s="51" t="s">
        <v>886</v>
      </c>
      <c r="H308" s="53">
        <f t="shared" si="20"/>
        <v>30</v>
      </c>
      <c r="I308" s="17">
        <f t="shared" si="21"/>
        <v>0</v>
      </c>
      <c r="J308" s="18">
        <f t="shared" si="22"/>
        <v>1</v>
      </c>
      <c r="K308" s="27"/>
      <c r="L308" s="8"/>
      <c r="M308" s="8"/>
      <c r="N308" s="8"/>
      <c r="O308" s="27"/>
      <c r="P308" s="27"/>
      <c r="Q308" s="8"/>
      <c r="R308" s="8"/>
      <c r="S308" s="8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8"/>
      <c r="AH308" s="8"/>
      <c r="AI308" s="8"/>
      <c r="AJ308" s="27"/>
      <c r="AK308" s="8"/>
      <c r="AL308" s="8"/>
      <c r="AM308" s="27"/>
      <c r="AN308" s="27"/>
      <c r="AO308" s="27"/>
    </row>
    <row r="309" spans="1:41" ht="15" thickBot="1" x14ac:dyDescent="0.35">
      <c r="A309" s="51" t="s">
        <v>462</v>
      </c>
      <c r="B309" s="51" t="s">
        <v>481</v>
      </c>
      <c r="C309" s="51" t="s">
        <v>1193</v>
      </c>
      <c r="D309" s="51" t="s">
        <v>482</v>
      </c>
      <c r="E309" s="51" t="s">
        <v>15</v>
      </c>
      <c r="F309" s="51" t="s">
        <v>28</v>
      </c>
      <c r="G309" s="51" t="s">
        <v>898</v>
      </c>
      <c r="H309" s="53">
        <f t="shared" si="20"/>
        <v>30</v>
      </c>
      <c r="I309" s="17">
        <f t="shared" si="21"/>
        <v>0</v>
      </c>
      <c r="J309" s="18">
        <f t="shared" si="22"/>
        <v>1</v>
      </c>
      <c r="K309" s="27"/>
      <c r="L309" s="8"/>
      <c r="M309" s="8"/>
      <c r="N309" s="8"/>
      <c r="O309" s="27"/>
      <c r="P309" s="27"/>
      <c r="Q309" s="8"/>
      <c r="R309" s="8"/>
      <c r="S309" s="8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8"/>
      <c r="AH309" s="8"/>
      <c r="AI309" s="8"/>
      <c r="AJ309" s="27"/>
      <c r="AK309" s="8"/>
      <c r="AL309" s="8"/>
      <c r="AM309" s="27"/>
      <c r="AN309" s="27"/>
      <c r="AO309" s="27"/>
    </row>
    <row r="310" spans="1:41" ht="15" thickBot="1" x14ac:dyDescent="0.35">
      <c r="A310" s="51" t="s">
        <v>462</v>
      </c>
      <c r="B310" s="51" t="s">
        <v>1152</v>
      </c>
      <c r="C310" s="51" t="s">
        <v>1193</v>
      </c>
      <c r="D310" s="51" t="s">
        <v>470</v>
      </c>
      <c r="E310" s="51" t="s">
        <v>73</v>
      </c>
      <c r="F310" s="51" t="s">
        <v>28</v>
      </c>
      <c r="G310" s="51" t="s">
        <v>899</v>
      </c>
      <c r="H310" s="53">
        <f t="shared" si="20"/>
        <v>30</v>
      </c>
      <c r="I310" s="17">
        <f t="shared" si="21"/>
        <v>0</v>
      </c>
      <c r="J310" s="18">
        <f t="shared" si="22"/>
        <v>1</v>
      </c>
      <c r="K310" s="27"/>
      <c r="L310" s="8"/>
      <c r="M310" s="8"/>
      <c r="N310" s="8"/>
      <c r="O310" s="27"/>
      <c r="P310" s="27"/>
      <c r="Q310" s="8"/>
      <c r="R310" s="8"/>
      <c r="S310" s="8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8"/>
      <c r="AH310" s="8"/>
      <c r="AI310" s="8"/>
      <c r="AJ310" s="27"/>
      <c r="AK310" s="8"/>
      <c r="AL310" s="8"/>
      <c r="AM310" s="27"/>
      <c r="AN310" s="27"/>
      <c r="AO310" s="27"/>
    </row>
    <row r="311" spans="1:41" ht="15" thickBot="1" x14ac:dyDescent="0.35">
      <c r="A311" s="51" t="s">
        <v>462</v>
      </c>
      <c r="B311" s="51" t="s">
        <v>1153</v>
      </c>
      <c r="C311" s="51" t="s">
        <v>1193</v>
      </c>
      <c r="D311" s="51" t="s">
        <v>470</v>
      </c>
      <c r="E311" s="51" t="s">
        <v>73</v>
      </c>
      <c r="F311" s="51" t="s">
        <v>28</v>
      </c>
      <c r="G311" s="51" t="s">
        <v>900</v>
      </c>
      <c r="H311" s="53">
        <f t="shared" si="20"/>
        <v>30</v>
      </c>
      <c r="I311" s="17">
        <f t="shared" si="21"/>
        <v>0</v>
      </c>
      <c r="J311" s="18">
        <f t="shared" si="22"/>
        <v>1</v>
      </c>
      <c r="K311" s="27"/>
      <c r="L311" s="8"/>
      <c r="M311" s="8"/>
      <c r="N311" s="8"/>
      <c r="O311" s="27"/>
      <c r="P311" s="27"/>
      <c r="Q311" s="8"/>
      <c r="R311" s="8"/>
      <c r="S311" s="8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8"/>
      <c r="AH311" s="8"/>
      <c r="AI311" s="8"/>
      <c r="AJ311" s="27"/>
      <c r="AK311" s="8"/>
      <c r="AL311" s="8"/>
      <c r="AM311" s="27"/>
      <c r="AN311" s="27"/>
      <c r="AO311" s="27"/>
    </row>
    <row r="312" spans="1:41" ht="15" thickBot="1" x14ac:dyDescent="0.35">
      <c r="A312" s="51" t="s">
        <v>365</v>
      </c>
      <c r="B312" s="51" t="s">
        <v>484</v>
      </c>
      <c r="C312" s="51" t="s">
        <v>1193</v>
      </c>
      <c r="D312" s="51" t="s">
        <v>485</v>
      </c>
      <c r="E312" s="51" t="s">
        <v>73</v>
      </c>
      <c r="F312" s="51" t="s">
        <v>28</v>
      </c>
      <c r="G312" s="51" t="s">
        <v>903</v>
      </c>
      <c r="H312" s="53">
        <f t="shared" si="20"/>
        <v>29</v>
      </c>
      <c r="I312" s="17">
        <f t="shared" si="21"/>
        <v>1</v>
      </c>
      <c r="J312" s="18">
        <f t="shared" si="22"/>
        <v>0.96666666666666667</v>
      </c>
      <c r="K312" s="27"/>
      <c r="L312" s="8"/>
      <c r="M312" s="8"/>
      <c r="N312" s="8"/>
      <c r="O312" s="27"/>
      <c r="P312" s="27"/>
      <c r="Q312" s="8" t="s">
        <v>1010</v>
      </c>
      <c r="R312" s="8"/>
      <c r="S312" s="8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8"/>
      <c r="AH312" s="8"/>
      <c r="AI312" s="8"/>
      <c r="AJ312" s="27"/>
      <c r="AK312" s="8"/>
      <c r="AL312" s="8"/>
      <c r="AM312" s="27"/>
      <c r="AN312" s="27"/>
      <c r="AO312" s="27"/>
    </row>
    <row r="313" spans="1:41" ht="15" thickBot="1" x14ac:dyDescent="0.35">
      <c r="A313" s="51" t="s">
        <v>365</v>
      </c>
      <c r="B313" s="51" t="s">
        <v>486</v>
      </c>
      <c r="C313" s="51" t="s">
        <v>1193</v>
      </c>
      <c r="D313" s="51" t="s">
        <v>485</v>
      </c>
      <c r="E313" s="51" t="s">
        <v>73</v>
      </c>
      <c r="F313" s="51" t="s">
        <v>28</v>
      </c>
      <c r="G313" s="51" t="s">
        <v>904</v>
      </c>
      <c r="H313" s="53">
        <f t="shared" si="20"/>
        <v>29</v>
      </c>
      <c r="I313" s="17">
        <f t="shared" si="21"/>
        <v>1</v>
      </c>
      <c r="J313" s="18">
        <f t="shared" si="22"/>
        <v>0.96666666666666667</v>
      </c>
      <c r="K313" s="27"/>
      <c r="L313" s="8"/>
      <c r="M313" s="8"/>
      <c r="N313" s="8"/>
      <c r="O313" s="27"/>
      <c r="P313" s="27"/>
      <c r="Q313" s="8" t="s">
        <v>1010</v>
      </c>
      <c r="R313" s="8"/>
      <c r="S313" s="8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8"/>
      <c r="AH313" s="8"/>
      <c r="AI313" s="8"/>
      <c r="AJ313" s="27"/>
      <c r="AK313" s="8"/>
      <c r="AL313" s="8"/>
      <c r="AM313" s="27"/>
      <c r="AN313" s="27"/>
      <c r="AO313" s="27"/>
    </row>
    <row r="314" spans="1:41" ht="15" thickBot="1" x14ac:dyDescent="0.35">
      <c r="A314" s="51" t="s">
        <v>268</v>
      </c>
      <c r="B314" s="51" t="s">
        <v>1154</v>
      </c>
      <c r="C314" s="51" t="s">
        <v>1192</v>
      </c>
      <c r="D314" s="51" t="s">
        <v>505</v>
      </c>
      <c r="E314" s="51" t="s">
        <v>19</v>
      </c>
      <c r="F314" s="51" t="s">
        <v>1185</v>
      </c>
      <c r="G314" s="51" t="s">
        <v>913</v>
      </c>
      <c r="H314" s="53">
        <f t="shared" si="20"/>
        <v>30</v>
      </c>
      <c r="I314" s="17">
        <f t="shared" si="21"/>
        <v>0</v>
      </c>
      <c r="J314" s="18">
        <f t="shared" si="22"/>
        <v>1</v>
      </c>
      <c r="K314" s="27"/>
      <c r="L314" s="8"/>
      <c r="M314" s="8"/>
      <c r="N314" s="8"/>
      <c r="O314" s="27"/>
      <c r="P314" s="27"/>
      <c r="Q314" s="8"/>
      <c r="R314" s="8"/>
      <c r="S314" s="8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8"/>
      <c r="AH314" s="8"/>
      <c r="AI314" s="8"/>
      <c r="AJ314" s="27"/>
      <c r="AK314" s="8"/>
      <c r="AL314" s="8"/>
      <c r="AM314" s="27"/>
      <c r="AN314" s="27"/>
      <c r="AO314" s="27"/>
    </row>
    <row r="315" spans="1:41" ht="15" thickBot="1" x14ac:dyDescent="0.35">
      <c r="A315" s="51" t="s">
        <v>487</v>
      </c>
      <c r="B315" s="51" t="s">
        <v>488</v>
      </c>
      <c r="C315" s="51" t="s">
        <v>1192</v>
      </c>
      <c r="D315" s="51" t="s">
        <v>489</v>
      </c>
      <c r="E315" s="51" t="s">
        <v>19</v>
      </c>
      <c r="F315" s="51" t="s">
        <v>1185</v>
      </c>
      <c r="G315" s="51" t="s">
        <v>905</v>
      </c>
      <c r="H315" s="53">
        <f t="shared" si="20"/>
        <v>30</v>
      </c>
      <c r="I315" s="17">
        <f t="shared" si="21"/>
        <v>0</v>
      </c>
      <c r="J315" s="18">
        <f t="shared" si="22"/>
        <v>1</v>
      </c>
      <c r="K315" s="27"/>
      <c r="L315" s="8"/>
      <c r="M315" s="8"/>
      <c r="N315" s="8"/>
      <c r="O315" s="27"/>
      <c r="P315" s="27"/>
      <c r="Q315" s="8"/>
      <c r="R315" s="8"/>
      <c r="S315" s="8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8"/>
      <c r="AH315" s="8"/>
      <c r="AI315" s="8"/>
      <c r="AJ315" s="27"/>
      <c r="AK315" s="8"/>
      <c r="AL315" s="8"/>
      <c r="AM315" s="27"/>
      <c r="AN315" s="27"/>
      <c r="AO315" s="27"/>
    </row>
    <row r="316" spans="1:41" ht="15" thickBot="1" x14ac:dyDescent="0.35">
      <c r="A316" s="51" t="s">
        <v>487</v>
      </c>
      <c r="B316" s="51" t="s">
        <v>490</v>
      </c>
      <c r="C316" s="51" t="s">
        <v>1192</v>
      </c>
      <c r="D316" s="51" t="s">
        <v>491</v>
      </c>
      <c r="E316" s="51" t="s">
        <v>19</v>
      </c>
      <c r="F316" s="51" t="s">
        <v>28</v>
      </c>
      <c r="G316" s="51" t="s">
        <v>906</v>
      </c>
      <c r="H316" s="53">
        <f t="shared" si="20"/>
        <v>28</v>
      </c>
      <c r="I316" s="17">
        <f t="shared" si="21"/>
        <v>2</v>
      </c>
      <c r="J316" s="18">
        <f t="shared" si="22"/>
        <v>0.93333333333333335</v>
      </c>
      <c r="K316" s="27"/>
      <c r="L316" s="8"/>
      <c r="M316" s="8"/>
      <c r="N316" s="8"/>
      <c r="O316" s="27"/>
      <c r="P316" s="27"/>
      <c r="Q316" s="8"/>
      <c r="R316" s="8"/>
      <c r="S316" s="8"/>
      <c r="T316" s="27"/>
      <c r="U316" s="27"/>
      <c r="V316" s="27"/>
      <c r="W316" s="27"/>
      <c r="X316" s="27" t="s">
        <v>1010</v>
      </c>
      <c r="Y316" s="27" t="s">
        <v>1010</v>
      </c>
      <c r="Z316" s="27"/>
      <c r="AA316" s="27"/>
      <c r="AB316" s="27"/>
      <c r="AC316" s="27"/>
      <c r="AD316" s="27"/>
      <c r="AE316" s="27"/>
      <c r="AF316" s="27"/>
      <c r="AG316" s="8"/>
      <c r="AH316" s="8"/>
      <c r="AI316" s="8"/>
      <c r="AJ316" s="27"/>
      <c r="AK316" s="8"/>
      <c r="AL316" s="8"/>
      <c r="AM316" s="27"/>
      <c r="AN316" s="27"/>
      <c r="AO316" s="27"/>
    </row>
    <row r="317" spans="1:41" ht="15" thickBot="1" x14ac:dyDescent="0.35">
      <c r="A317" s="51" t="s">
        <v>492</v>
      </c>
      <c r="B317" s="51" t="s">
        <v>493</v>
      </c>
      <c r="C317" s="51" t="s">
        <v>1192</v>
      </c>
      <c r="D317" s="51" t="s">
        <v>494</v>
      </c>
      <c r="E317" s="51" t="s">
        <v>19</v>
      </c>
      <c r="F317" s="51" t="s">
        <v>28</v>
      </c>
      <c r="G317" s="51" t="s">
        <v>907</v>
      </c>
      <c r="H317" s="53">
        <f t="shared" si="20"/>
        <v>30</v>
      </c>
      <c r="I317" s="17">
        <f t="shared" si="21"/>
        <v>0</v>
      </c>
      <c r="J317" s="18">
        <f t="shared" si="22"/>
        <v>1</v>
      </c>
      <c r="K317" s="27"/>
      <c r="L317" s="8"/>
      <c r="M317" s="8"/>
      <c r="N317" s="8"/>
      <c r="O317" s="27"/>
      <c r="P317" s="27"/>
      <c r="Q317" s="8"/>
      <c r="R317" s="8"/>
      <c r="S317" s="8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8"/>
      <c r="AH317" s="8"/>
      <c r="AI317" s="8"/>
      <c r="AJ317" s="27"/>
      <c r="AK317" s="8"/>
      <c r="AL317" s="8"/>
      <c r="AM317" s="27"/>
      <c r="AN317" s="27"/>
      <c r="AO317" s="27"/>
    </row>
    <row r="318" spans="1:41" ht="15" thickBot="1" x14ac:dyDescent="0.35">
      <c r="A318" s="51" t="s">
        <v>487</v>
      </c>
      <c r="B318" s="51" t="s">
        <v>495</v>
      </c>
      <c r="C318" s="51" t="s">
        <v>1192</v>
      </c>
      <c r="D318" s="51" t="s">
        <v>496</v>
      </c>
      <c r="E318" s="51" t="s">
        <v>15</v>
      </c>
      <c r="F318" s="51" t="s">
        <v>28</v>
      </c>
      <c r="G318" s="51" t="s">
        <v>908</v>
      </c>
      <c r="H318" s="53">
        <f t="shared" si="20"/>
        <v>30</v>
      </c>
      <c r="I318" s="17">
        <f t="shared" si="21"/>
        <v>0</v>
      </c>
      <c r="J318" s="18">
        <f t="shared" si="22"/>
        <v>1</v>
      </c>
      <c r="K318" s="27"/>
      <c r="L318" s="8"/>
      <c r="M318" s="8"/>
      <c r="N318" s="8"/>
      <c r="O318" s="27"/>
      <c r="P318" s="27"/>
      <c r="Q318" s="8"/>
      <c r="R318" s="8"/>
      <c r="S318" s="8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8"/>
      <c r="AH318" s="8"/>
      <c r="AI318" s="8"/>
      <c r="AJ318" s="27"/>
      <c r="AK318" s="8"/>
      <c r="AL318" s="8"/>
      <c r="AM318" s="27"/>
      <c r="AN318" s="27"/>
      <c r="AO318" s="27"/>
    </row>
    <row r="319" spans="1:41" ht="15" thickBot="1" x14ac:dyDescent="0.35">
      <c r="A319" s="51" t="s">
        <v>487</v>
      </c>
      <c r="B319" s="51" t="s">
        <v>497</v>
      </c>
      <c r="C319" s="51" t="s">
        <v>1192</v>
      </c>
      <c r="D319" s="51" t="s">
        <v>498</v>
      </c>
      <c r="E319" s="51" t="s">
        <v>19</v>
      </c>
      <c r="F319" s="51" t="s">
        <v>28</v>
      </c>
      <c r="G319" s="51" t="s">
        <v>909</v>
      </c>
      <c r="H319" s="53">
        <f t="shared" si="20"/>
        <v>30</v>
      </c>
      <c r="I319" s="17">
        <f t="shared" si="21"/>
        <v>0</v>
      </c>
      <c r="J319" s="18">
        <f t="shared" si="22"/>
        <v>1</v>
      </c>
      <c r="K319" s="27"/>
      <c r="L319" s="8"/>
      <c r="M319" s="8"/>
      <c r="N319" s="8"/>
      <c r="O319" s="27"/>
      <c r="P319" s="27"/>
      <c r="Q319" s="8"/>
      <c r="R319" s="8"/>
      <c r="S319" s="8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8"/>
      <c r="AH319" s="8"/>
      <c r="AI319" s="8"/>
      <c r="AJ319" s="27"/>
      <c r="AK319" s="8"/>
      <c r="AL319" s="8"/>
      <c r="AM319" s="27"/>
      <c r="AN319" s="27"/>
      <c r="AO319" s="27"/>
    </row>
    <row r="320" spans="1:41" ht="15" thickBot="1" x14ac:dyDescent="0.35">
      <c r="A320" s="51" t="s">
        <v>487</v>
      </c>
      <c r="B320" s="51" t="s">
        <v>499</v>
      </c>
      <c r="C320" s="51" t="s">
        <v>1192</v>
      </c>
      <c r="D320" s="51" t="s">
        <v>500</v>
      </c>
      <c r="E320" s="51" t="s">
        <v>15</v>
      </c>
      <c r="F320" s="51" t="s">
        <v>28</v>
      </c>
      <c r="G320" s="51" t="s">
        <v>910</v>
      </c>
      <c r="H320" s="53">
        <f t="shared" si="20"/>
        <v>30</v>
      </c>
      <c r="I320" s="17">
        <f t="shared" si="21"/>
        <v>0</v>
      </c>
      <c r="J320" s="18">
        <f t="shared" si="22"/>
        <v>1</v>
      </c>
      <c r="K320" s="27"/>
      <c r="L320" s="8"/>
      <c r="M320" s="8"/>
      <c r="N320" s="8"/>
      <c r="O320" s="27"/>
      <c r="P320" s="27"/>
      <c r="Q320" s="8"/>
      <c r="R320" s="8"/>
      <c r="S320" s="8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8"/>
      <c r="AH320" s="8"/>
      <c r="AI320" s="8"/>
      <c r="AJ320" s="27"/>
      <c r="AK320" s="8"/>
      <c r="AL320" s="8"/>
      <c r="AM320" s="27"/>
      <c r="AN320" s="27"/>
      <c r="AO320" s="27"/>
    </row>
    <row r="321" spans="1:41" ht="15" thickBot="1" x14ac:dyDescent="0.35">
      <c r="A321" s="51" t="s">
        <v>487</v>
      </c>
      <c r="B321" s="51" t="s">
        <v>501</v>
      </c>
      <c r="C321" s="51" t="s">
        <v>1192</v>
      </c>
      <c r="D321" s="51" t="s">
        <v>502</v>
      </c>
      <c r="E321" s="51" t="s">
        <v>19</v>
      </c>
      <c r="F321" s="51" t="s">
        <v>28</v>
      </c>
      <c r="G321" s="51" t="s">
        <v>911</v>
      </c>
      <c r="H321" s="53">
        <f t="shared" si="20"/>
        <v>30</v>
      </c>
      <c r="I321" s="17">
        <f t="shared" si="21"/>
        <v>0</v>
      </c>
      <c r="J321" s="18">
        <f t="shared" si="22"/>
        <v>1</v>
      </c>
      <c r="K321" s="27"/>
      <c r="L321" s="8"/>
      <c r="M321" s="8"/>
      <c r="N321" s="8"/>
      <c r="O321" s="27"/>
      <c r="P321" s="27"/>
      <c r="Q321" s="8"/>
      <c r="R321" s="8"/>
      <c r="S321" s="8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8"/>
      <c r="AH321" s="8"/>
      <c r="AI321" s="8"/>
      <c r="AJ321" s="27"/>
      <c r="AK321" s="8"/>
      <c r="AL321" s="8"/>
      <c r="AM321" s="27"/>
      <c r="AN321" s="27"/>
      <c r="AO321" s="27"/>
    </row>
    <row r="322" spans="1:41" ht="15" thickBot="1" x14ac:dyDescent="0.35">
      <c r="A322" s="51" t="s">
        <v>487</v>
      </c>
      <c r="B322" s="51" t="s">
        <v>503</v>
      </c>
      <c r="C322" s="51" t="s">
        <v>1192</v>
      </c>
      <c r="D322" s="51" t="s">
        <v>504</v>
      </c>
      <c r="E322" s="51" t="s">
        <v>19</v>
      </c>
      <c r="F322" s="51" t="s">
        <v>1185</v>
      </c>
      <c r="G322" s="51" t="s">
        <v>912</v>
      </c>
      <c r="H322" s="53">
        <f t="shared" si="20"/>
        <v>30</v>
      </c>
      <c r="I322" s="17">
        <f t="shared" si="21"/>
        <v>0</v>
      </c>
      <c r="J322" s="18">
        <f t="shared" si="22"/>
        <v>1</v>
      </c>
      <c r="K322" s="27"/>
      <c r="L322" s="8"/>
      <c r="M322" s="8"/>
      <c r="N322" s="8"/>
      <c r="O322" s="27"/>
      <c r="P322" s="27"/>
      <c r="Q322" s="8"/>
      <c r="R322" s="8"/>
      <c r="S322" s="8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8"/>
      <c r="AH322" s="8"/>
      <c r="AI322" s="8"/>
      <c r="AJ322" s="27"/>
      <c r="AK322" s="8"/>
      <c r="AL322" s="8"/>
      <c r="AM322" s="27"/>
      <c r="AN322" s="27"/>
      <c r="AO322" s="27"/>
    </row>
    <row r="323" spans="1:41" ht="15" thickBot="1" x14ac:dyDescent="0.35">
      <c r="A323" s="51" t="s">
        <v>232</v>
      </c>
      <c r="B323" s="51" t="s">
        <v>506</v>
      </c>
      <c r="C323" s="51" t="s">
        <v>1193</v>
      </c>
      <c r="D323" s="51" t="s">
        <v>507</v>
      </c>
      <c r="E323" s="51" t="s">
        <v>19</v>
      </c>
      <c r="F323" s="51" t="s">
        <v>20</v>
      </c>
      <c r="G323" s="51" t="s">
        <v>914</v>
      </c>
      <c r="H323" s="53">
        <f t="shared" si="20"/>
        <v>30</v>
      </c>
      <c r="I323" s="17">
        <f t="shared" si="21"/>
        <v>0</v>
      </c>
      <c r="J323" s="18">
        <f t="shared" si="22"/>
        <v>1</v>
      </c>
      <c r="K323" s="27"/>
      <c r="L323" s="8"/>
      <c r="M323" s="8"/>
      <c r="N323" s="8"/>
      <c r="O323" s="27"/>
      <c r="P323" s="27"/>
      <c r="Q323" s="8"/>
      <c r="R323" s="8"/>
      <c r="S323" s="8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8"/>
      <c r="AH323" s="8"/>
      <c r="AI323" s="8"/>
      <c r="AJ323" s="27"/>
      <c r="AK323" s="8"/>
      <c r="AL323" s="8"/>
      <c r="AM323" s="27"/>
      <c r="AN323" s="27"/>
      <c r="AO323" s="27"/>
    </row>
    <row r="324" spans="1:41" ht="15" thickBot="1" x14ac:dyDescent="0.35">
      <c r="A324" s="51" t="s">
        <v>232</v>
      </c>
      <c r="B324" s="51" t="s">
        <v>508</v>
      </c>
      <c r="C324" s="51" t="s">
        <v>1193</v>
      </c>
      <c r="D324" s="51" t="s">
        <v>509</v>
      </c>
      <c r="E324" s="51" t="s">
        <v>15</v>
      </c>
      <c r="F324" s="51" t="s">
        <v>20</v>
      </c>
      <c r="G324" s="51" t="s">
        <v>915</v>
      </c>
      <c r="H324" s="53">
        <f t="shared" si="20"/>
        <v>30</v>
      </c>
      <c r="I324" s="17">
        <f t="shared" si="21"/>
        <v>0</v>
      </c>
      <c r="J324" s="18">
        <f t="shared" si="22"/>
        <v>1</v>
      </c>
      <c r="K324" s="27"/>
      <c r="L324" s="8"/>
      <c r="M324" s="8"/>
      <c r="N324" s="8"/>
      <c r="O324" s="27"/>
      <c r="P324" s="27"/>
      <c r="Q324" s="8"/>
      <c r="R324" s="8"/>
      <c r="S324" s="8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8"/>
      <c r="AH324" s="8"/>
      <c r="AI324" s="8"/>
      <c r="AJ324" s="27"/>
      <c r="AK324" s="8"/>
      <c r="AL324" s="8"/>
      <c r="AM324" s="27"/>
      <c r="AN324" s="27"/>
      <c r="AO324" s="27"/>
    </row>
    <row r="325" spans="1:41" ht="15" thickBot="1" x14ac:dyDescent="0.35">
      <c r="A325" s="51" t="s">
        <v>232</v>
      </c>
      <c r="B325" s="51" t="s">
        <v>1155</v>
      </c>
      <c r="C325" s="51" t="s">
        <v>1193</v>
      </c>
      <c r="D325" s="51" t="s">
        <v>518</v>
      </c>
      <c r="E325" s="51" t="s">
        <v>73</v>
      </c>
      <c r="F325" s="51" t="s">
        <v>1184</v>
      </c>
      <c r="G325" s="51" t="s">
        <v>921</v>
      </c>
      <c r="H325" s="53">
        <f t="shared" si="20"/>
        <v>29</v>
      </c>
      <c r="I325" s="17">
        <f t="shared" si="21"/>
        <v>1</v>
      </c>
      <c r="J325" s="18">
        <f t="shared" si="22"/>
        <v>0.96666666666666667</v>
      </c>
      <c r="K325" s="27"/>
      <c r="L325" s="8"/>
      <c r="M325" s="8"/>
      <c r="N325" s="8"/>
      <c r="O325" s="27"/>
      <c r="P325" s="27"/>
      <c r="Q325" s="8"/>
      <c r="R325" s="8"/>
      <c r="S325" s="8"/>
      <c r="T325" s="27" t="s">
        <v>1010</v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8"/>
      <c r="AH325" s="8"/>
      <c r="AI325" s="8"/>
      <c r="AJ325" s="27"/>
      <c r="AK325" s="8"/>
      <c r="AL325" s="8"/>
      <c r="AM325" s="27"/>
      <c r="AN325" s="27"/>
      <c r="AO325" s="27"/>
    </row>
    <row r="326" spans="1:41" ht="15" thickBot="1" x14ac:dyDescent="0.35">
      <c r="A326" s="51" t="s">
        <v>232</v>
      </c>
      <c r="B326" s="51" t="s">
        <v>1156</v>
      </c>
      <c r="C326" s="51" t="s">
        <v>1193</v>
      </c>
      <c r="D326" s="51" t="s">
        <v>518</v>
      </c>
      <c r="E326" s="51" t="s">
        <v>73</v>
      </c>
      <c r="F326" s="51" t="s">
        <v>1184</v>
      </c>
      <c r="G326" s="51" t="s">
        <v>922</v>
      </c>
      <c r="H326" s="53">
        <f t="shared" ref="H326:H379" si="23">COUNTIF(K326:AN326,"")</f>
        <v>29</v>
      </c>
      <c r="I326" s="17">
        <f t="shared" si="21"/>
        <v>1</v>
      </c>
      <c r="J326" s="18">
        <f t="shared" si="22"/>
        <v>0.96666666666666667</v>
      </c>
      <c r="K326" s="27"/>
      <c r="L326" s="8"/>
      <c r="M326" s="8"/>
      <c r="N326" s="8"/>
      <c r="O326" s="27"/>
      <c r="P326" s="27"/>
      <c r="Q326" s="8"/>
      <c r="R326" s="8"/>
      <c r="S326" s="8"/>
      <c r="T326" s="27" t="s">
        <v>1010</v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8"/>
      <c r="AH326" s="8"/>
      <c r="AI326" s="8"/>
      <c r="AJ326" s="27"/>
      <c r="AK326" s="8"/>
      <c r="AL326" s="8"/>
      <c r="AM326" s="27"/>
      <c r="AN326" s="27"/>
      <c r="AO326" s="27"/>
    </row>
    <row r="327" spans="1:41" ht="15" thickBot="1" x14ac:dyDescent="0.35">
      <c r="A327" s="51" t="s">
        <v>232</v>
      </c>
      <c r="B327" s="51" t="s">
        <v>510</v>
      </c>
      <c r="C327" s="51" t="s">
        <v>1193</v>
      </c>
      <c r="D327" s="51" t="s">
        <v>511</v>
      </c>
      <c r="E327" s="51" t="s">
        <v>73</v>
      </c>
      <c r="F327" s="51" t="s">
        <v>16</v>
      </c>
      <c r="G327" s="51" t="s">
        <v>916</v>
      </c>
      <c r="H327" s="53">
        <f t="shared" si="23"/>
        <v>15</v>
      </c>
      <c r="I327" s="17">
        <f t="shared" ref="I327:I372" si="24">COUNTIF(K327:AL327,"APAGADO")</f>
        <v>15</v>
      </c>
      <c r="J327" s="18">
        <f t="shared" ref="J327:J372" si="25">(H327)/(I327+H327)</f>
        <v>0.5</v>
      </c>
      <c r="K327" s="27" t="s">
        <v>1010</v>
      </c>
      <c r="L327" s="8" t="s">
        <v>1010</v>
      </c>
      <c r="M327" s="8" t="s">
        <v>1010</v>
      </c>
      <c r="N327" s="8" t="s">
        <v>1010</v>
      </c>
      <c r="O327" s="27" t="s">
        <v>1010</v>
      </c>
      <c r="P327" s="27" t="s">
        <v>1010</v>
      </c>
      <c r="Q327" s="8" t="s">
        <v>1010</v>
      </c>
      <c r="R327" s="8" t="s">
        <v>1010</v>
      </c>
      <c r="S327" s="8" t="s">
        <v>1010</v>
      </c>
      <c r="T327" s="27" t="s">
        <v>1010</v>
      </c>
      <c r="U327" s="27" t="s">
        <v>1010</v>
      </c>
      <c r="V327" s="27" t="s">
        <v>1010</v>
      </c>
      <c r="W327" s="27" t="s">
        <v>1010</v>
      </c>
      <c r="X327" s="27" t="s">
        <v>1010</v>
      </c>
      <c r="Y327" s="27" t="s">
        <v>1010</v>
      </c>
      <c r="Z327" s="27"/>
      <c r="AA327" s="27"/>
      <c r="AB327" s="27"/>
      <c r="AC327" s="27"/>
      <c r="AD327" s="27"/>
      <c r="AE327" s="27"/>
      <c r="AF327" s="27"/>
      <c r="AG327" s="8"/>
      <c r="AH327" s="8"/>
      <c r="AI327" s="8"/>
      <c r="AJ327" s="27"/>
      <c r="AK327" s="8"/>
      <c r="AL327" s="8"/>
      <c r="AM327" s="27"/>
      <c r="AN327" s="27"/>
      <c r="AO327" s="27"/>
    </row>
    <row r="328" spans="1:41" ht="15" thickBot="1" x14ac:dyDescent="0.35">
      <c r="A328" s="51" t="s">
        <v>232</v>
      </c>
      <c r="B328" s="51" t="s">
        <v>512</v>
      </c>
      <c r="C328" s="51" t="s">
        <v>1193</v>
      </c>
      <c r="D328" s="51" t="s">
        <v>511</v>
      </c>
      <c r="E328" s="51" t="s">
        <v>73</v>
      </c>
      <c r="F328" s="51" t="s">
        <v>16</v>
      </c>
      <c r="G328" s="51" t="s">
        <v>917</v>
      </c>
      <c r="H328" s="53">
        <f t="shared" si="23"/>
        <v>15</v>
      </c>
      <c r="I328" s="17">
        <f t="shared" si="24"/>
        <v>15</v>
      </c>
      <c r="J328" s="18">
        <f t="shared" si="25"/>
        <v>0.5</v>
      </c>
      <c r="K328" s="27" t="s">
        <v>1010</v>
      </c>
      <c r="L328" s="8" t="s">
        <v>1010</v>
      </c>
      <c r="M328" s="8" t="s">
        <v>1010</v>
      </c>
      <c r="N328" s="8" t="s">
        <v>1010</v>
      </c>
      <c r="O328" s="27" t="s">
        <v>1010</v>
      </c>
      <c r="P328" s="27" t="s">
        <v>1010</v>
      </c>
      <c r="Q328" s="8" t="s">
        <v>1010</v>
      </c>
      <c r="R328" s="8" t="s">
        <v>1010</v>
      </c>
      <c r="S328" s="8" t="s">
        <v>1010</v>
      </c>
      <c r="T328" s="27" t="s">
        <v>1010</v>
      </c>
      <c r="U328" s="27" t="s">
        <v>1010</v>
      </c>
      <c r="V328" s="27" t="s">
        <v>1010</v>
      </c>
      <c r="W328" s="27" t="s">
        <v>1010</v>
      </c>
      <c r="X328" s="27" t="s">
        <v>1010</v>
      </c>
      <c r="Y328" s="27" t="s">
        <v>1010</v>
      </c>
      <c r="Z328" s="27"/>
      <c r="AA328" s="27"/>
      <c r="AB328" s="27"/>
      <c r="AC328" s="27"/>
      <c r="AD328" s="27"/>
      <c r="AE328" s="27"/>
      <c r="AF328" s="27"/>
      <c r="AG328" s="8"/>
      <c r="AH328" s="8"/>
      <c r="AI328" s="8"/>
      <c r="AJ328" s="27"/>
      <c r="AK328" s="8"/>
      <c r="AL328" s="8"/>
      <c r="AM328" s="27"/>
      <c r="AN328" s="27"/>
      <c r="AO328" s="27"/>
    </row>
    <row r="329" spans="1:41" ht="15" thickBot="1" x14ac:dyDescent="0.35">
      <c r="A329" s="51" t="s">
        <v>232</v>
      </c>
      <c r="B329" s="51" t="s">
        <v>513</v>
      </c>
      <c r="C329" s="51" t="s">
        <v>1193</v>
      </c>
      <c r="D329" s="51" t="s">
        <v>514</v>
      </c>
      <c r="E329" s="51" t="s">
        <v>73</v>
      </c>
      <c r="F329" s="51" t="s">
        <v>16</v>
      </c>
      <c r="G329" s="51" t="s">
        <v>918</v>
      </c>
      <c r="H329" s="53">
        <f t="shared" si="23"/>
        <v>30</v>
      </c>
      <c r="I329" s="17">
        <f t="shared" si="24"/>
        <v>0</v>
      </c>
      <c r="J329" s="18">
        <f t="shared" si="25"/>
        <v>1</v>
      </c>
      <c r="K329" s="27"/>
      <c r="L329" s="8"/>
      <c r="M329" s="8"/>
      <c r="N329" s="8"/>
      <c r="O329" s="27"/>
      <c r="P329" s="27"/>
      <c r="Q329" s="8"/>
      <c r="R329" s="8"/>
      <c r="S329" s="8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8"/>
      <c r="AH329" s="8"/>
      <c r="AI329" s="8"/>
      <c r="AJ329" s="27"/>
      <c r="AK329" s="8"/>
      <c r="AL329" s="8"/>
      <c r="AM329" s="27"/>
      <c r="AN329" s="27"/>
      <c r="AO329" s="27"/>
    </row>
    <row r="330" spans="1:41" ht="15" thickBot="1" x14ac:dyDescent="0.35">
      <c r="A330" s="51" t="s">
        <v>232</v>
      </c>
      <c r="B330" s="51" t="s">
        <v>515</v>
      </c>
      <c r="C330" s="51" t="s">
        <v>1193</v>
      </c>
      <c r="D330" s="51" t="s">
        <v>514</v>
      </c>
      <c r="E330" s="51" t="s">
        <v>73</v>
      </c>
      <c r="F330" s="51" t="s">
        <v>16</v>
      </c>
      <c r="G330" s="51" t="s">
        <v>919</v>
      </c>
      <c r="H330" s="53">
        <f t="shared" si="23"/>
        <v>30</v>
      </c>
      <c r="I330" s="17">
        <f t="shared" si="24"/>
        <v>0</v>
      </c>
      <c r="J330" s="18">
        <f t="shared" si="25"/>
        <v>1</v>
      </c>
      <c r="K330" s="27"/>
      <c r="L330" s="8"/>
      <c r="M330" s="8"/>
      <c r="N330" s="8"/>
      <c r="O330" s="27"/>
      <c r="P330" s="27"/>
      <c r="Q330" s="8"/>
      <c r="R330" s="8"/>
      <c r="S330" s="8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8"/>
      <c r="AH330" s="8"/>
      <c r="AI330" s="8"/>
      <c r="AJ330" s="27"/>
      <c r="AK330" s="8"/>
      <c r="AL330" s="8"/>
      <c r="AM330" s="27"/>
      <c r="AN330" s="27"/>
      <c r="AO330" s="27"/>
    </row>
    <row r="331" spans="1:41" ht="15" thickBot="1" x14ac:dyDescent="0.35">
      <c r="A331" s="51" t="s">
        <v>232</v>
      </c>
      <c r="B331" s="51" t="s">
        <v>516</v>
      </c>
      <c r="C331" s="51" t="s">
        <v>1193</v>
      </c>
      <c r="D331" s="51" t="s">
        <v>517</v>
      </c>
      <c r="E331" s="51" t="s">
        <v>15</v>
      </c>
      <c r="F331" s="51" t="s">
        <v>28</v>
      </c>
      <c r="G331" s="51" t="s">
        <v>920</v>
      </c>
      <c r="H331" s="53">
        <f t="shared" si="23"/>
        <v>30</v>
      </c>
      <c r="I331" s="17">
        <f t="shared" si="24"/>
        <v>0</v>
      </c>
      <c r="J331" s="18">
        <f t="shared" si="25"/>
        <v>1</v>
      </c>
      <c r="K331" s="27"/>
      <c r="L331" s="8"/>
      <c r="M331" s="8"/>
      <c r="N331" s="8"/>
      <c r="O331" s="27"/>
      <c r="P331" s="27"/>
      <c r="Q331" s="8"/>
      <c r="R331" s="8"/>
      <c r="S331" s="8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8"/>
      <c r="AH331" s="8"/>
      <c r="AI331" s="8"/>
      <c r="AJ331" s="27"/>
      <c r="AK331" s="8"/>
      <c r="AL331" s="8"/>
      <c r="AM331" s="27"/>
      <c r="AN331" s="27"/>
      <c r="AO331" s="27"/>
    </row>
    <row r="332" spans="1:41" ht="15" thickBot="1" x14ac:dyDescent="0.35">
      <c r="A332" s="51" t="s">
        <v>232</v>
      </c>
      <c r="B332" s="51" t="s">
        <v>519</v>
      </c>
      <c r="C332" s="51" t="s">
        <v>1193</v>
      </c>
      <c r="D332" s="51" t="s">
        <v>520</v>
      </c>
      <c r="E332" s="51" t="s">
        <v>73</v>
      </c>
      <c r="F332" s="51" t="s">
        <v>1184</v>
      </c>
      <c r="G332" s="51" t="s">
        <v>923</v>
      </c>
      <c r="H332" s="53">
        <f t="shared" si="23"/>
        <v>29</v>
      </c>
      <c r="I332" s="17">
        <f t="shared" si="24"/>
        <v>1</v>
      </c>
      <c r="J332" s="18">
        <f t="shared" si="25"/>
        <v>0.96666666666666667</v>
      </c>
      <c r="K332" s="27"/>
      <c r="L332" s="8"/>
      <c r="M332" s="8"/>
      <c r="N332" s="8"/>
      <c r="O332" s="27"/>
      <c r="P332" s="27"/>
      <c r="Q332" s="8"/>
      <c r="R332" s="8"/>
      <c r="S332" s="8"/>
      <c r="T332" s="27" t="s">
        <v>1010</v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8"/>
      <c r="AH332" s="8"/>
      <c r="AI332" s="8"/>
      <c r="AJ332" s="27"/>
      <c r="AK332" s="8"/>
      <c r="AL332" s="8"/>
      <c r="AM332" s="27"/>
      <c r="AN332" s="27"/>
      <c r="AO332" s="27"/>
    </row>
    <row r="333" spans="1:41" ht="15" thickBot="1" x14ac:dyDescent="0.35">
      <c r="A333" s="51" t="s">
        <v>232</v>
      </c>
      <c r="B333" s="51" t="s">
        <v>521</v>
      </c>
      <c r="C333" s="51" t="s">
        <v>1193</v>
      </c>
      <c r="D333" s="51" t="s">
        <v>520</v>
      </c>
      <c r="E333" s="51" t="s">
        <v>73</v>
      </c>
      <c r="F333" s="51" t="s">
        <v>1184</v>
      </c>
      <c r="G333" s="51" t="s">
        <v>924</v>
      </c>
      <c r="H333" s="53">
        <f t="shared" si="23"/>
        <v>29</v>
      </c>
      <c r="I333" s="17">
        <f t="shared" si="24"/>
        <v>1</v>
      </c>
      <c r="J333" s="18">
        <f t="shared" si="25"/>
        <v>0.96666666666666667</v>
      </c>
      <c r="K333" s="27"/>
      <c r="L333" s="8"/>
      <c r="M333" s="8"/>
      <c r="N333" s="8"/>
      <c r="O333" s="27"/>
      <c r="P333" s="27"/>
      <c r="Q333" s="8"/>
      <c r="R333" s="8"/>
      <c r="S333" s="8"/>
      <c r="T333" s="27" t="s">
        <v>1010</v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8"/>
      <c r="AH333" s="8"/>
      <c r="AI333" s="8"/>
      <c r="AJ333" s="27"/>
      <c r="AK333" s="8"/>
      <c r="AL333" s="8"/>
      <c r="AM333" s="27"/>
      <c r="AN333" s="27"/>
      <c r="AO333" s="27"/>
    </row>
    <row r="334" spans="1:41" ht="15" thickBot="1" x14ac:dyDescent="0.35">
      <c r="A334" s="51" t="s">
        <v>524</v>
      </c>
      <c r="B334" s="51" t="s">
        <v>1157</v>
      </c>
      <c r="C334" s="51" t="s">
        <v>1193</v>
      </c>
      <c r="D334" s="51" t="s">
        <v>550</v>
      </c>
      <c r="E334" s="51" t="s">
        <v>19</v>
      </c>
      <c r="F334" s="51" t="s">
        <v>28</v>
      </c>
      <c r="G334" s="51" t="s">
        <v>934</v>
      </c>
      <c r="H334" s="53">
        <f t="shared" si="23"/>
        <v>30</v>
      </c>
      <c r="I334" s="17">
        <f t="shared" si="24"/>
        <v>0</v>
      </c>
      <c r="J334" s="18">
        <f t="shared" si="25"/>
        <v>1</v>
      </c>
      <c r="K334" s="27"/>
      <c r="L334" s="8"/>
      <c r="M334" s="8"/>
      <c r="N334" s="8"/>
      <c r="O334" s="27"/>
      <c r="P334" s="27"/>
      <c r="Q334" s="8"/>
      <c r="R334" s="8"/>
      <c r="S334" s="8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8"/>
      <c r="AH334" s="8"/>
      <c r="AI334" s="8"/>
      <c r="AJ334" s="27"/>
      <c r="AK334" s="8"/>
      <c r="AL334" s="8"/>
      <c r="AM334" s="27"/>
      <c r="AN334" s="27"/>
      <c r="AO334" s="27"/>
    </row>
    <row r="335" spans="1:41" ht="15" thickBot="1" x14ac:dyDescent="0.35">
      <c r="A335" s="51" t="s">
        <v>528</v>
      </c>
      <c r="B335" s="51" t="s">
        <v>1158</v>
      </c>
      <c r="C335" s="51" t="s">
        <v>1193</v>
      </c>
      <c r="D335" s="51" t="s">
        <v>553</v>
      </c>
      <c r="E335" s="51" t="s">
        <v>15</v>
      </c>
      <c r="F335" s="51" t="s">
        <v>1184</v>
      </c>
      <c r="G335" s="51" t="s">
        <v>938</v>
      </c>
      <c r="H335" s="53">
        <f t="shared" si="23"/>
        <v>24</v>
      </c>
      <c r="I335" s="17">
        <f t="shared" si="24"/>
        <v>6</v>
      </c>
      <c r="J335" s="18">
        <f t="shared" si="25"/>
        <v>0.8</v>
      </c>
      <c r="K335" s="27"/>
      <c r="L335" s="8"/>
      <c r="M335" s="8"/>
      <c r="N335" s="8"/>
      <c r="O335" s="27" t="s">
        <v>1010</v>
      </c>
      <c r="P335" s="27" t="s">
        <v>1010</v>
      </c>
      <c r="Q335" s="8" t="s">
        <v>1010</v>
      </c>
      <c r="R335" s="8" t="s">
        <v>1010</v>
      </c>
      <c r="S335" s="8" t="s">
        <v>1010</v>
      </c>
      <c r="T335" s="27" t="s">
        <v>1010</v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8"/>
      <c r="AH335" s="8"/>
      <c r="AI335" s="8"/>
      <c r="AJ335" s="27"/>
      <c r="AK335" s="8"/>
      <c r="AL335" s="8"/>
      <c r="AM335" s="27"/>
      <c r="AN335" s="27"/>
      <c r="AO335" s="27"/>
    </row>
    <row r="336" spans="1:41" ht="15" thickBot="1" x14ac:dyDescent="0.35">
      <c r="A336" s="51" t="s">
        <v>528</v>
      </c>
      <c r="B336" s="51" t="s">
        <v>526</v>
      </c>
      <c r="C336" s="51" t="s">
        <v>1193</v>
      </c>
      <c r="D336" s="51" t="s">
        <v>527</v>
      </c>
      <c r="E336" s="51" t="s">
        <v>15</v>
      </c>
      <c r="F336" s="51" t="s">
        <v>1185</v>
      </c>
      <c r="G336" s="51" t="s">
        <v>939</v>
      </c>
      <c r="H336" s="53">
        <f t="shared" si="23"/>
        <v>29</v>
      </c>
      <c r="I336" s="17">
        <f t="shared" si="24"/>
        <v>1</v>
      </c>
      <c r="J336" s="18">
        <f t="shared" si="25"/>
        <v>0.96666666666666667</v>
      </c>
      <c r="K336" s="27"/>
      <c r="L336" s="8"/>
      <c r="M336" s="8"/>
      <c r="N336" s="8"/>
      <c r="O336" s="27"/>
      <c r="P336" s="27"/>
      <c r="Q336" s="8"/>
      <c r="R336" s="8"/>
      <c r="S336" s="8"/>
      <c r="T336" s="27"/>
      <c r="U336" s="27"/>
      <c r="V336" s="27"/>
      <c r="W336" s="27"/>
      <c r="X336" s="27"/>
      <c r="Y336" s="27" t="s">
        <v>1010</v>
      </c>
      <c r="Z336" s="27"/>
      <c r="AA336" s="27"/>
      <c r="AB336" s="27"/>
      <c r="AC336" s="27"/>
      <c r="AD336" s="27"/>
      <c r="AE336" s="27"/>
      <c r="AF336" s="27"/>
      <c r="AG336" s="8"/>
      <c r="AH336" s="8"/>
      <c r="AI336" s="8"/>
      <c r="AJ336" s="27"/>
      <c r="AK336" s="8"/>
      <c r="AL336" s="8"/>
      <c r="AM336" s="27"/>
      <c r="AN336" s="27"/>
      <c r="AO336" s="27"/>
    </row>
    <row r="337" spans="1:41" ht="15" thickBot="1" x14ac:dyDescent="0.35">
      <c r="A337" s="51" t="s">
        <v>528</v>
      </c>
      <c r="B337" s="51" t="s">
        <v>529</v>
      </c>
      <c r="C337" s="51" t="s">
        <v>1193</v>
      </c>
      <c r="D337" s="51" t="s">
        <v>530</v>
      </c>
      <c r="E337" s="51" t="s">
        <v>15</v>
      </c>
      <c r="F337" s="51" t="s">
        <v>1185</v>
      </c>
      <c r="G337" s="51" t="s">
        <v>940</v>
      </c>
      <c r="H337" s="53">
        <f t="shared" si="23"/>
        <v>30</v>
      </c>
      <c r="I337" s="17">
        <f t="shared" si="24"/>
        <v>0</v>
      </c>
      <c r="J337" s="18">
        <f t="shared" si="25"/>
        <v>1</v>
      </c>
      <c r="K337" s="27"/>
      <c r="L337" s="8"/>
      <c r="M337" s="8"/>
      <c r="N337" s="8"/>
      <c r="O337" s="27"/>
      <c r="P337" s="27"/>
      <c r="Q337" s="8"/>
      <c r="R337" s="8"/>
      <c r="S337" s="8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8"/>
      <c r="AH337" s="8"/>
      <c r="AI337" s="8"/>
      <c r="AJ337" s="27"/>
      <c r="AK337" s="8"/>
      <c r="AL337" s="8"/>
      <c r="AM337" s="27"/>
      <c r="AN337" s="27"/>
      <c r="AO337" s="27"/>
    </row>
    <row r="338" spans="1:41" ht="15" thickBot="1" x14ac:dyDescent="0.35">
      <c r="A338" s="51" t="s">
        <v>528</v>
      </c>
      <c r="B338" s="51" t="s">
        <v>531</v>
      </c>
      <c r="C338" s="51" t="s">
        <v>1193</v>
      </c>
      <c r="D338" s="51" t="s">
        <v>1159</v>
      </c>
      <c r="E338" s="51" t="s">
        <v>15</v>
      </c>
      <c r="F338" s="51" t="s">
        <v>1185</v>
      </c>
      <c r="G338" s="51" t="s">
        <v>941</v>
      </c>
      <c r="H338" s="53">
        <f t="shared" si="23"/>
        <v>30</v>
      </c>
      <c r="I338" s="17">
        <f t="shared" si="24"/>
        <v>0</v>
      </c>
      <c r="J338" s="18">
        <f t="shared" si="25"/>
        <v>1</v>
      </c>
      <c r="K338" s="27"/>
      <c r="L338" s="8"/>
      <c r="M338" s="8"/>
      <c r="N338" s="8"/>
      <c r="O338" s="27"/>
      <c r="P338" s="27"/>
      <c r="Q338" s="8"/>
      <c r="R338" s="8"/>
      <c r="S338" s="8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8"/>
      <c r="AH338" s="8"/>
      <c r="AI338" s="8"/>
      <c r="AJ338" s="27"/>
      <c r="AK338" s="8"/>
      <c r="AL338" s="8"/>
      <c r="AM338" s="27"/>
      <c r="AN338" s="27"/>
      <c r="AO338" s="27"/>
    </row>
    <row r="339" spans="1:41" ht="15" thickBot="1" x14ac:dyDescent="0.35">
      <c r="A339" s="51" t="s">
        <v>528</v>
      </c>
      <c r="B339" s="51" t="s">
        <v>534</v>
      </c>
      <c r="C339" s="51" t="s">
        <v>1193</v>
      </c>
      <c r="D339" s="51" t="s">
        <v>535</v>
      </c>
      <c r="E339" s="51" t="s">
        <v>46</v>
      </c>
      <c r="F339" s="51" t="s">
        <v>20</v>
      </c>
      <c r="G339" s="51" t="s">
        <v>944</v>
      </c>
      <c r="H339" s="53">
        <f t="shared" si="23"/>
        <v>30</v>
      </c>
      <c r="I339" s="17">
        <f t="shared" si="24"/>
        <v>0</v>
      </c>
      <c r="J339" s="18">
        <f t="shared" si="25"/>
        <v>1</v>
      </c>
      <c r="K339" s="27"/>
      <c r="L339" s="8"/>
      <c r="M339" s="8"/>
      <c r="N339" s="8"/>
      <c r="O339" s="27"/>
      <c r="P339" s="27"/>
      <c r="Q339" s="8"/>
      <c r="R339" s="8"/>
      <c r="S339" s="8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8"/>
      <c r="AH339" s="8"/>
      <c r="AI339" s="8"/>
      <c r="AJ339" s="27"/>
      <c r="AK339" s="8"/>
      <c r="AL339" s="8"/>
      <c r="AM339" s="27"/>
      <c r="AN339" s="27"/>
      <c r="AO339" s="27"/>
    </row>
    <row r="340" spans="1:41" ht="15" thickBot="1" x14ac:dyDescent="0.35">
      <c r="A340" s="51" t="s">
        <v>524</v>
      </c>
      <c r="B340" s="51" t="s">
        <v>1160</v>
      </c>
      <c r="C340" s="51" t="s">
        <v>1193</v>
      </c>
      <c r="D340" s="51" t="s">
        <v>554</v>
      </c>
      <c r="E340" s="51" t="s">
        <v>73</v>
      </c>
      <c r="F340" s="51" t="s">
        <v>28</v>
      </c>
      <c r="G340" s="51" t="s">
        <v>945</v>
      </c>
      <c r="H340" s="53">
        <f t="shared" si="23"/>
        <v>30</v>
      </c>
      <c r="I340" s="17">
        <f t="shared" si="24"/>
        <v>0</v>
      </c>
      <c r="J340" s="18">
        <f t="shared" si="25"/>
        <v>1</v>
      </c>
      <c r="K340" s="27"/>
      <c r="L340" s="8"/>
      <c r="M340" s="8"/>
      <c r="N340" s="8"/>
      <c r="O340" s="27"/>
      <c r="P340" s="27"/>
      <c r="Q340" s="8"/>
      <c r="R340" s="8"/>
      <c r="S340" s="8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8"/>
      <c r="AH340" s="8"/>
      <c r="AI340" s="8"/>
      <c r="AJ340" s="27"/>
      <c r="AK340" s="8"/>
      <c r="AL340" s="8"/>
      <c r="AM340" s="27"/>
      <c r="AN340" s="27"/>
      <c r="AO340" s="27"/>
    </row>
    <row r="341" spans="1:41" ht="15" thickBot="1" x14ac:dyDescent="0.35">
      <c r="A341" s="51" t="s">
        <v>524</v>
      </c>
      <c r="B341" s="51" t="s">
        <v>1161</v>
      </c>
      <c r="C341" s="51" t="s">
        <v>1193</v>
      </c>
      <c r="D341" s="51" t="s">
        <v>554</v>
      </c>
      <c r="E341" s="51" t="s">
        <v>73</v>
      </c>
      <c r="F341" s="51" t="s">
        <v>28</v>
      </c>
      <c r="G341" s="51" t="s">
        <v>946</v>
      </c>
      <c r="H341" s="53">
        <f t="shared" si="23"/>
        <v>30</v>
      </c>
      <c r="I341" s="17">
        <f t="shared" si="24"/>
        <v>0</v>
      </c>
      <c r="J341" s="18">
        <f t="shared" si="25"/>
        <v>1</v>
      </c>
      <c r="K341" s="27"/>
      <c r="L341" s="8"/>
      <c r="M341" s="8"/>
      <c r="N341" s="8"/>
      <c r="O341" s="27"/>
      <c r="P341" s="27"/>
      <c r="Q341" s="8"/>
      <c r="R341" s="8"/>
      <c r="S341" s="8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8"/>
      <c r="AH341" s="8"/>
      <c r="AI341" s="8"/>
      <c r="AJ341" s="27"/>
      <c r="AK341" s="8"/>
      <c r="AL341" s="8"/>
      <c r="AM341" s="27"/>
      <c r="AN341" s="27"/>
      <c r="AO341" s="27"/>
    </row>
    <row r="342" spans="1:41" ht="15" thickBot="1" x14ac:dyDescent="0.35">
      <c r="A342" s="51" t="s">
        <v>528</v>
      </c>
      <c r="B342" s="51" t="s">
        <v>536</v>
      </c>
      <c r="C342" s="51" t="s">
        <v>1193</v>
      </c>
      <c r="D342" s="51" t="s">
        <v>1162</v>
      </c>
      <c r="E342" s="51" t="s">
        <v>19</v>
      </c>
      <c r="F342" s="51" t="s">
        <v>28</v>
      </c>
      <c r="G342" s="51" t="s">
        <v>925</v>
      </c>
      <c r="H342" s="53">
        <f t="shared" si="23"/>
        <v>30</v>
      </c>
      <c r="I342" s="17">
        <f t="shared" si="24"/>
        <v>0</v>
      </c>
      <c r="J342" s="18">
        <f t="shared" si="25"/>
        <v>1</v>
      </c>
      <c r="K342" s="27"/>
      <c r="L342" s="8"/>
      <c r="M342" s="8"/>
      <c r="N342" s="8"/>
      <c r="O342" s="27"/>
      <c r="P342" s="27"/>
      <c r="Q342" s="8"/>
      <c r="R342" s="8"/>
      <c r="S342" s="8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8"/>
      <c r="AH342" s="8"/>
      <c r="AI342" s="8"/>
      <c r="AJ342" s="27"/>
      <c r="AK342" s="8"/>
      <c r="AL342" s="8"/>
      <c r="AM342" s="27"/>
      <c r="AN342" s="27"/>
      <c r="AO342" s="27"/>
    </row>
    <row r="343" spans="1:41" ht="15" thickBot="1" x14ac:dyDescent="0.35">
      <c r="A343" s="51" t="s">
        <v>524</v>
      </c>
      <c r="B343" s="51" t="s">
        <v>537</v>
      </c>
      <c r="C343" s="51" t="s">
        <v>1193</v>
      </c>
      <c r="D343" s="51" t="s">
        <v>1163</v>
      </c>
      <c r="E343" s="51" t="s">
        <v>19</v>
      </c>
      <c r="F343" s="51" t="s">
        <v>28</v>
      </c>
      <c r="G343" s="51" t="s">
        <v>926</v>
      </c>
      <c r="H343" s="53">
        <f t="shared" si="23"/>
        <v>30</v>
      </c>
      <c r="I343" s="17">
        <f t="shared" si="24"/>
        <v>0</v>
      </c>
      <c r="J343" s="18">
        <f t="shared" si="25"/>
        <v>1</v>
      </c>
      <c r="K343" s="27"/>
      <c r="L343" s="8"/>
      <c r="M343" s="8"/>
      <c r="N343" s="8"/>
      <c r="O343" s="27"/>
      <c r="P343" s="27"/>
      <c r="Q343" s="8"/>
      <c r="R343" s="8"/>
      <c r="S343" s="8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8"/>
      <c r="AH343" s="8"/>
      <c r="AI343" s="8"/>
      <c r="AJ343" s="27"/>
      <c r="AK343" s="8"/>
      <c r="AL343" s="8"/>
      <c r="AM343" s="27"/>
      <c r="AN343" s="27"/>
      <c r="AO343" s="27"/>
    </row>
    <row r="344" spans="1:41" ht="15" thickBot="1" x14ac:dyDescent="0.35">
      <c r="A344" s="51" t="s">
        <v>524</v>
      </c>
      <c r="B344" s="51" t="s">
        <v>538</v>
      </c>
      <c r="C344" s="51" t="s">
        <v>1193</v>
      </c>
      <c r="D344" s="51" t="s">
        <v>539</v>
      </c>
      <c r="E344" s="51" t="s">
        <v>19</v>
      </c>
      <c r="F344" s="51" t="s">
        <v>28</v>
      </c>
      <c r="G344" s="51" t="s">
        <v>927</v>
      </c>
      <c r="H344" s="53">
        <f t="shared" si="23"/>
        <v>30</v>
      </c>
      <c r="I344" s="17">
        <f t="shared" si="24"/>
        <v>0</v>
      </c>
      <c r="J344" s="18">
        <f t="shared" si="25"/>
        <v>1</v>
      </c>
      <c r="K344" s="27"/>
      <c r="L344" s="8"/>
      <c r="M344" s="8"/>
      <c r="N344" s="8"/>
      <c r="O344" s="27"/>
      <c r="P344" s="27"/>
      <c r="Q344" s="8"/>
      <c r="R344" s="8"/>
      <c r="S344" s="8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8"/>
      <c r="AH344" s="8"/>
      <c r="AI344" s="8"/>
      <c r="AJ344" s="27"/>
      <c r="AK344" s="8"/>
      <c r="AL344" s="8"/>
      <c r="AM344" s="27"/>
      <c r="AN344" s="27"/>
      <c r="AO344" s="27"/>
    </row>
    <row r="345" spans="1:41" ht="15" thickBot="1" x14ac:dyDescent="0.35">
      <c r="A345" s="51" t="s">
        <v>524</v>
      </c>
      <c r="B345" s="51" t="s">
        <v>540</v>
      </c>
      <c r="C345" s="51" t="s">
        <v>1193</v>
      </c>
      <c r="D345" s="51" t="s">
        <v>541</v>
      </c>
      <c r="E345" s="51" t="s">
        <v>19</v>
      </c>
      <c r="F345" s="51" t="s">
        <v>28</v>
      </c>
      <c r="G345" s="51" t="s">
        <v>928</v>
      </c>
      <c r="H345" s="53">
        <f t="shared" si="23"/>
        <v>30</v>
      </c>
      <c r="I345" s="17">
        <f t="shared" si="24"/>
        <v>0</v>
      </c>
      <c r="J345" s="18">
        <f t="shared" si="25"/>
        <v>1</v>
      </c>
      <c r="K345" s="27"/>
      <c r="L345" s="8"/>
      <c r="M345" s="8"/>
      <c r="N345" s="8"/>
      <c r="O345" s="27"/>
      <c r="P345" s="27"/>
      <c r="Q345" s="8"/>
      <c r="R345" s="8"/>
      <c r="S345" s="8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8"/>
      <c r="AH345" s="8"/>
      <c r="AI345" s="8"/>
      <c r="AJ345" s="27"/>
      <c r="AK345" s="8"/>
      <c r="AL345" s="8"/>
      <c r="AM345" s="27"/>
      <c r="AN345" s="27"/>
      <c r="AO345" s="27"/>
    </row>
    <row r="346" spans="1:41" ht="15" thickBot="1" x14ac:dyDescent="0.35">
      <c r="A346" s="51" t="s">
        <v>524</v>
      </c>
      <c r="B346" s="51" t="s">
        <v>542</v>
      </c>
      <c r="C346" s="51" t="s">
        <v>1193</v>
      </c>
      <c r="D346" s="51" t="s">
        <v>543</v>
      </c>
      <c r="E346" s="51" t="s">
        <v>19</v>
      </c>
      <c r="F346" s="51" t="s">
        <v>20</v>
      </c>
      <c r="G346" s="51" t="s">
        <v>929</v>
      </c>
      <c r="H346" s="53">
        <f t="shared" si="23"/>
        <v>30</v>
      </c>
      <c r="I346" s="17">
        <f t="shared" si="24"/>
        <v>0</v>
      </c>
      <c r="J346" s="18">
        <f t="shared" si="25"/>
        <v>1</v>
      </c>
      <c r="K346" s="27"/>
      <c r="L346" s="8"/>
      <c r="M346" s="8"/>
      <c r="N346" s="8"/>
      <c r="O346" s="27"/>
      <c r="P346" s="27"/>
      <c r="Q346" s="8"/>
      <c r="R346" s="8"/>
      <c r="S346" s="8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8"/>
      <c r="AH346" s="8"/>
      <c r="AI346" s="8"/>
      <c r="AJ346" s="27"/>
      <c r="AK346" s="8"/>
      <c r="AL346" s="8"/>
      <c r="AM346" s="27"/>
      <c r="AN346" s="27"/>
      <c r="AO346" s="27"/>
    </row>
    <row r="347" spans="1:41" ht="15" thickBot="1" x14ac:dyDescent="0.35">
      <c r="A347" s="51" t="s">
        <v>524</v>
      </c>
      <c r="B347" s="51" t="s">
        <v>544</v>
      </c>
      <c r="C347" s="51" t="s">
        <v>1193</v>
      </c>
      <c r="D347" s="51" t="s">
        <v>1202</v>
      </c>
      <c r="E347" s="51" t="s">
        <v>19</v>
      </c>
      <c r="F347" s="51" t="s">
        <v>28</v>
      </c>
      <c r="G347" s="51" t="s">
        <v>930</v>
      </c>
      <c r="H347" s="53">
        <f t="shared" si="23"/>
        <v>30</v>
      </c>
      <c r="I347" s="17">
        <f t="shared" si="24"/>
        <v>0</v>
      </c>
      <c r="J347" s="18">
        <f t="shared" si="25"/>
        <v>1</v>
      </c>
      <c r="K347" s="27"/>
      <c r="L347" s="8"/>
      <c r="M347" s="8"/>
      <c r="N347" s="8"/>
      <c r="O347" s="27"/>
      <c r="P347" s="27"/>
      <c r="Q347" s="8"/>
      <c r="R347" s="8"/>
      <c r="S347" s="8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8"/>
      <c r="AH347" s="8"/>
      <c r="AI347" s="8"/>
      <c r="AJ347" s="27"/>
      <c r="AK347" s="8"/>
      <c r="AL347" s="8"/>
      <c r="AM347" s="27"/>
      <c r="AN347" s="27"/>
      <c r="AO347" s="27"/>
    </row>
    <row r="348" spans="1:41" ht="15" thickBot="1" x14ac:dyDescent="0.35">
      <c r="A348" s="51" t="s">
        <v>524</v>
      </c>
      <c r="B348" s="51" t="s">
        <v>545</v>
      </c>
      <c r="C348" s="51" t="s">
        <v>1192</v>
      </c>
      <c r="D348" s="51" t="s">
        <v>1201</v>
      </c>
      <c r="E348" s="51"/>
      <c r="F348" s="51" t="s">
        <v>1185</v>
      </c>
      <c r="G348" s="51" t="s">
        <v>931</v>
      </c>
      <c r="H348" s="53">
        <f t="shared" si="23"/>
        <v>21</v>
      </c>
      <c r="I348" s="17">
        <f t="shared" si="24"/>
        <v>9</v>
      </c>
      <c r="J348" s="18">
        <f t="shared" si="25"/>
        <v>0.7</v>
      </c>
      <c r="K348" s="27" t="s">
        <v>1010</v>
      </c>
      <c r="L348" s="8"/>
      <c r="M348" s="8" t="s">
        <v>1010</v>
      </c>
      <c r="N348" s="8" t="s">
        <v>1010</v>
      </c>
      <c r="O348" s="27"/>
      <c r="P348" s="27" t="s">
        <v>1010</v>
      </c>
      <c r="Q348" s="8" t="s">
        <v>1010</v>
      </c>
      <c r="R348" s="8" t="s">
        <v>1010</v>
      </c>
      <c r="S348" s="8" t="s">
        <v>1010</v>
      </c>
      <c r="T348" s="27" t="s">
        <v>1010</v>
      </c>
      <c r="U348" s="27"/>
      <c r="V348" s="27" t="s">
        <v>1010</v>
      </c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8"/>
      <c r="AH348" s="8"/>
      <c r="AI348" s="8"/>
      <c r="AJ348" s="27"/>
      <c r="AK348" s="8"/>
      <c r="AL348" s="8"/>
      <c r="AM348" s="27"/>
      <c r="AN348" s="27"/>
      <c r="AO348" s="27"/>
    </row>
    <row r="349" spans="1:41" ht="15" thickBot="1" x14ac:dyDescent="0.35">
      <c r="A349" s="51" t="s">
        <v>528</v>
      </c>
      <c r="B349" s="51" t="s">
        <v>546</v>
      </c>
      <c r="C349" s="51" t="s">
        <v>1193</v>
      </c>
      <c r="D349" s="51" t="s">
        <v>547</v>
      </c>
      <c r="E349" s="51" t="s">
        <v>19</v>
      </c>
      <c r="F349" s="51" t="s">
        <v>1184</v>
      </c>
      <c r="G349" s="51" t="s">
        <v>932</v>
      </c>
      <c r="H349" s="53">
        <f t="shared" si="23"/>
        <v>30</v>
      </c>
      <c r="I349" s="17">
        <f t="shared" si="24"/>
        <v>0</v>
      </c>
      <c r="J349" s="18">
        <f t="shared" si="25"/>
        <v>1</v>
      </c>
      <c r="K349" s="27"/>
      <c r="L349" s="8"/>
      <c r="M349" s="8"/>
      <c r="N349" s="8"/>
      <c r="O349" s="27"/>
      <c r="P349" s="27"/>
      <c r="Q349" s="8"/>
      <c r="R349" s="8"/>
      <c r="S349" s="8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8"/>
      <c r="AH349" s="8"/>
      <c r="AI349" s="8"/>
      <c r="AJ349" s="27"/>
      <c r="AK349" s="8"/>
      <c r="AL349" s="8"/>
      <c r="AM349" s="27"/>
      <c r="AN349" s="27"/>
      <c r="AO349" s="27"/>
    </row>
    <row r="350" spans="1:41" ht="15" thickBot="1" x14ac:dyDescent="0.35">
      <c r="A350" s="51" t="s">
        <v>528</v>
      </c>
      <c r="B350" s="51" t="s">
        <v>548</v>
      </c>
      <c r="C350" s="51" t="s">
        <v>1193</v>
      </c>
      <c r="D350" s="51" t="s">
        <v>549</v>
      </c>
      <c r="E350" s="51" t="s">
        <v>19</v>
      </c>
      <c r="F350" s="51" t="s">
        <v>28</v>
      </c>
      <c r="G350" s="51" t="s">
        <v>933</v>
      </c>
      <c r="H350" s="53">
        <f t="shared" si="23"/>
        <v>30</v>
      </c>
      <c r="I350" s="17">
        <f t="shared" si="24"/>
        <v>0</v>
      </c>
      <c r="J350" s="18">
        <f t="shared" si="25"/>
        <v>1</v>
      </c>
      <c r="K350" s="27"/>
      <c r="L350" s="8"/>
      <c r="M350" s="8"/>
      <c r="N350" s="8"/>
      <c r="O350" s="27"/>
      <c r="P350" s="27"/>
      <c r="Q350" s="8"/>
      <c r="R350" s="8"/>
      <c r="S350" s="8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8"/>
      <c r="AH350" s="8"/>
      <c r="AI350" s="8"/>
      <c r="AJ350" s="27"/>
      <c r="AK350" s="8"/>
      <c r="AL350" s="8"/>
      <c r="AM350" s="27"/>
      <c r="AN350" s="27"/>
      <c r="AO350" s="27"/>
    </row>
    <row r="351" spans="1:41" ht="15" thickBot="1" x14ac:dyDescent="0.35">
      <c r="A351" s="51" t="s">
        <v>528</v>
      </c>
      <c r="B351" s="51" t="s">
        <v>551</v>
      </c>
      <c r="C351" s="51" t="s">
        <v>1193</v>
      </c>
      <c r="D351" s="51" t="s">
        <v>552</v>
      </c>
      <c r="E351" s="51" t="s">
        <v>19</v>
      </c>
      <c r="F351" s="51" t="s">
        <v>28</v>
      </c>
      <c r="G351" s="51" t="s">
        <v>935</v>
      </c>
      <c r="H351" s="53">
        <f t="shared" si="23"/>
        <v>30</v>
      </c>
      <c r="I351" s="17">
        <f t="shared" si="24"/>
        <v>0</v>
      </c>
      <c r="J351" s="18">
        <f t="shared" si="25"/>
        <v>1</v>
      </c>
      <c r="K351" s="27"/>
      <c r="L351" s="8"/>
      <c r="M351" s="8"/>
      <c r="N351" s="8"/>
      <c r="O351" s="27"/>
      <c r="P351" s="27"/>
      <c r="Q351" s="8"/>
      <c r="R351" s="8"/>
      <c r="S351" s="8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8"/>
      <c r="AH351" s="8"/>
      <c r="AI351" s="8"/>
      <c r="AJ351" s="27"/>
      <c r="AK351" s="8"/>
      <c r="AL351" s="8"/>
      <c r="AM351" s="27"/>
      <c r="AN351" s="27"/>
      <c r="AO351" s="27"/>
    </row>
    <row r="352" spans="1:41" ht="15" thickBot="1" x14ac:dyDescent="0.35">
      <c r="A352" s="51" t="s">
        <v>528</v>
      </c>
      <c r="B352" s="51" t="s">
        <v>1164</v>
      </c>
      <c r="C352" s="51" t="s">
        <v>1193</v>
      </c>
      <c r="D352" s="51" t="s">
        <v>523</v>
      </c>
      <c r="E352" s="51" t="s">
        <v>15</v>
      </c>
      <c r="F352" s="51" t="s">
        <v>1185</v>
      </c>
      <c r="G352" s="51" t="s">
        <v>936</v>
      </c>
      <c r="H352" s="53">
        <f t="shared" si="23"/>
        <v>30</v>
      </c>
      <c r="I352" s="17">
        <f t="shared" si="24"/>
        <v>0</v>
      </c>
      <c r="J352" s="18">
        <f t="shared" si="25"/>
        <v>1</v>
      </c>
      <c r="K352" s="27"/>
      <c r="L352" s="8"/>
      <c r="M352" s="8"/>
      <c r="N352" s="8"/>
      <c r="O352" s="27"/>
      <c r="P352" s="27"/>
      <c r="Q352" s="8"/>
      <c r="R352" s="8"/>
      <c r="S352" s="8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8"/>
      <c r="AH352" s="8"/>
      <c r="AI352" s="8"/>
      <c r="AJ352" s="27"/>
      <c r="AK352" s="8"/>
      <c r="AL352" s="8"/>
      <c r="AM352" s="27"/>
      <c r="AN352" s="27"/>
      <c r="AO352" s="27"/>
    </row>
    <row r="353" spans="1:41" ht="15" thickBot="1" x14ac:dyDescent="0.35">
      <c r="A353" s="51" t="s">
        <v>524</v>
      </c>
      <c r="B353" s="51" t="s">
        <v>1165</v>
      </c>
      <c r="C353" s="51" t="s">
        <v>1193</v>
      </c>
      <c r="D353" s="51" t="s">
        <v>525</v>
      </c>
      <c r="E353" s="51" t="s">
        <v>19</v>
      </c>
      <c r="F353" s="51" t="s">
        <v>1185</v>
      </c>
      <c r="G353" s="51" t="s">
        <v>937</v>
      </c>
      <c r="H353" s="53">
        <f t="shared" si="23"/>
        <v>30</v>
      </c>
      <c r="I353" s="17">
        <f t="shared" si="24"/>
        <v>0</v>
      </c>
      <c r="J353" s="18">
        <f t="shared" si="25"/>
        <v>1</v>
      </c>
      <c r="K353" s="27"/>
      <c r="L353" s="8"/>
      <c r="M353" s="8"/>
      <c r="N353" s="8"/>
      <c r="O353" s="27"/>
      <c r="P353" s="27"/>
      <c r="Q353" s="8"/>
      <c r="R353" s="8"/>
      <c r="S353" s="8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8"/>
      <c r="AH353" s="8"/>
      <c r="AI353" s="8"/>
      <c r="AJ353" s="27"/>
      <c r="AK353" s="8"/>
      <c r="AL353" s="8"/>
      <c r="AM353" s="27"/>
      <c r="AN353" s="27"/>
      <c r="AO353" s="27"/>
    </row>
    <row r="354" spans="1:41" ht="15" thickBot="1" x14ac:dyDescent="0.35">
      <c r="A354" s="51" t="s">
        <v>524</v>
      </c>
      <c r="B354" s="51" t="s">
        <v>1166</v>
      </c>
      <c r="C354" s="51" t="s">
        <v>1193</v>
      </c>
      <c r="D354" s="51" t="s">
        <v>532</v>
      </c>
      <c r="E354" s="51" t="s">
        <v>15</v>
      </c>
      <c r="F354" s="51" t="s">
        <v>1185</v>
      </c>
      <c r="G354" s="51" t="s">
        <v>942</v>
      </c>
      <c r="H354" s="53">
        <f t="shared" si="23"/>
        <v>30</v>
      </c>
      <c r="I354" s="17">
        <f t="shared" si="24"/>
        <v>0</v>
      </c>
      <c r="J354" s="18">
        <f t="shared" si="25"/>
        <v>1</v>
      </c>
      <c r="K354" s="27"/>
      <c r="L354" s="8"/>
      <c r="M354" s="8"/>
      <c r="N354" s="8"/>
      <c r="O354" s="27"/>
      <c r="P354" s="27"/>
      <c r="Q354" s="8"/>
      <c r="R354" s="8"/>
      <c r="S354" s="8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8"/>
      <c r="AH354" s="8"/>
      <c r="AI354" s="8"/>
      <c r="AJ354" s="27"/>
      <c r="AK354" s="8"/>
      <c r="AL354" s="8"/>
      <c r="AM354" s="27"/>
      <c r="AN354" s="27"/>
      <c r="AO354" s="27"/>
    </row>
    <row r="355" spans="1:41" ht="15" thickBot="1" x14ac:dyDescent="0.35">
      <c r="A355" s="51" t="s">
        <v>524</v>
      </c>
      <c r="B355" s="51" t="s">
        <v>1167</v>
      </c>
      <c r="C355" s="51" t="s">
        <v>1193</v>
      </c>
      <c r="D355" s="51" t="s">
        <v>533</v>
      </c>
      <c r="E355" s="51" t="s">
        <v>15</v>
      </c>
      <c r="F355" s="51" t="s">
        <v>20</v>
      </c>
      <c r="G355" s="51" t="s">
        <v>943</v>
      </c>
      <c r="H355" s="53">
        <f t="shared" si="23"/>
        <v>30</v>
      </c>
      <c r="I355" s="17">
        <f t="shared" si="24"/>
        <v>0</v>
      </c>
      <c r="J355" s="18">
        <f t="shared" si="25"/>
        <v>1</v>
      </c>
      <c r="K355" s="27"/>
      <c r="L355" s="8"/>
      <c r="M355" s="8"/>
      <c r="N355" s="8"/>
      <c r="O355" s="27"/>
      <c r="P355" s="27"/>
      <c r="Q355" s="8"/>
      <c r="R355" s="8"/>
      <c r="S355" s="8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8"/>
      <c r="AH355" s="8"/>
      <c r="AI355" s="8"/>
      <c r="AJ355" s="27"/>
      <c r="AK355" s="8"/>
      <c r="AL355" s="8"/>
      <c r="AM355" s="27"/>
      <c r="AN355" s="27"/>
      <c r="AO355" s="27"/>
    </row>
    <row r="356" spans="1:41" ht="15" thickBot="1" x14ac:dyDescent="0.35">
      <c r="A356" s="51" t="s">
        <v>524</v>
      </c>
      <c r="B356" s="51" t="s">
        <v>555</v>
      </c>
      <c r="C356" s="51" t="s">
        <v>1192</v>
      </c>
      <c r="D356" s="51" t="s">
        <v>556</v>
      </c>
      <c r="E356" s="51" t="s">
        <v>73</v>
      </c>
      <c r="F356" s="51" t="s">
        <v>28</v>
      </c>
      <c r="G356" s="51" t="s">
        <v>706</v>
      </c>
      <c r="H356" s="53">
        <f t="shared" si="23"/>
        <v>21</v>
      </c>
      <c r="I356" s="17">
        <f t="shared" si="24"/>
        <v>9</v>
      </c>
      <c r="J356" s="18">
        <f t="shared" si="25"/>
        <v>0.7</v>
      </c>
      <c r="K356" s="27" t="s">
        <v>1010</v>
      </c>
      <c r="L356" s="8"/>
      <c r="M356" s="8" t="s">
        <v>1010</v>
      </c>
      <c r="N356" s="8" t="s">
        <v>1010</v>
      </c>
      <c r="O356" s="27"/>
      <c r="P356" s="27" t="s">
        <v>1010</v>
      </c>
      <c r="Q356" s="8" t="s">
        <v>1010</v>
      </c>
      <c r="R356" s="8" t="s">
        <v>1010</v>
      </c>
      <c r="S356" s="8" t="s">
        <v>1010</v>
      </c>
      <c r="T356" s="27" t="s">
        <v>1010</v>
      </c>
      <c r="U356" s="27"/>
      <c r="V356" s="27" t="s">
        <v>1010</v>
      </c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8"/>
      <c r="AH356" s="8"/>
      <c r="AI356" s="8"/>
      <c r="AJ356" s="27"/>
      <c r="AK356" s="8"/>
      <c r="AL356" s="8"/>
      <c r="AM356" s="27"/>
      <c r="AN356" s="27"/>
      <c r="AO356" s="27"/>
    </row>
    <row r="357" spans="1:41" ht="15" thickBot="1" x14ac:dyDescent="0.35">
      <c r="A357" s="51" t="s">
        <v>524</v>
      </c>
      <c r="B357" s="51" t="s">
        <v>557</v>
      </c>
      <c r="C357" s="51" t="s">
        <v>1192</v>
      </c>
      <c r="D357" s="51" t="s">
        <v>556</v>
      </c>
      <c r="E357" s="51" t="s">
        <v>73</v>
      </c>
      <c r="F357" s="51" t="s">
        <v>28</v>
      </c>
      <c r="G357" s="51" t="s">
        <v>947</v>
      </c>
      <c r="H357" s="53">
        <f t="shared" si="23"/>
        <v>21</v>
      </c>
      <c r="I357" s="17">
        <f t="shared" si="24"/>
        <v>9</v>
      </c>
      <c r="J357" s="18">
        <f t="shared" si="25"/>
        <v>0.7</v>
      </c>
      <c r="K357" s="27" t="s">
        <v>1010</v>
      </c>
      <c r="L357" s="8"/>
      <c r="M357" s="8" t="s">
        <v>1010</v>
      </c>
      <c r="N357" s="8" t="s">
        <v>1010</v>
      </c>
      <c r="O357" s="27"/>
      <c r="P357" s="27" t="s">
        <v>1010</v>
      </c>
      <c r="Q357" s="8" t="s">
        <v>1010</v>
      </c>
      <c r="R357" s="8" t="s">
        <v>1010</v>
      </c>
      <c r="S357" s="8" t="s">
        <v>1010</v>
      </c>
      <c r="T357" s="27" t="s">
        <v>1010</v>
      </c>
      <c r="U357" s="27"/>
      <c r="V357" s="27" t="s">
        <v>1010</v>
      </c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8"/>
      <c r="AH357" s="8"/>
      <c r="AI357" s="8"/>
      <c r="AJ357" s="27"/>
      <c r="AK357" s="8"/>
      <c r="AL357" s="8"/>
      <c r="AM357" s="27"/>
      <c r="AN357" s="27"/>
      <c r="AO357" s="27"/>
    </row>
    <row r="358" spans="1:41" ht="15" thickBot="1" x14ac:dyDescent="0.35">
      <c r="A358" s="51" t="s">
        <v>416</v>
      </c>
      <c r="B358" s="51" t="s">
        <v>1168</v>
      </c>
      <c r="C358" s="51" t="s">
        <v>1192</v>
      </c>
      <c r="D358" s="51" t="s">
        <v>561</v>
      </c>
      <c r="E358" s="51" t="s">
        <v>19</v>
      </c>
      <c r="F358" s="51" t="s">
        <v>28</v>
      </c>
      <c r="G358" s="51" t="s">
        <v>950</v>
      </c>
      <c r="H358" s="53">
        <f t="shared" si="23"/>
        <v>30</v>
      </c>
      <c r="I358" s="17">
        <f t="shared" si="24"/>
        <v>0</v>
      </c>
      <c r="J358" s="18">
        <f t="shared" si="25"/>
        <v>1</v>
      </c>
      <c r="K358" s="27"/>
      <c r="L358" s="8"/>
      <c r="M358" s="8"/>
      <c r="N358" s="8"/>
      <c r="O358" s="27"/>
      <c r="P358" s="27"/>
      <c r="Q358" s="8"/>
      <c r="R358" s="8"/>
      <c r="S358" s="8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8"/>
      <c r="AH358" s="8"/>
      <c r="AI358" s="8"/>
      <c r="AJ358" s="27"/>
      <c r="AK358" s="8"/>
      <c r="AL358" s="8"/>
      <c r="AM358" s="27"/>
      <c r="AN358" s="27"/>
      <c r="AO358" s="27"/>
    </row>
    <row r="359" spans="1:41" ht="15" thickBot="1" x14ac:dyDescent="0.35">
      <c r="A359" s="51" t="s">
        <v>298</v>
      </c>
      <c r="B359" s="51" t="s">
        <v>1169</v>
      </c>
      <c r="C359" s="51" t="s">
        <v>1192</v>
      </c>
      <c r="D359" s="51" t="s">
        <v>562</v>
      </c>
      <c r="E359" s="51" t="s">
        <v>19</v>
      </c>
      <c r="F359" s="51" t="s">
        <v>28</v>
      </c>
      <c r="G359" s="51" t="s">
        <v>951</v>
      </c>
      <c r="H359" s="53">
        <f t="shared" si="23"/>
        <v>30</v>
      </c>
      <c r="I359" s="17">
        <f t="shared" si="24"/>
        <v>0</v>
      </c>
      <c r="J359" s="18">
        <f t="shared" si="25"/>
        <v>1</v>
      </c>
      <c r="K359" s="27"/>
      <c r="L359" s="8"/>
      <c r="M359" s="8"/>
      <c r="N359" s="8"/>
      <c r="O359" s="27"/>
      <c r="P359" s="27"/>
      <c r="Q359" s="8"/>
      <c r="R359" s="8"/>
      <c r="S359" s="8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8"/>
      <c r="AH359" s="8"/>
      <c r="AI359" s="8"/>
      <c r="AJ359" s="27"/>
      <c r="AK359" s="8"/>
      <c r="AL359" s="8"/>
      <c r="AM359" s="27"/>
      <c r="AN359" s="27"/>
      <c r="AO359" s="27"/>
    </row>
    <row r="360" spans="1:41" ht="15" thickBot="1" x14ac:dyDescent="0.35">
      <c r="A360" s="51" t="s">
        <v>416</v>
      </c>
      <c r="B360" s="51" t="s">
        <v>558</v>
      </c>
      <c r="C360" s="51" t="s">
        <v>1192</v>
      </c>
      <c r="D360" s="51" t="s">
        <v>559</v>
      </c>
      <c r="E360" s="51" t="s">
        <v>19</v>
      </c>
      <c r="F360" s="51" t="s">
        <v>28</v>
      </c>
      <c r="G360" s="51" t="s">
        <v>954</v>
      </c>
      <c r="H360" s="53">
        <f t="shared" si="23"/>
        <v>30</v>
      </c>
      <c r="I360" s="17">
        <f t="shared" si="24"/>
        <v>0</v>
      </c>
      <c r="J360" s="18">
        <f t="shared" si="25"/>
        <v>1</v>
      </c>
      <c r="K360" s="27"/>
      <c r="L360" s="8"/>
      <c r="M360" s="8"/>
      <c r="N360" s="8"/>
      <c r="O360" s="27"/>
      <c r="P360" s="27"/>
      <c r="Q360" s="8"/>
      <c r="R360" s="8"/>
      <c r="S360" s="8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8"/>
      <c r="AH360" s="8"/>
      <c r="AI360" s="8"/>
      <c r="AJ360" s="27"/>
      <c r="AK360" s="8"/>
      <c r="AL360" s="8"/>
      <c r="AM360" s="27"/>
      <c r="AN360" s="27"/>
      <c r="AO360" s="27"/>
    </row>
    <row r="361" spans="1:41" ht="15" thickBot="1" x14ac:dyDescent="0.35">
      <c r="A361" s="51" t="s">
        <v>416</v>
      </c>
      <c r="B361" s="51" t="s">
        <v>563</v>
      </c>
      <c r="C361" s="51" t="s">
        <v>1192</v>
      </c>
      <c r="D361" s="51" t="s">
        <v>564</v>
      </c>
      <c r="E361" s="51" t="s">
        <v>73</v>
      </c>
      <c r="F361" s="51" t="s">
        <v>28</v>
      </c>
      <c r="G361" s="51" t="s">
        <v>948</v>
      </c>
      <c r="H361" s="53">
        <f t="shared" si="23"/>
        <v>16</v>
      </c>
      <c r="I361" s="17">
        <f t="shared" si="24"/>
        <v>14</v>
      </c>
      <c r="J361" s="18">
        <f t="shared" si="25"/>
        <v>0.53333333333333333</v>
      </c>
      <c r="K361" s="27" t="s">
        <v>1010</v>
      </c>
      <c r="L361" s="8"/>
      <c r="M361" s="8" t="s">
        <v>1010</v>
      </c>
      <c r="N361" s="8" t="s">
        <v>1010</v>
      </c>
      <c r="O361" s="27" t="s">
        <v>1010</v>
      </c>
      <c r="P361" s="27" t="s">
        <v>1010</v>
      </c>
      <c r="Q361" s="8" t="s">
        <v>1010</v>
      </c>
      <c r="R361" s="8" t="s">
        <v>1010</v>
      </c>
      <c r="S361" s="8" t="s">
        <v>1010</v>
      </c>
      <c r="T361" s="27" t="s">
        <v>1010</v>
      </c>
      <c r="U361" s="27" t="s">
        <v>1010</v>
      </c>
      <c r="V361" s="27" t="s">
        <v>1010</v>
      </c>
      <c r="W361" s="27" t="s">
        <v>1010</v>
      </c>
      <c r="X361" s="27" t="s">
        <v>1010</v>
      </c>
      <c r="Y361" s="27" t="s">
        <v>1010</v>
      </c>
      <c r="Z361" s="27"/>
      <c r="AA361" s="27"/>
      <c r="AB361" s="27"/>
      <c r="AC361" s="27"/>
      <c r="AD361" s="27"/>
      <c r="AE361" s="27"/>
      <c r="AF361" s="27"/>
      <c r="AG361" s="8"/>
      <c r="AH361" s="8"/>
      <c r="AI361" s="8"/>
      <c r="AJ361" s="27"/>
      <c r="AK361" s="8"/>
      <c r="AL361" s="8"/>
      <c r="AM361" s="27"/>
      <c r="AN361" s="27"/>
      <c r="AO361" s="27"/>
    </row>
    <row r="362" spans="1:41" ht="15" thickBot="1" x14ac:dyDescent="0.35">
      <c r="A362" s="51" t="s">
        <v>416</v>
      </c>
      <c r="B362" s="51" t="s">
        <v>565</v>
      </c>
      <c r="C362" s="51" t="s">
        <v>1192</v>
      </c>
      <c r="D362" s="51" t="s">
        <v>564</v>
      </c>
      <c r="E362" s="51" t="s">
        <v>73</v>
      </c>
      <c r="F362" s="51" t="s">
        <v>28</v>
      </c>
      <c r="G362" s="51" t="s">
        <v>949</v>
      </c>
      <c r="H362" s="53">
        <f t="shared" si="23"/>
        <v>16</v>
      </c>
      <c r="I362" s="17">
        <f t="shared" si="24"/>
        <v>14</v>
      </c>
      <c r="J362" s="18">
        <f t="shared" si="25"/>
        <v>0.53333333333333333</v>
      </c>
      <c r="K362" s="27" t="s">
        <v>1010</v>
      </c>
      <c r="L362" s="8"/>
      <c r="M362" s="8" t="s">
        <v>1010</v>
      </c>
      <c r="N362" s="8" t="s">
        <v>1010</v>
      </c>
      <c r="O362" s="27" t="s">
        <v>1010</v>
      </c>
      <c r="P362" s="27" t="s">
        <v>1010</v>
      </c>
      <c r="Q362" s="8" t="s">
        <v>1010</v>
      </c>
      <c r="R362" s="8" t="s">
        <v>1010</v>
      </c>
      <c r="S362" s="8" t="s">
        <v>1010</v>
      </c>
      <c r="T362" s="27" t="s">
        <v>1010</v>
      </c>
      <c r="U362" s="27" t="s">
        <v>1010</v>
      </c>
      <c r="V362" s="27" t="s">
        <v>1010</v>
      </c>
      <c r="W362" s="27" t="s">
        <v>1010</v>
      </c>
      <c r="X362" s="27" t="s">
        <v>1010</v>
      </c>
      <c r="Y362" s="27" t="s">
        <v>1010</v>
      </c>
      <c r="Z362" s="27"/>
      <c r="AA362" s="27"/>
      <c r="AB362" s="27"/>
      <c r="AC362" s="27"/>
      <c r="AD362" s="27"/>
      <c r="AE362" s="27"/>
      <c r="AF362" s="27"/>
      <c r="AG362" s="8"/>
      <c r="AH362" s="8"/>
      <c r="AI362" s="8"/>
      <c r="AJ362" s="27"/>
      <c r="AK362" s="8"/>
      <c r="AL362" s="8"/>
      <c r="AM362" s="27"/>
      <c r="AN362" s="27"/>
      <c r="AO362" s="27"/>
    </row>
    <row r="363" spans="1:41" ht="15" thickBot="1" x14ac:dyDescent="0.35">
      <c r="A363" s="51" t="s">
        <v>416</v>
      </c>
      <c r="B363" s="51" t="s">
        <v>566</v>
      </c>
      <c r="C363" s="51" t="s">
        <v>1192</v>
      </c>
      <c r="D363" s="51" t="s">
        <v>567</v>
      </c>
      <c r="E363" s="51" t="s">
        <v>73</v>
      </c>
      <c r="F363" s="51" t="s">
        <v>28</v>
      </c>
      <c r="G363" s="51" t="s">
        <v>952</v>
      </c>
      <c r="H363" s="53">
        <f t="shared" si="23"/>
        <v>30</v>
      </c>
      <c r="I363" s="17">
        <f t="shared" si="24"/>
        <v>0</v>
      </c>
      <c r="J363" s="18">
        <f t="shared" si="25"/>
        <v>1</v>
      </c>
      <c r="K363" s="27"/>
      <c r="L363" s="8"/>
      <c r="M363" s="8"/>
      <c r="N363" s="8"/>
      <c r="O363" s="27"/>
      <c r="P363" s="27"/>
      <c r="Q363" s="8"/>
      <c r="R363" s="8"/>
      <c r="S363" s="8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8"/>
      <c r="AH363" s="8"/>
      <c r="AI363" s="8"/>
      <c r="AJ363" s="27"/>
      <c r="AK363" s="8"/>
      <c r="AL363" s="8"/>
      <c r="AM363" s="27"/>
      <c r="AN363" s="27"/>
      <c r="AO363" s="27"/>
    </row>
    <row r="364" spans="1:41" ht="15" thickBot="1" x14ac:dyDescent="0.35">
      <c r="A364" s="51" t="s">
        <v>416</v>
      </c>
      <c r="B364" s="51" t="s">
        <v>568</v>
      </c>
      <c r="C364" s="51" t="s">
        <v>1192</v>
      </c>
      <c r="D364" s="51" t="s">
        <v>567</v>
      </c>
      <c r="E364" s="51" t="s">
        <v>73</v>
      </c>
      <c r="F364" s="51" t="s">
        <v>28</v>
      </c>
      <c r="G364" s="51" t="s">
        <v>953</v>
      </c>
      <c r="H364" s="53">
        <f t="shared" si="23"/>
        <v>30</v>
      </c>
      <c r="I364" s="17">
        <f t="shared" si="24"/>
        <v>0</v>
      </c>
      <c r="J364" s="18">
        <f t="shared" si="25"/>
        <v>1</v>
      </c>
      <c r="K364" s="27"/>
      <c r="L364" s="8"/>
      <c r="M364" s="8"/>
      <c r="N364" s="8"/>
      <c r="O364" s="27"/>
      <c r="P364" s="27"/>
      <c r="Q364" s="8"/>
      <c r="R364" s="8"/>
      <c r="S364" s="8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8"/>
      <c r="AH364" s="8"/>
      <c r="AI364" s="8"/>
      <c r="AJ364" s="27"/>
      <c r="AK364" s="8"/>
      <c r="AL364" s="8"/>
      <c r="AM364" s="27"/>
      <c r="AN364" s="27"/>
      <c r="AO364" s="27"/>
    </row>
    <row r="365" spans="1:41" ht="15" thickBot="1" x14ac:dyDescent="0.35">
      <c r="A365" s="51" t="s">
        <v>416</v>
      </c>
      <c r="B365" s="51" t="s">
        <v>569</v>
      </c>
      <c r="C365" s="51" t="s">
        <v>1192</v>
      </c>
      <c r="D365" s="51" t="s">
        <v>570</v>
      </c>
      <c r="E365" s="51" t="s">
        <v>15</v>
      </c>
      <c r="F365" s="51" t="s">
        <v>28</v>
      </c>
      <c r="G365" s="51" t="s">
        <v>955</v>
      </c>
      <c r="H365" s="53">
        <f t="shared" si="23"/>
        <v>30</v>
      </c>
      <c r="I365" s="17">
        <f t="shared" si="24"/>
        <v>0</v>
      </c>
      <c r="J365" s="18">
        <f t="shared" si="25"/>
        <v>1</v>
      </c>
      <c r="K365" s="27"/>
      <c r="L365" s="8"/>
      <c r="M365" s="8"/>
      <c r="N365" s="8"/>
      <c r="O365" s="27"/>
      <c r="P365" s="27"/>
      <c r="Q365" s="8"/>
      <c r="R365" s="8"/>
      <c r="S365" s="8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8"/>
      <c r="AH365" s="8"/>
      <c r="AI365" s="8"/>
      <c r="AJ365" s="27"/>
      <c r="AK365" s="8"/>
      <c r="AL365" s="8"/>
      <c r="AM365" s="27"/>
      <c r="AN365" s="27"/>
      <c r="AO365" s="27"/>
    </row>
    <row r="366" spans="1:41" ht="15" thickBot="1" x14ac:dyDescent="0.35">
      <c r="A366" s="51" t="s">
        <v>492</v>
      </c>
      <c r="B366" s="51" t="s">
        <v>571</v>
      </c>
      <c r="C366" s="51" t="s">
        <v>1192</v>
      </c>
      <c r="D366" s="51" t="s">
        <v>572</v>
      </c>
      <c r="E366" s="51" t="s">
        <v>19</v>
      </c>
      <c r="F366" s="51" t="s">
        <v>28</v>
      </c>
      <c r="G366" s="51" t="s">
        <v>956</v>
      </c>
      <c r="H366" s="53">
        <f t="shared" si="23"/>
        <v>30</v>
      </c>
      <c r="I366" s="17">
        <f t="shared" si="24"/>
        <v>0</v>
      </c>
      <c r="J366" s="18">
        <f t="shared" si="25"/>
        <v>1</v>
      </c>
      <c r="K366" s="27"/>
      <c r="L366" s="8"/>
      <c r="M366" s="8"/>
      <c r="N366" s="8"/>
      <c r="O366" s="27"/>
      <c r="P366" s="27"/>
      <c r="Q366" s="8"/>
      <c r="R366" s="8"/>
      <c r="S366" s="8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8"/>
      <c r="AH366" s="8"/>
      <c r="AI366" s="8"/>
      <c r="AJ366" s="27"/>
      <c r="AK366" s="8"/>
      <c r="AL366" s="8"/>
      <c r="AM366" s="27"/>
      <c r="AN366" s="27"/>
      <c r="AO366" s="27"/>
    </row>
    <row r="367" spans="1:41" ht="15" thickBot="1" x14ac:dyDescent="0.35">
      <c r="A367" s="51" t="s">
        <v>492</v>
      </c>
      <c r="B367" s="51" t="s">
        <v>573</v>
      </c>
      <c r="C367" s="51" t="s">
        <v>1192</v>
      </c>
      <c r="D367" s="51" t="s">
        <v>574</v>
      </c>
      <c r="E367" s="51" t="s">
        <v>19</v>
      </c>
      <c r="F367" s="51" t="s">
        <v>20</v>
      </c>
      <c r="G367" s="51" t="s">
        <v>957</v>
      </c>
      <c r="H367" s="53">
        <f t="shared" si="23"/>
        <v>30</v>
      </c>
      <c r="I367" s="17">
        <f t="shared" si="24"/>
        <v>0</v>
      </c>
      <c r="J367" s="18">
        <f t="shared" si="25"/>
        <v>1</v>
      </c>
      <c r="K367" s="27"/>
      <c r="L367" s="8"/>
      <c r="M367" s="8"/>
      <c r="N367" s="8"/>
      <c r="O367" s="27"/>
      <c r="P367" s="27"/>
      <c r="Q367" s="8"/>
      <c r="R367" s="8"/>
      <c r="S367" s="8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8"/>
      <c r="AH367" s="8"/>
      <c r="AI367" s="8"/>
      <c r="AJ367" s="27"/>
      <c r="AK367" s="8"/>
      <c r="AL367" s="8"/>
      <c r="AM367" s="27"/>
      <c r="AN367" s="27"/>
      <c r="AO367" s="27"/>
    </row>
    <row r="368" spans="1:41" ht="15" thickBot="1" x14ac:dyDescent="0.35">
      <c r="A368" s="51" t="s">
        <v>492</v>
      </c>
      <c r="B368" s="51" t="s">
        <v>575</v>
      </c>
      <c r="C368" s="51" t="s">
        <v>1192</v>
      </c>
      <c r="D368" s="51" t="s">
        <v>576</v>
      </c>
      <c r="E368" s="51" t="s">
        <v>19</v>
      </c>
      <c r="F368" s="51" t="s">
        <v>20</v>
      </c>
      <c r="G368" s="51" t="s">
        <v>958</v>
      </c>
      <c r="H368" s="53">
        <f t="shared" si="23"/>
        <v>30</v>
      </c>
      <c r="I368" s="17">
        <f t="shared" si="24"/>
        <v>0</v>
      </c>
      <c r="J368" s="18">
        <f t="shared" si="25"/>
        <v>1</v>
      </c>
      <c r="K368" s="27"/>
      <c r="L368" s="8"/>
      <c r="M368" s="8"/>
      <c r="N368" s="8"/>
      <c r="O368" s="27"/>
      <c r="P368" s="27"/>
      <c r="Q368" s="8"/>
      <c r="R368" s="8"/>
      <c r="S368" s="8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8"/>
      <c r="AH368" s="8"/>
      <c r="AI368" s="8"/>
      <c r="AJ368" s="27"/>
      <c r="AK368" s="8"/>
      <c r="AL368" s="8"/>
      <c r="AM368" s="27"/>
      <c r="AN368" s="27"/>
      <c r="AO368" s="27"/>
    </row>
    <row r="369" spans="1:41" ht="15" thickBot="1" x14ac:dyDescent="0.35">
      <c r="A369" s="51" t="s">
        <v>492</v>
      </c>
      <c r="B369" s="51" t="s">
        <v>577</v>
      </c>
      <c r="C369" s="51" t="s">
        <v>1192</v>
      </c>
      <c r="D369" s="51" t="s">
        <v>578</v>
      </c>
      <c r="E369" s="51" t="s">
        <v>19</v>
      </c>
      <c r="F369" s="51" t="s">
        <v>1185</v>
      </c>
      <c r="G369" s="51" t="s">
        <v>959</v>
      </c>
      <c r="H369" s="53">
        <f t="shared" si="23"/>
        <v>28</v>
      </c>
      <c r="I369" s="17">
        <f t="shared" si="24"/>
        <v>2</v>
      </c>
      <c r="J369" s="18">
        <f t="shared" si="25"/>
        <v>0.93333333333333335</v>
      </c>
      <c r="K369" s="27"/>
      <c r="L369" s="8"/>
      <c r="M369" s="8"/>
      <c r="N369" s="8"/>
      <c r="O369" s="27"/>
      <c r="P369" s="27"/>
      <c r="Q369" s="8"/>
      <c r="R369" s="8"/>
      <c r="S369" s="8"/>
      <c r="T369" s="27"/>
      <c r="U369" s="27"/>
      <c r="V369" s="27"/>
      <c r="W369" s="27"/>
      <c r="X369" s="27" t="s">
        <v>1010</v>
      </c>
      <c r="Y369" s="27" t="s">
        <v>1010</v>
      </c>
      <c r="Z369" s="27"/>
      <c r="AA369" s="27"/>
      <c r="AB369" s="27"/>
      <c r="AC369" s="27"/>
      <c r="AD369" s="27"/>
      <c r="AE369" s="27"/>
      <c r="AF369" s="27"/>
      <c r="AG369" s="8"/>
      <c r="AH369" s="8"/>
      <c r="AI369" s="8"/>
      <c r="AJ369" s="27"/>
      <c r="AK369" s="8"/>
      <c r="AL369" s="8"/>
      <c r="AM369" s="27"/>
      <c r="AN369" s="27"/>
      <c r="AO369" s="27"/>
    </row>
    <row r="370" spans="1:41" ht="15" thickBot="1" x14ac:dyDescent="0.35">
      <c r="A370" s="51" t="s">
        <v>487</v>
      </c>
      <c r="B370" s="51" t="s">
        <v>579</v>
      </c>
      <c r="C370" s="51" t="s">
        <v>1192</v>
      </c>
      <c r="D370" s="51" t="s">
        <v>580</v>
      </c>
      <c r="E370" s="51" t="s">
        <v>19</v>
      </c>
      <c r="F370" s="51" t="s">
        <v>20</v>
      </c>
      <c r="G370" s="51" t="s">
        <v>960</v>
      </c>
      <c r="H370" s="53">
        <f t="shared" si="23"/>
        <v>23</v>
      </c>
      <c r="I370" s="17">
        <f t="shared" si="24"/>
        <v>7</v>
      </c>
      <c r="J370" s="18">
        <f t="shared" si="25"/>
        <v>0.76666666666666672</v>
      </c>
      <c r="K370" s="27"/>
      <c r="L370" s="8"/>
      <c r="M370" s="8"/>
      <c r="N370" s="8"/>
      <c r="O370" s="27"/>
      <c r="P370" s="27" t="s">
        <v>1010</v>
      </c>
      <c r="Q370" s="8" t="s">
        <v>1010</v>
      </c>
      <c r="R370" s="8" t="s">
        <v>1010</v>
      </c>
      <c r="S370" s="8" t="s">
        <v>1010</v>
      </c>
      <c r="T370" s="27" t="s">
        <v>1010</v>
      </c>
      <c r="U370" s="27" t="s">
        <v>1010</v>
      </c>
      <c r="V370" s="27" t="s">
        <v>1010</v>
      </c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</row>
    <row r="371" spans="1:41" ht="15" thickBot="1" x14ac:dyDescent="0.35">
      <c r="A371" s="51" t="s">
        <v>581</v>
      </c>
      <c r="B371" s="51" t="s">
        <v>582</v>
      </c>
      <c r="C371" s="51" t="s">
        <v>1193</v>
      </c>
      <c r="D371" s="51" t="s">
        <v>583</v>
      </c>
      <c r="E371" s="51" t="s">
        <v>15</v>
      </c>
      <c r="F371" s="51" t="s">
        <v>28</v>
      </c>
      <c r="G371" s="51" t="s">
        <v>961</v>
      </c>
      <c r="H371" s="53">
        <f t="shared" si="23"/>
        <v>29</v>
      </c>
      <c r="I371" s="17">
        <f t="shared" si="24"/>
        <v>1</v>
      </c>
      <c r="J371" s="18">
        <f t="shared" si="25"/>
        <v>0.96666666666666667</v>
      </c>
      <c r="K371" s="27"/>
      <c r="L371" s="27"/>
      <c r="M371" s="27"/>
      <c r="N371" s="27"/>
      <c r="O371" s="27"/>
      <c r="P371" s="27"/>
      <c r="Q371" s="27" t="s">
        <v>1010</v>
      </c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</row>
    <row r="372" spans="1:41" ht="15" thickBot="1" x14ac:dyDescent="0.35">
      <c r="A372" s="51" t="s">
        <v>581</v>
      </c>
      <c r="B372" s="51" t="s">
        <v>584</v>
      </c>
      <c r="C372" s="51" t="s">
        <v>1193</v>
      </c>
      <c r="D372" s="51" t="s">
        <v>585</v>
      </c>
      <c r="E372" s="51" t="s">
        <v>15</v>
      </c>
      <c r="F372" s="51" t="s">
        <v>28</v>
      </c>
      <c r="G372" s="51" t="s">
        <v>962</v>
      </c>
      <c r="H372" s="53">
        <f t="shared" si="23"/>
        <v>29</v>
      </c>
      <c r="I372" s="17">
        <f t="shared" si="24"/>
        <v>1</v>
      </c>
      <c r="J372" s="18">
        <f t="shared" si="25"/>
        <v>0.96666666666666667</v>
      </c>
      <c r="K372" s="27"/>
      <c r="L372" s="27"/>
      <c r="M372" s="27"/>
      <c r="N372" s="27"/>
      <c r="O372" s="27"/>
      <c r="P372" s="27"/>
      <c r="Q372" s="27" t="s">
        <v>1010</v>
      </c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</row>
    <row r="373" spans="1:41" s="51" customFormat="1" ht="15" thickBot="1" x14ac:dyDescent="0.35">
      <c r="A373" s="51" t="s">
        <v>581</v>
      </c>
      <c r="B373" s="51" t="s">
        <v>1170</v>
      </c>
      <c r="C373" s="51" t="s">
        <v>1193</v>
      </c>
      <c r="D373" s="51" t="s">
        <v>586</v>
      </c>
      <c r="E373" s="51" t="s">
        <v>73</v>
      </c>
      <c r="F373" s="51" t="s">
        <v>28</v>
      </c>
      <c r="G373" s="51" t="s">
        <v>963</v>
      </c>
      <c r="H373" s="53">
        <f t="shared" si="23"/>
        <v>29</v>
      </c>
      <c r="I373" s="53">
        <f t="shared" ref="I373:I379" si="26">COUNTIF(K373:AL373,"APAGADO")</f>
        <v>1</v>
      </c>
      <c r="J373" s="54">
        <f t="shared" ref="J373:J379" si="27">(H373)/(I373+H373)</f>
        <v>0.96666666666666667</v>
      </c>
      <c r="K373" s="27"/>
      <c r="L373" s="27"/>
      <c r="M373" s="27"/>
      <c r="N373" s="27"/>
      <c r="O373" s="27"/>
      <c r="P373" s="27"/>
      <c r="Q373" s="27" t="s">
        <v>1010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</row>
    <row r="374" spans="1:41" s="51" customFormat="1" ht="15" thickBot="1" x14ac:dyDescent="0.35">
      <c r="A374" s="51" t="s">
        <v>581</v>
      </c>
      <c r="B374" s="51" t="s">
        <v>1171</v>
      </c>
      <c r="C374" s="51" t="s">
        <v>1193</v>
      </c>
      <c r="D374" s="51" t="s">
        <v>586</v>
      </c>
      <c r="E374" s="51" t="s">
        <v>73</v>
      </c>
      <c r="F374" s="51" t="s">
        <v>28</v>
      </c>
      <c r="G374" s="51" t="s">
        <v>964</v>
      </c>
      <c r="H374" s="53">
        <f t="shared" si="23"/>
        <v>29</v>
      </c>
      <c r="I374" s="53">
        <f t="shared" si="26"/>
        <v>1</v>
      </c>
      <c r="J374" s="54">
        <f t="shared" si="27"/>
        <v>0.96666666666666667</v>
      </c>
      <c r="K374" s="27"/>
      <c r="L374" s="27"/>
      <c r="M374" s="27"/>
      <c r="N374" s="27"/>
      <c r="O374" s="27"/>
      <c r="P374" s="27"/>
      <c r="Q374" s="27" t="s">
        <v>1010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</row>
    <row r="375" spans="1:41" s="51" customFormat="1" ht="15" thickBot="1" x14ac:dyDescent="0.35">
      <c r="A375" s="51" t="s">
        <v>587</v>
      </c>
      <c r="B375" s="51" t="s">
        <v>1172</v>
      </c>
      <c r="C375" s="51" t="s">
        <v>1193</v>
      </c>
      <c r="D375" s="51" t="s">
        <v>588</v>
      </c>
      <c r="E375" s="51" t="s">
        <v>73</v>
      </c>
      <c r="F375" s="51" t="s">
        <v>28</v>
      </c>
      <c r="G375" s="51" t="s">
        <v>965</v>
      </c>
      <c r="H375" s="53">
        <f t="shared" si="23"/>
        <v>30</v>
      </c>
      <c r="I375" s="53">
        <f t="shared" si="26"/>
        <v>0</v>
      </c>
      <c r="J375" s="54">
        <f t="shared" si="27"/>
        <v>1</v>
      </c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</row>
    <row r="376" spans="1:41" s="51" customFormat="1" ht="15" thickBot="1" x14ac:dyDescent="0.35">
      <c r="A376" s="51" t="s">
        <v>587</v>
      </c>
      <c r="B376" s="51" t="s">
        <v>1173</v>
      </c>
      <c r="C376" s="51" t="s">
        <v>1193</v>
      </c>
      <c r="D376" s="51" t="s">
        <v>589</v>
      </c>
      <c r="E376" s="51" t="s">
        <v>15</v>
      </c>
      <c r="F376" s="51" t="s">
        <v>28</v>
      </c>
      <c r="G376" s="51" t="s">
        <v>966</v>
      </c>
      <c r="H376" s="53">
        <f t="shared" si="23"/>
        <v>30</v>
      </c>
      <c r="I376" s="53">
        <f t="shared" si="26"/>
        <v>0</v>
      </c>
      <c r="J376" s="54">
        <f t="shared" si="27"/>
        <v>1</v>
      </c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</row>
    <row r="377" spans="1:41" s="51" customFormat="1" ht="15" thickBot="1" x14ac:dyDescent="0.35">
      <c r="A377" s="51" t="s">
        <v>587</v>
      </c>
      <c r="B377" s="51" t="s">
        <v>590</v>
      </c>
      <c r="C377" s="51" t="s">
        <v>1193</v>
      </c>
      <c r="D377" s="51" t="s">
        <v>591</v>
      </c>
      <c r="E377" s="51" t="s">
        <v>73</v>
      </c>
      <c r="F377" s="51" t="s">
        <v>28</v>
      </c>
      <c r="G377" s="51" t="s">
        <v>967</v>
      </c>
      <c r="H377" s="53">
        <f t="shared" si="23"/>
        <v>30</v>
      </c>
      <c r="I377" s="53">
        <f t="shared" si="26"/>
        <v>0</v>
      </c>
      <c r="J377" s="54">
        <f t="shared" si="27"/>
        <v>1</v>
      </c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</row>
    <row r="378" spans="1:41" s="51" customFormat="1" ht="15" thickBot="1" x14ac:dyDescent="0.35">
      <c r="A378" s="51" t="s">
        <v>587</v>
      </c>
      <c r="B378" s="51" t="s">
        <v>592</v>
      </c>
      <c r="C378" s="51" t="s">
        <v>1193</v>
      </c>
      <c r="D378" s="51" t="s">
        <v>593</v>
      </c>
      <c r="E378" s="51" t="s">
        <v>15</v>
      </c>
      <c r="F378" s="51" t="s">
        <v>28</v>
      </c>
      <c r="G378" s="51" t="s">
        <v>968</v>
      </c>
      <c r="H378" s="53">
        <f t="shared" si="23"/>
        <v>30</v>
      </c>
      <c r="I378" s="53">
        <f t="shared" si="26"/>
        <v>0</v>
      </c>
      <c r="J378" s="54">
        <f t="shared" si="27"/>
        <v>1</v>
      </c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</row>
    <row r="379" spans="1:41" s="51" customFormat="1" ht="15" thickBot="1" x14ac:dyDescent="0.35">
      <c r="A379" s="51" t="s">
        <v>587</v>
      </c>
      <c r="B379" s="51" t="s">
        <v>594</v>
      </c>
      <c r="C379" s="51" t="s">
        <v>1193</v>
      </c>
      <c r="D379" s="51" t="s">
        <v>595</v>
      </c>
      <c r="E379" s="51" t="s">
        <v>15</v>
      </c>
      <c r="F379" s="51" t="s">
        <v>28</v>
      </c>
      <c r="G379" s="51" t="s">
        <v>969</v>
      </c>
      <c r="H379" s="53">
        <f t="shared" si="23"/>
        <v>30</v>
      </c>
      <c r="I379" s="53">
        <f t="shared" si="26"/>
        <v>0</v>
      </c>
      <c r="J379" s="54">
        <f t="shared" si="27"/>
        <v>1</v>
      </c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</row>
    <row r="380" spans="1:41" ht="15" thickBot="1" x14ac:dyDescent="0.35">
      <c r="A380" s="51" t="s">
        <v>178</v>
      </c>
      <c r="B380" s="51" t="s">
        <v>596</v>
      </c>
      <c r="C380" s="51" t="s">
        <v>1193</v>
      </c>
      <c r="D380" s="51" t="s">
        <v>1174</v>
      </c>
      <c r="E380" s="51" t="s">
        <v>19</v>
      </c>
      <c r="F380" s="51" t="s">
        <v>20</v>
      </c>
      <c r="G380" s="51" t="s">
        <v>970</v>
      </c>
      <c r="H380" s="53">
        <f t="shared" ref="H380:H396" si="28">COUNTIF(K380:AN380,"")</f>
        <v>30</v>
      </c>
      <c r="I380" s="53">
        <f t="shared" ref="I380:I396" si="29">COUNTIF(K380:AL380,"APAGADO")</f>
        <v>0</v>
      </c>
      <c r="J380" s="54">
        <f t="shared" ref="J380:J396" si="30">(H380)/(I380+H380)</f>
        <v>1</v>
      </c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</row>
    <row r="381" spans="1:41" ht="15" thickBot="1" x14ac:dyDescent="0.35">
      <c r="A381" s="51" t="s">
        <v>178</v>
      </c>
      <c r="B381" s="51" t="s">
        <v>1175</v>
      </c>
      <c r="C381" s="51" t="s">
        <v>1193</v>
      </c>
      <c r="D381" s="51" t="s">
        <v>1176</v>
      </c>
      <c r="E381" s="51" t="s">
        <v>73</v>
      </c>
      <c r="F381" s="51" t="s">
        <v>28</v>
      </c>
      <c r="G381" s="51" t="s">
        <v>971</v>
      </c>
      <c r="H381" s="53">
        <f t="shared" si="28"/>
        <v>30</v>
      </c>
      <c r="I381" s="53">
        <f t="shared" si="29"/>
        <v>0</v>
      </c>
      <c r="J381" s="54">
        <f t="shared" si="30"/>
        <v>1</v>
      </c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</row>
    <row r="382" spans="1:41" ht="15" thickBot="1" x14ac:dyDescent="0.35">
      <c r="A382" s="51" t="s">
        <v>178</v>
      </c>
      <c r="B382" s="51" t="s">
        <v>1177</v>
      </c>
      <c r="C382" s="51" t="s">
        <v>1193</v>
      </c>
      <c r="D382" s="51" t="s">
        <v>1176</v>
      </c>
      <c r="E382" s="51" t="s">
        <v>73</v>
      </c>
      <c r="F382" s="51" t="s">
        <v>28</v>
      </c>
      <c r="G382" s="51" t="s">
        <v>972</v>
      </c>
      <c r="H382" s="53">
        <f t="shared" si="28"/>
        <v>30</v>
      </c>
      <c r="I382" s="53">
        <f t="shared" si="29"/>
        <v>0</v>
      </c>
      <c r="J382" s="54">
        <f t="shared" si="30"/>
        <v>1</v>
      </c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</row>
    <row r="383" spans="1:41" ht="15" thickBot="1" x14ac:dyDescent="0.35">
      <c r="A383" s="51" t="s">
        <v>178</v>
      </c>
      <c r="B383" s="51" t="s">
        <v>1178</v>
      </c>
      <c r="C383" s="51" t="s">
        <v>1193</v>
      </c>
      <c r="D383" s="51" t="s">
        <v>1179</v>
      </c>
      <c r="E383" s="51" t="s">
        <v>15</v>
      </c>
      <c r="F383" s="51" t="s">
        <v>28</v>
      </c>
      <c r="G383" s="51" t="s">
        <v>973</v>
      </c>
      <c r="H383" s="53">
        <f t="shared" si="28"/>
        <v>30</v>
      </c>
      <c r="I383" s="53">
        <f t="shared" si="29"/>
        <v>0</v>
      </c>
      <c r="J383" s="54">
        <f t="shared" si="30"/>
        <v>1</v>
      </c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</row>
    <row r="384" spans="1:41" ht="15" thickBot="1" x14ac:dyDescent="0.35">
      <c r="A384" s="51" t="s">
        <v>178</v>
      </c>
      <c r="B384" s="51" t="s">
        <v>597</v>
      </c>
      <c r="C384" s="51" t="s">
        <v>1193</v>
      </c>
      <c r="D384" s="51" t="s">
        <v>1180</v>
      </c>
      <c r="E384" s="51" t="s">
        <v>15</v>
      </c>
      <c r="F384" s="51" t="s">
        <v>28</v>
      </c>
      <c r="G384" s="51"/>
      <c r="H384" s="53">
        <f t="shared" si="28"/>
        <v>30</v>
      </c>
      <c r="I384" s="53">
        <f t="shared" si="29"/>
        <v>0</v>
      </c>
      <c r="J384" s="54">
        <f t="shared" si="30"/>
        <v>1</v>
      </c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</row>
    <row r="385" spans="1:41" ht="15" thickBot="1" x14ac:dyDescent="0.35">
      <c r="A385" s="51" t="s">
        <v>598</v>
      </c>
      <c r="B385" s="51" t="s">
        <v>1181</v>
      </c>
      <c r="C385" s="51" t="s">
        <v>1193</v>
      </c>
      <c r="D385" s="51" t="s">
        <v>600</v>
      </c>
      <c r="E385" s="51" t="s">
        <v>73</v>
      </c>
      <c r="F385" s="51" t="s">
        <v>28</v>
      </c>
      <c r="G385" s="51" t="s">
        <v>975</v>
      </c>
      <c r="H385" s="53">
        <f t="shared" si="28"/>
        <v>20</v>
      </c>
      <c r="I385" s="53">
        <f t="shared" si="29"/>
        <v>10</v>
      </c>
      <c r="J385" s="54">
        <f t="shared" si="30"/>
        <v>0.66666666666666663</v>
      </c>
      <c r="K385" s="27" t="s">
        <v>1010</v>
      </c>
      <c r="L385" s="27" t="s">
        <v>1010</v>
      </c>
      <c r="M385" s="27" t="s">
        <v>1010</v>
      </c>
      <c r="N385" s="27" t="s">
        <v>1010</v>
      </c>
      <c r="O385" s="27" t="s">
        <v>1010</v>
      </c>
      <c r="P385" s="27" t="s">
        <v>1010</v>
      </c>
      <c r="Q385" s="27" t="s">
        <v>1010</v>
      </c>
      <c r="R385" s="27" t="s">
        <v>1010</v>
      </c>
      <c r="S385" s="27" t="s">
        <v>1010</v>
      </c>
      <c r="T385" s="27" t="s">
        <v>1010</v>
      </c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</row>
    <row r="386" spans="1:41" ht="15" thickBot="1" x14ac:dyDescent="0.35">
      <c r="A386" s="51" t="s">
        <v>598</v>
      </c>
      <c r="B386" s="51" t="s">
        <v>1182</v>
      </c>
      <c r="C386" s="51" t="s">
        <v>1193</v>
      </c>
      <c r="D386" s="51" t="s">
        <v>601</v>
      </c>
      <c r="E386" s="51" t="s">
        <v>73</v>
      </c>
      <c r="F386" s="51" t="s">
        <v>28</v>
      </c>
      <c r="G386" s="51" t="s">
        <v>976</v>
      </c>
      <c r="H386" s="53">
        <f t="shared" si="28"/>
        <v>20</v>
      </c>
      <c r="I386" s="53">
        <f t="shared" si="29"/>
        <v>10</v>
      </c>
      <c r="J386" s="54">
        <f t="shared" si="30"/>
        <v>0.66666666666666663</v>
      </c>
      <c r="K386" s="27" t="s">
        <v>1010</v>
      </c>
      <c r="L386" s="27" t="s">
        <v>1010</v>
      </c>
      <c r="M386" s="27" t="s">
        <v>1010</v>
      </c>
      <c r="N386" s="27" t="s">
        <v>1010</v>
      </c>
      <c r="O386" s="27" t="s">
        <v>1010</v>
      </c>
      <c r="P386" s="27" t="s">
        <v>1010</v>
      </c>
      <c r="Q386" s="27" t="s">
        <v>1010</v>
      </c>
      <c r="R386" s="27" t="s">
        <v>1010</v>
      </c>
      <c r="S386" s="27" t="s">
        <v>1010</v>
      </c>
      <c r="T386" s="27" t="s">
        <v>1010</v>
      </c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</row>
    <row r="387" spans="1:41" ht="15" thickBot="1" x14ac:dyDescent="0.35">
      <c r="A387" s="51" t="s">
        <v>598</v>
      </c>
      <c r="B387" s="51" t="s">
        <v>599</v>
      </c>
      <c r="C387" s="51" t="s">
        <v>1193</v>
      </c>
      <c r="D387" s="51" t="s">
        <v>600</v>
      </c>
      <c r="E387" s="51" t="s">
        <v>73</v>
      </c>
      <c r="F387" s="51" t="s">
        <v>28</v>
      </c>
      <c r="G387" s="51" t="s">
        <v>974</v>
      </c>
      <c r="H387" s="53">
        <f t="shared" si="28"/>
        <v>20</v>
      </c>
      <c r="I387" s="53">
        <f t="shared" si="29"/>
        <v>10</v>
      </c>
      <c r="J387" s="54">
        <f t="shared" si="30"/>
        <v>0.66666666666666663</v>
      </c>
      <c r="K387" s="27" t="s">
        <v>1010</v>
      </c>
      <c r="L387" s="27" t="s">
        <v>1010</v>
      </c>
      <c r="M387" s="27" t="s">
        <v>1010</v>
      </c>
      <c r="N387" s="27" t="s">
        <v>1010</v>
      </c>
      <c r="O387" s="27" t="s">
        <v>1010</v>
      </c>
      <c r="P387" s="27" t="s">
        <v>1010</v>
      </c>
      <c r="Q387" s="27" t="s">
        <v>1010</v>
      </c>
      <c r="R387" s="27" t="s">
        <v>1010</v>
      </c>
      <c r="S387" s="27" t="s">
        <v>1010</v>
      </c>
      <c r="T387" s="27" t="s">
        <v>1010</v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</row>
    <row r="388" spans="1:41" ht="15" thickBot="1" x14ac:dyDescent="0.35">
      <c r="A388" s="51" t="s">
        <v>598</v>
      </c>
      <c r="B388" s="51" t="s">
        <v>602</v>
      </c>
      <c r="C388" s="51" t="s">
        <v>1193</v>
      </c>
      <c r="D388" s="51" t="s">
        <v>601</v>
      </c>
      <c r="E388" s="51" t="s">
        <v>73</v>
      </c>
      <c r="F388" s="51" t="s">
        <v>28</v>
      </c>
      <c r="G388" s="51" t="s">
        <v>977</v>
      </c>
      <c r="H388" s="53">
        <f t="shared" si="28"/>
        <v>20</v>
      </c>
      <c r="I388" s="53">
        <f t="shared" si="29"/>
        <v>10</v>
      </c>
      <c r="J388" s="54">
        <f t="shared" si="30"/>
        <v>0.66666666666666663</v>
      </c>
      <c r="K388" s="27" t="s">
        <v>1010</v>
      </c>
      <c r="L388" s="27" t="s">
        <v>1010</v>
      </c>
      <c r="M388" s="27" t="s">
        <v>1010</v>
      </c>
      <c r="N388" s="27" t="s">
        <v>1010</v>
      </c>
      <c r="O388" s="27" t="s">
        <v>1010</v>
      </c>
      <c r="P388" s="27" t="s">
        <v>1010</v>
      </c>
      <c r="Q388" s="27" t="s">
        <v>1010</v>
      </c>
      <c r="R388" s="27" t="s">
        <v>1010</v>
      </c>
      <c r="S388" s="27" t="s">
        <v>1010</v>
      </c>
      <c r="T388" s="27" t="s">
        <v>1010</v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</row>
    <row r="389" spans="1:41" ht="15" thickBot="1" x14ac:dyDescent="0.35">
      <c r="A389" s="51" t="s">
        <v>603</v>
      </c>
      <c r="B389" s="51" t="s">
        <v>604</v>
      </c>
      <c r="C389" s="51" t="s">
        <v>1193</v>
      </c>
      <c r="D389" s="51" t="s">
        <v>605</v>
      </c>
      <c r="E389" s="51" t="s">
        <v>15</v>
      </c>
      <c r="F389" s="51" t="s">
        <v>28</v>
      </c>
      <c r="G389" s="51" t="s">
        <v>978</v>
      </c>
      <c r="H389" s="53">
        <f t="shared" si="28"/>
        <v>30</v>
      </c>
      <c r="I389" s="53">
        <f t="shared" si="29"/>
        <v>0</v>
      </c>
      <c r="J389" s="54">
        <f t="shared" si="30"/>
        <v>1</v>
      </c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</row>
    <row r="390" spans="1:41" ht="15" thickBot="1" x14ac:dyDescent="0.35">
      <c r="A390" s="51" t="s">
        <v>606</v>
      </c>
      <c r="B390" s="51" t="s">
        <v>608</v>
      </c>
      <c r="C390" s="51" t="s">
        <v>1193</v>
      </c>
      <c r="D390" s="51" t="s">
        <v>609</v>
      </c>
      <c r="E390" s="51" t="s">
        <v>15</v>
      </c>
      <c r="F390" s="51" t="s">
        <v>20</v>
      </c>
      <c r="G390" s="51" t="s">
        <v>980</v>
      </c>
      <c r="H390" s="53">
        <f t="shared" si="28"/>
        <v>30</v>
      </c>
      <c r="I390" s="53">
        <f t="shared" si="29"/>
        <v>0</v>
      </c>
      <c r="J390" s="54">
        <f t="shared" si="30"/>
        <v>1</v>
      </c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</row>
    <row r="391" spans="1:41" ht="15" thickBot="1" x14ac:dyDescent="0.35">
      <c r="A391" s="51" t="s">
        <v>606</v>
      </c>
      <c r="B391" s="51" t="s">
        <v>610</v>
      </c>
      <c r="C391" s="51" t="s">
        <v>1193</v>
      </c>
      <c r="D391" s="51" t="s">
        <v>611</v>
      </c>
      <c r="E391" s="51" t="s">
        <v>15</v>
      </c>
      <c r="F391" s="51" t="s">
        <v>20</v>
      </c>
      <c r="G391" s="51" t="s">
        <v>981</v>
      </c>
      <c r="H391" s="53">
        <f t="shared" si="28"/>
        <v>30</v>
      </c>
      <c r="I391" s="53">
        <f t="shared" si="29"/>
        <v>0</v>
      </c>
      <c r="J391" s="54">
        <f t="shared" si="30"/>
        <v>1</v>
      </c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</row>
    <row r="392" spans="1:41" ht="15" thickBot="1" x14ac:dyDescent="0.35">
      <c r="A392" s="51" t="s">
        <v>606</v>
      </c>
      <c r="B392" s="51" t="s">
        <v>1183</v>
      </c>
      <c r="C392" s="51" t="s">
        <v>1193</v>
      </c>
      <c r="D392" s="51" t="s">
        <v>607</v>
      </c>
      <c r="E392" s="51" t="s">
        <v>15</v>
      </c>
      <c r="F392" s="51" t="s">
        <v>20</v>
      </c>
      <c r="G392" s="51" t="s">
        <v>979</v>
      </c>
      <c r="H392" s="53">
        <f t="shared" si="28"/>
        <v>30</v>
      </c>
      <c r="I392" s="53">
        <f t="shared" si="29"/>
        <v>0</v>
      </c>
      <c r="J392" s="54">
        <f t="shared" si="30"/>
        <v>1</v>
      </c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</row>
    <row r="393" spans="1:41" ht="15" thickBot="1" x14ac:dyDescent="0.35">
      <c r="A393" s="51" t="s">
        <v>614</v>
      </c>
      <c r="B393" s="51" t="s">
        <v>612</v>
      </c>
      <c r="C393" s="51" t="s">
        <v>1193</v>
      </c>
      <c r="D393" s="51" t="s">
        <v>613</v>
      </c>
      <c r="E393" s="51" t="s">
        <v>19</v>
      </c>
      <c r="F393" s="51" t="s">
        <v>20</v>
      </c>
      <c r="G393" s="51" t="s">
        <v>985</v>
      </c>
      <c r="H393" s="53">
        <f t="shared" si="28"/>
        <v>30</v>
      </c>
      <c r="I393" s="53">
        <f t="shared" si="29"/>
        <v>0</v>
      </c>
      <c r="J393" s="54">
        <f t="shared" si="30"/>
        <v>1</v>
      </c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</row>
    <row r="394" spans="1:41" ht="15" thickBot="1" x14ac:dyDescent="0.35">
      <c r="A394" s="51" t="s">
        <v>614</v>
      </c>
      <c r="B394" s="51" t="s">
        <v>615</v>
      </c>
      <c r="C394" s="51" t="s">
        <v>1193</v>
      </c>
      <c r="D394" s="51" t="s">
        <v>616</v>
      </c>
      <c r="E394" s="51" t="s">
        <v>19</v>
      </c>
      <c r="F394" s="51" t="s">
        <v>20</v>
      </c>
      <c r="G394" s="51" t="s">
        <v>982</v>
      </c>
      <c r="H394" s="53">
        <f t="shared" si="28"/>
        <v>30</v>
      </c>
      <c r="I394" s="53">
        <f t="shared" si="29"/>
        <v>0</v>
      </c>
      <c r="J394" s="54">
        <f t="shared" si="30"/>
        <v>1</v>
      </c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</row>
    <row r="395" spans="1:41" ht="15" thickBot="1" x14ac:dyDescent="0.35">
      <c r="A395" s="51" t="s">
        <v>314</v>
      </c>
      <c r="B395" s="51" t="s">
        <v>617</v>
      </c>
      <c r="C395" s="51" t="s">
        <v>1193</v>
      </c>
      <c r="D395" s="51" t="s">
        <v>618</v>
      </c>
      <c r="E395" s="51" t="s">
        <v>19</v>
      </c>
      <c r="F395" s="51" t="s">
        <v>20</v>
      </c>
      <c r="G395" s="51" t="s">
        <v>983</v>
      </c>
      <c r="H395" s="53">
        <f t="shared" si="28"/>
        <v>30</v>
      </c>
      <c r="I395" s="53">
        <f t="shared" si="29"/>
        <v>0</v>
      </c>
      <c r="J395" s="54">
        <f t="shared" si="30"/>
        <v>1</v>
      </c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</row>
    <row r="396" spans="1:41" ht="15" thickBot="1" x14ac:dyDescent="0.35">
      <c r="A396" s="51" t="s">
        <v>614</v>
      </c>
      <c r="B396" s="51" t="s">
        <v>619</v>
      </c>
      <c r="C396" s="51" t="s">
        <v>1193</v>
      </c>
      <c r="D396" s="51" t="s">
        <v>620</v>
      </c>
      <c r="E396" s="51" t="s">
        <v>15</v>
      </c>
      <c r="F396" s="51" t="s">
        <v>20</v>
      </c>
      <c r="G396" s="51" t="s">
        <v>984</v>
      </c>
      <c r="H396" s="53">
        <f t="shared" si="28"/>
        <v>30</v>
      </c>
      <c r="I396" s="53">
        <f t="shared" si="29"/>
        <v>0</v>
      </c>
      <c r="J396" s="54">
        <f t="shared" si="30"/>
        <v>1</v>
      </c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</row>
    <row r="397" spans="1:41" x14ac:dyDescent="0.3">
      <c r="E397" s="9"/>
      <c r="F397" s="9"/>
      <c r="G397" s="28"/>
      <c r="J397" s="21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9"/>
      <c r="AH397" s="9"/>
      <c r="AI397" s="9"/>
      <c r="AJ397" s="9"/>
      <c r="AK397" s="9"/>
      <c r="AL397" s="9"/>
      <c r="AM397" s="28"/>
      <c r="AN397" s="28"/>
    </row>
    <row r="398" spans="1:41" x14ac:dyDescent="0.3">
      <c r="E398" s="9"/>
      <c r="F398" s="9"/>
      <c r="G398" s="28"/>
      <c r="J398" s="21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9"/>
      <c r="AH398" s="9"/>
      <c r="AI398" s="9"/>
      <c r="AJ398" s="9"/>
      <c r="AK398" s="9"/>
      <c r="AL398" s="9"/>
      <c r="AM398" s="28"/>
      <c r="AN398" s="28"/>
    </row>
    <row r="399" spans="1:41" x14ac:dyDescent="0.3">
      <c r="E399" s="9"/>
      <c r="F399" s="9"/>
      <c r="G399" s="28"/>
      <c r="J399" s="21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9"/>
      <c r="AH399" s="9"/>
      <c r="AI399" s="9"/>
      <c r="AJ399" s="9"/>
      <c r="AK399" s="9"/>
      <c r="AL399" s="9"/>
      <c r="AM399" s="28"/>
      <c r="AN399" s="28"/>
    </row>
    <row r="400" spans="1:41" x14ac:dyDescent="0.3">
      <c r="E400" s="9"/>
      <c r="F400" s="9"/>
      <c r="G400" s="28"/>
      <c r="J400" s="21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9"/>
      <c r="AH400" s="9"/>
      <c r="AI400" s="9"/>
      <c r="AJ400" s="9"/>
      <c r="AK400" s="9"/>
      <c r="AL400" s="9"/>
      <c r="AM400" s="28"/>
      <c r="AN400" s="28"/>
    </row>
    <row r="401" spans="5:40" x14ac:dyDescent="0.3">
      <c r="E401" s="9"/>
      <c r="F401" s="9"/>
      <c r="G401" s="28"/>
      <c r="J401" s="21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9"/>
      <c r="AH401" s="9"/>
      <c r="AI401" s="9"/>
      <c r="AJ401" s="9"/>
      <c r="AK401" s="9"/>
      <c r="AL401" s="9"/>
      <c r="AM401" s="28"/>
      <c r="AN401" s="28"/>
    </row>
    <row r="402" spans="5:40" x14ac:dyDescent="0.3">
      <c r="E402" s="9"/>
      <c r="F402" s="9"/>
      <c r="G402" s="28"/>
      <c r="J402" s="21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9"/>
      <c r="AH402" s="9"/>
      <c r="AI402" s="9"/>
      <c r="AJ402" s="9"/>
      <c r="AK402" s="9"/>
      <c r="AL402" s="9"/>
      <c r="AM402" s="28"/>
      <c r="AN402" s="28"/>
    </row>
    <row r="403" spans="5:40" x14ac:dyDescent="0.3">
      <c r="E403" s="9"/>
      <c r="F403" s="9"/>
      <c r="G403" s="28"/>
      <c r="J403" s="21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9"/>
      <c r="AH403" s="9"/>
      <c r="AI403" s="9"/>
      <c r="AJ403" s="9"/>
      <c r="AK403" s="9"/>
      <c r="AL403" s="9"/>
      <c r="AM403" s="28"/>
      <c r="AN403" s="28"/>
    </row>
    <row r="404" spans="5:40" x14ac:dyDescent="0.3">
      <c r="E404" s="9"/>
      <c r="F404" s="9"/>
      <c r="G404" s="28"/>
      <c r="J404" s="21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9"/>
      <c r="AH404" s="9"/>
      <c r="AI404" s="9"/>
      <c r="AJ404" s="9"/>
      <c r="AK404" s="9"/>
      <c r="AL404" s="9"/>
      <c r="AM404" s="28"/>
      <c r="AN404" s="28"/>
    </row>
    <row r="405" spans="5:40" x14ac:dyDescent="0.3">
      <c r="E405" s="9"/>
      <c r="F405" s="9"/>
      <c r="G405" s="28"/>
      <c r="J405" s="21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9"/>
      <c r="AH405" s="9"/>
      <c r="AI405" s="9"/>
      <c r="AJ405" s="9"/>
      <c r="AK405" s="9"/>
      <c r="AL405" s="9"/>
      <c r="AM405" s="28"/>
      <c r="AN405" s="28"/>
    </row>
    <row r="406" spans="5:40" x14ac:dyDescent="0.3">
      <c r="E406" s="9"/>
      <c r="F406" s="9"/>
      <c r="G406" s="28"/>
      <c r="J406" s="21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9"/>
      <c r="AH406" s="9"/>
      <c r="AI406" s="9"/>
      <c r="AJ406" s="9"/>
      <c r="AK406" s="9"/>
      <c r="AL406" s="9"/>
      <c r="AM406" s="28"/>
      <c r="AN406" s="28"/>
    </row>
    <row r="407" spans="5:40" x14ac:dyDescent="0.3">
      <c r="E407" s="9"/>
      <c r="F407" s="9"/>
      <c r="G407" s="28"/>
      <c r="J407" s="21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9"/>
      <c r="AH407" s="9"/>
      <c r="AI407" s="9"/>
      <c r="AJ407" s="9"/>
      <c r="AK407" s="9"/>
      <c r="AL407" s="9"/>
      <c r="AM407" s="28"/>
      <c r="AN407" s="28"/>
    </row>
    <row r="408" spans="5:40" x14ac:dyDescent="0.3">
      <c r="E408" s="9"/>
      <c r="F408" s="9"/>
      <c r="G408" s="28"/>
      <c r="J408" s="21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9"/>
      <c r="AH408" s="9"/>
      <c r="AI408" s="9"/>
      <c r="AJ408" s="9"/>
      <c r="AK408" s="9"/>
      <c r="AL408" s="9"/>
      <c r="AM408" s="28"/>
      <c r="AN408" s="28"/>
    </row>
    <row r="409" spans="5:40" x14ac:dyDescent="0.3">
      <c r="E409" s="9"/>
      <c r="F409" s="9"/>
      <c r="G409" s="28"/>
      <c r="J409" s="21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9"/>
      <c r="AH409" s="9"/>
      <c r="AI409" s="9"/>
      <c r="AJ409" s="9"/>
      <c r="AK409" s="9"/>
      <c r="AL409" s="9"/>
      <c r="AM409" s="28"/>
      <c r="AN409" s="28"/>
    </row>
    <row r="410" spans="5:40" x14ac:dyDescent="0.3">
      <c r="E410" s="9"/>
      <c r="F410" s="9"/>
      <c r="G410" s="28"/>
      <c r="J410" s="21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9"/>
      <c r="AH410" s="9"/>
      <c r="AI410" s="9"/>
      <c r="AJ410" s="9"/>
      <c r="AK410" s="9"/>
      <c r="AL410" s="9"/>
      <c r="AM410" s="28"/>
      <c r="AN410" s="28"/>
    </row>
    <row r="411" spans="5:40" x14ac:dyDescent="0.3">
      <c r="E411" s="9"/>
      <c r="F411" s="9"/>
      <c r="G411" s="28"/>
      <c r="J411" s="21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9"/>
      <c r="AH411" s="9"/>
      <c r="AI411" s="9"/>
      <c r="AJ411" s="9"/>
      <c r="AK411" s="9"/>
      <c r="AL411" s="9"/>
      <c r="AM411" s="28"/>
      <c r="AN411" s="28"/>
    </row>
    <row r="412" spans="5:40" x14ac:dyDescent="0.3">
      <c r="E412" s="9"/>
      <c r="F412" s="9"/>
      <c r="G412" s="28"/>
      <c r="J412" s="21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9"/>
      <c r="AH412" s="9"/>
      <c r="AI412" s="9"/>
      <c r="AJ412" s="9"/>
      <c r="AK412" s="9"/>
      <c r="AL412" s="9"/>
      <c r="AM412" s="28"/>
      <c r="AN412" s="28"/>
    </row>
    <row r="413" spans="5:40" x14ac:dyDescent="0.3">
      <c r="E413" s="9"/>
      <c r="F413" s="9"/>
      <c r="G413" s="28"/>
      <c r="J413" s="21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9"/>
      <c r="AH413" s="9"/>
      <c r="AI413" s="9"/>
      <c r="AJ413" s="9"/>
      <c r="AK413" s="9"/>
      <c r="AL413" s="9"/>
      <c r="AM413" s="28"/>
      <c r="AN413" s="28"/>
    </row>
    <row r="414" spans="5:40" x14ac:dyDescent="0.3">
      <c r="E414" s="9"/>
      <c r="F414" s="9"/>
      <c r="G414" s="28"/>
      <c r="J414" s="21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9"/>
      <c r="AH414" s="9"/>
      <c r="AI414" s="9"/>
      <c r="AJ414" s="9"/>
      <c r="AK414" s="9"/>
      <c r="AL414" s="9"/>
      <c r="AM414" s="28"/>
      <c r="AN414" s="28"/>
    </row>
    <row r="415" spans="5:40" x14ac:dyDescent="0.3">
      <c r="E415" s="9"/>
      <c r="F415" s="9"/>
      <c r="G415" s="28"/>
      <c r="J415" s="21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9"/>
      <c r="AH415" s="9"/>
      <c r="AI415" s="9"/>
      <c r="AJ415" s="9"/>
      <c r="AK415" s="9"/>
      <c r="AL415" s="9"/>
      <c r="AM415" s="28"/>
      <c r="AN415" s="28"/>
    </row>
    <row r="416" spans="5:40" x14ac:dyDescent="0.3">
      <c r="E416" s="9"/>
      <c r="F416" s="9"/>
      <c r="G416" s="28"/>
      <c r="J416" s="21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9"/>
      <c r="AH416" s="9"/>
      <c r="AI416" s="9"/>
      <c r="AJ416" s="9"/>
      <c r="AK416" s="9"/>
      <c r="AL416" s="9"/>
      <c r="AM416" s="28"/>
      <c r="AN416" s="28"/>
    </row>
    <row r="417" spans="5:40" x14ac:dyDescent="0.3">
      <c r="E417" s="9"/>
      <c r="F417" s="9"/>
      <c r="G417" s="28"/>
      <c r="J417" s="21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9"/>
      <c r="AH417" s="9"/>
      <c r="AI417" s="9"/>
      <c r="AJ417" s="9"/>
      <c r="AK417" s="9"/>
      <c r="AL417" s="9"/>
      <c r="AM417" s="28"/>
      <c r="AN417" s="28"/>
    </row>
    <row r="418" spans="5:40" x14ac:dyDescent="0.3">
      <c r="E418" s="9"/>
      <c r="F418" s="9"/>
      <c r="G418" s="28"/>
      <c r="J418" s="21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9"/>
      <c r="AH418" s="9"/>
      <c r="AI418" s="9"/>
      <c r="AJ418" s="9"/>
      <c r="AK418" s="9"/>
      <c r="AL418" s="9"/>
      <c r="AM418" s="28"/>
      <c r="AN418" s="28"/>
    </row>
    <row r="419" spans="5:40" x14ac:dyDescent="0.3">
      <c r="E419" s="9"/>
      <c r="F419" s="9"/>
      <c r="G419" s="28"/>
      <c r="J419" s="21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9"/>
      <c r="AH419" s="9"/>
      <c r="AI419" s="9"/>
      <c r="AJ419" s="9"/>
      <c r="AK419" s="9"/>
      <c r="AL419" s="9"/>
      <c r="AM419" s="28"/>
      <c r="AN419" s="28"/>
    </row>
    <row r="420" spans="5:40" x14ac:dyDescent="0.3">
      <c r="E420" s="9"/>
      <c r="F420" s="9"/>
      <c r="G420" s="28"/>
      <c r="J420" s="21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9"/>
      <c r="AH420" s="9"/>
      <c r="AI420" s="9"/>
      <c r="AJ420" s="9"/>
      <c r="AK420" s="9"/>
      <c r="AL420" s="9"/>
      <c r="AM420" s="28"/>
      <c r="AN420" s="28"/>
    </row>
    <row r="421" spans="5:40" x14ac:dyDescent="0.3">
      <c r="E421" s="9"/>
      <c r="F421" s="9"/>
      <c r="G421" s="28"/>
      <c r="J421" s="21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9"/>
      <c r="AH421" s="9"/>
      <c r="AI421" s="9"/>
      <c r="AJ421" s="9"/>
      <c r="AK421" s="9"/>
      <c r="AL421" s="9"/>
      <c r="AM421" s="28"/>
      <c r="AN421" s="28"/>
    </row>
    <row r="422" spans="5:40" x14ac:dyDescent="0.3">
      <c r="E422" s="9"/>
      <c r="F422" s="9"/>
      <c r="G422" s="28"/>
      <c r="J422" s="21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9"/>
      <c r="AH422" s="9"/>
      <c r="AI422" s="9"/>
      <c r="AJ422" s="9"/>
      <c r="AK422" s="9"/>
      <c r="AL422" s="9"/>
      <c r="AM422" s="28"/>
      <c r="AN422" s="28"/>
    </row>
    <row r="423" spans="5:40" x14ac:dyDescent="0.3">
      <c r="E423" s="9"/>
      <c r="F423" s="9"/>
      <c r="G423" s="28"/>
      <c r="J423" s="21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9"/>
      <c r="AH423" s="9"/>
      <c r="AI423" s="9"/>
      <c r="AJ423" s="9"/>
      <c r="AK423" s="9"/>
      <c r="AL423" s="9"/>
      <c r="AM423" s="28"/>
      <c r="AN423" s="28"/>
    </row>
    <row r="424" spans="5:40" x14ac:dyDescent="0.3">
      <c r="E424" s="9"/>
      <c r="F424" s="9"/>
      <c r="G424" s="28"/>
      <c r="J424" s="21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9"/>
      <c r="AH424" s="9"/>
      <c r="AI424" s="9"/>
      <c r="AJ424" s="9"/>
      <c r="AK424" s="9"/>
      <c r="AL424" s="9"/>
      <c r="AM424" s="28"/>
      <c r="AN424" s="28"/>
    </row>
    <row r="425" spans="5:40" x14ac:dyDescent="0.3">
      <c r="E425" s="9"/>
      <c r="F425" s="9"/>
      <c r="G425" s="28"/>
      <c r="J425" s="21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9"/>
      <c r="AH425" s="9"/>
      <c r="AI425" s="9"/>
      <c r="AJ425" s="9"/>
      <c r="AK425" s="9"/>
      <c r="AL425" s="9"/>
      <c r="AM425" s="28"/>
      <c r="AN425" s="28"/>
    </row>
    <row r="426" spans="5:40" x14ac:dyDescent="0.3">
      <c r="E426" s="9"/>
      <c r="F426" s="9"/>
      <c r="G426" s="28"/>
      <c r="J426" s="21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9"/>
      <c r="AH426" s="9"/>
      <c r="AI426" s="9"/>
      <c r="AJ426" s="9"/>
      <c r="AK426" s="9"/>
      <c r="AL426" s="9"/>
      <c r="AM426" s="28"/>
      <c r="AN426" s="28"/>
    </row>
    <row r="427" spans="5:40" x14ac:dyDescent="0.3">
      <c r="E427" s="9"/>
      <c r="F427" s="9"/>
      <c r="G427" s="28"/>
      <c r="J427" s="21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9"/>
      <c r="AH427" s="9"/>
      <c r="AI427" s="9"/>
      <c r="AJ427" s="9"/>
      <c r="AK427" s="9"/>
      <c r="AL427" s="9"/>
      <c r="AM427" s="28"/>
      <c r="AN427" s="28"/>
    </row>
    <row r="428" spans="5:40" x14ac:dyDescent="0.3">
      <c r="E428" s="9"/>
      <c r="F428" s="9"/>
      <c r="G428" s="28"/>
      <c r="J428" s="21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9"/>
      <c r="AH428" s="9"/>
      <c r="AI428" s="9"/>
      <c r="AJ428" s="9"/>
      <c r="AK428" s="9"/>
      <c r="AL428" s="9"/>
      <c r="AM428" s="28"/>
      <c r="AN428" s="28"/>
    </row>
    <row r="429" spans="5:40" x14ac:dyDescent="0.3">
      <c r="E429" s="9"/>
      <c r="F429" s="9"/>
      <c r="G429" s="28"/>
      <c r="J429" s="21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9"/>
      <c r="AH429" s="9"/>
      <c r="AI429" s="9"/>
      <c r="AJ429" s="9"/>
      <c r="AK429" s="9"/>
      <c r="AL429" s="9"/>
      <c r="AM429" s="28"/>
      <c r="AN429" s="28"/>
    </row>
    <row r="430" spans="5:40" x14ac:dyDescent="0.3">
      <c r="E430" s="9"/>
      <c r="F430" s="9"/>
      <c r="G430" s="28"/>
      <c r="J430" s="21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9"/>
      <c r="AH430" s="9"/>
      <c r="AI430" s="9"/>
      <c r="AJ430" s="9"/>
      <c r="AK430" s="9"/>
      <c r="AL430" s="9"/>
      <c r="AM430" s="28"/>
      <c r="AN430" s="28"/>
    </row>
    <row r="431" spans="5:40" x14ac:dyDescent="0.3">
      <c r="E431" s="9"/>
      <c r="F431" s="9"/>
      <c r="G431" s="28"/>
      <c r="J431" s="21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9"/>
      <c r="AH431" s="9"/>
      <c r="AI431" s="9"/>
      <c r="AJ431" s="9"/>
      <c r="AK431" s="9"/>
      <c r="AL431" s="9"/>
      <c r="AM431" s="28"/>
      <c r="AN431" s="28"/>
    </row>
    <row r="432" spans="5:40" x14ac:dyDescent="0.3">
      <c r="E432" s="9"/>
      <c r="F432" s="9"/>
      <c r="G432" s="28"/>
      <c r="J432" s="21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9"/>
      <c r="AH432" s="9"/>
      <c r="AI432" s="9"/>
      <c r="AJ432" s="9"/>
      <c r="AK432" s="9"/>
      <c r="AL432" s="9"/>
      <c r="AM432" s="28"/>
      <c r="AN432" s="28"/>
    </row>
    <row r="433" spans="5:40" x14ac:dyDescent="0.3">
      <c r="E433" s="9"/>
      <c r="F433" s="9"/>
      <c r="G433" s="28"/>
      <c r="J433" s="21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9"/>
      <c r="AH433" s="9"/>
      <c r="AI433" s="9"/>
      <c r="AJ433" s="9"/>
      <c r="AK433" s="9"/>
      <c r="AL433" s="9"/>
      <c r="AM433" s="28"/>
      <c r="AN433" s="28"/>
    </row>
    <row r="434" spans="5:40" x14ac:dyDescent="0.3">
      <c r="E434" s="9"/>
      <c r="F434" s="9"/>
      <c r="G434" s="28"/>
      <c r="J434" s="21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9"/>
      <c r="AH434" s="9"/>
      <c r="AI434" s="9"/>
      <c r="AJ434" s="9"/>
      <c r="AK434" s="9"/>
      <c r="AL434" s="9"/>
      <c r="AM434" s="28"/>
      <c r="AN434" s="28"/>
    </row>
    <row r="435" spans="5:40" x14ac:dyDescent="0.3">
      <c r="E435" s="9"/>
      <c r="F435" s="9"/>
      <c r="G435" s="28"/>
      <c r="J435" s="21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9"/>
      <c r="AH435" s="9"/>
      <c r="AI435" s="9"/>
      <c r="AJ435" s="9"/>
      <c r="AK435" s="9"/>
      <c r="AL435" s="9"/>
      <c r="AM435" s="28"/>
      <c r="AN435" s="28"/>
    </row>
    <row r="436" spans="5:40" x14ac:dyDescent="0.3">
      <c r="E436" s="9"/>
      <c r="F436" s="9"/>
      <c r="G436" s="28"/>
      <c r="J436" s="21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9"/>
      <c r="AH436" s="9"/>
      <c r="AI436" s="9"/>
      <c r="AJ436" s="9"/>
      <c r="AK436" s="9"/>
      <c r="AL436" s="9"/>
      <c r="AM436" s="28"/>
      <c r="AN436" s="28"/>
    </row>
    <row r="437" spans="5:40" x14ac:dyDescent="0.3">
      <c r="E437" s="9"/>
      <c r="F437" s="9"/>
      <c r="G437" s="28"/>
      <c r="J437" s="21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9"/>
      <c r="AH437" s="9"/>
      <c r="AI437" s="9"/>
      <c r="AJ437" s="9"/>
      <c r="AK437" s="9"/>
      <c r="AL437" s="9"/>
      <c r="AM437" s="28"/>
      <c r="AN437" s="28"/>
    </row>
    <row r="438" spans="5:40" x14ac:dyDescent="0.3">
      <c r="E438" s="9"/>
      <c r="F438" s="9"/>
      <c r="G438" s="28"/>
      <c r="J438" s="21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9"/>
      <c r="AH438" s="9"/>
      <c r="AI438" s="9"/>
      <c r="AJ438" s="9"/>
      <c r="AK438" s="9"/>
      <c r="AL438" s="9"/>
      <c r="AM438" s="28"/>
      <c r="AN438" s="28"/>
    </row>
    <row r="439" spans="5:40" x14ac:dyDescent="0.3">
      <c r="E439" s="9"/>
      <c r="F439" s="9"/>
      <c r="G439" s="28"/>
      <c r="J439" s="21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9"/>
      <c r="AH439" s="9"/>
      <c r="AI439" s="9"/>
      <c r="AJ439" s="9"/>
      <c r="AK439" s="9"/>
      <c r="AL439" s="9"/>
      <c r="AM439" s="28"/>
      <c r="AN439" s="28"/>
    </row>
    <row r="440" spans="5:40" x14ac:dyDescent="0.3">
      <c r="E440" s="9"/>
      <c r="F440" s="9"/>
      <c r="G440" s="28"/>
      <c r="J440" s="21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9"/>
      <c r="AH440" s="9"/>
      <c r="AI440" s="9"/>
      <c r="AJ440" s="9"/>
      <c r="AK440" s="9"/>
      <c r="AL440" s="9"/>
      <c r="AM440" s="28"/>
      <c r="AN440" s="28"/>
    </row>
    <row r="441" spans="5:40" x14ac:dyDescent="0.3">
      <c r="E441" s="9"/>
      <c r="F441" s="9"/>
      <c r="G441" s="28"/>
      <c r="J441" s="21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9"/>
      <c r="AH441" s="9"/>
      <c r="AI441" s="9"/>
      <c r="AJ441" s="9"/>
      <c r="AK441" s="9"/>
      <c r="AL441" s="9"/>
      <c r="AM441" s="28"/>
      <c r="AN441" s="28"/>
    </row>
    <row r="442" spans="5:40" x14ac:dyDescent="0.3">
      <c r="E442" s="9"/>
      <c r="F442" s="9"/>
      <c r="G442" s="28"/>
      <c r="J442" s="21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9"/>
      <c r="AH442" s="9"/>
      <c r="AI442" s="9"/>
      <c r="AJ442" s="9"/>
      <c r="AK442" s="9"/>
      <c r="AL442" s="9"/>
      <c r="AM442" s="28"/>
      <c r="AN442" s="28"/>
    </row>
    <row r="443" spans="5:40" x14ac:dyDescent="0.3">
      <c r="E443" s="9"/>
      <c r="F443" s="9"/>
      <c r="G443" s="28"/>
      <c r="J443" s="21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9"/>
      <c r="AH443" s="9"/>
      <c r="AI443" s="9"/>
      <c r="AJ443" s="9"/>
      <c r="AK443" s="9"/>
      <c r="AL443" s="9"/>
      <c r="AM443" s="28"/>
      <c r="AN443" s="28"/>
    </row>
    <row r="444" spans="5:40" x14ac:dyDescent="0.3">
      <c r="E444" s="9"/>
      <c r="F444" s="9"/>
      <c r="G444" s="28"/>
      <c r="J444" s="21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9"/>
      <c r="AH444" s="9"/>
      <c r="AI444" s="9"/>
      <c r="AJ444" s="9"/>
      <c r="AK444" s="9"/>
      <c r="AL444" s="9"/>
      <c r="AM444" s="28"/>
      <c r="AN444" s="28"/>
    </row>
    <row r="445" spans="5:40" x14ac:dyDescent="0.3">
      <c r="E445" s="9"/>
      <c r="F445" s="9"/>
      <c r="G445" s="28"/>
      <c r="J445" s="21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9"/>
      <c r="AH445" s="9"/>
      <c r="AI445" s="9"/>
      <c r="AJ445" s="9"/>
      <c r="AK445" s="9"/>
      <c r="AL445" s="9"/>
      <c r="AM445" s="28"/>
      <c r="AN445" s="28"/>
    </row>
    <row r="446" spans="5:40" x14ac:dyDescent="0.3">
      <c r="E446" s="9"/>
      <c r="F446" s="9"/>
      <c r="G446" s="28"/>
      <c r="J446" s="21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9"/>
      <c r="AH446" s="9"/>
      <c r="AI446" s="9"/>
      <c r="AJ446" s="9"/>
      <c r="AK446" s="9"/>
      <c r="AL446" s="9"/>
      <c r="AM446" s="28"/>
      <c r="AN446" s="28"/>
    </row>
    <row r="447" spans="5:40" x14ac:dyDescent="0.3">
      <c r="E447" s="9"/>
      <c r="F447" s="9"/>
      <c r="G447" s="28"/>
      <c r="J447" s="21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9"/>
      <c r="AH447" s="9"/>
      <c r="AI447" s="9"/>
      <c r="AJ447" s="9"/>
      <c r="AK447" s="9"/>
      <c r="AL447" s="9"/>
      <c r="AM447" s="28"/>
      <c r="AN447" s="28"/>
    </row>
    <row r="448" spans="5:40" x14ac:dyDescent="0.3">
      <c r="E448" s="9"/>
      <c r="F448" s="9"/>
      <c r="G448" s="28"/>
      <c r="J448" s="21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9"/>
      <c r="AH448" s="9"/>
      <c r="AI448" s="9"/>
      <c r="AJ448" s="9"/>
      <c r="AK448" s="9"/>
      <c r="AL448" s="9"/>
      <c r="AM448" s="28"/>
      <c r="AN448" s="28"/>
    </row>
    <row r="449" spans="5:40" x14ac:dyDescent="0.3">
      <c r="E449" s="9"/>
      <c r="F449" s="9"/>
      <c r="G449" s="28"/>
      <c r="J449" s="21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9"/>
      <c r="AH449" s="9"/>
      <c r="AI449" s="9"/>
      <c r="AJ449" s="9"/>
      <c r="AK449" s="9"/>
      <c r="AL449" s="9"/>
      <c r="AM449" s="28"/>
      <c r="AN449" s="28"/>
    </row>
    <row r="450" spans="5:40" x14ac:dyDescent="0.3">
      <c r="E450" s="9"/>
      <c r="F450" s="9"/>
      <c r="G450" s="28"/>
      <c r="J450" s="21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9"/>
      <c r="AH450" s="9"/>
      <c r="AI450" s="9"/>
      <c r="AJ450" s="9"/>
      <c r="AK450" s="9"/>
      <c r="AL450" s="9"/>
      <c r="AM450" s="28"/>
      <c r="AN450" s="28"/>
    </row>
    <row r="451" spans="5:40" x14ac:dyDescent="0.3">
      <c r="E451" s="9"/>
      <c r="F451" s="9"/>
      <c r="G451" s="28"/>
      <c r="J451" s="21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9"/>
      <c r="AH451" s="9"/>
      <c r="AI451" s="9"/>
      <c r="AJ451" s="9"/>
      <c r="AK451" s="9"/>
      <c r="AL451" s="9"/>
      <c r="AM451" s="28"/>
      <c r="AN451" s="28"/>
    </row>
    <row r="452" spans="5:40" x14ac:dyDescent="0.3">
      <c r="E452" s="9"/>
      <c r="F452" s="9"/>
      <c r="G452" s="28"/>
      <c r="J452" s="21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9"/>
      <c r="AH452" s="9"/>
      <c r="AI452" s="9"/>
      <c r="AJ452" s="9"/>
      <c r="AK452" s="9"/>
      <c r="AL452" s="9"/>
      <c r="AM452" s="28"/>
      <c r="AN452" s="28"/>
    </row>
    <row r="453" spans="5:40" x14ac:dyDescent="0.3">
      <c r="E453" s="9"/>
      <c r="F453" s="9"/>
      <c r="G453" s="28"/>
      <c r="J453" s="21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9"/>
      <c r="AH453" s="9"/>
      <c r="AI453" s="9"/>
      <c r="AJ453" s="9"/>
      <c r="AK453" s="9"/>
      <c r="AL453" s="9"/>
      <c r="AM453" s="28"/>
      <c r="AN453" s="28"/>
    </row>
    <row r="454" spans="5:40" x14ac:dyDescent="0.3">
      <c r="E454" s="9"/>
      <c r="F454" s="9"/>
      <c r="G454" s="28"/>
      <c r="J454" s="21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9"/>
      <c r="AH454" s="9"/>
      <c r="AI454" s="9"/>
      <c r="AJ454" s="9"/>
      <c r="AK454" s="9"/>
      <c r="AL454" s="9"/>
      <c r="AM454" s="28"/>
      <c r="AN454" s="28"/>
    </row>
    <row r="455" spans="5:40" x14ac:dyDescent="0.3">
      <c r="E455" s="9"/>
      <c r="F455" s="9"/>
      <c r="G455" s="28"/>
      <c r="J455" s="21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9"/>
      <c r="AH455" s="9"/>
      <c r="AI455" s="9"/>
      <c r="AJ455" s="9"/>
      <c r="AK455" s="9"/>
      <c r="AL455" s="9"/>
      <c r="AM455" s="28"/>
      <c r="AN455" s="28"/>
    </row>
    <row r="456" spans="5:40" x14ac:dyDescent="0.3">
      <c r="E456" s="9"/>
      <c r="F456" s="9"/>
      <c r="G456" s="28"/>
      <c r="J456" s="21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9"/>
      <c r="AH456" s="9"/>
      <c r="AI456" s="9"/>
      <c r="AJ456" s="9"/>
      <c r="AK456" s="9"/>
      <c r="AL456" s="9"/>
      <c r="AM456" s="28"/>
      <c r="AN456" s="28"/>
    </row>
    <row r="457" spans="5:40" x14ac:dyDescent="0.3">
      <c r="E457" s="9"/>
      <c r="F457" s="9"/>
      <c r="G457" s="28"/>
      <c r="J457" s="21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9"/>
      <c r="AH457" s="9"/>
      <c r="AI457" s="9"/>
      <c r="AJ457" s="9"/>
      <c r="AK457" s="9"/>
      <c r="AL457" s="9"/>
      <c r="AM457" s="28"/>
      <c r="AN457" s="28"/>
    </row>
    <row r="458" spans="5:40" x14ac:dyDescent="0.3">
      <c r="E458" s="9"/>
      <c r="F458" s="9"/>
      <c r="G458" s="28"/>
      <c r="J458" s="21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9"/>
      <c r="AH458" s="9"/>
      <c r="AI458" s="9"/>
      <c r="AJ458" s="9"/>
      <c r="AK458" s="9"/>
      <c r="AL458" s="9"/>
      <c r="AM458" s="28"/>
      <c r="AN458" s="28"/>
    </row>
    <row r="459" spans="5:40" x14ac:dyDescent="0.3">
      <c r="E459" s="9"/>
      <c r="F459" s="9"/>
      <c r="G459" s="28"/>
      <c r="J459" s="21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9"/>
      <c r="AH459" s="9"/>
      <c r="AI459" s="9"/>
      <c r="AJ459" s="9"/>
      <c r="AK459" s="9"/>
      <c r="AL459" s="9"/>
      <c r="AM459" s="28"/>
      <c r="AN459" s="28"/>
    </row>
    <row r="460" spans="5:40" x14ac:dyDescent="0.3">
      <c r="E460" s="9"/>
      <c r="F460" s="9"/>
      <c r="G460" s="28"/>
      <c r="J460" s="21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9"/>
      <c r="AH460" s="9"/>
      <c r="AI460" s="9"/>
      <c r="AJ460" s="9"/>
      <c r="AK460" s="9"/>
      <c r="AL460" s="9"/>
      <c r="AM460" s="28"/>
      <c r="AN460" s="28"/>
    </row>
    <row r="461" spans="5:40" x14ac:dyDescent="0.3">
      <c r="E461" s="9"/>
      <c r="F461" s="9"/>
      <c r="G461" s="28"/>
      <c r="J461" s="21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9"/>
      <c r="AH461" s="9"/>
      <c r="AI461" s="9"/>
      <c r="AJ461" s="9"/>
      <c r="AK461" s="9"/>
      <c r="AL461" s="9"/>
      <c r="AM461" s="28"/>
      <c r="AN461" s="28"/>
    </row>
    <row r="462" spans="5:40" x14ac:dyDescent="0.3">
      <c r="E462" s="9"/>
      <c r="F462" s="9"/>
      <c r="G462" s="28"/>
      <c r="J462" s="21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9"/>
      <c r="AH462" s="9"/>
      <c r="AI462" s="9"/>
      <c r="AJ462" s="9"/>
      <c r="AK462" s="9"/>
      <c r="AL462" s="9"/>
      <c r="AM462" s="28"/>
      <c r="AN462" s="28"/>
    </row>
    <row r="463" spans="5:40" x14ac:dyDescent="0.3">
      <c r="E463" s="9"/>
      <c r="F463" s="9"/>
      <c r="G463" s="28"/>
      <c r="J463" s="21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9"/>
      <c r="AH463" s="9"/>
      <c r="AI463" s="9"/>
      <c r="AJ463" s="9"/>
      <c r="AK463" s="9"/>
      <c r="AL463" s="9"/>
      <c r="AM463" s="28"/>
      <c r="AN463" s="28"/>
    </row>
    <row r="464" spans="5:40" x14ac:dyDescent="0.3">
      <c r="E464" s="9"/>
      <c r="F464" s="9"/>
      <c r="G464" s="28"/>
      <c r="J464" s="21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9"/>
      <c r="AH464" s="9"/>
      <c r="AI464" s="9"/>
      <c r="AJ464" s="9"/>
      <c r="AK464" s="9"/>
      <c r="AL464" s="9"/>
      <c r="AM464" s="28"/>
      <c r="AN464" s="28"/>
    </row>
    <row r="465" spans="5:40" x14ac:dyDescent="0.3">
      <c r="E465" s="9"/>
      <c r="F465" s="9"/>
      <c r="G465" s="28"/>
      <c r="J465" s="21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9"/>
      <c r="AH465" s="9"/>
      <c r="AI465" s="9"/>
      <c r="AJ465" s="9"/>
      <c r="AK465" s="9"/>
      <c r="AL465" s="9"/>
      <c r="AM465" s="28"/>
      <c r="AN465" s="28"/>
    </row>
    <row r="466" spans="5:40" x14ac:dyDescent="0.3">
      <c r="E466" s="9"/>
      <c r="F466" s="9"/>
      <c r="G466" s="28"/>
      <c r="J466" s="21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9"/>
      <c r="AH466" s="9"/>
      <c r="AI466" s="9"/>
      <c r="AJ466" s="9"/>
      <c r="AK466" s="9"/>
      <c r="AL466" s="9"/>
      <c r="AM466" s="28"/>
      <c r="AN466" s="28"/>
    </row>
    <row r="467" spans="5:40" x14ac:dyDescent="0.3">
      <c r="E467" s="9"/>
      <c r="F467" s="9"/>
      <c r="G467" s="28"/>
      <c r="J467" s="21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9"/>
      <c r="AH467" s="9"/>
      <c r="AI467" s="9"/>
      <c r="AJ467" s="9"/>
      <c r="AK467" s="9"/>
      <c r="AL467" s="9"/>
      <c r="AM467" s="28"/>
      <c r="AN467" s="28"/>
    </row>
    <row r="468" spans="5:40" x14ac:dyDescent="0.3">
      <c r="E468" s="9"/>
      <c r="F468" s="9"/>
      <c r="G468" s="28"/>
      <c r="J468" s="21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9"/>
      <c r="AH468" s="9"/>
      <c r="AI468" s="9"/>
      <c r="AJ468" s="9"/>
      <c r="AK468" s="9"/>
      <c r="AL468" s="9"/>
      <c r="AM468" s="28"/>
      <c r="AN468" s="28"/>
    </row>
    <row r="469" spans="5:40" x14ac:dyDescent="0.3">
      <c r="E469" s="9"/>
      <c r="F469" s="9"/>
      <c r="G469" s="28"/>
      <c r="J469" s="21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9"/>
      <c r="AH469" s="9"/>
      <c r="AI469" s="9"/>
      <c r="AJ469" s="9"/>
      <c r="AK469" s="9"/>
      <c r="AL469" s="9"/>
      <c r="AM469" s="28"/>
      <c r="AN469" s="28"/>
    </row>
    <row r="470" spans="5:40" x14ac:dyDescent="0.3">
      <c r="E470" s="9"/>
      <c r="F470" s="9"/>
      <c r="G470" s="28"/>
      <c r="J470" s="21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9"/>
      <c r="AH470" s="9"/>
      <c r="AI470" s="9"/>
      <c r="AJ470" s="9"/>
      <c r="AK470" s="9"/>
      <c r="AL470" s="9"/>
      <c r="AM470" s="28"/>
      <c r="AN470" s="28"/>
    </row>
    <row r="471" spans="5:40" x14ac:dyDescent="0.3">
      <c r="E471" s="9"/>
      <c r="F471" s="9"/>
      <c r="G471" s="28"/>
      <c r="J471" s="21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9"/>
      <c r="AH471" s="9"/>
      <c r="AI471" s="9"/>
      <c r="AJ471" s="9"/>
      <c r="AK471" s="9"/>
      <c r="AL471" s="9"/>
      <c r="AM471" s="28"/>
      <c r="AN471" s="28"/>
    </row>
    <row r="472" spans="5:40" x14ac:dyDescent="0.3">
      <c r="E472" s="9"/>
      <c r="F472" s="9"/>
      <c r="G472" s="28"/>
      <c r="J472" s="21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9"/>
      <c r="AH472" s="9"/>
      <c r="AI472" s="9"/>
      <c r="AJ472" s="9"/>
      <c r="AK472" s="9"/>
      <c r="AL472" s="9"/>
      <c r="AM472" s="28"/>
      <c r="AN472" s="28"/>
    </row>
    <row r="473" spans="5:40" x14ac:dyDescent="0.3">
      <c r="E473" s="9"/>
      <c r="F473" s="9"/>
      <c r="G473" s="28"/>
      <c r="J473" s="21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9"/>
      <c r="AH473" s="9"/>
      <c r="AI473" s="9"/>
      <c r="AJ473" s="9"/>
      <c r="AK473" s="9"/>
      <c r="AL473" s="9"/>
      <c r="AM473" s="28"/>
      <c r="AN473" s="28"/>
    </row>
    <row r="474" spans="5:40" x14ac:dyDescent="0.3">
      <c r="E474" s="9"/>
      <c r="F474" s="9"/>
      <c r="G474" s="28"/>
      <c r="J474" s="21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9"/>
      <c r="AH474" s="9"/>
      <c r="AI474" s="9"/>
      <c r="AJ474" s="9"/>
      <c r="AK474" s="9"/>
      <c r="AL474" s="9"/>
      <c r="AM474" s="28"/>
      <c r="AN474" s="28"/>
    </row>
    <row r="475" spans="5:40" x14ac:dyDescent="0.3">
      <c r="E475" s="9"/>
      <c r="F475" s="9"/>
      <c r="G475" s="28"/>
      <c r="J475" s="21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9"/>
      <c r="AH475" s="9"/>
      <c r="AI475" s="9"/>
      <c r="AJ475" s="9"/>
      <c r="AK475" s="9"/>
      <c r="AL475" s="9"/>
      <c r="AM475" s="28"/>
      <c r="AN475" s="28"/>
    </row>
    <row r="476" spans="5:40" x14ac:dyDescent="0.3">
      <c r="E476" s="9"/>
      <c r="F476" s="9"/>
      <c r="G476" s="28"/>
      <c r="J476" s="21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9"/>
      <c r="AH476" s="9"/>
      <c r="AI476" s="9"/>
      <c r="AJ476" s="9"/>
      <c r="AK476" s="9"/>
      <c r="AL476" s="9"/>
      <c r="AM476" s="28"/>
      <c r="AN476" s="28"/>
    </row>
    <row r="477" spans="5:40" x14ac:dyDescent="0.3">
      <c r="E477" s="9"/>
      <c r="F477" s="9"/>
      <c r="G477" s="28"/>
      <c r="J477" s="21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9"/>
      <c r="AH477" s="9"/>
      <c r="AI477" s="9"/>
      <c r="AJ477" s="9"/>
      <c r="AK477" s="9"/>
      <c r="AL477" s="9"/>
      <c r="AM477" s="28"/>
      <c r="AN477" s="28"/>
    </row>
    <row r="478" spans="5:40" x14ac:dyDescent="0.3">
      <c r="E478" s="9"/>
      <c r="F478" s="9"/>
      <c r="G478" s="28"/>
      <c r="J478" s="21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9"/>
      <c r="AH478" s="9"/>
      <c r="AI478" s="9"/>
      <c r="AJ478" s="9"/>
      <c r="AK478" s="9"/>
      <c r="AL478" s="9"/>
      <c r="AM478" s="28"/>
      <c r="AN478" s="28"/>
    </row>
    <row r="479" spans="5:40" x14ac:dyDescent="0.3">
      <c r="E479" s="9"/>
      <c r="F479" s="9"/>
      <c r="G479" s="28"/>
      <c r="J479" s="21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9"/>
      <c r="AH479" s="9"/>
      <c r="AI479" s="9"/>
      <c r="AJ479" s="9"/>
      <c r="AK479" s="9"/>
      <c r="AL479" s="9"/>
      <c r="AM479" s="28"/>
      <c r="AN479" s="28"/>
    </row>
    <row r="480" spans="5:40" x14ac:dyDescent="0.3">
      <c r="E480" s="9"/>
      <c r="F480" s="9"/>
      <c r="G480" s="28"/>
      <c r="J480" s="21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9"/>
      <c r="AH480" s="9"/>
      <c r="AI480" s="9"/>
      <c r="AJ480" s="9"/>
      <c r="AK480" s="9"/>
      <c r="AL480" s="9"/>
      <c r="AM480" s="28"/>
      <c r="AN480" s="28"/>
    </row>
    <row r="481" spans="5:40" x14ac:dyDescent="0.3">
      <c r="E481" s="9"/>
      <c r="F481" s="9"/>
      <c r="G481" s="28"/>
      <c r="J481" s="21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9"/>
      <c r="AH481" s="9"/>
      <c r="AI481" s="9"/>
      <c r="AJ481" s="9"/>
      <c r="AK481" s="9"/>
      <c r="AL481" s="9"/>
      <c r="AM481" s="28"/>
      <c r="AN481" s="28"/>
    </row>
    <row r="482" spans="5:40" x14ac:dyDescent="0.3">
      <c r="E482" s="9"/>
      <c r="F482" s="9"/>
      <c r="G482" s="28"/>
      <c r="J482" s="21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9"/>
      <c r="AH482" s="9"/>
      <c r="AI482" s="9"/>
      <c r="AJ482" s="9"/>
      <c r="AK482" s="9"/>
      <c r="AL482" s="9"/>
      <c r="AM482" s="28"/>
      <c r="AN482" s="28"/>
    </row>
    <row r="483" spans="5:40" x14ac:dyDescent="0.3">
      <c r="E483" s="9"/>
      <c r="F483" s="9"/>
      <c r="G483" s="28"/>
      <c r="J483" s="21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9"/>
      <c r="AH483" s="9"/>
      <c r="AI483" s="9"/>
      <c r="AJ483" s="9"/>
      <c r="AK483" s="9"/>
      <c r="AL483" s="9"/>
      <c r="AM483" s="28"/>
      <c r="AN483" s="28"/>
    </row>
    <row r="484" spans="5:40" x14ac:dyDescent="0.3">
      <c r="E484" s="9"/>
      <c r="F484" s="9"/>
      <c r="G484" s="28"/>
      <c r="J484" s="21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9"/>
      <c r="AH484" s="9"/>
      <c r="AI484" s="9"/>
      <c r="AJ484" s="9"/>
      <c r="AK484" s="9"/>
      <c r="AL484" s="9"/>
      <c r="AM484" s="28"/>
      <c r="AN484" s="28"/>
    </row>
    <row r="485" spans="5:40" x14ac:dyDescent="0.3">
      <c r="E485" s="9"/>
      <c r="F485" s="9"/>
      <c r="G485" s="28"/>
      <c r="J485" s="21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9"/>
      <c r="AH485" s="9"/>
      <c r="AI485" s="9"/>
      <c r="AJ485" s="9"/>
      <c r="AK485" s="9"/>
      <c r="AL485" s="9"/>
      <c r="AM485" s="28"/>
      <c r="AN485" s="28"/>
    </row>
    <row r="486" spans="5:40" x14ac:dyDescent="0.3">
      <c r="E486" s="9"/>
      <c r="F486" s="9"/>
      <c r="G486" s="28"/>
      <c r="J486" s="21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9"/>
      <c r="AH486" s="9"/>
      <c r="AI486" s="9"/>
      <c r="AJ486" s="9"/>
      <c r="AK486" s="9"/>
      <c r="AL486" s="9"/>
      <c r="AM486" s="28"/>
      <c r="AN486" s="28"/>
    </row>
    <row r="487" spans="5:40" x14ac:dyDescent="0.3">
      <c r="E487" s="9"/>
      <c r="F487" s="9"/>
      <c r="G487" s="28"/>
      <c r="J487" s="21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9"/>
      <c r="AH487" s="9"/>
      <c r="AI487" s="9"/>
      <c r="AJ487" s="9"/>
      <c r="AK487" s="9"/>
      <c r="AL487" s="9"/>
      <c r="AM487" s="28"/>
      <c r="AN487" s="28"/>
    </row>
    <row r="488" spans="5:40" x14ac:dyDescent="0.3">
      <c r="E488" s="9"/>
      <c r="F488" s="9"/>
      <c r="G488" s="28"/>
      <c r="J488" s="21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9"/>
      <c r="AH488" s="9"/>
      <c r="AI488" s="9"/>
      <c r="AJ488" s="9"/>
      <c r="AK488" s="9"/>
      <c r="AL488" s="9"/>
      <c r="AM488" s="28"/>
      <c r="AN488" s="28"/>
    </row>
    <row r="489" spans="5:40" x14ac:dyDescent="0.3">
      <c r="E489" s="9"/>
      <c r="F489" s="9"/>
      <c r="G489" s="28"/>
      <c r="J489" s="21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9"/>
      <c r="AH489" s="9"/>
      <c r="AI489" s="9"/>
      <c r="AJ489" s="9"/>
      <c r="AK489" s="9"/>
      <c r="AL489" s="9"/>
      <c r="AM489" s="28"/>
      <c r="AN489" s="28"/>
    </row>
    <row r="490" spans="5:40" x14ac:dyDescent="0.3">
      <c r="E490" s="9"/>
      <c r="F490" s="9"/>
      <c r="G490" s="28"/>
      <c r="J490" s="21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9"/>
      <c r="AH490" s="9"/>
      <c r="AI490" s="9"/>
      <c r="AJ490" s="9"/>
      <c r="AK490" s="9"/>
      <c r="AL490" s="9"/>
      <c r="AM490" s="28"/>
      <c r="AN490" s="28"/>
    </row>
    <row r="491" spans="5:40" x14ac:dyDescent="0.3">
      <c r="E491" s="9"/>
      <c r="F491" s="9"/>
      <c r="G491" s="28"/>
      <c r="J491" s="21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9"/>
      <c r="AH491" s="9"/>
      <c r="AI491" s="9"/>
      <c r="AJ491" s="9"/>
      <c r="AK491" s="9"/>
      <c r="AL491" s="9"/>
      <c r="AM491" s="28"/>
      <c r="AN491" s="28"/>
    </row>
    <row r="492" spans="5:40" x14ac:dyDescent="0.3">
      <c r="E492" s="9"/>
      <c r="F492" s="9"/>
      <c r="G492" s="28"/>
      <c r="J492" s="21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9"/>
      <c r="AH492" s="9"/>
      <c r="AI492" s="9"/>
      <c r="AJ492" s="9"/>
      <c r="AK492" s="9"/>
      <c r="AL492" s="9"/>
      <c r="AM492" s="28"/>
      <c r="AN492" s="28"/>
    </row>
    <row r="493" spans="5:40" x14ac:dyDescent="0.3">
      <c r="E493" s="9"/>
      <c r="F493" s="9"/>
      <c r="G493" s="28"/>
      <c r="J493" s="21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9"/>
      <c r="AH493" s="9"/>
      <c r="AI493" s="9"/>
      <c r="AJ493" s="9"/>
      <c r="AK493" s="9"/>
      <c r="AL493" s="9"/>
      <c r="AM493" s="28"/>
      <c r="AN493" s="28"/>
    </row>
    <row r="494" spans="5:40" x14ac:dyDescent="0.3">
      <c r="E494" s="9"/>
      <c r="F494" s="9"/>
      <c r="G494" s="28"/>
      <c r="J494" s="21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9"/>
      <c r="AH494" s="9"/>
      <c r="AI494" s="9"/>
      <c r="AJ494" s="9"/>
      <c r="AK494" s="9"/>
      <c r="AL494" s="9"/>
      <c r="AM494" s="28"/>
      <c r="AN494" s="28"/>
    </row>
    <row r="495" spans="5:40" x14ac:dyDescent="0.3">
      <c r="E495" s="9"/>
      <c r="F495" s="9"/>
      <c r="G495" s="28"/>
      <c r="J495" s="21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9"/>
      <c r="AH495" s="9"/>
      <c r="AI495" s="9"/>
      <c r="AJ495" s="9"/>
      <c r="AK495" s="9"/>
      <c r="AL495" s="9"/>
      <c r="AM495" s="28"/>
      <c r="AN495" s="28"/>
    </row>
    <row r="496" spans="5:40" x14ac:dyDescent="0.3">
      <c r="E496" s="9"/>
      <c r="F496" s="9"/>
      <c r="G496" s="28"/>
      <c r="J496" s="21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9"/>
      <c r="AH496" s="9"/>
      <c r="AI496" s="9"/>
      <c r="AJ496" s="9"/>
      <c r="AK496" s="9"/>
      <c r="AL496" s="9"/>
      <c r="AM496" s="28"/>
      <c r="AN496" s="28"/>
    </row>
    <row r="497" spans="5:40" x14ac:dyDescent="0.3">
      <c r="E497" s="9"/>
      <c r="F497" s="9"/>
      <c r="G497" s="28"/>
      <c r="J497" s="21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9"/>
      <c r="AH497" s="9"/>
      <c r="AI497" s="9"/>
      <c r="AJ497" s="9"/>
      <c r="AK497" s="9"/>
      <c r="AL497" s="9"/>
      <c r="AM497" s="28"/>
      <c r="AN497" s="28"/>
    </row>
    <row r="498" spans="5:40" x14ac:dyDescent="0.3">
      <c r="E498" s="9"/>
      <c r="F498" s="9"/>
      <c r="G498" s="28"/>
      <c r="J498" s="21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9"/>
      <c r="AH498" s="9"/>
      <c r="AI498" s="9"/>
      <c r="AJ498" s="9"/>
      <c r="AK498" s="9"/>
      <c r="AL498" s="9"/>
      <c r="AM498" s="28"/>
      <c r="AN498" s="28"/>
    </row>
    <row r="499" spans="5:40" x14ac:dyDescent="0.3">
      <c r="E499" s="9"/>
      <c r="F499" s="9"/>
      <c r="G499" s="28"/>
      <c r="J499" s="21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9"/>
      <c r="AH499" s="9"/>
      <c r="AI499" s="9"/>
      <c r="AJ499" s="9"/>
      <c r="AK499" s="9"/>
      <c r="AL499" s="9"/>
      <c r="AM499" s="28"/>
      <c r="AN499" s="28"/>
    </row>
    <row r="500" spans="5:40" x14ac:dyDescent="0.3">
      <c r="E500" s="9"/>
      <c r="F500" s="9"/>
      <c r="G500" s="28"/>
      <c r="J500" s="21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9"/>
      <c r="AH500" s="9"/>
      <c r="AI500" s="9"/>
      <c r="AJ500" s="9"/>
      <c r="AK500" s="9"/>
      <c r="AL500" s="9"/>
      <c r="AM500" s="28"/>
      <c r="AN500" s="28"/>
    </row>
    <row r="501" spans="5:40" x14ac:dyDescent="0.3">
      <c r="E501" s="9"/>
      <c r="F501" s="9"/>
      <c r="G501" s="28"/>
      <c r="J501" s="21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9"/>
      <c r="AH501" s="9"/>
      <c r="AI501" s="9"/>
      <c r="AJ501" s="9"/>
      <c r="AK501" s="9"/>
      <c r="AL501" s="9"/>
      <c r="AM501" s="28"/>
      <c r="AN501" s="28"/>
    </row>
    <row r="502" spans="5:40" x14ac:dyDescent="0.3">
      <c r="E502" s="9"/>
      <c r="F502" s="9"/>
      <c r="G502" s="28"/>
      <c r="J502" s="21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9"/>
      <c r="AH502" s="9"/>
      <c r="AI502" s="9"/>
      <c r="AJ502" s="9"/>
      <c r="AK502" s="9"/>
      <c r="AL502" s="9"/>
      <c r="AM502" s="28"/>
      <c r="AN502" s="28"/>
    </row>
    <row r="503" spans="5:40" x14ac:dyDescent="0.3">
      <c r="E503" s="9"/>
      <c r="F503" s="9"/>
      <c r="G503" s="28"/>
      <c r="J503" s="21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9"/>
      <c r="AH503" s="9"/>
      <c r="AI503" s="9"/>
      <c r="AJ503" s="9"/>
      <c r="AK503" s="9"/>
      <c r="AL503" s="9"/>
      <c r="AM503" s="28"/>
      <c r="AN503" s="28"/>
    </row>
    <row r="504" spans="5:40" x14ac:dyDescent="0.3">
      <c r="E504" s="9"/>
      <c r="F504" s="9"/>
      <c r="G504" s="28"/>
      <c r="J504" s="21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9"/>
      <c r="AH504" s="9"/>
      <c r="AI504" s="9"/>
      <c r="AJ504" s="9"/>
      <c r="AK504" s="9"/>
      <c r="AL504" s="9"/>
      <c r="AM504" s="28"/>
      <c r="AN504" s="28"/>
    </row>
    <row r="505" spans="5:40" x14ac:dyDescent="0.3">
      <c r="E505" s="9"/>
      <c r="F505" s="9"/>
      <c r="G505" s="28"/>
      <c r="J505" s="21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9"/>
      <c r="AH505" s="9"/>
      <c r="AI505" s="9"/>
      <c r="AJ505" s="9"/>
      <c r="AK505" s="9"/>
      <c r="AL505" s="9"/>
      <c r="AM505" s="28"/>
      <c r="AN505" s="28"/>
    </row>
    <row r="506" spans="5:40" x14ac:dyDescent="0.3">
      <c r="E506" s="9"/>
      <c r="F506" s="9"/>
      <c r="G506" s="28"/>
      <c r="J506" s="21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9"/>
      <c r="AH506" s="9"/>
      <c r="AI506" s="9"/>
      <c r="AJ506" s="9"/>
      <c r="AK506" s="9"/>
      <c r="AL506" s="9"/>
      <c r="AM506" s="28"/>
      <c r="AN506" s="28"/>
    </row>
    <row r="507" spans="5:40" x14ac:dyDescent="0.3">
      <c r="E507" s="9"/>
      <c r="F507" s="9"/>
      <c r="G507" s="28"/>
      <c r="J507" s="21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9"/>
      <c r="AH507" s="9"/>
      <c r="AI507" s="9"/>
      <c r="AJ507" s="9"/>
      <c r="AK507" s="9"/>
      <c r="AL507" s="9"/>
      <c r="AM507" s="28"/>
      <c r="AN507" s="28"/>
    </row>
    <row r="508" spans="5:40" x14ac:dyDescent="0.3">
      <c r="E508" s="9"/>
      <c r="F508" s="9"/>
      <c r="G508" s="28"/>
      <c r="J508" s="21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9"/>
      <c r="AH508" s="9"/>
      <c r="AI508" s="9"/>
      <c r="AJ508" s="9"/>
      <c r="AK508" s="9"/>
      <c r="AL508" s="9"/>
      <c r="AM508" s="28"/>
      <c r="AN508" s="28"/>
    </row>
    <row r="509" spans="5:40" x14ac:dyDescent="0.3">
      <c r="E509" s="9"/>
      <c r="F509" s="9"/>
      <c r="G509" s="28"/>
      <c r="J509" s="21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9"/>
      <c r="AH509" s="9"/>
      <c r="AI509" s="9"/>
      <c r="AJ509" s="9"/>
      <c r="AK509" s="9"/>
      <c r="AL509" s="9"/>
      <c r="AM509" s="28"/>
      <c r="AN509" s="28"/>
    </row>
    <row r="510" spans="5:40" x14ac:dyDescent="0.3">
      <c r="E510" s="9"/>
      <c r="F510" s="9"/>
      <c r="G510" s="28"/>
      <c r="J510" s="21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9"/>
      <c r="AH510" s="9"/>
      <c r="AI510" s="9"/>
      <c r="AJ510" s="9"/>
      <c r="AK510" s="9"/>
      <c r="AL510" s="9"/>
      <c r="AM510" s="28"/>
      <c r="AN510" s="28"/>
    </row>
    <row r="511" spans="5:40" x14ac:dyDescent="0.3">
      <c r="E511" s="9"/>
      <c r="F511" s="9"/>
      <c r="G511" s="28"/>
      <c r="J511" s="21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9"/>
      <c r="AH511" s="9"/>
      <c r="AI511" s="9"/>
      <c r="AJ511" s="9"/>
      <c r="AK511" s="9"/>
      <c r="AL511" s="9"/>
      <c r="AM511" s="28"/>
      <c r="AN511" s="28"/>
    </row>
    <row r="512" spans="5:40" x14ac:dyDescent="0.3">
      <c r="E512" s="9"/>
      <c r="F512" s="9"/>
      <c r="G512" s="28"/>
      <c r="J512" s="21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9"/>
      <c r="AH512" s="9"/>
      <c r="AI512" s="9"/>
      <c r="AJ512" s="9"/>
      <c r="AK512" s="9"/>
      <c r="AL512" s="9"/>
      <c r="AM512" s="28"/>
      <c r="AN512" s="28"/>
    </row>
    <row r="513" spans="5:40" x14ac:dyDescent="0.3">
      <c r="E513" s="9"/>
      <c r="F513" s="9"/>
      <c r="G513" s="28"/>
      <c r="J513" s="21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9"/>
      <c r="AH513" s="9"/>
      <c r="AI513" s="9"/>
      <c r="AJ513" s="9"/>
      <c r="AK513" s="9"/>
      <c r="AL513" s="9"/>
      <c r="AM513" s="28"/>
      <c r="AN513" s="28"/>
    </row>
    <row r="514" spans="5:40" x14ac:dyDescent="0.3">
      <c r="E514" s="9"/>
      <c r="F514" s="9"/>
      <c r="G514" s="28"/>
      <c r="J514" s="21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9"/>
      <c r="AH514" s="9"/>
      <c r="AI514" s="9"/>
      <c r="AJ514" s="9"/>
      <c r="AK514" s="9"/>
      <c r="AL514" s="9"/>
      <c r="AM514" s="28"/>
      <c r="AN514" s="28"/>
    </row>
    <row r="515" spans="5:40" x14ac:dyDescent="0.3">
      <c r="E515" s="9"/>
      <c r="F515" s="9"/>
      <c r="G515" s="28"/>
      <c r="J515" s="21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9"/>
      <c r="AH515" s="9"/>
      <c r="AI515" s="9"/>
      <c r="AJ515" s="9"/>
      <c r="AK515" s="9"/>
      <c r="AL515" s="9"/>
      <c r="AM515" s="28"/>
      <c r="AN515" s="28"/>
    </row>
    <row r="516" spans="5:40" x14ac:dyDescent="0.3">
      <c r="E516" s="9"/>
      <c r="F516" s="9"/>
      <c r="G516" s="28"/>
      <c r="J516" s="21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9"/>
      <c r="AH516" s="9"/>
      <c r="AI516" s="9"/>
      <c r="AJ516" s="9"/>
      <c r="AK516" s="9"/>
      <c r="AL516" s="9"/>
      <c r="AM516" s="28"/>
      <c r="AN516" s="28"/>
    </row>
    <row r="517" spans="5:40" x14ac:dyDescent="0.3">
      <c r="E517" s="9"/>
      <c r="F517" s="9"/>
      <c r="G517" s="28"/>
      <c r="J517" s="21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9"/>
      <c r="AH517" s="9"/>
      <c r="AI517" s="9"/>
      <c r="AJ517" s="9"/>
      <c r="AK517" s="9"/>
      <c r="AL517" s="9"/>
      <c r="AM517" s="28"/>
      <c r="AN517" s="28"/>
    </row>
    <row r="518" spans="5:40" x14ac:dyDescent="0.3">
      <c r="E518" s="9"/>
      <c r="F518" s="9"/>
      <c r="G518" s="28"/>
      <c r="J518" s="21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9"/>
      <c r="AH518" s="9"/>
      <c r="AI518" s="9"/>
      <c r="AJ518" s="9"/>
      <c r="AK518" s="9"/>
      <c r="AL518" s="9"/>
      <c r="AM518" s="28"/>
      <c r="AN518" s="28"/>
    </row>
    <row r="519" spans="5:40" x14ac:dyDescent="0.3">
      <c r="E519" s="9"/>
      <c r="F519" s="9"/>
      <c r="G519" s="28"/>
      <c r="J519" s="21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9"/>
      <c r="AH519" s="9"/>
      <c r="AI519" s="9"/>
      <c r="AJ519" s="9"/>
      <c r="AK519" s="9"/>
      <c r="AL519" s="9"/>
      <c r="AM519" s="28"/>
      <c r="AN519" s="28"/>
    </row>
    <row r="520" spans="5:40" x14ac:dyDescent="0.3">
      <c r="E520" s="9"/>
      <c r="F520" s="9"/>
      <c r="G520" s="28"/>
      <c r="J520" s="21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9"/>
      <c r="AH520" s="9"/>
      <c r="AI520" s="9"/>
      <c r="AJ520" s="9"/>
      <c r="AK520" s="9"/>
      <c r="AL520" s="9"/>
      <c r="AM520" s="28"/>
      <c r="AN520" s="28"/>
    </row>
    <row r="521" spans="5:40" x14ac:dyDescent="0.3">
      <c r="E521" s="9"/>
      <c r="F521" s="9"/>
      <c r="G521" s="28"/>
      <c r="J521" s="21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9"/>
      <c r="AH521" s="9"/>
      <c r="AI521" s="9"/>
      <c r="AJ521" s="9"/>
      <c r="AK521" s="9"/>
      <c r="AL521" s="9"/>
      <c r="AM521" s="28"/>
      <c r="AN521" s="28"/>
    </row>
    <row r="522" spans="5:40" x14ac:dyDescent="0.3">
      <c r="E522" s="9"/>
      <c r="F522" s="9"/>
      <c r="G522" s="28"/>
      <c r="J522" s="21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9"/>
      <c r="AH522" s="9"/>
      <c r="AI522" s="9"/>
      <c r="AJ522" s="9"/>
      <c r="AK522" s="9"/>
      <c r="AL522" s="9"/>
      <c r="AM522" s="28"/>
      <c r="AN522" s="28"/>
    </row>
    <row r="523" spans="5:40" x14ac:dyDescent="0.3">
      <c r="E523" s="9"/>
      <c r="F523" s="9"/>
      <c r="G523" s="28"/>
      <c r="J523" s="21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9"/>
      <c r="AH523" s="9"/>
      <c r="AI523" s="9"/>
      <c r="AJ523" s="9"/>
      <c r="AK523" s="9"/>
      <c r="AL523" s="9"/>
      <c r="AM523" s="28"/>
      <c r="AN523" s="28"/>
    </row>
    <row r="524" spans="5:40" x14ac:dyDescent="0.3">
      <c r="E524" s="9"/>
      <c r="F524" s="9"/>
      <c r="G524" s="28"/>
      <c r="J524" s="21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9"/>
      <c r="AH524" s="9"/>
      <c r="AI524" s="9"/>
      <c r="AJ524" s="9"/>
      <c r="AK524" s="9"/>
      <c r="AL524" s="9"/>
      <c r="AM524" s="28"/>
      <c r="AN524" s="28"/>
    </row>
    <row r="525" spans="5:40" x14ac:dyDescent="0.3">
      <c r="E525" s="9"/>
      <c r="F525" s="9"/>
      <c r="G525" s="28"/>
      <c r="J525" s="21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9"/>
      <c r="AH525" s="9"/>
      <c r="AI525" s="9"/>
      <c r="AJ525" s="9"/>
      <c r="AK525" s="9"/>
      <c r="AL525" s="9"/>
      <c r="AM525" s="28"/>
      <c r="AN525" s="28"/>
    </row>
    <row r="526" spans="5:40" x14ac:dyDescent="0.3">
      <c r="E526" s="9"/>
      <c r="F526" s="9"/>
      <c r="G526" s="28"/>
      <c r="J526" s="21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9"/>
      <c r="AH526" s="9"/>
      <c r="AI526" s="9"/>
      <c r="AJ526" s="9"/>
      <c r="AK526" s="9"/>
      <c r="AL526" s="9"/>
      <c r="AM526" s="28"/>
      <c r="AN526" s="28"/>
    </row>
    <row r="527" spans="5:40" x14ac:dyDescent="0.3">
      <c r="E527" s="9"/>
      <c r="F527" s="9"/>
      <c r="G527" s="28"/>
      <c r="J527" s="21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9"/>
      <c r="AH527" s="9"/>
      <c r="AI527" s="9"/>
      <c r="AJ527" s="9"/>
      <c r="AK527" s="9"/>
      <c r="AL527" s="9"/>
      <c r="AM527" s="28"/>
      <c r="AN527" s="28"/>
    </row>
    <row r="528" spans="5:40" x14ac:dyDescent="0.3">
      <c r="E528" s="9"/>
      <c r="F528" s="9"/>
      <c r="G528" s="28"/>
      <c r="J528" s="21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9"/>
      <c r="AH528" s="9"/>
      <c r="AI528" s="9"/>
      <c r="AJ528" s="9"/>
      <c r="AK528" s="9"/>
      <c r="AL528" s="9"/>
      <c r="AM528" s="28"/>
      <c r="AN528" s="28"/>
    </row>
    <row r="529" spans="5:40" x14ac:dyDescent="0.3">
      <c r="E529" s="9"/>
      <c r="F529" s="9"/>
      <c r="G529" s="28"/>
      <c r="J529" s="21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9"/>
      <c r="AH529" s="9"/>
      <c r="AI529" s="9"/>
      <c r="AJ529" s="9"/>
      <c r="AK529" s="9"/>
      <c r="AL529" s="9"/>
      <c r="AM529" s="28"/>
      <c r="AN529" s="28"/>
    </row>
    <row r="530" spans="5:40" x14ac:dyDescent="0.3">
      <c r="E530" s="9"/>
      <c r="F530" s="9"/>
      <c r="G530" s="28"/>
      <c r="J530" s="21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9"/>
      <c r="AH530" s="9"/>
      <c r="AI530" s="9"/>
      <c r="AJ530" s="9"/>
      <c r="AK530" s="9"/>
      <c r="AL530" s="9"/>
      <c r="AM530" s="28"/>
      <c r="AN530" s="28"/>
    </row>
    <row r="531" spans="5:40" x14ac:dyDescent="0.3">
      <c r="E531" s="9"/>
      <c r="F531" s="9"/>
      <c r="G531" s="28"/>
      <c r="J531" s="21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9"/>
      <c r="AH531" s="9"/>
      <c r="AI531" s="9"/>
      <c r="AJ531" s="9"/>
      <c r="AK531" s="9"/>
      <c r="AL531" s="9"/>
      <c r="AM531" s="28"/>
      <c r="AN531" s="28"/>
    </row>
    <row r="532" spans="5:40" x14ac:dyDescent="0.3">
      <c r="E532" s="9"/>
      <c r="F532" s="9"/>
      <c r="G532" s="28"/>
      <c r="J532" s="21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9"/>
      <c r="AH532" s="9"/>
      <c r="AI532" s="9"/>
      <c r="AJ532" s="9"/>
      <c r="AK532" s="9"/>
      <c r="AL532" s="9"/>
      <c r="AM532" s="28"/>
      <c r="AN532" s="28"/>
    </row>
    <row r="533" spans="5:40" x14ac:dyDescent="0.3">
      <c r="E533" s="9"/>
      <c r="F533" s="9"/>
      <c r="G533" s="28"/>
      <c r="J533" s="21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9"/>
      <c r="AH533" s="9"/>
      <c r="AI533" s="9"/>
      <c r="AJ533" s="9"/>
      <c r="AK533" s="9"/>
      <c r="AL533" s="9"/>
      <c r="AM533" s="28"/>
      <c r="AN533" s="28"/>
    </row>
    <row r="534" spans="5:40" x14ac:dyDescent="0.3">
      <c r="E534" s="9"/>
      <c r="F534" s="9"/>
      <c r="G534" s="28"/>
      <c r="J534" s="21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9"/>
      <c r="AH534" s="9"/>
      <c r="AI534" s="9"/>
      <c r="AJ534" s="9"/>
      <c r="AK534" s="9"/>
      <c r="AL534" s="9"/>
      <c r="AM534" s="28"/>
      <c r="AN534" s="28"/>
    </row>
    <row r="535" spans="5:40" x14ac:dyDescent="0.3">
      <c r="E535" s="9"/>
      <c r="F535" s="9"/>
      <c r="G535" s="28"/>
      <c r="J535" s="21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9"/>
      <c r="AH535" s="9"/>
      <c r="AI535" s="9"/>
      <c r="AJ535" s="9"/>
      <c r="AK535" s="9"/>
      <c r="AL535" s="9"/>
      <c r="AM535" s="28"/>
      <c r="AN535" s="28"/>
    </row>
    <row r="536" spans="5:40" x14ac:dyDescent="0.3">
      <c r="E536" s="9"/>
      <c r="F536" s="9"/>
      <c r="G536" s="28"/>
      <c r="J536" s="21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9"/>
      <c r="AH536" s="9"/>
      <c r="AI536" s="9"/>
      <c r="AJ536" s="9"/>
      <c r="AK536" s="9"/>
      <c r="AL536" s="9"/>
      <c r="AM536" s="28"/>
      <c r="AN536" s="28"/>
    </row>
    <row r="537" spans="5:40" x14ac:dyDescent="0.3">
      <c r="E537" s="9"/>
      <c r="F537" s="9"/>
      <c r="G537" s="28"/>
      <c r="J537" s="21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9"/>
      <c r="AH537" s="9"/>
      <c r="AI537" s="9"/>
      <c r="AJ537" s="9"/>
      <c r="AK537" s="9"/>
      <c r="AL537" s="9"/>
      <c r="AM537" s="28"/>
      <c r="AN537" s="28"/>
    </row>
    <row r="538" spans="5:40" x14ac:dyDescent="0.3">
      <c r="E538" s="9"/>
      <c r="F538" s="9"/>
      <c r="G538" s="28"/>
      <c r="J538" s="21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9"/>
      <c r="AH538" s="9"/>
      <c r="AI538" s="9"/>
      <c r="AJ538" s="9"/>
      <c r="AK538" s="9"/>
      <c r="AL538" s="9"/>
      <c r="AM538" s="28"/>
      <c r="AN538" s="28"/>
    </row>
    <row r="539" spans="5:40" x14ac:dyDescent="0.3">
      <c r="E539" s="9"/>
      <c r="F539" s="9"/>
      <c r="G539" s="28"/>
      <c r="J539" s="21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9"/>
      <c r="AH539" s="9"/>
      <c r="AI539" s="9"/>
      <c r="AJ539" s="9"/>
      <c r="AK539" s="9"/>
      <c r="AL539" s="9"/>
      <c r="AM539" s="28"/>
      <c r="AN539" s="28"/>
    </row>
    <row r="540" spans="5:40" x14ac:dyDescent="0.3">
      <c r="E540" s="9"/>
      <c r="F540" s="9"/>
      <c r="G540" s="28"/>
      <c r="J540" s="21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9"/>
      <c r="AH540" s="9"/>
      <c r="AI540" s="9"/>
      <c r="AJ540" s="9"/>
      <c r="AK540" s="9"/>
      <c r="AL540" s="9"/>
      <c r="AM540" s="28"/>
      <c r="AN540" s="28"/>
    </row>
    <row r="541" spans="5:40" x14ac:dyDescent="0.3">
      <c r="E541" s="9"/>
      <c r="F541" s="9"/>
      <c r="G541" s="28"/>
      <c r="J541" s="21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9"/>
      <c r="AH541" s="9"/>
      <c r="AI541" s="9"/>
      <c r="AJ541" s="9"/>
      <c r="AK541" s="9"/>
      <c r="AL541" s="9"/>
      <c r="AM541" s="28"/>
      <c r="AN541" s="28"/>
    </row>
    <row r="542" spans="5:40" x14ac:dyDescent="0.3">
      <c r="E542" s="9"/>
      <c r="F542" s="9"/>
      <c r="G542" s="28"/>
      <c r="J542" s="21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9"/>
      <c r="AH542" s="9"/>
      <c r="AI542" s="9"/>
      <c r="AJ542" s="9"/>
      <c r="AK542" s="9"/>
      <c r="AL542" s="9"/>
      <c r="AM542" s="28"/>
      <c r="AN542" s="28"/>
    </row>
    <row r="543" spans="5:40" x14ac:dyDescent="0.3">
      <c r="E543" s="9"/>
      <c r="F543" s="9"/>
      <c r="G543" s="28"/>
      <c r="J543" s="21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9"/>
      <c r="AH543" s="9"/>
      <c r="AI543" s="9"/>
      <c r="AJ543" s="9"/>
      <c r="AK543" s="9"/>
      <c r="AL543" s="9"/>
      <c r="AM543" s="28"/>
      <c r="AN543" s="28"/>
    </row>
    <row r="544" spans="5:40" x14ac:dyDescent="0.3">
      <c r="E544" s="9"/>
      <c r="F544" s="9"/>
      <c r="G544" s="28"/>
      <c r="J544" s="21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9"/>
      <c r="AH544" s="9"/>
      <c r="AI544" s="9"/>
      <c r="AJ544" s="9"/>
      <c r="AK544" s="9"/>
      <c r="AL544" s="9"/>
      <c r="AM544" s="28"/>
      <c r="AN544" s="28"/>
    </row>
    <row r="545" spans="5:40" x14ac:dyDescent="0.3">
      <c r="E545" s="9"/>
      <c r="F545" s="9"/>
      <c r="G545" s="28"/>
      <c r="J545" s="21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9"/>
      <c r="AH545" s="9"/>
      <c r="AI545" s="9"/>
      <c r="AJ545" s="9"/>
      <c r="AK545" s="9"/>
      <c r="AL545" s="9"/>
      <c r="AM545" s="28"/>
      <c r="AN545" s="28"/>
    </row>
    <row r="546" spans="5:40" x14ac:dyDescent="0.3">
      <c r="E546" s="9"/>
      <c r="F546" s="9"/>
      <c r="G546" s="28"/>
      <c r="J546" s="21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9"/>
      <c r="AH546" s="9"/>
      <c r="AI546" s="9"/>
      <c r="AJ546" s="9"/>
      <c r="AK546" s="9"/>
      <c r="AL546" s="9"/>
      <c r="AM546" s="28"/>
      <c r="AN546" s="28"/>
    </row>
    <row r="547" spans="5:40" x14ac:dyDescent="0.3">
      <c r="E547" s="9"/>
      <c r="F547" s="9"/>
      <c r="G547" s="28"/>
      <c r="J547" s="21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9"/>
      <c r="AH547" s="9"/>
      <c r="AI547" s="9"/>
      <c r="AJ547" s="9"/>
      <c r="AK547" s="9"/>
      <c r="AL547" s="9"/>
      <c r="AM547" s="28"/>
      <c r="AN547" s="28"/>
    </row>
    <row r="548" spans="5:40" x14ac:dyDescent="0.3">
      <c r="E548" s="9"/>
      <c r="F548" s="9"/>
      <c r="G548" s="28"/>
      <c r="J548" s="21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9"/>
      <c r="AH548" s="9"/>
      <c r="AI548" s="9"/>
      <c r="AJ548" s="9"/>
      <c r="AK548" s="9"/>
      <c r="AL548" s="9"/>
      <c r="AM548" s="28"/>
      <c r="AN548" s="28"/>
    </row>
    <row r="549" spans="5:40" x14ac:dyDescent="0.3">
      <c r="E549" s="9"/>
      <c r="F549" s="9"/>
      <c r="G549" s="28"/>
      <c r="J549" s="21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9"/>
      <c r="AH549" s="9"/>
      <c r="AI549" s="9"/>
      <c r="AJ549" s="9"/>
      <c r="AK549" s="9"/>
      <c r="AL549" s="9"/>
      <c r="AM549" s="28"/>
      <c r="AN549" s="28"/>
    </row>
    <row r="550" spans="5:40" x14ac:dyDescent="0.3">
      <c r="E550" s="9"/>
      <c r="F550" s="9"/>
      <c r="G550" s="28"/>
      <c r="J550" s="21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9"/>
      <c r="AH550" s="9"/>
      <c r="AI550" s="9"/>
      <c r="AJ550" s="9"/>
      <c r="AK550" s="9"/>
      <c r="AL550" s="9"/>
      <c r="AM550" s="28"/>
      <c r="AN550" s="28"/>
    </row>
    <row r="551" spans="5:40" x14ac:dyDescent="0.3">
      <c r="E551" s="9"/>
      <c r="F551" s="9"/>
      <c r="G551" s="28"/>
      <c r="J551" s="21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9"/>
      <c r="AH551" s="9"/>
      <c r="AI551" s="9"/>
      <c r="AJ551" s="9"/>
      <c r="AK551" s="9"/>
      <c r="AL551" s="9"/>
      <c r="AM551" s="28"/>
      <c r="AN551" s="28"/>
    </row>
    <row r="552" spans="5:40" x14ac:dyDescent="0.3">
      <c r="E552" s="9"/>
      <c r="F552" s="9"/>
      <c r="G552" s="28"/>
      <c r="J552" s="21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9"/>
      <c r="AH552" s="9"/>
      <c r="AI552" s="9"/>
      <c r="AJ552" s="9"/>
      <c r="AK552" s="9"/>
      <c r="AL552" s="9"/>
      <c r="AM552" s="28"/>
      <c r="AN552" s="28"/>
    </row>
    <row r="553" spans="5:40" x14ac:dyDescent="0.3">
      <c r="E553" s="9"/>
      <c r="F553" s="9"/>
      <c r="G553" s="28"/>
      <c r="J553" s="21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9"/>
      <c r="AH553" s="9"/>
      <c r="AI553" s="9"/>
      <c r="AJ553" s="9"/>
      <c r="AK553" s="9"/>
      <c r="AL553" s="9"/>
      <c r="AM553" s="28"/>
      <c r="AN553" s="28"/>
    </row>
    <row r="554" spans="5:40" x14ac:dyDescent="0.3">
      <c r="E554" s="9"/>
      <c r="F554" s="9"/>
      <c r="G554" s="28"/>
      <c r="J554" s="21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9"/>
      <c r="AH554" s="9"/>
      <c r="AI554" s="9"/>
      <c r="AJ554" s="9"/>
      <c r="AK554" s="9"/>
      <c r="AL554" s="9"/>
      <c r="AM554" s="28"/>
      <c r="AN554" s="28"/>
    </row>
    <row r="555" spans="5:40" x14ac:dyDescent="0.3">
      <c r="E555" s="9"/>
      <c r="F555" s="9"/>
      <c r="G555" s="28"/>
      <c r="J555" s="21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9"/>
      <c r="AH555" s="9"/>
      <c r="AI555" s="9"/>
      <c r="AJ555" s="9"/>
      <c r="AK555" s="9"/>
      <c r="AL555" s="9"/>
      <c r="AM555" s="28"/>
      <c r="AN555" s="28"/>
    </row>
    <row r="556" spans="5:40" x14ac:dyDescent="0.3">
      <c r="E556" s="9"/>
      <c r="F556" s="9"/>
      <c r="G556" s="28"/>
      <c r="J556" s="21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9"/>
      <c r="AH556" s="9"/>
      <c r="AI556" s="9"/>
      <c r="AJ556" s="9"/>
      <c r="AK556" s="9"/>
      <c r="AL556" s="9"/>
      <c r="AM556" s="28"/>
      <c r="AN556" s="28"/>
    </row>
    <row r="557" spans="5:40" x14ac:dyDescent="0.3">
      <c r="E557" s="9"/>
      <c r="F557" s="9"/>
      <c r="G557" s="28"/>
      <c r="J557" s="21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9"/>
      <c r="AH557" s="9"/>
      <c r="AI557" s="9"/>
      <c r="AJ557" s="9"/>
      <c r="AK557" s="9"/>
      <c r="AL557" s="9"/>
      <c r="AM557" s="28"/>
      <c r="AN557" s="28"/>
    </row>
    <row r="558" spans="5:40" x14ac:dyDescent="0.3">
      <c r="E558" s="9"/>
      <c r="F558" s="9"/>
      <c r="G558" s="28"/>
      <c r="J558" s="21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9"/>
      <c r="AH558" s="9"/>
      <c r="AI558" s="9"/>
      <c r="AJ558" s="9"/>
      <c r="AK558" s="9"/>
      <c r="AL558" s="9"/>
      <c r="AM558" s="28"/>
      <c r="AN558" s="28"/>
    </row>
    <row r="559" spans="5:40" x14ac:dyDescent="0.3">
      <c r="E559" s="9"/>
      <c r="F559" s="9"/>
      <c r="G559" s="28"/>
      <c r="J559" s="21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9"/>
      <c r="AH559" s="9"/>
      <c r="AI559" s="9"/>
      <c r="AJ559" s="9"/>
      <c r="AK559" s="9"/>
      <c r="AL559" s="9"/>
      <c r="AM559" s="28"/>
      <c r="AN559" s="28"/>
    </row>
    <row r="560" spans="5:40" x14ac:dyDescent="0.3">
      <c r="E560" s="9"/>
      <c r="F560" s="9"/>
      <c r="G560" s="28"/>
      <c r="J560" s="21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9"/>
      <c r="AH560" s="9"/>
      <c r="AI560" s="9"/>
      <c r="AJ560" s="9"/>
      <c r="AK560" s="9"/>
      <c r="AL560" s="9"/>
      <c r="AM560" s="28"/>
      <c r="AN560" s="28"/>
    </row>
    <row r="561" spans="5:40" x14ac:dyDescent="0.3">
      <c r="E561" s="9"/>
      <c r="F561" s="9"/>
      <c r="G561" s="28"/>
      <c r="J561" s="21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9"/>
      <c r="AH561" s="9"/>
      <c r="AI561" s="9"/>
      <c r="AJ561" s="9"/>
      <c r="AK561" s="9"/>
      <c r="AL561" s="9"/>
      <c r="AM561" s="28"/>
      <c r="AN561" s="28"/>
    </row>
    <row r="562" spans="5:40" x14ac:dyDescent="0.3">
      <c r="E562" s="9"/>
      <c r="F562" s="9"/>
      <c r="G562" s="28"/>
      <c r="J562" s="21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9"/>
      <c r="AH562" s="9"/>
      <c r="AI562" s="9"/>
      <c r="AJ562" s="9"/>
      <c r="AK562" s="9"/>
      <c r="AL562" s="9"/>
      <c r="AM562" s="28"/>
      <c r="AN562" s="28"/>
    </row>
    <row r="563" spans="5:40" x14ac:dyDescent="0.3">
      <c r="E563" s="9"/>
      <c r="F563" s="9"/>
      <c r="G563" s="28"/>
      <c r="J563" s="21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9"/>
      <c r="AH563" s="9"/>
      <c r="AI563" s="9"/>
      <c r="AJ563" s="9"/>
      <c r="AK563" s="9"/>
      <c r="AL563" s="9"/>
      <c r="AM563" s="28"/>
      <c r="AN563" s="28"/>
    </row>
    <row r="564" spans="5:40" x14ac:dyDescent="0.3">
      <c r="E564" s="9"/>
      <c r="F564" s="9"/>
      <c r="G564" s="28"/>
      <c r="J564" s="21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9"/>
      <c r="AH564" s="9"/>
      <c r="AI564" s="9"/>
      <c r="AJ564" s="9"/>
      <c r="AK564" s="9"/>
      <c r="AL564" s="9"/>
      <c r="AM564" s="28"/>
      <c r="AN564" s="28"/>
    </row>
    <row r="565" spans="5:40" x14ac:dyDescent="0.3">
      <c r="E565" s="9"/>
      <c r="F565" s="9"/>
      <c r="G565" s="28"/>
      <c r="J565" s="21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9"/>
      <c r="AH565" s="9"/>
      <c r="AI565" s="9"/>
      <c r="AJ565" s="9"/>
      <c r="AK565" s="9"/>
      <c r="AL565" s="9"/>
      <c r="AM565" s="28"/>
      <c r="AN565" s="28"/>
    </row>
    <row r="566" spans="5:40" x14ac:dyDescent="0.3">
      <c r="E566" s="9"/>
      <c r="F566" s="9"/>
      <c r="G566" s="28"/>
      <c r="J566" s="21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9"/>
      <c r="AH566" s="9"/>
      <c r="AI566" s="9"/>
      <c r="AJ566" s="9"/>
      <c r="AK566" s="9"/>
      <c r="AL566" s="9"/>
      <c r="AM566" s="28"/>
      <c r="AN566" s="28"/>
    </row>
    <row r="567" spans="5:40" x14ac:dyDescent="0.3">
      <c r="E567" s="9"/>
      <c r="F567" s="9"/>
      <c r="G567" s="28"/>
      <c r="J567" s="21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9"/>
      <c r="AH567" s="9"/>
      <c r="AI567" s="9"/>
      <c r="AJ567" s="9"/>
      <c r="AK567" s="9"/>
      <c r="AL567" s="9"/>
      <c r="AM567" s="28"/>
      <c r="AN567" s="28"/>
    </row>
    <row r="568" spans="5:40" x14ac:dyDescent="0.3">
      <c r="E568" s="9"/>
      <c r="F568" s="9"/>
      <c r="G568" s="28"/>
      <c r="J568" s="21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9"/>
      <c r="AH568" s="9"/>
      <c r="AI568" s="9"/>
      <c r="AJ568" s="9"/>
      <c r="AK568" s="9"/>
      <c r="AL568" s="9"/>
      <c r="AM568" s="28"/>
      <c r="AN568" s="28"/>
    </row>
    <row r="569" spans="5:40" x14ac:dyDescent="0.3">
      <c r="E569" s="9"/>
      <c r="F569" s="9"/>
      <c r="G569" s="28"/>
      <c r="J569" s="21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9"/>
      <c r="AH569" s="9"/>
      <c r="AI569" s="9"/>
      <c r="AJ569" s="9"/>
      <c r="AK569" s="9"/>
      <c r="AL569" s="9"/>
      <c r="AM569" s="28"/>
      <c r="AN569" s="28"/>
    </row>
    <row r="570" spans="5:40" x14ac:dyDescent="0.3">
      <c r="E570" s="9"/>
      <c r="F570" s="9"/>
      <c r="G570" s="28"/>
      <c r="J570" s="21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9"/>
      <c r="AH570" s="9"/>
      <c r="AI570" s="9"/>
      <c r="AJ570" s="9"/>
      <c r="AK570" s="9"/>
      <c r="AL570" s="9"/>
      <c r="AM570" s="28"/>
      <c r="AN570" s="28"/>
    </row>
    <row r="571" spans="5:40" x14ac:dyDescent="0.3">
      <c r="E571" s="9"/>
      <c r="F571" s="9"/>
      <c r="G571" s="28"/>
      <c r="J571" s="21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9"/>
      <c r="AH571" s="9"/>
      <c r="AI571" s="9"/>
      <c r="AJ571" s="9"/>
      <c r="AK571" s="9"/>
      <c r="AL571" s="9"/>
      <c r="AM571" s="28"/>
      <c r="AN571" s="28"/>
    </row>
    <row r="572" spans="5:40" x14ac:dyDescent="0.3">
      <c r="E572" s="9"/>
      <c r="F572" s="9"/>
      <c r="G572" s="28"/>
      <c r="J572" s="21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9"/>
      <c r="AH572" s="9"/>
      <c r="AI572" s="9"/>
      <c r="AJ572" s="9"/>
      <c r="AK572" s="9"/>
      <c r="AL572" s="9"/>
      <c r="AM572" s="28"/>
      <c r="AN572" s="28"/>
    </row>
    <row r="573" spans="5:40" x14ac:dyDescent="0.3">
      <c r="E573" s="9"/>
      <c r="F573" s="9"/>
      <c r="G573" s="28"/>
      <c r="J573" s="21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9"/>
      <c r="AH573" s="9"/>
      <c r="AI573" s="9"/>
      <c r="AJ573" s="9"/>
      <c r="AK573" s="9"/>
      <c r="AL573" s="9"/>
      <c r="AM573" s="28"/>
      <c r="AN573" s="28"/>
    </row>
    <row r="574" spans="5:40" x14ac:dyDescent="0.3">
      <c r="E574" s="9"/>
      <c r="F574" s="9"/>
      <c r="G574" s="28"/>
      <c r="J574" s="21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9"/>
      <c r="AH574" s="9"/>
      <c r="AI574" s="9"/>
      <c r="AJ574" s="9"/>
      <c r="AK574" s="9"/>
      <c r="AL574" s="9"/>
      <c r="AM574" s="28"/>
      <c r="AN574" s="28"/>
    </row>
    <row r="575" spans="5:40" x14ac:dyDescent="0.3">
      <c r="E575" s="9"/>
      <c r="F575" s="9"/>
      <c r="G575" s="28"/>
      <c r="J575" s="21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9"/>
      <c r="AH575" s="9"/>
      <c r="AI575" s="9"/>
      <c r="AJ575" s="9"/>
      <c r="AK575" s="9"/>
      <c r="AL575" s="9"/>
      <c r="AM575" s="28"/>
      <c r="AN575" s="28"/>
    </row>
    <row r="576" spans="5:40" x14ac:dyDescent="0.3">
      <c r="E576" s="9"/>
      <c r="F576" s="9"/>
      <c r="G576" s="28"/>
      <c r="J576" s="21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9"/>
      <c r="AH576" s="9"/>
      <c r="AI576" s="9"/>
      <c r="AJ576" s="9"/>
      <c r="AK576" s="9"/>
      <c r="AL576" s="9"/>
      <c r="AM576" s="28"/>
      <c r="AN576" s="28"/>
    </row>
    <row r="577" spans="5:40" x14ac:dyDescent="0.3">
      <c r="E577" s="9"/>
      <c r="F577" s="9"/>
      <c r="G577" s="28"/>
      <c r="J577" s="21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9"/>
      <c r="AH577" s="9"/>
      <c r="AI577" s="9"/>
      <c r="AJ577" s="9"/>
      <c r="AK577" s="9"/>
      <c r="AL577" s="9"/>
      <c r="AM577" s="28"/>
      <c r="AN577" s="28"/>
    </row>
    <row r="578" spans="5:40" x14ac:dyDescent="0.3">
      <c r="E578" s="9"/>
      <c r="F578" s="9"/>
      <c r="G578" s="28"/>
      <c r="J578" s="21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9"/>
      <c r="AH578" s="9"/>
      <c r="AI578" s="9"/>
      <c r="AJ578" s="9"/>
      <c r="AK578" s="9"/>
      <c r="AL578" s="9"/>
      <c r="AM578" s="28"/>
      <c r="AN578" s="28"/>
    </row>
    <row r="579" spans="5:40" x14ac:dyDescent="0.3">
      <c r="E579" s="9"/>
      <c r="F579" s="9"/>
      <c r="G579" s="28"/>
      <c r="J579" s="21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9"/>
      <c r="AH579" s="9"/>
      <c r="AI579" s="9"/>
      <c r="AJ579" s="9"/>
      <c r="AK579" s="9"/>
      <c r="AL579" s="9"/>
      <c r="AM579" s="28"/>
      <c r="AN579" s="28"/>
    </row>
    <row r="580" spans="5:40" x14ac:dyDescent="0.3">
      <c r="E580" s="9"/>
      <c r="F580" s="9"/>
      <c r="G580" s="28"/>
      <c r="J580" s="21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9"/>
      <c r="AH580" s="9"/>
      <c r="AI580" s="9"/>
      <c r="AJ580" s="9"/>
      <c r="AK580" s="9"/>
      <c r="AL580" s="9"/>
      <c r="AM580" s="28"/>
      <c r="AN580" s="28"/>
    </row>
    <row r="581" spans="5:40" x14ac:dyDescent="0.3">
      <c r="E581" s="9"/>
      <c r="F581" s="9"/>
      <c r="G581" s="28"/>
      <c r="J581" s="21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9"/>
      <c r="AH581" s="9"/>
      <c r="AI581" s="9"/>
      <c r="AJ581" s="9"/>
      <c r="AK581" s="9"/>
      <c r="AL581" s="9"/>
      <c r="AM581" s="28"/>
      <c r="AN581" s="28"/>
    </row>
    <row r="582" spans="5:40" x14ac:dyDescent="0.3">
      <c r="E582" s="9"/>
      <c r="F582" s="9"/>
      <c r="G582" s="28"/>
      <c r="J582" s="21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9"/>
      <c r="AH582" s="9"/>
      <c r="AI582" s="9"/>
      <c r="AJ582" s="9"/>
      <c r="AK582" s="9"/>
      <c r="AL582" s="9"/>
      <c r="AM582" s="28"/>
      <c r="AN582" s="28"/>
    </row>
    <row r="583" spans="5:40" x14ac:dyDescent="0.3">
      <c r="E583" s="9"/>
      <c r="F583" s="9"/>
      <c r="G583" s="28"/>
      <c r="J583" s="21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9"/>
      <c r="AH583" s="9"/>
      <c r="AI583" s="9"/>
      <c r="AJ583" s="9"/>
      <c r="AK583" s="9"/>
      <c r="AL583" s="9"/>
      <c r="AM583" s="28"/>
      <c r="AN583" s="28"/>
    </row>
    <row r="584" spans="5:40" x14ac:dyDescent="0.3">
      <c r="E584" s="9"/>
      <c r="F584" s="9"/>
      <c r="G584" s="28"/>
      <c r="J584" s="21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9"/>
      <c r="AH584" s="9"/>
      <c r="AI584" s="9"/>
      <c r="AJ584" s="9"/>
      <c r="AK584" s="9"/>
      <c r="AL584" s="9"/>
      <c r="AM584" s="28"/>
      <c r="AN584" s="28"/>
    </row>
    <row r="585" spans="5:40" x14ac:dyDescent="0.3">
      <c r="E585" s="9"/>
      <c r="F585" s="9"/>
      <c r="G585" s="28"/>
      <c r="J585" s="21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9"/>
      <c r="AH585" s="9"/>
      <c r="AI585" s="9"/>
      <c r="AJ585" s="9"/>
      <c r="AK585" s="9"/>
      <c r="AL585" s="9"/>
      <c r="AM585" s="28"/>
      <c r="AN585" s="28"/>
    </row>
    <row r="586" spans="5:40" x14ac:dyDescent="0.3">
      <c r="E586" s="9"/>
      <c r="F586" s="9"/>
      <c r="G586" s="28"/>
      <c r="J586" s="21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9"/>
      <c r="AH586" s="9"/>
      <c r="AI586" s="9"/>
      <c r="AJ586" s="9"/>
      <c r="AK586" s="9"/>
      <c r="AL586" s="9"/>
      <c r="AM586" s="28"/>
      <c r="AN586" s="28"/>
    </row>
    <row r="587" spans="5:40" x14ac:dyDescent="0.3">
      <c r="E587" s="9"/>
      <c r="F587" s="9"/>
      <c r="G587" s="28"/>
      <c r="J587" s="21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9"/>
      <c r="AH587" s="9"/>
      <c r="AI587" s="9"/>
      <c r="AJ587" s="9"/>
      <c r="AK587" s="9"/>
      <c r="AL587" s="9"/>
      <c r="AM587" s="28"/>
      <c r="AN587" s="28"/>
    </row>
    <row r="588" spans="5:40" x14ac:dyDescent="0.3">
      <c r="E588" s="9"/>
      <c r="F588" s="9"/>
      <c r="G588" s="28"/>
      <c r="J588" s="21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9"/>
      <c r="AH588" s="9"/>
      <c r="AI588" s="9"/>
      <c r="AJ588" s="9"/>
      <c r="AK588" s="9"/>
      <c r="AL588" s="9"/>
      <c r="AM588" s="28"/>
      <c r="AN588" s="28"/>
    </row>
    <row r="589" spans="5:40" x14ac:dyDescent="0.3">
      <c r="E589" s="9"/>
      <c r="F589" s="9"/>
      <c r="G589" s="28"/>
      <c r="J589" s="21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9"/>
      <c r="AH589" s="9"/>
      <c r="AI589" s="9"/>
      <c r="AJ589" s="9"/>
      <c r="AK589" s="9"/>
      <c r="AL589" s="9"/>
      <c r="AM589" s="28"/>
      <c r="AN589" s="28"/>
    </row>
    <row r="590" spans="5:40" x14ac:dyDescent="0.3">
      <c r="E590" s="9"/>
      <c r="F590" s="9"/>
      <c r="G590" s="28"/>
      <c r="J590" s="21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9"/>
      <c r="AH590" s="9"/>
      <c r="AI590" s="9"/>
      <c r="AJ590" s="9"/>
      <c r="AK590" s="9"/>
      <c r="AL590" s="9"/>
      <c r="AM590" s="28"/>
      <c r="AN590" s="28"/>
    </row>
    <row r="591" spans="5:40" x14ac:dyDescent="0.3">
      <c r="E591" s="9"/>
      <c r="F591" s="9"/>
      <c r="G591" s="28"/>
      <c r="J591" s="21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9"/>
      <c r="AH591" s="9"/>
      <c r="AI591" s="9"/>
      <c r="AJ591" s="9"/>
      <c r="AK591" s="9"/>
      <c r="AL591" s="9"/>
      <c r="AM591" s="28"/>
      <c r="AN591" s="28"/>
    </row>
    <row r="592" spans="5:40" x14ac:dyDescent="0.3">
      <c r="E592" s="9"/>
      <c r="F592" s="9"/>
      <c r="G592" s="28"/>
      <c r="J592" s="21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9"/>
      <c r="AH592" s="9"/>
      <c r="AI592" s="9"/>
      <c r="AJ592" s="9"/>
      <c r="AK592" s="9"/>
      <c r="AL592" s="9"/>
      <c r="AM592" s="28"/>
      <c r="AN592" s="28"/>
    </row>
    <row r="593" spans="5:40" x14ac:dyDescent="0.3">
      <c r="E593" s="9"/>
      <c r="F593" s="9"/>
      <c r="G593" s="28"/>
      <c r="J593" s="21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9"/>
      <c r="AH593" s="9"/>
      <c r="AI593" s="9"/>
      <c r="AJ593" s="9"/>
      <c r="AK593" s="9"/>
      <c r="AL593" s="9"/>
      <c r="AM593" s="28"/>
      <c r="AN593" s="28"/>
    </row>
    <row r="594" spans="5:40" x14ac:dyDescent="0.3">
      <c r="E594" s="9"/>
      <c r="F594" s="9"/>
      <c r="G594" s="28"/>
      <c r="J594" s="21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9"/>
      <c r="AH594" s="9"/>
      <c r="AI594" s="9"/>
      <c r="AJ594" s="9"/>
      <c r="AK594" s="9"/>
      <c r="AL594" s="9"/>
      <c r="AM594" s="28"/>
      <c r="AN594" s="28"/>
    </row>
    <row r="595" spans="5:40" x14ac:dyDescent="0.3">
      <c r="E595" s="9"/>
      <c r="F595" s="9"/>
      <c r="G595" s="28"/>
      <c r="J595" s="21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9"/>
      <c r="AH595" s="9"/>
      <c r="AI595" s="9"/>
      <c r="AJ595" s="9"/>
      <c r="AK595" s="9"/>
      <c r="AL595" s="9"/>
      <c r="AM595" s="28"/>
      <c r="AN595" s="28"/>
    </row>
    <row r="596" spans="5:40" x14ac:dyDescent="0.3">
      <c r="E596" s="9"/>
      <c r="F596" s="9"/>
      <c r="G596" s="28"/>
      <c r="J596" s="21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9"/>
      <c r="AH596" s="9"/>
      <c r="AI596" s="9"/>
      <c r="AJ596" s="9"/>
      <c r="AK596" s="9"/>
      <c r="AL596" s="9"/>
      <c r="AM596" s="28"/>
      <c r="AN596" s="28"/>
    </row>
    <row r="597" spans="5:40" x14ac:dyDescent="0.3">
      <c r="E597" s="9"/>
      <c r="F597" s="9"/>
      <c r="G597" s="28"/>
      <c r="J597" s="21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9"/>
      <c r="AH597" s="9"/>
      <c r="AI597" s="9"/>
      <c r="AJ597" s="9"/>
      <c r="AK597" s="9"/>
      <c r="AL597" s="9"/>
      <c r="AM597" s="28"/>
      <c r="AN597" s="28"/>
    </row>
    <row r="598" spans="5:40" x14ac:dyDescent="0.3">
      <c r="E598" s="9"/>
      <c r="F598" s="9"/>
      <c r="G598" s="28"/>
      <c r="J598" s="21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9"/>
      <c r="AH598" s="9"/>
      <c r="AI598" s="9"/>
      <c r="AJ598" s="9"/>
      <c r="AK598" s="9"/>
      <c r="AL598" s="9"/>
      <c r="AM598" s="28"/>
      <c r="AN598" s="28"/>
    </row>
    <row r="599" spans="5:40" x14ac:dyDescent="0.3">
      <c r="E599" s="9"/>
      <c r="F599" s="9"/>
      <c r="G599" s="28"/>
      <c r="J599" s="21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9"/>
      <c r="AH599" s="9"/>
      <c r="AI599" s="9"/>
      <c r="AJ599" s="9"/>
      <c r="AK599" s="9"/>
      <c r="AL599" s="9"/>
      <c r="AM599" s="28"/>
      <c r="AN599" s="28"/>
    </row>
    <row r="600" spans="5:40" x14ac:dyDescent="0.3">
      <c r="E600" s="9"/>
      <c r="F600" s="9"/>
      <c r="G600" s="28"/>
      <c r="J600" s="21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9"/>
      <c r="AH600" s="9"/>
      <c r="AI600" s="9"/>
      <c r="AJ600" s="9"/>
      <c r="AK600" s="9"/>
      <c r="AL600" s="9"/>
      <c r="AM600" s="28"/>
      <c r="AN600" s="28"/>
    </row>
    <row r="601" spans="5:40" x14ac:dyDescent="0.3">
      <c r="E601" s="9"/>
      <c r="F601" s="9"/>
      <c r="G601" s="28"/>
      <c r="J601" s="21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9"/>
      <c r="AH601" s="9"/>
      <c r="AI601" s="9"/>
      <c r="AJ601" s="9"/>
      <c r="AK601" s="9"/>
      <c r="AL601" s="9"/>
      <c r="AM601" s="28"/>
      <c r="AN601" s="28"/>
    </row>
    <row r="602" spans="5:40" x14ac:dyDescent="0.3">
      <c r="E602" s="9"/>
      <c r="F602" s="9"/>
      <c r="G602" s="28"/>
      <c r="J602" s="21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9"/>
      <c r="AH602" s="9"/>
      <c r="AI602" s="9"/>
      <c r="AJ602" s="9"/>
      <c r="AK602" s="9"/>
      <c r="AL602" s="9"/>
      <c r="AM602" s="28"/>
      <c r="AN602" s="28"/>
    </row>
    <row r="603" spans="5:40" x14ac:dyDescent="0.3">
      <c r="E603" s="9"/>
      <c r="F603" s="9"/>
      <c r="G603" s="28"/>
      <c r="J603" s="21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9"/>
      <c r="AH603" s="9"/>
      <c r="AI603" s="9"/>
      <c r="AJ603" s="9"/>
      <c r="AK603" s="9"/>
      <c r="AL603" s="9"/>
      <c r="AM603" s="28"/>
      <c r="AN603" s="28"/>
    </row>
    <row r="604" spans="5:40" x14ac:dyDescent="0.3">
      <c r="E604" s="9"/>
      <c r="F604" s="9"/>
      <c r="G604" s="28"/>
      <c r="J604" s="21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9"/>
      <c r="AH604" s="9"/>
      <c r="AI604" s="9"/>
      <c r="AJ604" s="9"/>
      <c r="AK604" s="9"/>
      <c r="AL604" s="9"/>
      <c r="AM604" s="28"/>
      <c r="AN604" s="28"/>
    </row>
    <row r="605" spans="5:40" x14ac:dyDescent="0.3">
      <c r="E605" s="9"/>
      <c r="F605" s="9"/>
      <c r="G605" s="28"/>
      <c r="J605" s="21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9"/>
      <c r="AH605" s="9"/>
      <c r="AI605" s="9"/>
      <c r="AJ605" s="9"/>
      <c r="AK605" s="9"/>
      <c r="AL605" s="9"/>
      <c r="AM605" s="28"/>
      <c r="AN605" s="28"/>
    </row>
    <row r="606" spans="5:40" x14ac:dyDescent="0.3">
      <c r="E606" s="9"/>
      <c r="F606" s="9"/>
      <c r="G606" s="28"/>
      <c r="J606" s="21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9"/>
      <c r="AH606" s="9"/>
      <c r="AI606" s="9"/>
      <c r="AJ606" s="9"/>
      <c r="AK606" s="9"/>
      <c r="AL606" s="9"/>
      <c r="AM606" s="28"/>
      <c r="AN606" s="28"/>
    </row>
    <row r="607" spans="5:40" x14ac:dyDescent="0.3">
      <c r="E607" s="9"/>
      <c r="F607" s="9"/>
      <c r="G607" s="28"/>
      <c r="J607" s="21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9"/>
      <c r="AH607" s="9"/>
      <c r="AI607" s="9"/>
      <c r="AJ607" s="9"/>
      <c r="AK607" s="9"/>
      <c r="AL607" s="9"/>
      <c r="AM607" s="28"/>
      <c r="AN607" s="28"/>
    </row>
    <row r="608" spans="5:40" x14ac:dyDescent="0.3">
      <c r="E608" s="9"/>
      <c r="F608" s="9"/>
      <c r="G608" s="28"/>
      <c r="J608" s="21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9"/>
      <c r="AH608" s="9"/>
      <c r="AI608" s="9"/>
      <c r="AJ608" s="9"/>
      <c r="AK608" s="9"/>
      <c r="AL608" s="9"/>
      <c r="AM608" s="28"/>
      <c r="AN608" s="28"/>
    </row>
    <row r="609" spans="5:40" x14ac:dyDescent="0.3">
      <c r="E609" s="9"/>
      <c r="F609" s="9"/>
      <c r="G609" s="28"/>
      <c r="J609" s="21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9"/>
      <c r="AH609" s="9"/>
      <c r="AI609" s="9"/>
      <c r="AJ609" s="9"/>
      <c r="AK609" s="9"/>
      <c r="AL609" s="9"/>
      <c r="AM609" s="28"/>
      <c r="AN609" s="28"/>
    </row>
    <row r="610" spans="5:40" x14ac:dyDescent="0.3">
      <c r="E610" s="9"/>
      <c r="F610" s="9"/>
      <c r="G610" s="28"/>
      <c r="J610" s="21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9"/>
      <c r="AH610" s="9"/>
      <c r="AI610" s="9"/>
      <c r="AJ610" s="9"/>
      <c r="AK610" s="9"/>
      <c r="AL610" s="9"/>
      <c r="AM610" s="28"/>
      <c r="AN610" s="28"/>
    </row>
    <row r="611" spans="5:40" x14ac:dyDescent="0.3">
      <c r="E611" s="9"/>
      <c r="F611" s="9"/>
      <c r="G611" s="28"/>
      <c r="J611" s="21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9"/>
      <c r="AH611" s="9"/>
      <c r="AI611" s="9"/>
      <c r="AJ611" s="9"/>
      <c r="AK611" s="9"/>
      <c r="AL611" s="9"/>
      <c r="AM611" s="28"/>
      <c r="AN611" s="28"/>
    </row>
    <row r="612" spans="5:40" x14ac:dyDescent="0.3">
      <c r="E612" s="9"/>
      <c r="F612" s="9"/>
      <c r="G612" s="28"/>
      <c r="J612" s="21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9"/>
      <c r="AH612" s="9"/>
      <c r="AI612" s="9"/>
      <c r="AJ612" s="9"/>
      <c r="AK612" s="9"/>
      <c r="AL612" s="9"/>
      <c r="AM612" s="28"/>
      <c r="AN612" s="28"/>
    </row>
    <row r="613" spans="5:40" x14ac:dyDescent="0.3">
      <c r="E613" s="9"/>
      <c r="F613" s="9"/>
      <c r="G613" s="28"/>
      <c r="J613" s="21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9"/>
      <c r="AH613" s="9"/>
      <c r="AI613" s="9"/>
      <c r="AJ613" s="9"/>
      <c r="AK613" s="9"/>
      <c r="AL613" s="9"/>
      <c r="AM613" s="28"/>
      <c r="AN613" s="28"/>
    </row>
    <row r="614" spans="5:40" x14ac:dyDescent="0.3">
      <c r="E614" s="9"/>
      <c r="F614" s="9"/>
      <c r="G614" s="28"/>
      <c r="J614" s="21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9"/>
      <c r="AH614" s="9"/>
      <c r="AI614" s="9"/>
      <c r="AJ614" s="9"/>
      <c r="AK614" s="9"/>
      <c r="AL614" s="9"/>
      <c r="AM614" s="28"/>
      <c r="AN614" s="28"/>
    </row>
    <row r="615" spans="5:40" x14ac:dyDescent="0.3">
      <c r="E615" s="9"/>
      <c r="F615" s="9"/>
      <c r="G615" s="28"/>
      <c r="J615" s="21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9"/>
      <c r="AH615" s="9"/>
      <c r="AI615" s="9"/>
      <c r="AJ615" s="9"/>
      <c r="AK615" s="9"/>
      <c r="AL615" s="9"/>
      <c r="AM615" s="28"/>
      <c r="AN615" s="28"/>
    </row>
    <row r="616" spans="5:40" x14ac:dyDescent="0.3">
      <c r="E616" s="9"/>
      <c r="F616" s="9"/>
      <c r="G616" s="28"/>
      <c r="J616" s="21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9"/>
      <c r="AH616" s="9"/>
      <c r="AI616" s="9"/>
      <c r="AJ616" s="9"/>
      <c r="AK616" s="9"/>
      <c r="AL616" s="9"/>
      <c r="AM616" s="28"/>
      <c r="AN616" s="28"/>
    </row>
    <row r="617" spans="5:40" x14ac:dyDescent="0.3">
      <c r="E617" s="9"/>
      <c r="F617" s="9"/>
      <c r="G617" s="28"/>
      <c r="J617" s="21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9"/>
      <c r="AH617" s="9"/>
      <c r="AI617" s="9"/>
      <c r="AJ617" s="9"/>
      <c r="AK617" s="9"/>
      <c r="AL617" s="9"/>
      <c r="AM617" s="28"/>
      <c r="AN617" s="28"/>
    </row>
    <row r="618" spans="5:40" x14ac:dyDescent="0.3">
      <c r="E618" s="9"/>
      <c r="F618" s="9"/>
      <c r="G618" s="28"/>
      <c r="J618" s="21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9"/>
      <c r="AH618" s="9"/>
      <c r="AI618" s="9"/>
      <c r="AJ618" s="9"/>
      <c r="AK618" s="9"/>
      <c r="AL618" s="9"/>
      <c r="AM618" s="28"/>
      <c r="AN618" s="28"/>
    </row>
    <row r="619" spans="5:40" x14ac:dyDescent="0.3">
      <c r="E619" s="9"/>
      <c r="F619" s="9"/>
      <c r="G619" s="28"/>
      <c r="J619" s="21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9"/>
      <c r="AH619" s="9"/>
      <c r="AI619" s="9"/>
      <c r="AJ619" s="9"/>
      <c r="AK619" s="9"/>
      <c r="AL619" s="9"/>
      <c r="AM619" s="28"/>
      <c r="AN619" s="28"/>
    </row>
    <row r="620" spans="5:40" x14ac:dyDescent="0.3">
      <c r="E620" s="9"/>
      <c r="F620" s="9"/>
      <c r="G620" s="28"/>
      <c r="J620" s="21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9"/>
      <c r="AH620" s="9"/>
      <c r="AI620" s="9"/>
      <c r="AJ620" s="9"/>
      <c r="AK620" s="9"/>
      <c r="AL620" s="9"/>
      <c r="AM620" s="28"/>
      <c r="AN620" s="28"/>
    </row>
    <row r="621" spans="5:40" x14ac:dyDescent="0.3">
      <c r="E621" s="9"/>
      <c r="F621" s="9"/>
      <c r="G621" s="28"/>
      <c r="J621" s="21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9"/>
      <c r="AH621" s="9"/>
      <c r="AI621" s="9"/>
      <c r="AJ621" s="9"/>
      <c r="AK621" s="9"/>
      <c r="AL621" s="9"/>
      <c r="AM621" s="28"/>
      <c r="AN621" s="28"/>
    </row>
    <row r="622" spans="5:40" x14ac:dyDescent="0.3">
      <c r="E622" s="9"/>
      <c r="F622" s="9"/>
      <c r="G622" s="28"/>
      <c r="J622" s="21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9"/>
      <c r="AH622" s="9"/>
      <c r="AI622" s="9"/>
      <c r="AJ622" s="9"/>
      <c r="AK622" s="9"/>
      <c r="AL622" s="9"/>
      <c r="AM622" s="28"/>
      <c r="AN622" s="28"/>
    </row>
    <row r="623" spans="5:40" x14ac:dyDescent="0.3">
      <c r="E623" s="9"/>
      <c r="F623" s="9"/>
      <c r="G623" s="28"/>
      <c r="J623" s="21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9"/>
      <c r="AH623" s="9"/>
      <c r="AI623" s="9"/>
      <c r="AJ623" s="9"/>
      <c r="AK623" s="9"/>
      <c r="AL623" s="9"/>
      <c r="AM623" s="28"/>
      <c r="AN623" s="28"/>
    </row>
    <row r="624" spans="5:40" x14ac:dyDescent="0.3">
      <c r="E624" s="9"/>
      <c r="F624" s="9"/>
      <c r="G624" s="28"/>
      <c r="J624" s="21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9"/>
      <c r="AH624" s="9"/>
      <c r="AI624" s="9"/>
      <c r="AJ624" s="9"/>
      <c r="AK624" s="9"/>
      <c r="AL624" s="9"/>
      <c r="AM624" s="28"/>
      <c r="AN624" s="28"/>
    </row>
    <row r="625" spans="5:40" x14ac:dyDescent="0.3">
      <c r="E625" s="9"/>
      <c r="F625" s="9"/>
      <c r="G625" s="28"/>
      <c r="J625" s="21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9"/>
      <c r="AH625" s="9"/>
      <c r="AI625" s="9"/>
      <c r="AJ625" s="9"/>
      <c r="AK625" s="9"/>
      <c r="AL625" s="9"/>
      <c r="AM625" s="28"/>
      <c r="AN625" s="28"/>
    </row>
    <row r="626" spans="5:40" x14ac:dyDescent="0.3">
      <c r="E626" s="9"/>
      <c r="F626" s="9"/>
      <c r="G626" s="28"/>
      <c r="J626" s="21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9"/>
      <c r="AH626" s="9"/>
      <c r="AI626" s="9"/>
      <c r="AJ626" s="9"/>
      <c r="AK626" s="9"/>
      <c r="AL626" s="9"/>
      <c r="AM626" s="28"/>
      <c r="AN626" s="28"/>
    </row>
    <row r="627" spans="5:40" x14ac:dyDescent="0.3">
      <c r="E627" s="9"/>
      <c r="F627" s="9"/>
      <c r="G627" s="28"/>
      <c r="J627" s="21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9"/>
      <c r="AH627" s="9"/>
      <c r="AI627" s="9"/>
      <c r="AJ627" s="9"/>
      <c r="AK627" s="9"/>
      <c r="AL627" s="9"/>
      <c r="AM627" s="28"/>
      <c r="AN627" s="28"/>
    </row>
    <row r="628" spans="5:40" x14ac:dyDescent="0.3">
      <c r="E628" s="9"/>
      <c r="F628" s="9"/>
      <c r="G628" s="28"/>
      <c r="J628" s="21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9"/>
      <c r="AH628" s="9"/>
      <c r="AI628" s="9"/>
      <c r="AJ628" s="9"/>
      <c r="AK628" s="9"/>
      <c r="AL628" s="9"/>
      <c r="AM628" s="28"/>
      <c r="AN628" s="28"/>
    </row>
    <row r="629" spans="5:40" x14ac:dyDescent="0.3">
      <c r="E629" s="9"/>
      <c r="F629" s="9"/>
      <c r="G629" s="28"/>
      <c r="J629" s="21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9"/>
      <c r="AH629" s="9"/>
      <c r="AI629" s="9"/>
      <c r="AJ629" s="9"/>
      <c r="AK629" s="9"/>
      <c r="AL629" s="9"/>
      <c r="AM629" s="28"/>
      <c r="AN629" s="28"/>
    </row>
    <row r="630" spans="5:40" x14ac:dyDescent="0.3">
      <c r="E630" s="9"/>
      <c r="F630" s="9"/>
      <c r="G630" s="28"/>
      <c r="J630" s="21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9"/>
      <c r="AH630" s="9"/>
      <c r="AI630" s="9"/>
      <c r="AJ630" s="9"/>
      <c r="AK630" s="9"/>
      <c r="AL630" s="9"/>
      <c r="AM630" s="28"/>
      <c r="AN630" s="28"/>
    </row>
    <row r="631" spans="5:40" x14ac:dyDescent="0.3">
      <c r="E631" s="9"/>
      <c r="F631" s="9"/>
      <c r="G631" s="28"/>
      <c r="J631" s="21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9"/>
      <c r="AH631" s="9"/>
      <c r="AI631" s="9"/>
      <c r="AJ631" s="9"/>
      <c r="AK631" s="9"/>
      <c r="AL631" s="9"/>
      <c r="AM631" s="28"/>
      <c r="AN631" s="28"/>
    </row>
    <row r="632" spans="5:40" x14ac:dyDescent="0.3">
      <c r="E632" s="9"/>
      <c r="F632" s="9"/>
      <c r="G632" s="28"/>
      <c r="J632" s="21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9"/>
      <c r="AH632" s="9"/>
      <c r="AI632" s="9"/>
      <c r="AJ632" s="9"/>
      <c r="AK632" s="9"/>
      <c r="AL632" s="9"/>
      <c r="AM632" s="28"/>
      <c r="AN632" s="28"/>
    </row>
    <row r="633" spans="5:40" x14ac:dyDescent="0.3">
      <c r="E633" s="9"/>
      <c r="F633" s="9"/>
      <c r="G633" s="28"/>
      <c r="J633" s="21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9"/>
      <c r="AH633" s="9"/>
      <c r="AI633" s="9"/>
      <c r="AJ633" s="9"/>
      <c r="AK633" s="9"/>
      <c r="AL633" s="9"/>
      <c r="AM633" s="28"/>
      <c r="AN633" s="28"/>
    </row>
    <row r="634" spans="5:40" x14ac:dyDescent="0.3">
      <c r="E634" s="9"/>
      <c r="F634" s="9"/>
      <c r="G634" s="28"/>
      <c r="J634" s="21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9"/>
      <c r="AH634" s="9"/>
      <c r="AI634" s="9"/>
      <c r="AJ634" s="9"/>
      <c r="AK634" s="9"/>
      <c r="AL634" s="9"/>
      <c r="AM634" s="28"/>
      <c r="AN634" s="28"/>
    </row>
    <row r="635" spans="5:40" x14ac:dyDescent="0.3">
      <c r="E635" s="9"/>
      <c r="F635" s="9"/>
      <c r="G635" s="28"/>
      <c r="J635" s="21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9"/>
      <c r="AH635" s="9"/>
      <c r="AI635" s="9"/>
      <c r="AJ635" s="9"/>
      <c r="AK635" s="9"/>
      <c r="AL635" s="9"/>
      <c r="AM635" s="28"/>
      <c r="AN635" s="28"/>
    </row>
    <row r="636" spans="5:40" x14ac:dyDescent="0.3">
      <c r="E636" s="9"/>
      <c r="F636" s="9"/>
      <c r="G636" s="28"/>
      <c r="J636" s="21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9"/>
      <c r="AH636" s="9"/>
      <c r="AI636" s="9"/>
      <c r="AJ636" s="9"/>
      <c r="AK636" s="9"/>
      <c r="AL636" s="9"/>
      <c r="AM636" s="28"/>
      <c r="AN636" s="28"/>
    </row>
    <row r="637" spans="5:40" x14ac:dyDescent="0.3">
      <c r="E637" s="9"/>
      <c r="F637" s="9"/>
      <c r="G637" s="28"/>
      <c r="J637" s="21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9"/>
      <c r="AH637" s="9"/>
      <c r="AI637" s="9"/>
      <c r="AJ637" s="9"/>
      <c r="AK637" s="9"/>
      <c r="AL637" s="9"/>
      <c r="AM637" s="28"/>
      <c r="AN637" s="28"/>
    </row>
    <row r="638" spans="5:40" x14ac:dyDescent="0.3">
      <c r="E638" s="9"/>
      <c r="F638" s="9"/>
      <c r="G638" s="28"/>
      <c r="J638" s="21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9"/>
      <c r="AH638" s="9"/>
      <c r="AI638" s="9"/>
      <c r="AJ638" s="9"/>
      <c r="AK638" s="9"/>
      <c r="AL638" s="9"/>
      <c r="AM638" s="28"/>
      <c r="AN638" s="28"/>
    </row>
    <row r="639" spans="5:40" x14ac:dyDescent="0.3">
      <c r="E639" s="9"/>
      <c r="F639" s="9"/>
      <c r="G639" s="28"/>
      <c r="J639" s="21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9"/>
      <c r="AH639" s="9"/>
      <c r="AI639" s="9"/>
      <c r="AJ639" s="9"/>
      <c r="AK639" s="9"/>
      <c r="AL639" s="9"/>
      <c r="AM639" s="28"/>
      <c r="AN639" s="28"/>
    </row>
    <row r="640" spans="5:40" x14ac:dyDescent="0.3">
      <c r="E640" s="9"/>
      <c r="F640" s="9"/>
      <c r="G640" s="28"/>
      <c r="J640" s="21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9"/>
      <c r="AH640" s="9"/>
      <c r="AI640" s="9"/>
      <c r="AJ640" s="9"/>
      <c r="AK640" s="9"/>
      <c r="AL640" s="9"/>
      <c r="AM640" s="28"/>
      <c r="AN640" s="28"/>
    </row>
    <row r="641" spans="5:40" x14ac:dyDescent="0.3">
      <c r="E641" s="9"/>
      <c r="F641" s="9"/>
      <c r="G641" s="28"/>
      <c r="J641" s="21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9"/>
      <c r="AH641" s="9"/>
      <c r="AI641" s="9"/>
      <c r="AJ641" s="9"/>
      <c r="AK641" s="9"/>
      <c r="AL641" s="9"/>
      <c r="AM641" s="28"/>
      <c r="AN641" s="28"/>
    </row>
    <row r="642" spans="5:40" x14ac:dyDescent="0.3">
      <c r="E642" s="9"/>
      <c r="F642" s="9"/>
      <c r="G642" s="28"/>
      <c r="J642" s="21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9"/>
      <c r="AH642" s="9"/>
      <c r="AI642" s="9"/>
      <c r="AJ642" s="9"/>
      <c r="AK642" s="9"/>
      <c r="AL642" s="9"/>
      <c r="AM642" s="28"/>
      <c r="AN642" s="28"/>
    </row>
    <row r="643" spans="5:40" x14ac:dyDescent="0.3">
      <c r="E643" s="9"/>
      <c r="F643" s="9"/>
      <c r="G643" s="28"/>
      <c r="J643" s="21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9"/>
      <c r="AH643" s="9"/>
      <c r="AI643" s="9"/>
      <c r="AJ643" s="9"/>
      <c r="AK643" s="9"/>
      <c r="AL643" s="9"/>
      <c r="AM643" s="28"/>
      <c r="AN643" s="28"/>
    </row>
    <row r="644" spans="5:40" x14ac:dyDescent="0.3">
      <c r="E644" s="9"/>
      <c r="F644" s="9"/>
      <c r="G644" s="28"/>
      <c r="J644" s="21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9"/>
      <c r="AH644" s="9"/>
      <c r="AI644" s="9"/>
      <c r="AJ644" s="9"/>
      <c r="AK644" s="9"/>
      <c r="AL644" s="9"/>
      <c r="AM644" s="28"/>
      <c r="AN644" s="28"/>
    </row>
    <row r="645" spans="5:40" x14ac:dyDescent="0.3">
      <c r="E645" s="9"/>
      <c r="F645" s="9"/>
      <c r="G645" s="28"/>
      <c r="J645" s="21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9"/>
      <c r="AH645" s="9"/>
      <c r="AI645" s="9"/>
      <c r="AJ645" s="9"/>
      <c r="AK645" s="9"/>
      <c r="AL645" s="9"/>
      <c r="AM645" s="28"/>
      <c r="AN645" s="28"/>
    </row>
    <row r="646" spans="5:40" x14ac:dyDescent="0.3">
      <c r="E646" s="9"/>
      <c r="F646" s="9"/>
      <c r="G646" s="28"/>
      <c r="J646" s="21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9"/>
      <c r="AH646" s="9"/>
      <c r="AI646" s="9"/>
      <c r="AJ646" s="9"/>
      <c r="AK646" s="9"/>
      <c r="AL646" s="9"/>
      <c r="AM646" s="28"/>
      <c r="AN646" s="28"/>
    </row>
    <row r="647" spans="5:40" x14ac:dyDescent="0.3">
      <c r="E647" s="9"/>
      <c r="F647" s="9"/>
      <c r="G647" s="28"/>
      <c r="J647" s="21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9"/>
      <c r="AH647" s="9"/>
      <c r="AI647" s="9"/>
      <c r="AJ647" s="9"/>
      <c r="AK647" s="9"/>
      <c r="AL647" s="9"/>
      <c r="AM647" s="28"/>
      <c r="AN647" s="28"/>
    </row>
    <row r="648" spans="5:40" x14ac:dyDescent="0.3">
      <c r="E648" s="9"/>
      <c r="F648" s="9"/>
      <c r="G648" s="28"/>
      <c r="J648" s="21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9"/>
      <c r="AH648" s="9"/>
      <c r="AI648" s="9"/>
      <c r="AJ648" s="9"/>
      <c r="AK648" s="9"/>
      <c r="AL648" s="9"/>
      <c r="AM648" s="28"/>
      <c r="AN648" s="28"/>
    </row>
    <row r="649" spans="5:40" x14ac:dyDescent="0.3">
      <c r="E649" s="9"/>
      <c r="F649" s="9"/>
      <c r="G649" s="28"/>
      <c r="J649" s="21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9"/>
      <c r="AH649" s="9"/>
      <c r="AI649" s="9"/>
      <c r="AJ649" s="9"/>
      <c r="AK649" s="9"/>
      <c r="AL649" s="9"/>
      <c r="AM649" s="28"/>
      <c r="AN649" s="28"/>
    </row>
    <row r="650" spans="5:40" x14ac:dyDescent="0.3">
      <c r="E650" s="9"/>
      <c r="F650" s="9"/>
      <c r="G650" s="28"/>
      <c r="J650" s="21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9"/>
      <c r="AH650" s="9"/>
      <c r="AI650" s="9"/>
      <c r="AJ650" s="9"/>
      <c r="AK650" s="9"/>
      <c r="AL650" s="9"/>
      <c r="AM650" s="28"/>
      <c r="AN650" s="28"/>
    </row>
    <row r="651" spans="5:40" x14ac:dyDescent="0.3">
      <c r="E651" s="9"/>
      <c r="F651" s="9"/>
      <c r="G651" s="28"/>
      <c r="J651" s="21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9"/>
      <c r="AH651" s="9"/>
      <c r="AI651" s="9"/>
      <c r="AJ651" s="9"/>
      <c r="AK651" s="9"/>
      <c r="AL651" s="9"/>
      <c r="AM651" s="28"/>
      <c r="AN651" s="28"/>
    </row>
    <row r="652" spans="5:40" x14ac:dyDescent="0.3">
      <c r="E652" s="9"/>
      <c r="F652" s="9"/>
      <c r="G652" s="28"/>
      <c r="J652" s="21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9"/>
      <c r="AH652" s="9"/>
      <c r="AI652" s="9"/>
      <c r="AJ652" s="9"/>
      <c r="AK652" s="9"/>
      <c r="AL652" s="9"/>
      <c r="AM652" s="28"/>
      <c r="AN652" s="28"/>
    </row>
    <row r="653" spans="5:40" x14ac:dyDescent="0.3">
      <c r="E653" s="9"/>
      <c r="F653" s="9"/>
      <c r="G653" s="28"/>
      <c r="J653" s="21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9"/>
      <c r="AH653" s="9"/>
      <c r="AI653" s="9"/>
      <c r="AJ653" s="9"/>
      <c r="AK653" s="9"/>
      <c r="AL653" s="9"/>
      <c r="AM653" s="28"/>
      <c r="AN653" s="28"/>
    </row>
    <row r="654" spans="5:40" x14ac:dyDescent="0.3">
      <c r="E654" s="9"/>
      <c r="F654" s="9"/>
      <c r="G654" s="28"/>
      <c r="J654" s="21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9"/>
      <c r="AH654" s="9"/>
      <c r="AI654" s="9"/>
      <c r="AJ654" s="9"/>
      <c r="AK654" s="9"/>
      <c r="AL654" s="9"/>
      <c r="AM654" s="28"/>
      <c r="AN654" s="28"/>
    </row>
    <row r="655" spans="5:40" x14ac:dyDescent="0.3">
      <c r="E655" s="9"/>
      <c r="F655" s="9"/>
      <c r="G655" s="28"/>
      <c r="J655" s="21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9"/>
      <c r="AH655" s="9"/>
      <c r="AI655" s="9"/>
      <c r="AJ655" s="9"/>
      <c r="AK655" s="9"/>
      <c r="AL655" s="9"/>
      <c r="AM655" s="28"/>
      <c r="AN655" s="28"/>
    </row>
    <row r="656" spans="5:40" x14ac:dyDescent="0.3">
      <c r="E656" s="9"/>
      <c r="F656" s="9"/>
      <c r="G656" s="28"/>
      <c r="J656" s="21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9"/>
      <c r="AH656" s="9"/>
      <c r="AI656" s="9"/>
      <c r="AJ656" s="9"/>
      <c r="AK656" s="9"/>
      <c r="AL656" s="9"/>
      <c r="AM656" s="28"/>
      <c r="AN656" s="28"/>
    </row>
    <row r="657" spans="5:40" x14ac:dyDescent="0.3">
      <c r="E657" s="9"/>
      <c r="F657" s="9"/>
      <c r="G657" s="28"/>
      <c r="J657" s="21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9"/>
      <c r="AH657" s="9"/>
      <c r="AI657" s="9"/>
      <c r="AJ657" s="9"/>
      <c r="AK657" s="9"/>
      <c r="AL657" s="9"/>
      <c r="AM657" s="28"/>
      <c r="AN657" s="28"/>
    </row>
    <row r="658" spans="5:40" x14ac:dyDescent="0.3">
      <c r="E658" s="9"/>
      <c r="F658" s="9"/>
      <c r="G658" s="28"/>
      <c r="J658" s="21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9"/>
      <c r="AH658" s="9"/>
      <c r="AI658" s="9"/>
      <c r="AJ658" s="9"/>
      <c r="AK658" s="9"/>
      <c r="AL658" s="9"/>
      <c r="AM658" s="28"/>
      <c r="AN658" s="28"/>
    </row>
    <row r="659" spans="5:40" x14ac:dyDescent="0.3">
      <c r="E659" s="9"/>
      <c r="F659" s="9"/>
      <c r="G659" s="28"/>
      <c r="J659" s="21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9"/>
      <c r="AH659" s="9"/>
      <c r="AI659" s="9"/>
      <c r="AJ659" s="9"/>
      <c r="AK659" s="9"/>
      <c r="AL659" s="9"/>
      <c r="AM659" s="28"/>
      <c r="AN659" s="28"/>
    </row>
    <row r="660" spans="5:40" x14ac:dyDescent="0.3">
      <c r="E660" s="9"/>
      <c r="F660" s="9"/>
      <c r="G660" s="28"/>
      <c r="J660" s="21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9"/>
      <c r="AH660" s="9"/>
      <c r="AI660" s="9"/>
      <c r="AJ660" s="9"/>
      <c r="AK660" s="9"/>
      <c r="AL660" s="9"/>
      <c r="AM660" s="28"/>
      <c r="AN660" s="28"/>
    </row>
    <row r="661" spans="5:40" x14ac:dyDescent="0.3">
      <c r="E661" s="9"/>
      <c r="F661" s="9"/>
      <c r="G661" s="28"/>
      <c r="J661" s="21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9"/>
      <c r="AH661" s="9"/>
      <c r="AI661" s="9"/>
      <c r="AJ661" s="9"/>
      <c r="AK661" s="9"/>
      <c r="AL661" s="9"/>
      <c r="AM661" s="28"/>
      <c r="AN661" s="28"/>
    </row>
    <row r="662" spans="5:40" x14ac:dyDescent="0.3">
      <c r="E662" s="9"/>
      <c r="F662" s="9"/>
      <c r="G662" s="28"/>
      <c r="J662" s="21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9"/>
      <c r="AH662" s="9"/>
      <c r="AI662" s="9"/>
      <c r="AJ662" s="9"/>
      <c r="AK662" s="9"/>
      <c r="AL662" s="9"/>
      <c r="AM662" s="28"/>
      <c r="AN662" s="28"/>
    </row>
    <row r="663" spans="5:40" x14ac:dyDescent="0.3">
      <c r="E663" s="9"/>
      <c r="F663" s="9"/>
      <c r="G663" s="28"/>
      <c r="J663" s="21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9"/>
      <c r="AH663" s="9"/>
      <c r="AI663" s="9"/>
      <c r="AJ663" s="9"/>
      <c r="AK663" s="9"/>
      <c r="AL663" s="9"/>
      <c r="AM663" s="28"/>
      <c r="AN663" s="28"/>
    </row>
    <row r="664" spans="5:40" x14ac:dyDescent="0.3">
      <c r="E664" s="9"/>
      <c r="F664" s="9"/>
      <c r="G664" s="28"/>
      <c r="J664" s="21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9"/>
      <c r="AH664" s="9"/>
      <c r="AI664" s="9"/>
      <c r="AJ664" s="9"/>
      <c r="AK664" s="9"/>
      <c r="AL664" s="9"/>
      <c r="AM664" s="28"/>
      <c r="AN664" s="28"/>
    </row>
    <row r="665" spans="5:40" x14ac:dyDescent="0.3">
      <c r="E665" s="9"/>
      <c r="F665" s="9"/>
      <c r="G665" s="28"/>
      <c r="J665" s="21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9"/>
      <c r="AH665" s="9"/>
      <c r="AI665" s="9"/>
      <c r="AJ665" s="9"/>
      <c r="AK665" s="9"/>
      <c r="AL665" s="9"/>
      <c r="AM665" s="28"/>
      <c r="AN665" s="28"/>
    </row>
    <row r="666" spans="5:40" x14ac:dyDescent="0.3">
      <c r="E666" s="9"/>
      <c r="F666" s="9"/>
      <c r="G666" s="28"/>
      <c r="J666" s="21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9"/>
      <c r="AH666" s="9"/>
      <c r="AI666" s="9"/>
      <c r="AJ666" s="9"/>
      <c r="AK666" s="9"/>
      <c r="AL666" s="9"/>
      <c r="AM666" s="28"/>
      <c r="AN666" s="28"/>
    </row>
    <row r="667" spans="5:40" x14ac:dyDescent="0.3">
      <c r="E667" s="9"/>
      <c r="F667" s="9"/>
      <c r="G667" s="28"/>
      <c r="J667" s="21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9"/>
      <c r="AH667" s="9"/>
      <c r="AI667" s="9"/>
      <c r="AJ667" s="9"/>
      <c r="AK667" s="9"/>
      <c r="AL667" s="9"/>
      <c r="AM667" s="28"/>
      <c r="AN667" s="28"/>
    </row>
    <row r="668" spans="5:40" x14ac:dyDescent="0.3">
      <c r="E668" s="9"/>
      <c r="F668" s="9"/>
      <c r="G668" s="28"/>
      <c r="J668" s="21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9"/>
      <c r="AH668" s="9"/>
      <c r="AI668" s="9"/>
      <c r="AJ668" s="9"/>
      <c r="AK668" s="9"/>
      <c r="AL668" s="9"/>
      <c r="AM668" s="28"/>
      <c r="AN668" s="28"/>
    </row>
    <row r="669" spans="5:40" x14ac:dyDescent="0.3">
      <c r="E669" s="9"/>
      <c r="F669" s="9"/>
      <c r="G669" s="28"/>
      <c r="J669" s="21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9"/>
      <c r="AH669" s="9"/>
      <c r="AI669" s="9"/>
      <c r="AJ669" s="9"/>
      <c r="AK669" s="9"/>
      <c r="AL669" s="9"/>
      <c r="AM669" s="28"/>
      <c r="AN669" s="28"/>
    </row>
    <row r="670" spans="5:40" x14ac:dyDescent="0.3">
      <c r="E670" s="9"/>
      <c r="F670" s="9"/>
      <c r="G670" s="28"/>
      <c r="J670" s="21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9"/>
      <c r="AH670" s="9"/>
      <c r="AI670" s="9"/>
      <c r="AJ670" s="9"/>
      <c r="AK670" s="9"/>
      <c r="AL670" s="9"/>
      <c r="AM670" s="28"/>
      <c r="AN670" s="28"/>
    </row>
    <row r="671" spans="5:40" x14ac:dyDescent="0.3">
      <c r="E671" s="9"/>
      <c r="F671" s="9"/>
      <c r="G671" s="28"/>
      <c r="J671" s="21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9"/>
      <c r="AH671" s="9"/>
      <c r="AI671" s="9"/>
      <c r="AJ671" s="9"/>
      <c r="AK671" s="9"/>
      <c r="AL671" s="9"/>
      <c r="AM671" s="28"/>
      <c r="AN671" s="28"/>
    </row>
    <row r="672" spans="5:40" x14ac:dyDescent="0.3">
      <c r="E672" s="9"/>
      <c r="F672" s="9"/>
      <c r="G672" s="28"/>
      <c r="J672" s="21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3">
      <c r="E673" s="9"/>
      <c r="F673" s="9"/>
      <c r="G673" s="28"/>
      <c r="J673" s="21"/>
    </row>
    <row r="674" spans="5:10" x14ac:dyDescent="0.3">
      <c r="E674" s="9"/>
      <c r="F674" s="9"/>
      <c r="G674" s="28"/>
      <c r="J674" s="21"/>
    </row>
    <row r="675" spans="5:10" x14ac:dyDescent="0.3">
      <c r="E675" s="9"/>
      <c r="F675" s="9"/>
      <c r="G675" s="28"/>
      <c r="J675" s="21"/>
    </row>
    <row r="676" spans="5:10" x14ac:dyDescent="0.3">
      <c r="J676" s="21"/>
    </row>
  </sheetData>
  <autoFilter ref="A4:AO396" xr:uid="{32AE3966-3F3A-4A38-B5F8-35AF221F7220}"/>
  <conditionalFormatting sqref="J4:J244 L236:Q244 L247:Q281 K95:K244 K247:K369 R96:T244 R247:T372 AG95:AL369 AN95:AN369 J245:T246 J247:J372 W96:AD372 AF96:AF372">
    <cfRule type="cellIs" dxfId="834" priority="2190" operator="lessThan">
      <formula>0.8</formula>
    </cfRule>
    <cfRule type="cellIs" dxfId="833" priority="2191" operator="greaterThan">
      <formula>0.8</formula>
    </cfRule>
  </conditionalFormatting>
  <conditionalFormatting sqref="E1:G379 E391:G1048576">
    <cfRule type="containsText" dxfId="832" priority="2189" operator="containsText" text="Radio">
      <formula>NOT(ISERROR(SEARCH("Radio",E1)))</formula>
    </cfRule>
  </conditionalFormatting>
  <conditionalFormatting sqref="L236:Q244 L247:Q281 K95:K244 K247:K372 R96:T244 R247:T372 K245:T246 AG95:AL372 R397:AL1048576 AN397:AN1048576 AN95:AN372 W96:AD372 AF96:AF372">
    <cfRule type="notContainsText" dxfId="831" priority="2185" operator="notContains" text="Caida">
      <formula>ISERROR(SEARCH("Caida",K95))</formula>
    </cfRule>
    <cfRule type="containsText" dxfId="830" priority="2186" operator="containsText" text="Caida">
      <formula>NOT(ISERROR(SEARCH("Caida",K95)))</formula>
    </cfRule>
  </conditionalFormatting>
  <conditionalFormatting sqref="L6:L92 L96:L230">
    <cfRule type="cellIs" dxfId="829" priority="1683" operator="lessThan">
      <formula>0.8</formula>
    </cfRule>
    <cfRule type="cellIs" dxfId="828" priority="1684" operator="greaterThan">
      <formula>0.8</formula>
    </cfRule>
  </conditionalFormatting>
  <conditionalFormatting sqref="L6:L92 L96:L230">
    <cfRule type="notContainsText" dxfId="827" priority="1681" operator="notContains" text="Caida">
      <formula>ISERROR(SEARCH("Caida",L6))</formula>
    </cfRule>
    <cfRule type="containsText" dxfId="826" priority="1682" operator="containsText" text="Caida">
      <formula>NOT(ISERROR(SEARCH("Caida",L6)))</formula>
    </cfRule>
  </conditionalFormatting>
  <conditionalFormatting sqref="L337:L366 L284:L334">
    <cfRule type="cellIs" dxfId="825" priority="1679" operator="lessThan">
      <formula>0.8</formula>
    </cfRule>
    <cfRule type="cellIs" dxfId="824" priority="1680" operator="greaterThan">
      <formula>0.8</formula>
    </cfRule>
  </conditionalFormatting>
  <conditionalFormatting sqref="L337:L366 L284:L334 L397:L1048576">
    <cfRule type="notContainsText" dxfId="823" priority="1677" operator="notContains" text="Caida">
      <formula>ISERROR(SEARCH("Caida",L284))</formula>
    </cfRule>
    <cfRule type="containsText" dxfId="822" priority="1678" operator="containsText" text="Caida">
      <formula>NOT(ISERROR(SEARCH("Caida",L284)))</formula>
    </cfRule>
  </conditionalFormatting>
  <conditionalFormatting sqref="K397:K1048576">
    <cfRule type="notContainsText" dxfId="821" priority="1726" operator="notContains" text="Caida">
      <formula>ISERROR(SEARCH("Caida",K397))</formula>
    </cfRule>
    <cfRule type="containsText" dxfId="820" priority="1727" operator="containsText" text="Caida">
      <formula>NOT(ISERROR(SEARCH("Caida",K397)))</formula>
    </cfRule>
  </conditionalFormatting>
  <conditionalFormatting sqref="L336">
    <cfRule type="cellIs" dxfId="819" priority="1638" operator="lessThan">
      <formula>0.8</formula>
    </cfRule>
    <cfRule type="cellIs" dxfId="818" priority="1639" operator="greaterThan">
      <formula>0.8</formula>
    </cfRule>
  </conditionalFormatting>
  <conditionalFormatting sqref="L336">
    <cfRule type="notContainsText" dxfId="817" priority="1636" operator="notContains" text="Caida">
      <formula>ISERROR(SEARCH("Caida",L336))</formula>
    </cfRule>
    <cfRule type="containsText" dxfId="816" priority="1637" operator="containsText" text="Caida">
      <formula>NOT(ISERROR(SEARCH("Caida",L336)))</formula>
    </cfRule>
  </conditionalFormatting>
  <conditionalFormatting sqref="L22">
    <cfRule type="containsText" dxfId="815" priority="1676" operator="containsText" text="Instaladas en Funcionamiento Caida">
      <formula>NOT(ISERROR(SEARCH("Instaladas en Funcionamiento Caida",L22)))</formula>
    </cfRule>
  </conditionalFormatting>
  <conditionalFormatting sqref="L282">
    <cfRule type="cellIs" dxfId="814" priority="1674" operator="lessThan">
      <formula>0.8</formula>
    </cfRule>
    <cfRule type="cellIs" dxfId="813" priority="1675" operator="greaterThan">
      <formula>0.8</formula>
    </cfRule>
  </conditionalFormatting>
  <conditionalFormatting sqref="L282">
    <cfRule type="notContainsText" dxfId="812" priority="1672" operator="notContains" text="Caida">
      <formula>ISERROR(SEARCH("Caida",L282))</formula>
    </cfRule>
    <cfRule type="containsText" dxfId="811" priority="1673" operator="containsText" text="Caida">
      <formula>NOT(ISERROR(SEARCH("Caida",L282)))</formula>
    </cfRule>
  </conditionalFormatting>
  <conditionalFormatting sqref="L283">
    <cfRule type="cellIs" dxfId="810" priority="1670" operator="lessThan">
      <formula>0.8</formula>
    </cfRule>
    <cfRule type="cellIs" dxfId="809" priority="1671" operator="greaterThan">
      <formula>0.8</formula>
    </cfRule>
  </conditionalFormatting>
  <conditionalFormatting sqref="L283">
    <cfRule type="notContainsText" dxfId="808" priority="1668" operator="notContains" text="Caida">
      <formula>ISERROR(SEARCH("Caida",L283))</formula>
    </cfRule>
    <cfRule type="containsText" dxfId="807" priority="1669" operator="containsText" text="Caida">
      <formula>NOT(ISERROR(SEARCH("Caida",L283)))</formula>
    </cfRule>
  </conditionalFormatting>
  <conditionalFormatting sqref="L5">
    <cfRule type="cellIs" dxfId="806" priority="1666" operator="lessThan">
      <formula>0.8</formula>
    </cfRule>
    <cfRule type="cellIs" dxfId="805" priority="1667" operator="greaterThan">
      <formula>0.8</formula>
    </cfRule>
  </conditionalFormatting>
  <conditionalFormatting sqref="L5">
    <cfRule type="notContainsText" dxfId="804" priority="1664" operator="notContains" text="Caida">
      <formula>ISERROR(SEARCH("Caida",L5))</formula>
    </cfRule>
    <cfRule type="containsText" dxfId="803" priority="1665" operator="containsText" text="Caida">
      <formula>NOT(ISERROR(SEARCH("Caida",L5)))</formula>
    </cfRule>
  </conditionalFormatting>
  <conditionalFormatting sqref="L231">
    <cfRule type="cellIs" dxfId="802" priority="1662" operator="lessThan">
      <formula>0.8</formula>
    </cfRule>
    <cfRule type="cellIs" dxfId="801" priority="1663" operator="greaterThan">
      <formula>0.8</formula>
    </cfRule>
  </conditionalFormatting>
  <conditionalFormatting sqref="L231">
    <cfRule type="notContainsText" dxfId="800" priority="1660" operator="notContains" text="Caida">
      <formula>ISERROR(SEARCH("Caida",L231))</formula>
    </cfRule>
    <cfRule type="containsText" dxfId="799" priority="1661" operator="containsText" text="Caida">
      <formula>NOT(ISERROR(SEARCH("Caida",L231)))</formula>
    </cfRule>
  </conditionalFormatting>
  <conditionalFormatting sqref="L232">
    <cfRule type="cellIs" dxfId="798" priority="1658" operator="lessThan">
      <formula>0.8</formula>
    </cfRule>
    <cfRule type="cellIs" dxfId="797" priority="1659" operator="greaterThan">
      <formula>0.8</formula>
    </cfRule>
  </conditionalFormatting>
  <conditionalFormatting sqref="L232">
    <cfRule type="notContainsText" dxfId="796" priority="1656" operator="notContains" text="Caida">
      <formula>ISERROR(SEARCH("Caida",L232))</formula>
    </cfRule>
    <cfRule type="containsText" dxfId="795" priority="1657" operator="containsText" text="Caida">
      <formula>NOT(ISERROR(SEARCH("Caida",L232)))</formula>
    </cfRule>
  </conditionalFormatting>
  <conditionalFormatting sqref="L233">
    <cfRule type="cellIs" dxfId="794" priority="1654" operator="lessThan">
      <formula>0.8</formula>
    </cfRule>
    <cfRule type="cellIs" dxfId="793" priority="1655" operator="greaterThan">
      <formula>0.8</formula>
    </cfRule>
  </conditionalFormatting>
  <conditionalFormatting sqref="L233">
    <cfRule type="notContainsText" dxfId="792" priority="1652" operator="notContains" text="Caida">
      <formula>ISERROR(SEARCH("Caida",L233))</formula>
    </cfRule>
    <cfRule type="containsText" dxfId="791" priority="1653" operator="containsText" text="Caida">
      <formula>NOT(ISERROR(SEARCH("Caida",L233)))</formula>
    </cfRule>
  </conditionalFormatting>
  <conditionalFormatting sqref="L234">
    <cfRule type="cellIs" dxfId="790" priority="1650" operator="lessThan">
      <formula>0.8</formula>
    </cfRule>
    <cfRule type="cellIs" dxfId="789" priority="1651" operator="greaterThan">
      <formula>0.8</formula>
    </cfRule>
  </conditionalFormatting>
  <conditionalFormatting sqref="L234">
    <cfRule type="notContainsText" dxfId="788" priority="1648" operator="notContains" text="Caida">
      <formula>ISERROR(SEARCH("Caida",L234))</formula>
    </cfRule>
    <cfRule type="containsText" dxfId="787" priority="1649" operator="containsText" text="Caida">
      <formula>NOT(ISERROR(SEARCH("Caida",L234)))</formula>
    </cfRule>
  </conditionalFormatting>
  <conditionalFormatting sqref="L235">
    <cfRule type="cellIs" dxfId="786" priority="1646" operator="lessThan">
      <formula>0.8</formula>
    </cfRule>
    <cfRule type="cellIs" dxfId="785" priority="1647" operator="greaterThan">
      <formula>0.8</formula>
    </cfRule>
  </conditionalFormatting>
  <conditionalFormatting sqref="L235">
    <cfRule type="notContainsText" dxfId="784" priority="1644" operator="notContains" text="Caida">
      <formula>ISERROR(SEARCH("Caida",L235))</formula>
    </cfRule>
    <cfRule type="containsText" dxfId="783" priority="1645" operator="containsText" text="Caida">
      <formula>NOT(ISERROR(SEARCH("Caida",L235)))</formula>
    </cfRule>
  </conditionalFormatting>
  <conditionalFormatting sqref="L335">
    <cfRule type="cellIs" dxfId="782" priority="1642" operator="lessThan">
      <formula>0.8</formula>
    </cfRule>
    <cfRule type="cellIs" dxfId="781" priority="1643" operator="greaterThan">
      <formula>0.8</formula>
    </cfRule>
  </conditionalFormatting>
  <conditionalFormatting sqref="L335">
    <cfRule type="notContainsText" dxfId="780" priority="1640" operator="notContains" text="Caida">
      <formula>ISERROR(SEARCH("Caida",L335))</formula>
    </cfRule>
    <cfRule type="containsText" dxfId="779" priority="1641" operator="containsText" text="Caida">
      <formula>NOT(ISERROR(SEARCH("Caida",L335)))</formula>
    </cfRule>
  </conditionalFormatting>
  <conditionalFormatting sqref="M6:M92 M96:M230">
    <cfRule type="cellIs" dxfId="778" priority="1634" operator="lessThan">
      <formula>0.8</formula>
    </cfRule>
    <cfRule type="cellIs" dxfId="777" priority="1635" operator="greaterThan">
      <formula>0.8</formula>
    </cfRule>
  </conditionalFormatting>
  <conditionalFormatting sqref="M6:M92 M96:M230">
    <cfRule type="notContainsText" dxfId="776" priority="1632" operator="notContains" text="Caida">
      <formula>ISERROR(SEARCH("Caida",M6))</formula>
    </cfRule>
    <cfRule type="containsText" dxfId="775" priority="1633" operator="containsText" text="Caida">
      <formula>NOT(ISERROR(SEARCH("Caida",M6)))</formula>
    </cfRule>
  </conditionalFormatting>
  <conditionalFormatting sqref="M336">
    <cfRule type="cellIs" dxfId="774" priority="1589" operator="lessThan">
      <formula>0.8</formula>
    </cfRule>
    <cfRule type="cellIs" dxfId="773" priority="1590" operator="greaterThan">
      <formula>0.8</formula>
    </cfRule>
  </conditionalFormatting>
  <conditionalFormatting sqref="M336">
    <cfRule type="notContainsText" dxfId="772" priority="1587" operator="notContains" text="Caida">
      <formula>ISERROR(SEARCH("Caida",M336))</formula>
    </cfRule>
    <cfRule type="containsText" dxfId="771" priority="1588" operator="containsText" text="Caida">
      <formula>NOT(ISERROR(SEARCH("Caida",M336)))</formula>
    </cfRule>
  </conditionalFormatting>
  <conditionalFormatting sqref="M337:M366 M284:M334">
    <cfRule type="cellIs" dxfId="770" priority="1630" operator="lessThan">
      <formula>0.8</formula>
    </cfRule>
    <cfRule type="cellIs" dxfId="769" priority="1631" operator="greaterThan">
      <formula>0.8</formula>
    </cfRule>
  </conditionalFormatting>
  <conditionalFormatting sqref="M337:M366 M284:M334 M397:M1048576">
    <cfRule type="notContainsText" dxfId="768" priority="1628" operator="notContains" text="Caida">
      <formula>ISERROR(SEARCH("Caida",M284))</formula>
    </cfRule>
    <cfRule type="containsText" dxfId="767" priority="1629" operator="containsText" text="Caida">
      <formula>NOT(ISERROR(SEARCH("Caida",M284)))</formula>
    </cfRule>
  </conditionalFormatting>
  <conditionalFormatting sqref="M22">
    <cfRule type="containsText" dxfId="766" priority="1627" operator="containsText" text="Instaladas en Funcionamiento Caida">
      <formula>NOT(ISERROR(SEARCH("Instaladas en Funcionamiento Caida",M22)))</formula>
    </cfRule>
  </conditionalFormatting>
  <conditionalFormatting sqref="M282">
    <cfRule type="cellIs" dxfId="765" priority="1625" operator="lessThan">
      <formula>0.8</formula>
    </cfRule>
    <cfRule type="cellIs" dxfId="764" priority="1626" operator="greaterThan">
      <formula>0.8</formula>
    </cfRule>
  </conditionalFormatting>
  <conditionalFormatting sqref="M282">
    <cfRule type="notContainsText" dxfId="763" priority="1623" operator="notContains" text="Caida">
      <formula>ISERROR(SEARCH("Caida",M282))</formula>
    </cfRule>
    <cfRule type="containsText" dxfId="762" priority="1624" operator="containsText" text="Caida">
      <formula>NOT(ISERROR(SEARCH("Caida",M282)))</formula>
    </cfRule>
  </conditionalFormatting>
  <conditionalFormatting sqref="M283">
    <cfRule type="cellIs" dxfId="761" priority="1621" operator="lessThan">
      <formula>0.8</formula>
    </cfRule>
    <cfRule type="cellIs" dxfId="760" priority="1622" operator="greaterThan">
      <formula>0.8</formula>
    </cfRule>
  </conditionalFormatting>
  <conditionalFormatting sqref="M283">
    <cfRule type="notContainsText" dxfId="759" priority="1619" operator="notContains" text="Caida">
      <formula>ISERROR(SEARCH("Caida",M283))</formula>
    </cfRule>
    <cfRule type="containsText" dxfId="758" priority="1620" operator="containsText" text="Caida">
      <formula>NOT(ISERROR(SEARCH("Caida",M283)))</formula>
    </cfRule>
  </conditionalFormatting>
  <conditionalFormatting sqref="M5">
    <cfRule type="cellIs" dxfId="757" priority="1617" operator="lessThan">
      <formula>0.8</formula>
    </cfRule>
    <cfRule type="cellIs" dxfId="756" priority="1618" operator="greaterThan">
      <formula>0.8</formula>
    </cfRule>
  </conditionalFormatting>
  <conditionalFormatting sqref="M5">
    <cfRule type="notContainsText" dxfId="755" priority="1615" operator="notContains" text="Caida">
      <formula>ISERROR(SEARCH("Caida",M5))</formula>
    </cfRule>
    <cfRule type="containsText" dxfId="754" priority="1616" operator="containsText" text="Caida">
      <formula>NOT(ISERROR(SEARCH("Caida",M5)))</formula>
    </cfRule>
  </conditionalFormatting>
  <conditionalFormatting sqref="M231">
    <cfRule type="cellIs" dxfId="753" priority="1613" operator="lessThan">
      <formula>0.8</formula>
    </cfRule>
    <cfRule type="cellIs" dxfId="752" priority="1614" operator="greaterThan">
      <formula>0.8</formula>
    </cfRule>
  </conditionalFormatting>
  <conditionalFormatting sqref="M231">
    <cfRule type="notContainsText" dxfId="751" priority="1611" operator="notContains" text="Caida">
      <formula>ISERROR(SEARCH("Caida",M231))</formula>
    </cfRule>
    <cfRule type="containsText" dxfId="750" priority="1612" operator="containsText" text="Caida">
      <formula>NOT(ISERROR(SEARCH("Caida",M231)))</formula>
    </cfRule>
  </conditionalFormatting>
  <conditionalFormatting sqref="M232">
    <cfRule type="cellIs" dxfId="749" priority="1609" operator="lessThan">
      <formula>0.8</formula>
    </cfRule>
    <cfRule type="cellIs" dxfId="748" priority="1610" operator="greaterThan">
      <formula>0.8</formula>
    </cfRule>
  </conditionalFormatting>
  <conditionalFormatting sqref="M232">
    <cfRule type="notContainsText" dxfId="747" priority="1607" operator="notContains" text="Caida">
      <formula>ISERROR(SEARCH("Caida",M232))</formula>
    </cfRule>
    <cfRule type="containsText" dxfId="746" priority="1608" operator="containsText" text="Caida">
      <formula>NOT(ISERROR(SEARCH("Caida",M232)))</formula>
    </cfRule>
  </conditionalFormatting>
  <conditionalFormatting sqref="M233">
    <cfRule type="cellIs" dxfId="745" priority="1605" operator="lessThan">
      <formula>0.8</formula>
    </cfRule>
    <cfRule type="cellIs" dxfId="744" priority="1606" operator="greaterThan">
      <formula>0.8</formula>
    </cfRule>
  </conditionalFormatting>
  <conditionalFormatting sqref="M233">
    <cfRule type="notContainsText" dxfId="743" priority="1603" operator="notContains" text="Caida">
      <formula>ISERROR(SEARCH("Caida",M233))</formula>
    </cfRule>
    <cfRule type="containsText" dxfId="742" priority="1604" operator="containsText" text="Caida">
      <formula>NOT(ISERROR(SEARCH("Caida",M233)))</formula>
    </cfRule>
  </conditionalFormatting>
  <conditionalFormatting sqref="M234">
    <cfRule type="cellIs" dxfId="741" priority="1601" operator="lessThan">
      <formula>0.8</formula>
    </cfRule>
    <cfRule type="cellIs" dxfId="740" priority="1602" operator="greaterThan">
      <formula>0.8</formula>
    </cfRule>
  </conditionalFormatting>
  <conditionalFormatting sqref="M234">
    <cfRule type="notContainsText" dxfId="739" priority="1599" operator="notContains" text="Caida">
      <formula>ISERROR(SEARCH("Caida",M234))</formula>
    </cfRule>
    <cfRule type="containsText" dxfId="738" priority="1600" operator="containsText" text="Caida">
      <formula>NOT(ISERROR(SEARCH("Caida",M234)))</formula>
    </cfRule>
  </conditionalFormatting>
  <conditionalFormatting sqref="M235">
    <cfRule type="cellIs" dxfId="737" priority="1597" operator="lessThan">
      <formula>0.8</formula>
    </cfRule>
    <cfRule type="cellIs" dxfId="736" priority="1598" operator="greaterThan">
      <formula>0.8</formula>
    </cfRule>
  </conditionalFormatting>
  <conditionalFormatting sqref="M235">
    <cfRule type="notContainsText" dxfId="735" priority="1595" operator="notContains" text="Caida">
      <formula>ISERROR(SEARCH("Caida",M235))</formula>
    </cfRule>
    <cfRule type="containsText" dxfId="734" priority="1596" operator="containsText" text="Caida">
      <formula>NOT(ISERROR(SEARCH("Caida",M235)))</formula>
    </cfRule>
  </conditionalFormatting>
  <conditionalFormatting sqref="M335">
    <cfRule type="cellIs" dxfId="733" priority="1593" operator="lessThan">
      <formula>0.8</formula>
    </cfRule>
    <cfRule type="cellIs" dxfId="732" priority="1594" operator="greaterThan">
      <formula>0.8</formula>
    </cfRule>
  </conditionalFormatting>
  <conditionalFormatting sqref="M335">
    <cfRule type="notContainsText" dxfId="731" priority="1591" operator="notContains" text="Caida">
      <formula>ISERROR(SEARCH("Caida",M335))</formula>
    </cfRule>
    <cfRule type="containsText" dxfId="730" priority="1592" operator="containsText" text="Caida">
      <formula>NOT(ISERROR(SEARCH("Caida",M335)))</formula>
    </cfRule>
  </conditionalFormatting>
  <conditionalFormatting sqref="N6:N92 N96:N230">
    <cfRule type="cellIs" dxfId="729" priority="1585" operator="lessThan">
      <formula>0.8</formula>
    </cfRule>
    <cfRule type="cellIs" dxfId="728" priority="1586" operator="greaterThan">
      <formula>0.8</formula>
    </cfRule>
  </conditionalFormatting>
  <conditionalFormatting sqref="N6:N92 N96:N230">
    <cfRule type="notContainsText" dxfId="727" priority="1583" operator="notContains" text="Caida">
      <formula>ISERROR(SEARCH("Caida",N6))</formula>
    </cfRule>
    <cfRule type="containsText" dxfId="726" priority="1584" operator="containsText" text="Caida">
      <formula>NOT(ISERROR(SEARCH("Caida",N6)))</formula>
    </cfRule>
  </conditionalFormatting>
  <conditionalFormatting sqref="N336:P336">
    <cfRule type="cellIs" dxfId="725" priority="1540" operator="lessThan">
      <formula>0.8</formula>
    </cfRule>
    <cfRule type="cellIs" dxfId="724" priority="1541" operator="greaterThan">
      <formula>0.8</formula>
    </cfRule>
  </conditionalFormatting>
  <conditionalFormatting sqref="N336:P336">
    <cfRule type="notContainsText" dxfId="723" priority="1538" operator="notContains" text="Caida">
      <formula>ISERROR(SEARCH("Caida",N336))</formula>
    </cfRule>
    <cfRule type="containsText" dxfId="722" priority="1539" operator="containsText" text="Caida">
      <formula>NOT(ISERROR(SEARCH("Caida",N336)))</formula>
    </cfRule>
  </conditionalFormatting>
  <conditionalFormatting sqref="N337:N366 N284:N334">
    <cfRule type="cellIs" dxfId="721" priority="1581" operator="lessThan">
      <formula>0.8</formula>
    </cfRule>
    <cfRule type="cellIs" dxfId="720" priority="1582" operator="greaterThan">
      <formula>0.8</formula>
    </cfRule>
  </conditionalFormatting>
  <conditionalFormatting sqref="N337:N366 N284:N334 N397:N1048576">
    <cfRule type="notContainsText" dxfId="719" priority="1579" operator="notContains" text="Caida">
      <formula>ISERROR(SEARCH("Caida",N284))</formula>
    </cfRule>
    <cfRule type="containsText" dxfId="718" priority="1580" operator="containsText" text="Caida">
      <formula>NOT(ISERROR(SEARCH("Caida",N284)))</formula>
    </cfRule>
  </conditionalFormatting>
  <conditionalFormatting sqref="N22:P22">
    <cfRule type="containsText" dxfId="717" priority="1578" operator="containsText" text="Instaladas en Funcionamiento Caida">
      <formula>NOT(ISERROR(SEARCH("Instaladas en Funcionamiento Caida",N22)))</formula>
    </cfRule>
  </conditionalFormatting>
  <conditionalFormatting sqref="N282:P282">
    <cfRule type="cellIs" dxfId="716" priority="1576" operator="lessThan">
      <formula>0.8</formula>
    </cfRule>
    <cfRule type="cellIs" dxfId="715" priority="1577" operator="greaterThan">
      <formula>0.8</formula>
    </cfRule>
  </conditionalFormatting>
  <conditionalFormatting sqref="N282:P282">
    <cfRule type="notContainsText" dxfId="714" priority="1574" operator="notContains" text="Caida">
      <formula>ISERROR(SEARCH("Caida",N282))</formula>
    </cfRule>
    <cfRule type="containsText" dxfId="713" priority="1575" operator="containsText" text="Caida">
      <formula>NOT(ISERROR(SEARCH("Caida",N282)))</formula>
    </cfRule>
  </conditionalFormatting>
  <conditionalFormatting sqref="N283:P283">
    <cfRule type="cellIs" dxfId="712" priority="1572" operator="lessThan">
      <formula>0.8</formula>
    </cfRule>
    <cfRule type="cellIs" dxfId="711" priority="1573" operator="greaterThan">
      <formula>0.8</formula>
    </cfRule>
  </conditionalFormatting>
  <conditionalFormatting sqref="N283:P283">
    <cfRule type="notContainsText" dxfId="710" priority="1570" operator="notContains" text="Caida">
      <formula>ISERROR(SEARCH("Caida",N283))</formula>
    </cfRule>
    <cfRule type="containsText" dxfId="709" priority="1571" operator="containsText" text="Caida">
      <formula>NOT(ISERROR(SEARCH("Caida",N283)))</formula>
    </cfRule>
  </conditionalFormatting>
  <conditionalFormatting sqref="N5:P5">
    <cfRule type="cellIs" dxfId="708" priority="1568" operator="lessThan">
      <formula>0.8</formula>
    </cfRule>
    <cfRule type="cellIs" dxfId="707" priority="1569" operator="greaterThan">
      <formula>0.8</formula>
    </cfRule>
  </conditionalFormatting>
  <conditionalFormatting sqref="N5:P5">
    <cfRule type="notContainsText" dxfId="706" priority="1566" operator="notContains" text="Caida">
      <formula>ISERROR(SEARCH("Caida",N5))</formula>
    </cfRule>
    <cfRule type="containsText" dxfId="705" priority="1567" operator="containsText" text="Caida">
      <formula>NOT(ISERROR(SEARCH("Caida",N5)))</formula>
    </cfRule>
  </conditionalFormatting>
  <conditionalFormatting sqref="N231:P231">
    <cfRule type="cellIs" dxfId="704" priority="1564" operator="lessThan">
      <formula>0.8</formula>
    </cfRule>
    <cfRule type="cellIs" dxfId="703" priority="1565" operator="greaterThan">
      <formula>0.8</formula>
    </cfRule>
  </conditionalFormatting>
  <conditionalFormatting sqref="N231:P231">
    <cfRule type="notContainsText" dxfId="702" priority="1562" operator="notContains" text="Caida">
      <formula>ISERROR(SEARCH("Caida",N231))</formula>
    </cfRule>
    <cfRule type="containsText" dxfId="701" priority="1563" operator="containsText" text="Caida">
      <formula>NOT(ISERROR(SEARCH("Caida",N231)))</formula>
    </cfRule>
  </conditionalFormatting>
  <conditionalFormatting sqref="N232:P232">
    <cfRule type="cellIs" dxfId="700" priority="1560" operator="lessThan">
      <formula>0.8</formula>
    </cfRule>
    <cfRule type="cellIs" dxfId="699" priority="1561" operator="greaterThan">
      <formula>0.8</formula>
    </cfRule>
  </conditionalFormatting>
  <conditionalFormatting sqref="N232:P232">
    <cfRule type="notContainsText" dxfId="698" priority="1558" operator="notContains" text="Caida">
      <formula>ISERROR(SEARCH("Caida",N232))</formula>
    </cfRule>
    <cfRule type="containsText" dxfId="697" priority="1559" operator="containsText" text="Caida">
      <formula>NOT(ISERROR(SEARCH("Caida",N232)))</formula>
    </cfRule>
  </conditionalFormatting>
  <conditionalFormatting sqref="N233:P233">
    <cfRule type="cellIs" dxfId="696" priority="1556" operator="lessThan">
      <formula>0.8</formula>
    </cfRule>
    <cfRule type="cellIs" dxfId="695" priority="1557" operator="greaterThan">
      <formula>0.8</formula>
    </cfRule>
  </conditionalFormatting>
  <conditionalFormatting sqref="N233:P233">
    <cfRule type="notContainsText" dxfId="694" priority="1554" operator="notContains" text="Caida">
      <formula>ISERROR(SEARCH("Caida",N233))</formula>
    </cfRule>
    <cfRule type="containsText" dxfId="693" priority="1555" operator="containsText" text="Caida">
      <formula>NOT(ISERROR(SEARCH("Caida",N233)))</formula>
    </cfRule>
  </conditionalFormatting>
  <conditionalFormatting sqref="N234:P234">
    <cfRule type="cellIs" dxfId="692" priority="1552" operator="lessThan">
      <formula>0.8</formula>
    </cfRule>
    <cfRule type="cellIs" dxfId="691" priority="1553" operator="greaterThan">
      <formula>0.8</formula>
    </cfRule>
  </conditionalFormatting>
  <conditionalFormatting sqref="N234:P234">
    <cfRule type="notContainsText" dxfId="690" priority="1550" operator="notContains" text="Caida">
      <formula>ISERROR(SEARCH("Caida",N234))</formula>
    </cfRule>
    <cfRule type="containsText" dxfId="689" priority="1551" operator="containsText" text="Caida">
      <formula>NOT(ISERROR(SEARCH("Caida",N234)))</formula>
    </cfRule>
  </conditionalFormatting>
  <conditionalFormatting sqref="N235:P235">
    <cfRule type="cellIs" dxfId="688" priority="1548" operator="lessThan">
      <formula>0.8</formula>
    </cfRule>
    <cfRule type="cellIs" dxfId="687" priority="1549" operator="greaterThan">
      <formula>0.8</formula>
    </cfRule>
  </conditionalFormatting>
  <conditionalFormatting sqref="N235:P235">
    <cfRule type="notContainsText" dxfId="686" priority="1546" operator="notContains" text="Caida">
      <formula>ISERROR(SEARCH("Caida",N235))</formula>
    </cfRule>
    <cfRule type="containsText" dxfId="685" priority="1547" operator="containsText" text="Caida">
      <formula>NOT(ISERROR(SEARCH("Caida",N235)))</formula>
    </cfRule>
  </conditionalFormatting>
  <conditionalFormatting sqref="N335:P335">
    <cfRule type="cellIs" dxfId="684" priority="1544" operator="lessThan">
      <formula>0.8</formula>
    </cfRule>
    <cfRule type="cellIs" dxfId="683" priority="1545" operator="greaterThan">
      <formula>0.8</formula>
    </cfRule>
  </conditionalFormatting>
  <conditionalFormatting sqref="N335:P335">
    <cfRule type="notContainsText" dxfId="682" priority="1542" operator="notContains" text="Caida">
      <formula>ISERROR(SEARCH("Caida",N335))</formula>
    </cfRule>
    <cfRule type="containsText" dxfId="681" priority="1543" operator="containsText" text="Caida">
      <formula>NOT(ISERROR(SEARCH("Caida",N335)))</formula>
    </cfRule>
  </conditionalFormatting>
  <conditionalFormatting sqref="O397:O1048576">
    <cfRule type="notContainsText" dxfId="680" priority="1530" operator="notContains" text="Caida">
      <formula>ISERROR(SEARCH("Caida",O397))</formula>
    </cfRule>
    <cfRule type="containsText" dxfId="679" priority="1531" operator="containsText" text="Caida">
      <formula>NOT(ISERROR(SEARCH("Caida",O397)))</formula>
    </cfRule>
  </conditionalFormatting>
  <conditionalFormatting sqref="P397:P1048576">
    <cfRule type="notContainsText" dxfId="678" priority="1481" operator="notContains" text="Caida">
      <formula>ISERROR(SEARCH("Caida",P397))</formula>
    </cfRule>
    <cfRule type="containsText" dxfId="677" priority="1482" operator="containsText" text="Caida">
      <formula>NOT(ISERROR(SEARCH("Caida",P397)))</formula>
    </cfRule>
  </conditionalFormatting>
  <conditionalFormatting sqref="L93:L95">
    <cfRule type="cellIs" dxfId="676" priority="1407" operator="lessThan">
      <formula>0.8</formula>
    </cfRule>
    <cfRule type="cellIs" dxfId="675" priority="1408" operator="greaterThan">
      <formula>0.8</formula>
    </cfRule>
  </conditionalFormatting>
  <conditionalFormatting sqref="L93:L95">
    <cfRule type="notContainsText" dxfId="674" priority="1405" operator="notContains" text="Caida">
      <formula>ISERROR(SEARCH("Caida",L93))</formula>
    </cfRule>
    <cfRule type="containsText" dxfId="673" priority="1406" operator="containsText" text="Caida">
      <formula>NOT(ISERROR(SEARCH("Caida",L93)))</formula>
    </cfRule>
  </conditionalFormatting>
  <conditionalFormatting sqref="M93:M95">
    <cfRule type="cellIs" dxfId="672" priority="1403" operator="lessThan">
      <formula>0.8</formula>
    </cfRule>
    <cfRule type="cellIs" dxfId="671" priority="1404" operator="greaterThan">
      <formula>0.8</formula>
    </cfRule>
  </conditionalFormatting>
  <conditionalFormatting sqref="M93:M95">
    <cfRule type="notContainsText" dxfId="670" priority="1401" operator="notContains" text="Caida">
      <formula>ISERROR(SEARCH("Caida",M93))</formula>
    </cfRule>
    <cfRule type="containsText" dxfId="669" priority="1402" operator="containsText" text="Caida">
      <formula>NOT(ISERROR(SEARCH("Caida",M93)))</formula>
    </cfRule>
  </conditionalFormatting>
  <conditionalFormatting sqref="N93:N95">
    <cfRule type="cellIs" dxfId="668" priority="1399" operator="lessThan">
      <formula>0.8</formula>
    </cfRule>
    <cfRule type="cellIs" dxfId="667" priority="1400" operator="greaterThan">
      <formula>0.8</formula>
    </cfRule>
  </conditionalFormatting>
  <conditionalFormatting sqref="N93:N95">
    <cfRule type="notContainsText" dxfId="666" priority="1397" operator="notContains" text="Caida">
      <formula>ISERROR(SEARCH("Caida",N93))</formula>
    </cfRule>
    <cfRule type="containsText" dxfId="665" priority="1398" operator="containsText" text="Caida">
      <formula>NOT(ISERROR(SEARCH("Caida",N93)))</formula>
    </cfRule>
  </conditionalFormatting>
  <conditionalFormatting sqref="L367">
    <cfRule type="cellIs" dxfId="664" priority="1368" operator="lessThan">
      <formula>0.8</formula>
    </cfRule>
    <cfRule type="cellIs" dxfId="663" priority="1369" operator="greaterThan">
      <formula>0.8</formula>
    </cfRule>
  </conditionalFormatting>
  <conditionalFormatting sqref="L367">
    <cfRule type="notContainsText" dxfId="662" priority="1366" operator="notContains" text="Caida">
      <formula>ISERROR(SEARCH("Caida",L367))</formula>
    </cfRule>
    <cfRule type="containsText" dxfId="661" priority="1367" operator="containsText" text="Caida">
      <formula>NOT(ISERROR(SEARCH("Caida",L367)))</formula>
    </cfRule>
  </conditionalFormatting>
  <conditionalFormatting sqref="M367">
    <cfRule type="cellIs" dxfId="660" priority="1364" operator="lessThan">
      <formula>0.8</formula>
    </cfRule>
    <cfRule type="cellIs" dxfId="659" priority="1365" operator="greaterThan">
      <formula>0.8</formula>
    </cfRule>
  </conditionalFormatting>
  <conditionalFormatting sqref="M367">
    <cfRule type="notContainsText" dxfId="658" priority="1362" operator="notContains" text="Caida">
      <formula>ISERROR(SEARCH("Caida",M367))</formula>
    </cfRule>
    <cfRule type="containsText" dxfId="657" priority="1363" operator="containsText" text="Caida">
      <formula>NOT(ISERROR(SEARCH("Caida",M367)))</formula>
    </cfRule>
  </conditionalFormatting>
  <conditionalFormatting sqref="N367:P367">
    <cfRule type="cellIs" dxfId="656" priority="1360" operator="lessThan">
      <formula>0.8</formula>
    </cfRule>
    <cfRule type="cellIs" dxfId="655" priority="1361" operator="greaterThan">
      <formula>0.8</formula>
    </cfRule>
  </conditionalFormatting>
  <conditionalFormatting sqref="N367:P367">
    <cfRule type="notContainsText" dxfId="654" priority="1358" operator="notContains" text="Caida">
      <formula>ISERROR(SEARCH("Caida",N367))</formula>
    </cfRule>
    <cfRule type="containsText" dxfId="653" priority="1359" operator="containsText" text="Caida">
      <formula>NOT(ISERROR(SEARCH("Caida",N367)))</formula>
    </cfRule>
  </conditionalFormatting>
  <conditionalFormatting sqref="L368">
    <cfRule type="cellIs" dxfId="652" priority="1329" operator="lessThan">
      <formula>0.8</formula>
    </cfRule>
    <cfRule type="cellIs" dxfId="651" priority="1330" operator="greaterThan">
      <formula>0.8</formula>
    </cfRule>
  </conditionalFormatting>
  <conditionalFormatting sqref="L368">
    <cfRule type="notContainsText" dxfId="650" priority="1327" operator="notContains" text="Caida">
      <formula>ISERROR(SEARCH("Caida",L368))</formula>
    </cfRule>
    <cfRule type="containsText" dxfId="649" priority="1328" operator="containsText" text="Caida">
      <formula>NOT(ISERROR(SEARCH("Caida",L368)))</formula>
    </cfRule>
  </conditionalFormatting>
  <conditionalFormatting sqref="M368">
    <cfRule type="cellIs" dxfId="648" priority="1325" operator="lessThan">
      <formula>0.8</formula>
    </cfRule>
    <cfRule type="cellIs" dxfId="647" priority="1326" operator="greaterThan">
      <formula>0.8</formula>
    </cfRule>
  </conditionalFormatting>
  <conditionalFormatting sqref="M368">
    <cfRule type="notContainsText" dxfId="646" priority="1323" operator="notContains" text="Caida">
      <formula>ISERROR(SEARCH("Caida",M368))</formula>
    </cfRule>
    <cfRule type="containsText" dxfId="645" priority="1324" operator="containsText" text="Caida">
      <formula>NOT(ISERROR(SEARCH("Caida",M368)))</formula>
    </cfRule>
  </conditionalFormatting>
  <conditionalFormatting sqref="N368:P368">
    <cfRule type="cellIs" dxfId="644" priority="1321" operator="lessThan">
      <formula>0.8</formula>
    </cfRule>
    <cfRule type="cellIs" dxfId="643" priority="1322" operator="greaterThan">
      <formula>0.8</formula>
    </cfRule>
  </conditionalFormatting>
  <conditionalFormatting sqref="N368:P368">
    <cfRule type="notContainsText" dxfId="642" priority="1319" operator="notContains" text="Caida">
      <formula>ISERROR(SEARCH("Caida",N368))</formula>
    </cfRule>
    <cfRule type="containsText" dxfId="641" priority="1320" operator="containsText" text="Caida">
      <formula>NOT(ISERROR(SEARCH("Caida",N368)))</formula>
    </cfRule>
  </conditionalFormatting>
  <conditionalFormatting sqref="L369">
    <cfRule type="cellIs" dxfId="640" priority="1290" operator="lessThan">
      <formula>0.8</formula>
    </cfRule>
    <cfRule type="cellIs" dxfId="639" priority="1291" operator="greaterThan">
      <formula>0.8</formula>
    </cfRule>
  </conditionalFormatting>
  <conditionalFormatting sqref="L369">
    <cfRule type="notContainsText" dxfId="638" priority="1288" operator="notContains" text="Caida">
      <formula>ISERROR(SEARCH("Caida",L369))</formula>
    </cfRule>
    <cfRule type="containsText" dxfId="637" priority="1289" operator="containsText" text="Caida">
      <formula>NOT(ISERROR(SEARCH("Caida",L369)))</formula>
    </cfRule>
  </conditionalFormatting>
  <conditionalFormatting sqref="M369">
    <cfRule type="cellIs" dxfId="636" priority="1286" operator="lessThan">
      <formula>0.8</formula>
    </cfRule>
    <cfRule type="cellIs" dxfId="635" priority="1287" operator="greaterThan">
      <formula>0.8</formula>
    </cfRule>
  </conditionalFormatting>
  <conditionalFormatting sqref="M369">
    <cfRule type="notContainsText" dxfId="634" priority="1284" operator="notContains" text="Caida">
      <formula>ISERROR(SEARCH("Caida",M369))</formula>
    </cfRule>
    <cfRule type="containsText" dxfId="633" priority="1285" operator="containsText" text="Caida">
      <formula>NOT(ISERROR(SEARCH("Caida",M369)))</formula>
    </cfRule>
  </conditionalFormatting>
  <conditionalFormatting sqref="N369:P369">
    <cfRule type="cellIs" dxfId="632" priority="1282" operator="lessThan">
      <formula>0.8</formula>
    </cfRule>
    <cfRule type="cellIs" dxfId="631" priority="1283" operator="greaterThan">
      <formula>0.8</formula>
    </cfRule>
  </conditionalFormatting>
  <conditionalFormatting sqref="N369:P369">
    <cfRule type="notContainsText" dxfId="630" priority="1280" operator="notContains" text="Caida">
      <formula>ISERROR(SEARCH("Caida",N369))</formula>
    </cfRule>
    <cfRule type="containsText" dxfId="629" priority="1281" operator="containsText" text="Caida">
      <formula>NOT(ISERROR(SEARCH("Caida",N369)))</formula>
    </cfRule>
  </conditionalFormatting>
  <conditionalFormatting sqref="Q231">
    <cfRule type="cellIs" dxfId="628" priority="1210" operator="lessThan">
      <formula>0.8</formula>
    </cfRule>
    <cfRule type="cellIs" dxfId="627" priority="1211" operator="greaterThan">
      <formula>0.8</formula>
    </cfRule>
  </conditionalFormatting>
  <conditionalFormatting sqref="Q231">
    <cfRule type="notContainsText" dxfId="626" priority="1208" operator="notContains" text="Caida">
      <formula>ISERROR(SEARCH("Caida",Q231))</formula>
    </cfRule>
    <cfRule type="containsText" dxfId="625" priority="1209" operator="containsText" text="Caida">
      <formula>NOT(ISERROR(SEARCH("Caida",Q231)))</formula>
    </cfRule>
  </conditionalFormatting>
  <conditionalFormatting sqref="Q232">
    <cfRule type="cellIs" dxfId="624" priority="1206" operator="lessThan">
      <formula>0.8</formula>
    </cfRule>
    <cfRule type="cellIs" dxfId="623" priority="1207" operator="greaterThan">
      <formula>0.8</formula>
    </cfRule>
  </conditionalFormatting>
  <conditionalFormatting sqref="Q232">
    <cfRule type="notContainsText" dxfId="622" priority="1204" operator="notContains" text="Caida">
      <formula>ISERROR(SEARCH("Caida",Q232))</formula>
    </cfRule>
    <cfRule type="containsText" dxfId="621" priority="1205" operator="containsText" text="Caida">
      <formula>NOT(ISERROR(SEARCH("Caida",Q232)))</formula>
    </cfRule>
  </conditionalFormatting>
  <conditionalFormatting sqref="L370:L372">
    <cfRule type="cellIs" dxfId="620" priority="1251" operator="lessThan">
      <formula>0.8</formula>
    </cfRule>
    <cfRule type="cellIs" dxfId="619" priority="1252" operator="greaterThan">
      <formula>0.8</formula>
    </cfRule>
  </conditionalFormatting>
  <conditionalFormatting sqref="L370:L372">
    <cfRule type="notContainsText" dxfId="618" priority="1249" operator="notContains" text="Caida">
      <formula>ISERROR(SEARCH("Caida",L370))</formula>
    </cfRule>
    <cfRule type="containsText" dxfId="617" priority="1250" operator="containsText" text="Caida">
      <formula>NOT(ISERROR(SEARCH("Caida",L370)))</formula>
    </cfRule>
  </conditionalFormatting>
  <conditionalFormatting sqref="M370:M372">
    <cfRule type="cellIs" dxfId="616" priority="1247" operator="lessThan">
      <formula>0.8</formula>
    </cfRule>
    <cfRule type="cellIs" dxfId="615" priority="1248" operator="greaterThan">
      <formula>0.8</formula>
    </cfRule>
  </conditionalFormatting>
  <conditionalFormatting sqref="M370:M372">
    <cfRule type="notContainsText" dxfId="614" priority="1245" operator="notContains" text="Caida">
      <formula>ISERROR(SEARCH("Caida",M370))</formula>
    </cfRule>
    <cfRule type="containsText" dxfId="613" priority="1246" operator="containsText" text="Caida">
      <formula>NOT(ISERROR(SEARCH("Caida",M370)))</formula>
    </cfRule>
  </conditionalFormatting>
  <conditionalFormatting sqref="N370:P370">
    <cfRule type="cellIs" dxfId="612" priority="1243" operator="lessThan">
      <formula>0.8</formula>
    </cfRule>
    <cfRule type="cellIs" dxfId="611" priority="1244" operator="greaterThan">
      <formula>0.8</formula>
    </cfRule>
  </conditionalFormatting>
  <conditionalFormatting sqref="N370:P370">
    <cfRule type="notContainsText" dxfId="610" priority="1241" operator="notContains" text="Caida">
      <formula>ISERROR(SEARCH("Caida",N370))</formula>
    </cfRule>
    <cfRule type="containsText" dxfId="609" priority="1242" operator="containsText" text="Caida">
      <formula>NOT(ISERROR(SEARCH("Caida",N370)))</formula>
    </cfRule>
  </conditionalFormatting>
  <conditionalFormatting sqref="Q368">
    <cfRule type="cellIs" dxfId="608" priority="1174" operator="lessThan">
      <formula>0.8</formula>
    </cfRule>
    <cfRule type="cellIs" dxfId="607" priority="1175" operator="greaterThan">
      <formula>0.8</formula>
    </cfRule>
  </conditionalFormatting>
  <conditionalFormatting sqref="Q368">
    <cfRule type="notContainsText" dxfId="606" priority="1172" operator="notContains" text="Caida">
      <formula>ISERROR(SEARCH("Caida",Q368))</formula>
    </cfRule>
    <cfRule type="containsText" dxfId="605" priority="1173" operator="containsText" text="Caida">
      <formula>NOT(ISERROR(SEARCH("Caida",Q368)))</formula>
    </cfRule>
  </conditionalFormatting>
  <conditionalFormatting sqref="Q369">
    <cfRule type="cellIs" dxfId="604" priority="1170" operator="lessThan">
      <formula>0.8</formula>
    </cfRule>
    <cfRule type="cellIs" dxfId="603" priority="1171" operator="greaterThan">
      <formula>0.8</formula>
    </cfRule>
  </conditionalFormatting>
  <conditionalFormatting sqref="Q369">
    <cfRule type="notContainsText" dxfId="602" priority="1168" operator="notContains" text="Caida">
      <formula>ISERROR(SEARCH("Caida",Q369))</formula>
    </cfRule>
    <cfRule type="containsText" dxfId="601" priority="1169" operator="containsText" text="Caida">
      <formula>NOT(ISERROR(SEARCH("Caida",Q369)))</formula>
    </cfRule>
  </conditionalFormatting>
  <conditionalFormatting sqref="Q370:Q372">
    <cfRule type="cellIs" dxfId="600" priority="1166" operator="lessThan">
      <formula>0.8</formula>
    </cfRule>
    <cfRule type="cellIs" dxfId="599" priority="1167" operator="greaterThan">
      <formula>0.8</formula>
    </cfRule>
  </conditionalFormatting>
  <conditionalFormatting sqref="Q370:Q372">
    <cfRule type="notContainsText" dxfId="598" priority="1164" operator="notContains" text="Caida">
      <formula>ISERROR(SEARCH("Caida",Q370))</formula>
    </cfRule>
    <cfRule type="containsText" dxfId="597" priority="1165" operator="containsText" text="Caida">
      <formula>NOT(ISERROR(SEARCH("Caida",Q370)))</formula>
    </cfRule>
  </conditionalFormatting>
  <conditionalFormatting sqref="Q6:Q92 Q96:Q230">
    <cfRule type="cellIs" dxfId="596" priority="1231" operator="lessThan">
      <formula>0.8</formula>
    </cfRule>
    <cfRule type="cellIs" dxfId="595" priority="1232" operator="greaterThan">
      <formula>0.8</formula>
    </cfRule>
  </conditionalFormatting>
  <conditionalFormatting sqref="Q6:Q92 Q96:Q230">
    <cfRule type="notContainsText" dxfId="594" priority="1229" operator="notContains" text="Caida">
      <formula>ISERROR(SEARCH("Caida",Q6))</formula>
    </cfRule>
    <cfRule type="containsText" dxfId="593" priority="1230" operator="containsText" text="Caida">
      <formula>NOT(ISERROR(SEARCH("Caida",Q6)))</formula>
    </cfRule>
  </conditionalFormatting>
  <conditionalFormatting sqref="Q336">
    <cfRule type="cellIs" dxfId="592" priority="1186" operator="lessThan">
      <formula>0.8</formula>
    </cfRule>
    <cfRule type="cellIs" dxfId="591" priority="1187" operator="greaterThan">
      <formula>0.8</formula>
    </cfRule>
  </conditionalFormatting>
  <conditionalFormatting sqref="Q336">
    <cfRule type="notContainsText" dxfId="590" priority="1184" operator="notContains" text="Caida">
      <formula>ISERROR(SEARCH("Caida",Q336))</formula>
    </cfRule>
    <cfRule type="containsText" dxfId="589" priority="1185" operator="containsText" text="Caida">
      <formula>NOT(ISERROR(SEARCH("Caida",Q336)))</formula>
    </cfRule>
  </conditionalFormatting>
  <conditionalFormatting sqref="Q337:Q366 Q284:Q334">
    <cfRule type="cellIs" dxfId="588" priority="1227" operator="lessThan">
      <formula>0.8</formula>
    </cfRule>
    <cfRule type="cellIs" dxfId="587" priority="1228" operator="greaterThan">
      <formula>0.8</formula>
    </cfRule>
  </conditionalFormatting>
  <conditionalFormatting sqref="Q337:Q366 Q284:Q334 Q397:Q1048576">
    <cfRule type="notContainsText" dxfId="586" priority="1225" operator="notContains" text="Caida">
      <formula>ISERROR(SEARCH("Caida",Q284))</formula>
    </cfRule>
    <cfRule type="containsText" dxfId="585" priority="1226" operator="containsText" text="Caida">
      <formula>NOT(ISERROR(SEARCH("Caida",Q284)))</formula>
    </cfRule>
  </conditionalFormatting>
  <conditionalFormatting sqref="Q22">
    <cfRule type="containsText" dxfId="584" priority="1224" operator="containsText" text="Instaladas en Funcionamiento Caida">
      <formula>NOT(ISERROR(SEARCH("Instaladas en Funcionamiento Caida",Q22)))</formula>
    </cfRule>
  </conditionalFormatting>
  <conditionalFormatting sqref="Q282">
    <cfRule type="cellIs" dxfId="583" priority="1222" operator="lessThan">
      <formula>0.8</formula>
    </cfRule>
    <cfRule type="cellIs" dxfId="582" priority="1223" operator="greaterThan">
      <formula>0.8</formula>
    </cfRule>
  </conditionalFormatting>
  <conditionalFormatting sqref="Q282">
    <cfRule type="notContainsText" dxfId="581" priority="1220" operator="notContains" text="Caida">
      <formula>ISERROR(SEARCH("Caida",Q282))</formula>
    </cfRule>
    <cfRule type="containsText" dxfId="580" priority="1221" operator="containsText" text="Caida">
      <formula>NOT(ISERROR(SEARCH("Caida",Q282)))</formula>
    </cfRule>
  </conditionalFormatting>
  <conditionalFormatting sqref="Q283">
    <cfRule type="cellIs" dxfId="579" priority="1218" operator="lessThan">
      <formula>0.8</formula>
    </cfRule>
    <cfRule type="cellIs" dxfId="578" priority="1219" operator="greaterThan">
      <formula>0.8</formula>
    </cfRule>
  </conditionalFormatting>
  <conditionalFormatting sqref="Q283">
    <cfRule type="notContainsText" dxfId="577" priority="1216" operator="notContains" text="Caida">
      <formula>ISERROR(SEARCH("Caida",Q283))</formula>
    </cfRule>
    <cfRule type="containsText" dxfId="576" priority="1217" operator="containsText" text="Caida">
      <formula>NOT(ISERROR(SEARCH("Caida",Q283)))</formula>
    </cfRule>
  </conditionalFormatting>
  <conditionalFormatting sqref="Q5">
    <cfRule type="cellIs" dxfId="575" priority="1214" operator="lessThan">
      <formula>0.8</formula>
    </cfRule>
    <cfRule type="cellIs" dxfId="574" priority="1215" operator="greaterThan">
      <formula>0.8</formula>
    </cfRule>
  </conditionalFormatting>
  <conditionalFormatting sqref="Q5">
    <cfRule type="notContainsText" dxfId="573" priority="1212" operator="notContains" text="Caida">
      <formula>ISERROR(SEARCH("Caida",Q5))</formula>
    </cfRule>
    <cfRule type="containsText" dxfId="572" priority="1213" operator="containsText" text="Caida">
      <formula>NOT(ISERROR(SEARCH("Caida",Q5)))</formula>
    </cfRule>
  </conditionalFormatting>
  <conditionalFormatting sqref="Q233">
    <cfRule type="cellIs" dxfId="571" priority="1202" operator="lessThan">
      <formula>0.8</formula>
    </cfRule>
    <cfRule type="cellIs" dxfId="570" priority="1203" operator="greaterThan">
      <formula>0.8</formula>
    </cfRule>
  </conditionalFormatting>
  <conditionalFormatting sqref="Q233">
    <cfRule type="notContainsText" dxfId="569" priority="1200" operator="notContains" text="Caida">
      <formula>ISERROR(SEARCH("Caida",Q233))</formula>
    </cfRule>
    <cfRule type="containsText" dxfId="568" priority="1201" operator="containsText" text="Caida">
      <formula>NOT(ISERROR(SEARCH("Caida",Q233)))</formula>
    </cfRule>
  </conditionalFormatting>
  <conditionalFormatting sqref="Q234">
    <cfRule type="cellIs" dxfId="567" priority="1198" operator="lessThan">
      <formula>0.8</formula>
    </cfRule>
    <cfRule type="cellIs" dxfId="566" priority="1199" operator="greaterThan">
      <formula>0.8</formula>
    </cfRule>
  </conditionalFormatting>
  <conditionalFormatting sqref="Q234">
    <cfRule type="notContainsText" dxfId="565" priority="1196" operator="notContains" text="Caida">
      <formula>ISERROR(SEARCH("Caida",Q234))</formula>
    </cfRule>
    <cfRule type="containsText" dxfId="564" priority="1197" operator="containsText" text="Caida">
      <formula>NOT(ISERROR(SEARCH("Caida",Q234)))</formula>
    </cfRule>
  </conditionalFormatting>
  <conditionalFormatting sqref="Q235">
    <cfRule type="cellIs" dxfId="563" priority="1194" operator="lessThan">
      <formula>0.8</formula>
    </cfRule>
    <cfRule type="cellIs" dxfId="562" priority="1195" operator="greaterThan">
      <formula>0.8</formula>
    </cfRule>
  </conditionalFormatting>
  <conditionalFormatting sqref="Q235">
    <cfRule type="notContainsText" dxfId="561" priority="1192" operator="notContains" text="Caida">
      <formula>ISERROR(SEARCH("Caida",Q235))</formula>
    </cfRule>
    <cfRule type="containsText" dxfId="560" priority="1193" operator="containsText" text="Caida">
      <formula>NOT(ISERROR(SEARCH("Caida",Q235)))</formula>
    </cfRule>
  </conditionalFormatting>
  <conditionalFormatting sqref="Q335">
    <cfRule type="cellIs" dxfId="559" priority="1190" operator="lessThan">
      <formula>0.8</formula>
    </cfRule>
    <cfRule type="cellIs" dxfId="558" priority="1191" operator="greaterThan">
      <formula>0.8</formula>
    </cfRule>
  </conditionalFormatting>
  <conditionalFormatting sqref="Q335">
    <cfRule type="notContainsText" dxfId="557" priority="1188" operator="notContains" text="Caida">
      <formula>ISERROR(SEARCH("Caida",Q335))</formula>
    </cfRule>
    <cfRule type="containsText" dxfId="556" priority="1189" operator="containsText" text="Caida">
      <formula>NOT(ISERROR(SEARCH("Caida",Q335)))</formula>
    </cfRule>
  </conditionalFormatting>
  <conditionalFormatting sqref="Q93:Q95">
    <cfRule type="cellIs" dxfId="555" priority="1182" operator="lessThan">
      <formula>0.8</formula>
    </cfRule>
    <cfRule type="cellIs" dxfId="554" priority="1183" operator="greaterThan">
      <formula>0.8</formula>
    </cfRule>
  </conditionalFormatting>
  <conditionalFormatting sqref="Q93:Q95">
    <cfRule type="notContainsText" dxfId="553" priority="1180" operator="notContains" text="Caida">
      <formula>ISERROR(SEARCH("Caida",Q93))</formula>
    </cfRule>
    <cfRule type="containsText" dxfId="552" priority="1181" operator="containsText" text="Caida">
      <formula>NOT(ISERROR(SEARCH("Caida",Q93)))</formula>
    </cfRule>
  </conditionalFormatting>
  <conditionalFormatting sqref="Q367">
    <cfRule type="cellIs" dxfId="551" priority="1178" operator="lessThan">
      <formula>0.8</formula>
    </cfRule>
    <cfRule type="cellIs" dxfId="550" priority="1179" operator="greaterThan">
      <formula>0.8</formula>
    </cfRule>
  </conditionalFormatting>
  <conditionalFormatting sqref="Q367">
    <cfRule type="notContainsText" dxfId="549" priority="1176" operator="notContains" text="Caida">
      <formula>ISERROR(SEARCH("Caida",Q367))</formula>
    </cfRule>
    <cfRule type="containsText" dxfId="548" priority="1177" operator="containsText" text="Caida">
      <formula>NOT(ISERROR(SEARCH("Caida",Q367)))</formula>
    </cfRule>
  </conditionalFormatting>
  <conditionalFormatting sqref="R6:T92">
    <cfRule type="cellIs" dxfId="547" priority="1162" operator="lessThan">
      <formula>0.8</formula>
    </cfRule>
    <cfRule type="cellIs" dxfId="546" priority="1163" operator="greaterThan">
      <formula>0.8</formula>
    </cfRule>
  </conditionalFormatting>
  <conditionalFormatting sqref="R6:T92">
    <cfRule type="notContainsText" dxfId="545" priority="1160" operator="notContains" text="Caida">
      <formula>ISERROR(SEARCH("Caida",R6))</formula>
    </cfRule>
    <cfRule type="containsText" dxfId="544" priority="1161" operator="containsText" text="Caida">
      <formula>NOT(ISERROR(SEARCH("Caida",R6)))</formula>
    </cfRule>
  </conditionalFormatting>
  <conditionalFormatting sqref="R22:T22 W22:AD22 AF22">
    <cfRule type="containsText" dxfId="543" priority="1159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42" priority="1157" operator="lessThan">
      <formula>0.8</formula>
    </cfRule>
    <cfRule type="cellIs" dxfId="541" priority="1158" operator="greaterThan">
      <formula>0.8</formula>
    </cfRule>
  </conditionalFormatting>
  <conditionalFormatting sqref="R5:T5 W5:AD5 AF5">
    <cfRule type="notContainsText" dxfId="540" priority="1155" operator="notContains" text="Caida">
      <formula>ISERROR(SEARCH("Caida",R5))</formula>
    </cfRule>
    <cfRule type="containsText" dxfId="539" priority="1156" operator="containsText" text="Caida">
      <formula>NOT(ISERROR(SEARCH("Caida",R5)))</formula>
    </cfRule>
  </conditionalFormatting>
  <conditionalFormatting sqref="R93:T95">
    <cfRule type="cellIs" dxfId="538" priority="1153" operator="lessThan">
      <formula>0.8</formula>
    </cfRule>
    <cfRule type="cellIs" dxfId="537" priority="1154" operator="greaterThan">
      <formula>0.8</formula>
    </cfRule>
  </conditionalFormatting>
  <conditionalFormatting sqref="R93:T95">
    <cfRule type="notContainsText" dxfId="536" priority="1151" operator="notContains" text="Caida">
      <formula>ISERROR(SEARCH("Caida",R93))</formula>
    </cfRule>
    <cfRule type="containsText" dxfId="535" priority="1152" operator="containsText" text="Caida">
      <formula>NOT(ISERROR(SEARCH("Caida",R93)))</formula>
    </cfRule>
  </conditionalFormatting>
  <conditionalFormatting sqref="E1:E372 E391:E1048576">
    <cfRule type="containsText" dxfId="534" priority="1011" operator="containsText" text="fija">
      <formula>NOT(ISERROR(SEARCH("fija",E1)))</formula>
    </cfRule>
    <cfRule type="containsText" dxfId="533" priority="1012" operator="containsText" text="domo">
      <formula>NOT(ISERROR(SEARCH("domo",E1)))</formula>
    </cfRule>
  </conditionalFormatting>
  <conditionalFormatting sqref="AG6:AL92">
    <cfRule type="cellIs" dxfId="532" priority="987" operator="lessThan">
      <formula>0.8</formula>
    </cfRule>
    <cfRule type="cellIs" dxfId="531" priority="988" operator="greaterThan">
      <formula>0.8</formula>
    </cfRule>
  </conditionalFormatting>
  <conditionalFormatting sqref="AG6:AL92">
    <cfRule type="notContainsText" dxfId="530" priority="985" operator="notContains" text="Caida">
      <formula>ISERROR(SEARCH("Caida",AG6))</formula>
    </cfRule>
    <cfRule type="containsText" dxfId="529" priority="986" operator="containsText" text="Caida">
      <formula>NOT(ISERROR(SEARCH("Caida",AG6)))</formula>
    </cfRule>
  </conditionalFormatting>
  <conditionalFormatting sqref="AG22:AN22">
    <cfRule type="containsText" dxfId="528" priority="984" operator="containsText" text="Instaladas en Funcionamiento Caida">
      <formula>NOT(ISERROR(SEARCH("Instaladas en Funcionamiento Caida",AG22)))</formula>
    </cfRule>
  </conditionalFormatting>
  <conditionalFormatting sqref="AG5:AN5">
    <cfRule type="cellIs" dxfId="527" priority="982" operator="lessThan">
      <formula>0.8</formula>
    </cfRule>
    <cfRule type="cellIs" dxfId="526" priority="983" operator="greaterThan">
      <formula>0.8</formula>
    </cfRule>
  </conditionalFormatting>
  <conditionalFormatting sqref="AG5:AN5">
    <cfRule type="notContainsText" dxfId="525" priority="980" operator="notContains" text="Caida">
      <formula>ISERROR(SEARCH("Caida",AG5))</formula>
    </cfRule>
    <cfRule type="containsText" dxfId="524" priority="981" operator="containsText" text="Caida">
      <formula>NOT(ISERROR(SEARCH("Caida",AG5)))</formula>
    </cfRule>
  </conditionalFormatting>
  <conditionalFormatting sqref="AG93:AL94">
    <cfRule type="cellIs" dxfId="523" priority="978" operator="lessThan">
      <formula>0.8</formula>
    </cfRule>
    <cfRule type="cellIs" dxfId="522" priority="979" operator="greaterThan">
      <formula>0.8</formula>
    </cfRule>
  </conditionalFormatting>
  <conditionalFormatting sqref="AG93:AL94">
    <cfRule type="notContainsText" dxfId="521" priority="976" operator="notContains" text="Caida">
      <formula>ISERROR(SEARCH("Caida",AG93))</formula>
    </cfRule>
    <cfRule type="containsText" dxfId="520" priority="977" operator="containsText" text="Caida">
      <formula>NOT(ISERROR(SEARCH("Caida",AG93)))</formula>
    </cfRule>
  </conditionalFormatting>
  <conditionalFormatting sqref="K247:K372 K5:T369 AG1:AN1 AG397:AN1048576 AG5:AN372 W5:AD369 AF5:AF369">
    <cfRule type="cellIs" dxfId="519" priority="975" operator="equal">
      <formula>"APAGADO"</formula>
    </cfRule>
  </conditionalFormatting>
  <conditionalFormatting sqref="O6:O92 O96:O230">
    <cfRule type="cellIs" dxfId="518" priority="959" operator="lessThan">
      <formula>0.8</formula>
    </cfRule>
    <cfRule type="cellIs" dxfId="517" priority="960" operator="greaterThan">
      <formula>0.8</formula>
    </cfRule>
  </conditionalFormatting>
  <conditionalFormatting sqref="O6:O92 O96:O230">
    <cfRule type="notContainsText" dxfId="516" priority="957" operator="notContains" text="Caida">
      <formula>ISERROR(SEARCH("Caida",O6))</formula>
    </cfRule>
    <cfRule type="containsText" dxfId="515" priority="958" operator="containsText" text="Caida">
      <formula>NOT(ISERROR(SEARCH("Caida",O6)))</formula>
    </cfRule>
  </conditionalFormatting>
  <conditionalFormatting sqref="O337:O366 O284:O334">
    <cfRule type="cellIs" dxfId="514" priority="955" operator="lessThan">
      <formula>0.8</formula>
    </cfRule>
    <cfRule type="cellIs" dxfId="513" priority="956" operator="greaterThan">
      <formula>0.8</formula>
    </cfRule>
  </conditionalFormatting>
  <conditionalFormatting sqref="O337:O366 O284:O334">
    <cfRule type="notContainsText" dxfId="512" priority="953" operator="notContains" text="Caida">
      <formula>ISERROR(SEARCH("Caida",O284))</formula>
    </cfRule>
    <cfRule type="containsText" dxfId="511" priority="954" operator="containsText" text="Caida">
      <formula>NOT(ISERROR(SEARCH("Caida",O284)))</formula>
    </cfRule>
  </conditionalFormatting>
  <conditionalFormatting sqref="O93:O95">
    <cfRule type="cellIs" dxfId="510" priority="951" operator="lessThan">
      <formula>0.8</formula>
    </cfRule>
    <cfRule type="cellIs" dxfId="509" priority="952" operator="greaterThan">
      <formula>0.8</formula>
    </cfRule>
  </conditionalFormatting>
  <conditionalFormatting sqref="O93:O95">
    <cfRule type="notContainsText" dxfId="508" priority="949" operator="notContains" text="Caida">
      <formula>ISERROR(SEARCH("Caida",O93))</formula>
    </cfRule>
    <cfRule type="containsText" dxfId="507" priority="950" operator="containsText" text="Caida">
      <formula>NOT(ISERROR(SEARCH("Caida",O93)))</formula>
    </cfRule>
  </conditionalFormatting>
  <conditionalFormatting sqref="P6:P92 P96:P230">
    <cfRule type="cellIs" dxfId="506" priority="947" operator="lessThan">
      <formula>0.8</formula>
    </cfRule>
    <cfRule type="cellIs" dxfId="505" priority="948" operator="greaterThan">
      <formula>0.8</formula>
    </cfRule>
  </conditionalFormatting>
  <conditionalFormatting sqref="P6:P92 P96:P230">
    <cfRule type="notContainsText" dxfId="504" priority="945" operator="notContains" text="Caida">
      <formula>ISERROR(SEARCH("Caida",P6))</formula>
    </cfRule>
    <cfRule type="containsText" dxfId="503" priority="946" operator="containsText" text="Caida">
      <formula>NOT(ISERROR(SEARCH("Caida",P6)))</formula>
    </cfRule>
  </conditionalFormatting>
  <conditionalFormatting sqref="P337:P366 P284:P334">
    <cfRule type="cellIs" dxfId="502" priority="943" operator="lessThan">
      <formula>0.8</formula>
    </cfRule>
    <cfRule type="cellIs" dxfId="501" priority="944" operator="greaterThan">
      <formula>0.8</formula>
    </cfRule>
  </conditionalFormatting>
  <conditionalFormatting sqref="P337:P366 P284:P334">
    <cfRule type="notContainsText" dxfId="500" priority="941" operator="notContains" text="Caida">
      <formula>ISERROR(SEARCH("Caida",P284))</formula>
    </cfRule>
    <cfRule type="containsText" dxfId="499" priority="942" operator="containsText" text="Caida">
      <formula>NOT(ISERROR(SEARCH("Caida",P284)))</formula>
    </cfRule>
  </conditionalFormatting>
  <conditionalFormatting sqref="P93:P95">
    <cfRule type="cellIs" dxfId="498" priority="939" operator="lessThan">
      <formula>0.8</formula>
    </cfRule>
    <cfRule type="cellIs" dxfId="497" priority="940" operator="greaterThan">
      <formula>0.8</formula>
    </cfRule>
  </conditionalFormatting>
  <conditionalFormatting sqref="P93:P95">
    <cfRule type="notContainsText" dxfId="496" priority="937" operator="notContains" text="Caida">
      <formula>ISERROR(SEARCH("Caida",P93))</formula>
    </cfRule>
    <cfRule type="containsText" dxfId="495" priority="938" operator="containsText" text="Caida">
      <formula>NOT(ISERROR(SEARCH("Caida",P93)))</formula>
    </cfRule>
  </conditionalFormatting>
  <conditionalFormatting sqref="F1:F372 F391:F1048576">
    <cfRule type="cellIs" dxfId="494" priority="866" operator="equal">
      <formula>"PTP A FO"</formula>
    </cfRule>
  </conditionalFormatting>
  <conditionalFormatting sqref="N371:P372">
    <cfRule type="cellIs" dxfId="493" priority="495" operator="lessThan">
      <formula>0.8</formula>
    </cfRule>
    <cfRule type="cellIs" dxfId="492" priority="496" operator="greaterThan">
      <formula>0.8</formula>
    </cfRule>
  </conditionalFormatting>
  <conditionalFormatting sqref="N371:P372">
    <cfRule type="notContainsText" dxfId="491" priority="493" operator="notContains" text="Caida">
      <formula>ISERROR(SEARCH("Caida",N371))</formula>
    </cfRule>
    <cfRule type="containsText" dxfId="490" priority="494" operator="containsText" text="Caida">
      <formula>NOT(ISERROR(SEARCH("Caida",N371)))</formula>
    </cfRule>
  </conditionalFormatting>
  <conditionalFormatting sqref="K6:K92">
    <cfRule type="cellIs" dxfId="489" priority="483" operator="lessThan">
      <formula>0.8</formula>
    </cfRule>
    <cfRule type="cellIs" dxfId="488" priority="484" operator="greaterThan">
      <formula>0.8</formula>
    </cfRule>
  </conditionalFormatting>
  <conditionalFormatting sqref="K6:K92">
    <cfRule type="notContainsText" dxfId="487" priority="481" operator="notContains" text="Caida">
      <formula>ISERROR(SEARCH("Caida",K6))</formula>
    </cfRule>
    <cfRule type="containsText" dxfId="486" priority="482" operator="containsText" text="Caida">
      <formula>NOT(ISERROR(SEARCH("Caida",K6)))</formula>
    </cfRule>
  </conditionalFormatting>
  <conditionalFormatting sqref="K22">
    <cfRule type="containsText" dxfId="485" priority="480" operator="containsText" text="Instaladas en Funcionamiento Caida">
      <formula>NOT(ISERROR(SEARCH("Instaladas en Funcionamiento Caida",K22)))</formula>
    </cfRule>
  </conditionalFormatting>
  <conditionalFormatting sqref="K5">
    <cfRule type="cellIs" dxfId="484" priority="478" operator="lessThan">
      <formula>0.8</formula>
    </cfRule>
    <cfRule type="cellIs" dxfId="483" priority="479" operator="greaterThan">
      <formula>0.8</formula>
    </cfRule>
  </conditionalFormatting>
  <conditionalFormatting sqref="K5">
    <cfRule type="notContainsText" dxfId="482" priority="476" operator="notContains" text="Caida">
      <formula>ISERROR(SEARCH("Caida",K5))</formula>
    </cfRule>
    <cfRule type="containsText" dxfId="481" priority="477" operator="containsText" text="Caida">
      <formula>NOT(ISERROR(SEARCH("Caida",K5)))</formula>
    </cfRule>
  </conditionalFormatting>
  <conditionalFormatting sqref="K93:K94">
    <cfRule type="cellIs" dxfId="480" priority="474" operator="lessThan">
      <formula>0.8</formula>
    </cfRule>
    <cfRule type="cellIs" dxfId="479" priority="475" operator="greaterThan">
      <formula>0.8</formula>
    </cfRule>
  </conditionalFormatting>
  <conditionalFormatting sqref="K93:K94">
    <cfRule type="notContainsText" dxfId="478" priority="472" operator="notContains" text="Caida">
      <formula>ISERROR(SEARCH("Caida",K93))</formula>
    </cfRule>
    <cfRule type="containsText" dxfId="477" priority="473" operator="containsText" text="Caida">
      <formula>NOT(ISERROR(SEARCH("Caida",K93)))</formula>
    </cfRule>
  </conditionalFormatting>
  <conditionalFormatting sqref="AN6:AN92">
    <cfRule type="cellIs" dxfId="476" priority="465" operator="lessThan">
      <formula>0.8</formula>
    </cfRule>
    <cfRule type="cellIs" dxfId="475" priority="466" operator="greaterThan">
      <formula>0.8</formula>
    </cfRule>
  </conditionalFormatting>
  <conditionalFormatting sqref="AN6:AN92">
    <cfRule type="notContainsText" dxfId="474" priority="463" operator="notContains" text="Caida">
      <formula>ISERROR(SEARCH("Caida",AN6))</formula>
    </cfRule>
    <cfRule type="containsText" dxfId="473" priority="464" operator="containsText" text="Caida">
      <formula>NOT(ISERROR(SEARCH("Caida",AN6)))</formula>
    </cfRule>
  </conditionalFormatting>
  <conditionalFormatting sqref="AN93:AN94">
    <cfRule type="cellIs" dxfId="472" priority="461" operator="lessThan">
      <formula>0.8</formula>
    </cfRule>
    <cfRule type="cellIs" dxfId="471" priority="462" operator="greaterThan">
      <formula>0.8</formula>
    </cfRule>
  </conditionalFormatting>
  <conditionalFormatting sqref="AN93:AN94">
    <cfRule type="notContainsText" dxfId="470" priority="459" operator="notContains" text="Caida">
      <formula>ISERROR(SEARCH("Caida",AN93))</formula>
    </cfRule>
    <cfRule type="containsText" dxfId="469" priority="460" operator="containsText" text="Caida">
      <formula>NOT(ISERROR(SEARCH("Caida",AN93)))</formula>
    </cfRule>
  </conditionalFormatting>
  <conditionalFormatting sqref="W6:AB92">
    <cfRule type="cellIs" dxfId="468" priority="400" operator="lessThan">
      <formula>0.8</formula>
    </cfRule>
    <cfRule type="cellIs" dxfId="467" priority="401" operator="greaterThan">
      <formula>0.8</formula>
    </cfRule>
  </conditionalFormatting>
  <conditionalFormatting sqref="W6:AB92">
    <cfRule type="notContainsText" dxfId="466" priority="398" operator="notContains" text="Caida">
      <formula>ISERROR(SEARCH("Caida",W6))</formula>
    </cfRule>
    <cfRule type="containsText" dxfId="465" priority="399" operator="containsText" text="Caida">
      <formula>NOT(ISERROR(SEARCH("Caida",W6)))</formula>
    </cfRule>
  </conditionalFormatting>
  <conditionalFormatting sqref="W93:AB95">
    <cfRule type="cellIs" dxfId="464" priority="396" operator="lessThan">
      <formula>0.8</formula>
    </cfRule>
    <cfRule type="cellIs" dxfId="463" priority="397" operator="greaterThan">
      <formula>0.8</formula>
    </cfRule>
  </conditionalFormatting>
  <conditionalFormatting sqref="W93:AB95">
    <cfRule type="notContainsText" dxfId="462" priority="394" operator="notContains" text="Caida">
      <formula>ISERROR(SEARCH("Caida",W93))</formula>
    </cfRule>
    <cfRule type="containsText" dxfId="461" priority="395" operator="containsText" text="Caida">
      <formula>NOT(ISERROR(SEARCH("Caida",W93)))</formula>
    </cfRule>
  </conditionalFormatting>
  <conditionalFormatting sqref="AB1 AB5:AB372 AB397:AB1048576 AB3">
    <cfRule type="cellIs" dxfId="460" priority="393" operator="equal">
      <formula>"apagado"</formula>
    </cfRule>
  </conditionalFormatting>
  <conditionalFormatting sqref="AA1 AA5:AA372 AA397:AA1048576 AA3">
    <cfRule type="cellIs" dxfId="459" priority="392" operator="equal">
      <formula>"apagado"</formula>
    </cfRule>
  </conditionalFormatting>
  <conditionalFormatting sqref="Z1 Z5:Z372 Z397:Z1048576 Z3">
    <cfRule type="cellIs" dxfId="458" priority="391" operator="equal">
      <formula>"apagado"</formula>
    </cfRule>
  </conditionalFormatting>
  <conditionalFormatting sqref="Y1 Y5:Y372 Y397:Y1048576 Y3">
    <cfRule type="cellIs" dxfId="457" priority="390" operator="equal">
      <formula>"apagado"</formula>
    </cfRule>
  </conditionalFormatting>
  <conditionalFormatting sqref="X1 X5:X372 X397:X1048576 X3">
    <cfRule type="cellIs" dxfId="456" priority="389" operator="equal">
      <formula>"apagado"</formula>
    </cfRule>
  </conditionalFormatting>
  <conditionalFormatting sqref="W1 W5:W372 W397:W1048576 W3">
    <cfRule type="cellIs" dxfId="455" priority="388" operator="equal">
      <formula>"apagado"</formula>
    </cfRule>
  </conditionalFormatting>
  <conditionalFormatting sqref="V1 V397:V1048576 V3">
    <cfRule type="cellIs" dxfId="454" priority="387" operator="equal">
      <formula>"apagado"</formula>
    </cfRule>
  </conditionalFormatting>
  <conditionalFormatting sqref="U1 U397:U1048576 U3">
    <cfRule type="cellIs" dxfId="453" priority="386" operator="equal">
      <formula>"apagado"</formula>
    </cfRule>
  </conditionalFormatting>
  <conditionalFormatting sqref="AC6:AC92">
    <cfRule type="cellIs" dxfId="452" priority="384" operator="lessThan">
      <formula>0.8</formula>
    </cfRule>
    <cfRule type="cellIs" dxfId="451" priority="385" operator="greaterThan">
      <formula>0.8</formula>
    </cfRule>
  </conditionalFormatting>
  <conditionalFormatting sqref="AC6:AC92">
    <cfRule type="notContainsText" dxfId="450" priority="382" operator="notContains" text="Caida">
      <formula>ISERROR(SEARCH("Caida",AC6))</formula>
    </cfRule>
    <cfRule type="containsText" dxfId="449" priority="383" operator="containsText" text="Caida">
      <formula>NOT(ISERROR(SEARCH("Caida",AC6)))</formula>
    </cfRule>
  </conditionalFormatting>
  <conditionalFormatting sqref="AC93:AC95">
    <cfRule type="cellIs" dxfId="448" priority="380" operator="lessThan">
      <formula>0.8</formula>
    </cfRule>
    <cfRule type="cellIs" dxfId="447" priority="381" operator="greaterThan">
      <formula>0.8</formula>
    </cfRule>
  </conditionalFormatting>
  <conditionalFormatting sqref="AC93:AC95">
    <cfRule type="notContainsText" dxfId="446" priority="378" operator="notContains" text="Caida">
      <formula>ISERROR(SEARCH("Caida",AC93))</formula>
    </cfRule>
    <cfRule type="containsText" dxfId="445" priority="379" operator="containsText" text="Caida">
      <formula>NOT(ISERROR(SEARCH("Caida",AC93)))</formula>
    </cfRule>
  </conditionalFormatting>
  <conditionalFormatting sqref="AC1 AC5:AC372 AC397:AC1048576 AC3">
    <cfRule type="cellIs" dxfId="444" priority="377" operator="equal">
      <formula>"apagado"</formula>
    </cfRule>
  </conditionalFormatting>
  <conditionalFormatting sqref="AD6:AD92">
    <cfRule type="cellIs" dxfId="443" priority="375" operator="lessThan">
      <formula>0.8</formula>
    </cfRule>
    <cfRule type="cellIs" dxfId="442" priority="376" operator="greaterThan">
      <formula>0.8</formula>
    </cfRule>
  </conditionalFormatting>
  <conditionalFormatting sqref="AD6:AD92">
    <cfRule type="notContainsText" dxfId="441" priority="373" operator="notContains" text="Caida">
      <formula>ISERROR(SEARCH("Caida",AD6))</formula>
    </cfRule>
    <cfRule type="containsText" dxfId="440" priority="374" operator="containsText" text="Caida">
      <formula>NOT(ISERROR(SEARCH("Caida",AD6)))</formula>
    </cfRule>
  </conditionalFormatting>
  <conditionalFormatting sqref="AD93:AD95">
    <cfRule type="cellIs" dxfId="439" priority="371" operator="lessThan">
      <formula>0.8</formula>
    </cfRule>
    <cfRule type="cellIs" dxfId="438" priority="372" operator="greaterThan">
      <formula>0.8</formula>
    </cfRule>
  </conditionalFormatting>
  <conditionalFormatting sqref="AD93:AD95">
    <cfRule type="notContainsText" dxfId="437" priority="369" operator="notContains" text="Caida">
      <formula>ISERROR(SEARCH("Caida",AD93))</formula>
    </cfRule>
    <cfRule type="containsText" dxfId="436" priority="370" operator="containsText" text="Caida">
      <formula>NOT(ISERROR(SEARCH("Caida",AD93)))</formula>
    </cfRule>
  </conditionalFormatting>
  <conditionalFormatting sqref="AD1 AD397:AD1048576 AD3 AD5:AD372">
    <cfRule type="cellIs" dxfId="435" priority="368" operator="equal">
      <formula>"apagado"</formula>
    </cfRule>
  </conditionalFormatting>
  <conditionalFormatting sqref="AE1 AE397:AE1048576 AE3">
    <cfRule type="cellIs" dxfId="434" priority="359" operator="equal">
      <formula>"apagado"</formula>
    </cfRule>
  </conditionalFormatting>
  <conditionalFormatting sqref="AF6:AF92">
    <cfRule type="cellIs" dxfId="433" priority="357" operator="lessThan">
      <formula>0.8</formula>
    </cfRule>
    <cfRule type="cellIs" dxfId="432" priority="358" operator="greaterThan">
      <formula>0.8</formula>
    </cfRule>
  </conditionalFormatting>
  <conditionalFormatting sqref="AF6:AF92">
    <cfRule type="notContainsText" dxfId="431" priority="355" operator="notContains" text="Caida">
      <formula>ISERROR(SEARCH("Caida",AF6))</formula>
    </cfRule>
    <cfRule type="containsText" dxfId="430" priority="356" operator="containsText" text="Caida">
      <formula>NOT(ISERROR(SEARCH("Caida",AF6)))</formula>
    </cfRule>
  </conditionalFormatting>
  <conditionalFormatting sqref="AF93:AF95">
    <cfRule type="cellIs" dxfId="429" priority="353" operator="lessThan">
      <formula>0.8</formula>
    </cfRule>
    <cfRule type="cellIs" dxfId="428" priority="354" operator="greaterThan">
      <formula>0.8</formula>
    </cfRule>
  </conditionalFormatting>
  <conditionalFormatting sqref="AF93:AF95">
    <cfRule type="notContainsText" dxfId="427" priority="351" operator="notContains" text="Caida">
      <formula>ISERROR(SEARCH("Caida",AF93))</formula>
    </cfRule>
    <cfRule type="containsText" dxfId="426" priority="352" operator="containsText" text="Caida">
      <formula>NOT(ISERROR(SEARCH("Caida",AF93)))</formula>
    </cfRule>
  </conditionalFormatting>
  <conditionalFormatting sqref="AF1 AF5:AF372 AF397:AF1048576 AF3">
    <cfRule type="cellIs" dxfId="425" priority="350" operator="equal">
      <formula>"apagado"</formula>
    </cfRule>
  </conditionalFormatting>
  <conditionalFormatting sqref="AM95:AM369">
    <cfRule type="cellIs" dxfId="424" priority="331" operator="lessThan">
      <formula>0.8</formula>
    </cfRule>
    <cfRule type="cellIs" dxfId="423" priority="332" operator="greaterThan">
      <formula>0.8</formula>
    </cfRule>
  </conditionalFormatting>
  <conditionalFormatting sqref="AM95:AM372 AM397:AM1048576">
    <cfRule type="notContainsText" dxfId="422" priority="329" operator="notContains" text="Caida">
      <formula>ISERROR(SEARCH("Caida",AM95))</formula>
    </cfRule>
    <cfRule type="containsText" dxfId="421" priority="330" operator="containsText" text="Caida">
      <formula>NOT(ISERROR(SEARCH("Caida",AM95)))</formula>
    </cfRule>
  </conditionalFormatting>
  <conditionalFormatting sqref="AM6:AM92">
    <cfRule type="cellIs" dxfId="420" priority="327" operator="lessThan">
      <formula>0.8</formula>
    </cfRule>
    <cfRule type="cellIs" dxfId="419" priority="328" operator="greaterThan">
      <formula>0.8</formula>
    </cfRule>
  </conditionalFormatting>
  <conditionalFormatting sqref="AM6:AM92">
    <cfRule type="notContainsText" dxfId="418" priority="325" operator="notContains" text="Caida">
      <formula>ISERROR(SEARCH("Caida",AM6))</formula>
    </cfRule>
    <cfRule type="containsText" dxfId="417" priority="326" operator="containsText" text="Caida">
      <formula>NOT(ISERROR(SEARCH("Caida",AM6)))</formula>
    </cfRule>
  </conditionalFormatting>
  <conditionalFormatting sqref="AM93:AM94">
    <cfRule type="cellIs" dxfId="416" priority="323" operator="lessThan">
      <formula>0.8</formula>
    </cfRule>
    <cfRule type="cellIs" dxfId="415" priority="324" operator="greaterThan">
      <formula>0.8</formula>
    </cfRule>
  </conditionalFormatting>
  <conditionalFormatting sqref="AM93:AM94">
    <cfRule type="notContainsText" dxfId="414" priority="321" operator="notContains" text="Caida">
      <formula>ISERROR(SEARCH("Caida",AM93))</formula>
    </cfRule>
    <cfRule type="containsText" dxfId="413" priority="322" operator="containsText" text="Caida">
      <formula>NOT(ISERROR(SEARCH("Caida",AM93)))</formula>
    </cfRule>
  </conditionalFormatting>
  <conditionalFormatting sqref="AM10">
    <cfRule type="cellIs" dxfId="412" priority="316" operator="equal">
      <formula>"apagado"</formula>
    </cfRule>
    <cfRule type="cellIs" dxfId="411" priority="319" operator="lessThan">
      <formula>0.8</formula>
    </cfRule>
    <cfRule type="cellIs" dxfId="410" priority="320" operator="greaterThan">
      <formula>0.8</formula>
    </cfRule>
  </conditionalFormatting>
  <conditionalFormatting sqref="AM10">
    <cfRule type="notContainsText" dxfId="409" priority="317" operator="notContains" text="Caida">
      <formula>ISERROR(SEARCH("Caida",AM10))</formula>
    </cfRule>
    <cfRule type="containsText" dxfId="408" priority="318" operator="containsText" text="Caida">
      <formula>NOT(ISERROR(SEARCH("Caida",AM10)))</formula>
    </cfRule>
  </conditionalFormatting>
  <conditionalFormatting sqref="AM1 AM5:AM372 AM397:AM1048576 AM3">
    <cfRule type="cellIs" dxfId="407" priority="315" operator="equal">
      <formula>"apagado"</formula>
    </cfRule>
  </conditionalFormatting>
  <conditionalFormatting sqref="K5:T372 W5:AD372 AF5:AN372">
    <cfRule type="cellIs" dxfId="406" priority="314" operator="equal">
      <formula>"APAGADO"</formula>
    </cfRule>
  </conditionalFormatting>
  <conditionalFormatting sqref="U96:U372">
    <cfRule type="cellIs" dxfId="405" priority="276" operator="lessThan">
      <formula>0.8</formula>
    </cfRule>
    <cfRule type="cellIs" dxfId="404" priority="277" operator="greaterThan">
      <formula>0.8</formula>
    </cfRule>
  </conditionalFormatting>
  <conditionalFormatting sqref="U96:U372">
    <cfRule type="notContainsText" dxfId="403" priority="274" operator="notContains" text="Caida">
      <formula>ISERROR(SEARCH("Caida",U96))</formula>
    </cfRule>
    <cfRule type="containsText" dxfId="402" priority="275" operator="containsText" text="Caida">
      <formula>NOT(ISERROR(SEARCH("Caida",U96)))</formula>
    </cfRule>
  </conditionalFormatting>
  <conditionalFormatting sqref="U22">
    <cfRule type="containsText" dxfId="401" priority="273" operator="containsText" text="Instaladas en Funcionamiento Caida">
      <formula>NOT(ISERROR(SEARCH("Instaladas en Funcionamiento Caida",U22)))</formula>
    </cfRule>
  </conditionalFormatting>
  <conditionalFormatting sqref="U5">
    <cfRule type="cellIs" dxfId="400" priority="271" operator="lessThan">
      <formula>0.8</formula>
    </cfRule>
    <cfRule type="cellIs" dxfId="399" priority="272" operator="greaterThan">
      <formula>0.8</formula>
    </cfRule>
  </conditionalFormatting>
  <conditionalFormatting sqref="U5">
    <cfRule type="notContainsText" dxfId="398" priority="269" operator="notContains" text="Caida">
      <formula>ISERROR(SEARCH("Caida",U5))</formula>
    </cfRule>
    <cfRule type="containsText" dxfId="397" priority="270" operator="containsText" text="Caida">
      <formula>NOT(ISERROR(SEARCH("Caida",U5)))</formula>
    </cfRule>
  </conditionalFormatting>
  <conditionalFormatting sqref="U5:U372">
    <cfRule type="cellIs" dxfId="396" priority="268" operator="equal">
      <formula>"APAGADO"</formula>
    </cfRule>
  </conditionalFormatting>
  <conditionalFormatting sqref="U6:U92">
    <cfRule type="cellIs" dxfId="395" priority="266" operator="lessThan">
      <formula>0.8</formula>
    </cfRule>
    <cfRule type="cellIs" dxfId="394" priority="267" operator="greaterThan">
      <formula>0.8</formula>
    </cfRule>
  </conditionalFormatting>
  <conditionalFormatting sqref="U6:U92">
    <cfRule type="notContainsText" dxfId="393" priority="264" operator="notContains" text="Caida">
      <formula>ISERROR(SEARCH("Caida",U6))</formula>
    </cfRule>
    <cfRule type="containsText" dxfId="392" priority="265" operator="containsText" text="Caida">
      <formula>NOT(ISERROR(SEARCH("Caida",U6)))</formula>
    </cfRule>
  </conditionalFormatting>
  <conditionalFormatting sqref="U93:U95">
    <cfRule type="cellIs" dxfId="391" priority="262" operator="lessThan">
      <formula>0.8</formula>
    </cfRule>
    <cfRule type="cellIs" dxfId="390" priority="263" operator="greaterThan">
      <formula>0.8</formula>
    </cfRule>
  </conditionalFormatting>
  <conditionalFormatting sqref="U93:U95">
    <cfRule type="notContainsText" dxfId="389" priority="260" operator="notContains" text="Caida">
      <formula>ISERROR(SEARCH("Caida",U93))</formula>
    </cfRule>
    <cfRule type="containsText" dxfId="388" priority="261" operator="containsText" text="Caida">
      <formula>NOT(ISERROR(SEARCH("Caida",U93)))</formula>
    </cfRule>
  </conditionalFormatting>
  <conditionalFormatting sqref="U5:U372">
    <cfRule type="cellIs" dxfId="387" priority="259" operator="equal">
      <formula>"apagado"</formula>
    </cfRule>
  </conditionalFormatting>
  <conditionalFormatting sqref="V96:V372">
    <cfRule type="cellIs" dxfId="386" priority="256" operator="lessThan">
      <formula>0.8</formula>
    </cfRule>
    <cfRule type="cellIs" dxfId="385" priority="257" operator="greaterThan">
      <formula>0.8</formula>
    </cfRule>
  </conditionalFormatting>
  <conditionalFormatting sqref="V96:V372">
    <cfRule type="notContainsText" dxfId="384" priority="254" operator="notContains" text="Caida">
      <formula>ISERROR(SEARCH("Caida",V96))</formula>
    </cfRule>
    <cfRule type="containsText" dxfId="383" priority="255" operator="containsText" text="Caida">
      <formula>NOT(ISERROR(SEARCH("Caida",V96)))</formula>
    </cfRule>
  </conditionalFormatting>
  <conditionalFormatting sqref="V22">
    <cfRule type="containsText" dxfId="382" priority="253" operator="containsText" text="Instaladas en Funcionamiento Caida">
      <formula>NOT(ISERROR(SEARCH("Instaladas en Funcionamiento Caida",V22)))</formula>
    </cfRule>
  </conditionalFormatting>
  <conditionalFormatting sqref="V5">
    <cfRule type="cellIs" dxfId="381" priority="251" operator="lessThan">
      <formula>0.8</formula>
    </cfRule>
    <cfRule type="cellIs" dxfId="380" priority="252" operator="greaterThan">
      <formula>0.8</formula>
    </cfRule>
  </conditionalFormatting>
  <conditionalFormatting sqref="V5">
    <cfRule type="notContainsText" dxfId="379" priority="249" operator="notContains" text="Caida">
      <formula>ISERROR(SEARCH("Caida",V5))</formula>
    </cfRule>
    <cfRule type="containsText" dxfId="378" priority="250" operator="containsText" text="Caida">
      <formula>NOT(ISERROR(SEARCH("Caida",V5)))</formula>
    </cfRule>
  </conditionalFormatting>
  <conditionalFormatting sqref="V5:V372">
    <cfRule type="cellIs" dxfId="377" priority="248" operator="equal">
      <formula>"APAGADO"</formula>
    </cfRule>
  </conditionalFormatting>
  <conditionalFormatting sqref="V6:V92">
    <cfRule type="cellIs" dxfId="376" priority="246" operator="lessThan">
      <formula>0.8</formula>
    </cfRule>
    <cfRule type="cellIs" dxfId="375" priority="247" operator="greaterThan">
      <formula>0.8</formula>
    </cfRule>
  </conditionalFormatting>
  <conditionalFormatting sqref="V6:V92">
    <cfRule type="notContainsText" dxfId="374" priority="244" operator="notContains" text="Caida">
      <formula>ISERROR(SEARCH("Caida",V6))</formula>
    </cfRule>
    <cfRule type="containsText" dxfId="373" priority="245" operator="containsText" text="Caida">
      <formula>NOT(ISERROR(SEARCH("Caida",V6)))</formula>
    </cfRule>
  </conditionalFormatting>
  <conditionalFormatting sqref="V93:V95">
    <cfRule type="cellIs" dxfId="372" priority="242" operator="lessThan">
      <formula>0.8</formula>
    </cfRule>
    <cfRule type="cellIs" dxfId="371" priority="243" operator="greaterThan">
      <formula>0.8</formula>
    </cfRule>
  </conditionalFormatting>
  <conditionalFormatting sqref="V93:V95">
    <cfRule type="notContainsText" dxfId="370" priority="240" operator="notContains" text="Caida">
      <formula>ISERROR(SEARCH("Caida",V93))</formula>
    </cfRule>
    <cfRule type="containsText" dxfId="369" priority="241" operator="containsText" text="Caida">
      <formula>NOT(ISERROR(SEARCH("Caida",V93)))</formula>
    </cfRule>
  </conditionalFormatting>
  <conditionalFormatting sqref="V5:V372">
    <cfRule type="cellIs" dxfId="368" priority="239" operator="equal">
      <formula>"apagado"</formula>
    </cfRule>
  </conditionalFormatting>
  <conditionalFormatting sqref="AD94">
    <cfRule type="cellIs" dxfId="367" priority="236" operator="lessThan">
      <formula>0.8</formula>
    </cfRule>
    <cfRule type="cellIs" dxfId="366" priority="237" operator="greaterThan">
      <formula>0.8</formula>
    </cfRule>
  </conditionalFormatting>
  <conditionalFormatting sqref="AD94">
    <cfRule type="notContainsText" dxfId="365" priority="234" operator="notContains" text="Caida">
      <formula>ISERROR(SEARCH("Caida",AD94))</formula>
    </cfRule>
    <cfRule type="containsText" dxfId="364" priority="235" operator="containsText" text="Caida">
      <formula>NOT(ISERROR(SEARCH("Caida",AD94)))</formula>
    </cfRule>
  </conditionalFormatting>
  <conditionalFormatting sqref="AD96">
    <cfRule type="cellIs" dxfId="363" priority="232" operator="lessThan">
      <formula>0.8</formula>
    </cfRule>
    <cfRule type="cellIs" dxfId="362" priority="233" operator="greaterThan">
      <formula>0.8</formula>
    </cfRule>
  </conditionalFormatting>
  <conditionalFormatting sqref="AD96">
    <cfRule type="notContainsText" dxfId="361" priority="230" operator="notContains" text="Caida">
      <formula>ISERROR(SEARCH("Caida",AD96))</formula>
    </cfRule>
    <cfRule type="containsText" dxfId="360" priority="231" operator="containsText" text="Caida">
      <formula>NOT(ISERROR(SEARCH("Caida",AD96)))</formula>
    </cfRule>
  </conditionalFormatting>
  <conditionalFormatting sqref="AD99">
    <cfRule type="cellIs" dxfId="359" priority="228" operator="lessThan">
      <formula>0.8</formula>
    </cfRule>
    <cfRule type="cellIs" dxfId="358" priority="229" operator="greaterThan">
      <formula>0.8</formula>
    </cfRule>
  </conditionalFormatting>
  <conditionalFormatting sqref="AD99">
    <cfRule type="notContainsText" dxfId="357" priority="226" operator="notContains" text="Caida">
      <formula>ISERROR(SEARCH("Caida",AD99))</formula>
    </cfRule>
    <cfRule type="containsText" dxfId="356" priority="227" operator="containsText" text="Caida">
      <formula>NOT(ISERROR(SEARCH("Caida",AD99)))</formula>
    </cfRule>
  </conditionalFormatting>
  <conditionalFormatting sqref="AD115">
    <cfRule type="cellIs" dxfId="355" priority="224" operator="lessThan">
      <formula>0.8</formula>
    </cfRule>
    <cfRule type="cellIs" dxfId="354" priority="225" operator="greaterThan">
      <formula>0.8</formula>
    </cfRule>
  </conditionalFormatting>
  <conditionalFormatting sqref="AD115">
    <cfRule type="notContainsText" dxfId="353" priority="222" operator="notContains" text="Caida">
      <formula>ISERROR(SEARCH("Caida",AD115))</formula>
    </cfRule>
    <cfRule type="containsText" dxfId="352" priority="223" operator="containsText" text="Caida">
      <formula>NOT(ISERROR(SEARCH("Caida",AD115)))</formula>
    </cfRule>
  </conditionalFormatting>
  <conditionalFormatting sqref="AD116">
    <cfRule type="cellIs" dxfId="351" priority="220" operator="lessThan">
      <formula>0.8</formula>
    </cfRule>
    <cfRule type="cellIs" dxfId="350" priority="221" operator="greaterThan">
      <formula>0.8</formula>
    </cfRule>
  </conditionalFormatting>
  <conditionalFormatting sqref="AD116">
    <cfRule type="notContainsText" dxfId="349" priority="218" operator="notContains" text="Caida">
      <formula>ISERROR(SEARCH("Caida",AD116))</formula>
    </cfRule>
    <cfRule type="containsText" dxfId="348" priority="219" operator="containsText" text="Caida">
      <formula>NOT(ISERROR(SEARCH("Caida",AD116)))</formula>
    </cfRule>
  </conditionalFormatting>
  <conditionalFormatting sqref="AD120">
    <cfRule type="cellIs" dxfId="347" priority="216" operator="lessThan">
      <formula>0.8</formula>
    </cfRule>
    <cfRule type="cellIs" dxfId="346" priority="217" operator="greaterThan">
      <formula>0.8</formula>
    </cfRule>
  </conditionalFormatting>
  <conditionalFormatting sqref="AD120">
    <cfRule type="notContainsText" dxfId="345" priority="214" operator="notContains" text="Caida">
      <formula>ISERROR(SEARCH("Caida",AD120))</formula>
    </cfRule>
    <cfRule type="containsText" dxfId="344" priority="215" operator="containsText" text="Caida">
      <formula>NOT(ISERROR(SEARCH("Caida",AD120)))</formula>
    </cfRule>
  </conditionalFormatting>
  <conditionalFormatting sqref="AD121">
    <cfRule type="cellIs" dxfId="343" priority="212" operator="lessThan">
      <formula>0.8</formula>
    </cfRule>
    <cfRule type="cellIs" dxfId="342" priority="213" operator="greaterThan">
      <formula>0.8</formula>
    </cfRule>
  </conditionalFormatting>
  <conditionalFormatting sqref="AD121">
    <cfRule type="notContainsText" dxfId="341" priority="210" operator="notContains" text="Caida">
      <formula>ISERROR(SEARCH("Caida",AD121))</formula>
    </cfRule>
    <cfRule type="containsText" dxfId="340" priority="211" operator="containsText" text="Caida">
      <formula>NOT(ISERROR(SEARCH("Caida",AD121)))</formula>
    </cfRule>
  </conditionalFormatting>
  <conditionalFormatting sqref="AD133">
    <cfRule type="cellIs" dxfId="339" priority="208" operator="lessThan">
      <formula>0.8</formula>
    </cfRule>
    <cfRule type="cellIs" dxfId="338" priority="209" operator="greaterThan">
      <formula>0.8</formula>
    </cfRule>
  </conditionalFormatting>
  <conditionalFormatting sqref="AD133">
    <cfRule type="notContainsText" dxfId="337" priority="206" operator="notContains" text="Caida">
      <formula>ISERROR(SEARCH("Caida",AD133))</formula>
    </cfRule>
    <cfRule type="containsText" dxfId="336" priority="207" operator="containsText" text="Caida">
      <formula>NOT(ISERROR(SEARCH("Caida",AD133)))</formula>
    </cfRule>
  </conditionalFormatting>
  <conditionalFormatting sqref="AD135">
    <cfRule type="cellIs" dxfId="335" priority="204" operator="lessThan">
      <formula>0.8</formula>
    </cfRule>
    <cfRule type="cellIs" dxfId="334" priority="205" operator="greaterThan">
      <formula>0.8</formula>
    </cfRule>
  </conditionalFormatting>
  <conditionalFormatting sqref="AD135">
    <cfRule type="notContainsText" dxfId="333" priority="202" operator="notContains" text="Caida">
      <formula>ISERROR(SEARCH("Caida",AD135))</formula>
    </cfRule>
    <cfRule type="containsText" dxfId="332" priority="203" operator="containsText" text="Caida">
      <formula>NOT(ISERROR(SEARCH("Caida",AD135)))</formula>
    </cfRule>
  </conditionalFormatting>
  <conditionalFormatting sqref="AD142">
    <cfRule type="cellIs" dxfId="331" priority="200" operator="lessThan">
      <formula>0.8</formula>
    </cfRule>
    <cfRule type="cellIs" dxfId="330" priority="201" operator="greaterThan">
      <formula>0.8</formula>
    </cfRule>
  </conditionalFormatting>
  <conditionalFormatting sqref="AD142">
    <cfRule type="notContainsText" dxfId="329" priority="198" operator="notContains" text="Caida">
      <formula>ISERROR(SEARCH("Caida",AD142))</formula>
    </cfRule>
    <cfRule type="containsText" dxfId="328" priority="199" operator="containsText" text="Caida">
      <formula>NOT(ISERROR(SEARCH("Caida",AD142)))</formula>
    </cfRule>
  </conditionalFormatting>
  <conditionalFormatting sqref="AD143">
    <cfRule type="cellIs" dxfId="327" priority="196" operator="lessThan">
      <formula>0.8</formula>
    </cfRule>
    <cfRule type="cellIs" dxfId="326" priority="197" operator="greaterThan">
      <formula>0.8</formula>
    </cfRule>
  </conditionalFormatting>
  <conditionalFormatting sqref="AD143">
    <cfRule type="notContainsText" dxfId="325" priority="194" operator="notContains" text="Caida">
      <formula>ISERROR(SEARCH("Caida",AD143))</formula>
    </cfRule>
    <cfRule type="containsText" dxfId="324" priority="195" operator="containsText" text="Caida">
      <formula>NOT(ISERROR(SEARCH("Caida",AD143)))</formula>
    </cfRule>
  </conditionalFormatting>
  <conditionalFormatting sqref="AD144">
    <cfRule type="cellIs" dxfId="323" priority="192" operator="lessThan">
      <formula>0.8</formula>
    </cfRule>
    <cfRule type="cellIs" dxfId="322" priority="193" operator="greaterThan">
      <formula>0.8</formula>
    </cfRule>
  </conditionalFormatting>
  <conditionalFormatting sqref="AD144">
    <cfRule type="notContainsText" dxfId="321" priority="190" operator="notContains" text="Caida">
      <formula>ISERROR(SEARCH("Caida",AD144))</formula>
    </cfRule>
    <cfRule type="containsText" dxfId="320" priority="191" operator="containsText" text="Caida">
      <formula>NOT(ISERROR(SEARCH("Caida",AD144)))</formula>
    </cfRule>
  </conditionalFormatting>
  <conditionalFormatting sqref="AD163">
    <cfRule type="cellIs" dxfId="319" priority="188" operator="lessThan">
      <formula>0.8</formula>
    </cfRule>
    <cfRule type="cellIs" dxfId="318" priority="189" operator="greaterThan">
      <formula>0.8</formula>
    </cfRule>
  </conditionalFormatting>
  <conditionalFormatting sqref="AD163">
    <cfRule type="notContainsText" dxfId="317" priority="186" operator="notContains" text="Caida">
      <formula>ISERROR(SEARCH("Caida",AD163))</formula>
    </cfRule>
    <cfRule type="containsText" dxfId="316" priority="187" operator="containsText" text="Caida">
      <formula>NOT(ISERROR(SEARCH("Caida",AD163)))</formula>
    </cfRule>
  </conditionalFormatting>
  <conditionalFormatting sqref="AD164">
    <cfRule type="cellIs" dxfId="315" priority="184" operator="lessThan">
      <formula>0.8</formula>
    </cfRule>
    <cfRule type="cellIs" dxfId="314" priority="185" operator="greaterThan">
      <formula>0.8</formula>
    </cfRule>
  </conditionalFormatting>
  <conditionalFormatting sqref="AD164">
    <cfRule type="notContainsText" dxfId="313" priority="182" operator="notContains" text="Caida">
      <formula>ISERROR(SEARCH("Caida",AD164))</formula>
    </cfRule>
    <cfRule type="containsText" dxfId="312" priority="183" operator="containsText" text="Caida">
      <formula>NOT(ISERROR(SEARCH("Caida",AD164)))</formula>
    </cfRule>
  </conditionalFormatting>
  <conditionalFormatting sqref="AD166">
    <cfRule type="cellIs" dxfId="311" priority="180" operator="lessThan">
      <formula>0.8</formula>
    </cfRule>
    <cfRule type="cellIs" dxfId="310" priority="181" operator="greaterThan">
      <formula>0.8</formula>
    </cfRule>
  </conditionalFormatting>
  <conditionalFormatting sqref="AD166">
    <cfRule type="notContainsText" dxfId="309" priority="178" operator="notContains" text="Caida">
      <formula>ISERROR(SEARCH("Caida",AD166))</formula>
    </cfRule>
    <cfRule type="containsText" dxfId="308" priority="179" operator="containsText" text="Caida">
      <formula>NOT(ISERROR(SEARCH("Caida",AD166)))</formula>
    </cfRule>
  </conditionalFormatting>
  <conditionalFormatting sqref="AD177">
    <cfRule type="cellIs" dxfId="307" priority="176" operator="lessThan">
      <formula>0.8</formula>
    </cfRule>
    <cfRule type="cellIs" dxfId="306" priority="177" operator="greaterThan">
      <formula>0.8</formula>
    </cfRule>
  </conditionalFormatting>
  <conditionalFormatting sqref="AD177">
    <cfRule type="notContainsText" dxfId="305" priority="174" operator="notContains" text="Caida">
      <formula>ISERROR(SEARCH("Caida",AD177))</formula>
    </cfRule>
    <cfRule type="containsText" dxfId="304" priority="175" operator="containsText" text="Caida">
      <formula>NOT(ISERROR(SEARCH("Caida",AD177)))</formula>
    </cfRule>
  </conditionalFormatting>
  <conditionalFormatting sqref="AD191">
    <cfRule type="cellIs" dxfId="303" priority="172" operator="lessThan">
      <formula>0.8</formula>
    </cfRule>
    <cfRule type="cellIs" dxfId="302" priority="173" operator="greaterThan">
      <formula>0.8</formula>
    </cfRule>
  </conditionalFormatting>
  <conditionalFormatting sqref="AD191">
    <cfRule type="notContainsText" dxfId="301" priority="170" operator="notContains" text="Caida">
      <formula>ISERROR(SEARCH("Caida",AD191))</formula>
    </cfRule>
    <cfRule type="containsText" dxfId="300" priority="171" operator="containsText" text="Caida">
      <formula>NOT(ISERROR(SEARCH("Caida",AD191)))</formula>
    </cfRule>
  </conditionalFormatting>
  <conditionalFormatting sqref="AD192">
    <cfRule type="cellIs" dxfId="299" priority="168" operator="lessThan">
      <formula>0.8</formula>
    </cfRule>
    <cfRule type="cellIs" dxfId="298" priority="169" operator="greaterThan">
      <formula>0.8</formula>
    </cfRule>
  </conditionalFormatting>
  <conditionalFormatting sqref="AD192">
    <cfRule type="notContainsText" dxfId="297" priority="166" operator="notContains" text="Caida">
      <formula>ISERROR(SEARCH("Caida",AD192))</formula>
    </cfRule>
    <cfRule type="containsText" dxfId="296" priority="167" operator="containsText" text="Caida">
      <formula>NOT(ISERROR(SEARCH("Caida",AD192)))</formula>
    </cfRule>
  </conditionalFormatting>
  <conditionalFormatting sqref="AD198">
    <cfRule type="cellIs" dxfId="295" priority="164" operator="lessThan">
      <formula>0.8</formula>
    </cfRule>
    <cfRule type="cellIs" dxfId="294" priority="165" operator="greaterThan">
      <formula>0.8</formula>
    </cfRule>
  </conditionalFormatting>
  <conditionalFormatting sqref="AD198">
    <cfRule type="notContainsText" dxfId="293" priority="162" operator="notContains" text="Caida">
      <formula>ISERROR(SEARCH("Caida",AD198))</formula>
    </cfRule>
    <cfRule type="containsText" dxfId="292" priority="163" operator="containsText" text="Caida">
      <formula>NOT(ISERROR(SEARCH("Caida",AD198)))</formula>
    </cfRule>
  </conditionalFormatting>
  <conditionalFormatting sqref="AD206">
    <cfRule type="cellIs" dxfId="291" priority="160" operator="lessThan">
      <formula>0.8</formula>
    </cfRule>
    <cfRule type="cellIs" dxfId="290" priority="161" operator="greaterThan">
      <formula>0.8</formula>
    </cfRule>
  </conditionalFormatting>
  <conditionalFormatting sqref="AD206">
    <cfRule type="notContainsText" dxfId="289" priority="158" operator="notContains" text="Caida">
      <formula>ISERROR(SEARCH("Caida",AD206))</formula>
    </cfRule>
    <cfRule type="containsText" dxfId="288" priority="159" operator="containsText" text="Caida">
      <formula>NOT(ISERROR(SEARCH("Caida",AD206)))</formula>
    </cfRule>
  </conditionalFormatting>
  <conditionalFormatting sqref="AD211">
    <cfRule type="cellIs" dxfId="287" priority="156" operator="lessThan">
      <formula>0.8</formula>
    </cfRule>
    <cfRule type="cellIs" dxfId="286" priority="157" operator="greaterThan">
      <formula>0.8</formula>
    </cfRule>
  </conditionalFormatting>
  <conditionalFormatting sqref="AD211">
    <cfRule type="notContainsText" dxfId="285" priority="154" operator="notContains" text="Caida">
      <formula>ISERROR(SEARCH("Caida",AD211))</formula>
    </cfRule>
    <cfRule type="containsText" dxfId="284" priority="155" operator="containsText" text="Caida">
      <formula>NOT(ISERROR(SEARCH("Caida",AD211)))</formula>
    </cfRule>
  </conditionalFormatting>
  <conditionalFormatting sqref="AD212">
    <cfRule type="cellIs" dxfId="283" priority="152" operator="lessThan">
      <formula>0.8</formula>
    </cfRule>
    <cfRule type="cellIs" dxfId="282" priority="153" operator="greaterThan">
      <formula>0.8</formula>
    </cfRule>
  </conditionalFormatting>
  <conditionalFormatting sqref="AD212">
    <cfRule type="notContainsText" dxfId="281" priority="150" operator="notContains" text="Caida">
      <formula>ISERROR(SEARCH("Caida",AD212))</formula>
    </cfRule>
    <cfRule type="containsText" dxfId="280" priority="151" operator="containsText" text="Caida">
      <formula>NOT(ISERROR(SEARCH("Caida",AD212)))</formula>
    </cfRule>
  </conditionalFormatting>
  <conditionalFormatting sqref="AD359">
    <cfRule type="cellIs" dxfId="279" priority="149" operator="equal">
      <formula>"apagado"</formula>
    </cfRule>
  </conditionalFormatting>
  <conditionalFormatting sqref="AD360">
    <cfRule type="cellIs" dxfId="278" priority="148" operator="equal">
      <formula>"apagado"</formula>
    </cfRule>
  </conditionalFormatting>
  <conditionalFormatting sqref="AD361">
    <cfRule type="cellIs" dxfId="277" priority="147" operator="equal">
      <formula>"apagado"</formula>
    </cfRule>
  </conditionalFormatting>
  <conditionalFormatting sqref="AD362">
    <cfRule type="cellIs" dxfId="276" priority="146" operator="equal">
      <formula>"apagado"</formula>
    </cfRule>
  </conditionalFormatting>
  <conditionalFormatting sqref="AD206">
    <cfRule type="cellIs" dxfId="275" priority="145" operator="equal">
      <formula>"apagado"</formula>
    </cfRule>
  </conditionalFormatting>
  <conditionalFormatting sqref="AD211">
    <cfRule type="cellIs" dxfId="274" priority="144" operator="equal">
      <formula>"apagado"</formula>
    </cfRule>
  </conditionalFormatting>
  <conditionalFormatting sqref="AD212">
    <cfRule type="cellIs" dxfId="273" priority="143" operator="equal">
      <formula>"apagado"</formula>
    </cfRule>
  </conditionalFormatting>
  <conditionalFormatting sqref="AD198">
    <cfRule type="cellIs" dxfId="272" priority="142" operator="equal">
      <formula>"apagado"</formula>
    </cfRule>
  </conditionalFormatting>
  <conditionalFormatting sqref="AD192">
    <cfRule type="cellIs" dxfId="271" priority="141" operator="equal">
      <formula>"apagado"</formula>
    </cfRule>
  </conditionalFormatting>
  <conditionalFormatting sqref="AD191">
    <cfRule type="cellIs" dxfId="270" priority="140" operator="equal">
      <formula>"apagado"</formula>
    </cfRule>
  </conditionalFormatting>
  <conditionalFormatting sqref="AD177">
    <cfRule type="cellIs" dxfId="269" priority="139" operator="equal">
      <formula>"apagado"</formula>
    </cfRule>
  </conditionalFormatting>
  <conditionalFormatting sqref="AD166">
    <cfRule type="cellIs" dxfId="268" priority="138" operator="equal">
      <formula>"apagado"</formula>
    </cfRule>
  </conditionalFormatting>
  <conditionalFormatting sqref="AD163">
    <cfRule type="cellIs" dxfId="267" priority="137" operator="equal">
      <formula>"apagado"</formula>
    </cfRule>
  </conditionalFormatting>
  <conditionalFormatting sqref="AD164">
    <cfRule type="cellIs" dxfId="266" priority="136" operator="equal">
      <formula>"apagado"</formula>
    </cfRule>
  </conditionalFormatting>
  <conditionalFormatting sqref="AD142">
    <cfRule type="cellIs" dxfId="265" priority="135" operator="equal">
      <formula>"apagado"</formula>
    </cfRule>
  </conditionalFormatting>
  <conditionalFormatting sqref="AD143">
    <cfRule type="cellIs" dxfId="264" priority="134" operator="equal">
      <formula>"apagado"</formula>
    </cfRule>
  </conditionalFormatting>
  <conditionalFormatting sqref="AD144">
    <cfRule type="cellIs" dxfId="263" priority="133" operator="equal">
      <formula>"apagado"</formula>
    </cfRule>
  </conditionalFormatting>
  <conditionalFormatting sqref="AD133">
    <cfRule type="cellIs" dxfId="262" priority="132" operator="equal">
      <formula>"apagado"</formula>
    </cfRule>
  </conditionalFormatting>
  <conditionalFormatting sqref="AD135">
    <cfRule type="cellIs" dxfId="261" priority="131" operator="equal">
      <formula>"apagado"</formula>
    </cfRule>
  </conditionalFormatting>
  <conditionalFormatting sqref="AD115">
    <cfRule type="cellIs" dxfId="260" priority="130" operator="equal">
      <formula>"apagado"</formula>
    </cfRule>
  </conditionalFormatting>
  <conditionalFormatting sqref="AD116">
    <cfRule type="cellIs" dxfId="259" priority="129" operator="equal">
      <formula>"apagado"</formula>
    </cfRule>
  </conditionalFormatting>
  <conditionalFormatting sqref="AD120">
    <cfRule type="cellIs" dxfId="258" priority="128" operator="equal">
      <formula>"apagado"</formula>
    </cfRule>
  </conditionalFormatting>
  <conditionalFormatting sqref="AD121">
    <cfRule type="cellIs" dxfId="257" priority="127" operator="equal">
      <formula>"apagado"</formula>
    </cfRule>
  </conditionalFormatting>
  <conditionalFormatting sqref="AD99">
    <cfRule type="cellIs" dxfId="256" priority="126" operator="equal">
      <formula>"apagado"</formula>
    </cfRule>
  </conditionalFormatting>
  <conditionalFormatting sqref="AD94">
    <cfRule type="cellIs" dxfId="255" priority="124" operator="lessThan">
      <formula>0.8</formula>
    </cfRule>
    <cfRule type="cellIs" dxfId="254" priority="125" operator="greaterThan">
      <formula>0.8</formula>
    </cfRule>
  </conditionalFormatting>
  <conditionalFormatting sqref="AD94">
    <cfRule type="notContainsText" dxfId="253" priority="122" operator="notContains" text="Caida">
      <formula>ISERROR(SEARCH("Caida",AD94))</formula>
    </cfRule>
    <cfRule type="containsText" dxfId="252" priority="123" operator="containsText" text="Caida">
      <formula>NOT(ISERROR(SEARCH("Caida",AD94)))</formula>
    </cfRule>
  </conditionalFormatting>
  <conditionalFormatting sqref="AD94">
    <cfRule type="cellIs" dxfId="251" priority="121" operator="equal">
      <formula>"apagado"</formula>
    </cfRule>
  </conditionalFormatting>
  <conditionalFormatting sqref="AD96">
    <cfRule type="cellIs" dxfId="250" priority="120" operator="equal">
      <formula>"apagado"</formula>
    </cfRule>
  </conditionalFormatting>
  <conditionalFormatting sqref="R373:T396 W373:AD396 J373:J396 AF373:AF396">
    <cfRule type="cellIs" dxfId="249" priority="104" operator="lessThan">
      <formula>0.8</formula>
    </cfRule>
    <cfRule type="cellIs" dxfId="248" priority="105" operator="greaterThan">
      <formula>0.8</formula>
    </cfRule>
  </conditionalFormatting>
  <conditionalFormatting sqref="K373:K396 R373:T396 W373:AD396 AN373:AN396 AF373:AL396">
    <cfRule type="notContainsText" dxfId="247" priority="101" operator="notContains" text="Caida">
      <formula>ISERROR(SEARCH("Caida",K373))</formula>
    </cfRule>
    <cfRule type="containsText" dxfId="246" priority="102" operator="containsText" text="Caida">
      <formula>NOT(ISERROR(SEARCH("Caida",K373)))</formula>
    </cfRule>
  </conditionalFormatting>
  <conditionalFormatting sqref="L373:L396">
    <cfRule type="cellIs" dxfId="245" priority="99" operator="lessThan">
      <formula>0.8</formula>
    </cfRule>
    <cfRule type="cellIs" dxfId="244" priority="100" operator="greaterThan">
      <formula>0.8</formula>
    </cfRule>
  </conditionalFormatting>
  <conditionalFormatting sqref="L373:L396">
    <cfRule type="notContainsText" dxfId="243" priority="97" operator="notContains" text="Caida">
      <formula>ISERROR(SEARCH("Caida",L373))</formula>
    </cfRule>
    <cfRule type="containsText" dxfId="242" priority="98" operator="containsText" text="Caida">
      <formula>NOT(ISERROR(SEARCH("Caida",L373)))</formula>
    </cfRule>
  </conditionalFormatting>
  <conditionalFormatting sqref="M373:M396">
    <cfRule type="cellIs" dxfId="241" priority="95" operator="lessThan">
      <formula>0.8</formula>
    </cfRule>
    <cfRule type="cellIs" dxfId="240" priority="96" operator="greaterThan">
      <formula>0.8</formula>
    </cfRule>
  </conditionalFormatting>
  <conditionalFormatting sqref="M373:M396">
    <cfRule type="notContainsText" dxfId="239" priority="93" operator="notContains" text="Caida">
      <formula>ISERROR(SEARCH("Caida",M373))</formula>
    </cfRule>
    <cfRule type="containsText" dxfId="238" priority="94" operator="containsText" text="Caida">
      <formula>NOT(ISERROR(SEARCH("Caida",M373)))</formula>
    </cfRule>
  </conditionalFormatting>
  <conditionalFormatting sqref="Q373:Q396">
    <cfRule type="cellIs" dxfId="237" priority="91" operator="lessThan">
      <formula>0.8</formula>
    </cfRule>
    <cfRule type="cellIs" dxfId="236" priority="92" operator="greaterThan">
      <formula>0.8</formula>
    </cfRule>
  </conditionalFormatting>
  <conditionalFormatting sqref="Q373:Q396">
    <cfRule type="notContainsText" dxfId="235" priority="89" operator="notContains" text="Caida">
      <formula>ISERROR(SEARCH("Caida",Q373))</formula>
    </cfRule>
    <cfRule type="containsText" dxfId="234" priority="90" operator="containsText" text="Caida">
      <formula>NOT(ISERROR(SEARCH("Caida",Q373)))</formula>
    </cfRule>
  </conditionalFormatting>
  <conditionalFormatting sqref="E373:E379">
    <cfRule type="containsText" dxfId="233" priority="87" operator="containsText" text="fija">
      <formula>NOT(ISERROR(SEARCH("fija",E373)))</formula>
    </cfRule>
    <cfRule type="containsText" dxfId="232" priority="88" operator="containsText" text="domo">
      <formula>NOT(ISERROR(SEARCH("domo",E373)))</formula>
    </cfRule>
  </conditionalFormatting>
  <conditionalFormatting sqref="K373:K396 AG373:AN396">
    <cfRule type="cellIs" dxfId="231" priority="86" operator="equal">
      <formula>"APAGADO"</formula>
    </cfRule>
  </conditionalFormatting>
  <conditionalFormatting sqref="F373:F379">
    <cfRule type="cellIs" dxfId="230" priority="85" operator="equal">
      <formula>"PTP A FO"</formula>
    </cfRule>
  </conditionalFormatting>
  <conditionalFormatting sqref="N373:P396">
    <cfRule type="cellIs" dxfId="229" priority="83" operator="lessThan">
      <formula>0.8</formula>
    </cfRule>
    <cfRule type="cellIs" dxfId="228" priority="84" operator="greaterThan">
      <formula>0.8</formula>
    </cfRule>
  </conditionalFormatting>
  <conditionalFormatting sqref="N373:P396">
    <cfRule type="notContainsText" dxfId="227" priority="81" operator="notContains" text="Caida">
      <formula>ISERROR(SEARCH("Caida",N373))</formula>
    </cfRule>
    <cfRule type="containsText" dxfId="226" priority="82" operator="containsText" text="Caida">
      <formula>NOT(ISERROR(SEARCH("Caida",N373)))</formula>
    </cfRule>
  </conditionalFormatting>
  <conditionalFormatting sqref="AB373:AB396">
    <cfRule type="cellIs" dxfId="225" priority="80" operator="equal">
      <formula>"apagado"</formula>
    </cfRule>
  </conditionalFormatting>
  <conditionalFormatting sqref="AA373:AA396">
    <cfRule type="cellIs" dxfId="224" priority="79" operator="equal">
      <formula>"apagado"</formula>
    </cfRule>
  </conditionalFormatting>
  <conditionalFormatting sqref="Z373:Z396">
    <cfRule type="cellIs" dxfId="223" priority="78" operator="equal">
      <formula>"apagado"</formula>
    </cfRule>
  </conditionalFormatting>
  <conditionalFormatting sqref="Y373:Y396">
    <cfRule type="cellIs" dxfId="222" priority="77" operator="equal">
      <formula>"apagado"</formula>
    </cfRule>
  </conditionalFormatting>
  <conditionalFormatting sqref="X373:X396">
    <cfRule type="cellIs" dxfId="221" priority="76" operator="equal">
      <formula>"apagado"</formula>
    </cfRule>
  </conditionalFormatting>
  <conditionalFormatting sqref="W373:W396">
    <cfRule type="cellIs" dxfId="220" priority="75" operator="equal">
      <formula>"apagado"</formula>
    </cfRule>
  </conditionalFormatting>
  <conditionalFormatting sqref="AC373:AC396">
    <cfRule type="cellIs" dxfId="219" priority="74" operator="equal">
      <formula>"apagado"</formula>
    </cfRule>
  </conditionalFormatting>
  <conditionalFormatting sqref="AD373:AD396">
    <cfRule type="cellIs" dxfId="218" priority="73" operator="equal">
      <formula>"apagado"</formula>
    </cfRule>
  </conditionalFormatting>
  <conditionalFormatting sqref="AF373:AF396">
    <cfRule type="cellIs" dxfId="217" priority="71" operator="equal">
      <formula>"apagado"</formula>
    </cfRule>
  </conditionalFormatting>
  <conditionalFormatting sqref="AM373:AM396">
    <cfRule type="notContainsText" dxfId="216" priority="69" operator="notContains" text="Caida">
      <formula>ISERROR(SEARCH("Caida",AM373))</formula>
    </cfRule>
    <cfRule type="containsText" dxfId="215" priority="70" operator="containsText" text="Caida">
      <formula>NOT(ISERROR(SEARCH("Caida",AM373)))</formula>
    </cfRule>
  </conditionalFormatting>
  <conditionalFormatting sqref="AM373:AM396">
    <cfRule type="cellIs" dxfId="214" priority="68" operator="equal">
      <formula>"apagado"</formula>
    </cfRule>
  </conditionalFormatting>
  <conditionalFormatting sqref="K373:T396 W373:AD396 AF373:AN396">
    <cfRule type="cellIs" dxfId="213" priority="67" operator="equal">
      <formula>"APAGADO"</formula>
    </cfRule>
  </conditionalFormatting>
  <conditionalFormatting sqref="U373:U396">
    <cfRule type="cellIs" dxfId="212" priority="65" operator="lessThan">
      <formula>0.8</formula>
    </cfRule>
    <cfRule type="cellIs" dxfId="211" priority="66" operator="greaterThan">
      <formula>0.8</formula>
    </cfRule>
  </conditionalFormatting>
  <conditionalFormatting sqref="U373:U396">
    <cfRule type="notContainsText" dxfId="210" priority="63" operator="notContains" text="Caida">
      <formula>ISERROR(SEARCH("Caida",U373))</formula>
    </cfRule>
    <cfRule type="containsText" dxfId="209" priority="64" operator="containsText" text="Caida">
      <formula>NOT(ISERROR(SEARCH("Caida",U373)))</formula>
    </cfRule>
  </conditionalFormatting>
  <conditionalFormatting sqref="U373:U396">
    <cfRule type="cellIs" dxfId="208" priority="62" operator="equal">
      <formula>"APAGADO"</formula>
    </cfRule>
  </conditionalFormatting>
  <conditionalFormatting sqref="U373:U396">
    <cfRule type="cellIs" dxfId="207" priority="61" operator="equal">
      <formula>"apagado"</formula>
    </cfRule>
  </conditionalFormatting>
  <conditionalFormatting sqref="V373:V396">
    <cfRule type="cellIs" dxfId="206" priority="59" operator="lessThan">
      <formula>0.8</formula>
    </cfRule>
    <cfRule type="cellIs" dxfId="205" priority="60" operator="greaterThan">
      <formula>0.8</formula>
    </cfRule>
  </conditionalFormatting>
  <conditionalFormatting sqref="V373:V396">
    <cfRule type="notContainsText" dxfId="204" priority="57" operator="notContains" text="Caida">
      <formula>ISERROR(SEARCH("Caida",V373))</formula>
    </cfRule>
    <cfRule type="containsText" dxfId="203" priority="58" operator="containsText" text="Caida">
      <formula>NOT(ISERROR(SEARCH("Caida",V373)))</formula>
    </cfRule>
  </conditionalFormatting>
  <conditionalFormatting sqref="V373:V396">
    <cfRule type="cellIs" dxfId="202" priority="56" operator="equal">
      <formula>"APAGADO"</formula>
    </cfRule>
  </conditionalFormatting>
  <conditionalFormatting sqref="V373:V396">
    <cfRule type="cellIs" dxfId="201" priority="55" operator="equal">
      <formula>"apagado"</formula>
    </cfRule>
  </conditionalFormatting>
  <conditionalFormatting sqref="AO95:AO369">
    <cfRule type="cellIs" dxfId="200" priority="53" operator="lessThan">
      <formula>0.8</formula>
    </cfRule>
    <cfRule type="cellIs" dxfId="199" priority="54" operator="greaterThan">
      <formula>0.8</formula>
    </cfRule>
  </conditionalFormatting>
  <conditionalFormatting sqref="AO95:AO372">
    <cfRule type="notContainsText" dxfId="198" priority="51" operator="notContains" text="Caida">
      <formula>ISERROR(SEARCH("Caida",AO95))</formula>
    </cfRule>
    <cfRule type="containsText" dxfId="197" priority="52" operator="containsText" text="Caida">
      <formula>NOT(ISERROR(SEARCH("Caida",AO95)))</formula>
    </cfRule>
  </conditionalFormatting>
  <conditionalFormatting sqref="AO22">
    <cfRule type="containsText" dxfId="196" priority="50" operator="containsText" text="Instaladas en Funcionamiento Caida">
      <formula>NOT(ISERROR(SEARCH("Instaladas en Funcionamiento Caida",AO22)))</formula>
    </cfRule>
  </conditionalFormatting>
  <conditionalFormatting sqref="AO5">
    <cfRule type="cellIs" dxfId="195" priority="48" operator="lessThan">
      <formula>0.8</formula>
    </cfRule>
    <cfRule type="cellIs" dxfId="194" priority="49" operator="greaterThan">
      <formula>0.8</formula>
    </cfRule>
  </conditionalFormatting>
  <conditionalFormatting sqref="AO5">
    <cfRule type="notContainsText" dxfId="193" priority="46" operator="notContains" text="Caida">
      <formula>ISERROR(SEARCH("Caida",AO5))</formula>
    </cfRule>
    <cfRule type="containsText" dxfId="192" priority="47" operator="containsText" text="Caida">
      <formula>NOT(ISERROR(SEARCH("Caida",AO5)))</formula>
    </cfRule>
  </conditionalFormatting>
  <conditionalFormatting sqref="AO1 AO5:AO372">
    <cfRule type="cellIs" dxfId="191" priority="45" operator="equal">
      <formula>"APAGADO"</formula>
    </cfRule>
  </conditionalFormatting>
  <conditionalFormatting sqref="AO6:AO92">
    <cfRule type="cellIs" dxfId="190" priority="43" operator="lessThan">
      <formula>0.8</formula>
    </cfRule>
    <cfRule type="cellIs" dxfId="189" priority="44" operator="greaterThan">
      <formula>0.8</formula>
    </cfRule>
  </conditionalFormatting>
  <conditionalFormatting sqref="AO6:AO92">
    <cfRule type="notContainsText" dxfId="188" priority="41" operator="notContains" text="Caida">
      <formula>ISERROR(SEARCH("Caida",AO6))</formula>
    </cfRule>
    <cfRule type="containsText" dxfId="187" priority="42" operator="containsText" text="Caida">
      <formula>NOT(ISERROR(SEARCH("Caida",AO6)))</formula>
    </cfRule>
  </conditionalFormatting>
  <conditionalFormatting sqref="AO93:AO94">
    <cfRule type="cellIs" dxfId="186" priority="39" operator="lessThan">
      <formula>0.8</formula>
    </cfRule>
    <cfRule type="cellIs" dxfId="185" priority="40" operator="greaterThan">
      <formula>0.8</formula>
    </cfRule>
  </conditionalFormatting>
  <conditionalFormatting sqref="AO93:AO94">
    <cfRule type="notContainsText" dxfId="184" priority="37" operator="notContains" text="Caida">
      <formula>ISERROR(SEARCH("Caida",AO93))</formula>
    </cfRule>
    <cfRule type="containsText" dxfId="183" priority="38" operator="containsText" text="Caida">
      <formula>NOT(ISERROR(SEARCH("Caida",AO93)))</formula>
    </cfRule>
  </conditionalFormatting>
  <conditionalFormatting sqref="AO5:AO372">
    <cfRule type="cellIs" dxfId="182" priority="36" operator="equal">
      <formula>"APAGADO"</formula>
    </cfRule>
  </conditionalFormatting>
  <conditionalFormatting sqref="AO373:AO396">
    <cfRule type="notContainsText" dxfId="181" priority="34" operator="notContains" text="Caida">
      <formula>ISERROR(SEARCH("Caida",AO373))</formula>
    </cfRule>
    <cfRule type="containsText" dxfId="180" priority="35" operator="containsText" text="Caida">
      <formula>NOT(ISERROR(SEARCH("Caida",AO373)))</formula>
    </cfRule>
  </conditionalFormatting>
  <conditionalFormatting sqref="AO373:AO396">
    <cfRule type="cellIs" dxfId="179" priority="33" operator="equal">
      <formula>"APAGADO"</formula>
    </cfRule>
  </conditionalFormatting>
  <conditionalFormatting sqref="AO373:AO396">
    <cfRule type="cellIs" dxfId="178" priority="32" operator="equal">
      <formula>"APAGADO"</formula>
    </cfRule>
  </conditionalFormatting>
  <conditionalFormatting sqref="F1:F1048576">
    <cfRule type="cellIs" dxfId="177" priority="30" operator="equal">
      <formula>$F$7</formula>
    </cfRule>
    <cfRule type="cellIs" dxfId="176" priority="31" operator="equal">
      <formula>"PTP A FO"</formula>
    </cfRule>
  </conditionalFormatting>
  <conditionalFormatting sqref="E1:E1048576">
    <cfRule type="cellIs" dxfId="175" priority="29" operator="equal">
      <formula>$E$5</formula>
    </cfRule>
  </conditionalFormatting>
  <conditionalFormatting sqref="C1:C1048576">
    <cfRule type="cellIs" dxfId="174" priority="27" operator="equal">
      <formula>$C$194</formula>
    </cfRule>
    <cfRule type="cellIs" dxfId="173" priority="28" operator="equal">
      <formula>$C$182</formula>
    </cfRule>
  </conditionalFormatting>
  <conditionalFormatting sqref="AE96:AE372">
    <cfRule type="cellIs" dxfId="172" priority="25" operator="lessThan">
      <formula>0.8</formula>
    </cfRule>
    <cfRule type="cellIs" dxfId="171" priority="26" operator="greaterThan">
      <formula>0.8</formula>
    </cfRule>
  </conditionalFormatting>
  <conditionalFormatting sqref="AE96:AE372">
    <cfRule type="notContainsText" dxfId="170" priority="23" operator="notContains" text="Caida">
      <formula>ISERROR(SEARCH("Caida",AE96))</formula>
    </cfRule>
    <cfRule type="containsText" dxfId="169" priority="24" operator="containsText" text="Caida">
      <formula>NOT(ISERROR(SEARCH("Caida",AE96)))</formula>
    </cfRule>
  </conditionalFormatting>
  <conditionalFormatting sqref="AE22">
    <cfRule type="containsText" dxfId="168" priority="22" operator="containsText" text="Instaladas en Funcionamiento Caida">
      <formula>NOT(ISERROR(SEARCH("Instaladas en Funcionamiento Caida",AE22)))</formula>
    </cfRule>
  </conditionalFormatting>
  <conditionalFormatting sqref="AE5">
    <cfRule type="cellIs" dxfId="167" priority="20" operator="lessThan">
      <formula>0.8</formula>
    </cfRule>
    <cfRule type="cellIs" dxfId="166" priority="21" operator="greaterThan">
      <formula>0.8</formula>
    </cfRule>
  </conditionalFormatting>
  <conditionalFormatting sqref="AE5">
    <cfRule type="notContainsText" dxfId="165" priority="18" operator="notContains" text="Caida">
      <formula>ISERROR(SEARCH("Caida",AE5))</formula>
    </cfRule>
    <cfRule type="containsText" dxfId="164" priority="19" operator="containsText" text="Caida">
      <formula>NOT(ISERROR(SEARCH("Caida",AE5)))</formula>
    </cfRule>
  </conditionalFormatting>
  <conditionalFormatting sqref="AE5:AE369">
    <cfRule type="cellIs" dxfId="163" priority="17" operator="equal">
      <formula>"APAGADO"</formula>
    </cfRule>
  </conditionalFormatting>
  <conditionalFormatting sqref="AE6:AE92">
    <cfRule type="cellIs" dxfId="162" priority="15" operator="lessThan">
      <formula>0.8</formula>
    </cfRule>
    <cfRule type="cellIs" dxfId="161" priority="16" operator="greaterThan">
      <formula>0.8</formula>
    </cfRule>
  </conditionalFormatting>
  <conditionalFormatting sqref="AE6:AE92">
    <cfRule type="notContainsText" dxfId="160" priority="13" operator="notContains" text="Caida">
      <formula>ISERROR(SEARCH("Caida",AE6))</formula>
    </cfRule>
    <cfRule type="containsText" dxfId="159" priority="14" operator="containsText" text="Caida">
      <formula>NOT(ISERROR(SEARCH("Caida",AE6)))</formula>
    </cfRule>
  </conditionalFormatting>
  <conditionalFormatting sqref="AE93:AE95">
    <cfRule type="cellIs" dxfId="158" priority="11" operator="lessThan">
      <formula>0.8</formula>
    </cfRule>
    <cfRule type="cellIs" dxfId="157" priority="12" operator="greaterThan">
      <formula>0.8</formula>
    </cfRule>
  </conditionalFormatting>
  <conditionalFormatting sqref="AE93:AE95">
    <cfRule type="notContainsText" dxfId="156" priority="9" operator="notContains" text="Caida">
      <formula>ISERROR(SEARCH("Caida",AE93))</formula>
    </cfRule>
    <cfRule type="containsText" dxfId="155" priority="10" operator="containsText" text="Caida">
      <formula>NOT(ISERROR(SEARCH("Caida",AE93)))</formula>
    </cfRule>
  </conditionalFormatting>
  <conditionalFormatting sqref="AE5:AE372">
    <cfRule type="cellIs" dxfId="154" priority="8" operator="equal">
      <formula>"apagado"</formula>
    </cfRule>
  </conditionalFormatting>
  <conditionalFormatting sqref="AE5:AE372">
    <cfRule type="cellIs" dxfId="153" priority="7" operator="equal">
      <formula>"APAGADO"</formula>
    </cfRule>
  </conditionalFormatting>
  <conditionalFormatting sqref="AE373:AE396">
    <cfRule type="cellIs" dxfId="152" priority="5" operator="lessThan">
      <formula>0.8</formula>
    </cfRule>
    <cfRule type="cellIs" dxfId="151" priority="6" operator="greaterThan">
      <formula>0.8</formula>
    </cfRule>
  </conditionalFormatting>
  <conditionalFormatting sqref="AE373:AE396">
    <cfRule type="notContainsText" dxfId="150" priority="3" operator="notContains" text="Caida">
      <formula>ISERROR(SEARCH("Caida",AE373))</formula>
    </cfRule>
    <cfRule type="containsText" dxfId="149" priority="4" operator="containsText" text="Caida">
      <formula>NOT(ISERROR(SEARCH("Caida",AE373)))</formula>
    </cfRule>
  </conditionalFormatting>
  <conditionalFormatting sqref="AE373:AE396">
    <cfRule type="cellIs" dxfId="148" priority="2" operator="equal">
      <formula>"apagado"</formula>
    </cfRule>
  </conditionalFormatting>
  <conditionalFormatting sqref="AE373:AE396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workbookViewId="0">
      <selection activeCell="C409" sqref="C409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TOTAL'!K4</f>
        <v>44774</v>
      </c>
      <c r="G1" s="25">
        <f>'RESUMEN TOTAL'!L4</f>
        <v>44775</v>
      </c>
      <c r="H1" s="25">
        <f>'RESUMEN TOTAL'!M4</f>
        <v>44776</v>
      </c>
      <c r="I1" s="25">
        <f>'RESUMEN TOTAL'!N4</f>
        <v>44777</v>
      </c>
      <c r="J1" s="25">
        <f>'RESUMEN TOTAL'!O4</f>
        <v>44778</v>
      </c>
      <c r="K1" s="25">
        <f>'RESUMEN TOTAL'!P4</f>
        <v>44779</v>
      </c>
      <c r="L1" s="25">
        <f>'RESUMEN TOTAL'!Q4</f>
        <v>44780</v>
      </c>
      <c r="M1" s="25">
        <f>'RESUMEN TOTAL'!R4</f>
        <v>44781</v>
      </c>
      <c r="N1" s="25">
        <f>'RESUMEN TOTAL'!S4</f>
        <v>44782</v>
      </c>
      <c r="O1" s="25">
        <f>'RESUMEN TOTAL'!T4</f>
        <v>44783</v>
      </c>
      <c r="P1" s="25">
        <f>'RESUMEN TOTAL'!U4</f>
        <v>44784</v>
      </c>
      <c r="Q1" s="25">
        <f>'RESUMEN TOTAL'!V4</f>
        <v>44785</v>
      </c>
      <c r="R1" s="25">
        <f>'RESUMEN TOTAL'!W4</f>
        <v>44786</v>
      </c>
      <c r="S1" s="25">
        <f>'RESUMEN TOTAL'!X4</f>
        <v>44787</v>
      </c>
      <c r="T1" s="25">
        <f>'RESUMEN TOTAL'!Y4</f>
        <v>44788</v>
      </c>
      <c r="U1" s="25">
        <f>'RESUMEN TOTAL'!Z4</f>
        <v>44789</v>
      </c>
      <c r="V1" s="25">
        <f>'RESUMEN TOTAL'!AA4</f>
        <v>44790</v>
      </c>
      <c r="W1" s="25">
        <f>'RESUMEN TOTAL'!AB4</f>
        <v>44791</v>
      </c>
      <c r="X1" s="25">
        <f>'RESUMEN TOTAL'!AC4</f>
        <v>44792</v>
      </c>
      <c r="Y1" s="25">
        <f>'RESUMEN TOTAL'!AD4</f>
        <v>44793</v>
      </c>
      <c r="Z1" s="25">
        <f>'RESUMEN TOTAL'!AE4</f>
        <v>44794</v>
      </c>
      <c r="AA1" s="25">
        <f>'RESUMEN TOTAL'!AF4</f>
        <v>44795</v>
      </c>
      <c r="AB1" s="25">
        <f>'RESUMEN TOTAL'!AG4</f>
        <v>44796</v>
      </c>
      <c r="AC1" s="25">
        <f>'RESUMEN TOTAL'!AH4</f>
        <v>44797</v>
      </c>
      <c r="AD1" s="25">
        <f>'RESUMEN TOTAL'!AI4</f>
        <v>44798</v>
      </c>
      <c r="AE1" s="25">
        <f>'RESUMEN TOTAL'!AJ4</f>
        <v>44799</v>
      </c>
      <c r="AF1" s="25">
        <f>'RESUMEN TOTAL'!AK4</f>
        <v>44800</v>
      </c>
      <c r="AG1" s="25">
        <f>'RESUMEN TOTAL'!AL4</f>
        <v>44801</v>
      </c>
      <c r="AH1" s="25">
        <f>'RESUMEN TOTAL'!AM4</f>
        <v>44802</v>
      </c>
      <c r="AI1" s="25">
        <f>'RESUMEN TOTAL'!AN4</f>
        <v>44803</v>
      </c>
    </row>
    <row r="2" spans="1:35" x14ac:dyDescent="0.3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>
        <f>'RESUMEN TOTAL'!W7</f>
        <v>0</v>
      </c>
      <c r="S4">
        <f>'RESUMEN TOTAL'!X7</f>
        <v>0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 t="str">
        <f>'RESUMEN TOTAL'!L15</f>
        <v>APAGADO</v>
      </c>
      <c r="H12">
        <f>'RESUMEN TOTAL'!M15</f>
        <v>0</v>
      </c>
      <c r="I12">
        <f>'RESUMEN TOTAL'!N15</f>
        <v>0</v>
      </c>
      <c r="J12">
        <f>'RESUMEN TOTAL'!O15</f>
        <v>0</v>
      </c>
      <c r="K12" t="str">
        <f>'RESUMEN TOTAL'!P15</f>
        <v>APAGADO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 t="str">
        <f>'RESUMEN TOTAL'!W16</f>
        <v>APAGADO</v>
      </c>
      <c r="S13" t="str">
        <f>'RESUMEN TOTAL'!X16</f>
        <v>APAGADO</v>
      </c>
      <c r="T13" t="str">
        <f>'RESUMEN TOTAL'!Y16</f>
        <v>APAGADO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 t="str">
        <f>'RESUMEN TOTAL'!P26</f>
        <v>APAGADO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TOTAL'!K31</f>
        <v>APAGADO</v>
      </c>
      <c r="G28" t="str">
        <f>'RESUMEN TOTAL'!L31</f>
        <v>APAGADO</v>
      </c>
      <c r="H28" t="str">
        <f>'RESUMEN TOTAL'!M31</f>
        <v>APAGADO</v>
      </c>
      <c r="I28" t="str">
        <f>'RESUMEN TOTAL'!N31</f>
        <v>APAGADO</v>
      </c>
      <c r="J28">
        <f>'RESUMEN TOTAL'!O31</f>
        <v>0</v>
      </c>
      <c r="K28" t="str">
        <f>'RESUMEN TOTAL'!P31</f>
        <v>APAGADO</v>
      </c>
      <c r="L28" t="str">
        <f>'RESUMEN TOTAL'!Q31</f>
        <v>APAGADO</v>
      </c>
      <c r="M28" t="str">
        <f>'RESUMEN TOTAL'!R31</f>
        <v>APAGADO</v>
      </c>
      <c r="N28" t="str">
        <f>'RESUMEN TOTAL'!S31</f>
        <v>APAGADO</v>
      </c>
      <c r="O28" t="str">
        <f>'RESUMEN TOTAL'!T31</f>
        <v>APAGADO</v>
      </c>
      <c r="P28">
        <f>'RESUMEN TOTAL'!U31</f>
        <v>0</v>
      </c>
      <c r="Q28" t="str">
        <f>'RESUMEN TOTAL'!V31</f>
        <v>APAGADO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3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 t="str">
        <f>'RESUMEN TOTAL'!S34</f>
        <v>APAGADO</v>
      </c>
      <c r="O31" t="str">
        <f>'RESUMEN TOTAL'!T34</f>
        <v>APAGADO</v>
      </c>
      <c r="P31" t="str">
        <f>'RESUMEN TOTAL'!U34</f>
        <v>APAGADO</v>
      </c>
      <c r="Q31" t="str">
        <f>'RESUMEN TOTAL'!V34</f>
        <v>APAGADO</v>
      </c>
      <c r="R31" t="str">
        <f>'RESUMEN TOTAL'!W34</f>
        <v>APAGADO</v>
      </c>
      <c r="S31" t="str">
        <f>'RESUMEN TOTAL'!X34</f>
        <v>APAGADO</v>
      </c>
      <c r="T31" t="str">
        <f>'RESUMEN TOTAL'!Y34</f>
        <v>APAGADO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3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3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3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3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3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3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3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3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 t="str">
        <f>'RESUMEN TOTAL'!R67</f>
        <v>APAGADO</v>
      </c>
      <c r="N64" t="str">
        <f>'RESUMEN TOTAL'!S67</f>
        <v>APAGADO</v>
      </c>
      <c r="O64" t="str">
        <f>'RESUMEN TOTAL'!T67</f>
        <v>APAGADO</v>
      </c>
      <c r="P64" t="str">
        <f>'RESUMEN TOTAL'!U67</f>
        <v>APAGADO</v>
      </c>
      <c r="Q64" t="str">
        <f>'RESUMEN TOTAL'!V67</f>
        <v>APAGADO</v>
      </c>
      <c r="R64" t="str">
        <f>'RESUMEN TOTAL'!W67</f>
        <v>APAGADO</v>
      </c>
      <c r="S64" t="str">
        <f>'RESUMEN TOTAL'!X67</f>
        <v>APAGADO</v>
      </c>
      <c r="T64" t="str">
        <f>'RESUMEN TOTAL'!Y67</f>
        <v>APAGADO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3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3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3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 t="str">
        <f>'RESUMEN TOTAL'!R80</f>
        <v>APAGADO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 t="str">
        <f>'RESUMEN TOTAL'!L87</f>
        <v>APAGADO</v>
      </c>
      <c r="H84" t="str">
        <f>'RESUMEN TOTAL'!M87</f>
        <v>APAGADO</v>
      </c>
      <c r="I84" t="str">
        <f>'RESUMEN TOTAL'!N87</f>
        <v>APAGADO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>
        <f>'RESUMEN TOTAL'!U87</f>
        <v>0</v>
      </c>
      <c r="Q84" t="str">
        <f>'RESUMEN TOTAL'!V87</f>
        <v>APAGADO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3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3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3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3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3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3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 t="str">
        <f>'RESUMEN TOTAL'!S96</f>
        <v>APAGADO</v>
      </c>
      <c r="O93" t="str">
        <f>'RESUMEN TOTAL'!T96</f>
        <v>APAGADO</v>
      </c>
      <c r="P93" t="str">
        <f>'RESUMEN TOTAL'!U96</f>
        <v>APAGADO</v>
      </c>
      <c r="Q93" t="str">
        <f>'RESUMEN TOTAL'!V96</f>
        <v>APAGADO</v>
      </c>
      <c r="R93" t="str">
        <f>'RESUMEN TOTAL'!W96</f>
        <v>APAGADO</v>
      </c>
      <c r="S93" t="str">
        <f>'RESUMEN TOTAL'!X96</f>
        <v>APAGADO</v>
      </c>
      <c r="T93" t="str">
        <f>'RESUMEN TOTAL'!Y96</f>
        <v>APAGADO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3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 t="str">
        <f>'RESUMEN TOTAL'!Q97</f>
        <v>APAGADO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3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3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3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 t="str">
        <f>'RESUMEN TOTAL'!O100</f>
        <v xml:space="preserve"> 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 t="str">
        <f>'RESUMEN TOTAL'!T100</f>
        <v>APAGADO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3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 t="str">
        <f>'RESUMEN TOTAL'!T101</f>
        <v>APAGADO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3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 t="str">
        <f>'RESUMEN TOTAL'!T102</f>
        <v>APAGADO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3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 t="str">
        <f>'RESUMEN TOTAL'!T103</f>
        <v>APAGADO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3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3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3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3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3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3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3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3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3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 t="str">
        <f>'RESUMEN TOTAL'!Y113</f>
        <v>APAGADO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3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3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3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3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3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3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3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3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3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3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 t="str">
        <f>'RESUMEN TOTAL'!T126</f>
        <v>APAGADO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3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 t="str">
        <f>'RESUMEN TOTAL'!T127</f>
        <v>APAGADO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3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TOTAL'!K128</f>
        <v>APAGADO</v>
      </c>
      <c r="G125" t="str">
        <f>'RESUMEN TOTAL'!L128</f>
        <v>APAGADO</v>
      </c>
      <c r="H125" t="str">
        <f>'RESUMEN TOTAL'!M128</f>
        <v>APAGADO</v>
      </c>
      <c r="I125" t="str">
        <f>'RESUMEN TOTAL'!N128</f>
        <v>APAGADO</v>
      </c>
      <c r="J125" t="str">
        <f>'RESUMEN TOTAL'!O128</f>
        <v>APAGADO</v>
      </c>
      <c r="K125" t="str">
        <f>'RESUMEN TOTAL'!P128</f>
        <v>APAGADO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 t="str">
        <f>'RESUMEN TOTAL'!T128</f>
        <v>APAGADO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3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TOTAL'!K129</f>
        <v>APAGADO</v>
      </c>
      <c r="G126" t="str">
        <f>'RESUMEN TOTAL'!L129</f>
        <v>APAGADO</v>
      </c>
      <c r="H126" t="str">
        <f>'RESUMEN TOTAL'!M129</f>
        <v>APAGADO</v>
      </c>
      <c r="I126" t="str">
        <f>'RESUMEN TOTAL'!N129</f>
        <v>APAGADO</v>
      </c>
      <c r="J126" t="str">
        <f>'RESUMEN TOTAL'!O129</f>
        <v>APAGADO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 t="str">
        <f>'RESUMEN TOTAL'!T129</f>
        <v>APAGADO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 t="str">
        <f>'RESUMEN TOTAL'!T130</f>
        <v>APAGADO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 t="str">
        <f>'RESUMEN TOTAL'!T131</f>
        <v>APAGADO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3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3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 t="str">
        <f>'RESUMEN TOTAL'!S134</f>
        <v>APAGADO</v>
      </c>
      <c r="O131" t="str">
        <f>'RESUMEN TOTAL'!T134</f>
        <v>APAGADO</v>
      </c>
      <c r="P131" t="str">
        <f>'RESUMEN TOTAL'!U134</f>
        <v>APAGADO</v>
      </c>
      <c r="Q131" t="str">
        <f>'RESUMEN TOTAL'!V134</f>
        <v>APAGADO</v>
      </c>
      <c r="R131" t="str">
        <f>'RESUMEN TOTAL'!W134</f>
        <v>APAGADO</v>
      </c>
      <c r="S131" t="str">
        <f>'RESUMEN TOTAL'!X134</f>
        <v>APAGADO</v>
      </c>
      <c r="T131" t="str">
        <f>'RESUMEN TOTAL'!Y134</f>
        <v>APAGADO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 t="str">
        <f>'RESUMEN TOTAL'!X135</f>
        <v>APAGADO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 t="str">
        <f>'RESUMEN TOTAL'!Y137</f>
        <v>APAGADO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3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3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3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3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3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3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3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3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3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3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3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3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3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3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3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3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3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3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 t="str">
        <f>'RESUMEN TOTAL'!S156</f>
        <v>APAGADO</v>
      </c>
      <c r="O153" t="str">
        <f>'RESUMEN TOTAL'!T156</f>
        <v>APAGADO</v>
      </c>
      <c r="P153" t="str">
        <f>'RESUMEN TOTAL'!U156</f>
        <v>APAGADO</v>
      </c>
      <c r="Q153" t="str">
        <f>'RESUMEN TOTAL'!V156</f>
        <v>APAGADO</v>
      </c>
      <c r="R153" t="str">
        <f>'RESUMEN TOTAL'!W156</f>
        <v>APAGADO</v>
      </c>
      <c r="S153" t="str">
        <f>'RESUMEN TOTAL'!X156</f>
        <v>APAGADO</v>
      </c>
      <c r="T153" t="str">
        <f>'RESUMEN TOTAL'!Y156</f>
        <v>APAGADO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3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 t="str">
        <f>'RESUMEN TOTAL'!Q157</f>
        <v>APAGADO</v>
      </c>
      <c r="M154" t="str">
        <f>'RESUMEN TOTAL'!R157</f>
        <v>APAGADO</v>
      </c>
      <c r="N154" t="str">
        <f>'RESUMEN TOTAL'!S157</f>
        <v>APAGADO</v>
      </c>
      <c r="O154" t="str">
        <f>'RESUMEN TOTAL'!T157</f>
        <v>APAGADO</v>
      </c>
      <c r="P154" t="str">
        <f>'RESUMEN TOTAL'!U157</f>
        <v>APAGADO</v>
      </c>
      <c r="Q154" t="str">
        <f>'RESUMEN TOTAL'!V157</f>
        <v>APAGADO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3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 t="str">
        <f>'RESUMEN TOTAL'!S158</f>
        <v>APAGADO</v>
      </c>
      <c r="O155" t="str">
        <f>'RESUMEN TOTAL'!T158</f>
        <v>APAGADO</v>
      </c>
      <c r="P155" t="str">
        <f>'RESUMEN TOTAL'!U158</f>
        <v>APAGADO</v>
      </c>
      <c r="Q155" t="str">
        <f>'RESUMEN TOTAL'!V158</f>
        <v>APAGADO</v>
      </c>
      <c r="R155" t="str">
        <f>'RESUMEN TOTAL'!W158</f>
        <v>APAGADO</v>
      </c>
      <c r="S155" t="str">
        <f>'RESUMEN TOTAL'!X158</f>
        <v>APAGADO</v>
      </c>
      <c r="T155" t="str">
        <f>'RESUMEN TOTAL'!Y158</f>
        <v>APAGADO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3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3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 t="str">
        <f>'RESUMEN TOTAL'!P160</f>
        <v>APAGADO</v>
      </c>
      <c r="L157" t="str">
        <f>'RESUMEN TOTAL'!Q160</f>
        <v>APAGADO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3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TOTAL'!K162</f>
        <v>APAGADO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 t="str">
        <f>'RESUMEN TOTAL'!P162</f>
        <v>APAGADO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 t="str">
        <f>'RESUMEN TOTAL'!W162</f>
        <v>APAGADO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3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 t="str">
        <f>'RESUMEN TOTAL'!S163</f>
        <v>APAGADO</v>
      </c>
      <c r="O160" t="str">
        <f>'RESUMEN TOTAL'!T163</f>
        <v>APAGADO</v>
      </c>
      <c r="P160" t="str">
        <f>'RESUMEN TOTAL'!U163</f>
        <v>APAGADO</v>
      </c>
      <c r="Q160" t="str">
        <f>'RESUMEN TOTAL'!V163</f>
        <v>APAGADO</v>
      </c>
      <c r="R160" t="str">
        <f>'RESUMEN TOTAL'!W163</f>
        <v>APAGADO</v>
      </c>
      <c r="S160" t="str">
        <f>'RESUMEN TOTAL'!X163</f>
        <v>APAGADO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3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3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 t="str">
        <f>'RESUMEN TOTAL'!S166</f>
        <v>APAGADO</v>
      </c>
      <c r="O163" t="str">
        <f>'RESUMEN TOTAL'!T166</f>
        <v>APAGADO</v>
      </c>
      <c r="P163" t="str">
        <f>'RESUMEN TOTAL'!U166</f>
        <v>APAGADO</v>
      </c>
      <c r="Q163" t="str">
        <f>'RESUMEN TOTAL'!V166</f>
        <v>APAGADO</v>
      </c>
      <c r="R163" t="str">
        <f>'RESUMEN TOTAL'!W166</f>
        <v>APAGADO</v>
      </c>
      <c r="S163" t="str">
        <f>'RESUMEN TOTAL'!X166</f>
        <v>APAGADO</v>
      </c>
      <c r="T163" t="str">
        <f>'RESUMEN TOTAL'!Y166</f>
        <v>APAGADO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3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3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 t="str">
        <f>'RESUMEN TOTAL'!Q168</f>
        <v>APAGADO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3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 t="str">
        <f>'RESUMEN TOTAL'!Q169</f>
        <v>APAGADO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3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 t="str">
        <f>'RESUMEN TOTAL'!Q170</f>
        <v>APAGADO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3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3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3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3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3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 t="str">
        <f>'RESUMEN TOTAL'!P175</f>
        <v>APAGADO</v>
      </c>
      <c r="L172" t="str">
        <f>'RESUMEN TOTAL'!Q175</f>
        <v>APAGADO</v>
      </c>
      <c r="M172" t="str">
        <f>'RESUMEN TOTAL'!R175</f>
        <v>APAGADO</v>
      </c>
      <c r="N172" t="str">
        <f>'RESUMEN TOTAL'!S175</f>
        <v>APAGADO</v>
      </c>
      <c r="O172" t="str">
        <f>'RESUMEN TOTAL'!T175</f>
        <v>APAGADO</v>
      </c>
      <c r="P172" t="str">
        <f>'RESUMEN TOTAL'!U175</f>
        <v>APAGADO</v>
      </c>
      <c r="Q172" t="str">
        <f>'RESUMEN TOTAL'!V175</f>
        <v>APAGADO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3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 t="str">
        <f>'RESUMEN TOTAL'!P176</f>
        <v>APAGADO</v>
      </c>
      <c r="L173" t="str">
        <f>'RESUMEN TOTAL'!Q176</f>
        <v>APAGADO</v>
      </c>
      <c r="M173" t="str">
        <f>'RESUMEN TOTAL'!R176</f>
        <v>APAGADO</v>
      </c>
      <c r="N173" t="str">
        <f>'RESUMEN TOTAL'!S176</f>
        <v>APAGADO</v>
      </c>
      <c r="O173" t="str">
        <f>'RESUMEN TOTAL'!T176</f>
        <v>APAGADO</v>
      </c>
      <c r="P173" t="str">
        <f>'RESUMEN TOTAL'!U176</f>
        <v>APAGADO</v>
      </c>
      <c r="Q173" t="str">
        <f>'RESUMEN TOTAL'!V176</f>
        <v>APAGADO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3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 t="str">
        <f>'RESUMEN TOTAL'!Q177</f>
        <v>APAGADO</v>
      </c>
      <c r="M174" t="str">
        <f>'RESUMEN TOTAL'!R177</f>
        <v>APAGADO</v>
      </c>
      <c r="N174" t="str">
        <f>'RESUMEN TOTAL'!S177</f>
        <v>APAGADO</v>
      </c>
      <c r="O174" t="str">
        <f>'RESUMEN TOTAL'!T177</f>
        <v>APAGADO</v>
      </c>
      <c r="P174" t="str">
        <f>'RESUMEN TOTAL'!U177</f>
        <v>APAGADO</v>
      </c>
      <c r="Q174" t="str">
        <f>'RESUMEN TOTAL'!V177</f>
        <v>APAGADO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3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3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3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 t="str">
        <f>'RESUMEN TOTAL'!P180</f>
        <v>APAGADO</v>
      </c>
      <c r="L177" t="str">
        <f>'RESUMEN TOTAL'!Q180</f>
        <v>APAGADO</v>
      </c>
      <c r="M177" t="str">
        <f>'RESUMEN TOTAL'!R180</f>
        <v>APAGADO</v>
      </c>
      <c r="N177" t="str">
        <f>'RESUMEN TOTAL'!S180</f>
        <v>APAGADO</v>
      </c>
      <c r="O177" t="str">
        <f>'RESUMEN TOTAL'!T180</f>
        <v>APAGADO</v>
      </c>
      <c r="P177" t="str">
        <f>'RESUMEN TOTAL'!U180</f>
        <v>APAGADO</v>
      </c>
      <c r="Q177" t="str">
        <f>'RESUMEN TOTAL'!V180</f>
        <v>APAGADO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3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3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3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3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3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3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3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3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3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3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3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TOTAL'!K191</f>
        <v>APAGADO</v>
      </c>
      <c r="G188" t="str">
        <f>'RESUMEN TOTAL'!L191</f>
        <v>APAGADO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3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3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3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3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3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3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3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3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 t="str">
        <f>'RESUMEN TOTAL'!L199</f>
        <v>APAGADO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 t="str">
        <f>'RESUMEN TOTAL'!P199</f>
        <v>APAGADO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3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 t="str">
        <f>'RESUMEN TOTAL'!L200</f>
        <v>APAGADO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3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3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3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3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3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 t="str">
        <f>'RESUMEN TOTAL'!Y205</f>
        <v>APAGADO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3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 t="str">
        <f>'RESUMEN TOTAL'!Q206</f>
        <v>APAGADO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3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3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 t="str">
        <f>'RESUMEN TOTAL'!R208</f>
        <v>APAGADO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3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 t="str">
        <f>'RESUMEN TOTAL'!R209</f>
        <v>APAGADO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3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 t="str">
        <f>'RESUMEN TOTAL'!S210</f>
        <v>APAGADO</v>
      </c>
      <c r="O207" t="str">
        <f>'RESUMEN TOTAL'!T210</f>
        <v>APAGADO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3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3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3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 t="str">
        <f>'RESUMEN TOTAL'!N213</f>
        <v>APAGADO</v>
      </c>
      <c r="J210" t="str">
        <f>'RESUMEN TOTAL'!O213</f>
        <v>APAGADO</v>
      </c>
      <c r="K210" t="str">
        <f>'RESUMEN TOTAL'!P213</f>
        <v>APAGADO</v>
      </c>
      <c r="L210" t="str">
        <f>'RESUMEN TOTAL'!Q213</f>
        <v>APAGADO</v>
      </c>
      <c r="M210" t="str">
        <f>'RESUMEN TOTAL'!R213</f>
        <v>APAGADO</v>
      </c>
      <c r="N210" t="str">
        <f>'RESUMEN TOTAL'!S213</f>
        <v>APAGADO</v>
      </c>
      <c r="O210" t="str">
        <f>'RESUMEN TOTAL'!T213</f>
        <v>APAGADO</v>
      </c>
      <c r="P210" t="str">
        <f>'RESUMEN TOTAL'!U213</f>
        <v>APAGADO</v>
      </c>
      <c r="Q210" t="str">
        <f>'RESUMEN TOTAL'!V213</f>
        <v>APAGADO</v>
      </c>
      <c r="R210" t="str">
        <f>'RESUMEN TOTAL'!W213</f>
        <v>APAGADO</v>
      </c>
      <c r="S210" t="str">
        <f>'RESUMEN TOTAL'!X213</f>
        <v>APAGADO</v>
      </c>
      <c r="T210" t="str">
        <f>'RESUMEN TOTAL'!Y213</f>
        <v>APAGADO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3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 t="str">
        <f>'RESUMEN TOTAL'!R214</f>
        <v>APAGADO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TOTAL'!K215</f>
        <v>APAGADO</v>
      </c>
      <c r="G212" t="str">
        <f>'RESUMEN TOTAL'!L215</f>
        <v>APAGADO</v>
      </c>
      <c r="H212" t="str">
        <f>'RESUMEN TOTAL'!M215</f>
        <v>APAGADO</v>
      </c>
      <c r="I212" t="str">
        <f>'RESUMEN TOTAL'!N215</f>
        <v>APAGADO</v>
      </c>
      <c r="J212" t="str">
        <f>'RESUMEN TOTAL'!O215</f>
        <v>APAGADO</v>
      </c>
      <c r="K212" t="str">
        <f>'RESUMEN TOTAL'!P215</f>
        <v>APAGADO</v>
      </c>
      <c r="L212" t="str">
        <f>'RESUMEN TOTAL'!Q215</f>
        <v>APAGADO</v>
      </c>
      <c r="M212" t="str">
        <f>'RESUMEN TOTAL'!R215</f>
        <v>APAGADO</v>
      </c>
      <c r="N212" t="str">
        <f>'RESUMEN TOTAL'!S215</f>
        <v>APAGADO</v>
      </c>
      <c r="O212" t="str">
        <f>'RESUMEN TOTAL'!T215</f>
        <v>APAGADO</v>
      </c>
      <c r="P212" t="str">
        <f>'RESUMEN TOTAL'!U215</f>
        <v>APAGADO</v>
      </c>
      <c r="Q212" t="str">
        <f>'RESUMEN TOTAL'!V215</f>
        <v>APAGADO</v>
      </c>
      <c r="R212" t="str">
        <f>'RESUMEN TOTAL'!W215</f>
        <v>APAGADO</v>
      </c>
      <c r="S212" t="str">
        <f>'RESUMEN TOTAL'!X215</f>
        <v>APAGADO</v>
      </c>
      <c r="T212" t="str">
        <f>'RESUMEN TOTAL'!Y215</f>
        <v>APAGADO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3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 t="str">
        <f>'RESUMEN TOTAL'!S216</f>
        <v>APAGADO</v>
      </c>
      <c r="O213" t="str">
        <f>'RESUMEN TOTAL'!T216</f>
        <v>APAGADO</v>
      </c>
      <c r="P213" t="str">
        <f>'RESUMEN TOTAL'!U216</f>
        <v>APAGADO</v>
      </c>
      <c r="Q213" t="str">
        <f>'RESUMEN TOTAL'!V216</f>
        <v>APAGADO</v>
      </c>
      <c r="R213" t="str">
        <f>'RESUMEN TOTAL'!W216</f>
        <v>APAGADO</v>
      </c>
      <c r="S213" t="str">
        <f>'RESUMEN TOTAL'!X216</f>
        <v>APAGADO</v>
      </c>
      <c r="T213" t="str">
        <f>'RESUMEN TOTAL'!Y216</f>
        <v>APAGADO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3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 t="str">
        <f>'RESUMEN TOTAL'!L217</f>
        <v>APAGADO</v>
      </c>
      <c r="H214">
        <f>'RESUMEN TOTAL'!M217</f>
        <v>0</v>
      </c>
      <c r="I214" t="str">
        <f>'RESUMEN TOTAL'!N217</f>
        <v>APAGADO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 t="str">
        <f>'RESUMEN TOTAL'!S217</f>
        <v>APAGADO</v>
      </c>
      <c r="O214" t="str">
        <f>'RESUMEN TOTAL'!T217</f>
        <v>APAGADO</v>
      </c>
      <c r="P214" t="str">
        <f>'RESUMEN TOTAL'!U217</f>
        <v>APAGADO</v>
      </c>
      <c r="Q214" t="str">
        <f>'RESUMEN TOTAL'!V217</f>
        <v>APAGADO</v>
      </c>
      <c r="R214">
        <f>'RESUMEN TOTAL'!W217</f>
        <v>0</v>
      </c>
      <c r="S214" t="str">
        <f>'RESUMEN TOTAL'!X217</f>
        <v>APAGADO</v>
      </c>
      <c r="T214" t="str">
        <f>'RESUMEN TOTAL'!Y217</f>
        <v>APAGADO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3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3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3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3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 t="str">
        <f>'RESUMEN TOTAL'!R222</f>
        <v>APAGADO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3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3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 t="str">
        <f>'RESUMEN TOTAL'!N224</f>
        <v>APAGADO</v>
      </c>
      <c r="J221" t="str">
        <f>'RESUMEN TOTAL'!O224</f>
        <v>APAGADO</v>
      </c>
      <c r="K221" t="str">
        <f>'RESUMEN TOTAL'!P224</f>
        <v>APAGADO</v>
      </c>
      <c r="L221" t="str">
        <f>'RESUMEN TOTAL'!Q224</f>
        <v>APAGADO</v>
      </c>
      <c r="M221" t="str">
        <f>'RESUMEN TOTAL'!R224</f>
        <v>APAGADO</v>
      </c>
      <c r="N221" t="str">
        <f>'RESUMEN TOTAL'!S224</f>
        <v>APAGADO</v>
      </c>
      <c r="O221">
        <f>'RESUMEN TOTAL'!T224</f>
        <v>0</v>
      </c>
      <c r="P221">
        <f>'RESUMEN TOTAL'!U224</f>
        <v>0</v>
      </c>
      <c r="Q221" t="str">
        <f>'RESUMEN TOTAL'!V224</f>
        <v>APAGADO</v>
      </c>
      <c r="R221" t="str">
        <f>'RESUMEN TOTAL'!W224</f>
        <v>APAGADO</v>
      </c>
      <c r="S221" t="str">
        <f>'RESUMEN TOTAL'!X224</f>
        <v>APAGADO</v>
      </c>
      <c r="T221" t="str">
        <f>'RESUMEN TOTAL'!Y224</f>
        <v>APAGADO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3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TOTAL'!K225</f>
        <v>APAGADO</v>
      </c>
      <c r="G222">
        <f>'RESUMEN TOTAL'!L225</f>
        <v>0</v>
      </c>
      <c r="H222" t="str">
        <f>'RESUMEN TOTAL'!M225</f>
        <v>APAGADO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3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3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 t="str">
        <f>'RESUMEN TOTAL'!Q227</f>
        <v>APAGADO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3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 t="str">
        <f>'RESUMEN TOTAL'!Q228</f>
        <v>APAGADO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3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 t="str">
        <f>'RESUMEN TOTAL'!Q229</f>
        <v>APAGADO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3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 t="str">
        <f>'RESUMEN TOTAL'!Q230</f>
        <v>APAGADO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3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 t="str">
        <f>'RESUMEN TOTAL'!Q231</f>
        <v>APAGADO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3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 t="str">
        <f>'RESUMEN TOTAL'!Q232</f>
        <v>APAGADO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3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 t="str">
        <f>'RESUMEN TOTAL'!Q233</f>
        <v>APAGADO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3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 t="str">
        <f>'RESUMEN TOTAL'!Q234</f>
        <v>APAGADO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3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 t="str">
        <f>'RESUMEN TOTAL'!Q235</f>
        <v>APAGADO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3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 t="str">
        <f>'RESUMEN TOTAL'!Q236</f>
        <v>APAGADO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3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 t="str">
        <f>'RESUMEN TOTAL'!Q237</f>
        <v>APAGADO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3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 t="str">
        <f>'RESUMEN TOTAL'!Q238</f>
        <v>APAGADO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 t="str">
        <f>'RESUMEN TOTAL'!Q239</f>
        <v>APAGADO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 t="str">
        <f>'RESUMEN TOTAL'!Q240</f>
        <v>APAGADO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 t="str">
        <f>'RESUMEN TOTAL'!Q241</f>
        <v>APAGADO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3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 t="str">
        <f>'RESUMEN TOTAL'!Q242</f>
        <v>APAGADO</v>
      </c>
      <c r="M239" t="str">
        <f>'RESUMEN TOTAL'!R242</f>
        <v>APAGADO</v>
      </c>
      <c r="N239" t="str">
        <f>'RESUMEN TOTAL'!S242</f>
        <v>APAGADO</v>
      </c>
      <c r="O239" t="str">
        <f>'RESUMEN TOTAL'!T242</f>
        <v>APAGADO</v>
      </c>
      <c r="P239" t="str">
        <f>'RESUMEN TOTAL'!U242</f>
        <v>APAGADO</v>
      </c>
      <c r="Q239" t="str">
        <f>'RESUMEN TOTAL'!V242</f>
        <v>APAGADO</v>
      </c>
      <c r="R239" t="str">
        <f>'RESUMEN TOTAL'!W242</f>
        <v>APAGADO</v>
      </c>
      <c r="S239" t="str">
        <f>'RESUMEN TOTAL'!X242</f>
        <v>APAGADO</v>
      </c>
      <c r="T239" t="str">
        <f>'RESUMEN TOTAL'!Y242</f>
        <v>APAGADO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3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 t="str">
        <f>'RESUMEN TOTAL'!P243</f>
        <v>APAGADO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 t="str">
        <f>'RESUMEN TOTAL'!T243</f>
        <v>APAGADO</v>
      </c>
      <c r="P240" t="str">
        <f>'RESUMEN TOTAL'!U243</f>
        <v>APAGADO</v>
      </c>
      <c r="Q240" t="str">
        <f>'RESUMEN TOTAL'!V243</f>
        <v>APAGADO</v>
      </c>
      <c r="R240" t="str">
        <f>'RESUMEN TOTAL'!W243</f>
        <v>APAGADO</v>
      </c>
      <c r="S240" t="str">
        <f>'RESUMEN TOTAL'!X243</f>
        <v>APAGADO</v>
      </c>
      <c r="T240" t="str">
        <f>'RESUMEN TOTAL'!Y243</f>
        <v>APAGADO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3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 t="str">
        <f>'RESUMEN TOTAL'!Q244</f>
        <v>APAGADO</v>
      </c>
      <c r="M241" t="str">
        <f>'RESUMEN TOTAL'!R244</f>
        <v>APAGADO</v>
      </c>
      <c r="N241" t="str">
        <f>'RESUMEN TOTAL'!S244</f>
        <v>APAGADO</v>
      </c>
      <c r="O241" t="str">
        <f>'RESUMEN TOTAL'!T244</f>
        <v>APAGADO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3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 t="str">
        <f>'RESUMEN TOTAL'!Q245</f>
        <v>APAGADO</v>
      </c>
      <c r="M242" t="str">
        <f>'RESUMEN TOTAL'!R245</f>
        <v>APAGADO</v>
      </c>
      <c r="N242" t="str">
        <f>'RESUMEN TOTAL'!S245</f>
        <v>APAGADO</v>
      </c>
      <c r="O242" t="str">
        <f>'RESUMEN TOTAL'!T245</f>
        <v>APAGADO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3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3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3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3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3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3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 t="str">
        <f>'RESUMEN TOTAL'!P252</f>
        <v>APAGADO</v>
      </c>
      <c r="L249" t="str">
        <f>'RESUMEN TOTAL'!Q252</f>
        <v>APAGADO</v>
      </c>
      <c r="M249" t="str">
        <f>'RESUMEN TOTAL'!R252</f>
        <v>APAGADO</v>
      </c>
      <c r="N249" t="str">
        <f>'RESUMEN TOTAL'!S252</f>
        <v>APAGADO</v>
      </c>
      <c r="O249" t="str">
        <f>'RESUMEN TOTAL'!T252</f>
        <v>APAGADO</v>
      </c>
      <c r="P249" t="str">
        <f>'RESUMEN TOTAL'!U252</f>
        <v>APAGADO</v>
      </c>
      <c r="Q249" t="str">
        <f>'RESUMEN TOTAL'!V252</f>
        <v>APAGADO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3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3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 t="str">
        <f>'RESUMEN TOTAL'!R254</f>
        <v>APAGADO</v>
      </c>
      <c r="N251" t="str">
        <f>'RESUMEN TOTAL'!S254</f>
        <v>APAGADO</v>
      </c>
      <c r="O251" t="str">
        <f>'RESUMEN TOTAL'!T254</f>
        <v>APAGADO</v>
      </c>
      <c r="P251" t="str">
        <f>'RESUMEN TOTAL'!U254</f>
        <v>APAGADO</v>
      </c>
      <c r="Q251" t="str">
        <f>'RESUMEN TOTAL'!V254</f>
        <v>APAGADO</v>
      </c>
      <c r="R251" t="str">
        <f>'RESUMEN TOTAL'!W254</f>
        <v>APAGADO</v>
      </c>
      <c r="S251" t="str">
        <f>'RESUMEN TOTAL'!X254</f>
        <v>APAGADO</v>
      </c>
      <c r="T251" t="str">
        <f>'RESUMEN TOTAL'!Y254</f>
        <v>APAGADO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3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 t="str">
        <f>'RESUMEN TOTAL'!R255</f>
        <v>APAGADO</v>
      </c>
      <c r="N252" t="str">
        <f>'RESUMEN TOTAL'!S255</f>
        <v>APAGADO</v>
      </c>
      <c r="O252" t="str">
        <f>'RESUMEN TOTAL'!T255</f>
        <v>APAGADO</v>
      </c>
      <c r="P252" t="str">
        <f>'RESUMEN TOTAL'!U255</f>
        <v>APAGADO</v>
      </c>
      <c r="Q252" t="str">
        <f>'RESUMEN TOTAL'!V255</f>
        <v>APAGADO</v>
      </c>
      <c r="R252" t="str">
        <f>'RESUMEN TOTAL'!W255</f>
        <v>APAGADO</v>
      </c>
      <c r="S252" t="str">
        <f>'RESUMEN TOTAL'!X255</f>
        <v>APAGADO</v>
      </c>
      <c r="T252" t="str">
        <f>'RESUMEN TOTAL'!Y255</f>
        <v>APAGADO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3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 t="str">
        <f>'RESUMEN TOTAL'!V256</f>
        <v>APAGADO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3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3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3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3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3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3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3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3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3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3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3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3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3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3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3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3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3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3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3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3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3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3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3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3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3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3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3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3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3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3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 t="str">
        <f>'RESUMEN TOTAL'!S289</f>
        <v>APAGADO</v>
      </c>
      <c r="O286" t="str">
        <f>'RESUMEN TOTAL'!T289</f>
        <v>APAGADO</v>
      </c>
      <c r="P286" t="str">
        <f>'RESUMEN TOTAL'!U289</f>
        <v>APAGADO</v>
      </c>
      <c r="Q286" t="str">
        <f>'RESUMEN TOTAL'!V289</f>
        <v>APAGADO</v>
      </c>
      <c r="R286" t="str">
        <f>'RESUMEN TOTAL'!W289</f>
        <v>APAGADO</v>
      </c>
      <c r="S286" t="str">
        <f>'RESUMEN TOTAL'!X289</f>
        <v>APAGADO</v>
      </c>
      <c r="T286" t="str">
        <f>'RESUMEN TOTAL'!Y289</f>
        <v>APAGADO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3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 t="str">
        <f>'RESUMEN TOTAL'!S290</f>
        <v>APAGADO</v>
      </c>
      <c r="O287" t="str">
        <f>'RESUMEN TOTAL'!T290</f>
        <v>APAGADO</v>
      </c>
      <c r="P287" t="str">
        <f>'RESUMEN TOTAL'!U290</f>
        <v>APAGADO</v>
      </c>
      <c r="Q287" t="str">
        <f>'RESUMEN TOTAL'!V290</f>
        <v>APAGADO</v>
      </c>
      <c r="R287" t="str">
        <f>'RESUMEN TOTAL'!W290</f>
        <v>APAGADO</v>
      </c>
      <c r="S287" t="str">
        <f>'RESUMEN TOTAL'!X290</f>
        <v>APAGADO</v>
      </c>
      <c r="T287" t="str">
        <f>'RESUMEN TOTAL'!Y290</f>
        <v>APAGADO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3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 t="str">
        <f>'RESUMEN TOTAL'!S291</f>
        <v>APAGADO</v>
      </c>
      <c r="O288" t="str">
        <f>'RESUMEN TOTAL'!T291</f>
        <v>APAGADO</v>
      </c>
      <c r="P288" t="str">
        <f>'RESUMEN TOTAL'!U291</f>
        <v>APAGADO</v>
      </c>
      <c r="Q288" t="str">
        <f>'RESUMEN TOTAL'!V291</f>
        <v>APAGADO</v>
      </c>
      <c r="R288" t="str">
        <f>'RESUMEN TOTAL'!W291</f>
        <v>APAGADO</v>
      </c>
      <c r="S288" t="str">
        <f>'RESUMEN TOTAL'!X291</f>
        <v>APAGADO</v>
      </c>
      <c r="T288" t="str">
        <f>'RESUMEN TOTAL'!Y291</f>
        <v>APAGADO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3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 t="str">
        <f>'RESUMEN TOTAL'!S292</f>
        <v>APAGADO</v>
      </c>
      <c r="O289" t="str">
        <f>'RESUMEN TOTAL'!T292</f>
        <v>APAGADO</v>
      </c>
      <c r="P289" t="str">
        <f>'RESUMEN TOTAL'!U292</f>
        <v>APAGADO</v>
      </c>
      <c r="Q289" t="str">
        <f>'RESUMEN TOTAL'!V292</f>
        <v>APAGADO</v>
      </c>
      <c r="R289" t="str">
        <f>'RESUMEN TOTAL'!W292</f>
        <v>APAGADO</v>
      </c>
      <c r="S289" t="str">
        <f>'RESUMEN TOTAL'!X292</f>
        <v>APAGADO</v>
      </c>
      <c r="T289" t="str">
        <f>'RESUMEN TOTAL'!Y292</f>
        <v>APAGADO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3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3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3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3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3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3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3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3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3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3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TOTAL'!K302</f>
        <v>APAGADO</v>
      </c>
      <c r="G299" t="str">
        <f>'RESUMEN TOTAL'!L302</f>
        <v>APAGADO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3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3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3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3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3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3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3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3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3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3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 t="str">
        <f>'RESUMEN TOTAL'!Q312</f>
        <v>APAGADO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3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 t="str">
        <f>'RESUMEN TOTAL'!Q313</f>
        <v>APAGADO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3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3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3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 t="str">
        <f>'RESUMEN TOTAL'!X316</f>
        <v>APAGADO</v>
      </c>
      <c r="T313" t="str">
        <f>'RESUMEN TOTAL'!Y316</f>
        <v>APAGADO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3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3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3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3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3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3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3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3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3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 t="str">
        <f>'RESUMEN TOTAL'!T325</f>
        <v>APAGADO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3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 t="str">
        <f>'RESUMEN TOTAL'!T326</f>
        <v>APAGADO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3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 t="str">
        <f>'RESUMEN TOTAL'!L327</f>
        <v>APAGADO</v>
      </c>
      <c r="H324" t="str">
        <f>'RESUMEN TOTAL'!M327</f>
        <v>APAGADO</v>
      </c>
      <c r="I324" t="str">
        <f>'RESUMEN TOTAL'!N327</f>
        <v>APAGADO</v>
      </c>
      <c r="J324" t="str">
        <f>'RESUMEN TOTAL'!O327</f>
        <v>APAGADO</v>
      </c>
      <c r="K324" t="str">
        <f>'RESUMEN TOTAL'!P327</f>
        <v>APAGADO</v>
      </c>
      <c r="L324" t="str">
        <f>'RESUMEN TOTAL'!Q327</f>
        <v>APAGADO</v>
      </c>
      <c r="M324" t="str">
        <f>'RESUMEN TOTAL'!R327</f>
        <v>APAGADO</v>
      </c>
      <c r="N324" t="str">
        <f>'RESUMEN TOTAL'!S327</f>
        <v>APAGADO</v>
      </c>
      <c r="O324" t="str">
        <f>'RESUMEN TOTAL'!T327</f>
        <v>APAGADO</v>
      </c>
      <c r="P324" t="str">
        <f>'RESUMEN TOTAL'!U327</f>
        <v>APAGADO</v>
      </c>
      <c r="Q324" t="str">
        <f>'RESUMEN TOTAL'!V327</f>
        <v>APAGADO</v>
      </c>
      <c r="R324" t="str">
        <f>'RESUMEN TOTAL'!W327</f>
        <v>APAGADO</v>
      </c>
      <c r="S324" t="str">
        <f>'RESUMEN TOTAL'!X327</f>
        <v>APAGADO</v>
      </c>
      <c r="T324" t="str">
        <f>'RESUMEN TOTAL'!Y327</f>
        <v>APAGADO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3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 t="str">
        <f>'RESUMEN TOTAL'!L328</f>
        <v>APAGADO</v>
      </c>
      <c r="H325" t="str">
        <f>'RESUMEN TOTAL'!M328</f>
        <v>APAGADO</v>
      </c>
      <c r="I325" t="str">
        <f>'RESUMEN TOTAL'!N328</f>
        <v>APAGADO</v>
      </c>
      <c r="J325" t="str">
        <f>'RESUMEN TOTAL'!O328</f>
        <v>APAGADO</v>
      </c>
      <c r="K325" t="str">
        <f>'RESUMEN TOTAL'!P328</f>
        <v>APAGADO</v>
      </c>
      <c r="L325" t="str">
        <f>'RESUMEN TOTAL'!Q328</f>
        <v>APAGADO</v>
      </c>
      <c r="M325" t="str">
        <f>'RESUMEN TOTAL'!R328</f>
        <v>APAGADO</v>
      </c>
      <c r="N325" t="str">
        <f>'RESUMEN TOTAL'!S328</f>
        <v>APAGADO</v>
      </c>
      <c r="O325" t="str">
        <f>'RESUMEN TOTAL'!T328</f>
        <v>APAGADO</v>
      </c>
      <c r="P325" t="str">
        <f>'RESUMEN TOTAL'!U328</f>
        <v>APAGADO</v>
      </c>
      <c r="Q325" t="str">
        <f>'RESUMEN TOTAL'!V328</f>
        <v>APAGADO</v>
      </c>
      <c r="R325" t="str">
        <f>'RESUMEN TOTAL'!W328</f>
        <v>APAGADO</v>
      </c>
      <c r="S325" t="str">
        <f>'RESUMEN TOTAL'!X328</f>
        <v>APAGADO</v>
      </c>
      <c r="T325" t="str">
        <f>'RESUMEN TOTAL'!Y328</f>
        <v>APAGADO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3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3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3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3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 t="str">
        <f>'RESUMEN TOTAL'!T332</f>
        <v>APAGADO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3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 t="str">
        <f>'RESUMEN TOTAL'!T333</f>
        <v>APAGADO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3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3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 t="str">
        <f>'RESUMEN TOTAL'!O335</f>
        <v>APAGADO</v>
      </c>
      <c r="K332" t="str">
        <f>'RESUMEN TOTAL'!P335</f>
        <v>APAGADO</v>
      </c>
      <c r="L332" t="str">
        <f>'RESUMEN TOTAL'!Q335</f>
        <v>APAGADO</v>
      </c>
      <c r="M332" t="str">
        <f>'RESUMEN TOTAL'!R335</f>
        <v>APAGADO</v>
      </c>
      <c r="N332" t="str">
        <f>'RESUMEN TOTAL'!S335</f>
        <v>APAGADO</v>
      </c>
      <c r="O332" t="str">
        <f>'RESUMEN TOTAL'!T335</f>
        <v>APAGADO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3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 t="str">
        <f>'RESUMEN TOTAL'!Y336</f>
        <v>APAGADO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3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3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3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3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3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3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3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3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3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3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3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3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 t="str">
        <f>'RESUMEN TOTAL'!K348</f>
        <v>APAGADO</v>
      </c>
      <c r="G345">
        <f>'RESUMEN TOTAL'!L348</f>
        <v>0</v>
      </c>
      <c r="H345" t="str">
        <f>'RESUMEN TOTAL'!M348</f>
        <v>APAGADO</v>
      </c>
      <c r="I345" t="str">
        <f>'RESUMEN TOTAL'!N348</f>
        <v>APAGADO</v>
      </c>
      <c r="J345">
        <f>'RESUMEN TOTAL'!O348</f>
        <v>0</v>
      </c>
      <c r="K345" t="str">
        <f>'RESUMEN TOTAL'!P348</f>
        <v>APAGADO</v>
      </c>
      <c r="L345" t="str">
        <f>'RESUMEN TOTAL'!Q348</f>
        <v>APAGADO</v>
      </c>
      <c r="M345" t="str">
        <f>'RESUMEN TOTAL'!R348</f>
        <v>APAGADO</v>
      </c>
      <c r="N345" t="str">
        <f>'RESUMEN TOTAL'!S348</f>
        <v>APAGADO</v>
      </c>
      <c r="O345" t="str">
        <f>'RESUMEN TOTAL'!T348</f>
        <v>APAGADO</v>
      </c>
      <c r="P345">
        <f>'RESUMEN TOTAL'!U348</f>
        <v>0</v>
      </c>
      <c r="Q345" t="str">
        <f>'RESUMEN TOTAL'!V348</f>
        <v>APAGADO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3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3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3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3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3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3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3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3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 t="str">
        <f>'RESUMEN TOTAL'!K356</f>
        <v>APAGADO</v>
      </c>
      <c r="G353">
        <f>'RESUMEN TOTAL'!L356</f>
        <v>0</v>
      </c>
      <c r="H353" t="str">
        <f>'RESUMEN TOTAL'!M356</f>
        <v>APAGADO</v>
      </c>
      <c r="I353" t="str">
        <f>'RESUMEN TOTAL'!N356</f>
        <v>APAGADO</v>
      </c>
      <c r="J353">
        <f>'RESUMEN TOTAL'!O356</f>
        <v>0</v>
      </c>
      <c r="K353" t="str">
        <f>'RESUMEN TOTAL'!P356</f>
        <v>APAGADO</v>
      </c>
      <c r="L353" t="str">
        <f>'RESUMEN TOTAL'!Q356</f>
        <v>APAGADO</v>
      </c>
      <c r="M353" t="str">
        <f>'RESUMEN TOTAL'!R356</f>
        <v>APAGADO</v>
      </c>
      <c r="N353" t="str">
        <f>'RESUMEN TOTAL'!S356</f>
        <v>APAGADO</v>
      </c>
      <c r="O353" t="str">
        <f>'RESUMEN TOTAL'!T356</f>
        <v>APAGADO</v>
      </c>
      <c r="P353">
        <f>'RESUMEN TOTAL'!U356</f>
        <v>0</v>
      </c>
      <c r="Q353" t="str">
        <f>'RESUMEN TOTAL'!V356</f>
        <v>APAGADO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>
        <f>'RESUMEN TOTAL'!Z356</f>
        <v>0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</row>
    <row r="354" spans="1:35" x14ac:dyDescent="0.3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 t="str">
        <f>'RESUMEN TOTAL'!K357</f>
        <v>APAGADO</v>
      </c>
      <c r="G354">
        <f>'RESUMEN TOTAL'!L357</f>
        <v>0</v>
      </c>
      <c r="H354" t="str">
        <f>'RESUMEN TOTAL'!M357</f>
        <v>APAGADO</v>
      </c>
      <c r="I354" t="str">
        <f>'RESUMEN TOTAL'!N357</f>
        <v>APAGADO</v>
      </c>
      <c r="J354">
        <f>'RESUMEN TOTAL'!O357</f>
        <v>0</v>
      </c>
      <c r="K354" t="str">
        <f>'RESUMEN TOTAL'!P357</f>
        <v>APAGADO</v>
      </c>
      <c r="L354" t="str">
        <f>'RESUMEN TOTAL'!Q357</f>
        <v>APAGADO</v>
      </c>
      <c r="M354" t="str">
        <f>'RESUMEN TOTAL'!R357</f>
        <v>APAGADO</v>
      </c>
      <c r="N354" t="str">
        <f>'RESUMEN TOTAL'!S357</f>
        <v>APAGADO</v>
      </c>
      <c r="O354" t="str">
        <f>'RESUMEN TOTAL'!T357</f>
        <v>APAGADO</v>
      </c>
      <c r="P354">
        <f>'RESUMEN TOTAL'!U357</f>
        <v>0</v>
      </c>
      <c r="Q354" t="str">
        <f>'RESUMEN TOTAL'!V357</f>
        <v>APAGADO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</row>
    <row r="355" spans="1:35" x14ac:dyDescent="0.3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3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>
        <f>'RESUMEN TOTAL'!N359</f>
        <v>0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3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3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TOTAL'!K361</f>
        <v>APAGADO</v>
      </c>
      <c r="G358">
        <f>'RESUMEN TOTAL'!L361</f>
        <v>0</v>
      </c>
      <c r="H358" t="str">
        <f>'RESUMEN TOTAL'!M361</f>
        <v>APAGADO</v>
      </c>
      <c r="I358" t="str">
        <f>'RESUMEN TOTAL'!N361</f>
        <v>APAGADO</v>
      </c>
      <c r="J358" t="str">
        <f>'RESUMEN TOTAL'!O361</f>
        <v>APAGADO</v>
      </c>
      <c r="K358" t="str">
        <f>'RESUMEN TOTAL'!P361</f>
        <v>APAGADO</v>
      </c>
      <c r="L358" t="str">
        <f>'RESUMEN TOTAL'!Q361</f>
        <v>APAGADO</v>
      </c>
      <c r="M358" t="str">
        <f>'RESUMEN TOTAL'!R361</f>
        <v>APAGADO</v>
      </c>
      <c r="N358" t="str">
        <f>'RESUMEN TOTAL'!S361</f>
        <v>APAGADO</v>
      </c>
      <c r="O358" t="str">
        <f>'RESUMEN TOTAL'!T361</f>
        <v>APAGADO</v>
      </c>
      <c r="P358" t="str">
        <f>'RESUMEN TOTAL'!U361</f>
        <v>APAGADO</v>
      </c>
      <c r="Q358" t="str">
        <f>'RESUMEN TOTAL'!V361</f>
        <v>APAGADO</v>
      </c>
      <c r="R358" t="str">
        <f>'RESUMEN TOTAL'!W361</f>
        <v>APAGADO</v>
      </c>
      <c r="S358" t="str">
        <f>'RESUMEN TOTAL'!X361</f>
        <v>APAGADO</v>
      </c>
      <c r="T358" t="str">
        <f>'RESUMEN TOTAL'!Y361</f>
        <v>APAGADO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</row>
    <row r="359" spans="1:35" x14ac:dyDescent="0.3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TOTAL'!K362</f>
        <v>APAGADO</v>
      </c>
      <c r="G359">
        <f>'RESUMEN TOTAL'!L362</f>
        <v>0</v>
      </c>
      <c r="H359" t="str">
        <f>'RESUMEN TOTAL'!M362</f>
        <v>APAGADO</v>
      </c>
      <c r="I359" t="str">
        <f>'RESUMEN TOTAL'!N362</f>
        <v>APAGADO</v>
      </c>
      <c r="J359" t="str">
        <f>'RESUMEN TOTAL'!O362</f>
        <v>APAGADO</v>
      </c>
      <c r="K359" t="str">
        <f>'RESUMEN TOTAL'!P362</f>
        <v>APAGADO</v>
      </c>
      <c r="L359" t="str">
        <f>'RESUMEN TOTAL'!Q362</f>
        <v>APAGADO</v>
      </c>
      <c r="M359" t="str">
        <f>'RESUMEN TOTAL'!R362</f>
        <v>APAGADO</v>
      </c>
      <c r="N359" t="str">
        <f>'RESUMEN TOTAL'!S362</f>
        <v>APAGADO</v>
      </c>
      <c r="O359" t="str">
        <f>'RESUMEN TOTAL'!T362</f>
        <v>APAGADO</v>
      </c>
      <c r="P359" t="str">
        <f>'RESUMEN TOTAL'!U362</f>
        <v>APAGADO</v>
      </c>
      <c r="Q359" t="str">
        <f>'RESUMEN TOTAL'!V362</f>
        <v>APAGADO</v>
      </c>
      <c r="R359" t="str">
        <f>'RESUMEN TOTAL'!W362</f>
        <v>APAGADO</v>
      </c>
      <c r="S359" t="str">
        <f>'RESUMEN TOTAL'!X362</f>
        <v>APAGADO</v>
      </c>
      <c r="T359" t="str">
        <f>'RESUMEN TOTAL'!Y362</f>
        <v>APAGADO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</row>
    <row r="360" spans="1:35" x14ac:dyDescent="0.3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3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3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3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3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3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3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TOTAL'!K369</f>
        <v>0</v>
      </c>
      <c r="G366">
        <f>'RESUMEN TOTAL'!L369</f>
        <v>0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 t="str">
        <f>'RESUMEN TOTAL'!X369</f>
        <v>APAGADO</v>
      </c>
      <c r="T366" t="str">
        <f>'RESUMEN TOTAL'!Y369</f>
        <v>APAGADO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3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 t="str">
        <f>'RESUMEN TOTAL'!P370</f>
        <v>APAGADO</v>
      </c>
      <c r="L367" t="str">
        <f>'RESUMEN TOTAL'!Q370</f>
        <v>APAGADO</v>
      </c>
      <c r="M367" t="str">
        <f>'RESUMEN TOTAL'!R370</f>
        <v>APAGADO</v>
      </c>
      <c r="N367" t="str">
        <f>'RESUMEN TOTAL'!S370</f>
        <v>APAGADO</v>
      </c>
      <c r="O367" t="str">
        <f>'RESUMEN TOTAL'!T370</f>
        <v>APAGADO</v>
      </c>
      <c r="P367" t="str">
        <f>'RESUMEN TOTAL'!U370</f>
        <v>APAGADO</v>
      </c>
      <c r="Q367" t="str">
        <f>'RESUMEN TOTAL'!V370</f>
        <v>APAGADO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3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 t="str">
        <f>'RESUMEN TOTAL'!Q371</f>
        <v>APAGADO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3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 t="str">
        <f>'RESUMEN TOTAL'!Q372</f>
        <v>APAGADO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3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 t="str">
        <f>'RESUMEN TOTAL'!Q373</f>
        <v>APAGADO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3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 t="str">
        <f>'RESUMEN TOTAL'!Q374</f>
        <v>APAGADO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3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3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TOTAL'!K376</f>
        <v>0</v>
      </c>
      <c r="G373">
        <f>'RESUMEN TOTAL'!L376</f>
        <v>0</v>
      </c>
      <c r="H373">
        <f>'RESUMEN TOTAL'!M376</f>
        <v>0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3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3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TOTAL'!K378</f>
        <v>0</v>
      </c>
      <c r="G375" s="51">
        <f>'RESUMEN TOTAL'!L378</f>
        <v>0</v>
      </c>
      <c r="H375" s="51">
        <f>'RESUMEN TOTAL'!M378</f>
        <v>0</v>
      </c>
      <c r="I375" s="51">
        <f>'RESUMEN TOTAL'!N378</f>
        <v>0</v>
      </c>
      <c r="J375" s="51">
        <f>'RESUMEN TOTAL'!O378</f>
        <v>0</v>
      </c>
      <c r="K375" s="51">
        <f>'RESUMEN TOTAL'!P378</f>
        <v>0</v>
      </c>
      <c r="L375" s="51">
        <f>'RESUMEN TOTAL'!Q378</f>
        <v>0</v>
      </c>
      <c r="M375" s="51">
        <f>'RESUMEN TOTAL'!R378</f>
        <v>0</v>
      </c>
      <c r="N375" s="51">
        <f>'RESUMEN TOTAL'!S378</f>
        <v>0</v>
      </c>
      <c r="O375" s="51">
        <f>'RESUMEN TOTAL'!T378</f>
        <v>0</v>
      </c>
      <c r="P375" s="51">
        <f>'RESUMEN TOTAL'!U378</f>
        <v>0</v>
      </c>
      <c r="Q375" s="51">
        <f>'RESUMEN TOTAL'!V378</f>
        <v>0</v>
      </c>
      <c r="R375" s="51">
        <f>'RESUMEN TOTAL'!W378</f>
        <v>0</v>
      </c>
      <c r="S375" s="51">
        <f>'RESUMEN TOTAL'!X378</f>
        <v>0</v>
      </c>
      <c r="T375" s="51">
        <f>'RESUMEN TOTAL'!Y378</f>
        <v>0</v>
      </c>
      <c r="U375" s="51">
        <f>'RESUMEN TOTAL'!Z378</f>
        <v>0</v>
      </c>
      <c r="V375" s="51">
        <f>'RESUMEN TOTAL'!AA378</f>
        <v>0</v>
      </c>
      <c r="W375" s="51">
        <f>'RESUMEN TOTAL'!AB378</f>
        <v>0</v>
      </c>
      <c r="X375" s="51">
        <f>'RESUMEN TOTAL'!AC378</f>
        <v>0</v>
      </c>
      <c r="Y375" s="51">
        <f>'RESUMEN TOTAL'!AD378</f>
        <v>0</v>
      </c>
      <c r="Z375" s="51">
        <f>'RESUMEN TOTAL'!AE378</f>
        <v>0</v>
      </c>
      <c r="AA375" s="51">
        <f>'RESUMEN TOTAL'!AF378</f>
        <v>0</v>
      </c>
      <c r="AB375" s="51">
        <f>'RESUMEN TOTAL'!AG378</f>
        <v>0</v>
      </c>
      <c r="AC375" s="51">
        <f>'RESUMEN TOTAL'!AH378</f>
        <v>0</v>
      </c>
      <c r="AD375" s="51">
        <f>'RESUMEN TOTAL'!AI378</f>
        <v>0</v>
      </c>
      <c r="AE375" s="51">
        <f>'RESUMEN TOTAL'!AJ378</f>
        <v>0</v>
      </c>
      <c r="AF375" s="51">
        <f>'RESUMEN TOTAL'!AK378</f>
        <v>0</v>
      </c>
      <c r="AG375" s="51">
        <f>'RESUMEN TOTAL'!AL378</f>
        <v>0</v>
      </c>
      <c r="AH375" s="51">
        <f>'RESUMEN TOTAL'!AM378</f>
        <v>0</v>
      </c>
      <c r="AI375" s="51">
        <f>'RESUMEN TOTAL'!AN378</f>
        <v>0</v>
      </c>
    </row>
    <row r="376" spans="1:35" x14ac:dyDescent="0.3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TOTAL'!K379</f>
        <v>0</v>
      </c>
      <c r="G376" s="51">
        <f>'RESUMEN TOTAL'!L379</f>
        <v>0</v>
      </c>
      <c r="H376" s="51">
        <f>'RESUMEN TOTAL'!M379</f>
        <v>0</v>
      </c>
      <c r="I376" s="51">
        <f>'RESUMEN TOTAL'!N379</f>
        <v>0</v>
      </c>
      <c r="J376" s="51">
        <f>'RESUMEN TOTAL'!O379</f>
        <v>0</v>
      </c>
      <c r="K376" s="51">
        <f>'RESUMEN TOTAL'!P379</f>
        <v>0</v>
      </c>
      <c r="L376" s="51">
        <f>'RESUMEN TOTAL'!Q379</f>
        <v>0</v>
      </c>
      <c r="M376" s="51">
        <f>'RESUMEN TOTAL'!R379</f>
        <v>0</v>
      </c>
      <c r="N376" s="51">
        <f>'RESUMEN TOTAL'!S379</f>
        <v>0</v>
      </c>
      <c r="O376" s="51">
        <f>'RESUMEN TOTAL'!T379</f>
        <v>0</v>
      </c>
      <c r="P376" s="51">
        <f>'RESUMEN TOTAL'!U379</f>
        <v>0</v>
      </c>
      <c r="Q376" s="51">
        <f>'RESUMEN TOTAL'!V379</f>
        <v>0</v>
      </c>
      <c r="R376" s="51">
        <f>'RESUMEN TOTAL'!W379</f>
        <v>0</v>
      </c>
      <c r="S376" s="51">
        <f>'RESUMEN TOTAL'!X379</f>
        <v>0</v>
      </c>
      <c r="T376" s="51">
        <f>'RESUMEN TOTAL'!Y379</f>
        <v>0</v>
      </c>
      <c r="U376" s="51">
        <f>'RESUMEN TOTAL'!Z379</f>
        <v>0</v>
      </c>
      <c r="V376" s="51">
        <f>'RESUMEN TOTAL'!AA379</f>
        <v>0</v>
      </c>
      <c r="W376" s="51">
        <f>'RESUMEN TOTAL'!AB379</f>
        <v>0</v>
      </c>
      <c r="X376" s="51">
        <f>'RESUMEN TOTAL'!AC379</f>
        <v>0</v>
      </c>
      <c r="Y376" s="51">
        <f>'RESUMEN TOTAL'!AD379</f>
        <v>0</v>
      </c>
      <c r="Z376" s="51">
        <f>'RESUMEN TOTAL'!AE379</f>
        <v>0</v>
      </c>
      <c r="AA376" s="51">
        <f>'RESUMEN TOTAL'!AF379</f>
        <v>0</v>
      </c>
      <c r="AB376" s="51">
        <f>'RESUMEN TOTAL'!AG379</f>
        <v>0</v>
      </c>
      <c r="AC376" s="51">
        <f>'RESUMEN TOTAL'!AH379</f>
        <v>0</v>
      </c>
      <c r="AD376" s="51">
        <f>'RESUMEN TOTAL'!AI379</f>
        <v>0</v>
      </c>
      <c r="AE376" s="51">
        <f>'RESUMEN TOTAL'!AJ379</f>
        <v>0</v>
      </c>
      <c r="AF376" s="51">
        <f>'RESUMEN TOTAL'!AK379</f>
        <v>0</v>
      </c>
      <c r="AG376" s="51">
        <f>'RESUMEN TOTAL'!AL379</f>
        <v>0</v>
      </c>
      <c r="AH376" s="51">
        <f>'RESUMEN TOTAL'!AM379</f>
        <v>0</v>
      </c>
      <c r="AI376" s="51">
        <f>'RESUMEN TOTAL'!AN379</f>
        <v>0</v>
      </c>
    </row>
    <row r="377" spans="1:35" x14ac:dyDescent="0.3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TOTAL'!K380</f>
        <v>0</v>
      </c>
      <c r="G377" s="51">
        <f>'RESUMEN TOTAL'!L380</f>
        <v>0</v>
      </c>
      <c r="H377" s="51">
        <f>'RESUMEN TOTAL'!M380</f>
        <v>0</v>
      </c>
      <c r="I377" s="51">
        <f>'RESUMEN TOTAL'!N380</f>
        <v>0</v>
      </c>
      <c r="J377" s="51">
        <f>'RESUMEN TOTAL'!O380</f>
        <v>0</v>
      </c>
      <c r="K377" s="51">
        <f>'RESUMEN TOTAL'!P380</f>
        <v>0</v>
      </c>
      <c r="L377" s="51">
        <f>'RESUMEN TOTAL'!Q380</f>
        <v>0</v>
      </c>
      <c r="M377" s="51">
        <f>'RESUMEN TOTAL'!R380</f>
        <v>0</v>
      </c>
      <c r="N377" s="51">
        <f>'RESUMEN TOTAL'!S380</f>
        <v>0</v>
      </c>
      <c r="O377" s="51">
        <f>'RESUMEN TOTAL'!T380</f>
        <v>0</v>
      </c>
      <c r="P377" s="51">
        <f>'RESUMEN TOTAL'!U380</f>
        <v>0</v>
      </c>
      <c r="Q377" s="51">
        <f>'RESUMEN TOTAL'!V380</f>
        <v>0</v>
      </c>
      <c r="R377" s="51">
        <f>'RESUMEN TOTAL'!W380</f>
        <v>0</v>
      </c>
      <c r="S377" s="51">
        <f>'RESUMEN TOTAL'!X380</f>
        <v>0</v>
      </c>
      <c r="T377" s="51">
        <f>'RESUMEN TOTAL'!Y380</f>
        <v>0</v>
      </c>
      <c r="U377" s="51">
        <f>'RESUMEN TOTAL'!Z380</f>
        <v>0</v>
      </c>
      <c r="V377" s="51">
        <f>'RESUMEN TOTAL'!AA380</f>
        <v>0</v>
      </c>
      <c r="W377" s="51">
        <f>'RESUMEN TOTAL'!AB380</f>
        <v>0</v>
      </c>
      <c r="X377" s="51">
        <f>'RESUMEN TOTAL'!AC380</f>
        <v>0</v>
      </c>
      <c r="Y377" s="51">
        <f>'RESUMEN TOTAL'!AD380</f>
        <v>0</v>
      </c>
      <c r="Z377" s="51">
        <f>'RESUMEN TOTAL'!AE380</f>
        <v>0</v>
      </c>
      <c r="AA377" s="51">
        <f>'RESUMEN TOTAL'!AF380</f>
        <v>0</v>
      </c>
      <c r="AB377" s="51">
        <f>'RESUMEN TOTAL'!AG380</f>
        <v>0</v>
      </c>
      <c r="AC377" s="51">
        <f>'RESUMEN TOTAL'!AH380</f>
        <v>0</v>
      </c>
      <c r="AD377" s="51">
        <f>'RESUMEN TOTAL'!AI380</f>
        <v>0</v>
      </c>
      <c r="AE377" s="51">
        <f>'RESUMEN TOTAL'!AJ380</f>
        <v>0</v>
      </c>
      <c r="AF377" s="51">
        <f>'RESUMEN TOTAL'!AK380</f>
        <v>0</v>
      </c>
      <c r="AG377" s="51">
        <f>'RESUMEN TOTAL'!AL380</f>
        <v>0</v>
      </c>
      <c r="AH377" s="51">
        <f>'RESUMEN TOTAL'!AM380</f>
        <v>0</v>
      </c>
      <c r="AI377" s="51">
        <f>'RESUMEN TOTAL'!AN380</f>
        <v>0</v>
      </c>
    </row>
    <row r="378" spans="1:35" x14ac:dyDescent="0.3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TOTAL'!K381</f>
        <v>0</v>
      </c>
      <c r="G378" s="51">
        <f>'RESUMEN TOTAL'!L381</f>
        <v>0</v>
      </c>
      <c r="H378" s="51">
        <f>'RESUMEN TOTAL'!M381</f>
        <v>0</v>
      </c>
      <c r="I378" s="51">
        <f>'RESUMEN TOTAL'!N381</f>
        <v>0</v>
      </c>
      <c r="J378" s="51">
        <f>'RESUMEN TOTAL'!O381</f>
        <v>0</v>
      </c>
      <c r="K378" s="51">
        <f>'RESUMEN TOTAL'!P381</f>
        <v>0</v>
      </c>
      <c r="L378" s="51">
        <f>'RESUMEN TOTAL'!Q381</f>
        <v>0</v>
      </c>
      <c r="M378" s="51">
        <f>'RESUMEN TOTAL'!R381</f>
        <v>0</v>
      </c>
      <c r="N378" s="51">
        <f>'RESUMEN TOTAL'!S381</f>
        <v>0</v>
      </c>
      <c r="O378" s="51">
        <f>'RESUMEN TOTAL'!T381</f>
        <v>0</v>
      </c>
      <c r="P378" s="51">
        <f>'RESUMEN TOTAL'!U381</f>
        <v>0</v>
      </c>
      <c r="Q378" s="51">
        <f>'RESUMEN TOTAL'!V381</f>
        <v>0</v>
      </c>
      <c r="R378" s="51">
        <f>'RESUMEN TOTAL'!W381</f>
        <v>0</v>
      </c>
      <c r="S378" s="51">
        <f>'RESUMEN TOTAL'!X381</f>
        <v>0</v>
      </c>
      <c r="T378" s="51">
        <f>'RESUMEN TOTAL'!Y381</f>
        <v>0</v>
      </c>
      <c r="U378" s="51">
        <f>'RESUMEN TOTAL'!Z381</f>
        <v>0</v>
      </c>
      <c r="V378" s="51">
        <f>'RESUMEN TOTAL'!AA381</f>
        <v>0</v>
      </c>
      <c r="W378" s="51">
        <f>'RESUMEN TOTAL'!AB381</f>
        <v>0</v>
      </c>
      <c r="X378" s="51">
        <f>'RESUMEN TOTAL'!AC381</f>
        <v>0</v>
      </c>
      <c r="Y378" s="51">
        <f>'RESUMEN TOTAL'!AD381</f>
        <v>0</v>
      </c>
      <c r="Z378" s="51">
        <f>'RESUMEN TOTAL'!AE381</f>
        <v>0</v>
      </c>
      <c r="AA378" s="51">
        <f>'RESUMEN TOTAL'!AF381</f>
        <v>0</v>
      </c>
      <c r="AB378" s="51">
        <f>'RESUMEN TOTAL'!AG381</f>
        <v>0</v>
      </c>
      <c r="AC378" s="51">
        <f>'RESUMEN TOTAL'!AH381</f>
        <v>0</v>
      </c>
      <c r="AD378" s="51">
        <f>'RESUMEN TOTAL'!AI381</f>
        <v>0</v>
      </c>
      <c r="AE378" s="51">
        <f>'RESUMEN TOTAL'!AJ381</f>
        <v>0</v>
      </c>
      <c r="AF378" s="51">
        <f>'RESUMEN TOTAL'!AK381</f>
        <v>0</v>
      </c>
      <c r="AG378" s="51">
        <f>'RESUMEN TOTAL'!AL381</f>
        <v>0</v>
      </c>
      <c r="AH378" s="51">
        <f>'RESUMEN TOTAL'!AM381</f>
        <v>0</v>
      </c>
      <c r="AI378" s="51">
        <f>'RESUMEN TOTAL'!AN381</f>
        <v>0</v>
      </c>
    </row>
    <row r="379" spans="1:35" x14ac:dyDescent="0.3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TOTAL'!K382</f>
        <v>0</v>
      </c>
      <c r="G379" s="51">
        <f>'RESUMEN TOTAL'!L382</f>
        <v>0</v>
      </c>
      <c r="H379" s="51">
        <f>'RESUMEN TOTAL'!M382</f>
        <v>0</v>
      </c>
      <c r="I379" s="51">
        <f>'RESUMEN TOTAL'!N382</f>
        <v>0</v>
      </c>
      <c r="J379" s="51">
        <f>'RESUMEN TOTAL'!O382</f>
        <v>0</v>
      </c>
      <c r="K379" s="51">
        <f>'RESUMEN TOTAL'!P382</f>
        <v>0</v>
      </c>
      <c r="L379" s="51">
        <f>'RESUMEN TOTAL'!Q382</f>
        <v>0</v>
      </c>
      <c r="M379" s="51">
        <f>'RESUMEN TOTAL'!R382</f>
        <v>0</v>
      </c>
      <c r="N379" s="51">
        <f>'RESUMEN TOTAL'!S382</f>
        <v>0</v>
      </c>
      <c r="O379" s="51">
        <f>'RESUMEN TOTAL'!T382</f>
        <v>0</v>
      </c>
      <c r="P379" s="51">
        <f>'RESUMEN TOTAL'!U382</f>
        <v>0</v>
      </c>
      <c r="Q379" s="51">
        <f>'RESUMEN TOTAL'!V382</f>
        <v>0</v>
      </c>
      <c r="R379" s="51">
        <f>'RESUMEN TOTAL'!W382</f>
        <v>0</v>
      </c>
      <c r="S379" s="51">
        <f>'RESUMEN TOTAL'!X382</f>
        <v>0</v>
      </c>
      <c r="T379" s="51">
        <f>'RESUMEN TOTAL'!Y382</f>
        <v>0</v>
      </c>
      <c r="U379" s="51">
        <f>'RESUMEN TOTAL'!Z382</f>
        <v>0</v>
      </c>
      <c r="V379" s="51">
        <f>'RESUMEN TOTAL'!AA382</f>
        <v>0</v>
      </c>
      <c r="W379" s="51">
        <f>'RESUMEN TOTAL'!AB382</f>
        <v>0</v>
      </c>
      <c r="X379" s="51">
        <f>'RESUMEN TOTAL'!AC382</f>
        <v>0</v>
      </c>
      <c r="Y379" s="51">
        <f>'RESUMEN TOTAL'!AD382</f>
        <v>0</v>
      </c>
      <c r="Z379" s="51">
        <f>'RESUMEN TOTAL'!AE382</f>
        <v>0</v>
      </c>
      <c r="AA379" s="51">
        <f>'RESUMEN TOTAL'!AF382</f>
        <v>0</v>
      </c>
      <c r="AB379" s="51">
        <f>'RESUMEN TOTAL'!AG382</f>
        <v>0</v>
      </c>
      <c r="AC379" s="51">
        <f>'RESUMEN TOTAL'!AH382</f>
        <v>0</v>
      </c>
      <c r="AD379" s="51">
        <f>'RESUMEN TOTAL'!AI382</f>
        <v>0</v>
      </c>
      <c r="AE379" s="51">
        <f>'RESUMEN TOTAL'!AJ382</f>
        <v>0</v>
      </c>
      <c r="AF379" s="51">
        <f>'RESUMEN TOTAL'!AK382</f>
        <v>0</v>
      </c>
      <c r="AG379" s="51">
        <f>'RESUMEN TOTAL'!AL382</f>
        <v>0</v>
      </c>
      <c r="AH379" s="51">
        <f>'RESUMEN TOTAL'!AM382</f>
        <v>0</v>
      </c>
      <c r="AI379" s="51">
        <f>'RESUMEN TOTAL'!AN382</f>
        <v>0</v>
      </c>
    </row>
    <row r="380" spans="1:35" x14ac:dyDescent="0.3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TOTAL'!K383</f>
        <v>0</v>
      </c>
      <c r="G380" s="51">
        <f>'RESUMEN TOTAL'!L383</f>
        <v>0</v>
      </c>
      <c r="H380" s="51">
        <f>'RESUMEN TOTAL'!M383</f>
        <v>0</v>
      </c>
      <c r="I380" s="51">
        <f>'RESUMEN TOTAL'!N383</f>
        <v>0</v>
      </c>
      <c r="J380" s="51">
        <f>'RESUMEN TOTAL'!O383</f>
        <v>0</v>
      </c>
      <c r="K380" s="51">
        <f>'RESUMEN TOTAL'!P383</f>
        <v>0</v>
      </c>
      <c r="L380" s="51">
        <f>'RESUMEN TOTAL'!Q383</f>
        <v>0</v>
      </c>
      <c r="M380" s="51">
        <f>'RESUMEN TOTAL'!R383</f>
        <v>0</v>
      </c>
      <c r="N380" s="51">
        <f>'RESUMEN TOTAL'!S383</f>
        <v>0</v>
      </c>
      <c r="O380" s="51">
        <f>'RESUMEN TOTAL'!T383</f>
        <v>0</v>
      </c>
      <c r="P380" s="51">
        <f>'RESUMEN TOTAL'!U383</f>
        <v>0</v>
      </c>
      <c r="Q380" s="51">
        <f>'RESUMEN TOTAL'!V383</f>
        <v>0</v>
      </c>
      <c r="R380" s="51">
        <f>'RESUMEN TOTAL'!W383</f>
        <v>0</v>
      </c>
      <c r="S380" s="51">
        <f>'RESUMEN TOTAL'!X383</f>
        <v>0</v>
      </c>
      <c r="T380" s="51">
        <f>'RESUMEN TOTAL'!Y383</f>
        <v>0</v>
      </c>
      <c r="U380" s="51">
        <f>'RESUMEN TOTAL'!Z383</f>
        <v>0</v>
      </c>
      <c r="V380" s="51">
        <f>'RESUMEN TOTAL'!AA383</f>
        <v>0</v>
      </c>
      <c r="W380" s="51">
        <f>'RESUMEN TOTAL'!AB383</f>
        <v>0</v>
      </c>
      <c r="X380" s="51">
        <f>'RESUMEN TOTAL'!AC383</f>
        <v>0</v>
      </c>
      <c r="Y380" s="51">
        <f>'RESUMEN TOTAL'!AD383</f>
        <v>0</v>
      </c>
      <c r="Z380" s="51">
        <f>'RESUMEN TOTAL'!AE383</f>
        <v>0</v>
      </c>
      <c r="AA380" s="51">
        <f>'RESUMEN TOTAL'!AF383</f>
        <v>0</v>
      </c>
      <c r="AB380" s="51">
        <f>'RESUMEN TOTAL'!AG383</f>
        <v>0</v>
      </c>
      <c r="AC380" s="51">
        <f>'RESUMEN TOTAL'!AH383</f>
        <v>0</v>
      </c>
      <c r="AD380" s="51">
        <f>'RESUMEN TOTAL'!AI383</f>
        <v>0</v>
      </c>
      <c r="AE380" s="51">
        <f>'RESUMEN TOTAL'!AJ383</f>
        <v>0</v>
      </c>
      <c r="AF380" s="51">
        <f>'RESUMEN TOTAL'!AK383</f>
        <v>0</v>
      </c>
      <c r="AG380" s="51">
        <f>'RESUMEN TOTAL'!AL383</f>
        <v>0</v>
      </c>
      <c r="AH380" s="51">
        <f>'RESUMEN TOTAL'!AM383</f>
        <v>0</v>
      </c>
      <c r="AI380" s="51">
        <f>'RESUMEN TOTAL'!AN383</f>
        <v>0</v>
      </c>
    </row>
    <row r="381" spans="1:35" x14ac:dyDescent="0.3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TOTAL'!K384</f>
        <v>0</v>
      </c>
      <c r="G381" s="51">
        <f>'RESUMEN TOTAL'!L384</f>
        <v>0</v>
      </c>
      <c r="H381" s="51">
        <f>'RESUMEN TOTAL'!M384</f>
        <v>0</v>
      </c>
      <c r="I381" s="51">
        <f>'RESUMEN TOTAL'!N384</f>
        <v>0</v>
      </c>
      <c r="J381" s="51">
        <f>'RESUMEN TOTAL'!O384</f>
        <v>0</v>
      </c>
      <c r="K381" s="51">
        <f>'RESUMEN TOTAL'!P384</f>
        <v>0</v>
      </c>
      <c r="L381" s="51">
        <f>'RESUMEN TOTAL'!Q384</f>
        <v>0</v>
      </c>
      <c r="M381" s="51">
        <f>'RESUMEN TOTAL'!R384</f>
        <v>0</v>
      </c>
      <c r="N381" s="51">
        <f>'RESUMEN TOTAL'!S384</f>
        <v>0</v>
      </c>
      <c r="O381" s="51">
        <f>'RESUMEN TOTAL'!T384</f>
        <v>0</v>
      </c>
      <c r="P381" s="51">
        <f>'RESUMEN TOTAL'!U384</f>
        <v>0</v>
      </c>
      <c r="Q381" s="51">
        <f>'RESUMEN TOTAL'!V384</f>
        <v>0</v>
      </c>
      <c r="R381" s="51">
        <f>'RESUMEN TOTAL'!W384</f>
        <v>0</v>
      </c>
      <c r="S381" s="51">
        <f>'RESUMEN TOTAL'!X384</f>
        <v>0</v>
      </c>
      <c r="T381" s="51">
        <f>'RESUMEN TOTAL'!Y384</f>
        <v>0</v>
      </c>
      <c r="U381" s="51">
        <f>'RESUMEN TOTAL'!Z384</f>
        <v>0</v>
      </c>
      <c r="V381" s="51">
        <f>'RESUMEN TOTAL'!AA384</f>
        <v>0</v>
      </c>
      <c r="W381" s="51">
        <f>'RESUMEN TOTAL'!AB384</f>
        <v>0</v>
      </c>
      <c r="X381" s="51">
        <f>'RESUMEN TOTAL'!AC384</f>
        <v>0</v>
      </c>
      <c r="Y381" s="51">
        <f>'RESUMEN TOTAL'!AD384</f>
        <v>0</v>
      </c>
      <c r="Z381" s="51">
        <f>'RESUMEN TOTAL'!AE384</f>
        <v>0</v>
      </c>
      <c r="AA381" s="51">
        <f>'RESUMEN TOTAL'!AF384</f>
        <v>0</v>
      </c>
      <c r="AB381" s="51">
        <f>'RESUMEN TOTAL'!AG384</f>
        <v>0</v>
      </c>
      <c r="AC381" s="51">
        <f>'RESUMEN TOTAL'!AH384</f>
        <v>0</v>
      </c>
      <c r="AD381" s="51">
        <f>'RESUMEN TOTAL'!AI384</f>
        <v>0</v>
      </c>
      <c r="AE381" s="51">
        <f>'RESUMEN TOTAL'!AJ384</f>
        <v>0</v>
      </c>
      <c r="AF381" s="51">
        <f>'RESUMEN TOTAL'!AK384</f>
        <v>0</v>
      </c>
      <c r="AG381" s="51">
        <f>'RESUMEN TOTAL'!AL384</f>
        <v>0</v>
      </c>
      <c r="AH381" s="51">
        <f>'RESUMEN TOTAL'!AM384</f>
        <v>0</v>
      </c>
      <c r="AI381" s="51">
        <f>'RESUMEN TOTAL'!AN384</f>
        <v>0</v>
      </c>
    </row>
    <row r="382" spans="1:35" x14ac:dyDescent="0.3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 t="str">
        <f>'RESUMEN TOTAL'!K385</f>
        <v>APAGADO</v>
      </c>
      <c r="G382" s="51" t="str">
        <f>'RESUMEN TOTAL'!L385</f>
        <v>APAGADO</v>
      </c>
      <c r="H382" s="51" t="str">
        <f>'RESUMEN TOTAL'!M385</f>
        <v>APAGADO</v>
      </c>
      <c r="I382" s="51" t="str">
        <f>'RESUMEN TOTAL'!N385</f>
        <v>APAGADO</v>
      </c>
      <c r="J382" s="51" t="str">
        <f>'RESUMEN TOTAL'!O385</f>
        <v>APAGADO</v>
      </c>
      <c r="K382" s="51" t="str">
        <f>'RESUMEN TOTAL'!P385</f>
        <v>APAGADO</v>
      </c>
      <c r="L382" s="51" t="str">
        <f>'RESUMEN TOTAL'!Q385</f>
        <v>APAGADO</v>
      </c>
      <c r="M382" s="51" t="str">
        <f>'RESUMEN TOTAL'!R385</f>
        <v>APAGADO</v>
      </c>
      <c r="N382" s="51" t="str">
        <f>'RESUMEN TOTAL'!S385</f>
        <v>APAGADO</v>
      </c>
      <c r="O382" s="51" t="str">
        <f>'RESUMEN TOTAL'!T385</f>
        <v>APAGADO</v>
      </c>
      <c r="P382" s="51">
        <f>'RESUMEN TOTAL'!U385</f>
        <v>0</v>
      </c>
      <c r="Q382" s="51">
        <f>'RESUMEN TOTAL'!V385</f>
        <v>0</v>
      </c>
      <c r="R382" s="51">
        <f>'RESUMEN TOTAL'!W385</f>
        <v>0</v>
      </c>
      <c r="S382" s="51">
        <f>'RESUMEN TOTAL'!X385</f>
        <v>0</v>
      </c>
      <c r="T382" s="51">
        <f>'RESUMEN TOTAL'!Y385</f>
        <v>0</v>
      </c>
      <c r="U382" s="51">
        <f>'RESUMEN TOTAL'!Z385</f>
        <v>0</v>
      </c>
      <c r="V382" s="51">
        <f>'RESUMEN TOTAL'!AA385</f>
        <v>0</v>
      </c>
      <c r="W382" s="51">
        <f>'RESUMEN TOTAL'!AB385</f>
        <v>0</v>
      </c>
      <c r="X382" s="51">
        <f>'RESUMEN TOTAL'!AC385</f>
        <v>0</v>
      </c>
      <c r="Y382" s="51">
        <f>'RESUMEN TOTAL'!AD385</f>
        <v>0</v>
      </c>
      <c r="Z382" s="51">
        <f>'RESUMEN TOTAL'!AE385</f>
        <v>0</v>
      </c>
      <c r="AA382" s="51">
        <f>'RESUMEN TOTAL'!AF385</f>
        <v>0</v>
      </c>
      <c r="AB382" s="51">
        <f>'RESUMEN TOTAL'!AG385</f>
        <v>0</v>
      </c>
      <c r="AC382" s="51">
        <f>'RESUMEN TOTAL'!AH385</f>
        <v>0</v>
      </c>
      <c r="AD382" s="51">
        <f>'RESUMEN TOTAL'!AI385</f>
        <v>0</v>
      </c>
      <c r="AE382" s="51">
        <f>'RESUMEN TOTAL'!AJ385</f>
        <v>0</v>
      </c>
      <c r="AF382" s="51">
        <f>'RESUMEN TOTAL'!AK385</f>
        <v>0</v>
      </c>
      <c r="AG382" s="51">
        <f>'RESUMEN TOTAL'!AL385</f>
        <v>0</v>
      </c>
      <c r="AH382" s="51">
        <f>'RESUMEN TOTAL'!AM385</f>
        <v>0</v>
      </c>
      <c r="AI382" s="51">
        <f>'RESUMEN TOTAL'!AN385</f>
        <v>0</v>
      </c>
    </row>
    <row r="383" spans="1:35" x14ac:dyDescent="0.3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 t="str">
        <f>'RESUMEN TOTAL'!K386</f>
        <v>APAGADO</v>
      </c>
      <c r="G383" s="51" t="str">
        <f>'RESUMEN TOTAL'!L386</f>
        <v>APAGADO</v>
      </c>
      <c r="H383" s="51" t="str">
        <f>'RESUMEN TOTAL'!M386</f>
        <v>APAGADO</v>
      </c>
      <c r="I383" s="51" t="str">
        <f>'RESUMEN TOTAL'!N386</f>
        <v>APAGADO</v>
      </c>
      <c r="J383" s="51" t="str">
        <f>'RESUMEN TOTAL'!O386</f>
        <v>APAGADO</v>
      </c>
      <c r="K383" s="51" t="str">
        <f>'RESUMEN TOTAL'!P386</f>
        <v>APAGADO</v>
      </c>
      <c r="L383" s="51" t="str">
        <f>'RESUMEN TOTAL'!Q386</f>
        <v>APAGADO</v>
      </c>
      <c r="M383" s="51" t="str">
        <f>'RESUMEN TOTAL'!R386</f>
        <v>APAGADO</v>
      </c>
      <c r="N383" s="51" t="str">
        <f>'RESUMEN TOTAL'!S386</f>
        <v>APAGADO</v>
      </c>
      <c r="O383" s="51" t="str">
        <f>'RESUMEN TOTAL'!T386</f>
        <v>APAGADO</v>
      </c>
      <c r="P383" s="51">
        <f>'RESUMEN TOTAL'!U386</f>
        <v>0</v>
      </c>
      <c r="Q383" s="51">
        <f>'RESUMEN TOTAL'!V386</f>
        <v>0</v>
      </c>
      <c r="R383" s="51">
        <f>'RESUMEN TOTAL'!W386</f>
        <v>0</v>
      </c>
      <c r="S383" s="51">
        <f>'RESUMEN TOTAL'!X386</f>
        <v>0</v>
      </c>
      <c r="T383" s="51">
        <f>'RESUMEN TOTAL'!Y386</f>
        <v>0</v>
      </c>
      <c r="U383" s="51">
        <f>'RESUMEN TOTAL'!Z386</f>
        <v>0</v>
      </c>
      <c r="V383" s="51">
        <f>'RESUMEN TOTAL'!AA386</f>
        <v>0</v>
      </c>
      <c r="W383" s="51">
        <f>'RESUMEN TOTAL'!AB386</f>
        <v>0</v>
      </c>
      <c r="X383" s="51">
        <f>'RESUMEN TOTAL'!AC386</f>
        <v>0</v>
      </c>
      <c r="Y383" s="51">
        <f>'RESUMEN TOTAL'!AD386</f>
        <v>0</v>
      </c>
      <c r="Z383" s="51">
        <f>'RESUMEN TOTAL'!AE386</f>
        <v>0</v>
      </c>
      <c r="AA383" s="51">
        <f>'RESUMEN TOTAL'!AF386</f>
        <v>0</v>
      </c>
      <c r="AB383" s="51">
        <f>'RESUMEN TOTAL'!AG386</f>
        <v>0</v>
      </c>
      <c r="AC383" s="51">
        <f>'RESUMEN TOTAL'!AH386</f>
        <v>0</v>
      </c>
      <c r="AD383" s="51">
        <f>'RESUMEN TOTAL'!AI386</f>
        <v>0</v>
      </c>
      <c r="AE383" s="51">
        <f>'RESUMEN TOTAL'!AJ386</f>
        <v>0</v>
      </c>
      <c r="AF383" s="51">
        <f>'RESUMEN TOTAL'!AK386</f>
        <v>0</v>
      </c>
      <c r="AG383" s="51">
        <f>'RESUMEN TOTAL'!AL386</f>
        <v>0</v>
      </c>
      <c r="AH383" s="51">
        <f>'RESUMEN TOTAL'!AM386</f>
        <v>0</v>
      </c>
      <c r="AI383" s="51">
        <f>'RESUMEN TOTAL'!AN386</f>
        <v>0</v>
      </c>
    </row>
    <row r="384" spans="1:35" x14ac:dyDescent="0.3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 t="str">
        <f>'RESUMEN TOTAL'!K387</f>
        <v>APAGADO</v>
      </c>
      <c r="G384" s="51" t="str">
        <f>'RESUMEN TOTAL'!L387</f>
        <v>APAGADO</v>
      </c>
      <c r="H384" s="51" t="str">
        <f>'RESUMEN TOTAL'!M387</f>
        <v>APAGADO</v>
      </c>
      <c r="I384" s="51" t="str">
        <f>'RESUMEN TOTAL'!N387</f>
        <v>APAGADO</v>
      </c>
      <c r="J384" s="51" t="str">
        <f>'RESUMEN TOTAL'!O387</f>
        <v>APAGADO</v>
      </c>
      <c r="K384" s="51" t="str">
        <f>'RESUMEN TOTAL'!P387</f>
        <v>APAGADO</v>
      </c>
      <c r="L384" s="51" t="str">
        <f>'RESUMEN TOTAL'!Q387</f>
        <v>APAGADO</v>
      </c>
      <c r="M384" s="51" t="str">
        <f>'RESUMEN TOTAL'!R387</f>
        <v>APAGADO</v>
      </c>
      <c r="N384" s="51" t="str">
        <f>'RESUMEN TOTAL'!S387</f>
        <v>APAGADO</v>
      </c>
      <c r="O384" s="51" t="str">
        <f>'RESUMEN TOTAL'!T387</f>
        <v>APAGADO</v>
      </c>
      <c r="P384" s="51">
        <f>'RESUMEN TOTAL'!U387</f>
        <v>0</v>
      </c>
      <c r="Q384" s="51">
        <f>'RESUMEN TOTAL'!V387</f>
        <v>0</v>
      </c>
      <c r="R384" s="51">
        <f>'RESUMEN TOTAL'!W387</f>
        <v>0</v>
      </c>
      <c r="S384" s="51">
        <f>'RESUMEN TOTAL'!X387</f>
        <v>0</v>
      </c>
      <c r="T384" s="51">
        <f>'RESUMEN TOTAL'!Y387</f>
        <v>0</v>
      </c>
      <c r="U384" s="51">
        <f>'RESUMEN TOTAL'!Z387</f>
        <v>0</v>
      </c>
      <c r="V384" s="51">
        <f>'RESUMEN TOTAL'!AA387</f>
        <v>0</v>
      </c>
      <c r="W384" s="51">
        <f>'RESUMEN TOTAL'!AB387</f>
        <v>0</v>
      </c>
      <c r="X384" s="51">
        <f>'RESUMEN TOTAL'!AC387</f>
        <v>0</v>
      </c>
      <c r="Y384" s="51">
        <f>'RESUMEN TOTAL'!AD387</f>
        <v>0</v>
      </c>
      <c r="Z384" s="51">
        <f>'RESUMEN TOTAL'!AE387</f>
        <v>0</v>
      </c>
      <c r="AA384" s="51">
        <f>'RESUMEN TOTAL'!AF387</f>
        <v>0</v>
      </c>
      <c r="AB384" s="51">
        <f>'RESUMEN TOTAL'!AG387</f>
        <v>0</v>
      </c>
      <c r="AC384" s="51">
        <f>'RESUMEN TOTAL'!AH387</f>
        <v>0</v>
      </c>
      <c r="AD384" s="51">
        <f>'RESUMEN TOTAL'!AI387</f>
        <v>0</v>
      </c>
      <c r="AE384" s="51">
        <f>'RESUMEN TOTAL'!AJ387</f>
        <v>0</v>
      </c>
      <c r="AF384" s="51">
        <f>'RESUMEN TOTAL'!AK387</f>
        <v>0</v>
      </c>
      <c r="AG384" s="51">
        <f>'RESUMEN TOTAL'!AL387</f>
        <v>0</v>
      </c>
      <c r="AH384" s="51">
        <f>'RESUMEN TOTAL'!AM387</f>
        <v>0</v>
      </c>
      <c r="AI384" s="51">
        <f>'RESUMEN TOTAL'!AN387</f>
        <v>0</v>
      </c>
    </row>
    <row r="385" spans="1:35" x14ac:dyDescent="0.3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 t="str">
        <f>'RESUMEN TOTAL'!K388</f>
        <v>APAGADO</v>
      </c>
      <c r="G385" s="51" t="str">
        <f>'RESUMEN TOTAL'!L388</f>
        <v>APAGADO</v>
      </c>
      <c r="H385" s="51" t="str">
        <f>'RESUMEN TOTAL'!M388</f>
        <v>APAGADO</v>
      </c>
      <c r="I385" s="51" t="str">
        <f>'RESUMEN TOTAL'!N388</f>
        <v>APAGADO</v>
      </c>
      <c r="J385" s="51" t="str">
        <f>'RESUMEN TOTAL'!O388</f>
        <v>APAGADO</v>
      </c>
      <c r="K385" s="51" t="str">
        <f>'RESUMEN TOTAL'!P388</f>
        <v>APAGADO</v>
      </c>
      <c r="L385" s="51" t="str">
        <f>'RESUMEN TOTAL'!Q388</f>
        <v>APAGADO</v>
      </c>
      <c r="M385" s="51" t="str">
        <f>'RESUMEN TOTAL'!R388</f>
        <v>APAGADO</v>
      </c>
      <c r="N385" s="51" t="str">
        <f>'RESUMEN TOTAL'!S388</f>
        <v>APAGADO</v>
      </c>
      <c r="O385" s="51" t="str">
        <f>'RESUMEN TOTAL'!T388</f>
        <v>APAGADO</v>
      </c>
      <c r="P385" s="51">
        <f>'RESUMEN TOTAL'!U388</f>
        <v>0</v>
      </c>
      <c r="Q385" s="51">
        <f>'RESUMEN TOTAL'!V388</f>
        <v>0</v>
      </c>
      <c r="R385" s="51">
        <f>'RESUMEN TOTAL'!W388</f>
        <v>0</v>
      </c>
      <c r="S385" s="51">
        <f>'RESUMEN TOTAL'!X388</f>
        <v>0</v>
      </c>
      <c r="T385" s="51">
        <f>'RESUMEN TOTAL'!Y388</f>
        <v>0</v>
      </c>
      <c r="U385" s="51">
        <f>'RESUMEN TOTAL'!Z388</f>
        <v>0</v>
      </c>
      <c r="V385" s="51">
        <f>'RESUMEN TOTAL'!AA388</f>
        <v>0</v>
      </c>
      <c r="W385" s="51">
        <f>'RESUMEN TOTAL'!AB388</f>
        <v>0</v>
      </c>
      <c r="X385" s="51">
        <f>'RESUMEN TOTAL'!AC388</f>
        <v>0</v>
      </c>
      <c r="Y385" s="51">
        <f>'RESUMEN TOTAL'!AD388</f>
        <v>0</v>
      </c>
      <c r="Z385" s="51">
        <f>'RESUMEN TOTAL'!AE388</f>
        <v>0</v>
      </c>
      <c r="AA385" s="51">
        <f>'RESUMEN TOTAL'!AF388</f>
        <v>0</v>
      </c>
      <c r="AB385" s="51">
        <f>'RESUMEN TOTAL'!AG388</f>
        <v>0</v>
      </c>
      <c r="AC385" s="51">
        <f>'RESUMEN TOTAL'!AH388</f>
        <v>0</v>
      </c>
      <c r="AD385" s="51">
        <f>'RESUMEN TOTAL'!AI388</f>
        <v>0</v>
      </c>
      <c r="AE385" s="51">
        <f>'RESUMEN TOTAL'!AJ388</f>
        <v>0</v>
      </c>
      <c r="AF385" s="51">
        <f>'RESUMEN TOTAL'!AK388</f>
        <v>0</v>
      </c>
      <c r="AG385" s="51">
        <f>'RESUMEN TOTAL'!AL388</f>
        <v>0</v>
      </c>
      <c r="AH385" s="51">
        <f>'RESUMEN TOTAL'!AM388</f>
        <v>0</v>
      </c>
      <c r="AI385" s="51">
        <f>'RESUMEN TOTAL'!AN388</f>
        <v>0</v>
      </c>
    </row>
    <row r="386" spans="1:35" x14ac:dyDescent="0.3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TOTAL'!K389</f>
        <v>0</v>
      </c>
      <c r="G386" s="51">
        <f>'RESUMEN TOTAL'!L389</f>
        <v>0</v>
      </c>
      <c r="H386" s="51">
        <f>'RESUMEN TOTAL'!M389</f>
        <v>0</v>
      </c>
      <c r="I386" s="51">
        <f>'RESUMEN TOTAL'!N389</f>
        <v>0</v>
      </c>
      <c r="J386" s="51">
        <f>'RESUMEN TOTAL'!O389</f>
        <v>0</v>
      </c>
      <c r="K386" s="51">
        <f>'RESUMEN TOTAL'!P389</f>
        <v>0</v>
      </c>
      <c r="L386" s="51">
        <f>'RESUMEN TOTAL'!Q389</f>
        <v>0</v>
      </c>
      <c r="M386" s="51">
        <f>'RESUMEN TOTAL'!R389</f>
        <v>0</v>
      </c>
      <c r="N386" s="51">
        <f>'RESUMEN TOTAL'!S389</f>
        <v>0</v>
      </c>
      <c r="O386" s="51">
        <f>'RESUMEN TOTAL'!T389</f>
        <v>0</v>
      </c>
      <c r="P386" s="51">
        <f>'RESUMEN TOTAL'!U389</f>
        <v>0</v>
      </c>
      <c r="Q386" s="51">
        <f>'RESUMEN TOTAL'!V389</f>
        <v>0</v>
      </c>
      <c r="R386" s="51">
        <f>'RESUMEN TOTAL'!W389</f>
        <v>0</v>
      </c>
      <c r="S386" s="51">
        <f>'RESUMEN TOTAL'!X389</f>
        <v>0</v>
      </c>
      <c r="T386" s="51">
        <f>'RESUMEN TOTAL'!Y389</f>
        <v>0</v>
      </c>
      <c r="U386" s="51">
        <f>'RESUMEN TOTAL'!Z389</f>
        <v>0</v>
      </c>
      <c r="V386" s="51">
        <f>'RESUMEN TOTAL'!AA389</f>
        <v>0</v>
      </c>
      <c r="W386" s="51">
        <f>'RESUMEN TOTAL'!AB389</f>
        <v>0</v>
      </c>
      <c r="X386" s="51">
        <f>'RESUMEN TOTAL'!AC389</f>
        <v>0</v>
      </c>
      <c r="Y386" s="51">
        <f>'RESUMEN TOTAL'!AD389</f>
        <v>0</v>
      </c>
      <c r="Z386" s="51">
        <f>'RESUMEN TOTAL'!AE389</f>
        <v>0</v>
      </c>
      <c r="AA386" s="51">
        <f>'RESUMEN TOTAL'!AF389</f>
        <v>0</v>
      </c>
      <c r="AB386" s="51">
        <f>'RESUMEN TOTAL'!AG389</f>
        <v>0</v>
      </c>
      <c r="AC386" s="51">
        <f>'RESUMEN TOTAL'!AH389</f>
        <v>0</v>
      </c>
      <c r="AD386" s="51">
        <f>'RESUMEN TOTAL'!AI389</f>
        <v>0</v>
      </c>
      <c r="AE386" s="51">
        <f>'RESUMEN TOTAL'!AJ389</f>
        <v>0</v>
      </c>
      <c r="AF386" s="51">
        <f>'RESUMEN TOTAL'!AK389</f>
        <v>0</v>
      </c>
      <c r="AG386" s="51">
        <f>'RESUMEN TOTAL'!AL389</f>
        <v>0</v>
      </c>
      <c r="AH386" s="51">
        <f>'RESUMEN TOTAL'!AM389</f>
        <v>0</v>
      </c>
      <c r="AI386" s="51">
        <f>'RESUMEN TOTAL'!AN389</f>
        <v>0</v>
      </c>
    </row>
    <row r="387" spans="1:35" x14ac:dyDescent="0.3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TOTAL'!K390</f>
        <v>0</v>
      </c>
      <c r="G387" s="51">
        <f>'RESUMEN TOTAL'!L390</f>
        <v>0</v>
      </c>
      <c r="H387" s="51">
        <f>'RESUMEN TOTAL'!M390</f>
        <v>0</v>
      </c>
      <c r="I387" s="51">
        <f>'RESUMEN TOTAL'!N390</f>
        <v>0</v>
      </c>
      <c r="J387" s="51">
        <f>'RESUMEN TOTAL'!O390</f>
        <v>0</v>
      </c>
      <c r="K387" s="51">
        <f>'RESUMEN TOTAL'!P390</f>
        <v>0</v>
      </c>
      <c r="L387" s="51">
        <f>'RESUMEN TOTAL'!Q390</f>
        <v>0</v>
      </c>
      <c r="M387" s="51">
        <f>'RESUMEN TOTAL'!R390</f>
        <v>0</v>
      </c>
      <c r="N387" s="51">
        <f>'RESUMEN TOTAL'!S390</f>
        <v>0</v>
      </c>
      <c r="O387" s="51">
        <f>'RESUMEN TOTAL'!T390</f>
        <v>0</v>
      </c>
      <c r="P387" s="51">
        <f>'RESUMEN TOTAL'!U390</f>
        <v>0</v>
      </c>
      <c r="Q387" s="51">
        <f>'RESUMEN TOTAL'!V390</f>
        <v>0</v>
      </c>
      <c r="R387" s="51">
        <f>'RESUMEN TOTAL'!W390</f>
        <v>0</v>
      </c>
      <c r="S387" s="51">
        <f>'RESUMEN TOTAL'!X390</f>
        <v>0</v>
      </c>
      <c r="T387" s="51">
        <f>'RESUMEN TOTAL'!Y390</f>
        <v>0</v>
      </c>
      <c r="U387" s="51">
        <f>'RESUMEN TOTAL'!Z390</f>
        <v>0</v>
      </c>
      <c r="V387" s="51">
        <f>'RESUMEN TOTAL'!AA390</f>
        <v>0</v>
      </c>
      <c r="W387" s="51">
        <f>'RESUMEN TOTAL'!AB390</f>
        <v>0</v>
      </c>
      <c r="X387" s="51">
        <f>'RESUMEN TOTAL'!AC390</f>
        <v>0</v>
      </c>
      <c r="Y387" s="51">
        <f>'RESUMEN TOTAL'!AD390</f>
        <v>0</v>
      </c>
      <c r="Z387" s="51">
        <f>'RESUMEN TOTAL'!AE390</f>
        <v>0</v>
      </c>
      <c r="AA387" s="51">
        <f>'RESUMEN TOTAL'!AF390</f>
        <v>0</v>
      </c>
      <c r="AB387" s="51">
        <f>'RESUMEN TOTAL'!AG390</f>
        <v>0</v>
      </c>
      <c r="AC387" s="51">
        <f>'RESUMEN TOTAL'!AH390</f>
        <v>0</v>
      </c>
      <c r="AD387" s="51">
        <f>'RESUMEN TOTAL'!AI390</f>
        <v>0</v>
      </c>
      <c r="AE387" s="51">
        <f>'RESUMEN TOTAL'!AJ390</f>
        <v>0</v>
      </c>
      <c r="AF387" s="51">
        <f>'RESUMEN TOTAL'!AK390</f>
        <v>0</v>
      </c>
      <c r="AG387" s="51">
        <f>'RESUMEN TOTAL'!AL390</f>
        <v>0</v>
      </c>
      <c r="AH387" s="51">
        <f>'RESUMEN TOTAL'!AM390</f>
        <v>0</v>
      </c>
      <c r="AI387" s="51">
        <f>'RESUMEN TOTAL'!AN390</f>
        <v>0</v>
      </c>
    </row>
    <row r="388" spans="1:35" x14ac:dyDescent="0.3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TOTAL'!K391</f>
        <v>0</v>
      </c>
      <c r="G388" s="51">
        <f>'RESUMEN TOTAL'!L391</f>
        <v>0</v>
      </c>
      <c r="H388" s="51">
        <f>'RESUMEN TOTAL'!M391</f>
        <v>0</v>
      </c>
      <c r="I388" s="51">
        <f>'RESUMEN TOTAL'!N391</f>
        <v>0</v>
      </c>
      <c r="J388" s="51">
        <f>'RESUMEN TOTAL'!O391</f>
        <v>0</v>
      </c>
      <c r="K388" s="51">
        <f>'RESUMEN TOTAL'!P391</f>
        <v>0</v>
      </c>
      <c r="L388" s="51">
        <f>'RESUMEN TOTAL'!Q391</f>
        <v>0</v>
      </c>
      <c r="M388" s="51">
        <f>'RESUMEN TOTAL'!R391</f>
        <v>0</v>
      </c>
      <c r="N388" s="51">
        <f>'RESUMEN TOTAL'!S391</f>
        <v>0</v>
      </c>
      <c r="O388" s="51">
        <f>'RESUMEN TOTAL'!T391</f>
        <v>0</v>
      </c>
      <c r="P388" s="51">
        <f>'RESUMEN TOTAL'!U391</f>
        <v>0</v>
      </c>
      <c r="Q388" s="51">
        <f>'RESUMEN TOTAL'!V391</f>
        <v>0</v>
      </c>
      <c r="R388" s="51">
        <f>'RESUMEN TOTAL'!W391</f>
        <v>0</v>
      </c>
      <c r="S388" s="51">
        <f>'RESUMEN TOTAL'!X391</f>
        <v>0</v>
      </c>
      <c r="T388" s="51">
        <f>'RESUMEN TOTAL'!Y391</f>
        <v>0</v>
      </c>
      <c r="U388" s="51">
        <f>'RESUMEN TOTAL'!Z391</f>
        <v>0</v>
      </c>
      <c r="V388" s="51">
        <f>'RESUMEN TOTAL'!AA391</f>
        <v>0</v>
      </c>
      <c r="W388" s="51">
        <f>'RESUMEN TOTAL'!AB391</f>
        <v>0</v>
      </c>
      <c r="X388" s="51">
        <f>'RESUMEN TOTAL'!AC391</f>
        <v>0</v>
      </c>
      <c r="Y388" s="51">
        <f>'RESUMEN TOTAL'!AD391</f>
        <v>0</v>
      </c>
      <c r="Z388" s="51">
        <f>'RESUMEN TOTAL'!AE391</f>
        <v>0</v>
      </c>
      <c r="AA388" s="51">
        <f>'RESUMEN TOTAL'!AF391</f>
        <v>0</v>
      </c>
      <c r="AB388" s="51">
        <f>'RESUMEN TOTAL'!AG391</f>
        <v>0</v>
      </c>
      <c r="AC388" s="51">
        <f>'RESUMEN TOTAL'!AH391</f>
        <v>0</v>
      </c>
      <c r="AD388" s="51">
        <f>'RESUMEN TOTAL'!AI391</f>
        <v>0</v>
      </c>
      <c r="AE388" s="51">
        <f>'RESUMEN TOTAL'!AJ391</f>
        <v>0</v>
      </c>
      <c r="AF388" s="51">
        <f>'RESUMEN TOTAL'!AK391</f>
        <v>0</v>
      </c>
      <c r="AG388" s="51">
        <f>'RESUMEN TOTAL'!AL391</f>
        <v>0</v>
      </c>
      <c r="AH388" s="51">
        <f>'RESUMEN TOTAL'!AM391</f>
        <v>0</v>
      </c>
      <c r="AI388" s="51">
        <f>'RESUMEN TOTAL'!AN391</f>
        <v>0</v>
      </c>
    </row>
    <row r="389" spans="1:35" x14ac:dyDescent="0.3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TOTAL'!K392</f>
        <v>0</v>
      </c>
      <c r="G389" s="51">
        <f>'RESUMEN TOTAL'!L392</f>
        <v>0</v>
      </c>
      <c r="H389" s="51">
        <f>'RESUMEN TOTAL'!M392</f>
        <v>0</v>
      </c>
      <c r="I389" s="51">
        <f>'RESUMEN TOTAL'!N392</f>
        <v>0</v>
      </c>
      <c r="J389" s="51">
        <f>'RESUMEN TOTAL'!O392</f>
        <v>0</v>
      </c>
      <c r="K389" s="51">
        <f>'RESUMEN TOTAL'!P392</f>
        <v>0</v>
      </c>
      <c r="L389" s="51">
        <f>'RESUMEN TOTAL'!Q392</f>
        <v>0</v>
      </c>
      <c r="M389" s="51">
        <f>'RESUMEN TOTAL'!R392</f>
        <v>0</v>
      </c>
      <c r="N389" s="51">
        <f>'RESUMEN TOTAL'!S392</f>
        <v>0</v>
      </c>
      <c r="O389" s="51">
        <f>'RESUMEN TOTAL'!T392</f>
        <v>0</v>
      </c>
      <c r="P389" s="51">
        <f>'RESUMEN TOTAL'!U392</f>
        <v>0</v>
      </c>
      <c r="Q389" s="51">
        <f>'RESUMEN TOTAL'!V392</f>
        <v>0</v>
      </c>
      <c r="R389" s="51">
        <f>'RESUMEN TOTAL'!W392</f>
        <v>0</v>
      </c>
      <c r="S389" s="51">
        <f>'RESUMEN TOTAL'!X392</f>
        <v>0</v>
      </c>
      <c r="T389" s="51">
        <f>'RESUMEN TOTAL'!Y392</f>
        <v>0</v>
      </c>
      <c r="U389" s="51">
        <f>'RESUMEN TOTAL'!Z392</f>
        <v>0</v>
      </c>
      <c r="V389" s="51">
        <f>'RESUMEN TOTAL'!AA392</f>
        <v>0</v>
      </c>
      <c r="W389" s="51">
        <f>'RESUMEN TOTAL'!AB392</f>
        <v>0</v>
      </c>
      <c r="X389" s="51">
        <f>'RESUMEN TOTAL'!AC392</f>
        <v>0</v>
      </c>
      <c r="Y389" s="51">
        <f>'RESUMEN TOTAL'!AD392</f>
        <v>0</v>
      </c>
      <c r="Z389" s="51">
        <f>'RESUMEN TOTAL'!AE392</f>
        <v>0</v>
      </c>
      <c r="AA389" s="51">
        <f>'RESUMEN TOTAL'!AF392</f>
        <v>0</v>
      </c>
      <c r="AB389" s="51">
        <f>'RESUMEN TOTAL'!AG392</f>
        <v>0</v>
      </c>
      <c r="AC389" s="51">
        <f>'RESUMEN TOTAL'!AH392</f>
        <v>0</v>
      </c>
      <c r="AD389" s="51">
        <f>'RESUMEN TOTAL'!AI392</f>
        <v>0</v>
      </c>
      <c r="AE389" s="51">
        <f>'RESUMEN TOTAL'!AJ392</f>
        <v>0</v>
      </c>
      <c r="AF389" s="51">
        <f>'RESUMEN TOTAL'!AK392</f>
        <v>0</v>
      </c>
      <c r="AG389" s="51">
        <f>'RESUMEN TOTAL'!AL392</f>
        <v>0</v>
      </c>
      <c r="AH389" s="51">
        <f>'RESUMEN TOTAL'!AM392</f>
        <v>0</v>
      </c>
      <c r="AI389" s="51">
        <f>'RESUMEN TOTAL'!AN392</f>
        <v>0</v>
      </c>
    </row>
    <row r="390" spans="1:35" x14ac:dyDescent="0.3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TOTAL'!K393</f>
        <v>0</v>
      </c>
      <c r="G390" s="51">
        <f>'RESUMEN TOTAL'!L393</f>
        <v>0</v>
      </c>
      <c r="H390" s="51">
        <f>'RESUMEN TOTAL'!M393</f>
        <v>0</v>
      </c>
      <c r="I390" s="51">
        <f>'RESUMEN TOTAL'!N393</f>
        <v>0</v>
      </c>
      <c r="J390" s="51">
        <f>'RESUMEN TOTAL'!O393</f>
        <v>0</v>
      </c>
      <c r="K390" s="51">
        <f>'RESUMEN TOTAL'!P393</f>
        <v>0</v>
      </c>
      <c r="L390" s="51">
        <f>'RESUMEN TOTAL'!Q393</f>
        <v>0</v>
      </c>
      <c r="M390" s="51">
        <f>'RESUMEN TOTAL'!R393</f>
        <v>0</v>
      </c>
      <c r="N390" s="51">
        <f>'RESUMEN TOTAL'!S393</f>
        <v>0</v>
      </c>
      <c r="O390" s="51">
        <f>'RESUMEN TOTAL'!T393</f>
        <v>0</v>
      </c>
      <c r="P390" s="51">
        <f>'RESUMEN TOTAL'!U393</f>
        <v>0</v>
      </c>
      <c r="Q390" s="51">
        <f>'RESUMEN TOTAL'!V393</f>
        <v>0</v>
      </c>
      <c r="R390" s="51">
        <f>'RESUMEN TOTAL'!W393</f>
        <v>0</v>
      </c>
      <c r="S390" s="51">
        <f>'RESUMEN TOTAL'!X393</f>
        <v>0</v>
      </c>
      <c r="T390" s="51">
        <f>'RESUMEN TOTAL'!Y393</f>
        <v>0</v>
      </c>
      <c r="U390" s="51">
        <f>'RESUMEN TOTAL'!Z393</f>
        <v>0</v>
      </c>
      <c r="V390" s="51">
        <f>'RESUMEN TOTAL'!AA393</f>
        <v>0</v>
      </c>
      <c r="W390" s="51">
        <f>'RESUMEN TOTAL'!AB393</f>
        <v>0</v>
      </c>
      <c r="X390" s="51">
        <f>'RESUMEN TOTAL'!AC393</f>
        <v>0</v>
      </c>
      <c r="Y390" s="51">
        <f>'RESUMEN TOTAL'!AD393</f>
        <v>0</v>
      </c>
      <c r="Z390" s="51">
        <f>'RESUMEN TOTAL'!AE393</f>
        <v>0</v>
      </c>
      <c r="AA390" s="51">
        <f>'RESUMEN TOTAL'!AF393</f>
        <v>0</v>
      </c>
      <c r="AB390" s="51">
        <f>'RESUMEN TOTAL'!AG393</f>
        <v>0</v>
      </c>
      <c r="AC390" s="51">
        <f>'RESUMEN TOTAL'!AH393</f>
        <v>0</v>
      </c>
      <c r="AD390" s="51">
        <f>'RESUMEN TOTAL'!AI393</f>
        <v>0</v>
      </c>
      <c r="AE390" s="51">
        <f>'RESUMEN TOTAL'!AJ393</f>
        <v>0</v>
      </c>
      <c r="AF390" s="51">
        <f>'RESUMEN TOTAL'!AK393</f>
        <v>0</v>
      </c>
      <c r="AG390" s="51">
        <f>'RESUMEN TOTAL'!AL393</f>
        <v>0</v>
      </c>
      <c r="AH390" s="51">
        <f>'RESUMEN TOTAL'!AM393</f>
        <v>0</v>
      </c>
      <c r="AI390" s="51">
        <f>'RESUMEN TOTAL'!AN393</f>
        <v>0</v>
      </c>
    </row>
    <row r="391" spans="1:35" x14ac:dyDescent="0.3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TOTAL'!K394</f>
        <v>0</v>
      </c>
      <c r="G391" s="51">
        <f>'RESUMEN TOTAL'!L394</f>
        <v>0</v>
      </c>
      <c r="H391" s="51">
        <f>'RESUMEN TOTAL'!M394</f>
        <v>0</v>
      </c>
      <c r="I391" s="51">
        <f>'RESUMEN TOTAL'!N394</f>
        <v>0</v>
      </c>
      <c r="J391" s="51">
        <f>'RESUMEN TOTAL'!O394</f>
        <v>0</v>
      </c>
      <c r="K391" s="51">
        <f>'RESUMEN TOTAL'!P394</f>
        <v>0</v>
      </c>
      <c r="L391" s="51">
        <f>'RESUMEN TOTAL'!Q394</f>
        <v>0</v>
      </c>
      <c r="M391" s="51">
        <f>'RESUMEN TOTAL'!R394</f>
        <v>0</v>
      </c>
      <c r="N391" s="51">
        <f>'RESUMEN TOTAL'!S394</f>
        <v>0</v>
      </c>
      <c r="O391" s="51">
        <f>'RESUMEN TOTAL'!T394</f>
        <v>0</v>
      </c>
      <c r="P391" s="51">
        <f>'RESUMEN TOTAL'!U394</f>
        <v>0</v>
      </c>
      <c r="Q391" s="51">
        <f>'RESUMEN TOTAL'!V394</f>
        <v>0</v>
      </c>
      <c r="R391" s="51">
        <f>'RESUMEN TOTAL'!W394</f>
        <v>0</v>
      </c>
      <c r="S391" s="51">
        <f>'RESUMEN TOTAL'!X394</f>
        <v>0</v>
      </c>
      <c r="T391" s="51">
        <f>'RESUMEN TOTAL'!Y394</f>
        <v>0</v>
      </c>
      <c r="U391" s="51">
        <f>'RESUMEN TOTAL'!Z394</f>
        <v>0</v>
      </c>
      <c r="V391" s="51">
        <f>'RESUMEN TOTAL'!AA394</f>
        <v>0</v>
      </c>
      <c r="W391" s="51">
        <f>'RESUMEN TOTAL'!AB394</f>
        <v>0</v>
      </c>
      <c r="X391" s="51">
        <f>'RESUMEN TOTAL'!AC394</f>
        <v>0</v>
      </c>
      <c r="Y391" s="51">
        <f>'RESUMEN TOTAL'!AD394</f>
        <v>0</v>
      </c>
      <c r="Z391" s="51">
        <f>'RESUMEN TOTAL'!AE394</f>
        <v>0</v>
      </c>
      <c r="AA391" s="51">
        <f>'RESUMEN TOTAL'!AF394</f>
        <v>0</v>
      </c>
      <c r="AB391" s="51">
        <f>'RESUMEN TOTAL'!AG394</f>
        <v>0</v>
      </c>
      <c r="AC391" s="51">
        <f>'RESUMEN TOTAL'!AH394</f>
        <v>0</v>
      </c>
      <c r="AD391" s="51">
        <f>'RESUMEN TOTAL'!AI394</f>
        <v>0</v>
      </c>
      <c r="AE391" s="51">
        <f>'RESUMEN TOTAL'!AJ394</f>
        <v>0</v>
      </c>
      <c r="AF391" s="51">
        <f>'RESUMEN TOTAL'!AK394</f>
        <v>0</v>
      </c>
      <c r="AG391" s="51">
        <f>'RESUMEN TOTAL'!AL394</f>
        <v>0</v>
      </c>
      <c r="AH391" s="51">
        <f>'RESUMEN TOTAL'!AM394</f>
        <v>0</v>
      </c>
      <c r="AI391" s="51">
        <f>'RESUMEN TOTAL'!AN394</f>
        <v>0</v>
      </c>
    </row>
    <row r="392" spans="1:35" x14ac:dyDescent="0.3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TOTAL'!K395</f>
        <v>0</v>
      </c>
      <c r="G392" s="51">
        <f>'RESUMEN TOTAL'!L395</f>
        <v>0</v>
      </c>
      <c r="H392" s="51">
        <f>'RESUMEN TOTAL'!M395</f>
        <v>0</v>
      </c>
      <c r="I392" s="51">
        <f>'RESUMEN TOTAL'!N395</f>
        <v>0</v>
      </c>
      <c r="J392" s="51">
        <f>'RESUMEN TOTAL'!O395</f>
        <v>0</v>
      </c>
      <c r="K392" s="51">
        <f>'RESUMEN TOTAL'!P395</f>
        <v>0</v>
      </c>
      <c r="L392" s="51">
        <f>'RESUMEN TOTAL'!Q395</f>
        <v>0</v>
      </c>
      <c r="M392" s="51">
        <f>'RESUMEN TOTAL'!R395</f>
        <v>0</v>
      </c>
      <c r="N392" s="51">
        <f>'RESUMEN TOTAL'!S395</f>
        <v>0</v>
      </c>
      <c r="O392" s="51">
        <f>'RESUMEN TOTAL'!T395</f>
        <v>0</v>
      </c>
      <c r="P392" s="51">
        <f>'RESUMEN TOTAL'!U395</f>
        <v>0</v>
      </c>
      <c r="Q392" s="51">
        <f>'RESUMEN TOTAL'!V395</f>
        <v>0</v>
      </c>
      <c r="R392" s="51">
        <f>'RESUMEN TOTAL'!W395</f>
        <v>0</v>
      </c>
      <c r="S392" s="51">
        <f>'RESUMEN TOTAL'!X395</f>
        <v>0</v>
      </c>
      <c r="T392" s="51">
        <f>'RESUMEN TOTAL'!Y395</f>
        <v>0</v>
      </c>
      <c r="U392" s="51">
        <f>'RESUMEN TOTAL'!Z395</f>
        <v>0</v>
      </c>
      <c r="V392" s="51">
        <f>'RESUMEN TOTAL'!AA395</f>
        <v>0</v>
      </c>
      <c r="W392" s="51">
        <f>'RESUMEN TOTAL'!AB395</f>
        <v>0</v>
      </c>
      <c r="X392" s="51">
        <f>'RESUMEN TOTAL'!AC395</f>
        <v>0</v>
      </c>
      <c r="Y392" s="51">
        <f>'RESUMEN TOTAL'!AD395</f>
        <v>0</v>
      </c>
      <c r="Z392" s="51">
        <f>'RESUMEN TOTAL'!AE395</f>
        <v>0</v>
      </c>
      <c r="AA392" s="51">
        <f>'RESUMEN TOTAL'!AF395</f>
        <v>0</v>
      </c>
      <c r="AB392" s="51">
        <f>'RESUMEN TOTAL'!AG395</f>
        <v>0</v>
      </c>
      <c r="AC392" s="51">
        <f>'RESUMEN TOTAL'!AH395</f>
        <v>0</v>
      </c>
      <c r="AD392" s="51">
        <f>'RESUMEN TOTAL'!AI395</f>
        <v>0</v>
      </c>
      <c r="AE392" s="51">
        <f>'RESUMEN TOTAL'!AJ395</f>
        <v>0</v>
      </c>
      <c r="AF392" s="51">
        <f>'RESUMEN TOTAL'!AK395</f>
        <v>0</v>
      </c>
      <c r="AG392" s="51">
        <f>'RESUMEN TOTAL'!AL395</f>
        <v>0</v>
      </c>
      <c r="AH392" s="51">
        <f>'RESUMEN TOTAL'!AM395</f>
        <v>0</v>
      </c>
      <c r="AI392" s="51">
        <f>'RESUMEN TOTAL'!AN395</f>
        <v>0</v>
      </c>
    </row>
    <row r="393" spans="1:35" x14ac:dyDescent="0.3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TOTAL'!K396</f>
        <v>0</v>
      </c>
      <c r="G393" s="51">
        <f>'RESUMEN TOTAL'!L396</f>
        <v>0</v>
      </c>
      <c r="H393" s="51">
        <f>'RESUMEN TOTAL'!M396</f>
        <v>0</v>
      </c>
      <c r="I393" s="51">
        <f>'RESUMEN TOTAL'!N396</f>
        <v>0</v>
      </c>
      <c r="J393" s="51">
        <f>'RESUMEN TOTAL'!O396</f>
        <v>0</v>
      </c>
      <c r="K393" s="51">
        <f>'RESUMEN TOTAL'!P396</f>
        <v>0</v>
      </c>
      <c r="L393" s="51">
        <f>'RESUMEN TOTAL'!Q396</f>
        <v>0</v>
      </c>
      <c r="M393" s="51">
        <f>'RESUMEN TOTAL'!R396</f>
        <v>0</v>
      </c>
      <c r="N393" s="51">
        <f>'RESUMEN TOTAL'!S396</f>
        <v>0</v>
      </c>
      <c r="O393" s="51">
        <f>'RESUMEN TOTAL'!T396</f>
        <v>0</v>
      </c>
      <c r="P393" s="51">
        <f>'RESUMEN TOTAL'!U396</f>
        <v>0</v>
      </c>
      <c r="Q393" s="51">
        <f>'RESUMEN TOTAL'!V396</f>
        <v>0</v>
      </c>
      <c r="R393" s="51">
        <f>'RESUMEN TOTAL'!W396</f>
        <v>0</v>
      </c>
      <c r="S393" s="51">
        <f>'RESUMEN TOTAL'!X396</f>
        <v>0</v>
      </c>
      <c r="T393" s="51">
        <f>'RESUMEN TOTAL'!Y396</f>
        <v>0</v>
      </c>
      <c r="U393" s="51">
        <f>'RESUMEN TOTAL'!Z396</f>
        <v>0</v>
      </c>
      <c r="V393" s="51">
        <f>'RESUMEN TOTAL'!AA396</f>
        <v>0</v>
      </c>
      <c r="W393" s="51">
        <f>'RESUMEN TOTAL'!AB396</f>
        <v>0</v>
      </c>
      <c r="X393" s="51">
        <f>'RESUMEN TOTAL'!AC396</f>
        <v>0</v>
      </c>
      <c r="Y393" s="51">
        <f>'RESUMEN TOTAL'!AD396</f>
        <v>0</v>
      </c>
      <c r="Z393" s="51">
        <f>'RESUMEN TOTAL'!AE396</f>
        <v>0</v>
      </c>
      <c r="AA393" s="51">
        <f>'RESUMEN TOTAL'!AF396</f>
        <v>0</v>
      </c>
      <c r="AB393" s="51">
        <f>'RESUMEN TOTAL'!AG396</f>
        <v>0</v>
      </c>
      <c r="AC393" s="51">
        <f>'RESUMEN TOTAL'!AH396</f>
        <v>0</v>
      </c>
      <c r="AD393" s="51">
        <f>'RESUMEN TOTAL'!AI396</f>
        <v>0</v>
      </c>
      <c r="AE393" s="51">
        <f>'RESUMEN TOTAL'!AJ396</f>
        <v>0</v>
      </c>
      <c r="AF393" s="51">
        <f>'RESUMEN TOTAL'!AK396</f>
        <v>0</v>
      </c>
      <c r="AG393" s="51">
        <f>'RESUMEN TOTAL'!AL396</f>
        <v>0</v>
      </c>
      <c r="AH393" s="51">
        <f>'RESUMEN TOTAL'!AM396</f>
        <v>0</v>
      </c>
      <c r="AI393" s="51">
        <f>'RESUMEN TOTAL'!AN396</f>
        <v>0</v>
      </c>
    </row>
    <row r="394" spans="1:35" x14ac:dyDescent="0.3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TOTAL'!K397</f>
        <v>0</v>
      </c>
      <c r="G394" s="51">
        <f>'RESUMEN TOTAL'!L397</f>
        <v>0</v>
      </c>
      <c r="H394" s="51">
        <f>'RESUMEN TOTAL'!M397</f>
        <v>0</v>
      </c>
      <c r="I394" s="51">
        <f>'RESUMEN TOTAL'!N397</f>
        <v>0</v>
      </c>
      <c r="J394" s="51">
        <f>'RESUMEN TOTAL'!O397</f>
        <v>0</v>
      </c>
      <c r="K394" s="51">
        <f>'RESUMEN TOTAL'!P397</f>
        <v>0</v>
      </c>
      <c r="L394" s="51">
        <f>'RESUMEN TOTAL'!Q397</f>
        <v>0</v>
      </c>
      <c r="M394" s="51">
        <f>'RESUMEN TOTAL'!R397</f>
        <v>0</v>
      </c>
      <c r="N394" s="51">
        <f>'RESUMEN TOTAL'!S397</f>
        <v>0</v>
      </c>
      <c r="O394" s="51">
        <f>'RESUMEN TOTAL'!T397</f>
        <v>0</v>
      </c>
      <c r="P394" s="51">
        <f>'RESUMEN TOTAL'!U397</f>
        <v>0</v>
      </c>
      <c r="Q394" s="51">
        <f>'RESUMEN TOTAL'!V397</f>
        <v>0</v>
      </c>
      <c r="R394" s="51">
        <f>'RESUMEN TOTAL'!W397</f>
        <v>0</v>
      </c>
      <c r="S394" s="51">
        <f>'RESUMEN TOTAL'!X397</f>
        <v>0</v>
      </c>
      <c r="T394" s="51">
        <f>'RESUMEN TOTAL'!Y397</f>
        <v>0</v>
      </c>
      <c r="U394" s="51">
        <f>'RESUMEN TOTAL'!Z397</f>
        <v>0</v>
      </c>
      <c r="V394" s="51">
        <f>'RESUMEN TOTAL'!AA397</f>
        <v>0</v>
      </c>
      <c r="W394" s="51">
        <f>'RESUMEN TOTAL'!AB397</f>
        <v>0</v>
      </c>
      <c r="X394" s="51">
        <f>'RESUMEN TOTAL'!AC397</f>
        <v>0</v>
      </c>
      <c r="Y394" s="51">
        <f>'RESUMEN TOTAL'!AD397</f>
        <v>0</v>
      </c>
      <c r="Z394" s="51">
        <f>'RESUMEN TOTAL'!AE397</f>
        <v>0</v>
      </c>
      <c r="AA394" s="51">
        <f>'RESUMEN TOTAL'!AF397</f>
        <v>0</v>
      </c>
      <c r="AB394" s="51">
        <f>'RESUMEN TOTAL'!AG397</f>
        <v>0</v>
      </c>
      <c r="AC394" s="51">
        <f>'RESUMEN TOTAL'!AH397</f>
        <v>0</v>
      </c>
      <c r="AD394" s="51">
        <f>'RESUMEN TOTAL'!AI397</f>
        <v>0</v>
      </c>
      <c r="AE394" s="51">
        <f>'RESUMEN TOTAL'!AJ397</f>
        <v>0</v>
      </c>
      <c r="AF394" s="51">
        <f>'RESUMEN TOTAL'!AK397</f>
        <v>0</v>
      </c>
      <c r="AG394" s="51">
        <f>'RESUMEN TOTAL'!AL397</f>
        <v>0</v>
      </c>
      <c r="AH394" s="51">
        <f>'RESUMEN TOTAL'!AM397</f>
        <v>0</v>
      </c>
      <c r="AI394" s="51">
        <f>'RESUMEN TOTAL'!AN397</f>
        <v>0</v>
      </c>
    </row>
    <row r="395" spans="1:35" x14ac:dyDescent="0.3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TOTAL'!K398</f>
        <v>0</v>
      </c>
      <c r="G395" s="51">
        <f>'RESUMEN TOTAL'!L398</f>
        <v>0</v>
      </c>
      <c r="H395" s="51">
        <f>'RESUMEN TOTAL'!M398</f>
        <v>0</v>
      </c>
      <c r="I395" s="51">
        <f>'RESUMEN TOTAL'!N398</f>
        <v>0</v>
      </c>
      <c r="J395" s="51">
        <f>'RESUMEN TOTAL'!O398</f>
        <v>0</v>
      </c>
      <c r="K395" s="51">
        <f>'RESUMEN TOTAL'!P398</f>
        <v>0</v>
      </c>
      <c r="L395" s="51">
        <f>'RESUMEN TOTAL'!Q398</f>
        <v>0</v>
      </c>
      <c r="M395" s="51">
        <f>'RESUMEN TOTAL'!R398</f>
        <v>0</v>
      </c>
      <c r="N395" s="51">
        <f>'RESUMEN TOTAL'!S398</f>
        <v>0</v>
      </c>
      <c r="O395" s="51">
        <f>'RESUMEN TOTAL'!T398</f>
        <v>0</v>
      </c>
      <c r="P395" s="51">
        <f>'RESUMEN TOTAL'!U398</f>
        <v>0</v>
      </c>
      <c r="Q395" s="51">
        <f>'RESUMEN TOTAL'!V398</f>
        <v>0</v>
      </c>
      <c r="R395" s="51">
        <f>'RESUMEN TOTAL'!W398</f>
        <v>0</v>
      </c>
      <c r="S395" s="51">
        <f>'RESUMEN TOTAL'!X398</f>
        <v>0</v>
      </c>
      <c r="T395" s="51">
        <f>'RESUMEN TOTAL'!Y398</f>
        <v>0</v>
      </c>
      <c r="U395" s="51">
        <f>'RESUMEN TOTAL'!Z398</f>
        <v>0</v>
      </c>
      <c r="V395" s="51">
        <f>'RESUMEN TOTAL'!AA398</f>
        <v>0</v>
      </c>
      <c r="W395" s="51">
        <f>'RESUMEN TOTAL'!AB398</f>
        <v>0</v>
      </c>
      <c r="X395" s="51">
        <f>'RESUMEN TOTAL'!AC398</f>
        <v>0</v>
      </c>
      <c r="Y395" s="51">
        <f>'RESUMEN TOTAL'!AD398</f>
        <v>0</v>
      </c>
      <c r="Z395" s="51">
        <f>'RESUMEN TOTAL'!AE398</f>
        <v>0</v>
      </c>
      <c r="AA395" s="51">
        <f>'RESUMEN TOTAL'!AF398</f>
        <v>0</v>
      </c>
      <c r="AB395" s="51">
        <f>'RESUMEN TOTAL'!AG398</f>
        <v>0</v>
      </c>
      <c r="AC395" s="51">
        <f>'RESUMEN TOTAL'!AH398</f>
        <v>0</v>
      </c>
      <c r="AD395" s="51">
        <f>'RESUMEN TOTAL'!AI398</f>
        <v>0</v>
      </c>
      <c r="AE395" s="51">
        <f>'RESUMEN TOTAL'!AJ398</f>
        <v>0</v>
      </c>
      <c r="AF395" s="51">
        <f>'RESUMEN TOTAL'!AK398</f>
        <v>0</v>
      </c>
      <c r="AG395" s="51">
        <f>'RESUMEN TOTAL'!AL398</f>
        <v>0</v>
      </c>
      <c r="AH395" s="51">
        <f>'RESUMEN TOTAL'!AM398</f>
        <v>0</v>
      </c>
      <c r="AI395" s="51">
        <f>'RESUMEN TOTAL'!AN398</f>
        <v>0</v>
      </c>
    </row>
    <row r="396" spans="1:35" x14ac:dyDescent="0.3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TOTAL'!K399</f>
        <v>0</v>
      </c>
      <c r="G396" s="51">
        <f>'RESUMEN TOTAL'!L399</f>
        <v>0</v>
      </c>
      <c r="H396" s="51">
        <f>'RESUMEN TOTAL'!M399</f>
        <v>0</v>
      </c>
      <c r="I396" s="51">
        <f>'RESUMEN TOTAL'!N399</f>
        <v>0</v>
      </c>
      <c r="J396" s="51">
        <f>'RESUMEN TOTAL'!O399</f>
        <v>0</v>
      </c>
      <c r="K396" s="51">
        <f>'RESUMEN TOTAL'!P399</f>
        <v>0</v>
      </c>
      <c r="L396" s="51">
        <f>'RESUMEN TOTAL'!Q399</f>
        <v>0</v>
      </c>
      <c r="M396" s="51">
        <f>'RESUMEN TOTAL'!R399</f>
        <v>0</v>
      </c>
      <c r="N396" s="51">
        <f>'RESUMEN TOTAL'!S399</f>
        <v>0</v>
      </c>
      <c r="O396" s="51">
        <f>'RESUMEN TOTAL'!T399</f>
        <v>0</v>
      </c>
      <c r="P396" s="51">
        <f>'RESUMEN TOTAL'!U399</f>
        <v>0</v>
      </c>
      <c r="Q396" s="51">
        <f>'RESUMEN TOTAL'!V399</f>
        <v>0</v>
      </c>
      <c r="R396" s="51">
        <f>'RESUMEN TOTAL'!W399</f>
        <v>0</v>
      </c>
      <c r="S396" s="51">
        <f>'RESUMEN TOTAL'!X399</f>
        <v>0</v>
      </c>
      <c r="T396" s="51">
        <f>'RESUMEN TOTAL'!Y399</f>
        <v>0</v>
      </c>
      <c r="U396" s="51">
        <f>'RESUMEN TOTAL'!Z399</f>
        <v>0</v>
      </c>
      <c r="V396" s="51">
        <f>'RESUMEN TOTAL'!AA399</f>
        <v>0</v>
      </c>
      <c r="W396" s="51">
        <f>'RESUMEN TOTAL'!AB399</f>
        <v>0</v>
      </c>
      <c r="X396" s="51">
        <f>'RESUMEN TOTAL'!AC399</f>
        <v>0</v>
      </c>
      <c r="Y396" s="51">
        <f>'RESUMEN TOTAL'!AD399</f>
        <v>0</v>
      </c>
      <c r="Z396" s="51">
        <f>'RESUMEN TOTAL'!AE399</f>
        <v>0</v>
      </c>
      <c r="AA396" s="51">
        <f>'RESUMEN TOTAL'!AF399</f>
        <v>0</v>
      </c>
      <c r="AB396" s="51">
        <f>'RESUMEN TOTAL'!AG399</f>
        <v>0</v>
      </c>
      <c r="AC396" s="51">
        <f>'RESUMEN TOTAL'!AH399</f>
        <v>0</v>
      </c>
      <c r="AD396" s="51">
        <f>'RESUMEN TOTAL'!AI399</f>
        <v>0</v>
      </c>
      <c r="AE396" s="51">
        <f>'RESUMEN TOTAL'!AJ399</f>
        <v>0</v>
      </c>
      <c r="AF396" s="51">
        <f>'RESUMEN TOTAL'!AK399</f>
        <v>0</v>
      </c>
      <c r="AG396" s="51">
        <f>'RESUMEN TOTAL'!AL399</f>
        <v>0</v>
      </c>
      <c r="AH396" s="51">
        <f>'RESUMEN TOTAL'!AM399</f>
        <v>0</v>
      </c>
      <c r="AI396" s="51">
        <f>'RESUMEN TOTAL'!AN399</f>
        <v>0</v>
      </c>
    </row>
    <row r="397" spans="1:35" x14ac:dyDescent="0.3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TOTAL'!K400</f>
        <v>0</v>
      </c>
      <c r="G397" s="51">
        <f>'RESUMEN TOTAL'!L400</f>
        <v>0</v>
      </c>
      <c r="H397" s="51">
        <f>'RESUMEN TOTAL'!M400</f>
        <v>0</v>
      </c>
      <c r="I397" s="51">
        <f>'RESUMEN TOTAL'!N400</f>
        <v>0</v>
      </c>
      <c r="J397" s="51">
        <f>'RESUMEN TOTAL'!O400</f>
        <v>0</v>
      </c>
      <c r="K397" s="51">
        <f>'RESUMEN TOTAL'!P400</f>
        <v>0</v>
      </c>
      <c r="L397" s="51">
        <f>'RESUMEN TOTAL'!Q400</f>
        <v>0</v>
      </c>
      <c r="M397" s="51">
        <f>'RESUMEN TOTAL'!R400</f>
        <v>0</v>
      </c>
      <c r="N397" s="51">
        <f>'RESUMEN TOTAL'!S400</f>
        <v>0</v>
      </c>
      <c r="O397" s="51">
        <f>'RESUMEN TOTAL'!T400</f>
        <v>0</v>
      </c>
      <c r="P397" s="51">
        <f>'RESUMEN TOTAL'!U400</f>
        <v>0</v>
      </c>
      <c r="Q397" s="51">
        <f>'RESUMEN TOTAL'!V400</f>
        <v>0</v>
      </c>
      <c r="R397" s="51">
        <f>'RESUMEN TOTAL'!W400</f>
        <v>0</v>
      </c>
      <c r="S397" s="51">
        <f>'RESUMEN TOTAL'!X400</f>
        <v>0</v>
      </c>
      <c r="T397" s="51">
        <f>'RESUMEN TOTAL'!Y400</f>
        <v>0</v>
      </c>
      <c r="U397" s="51">
        <f>'RESUMEN TOTAL'!Z400</f>
        <v>0</v>
      </c>
      <c r="V397" s="51">
        <f>'RESUMEN TOTAL'!AA400</f>
        <v>0</v>
      </c>
      <c r="W397" s="51">
        <f>'RESUMEN TOTAL'!AB400</f>
        <v>0</v>
      </c>
      <c r="X397" s="51">
        <f>'RESUMEN TOTAL'!AC400</f>
        <v>0</v>
      </c>
      <c r="Y397" s="51">
        <f>'RESUMEN TOTAL'!AD400</f>
        <v>0</v>
      </c>
      <c r="Z397" s="51">
        <f>'RESUMEN TOTAL'!AE400</f>
        <v>0</v>
      </c>
      <c r="AA397" s="51">
        <f>'RESUMEN TOTAL'!AF400</f>
        <v>0</v>
      </c>
      <c r="AB397" s="51">
        <f>'RESUMEN TOTAL'!AG400</f>
        <v>0</v>
      </c>
      <c r="AC397" s="51">
        <f>'RESUMEN TOTAL'!AH400</f>
        <v>0</v>
      </c>
      <c r="AD397" s="51">
        <f>'RESUMEN TOTAL'!AI400</f>
        <v>0</v>
      </c>
      <c r="AE397" s="51">
        <f>'RESUMEN TOTAL'!AJ400</f>
        <v>0</v>
      </c>
      <c r="AF397" s="51">
        <f>'RESUMEN TOTAL'!AK400</f>
        <v>0</v>
      </c>
      <c r="AG397" s="51">
        <f>'RESUMEN TOTAL'!AL400</f>
        <v>0</v>
      </c>
      <c r="AH397" s="51">
        <f>'RESUMEN TOTAL'!AM400</f>
        <v>0</v>
      </c>
      <c r="AI397" s="51">
        <f>'RESUMEN TOTAL'!AN400</f>
        <v>0</v>
      </c>
    </row>
    <row r="398" spans="1:35" x14ac:dyDescent="0.3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TOTAL'!K401</f>
        <v>0</v>
      </c>
      <c r="G398" s="51">
        <f>'RESUMEN TOTAL'!L401</f>
        <v>0</v>
      </c>
      <c r="H398" s="51">
        <f>'RESUMEN TOTAL'!M401</f>
        <v>0</v>
      </c>
      <c r="I398" s="51">
        <f>'RESUMEN TOTAL'!N401</f>
        <v>0</v>
      </c>
      <c r="J398" s="51">
        <f>'RESUMEN TOTAL'!O401</f>
        <v>0</v>
      </c>
      <c r="K398" s="51">
        <f>'RESUMEN TOTAL'!P401</f>
        <v>0</v>
      </c>
      <c r="L398" s="51">
        <f>'RESUMEN TOTAL'!Q401</f>
        <v>0</v>
      </c>
      <c r="M398" s="51">
        <f>'RESUMEN TOTAL'!R401</f>
        <v>0</v>
      </c>
      <c r="N398" s="51">
        <f>'RESUMEN TOTAL'!S401</f>
        <v>0</v>
      </c>
      <c r="O398" s="51">
        <f>'RESUMEN TOTAL'!T401</f>
        <v>0</v>
      </c>
      <c r="P398" s="51">
        <f>'RESUMEN TOTAL'!U401</f>
        <v>0</v>
      </c>
      <c r="Q398" s="51">
        <f>'RESUMEN TOTAL'!V401</f>
        <v>0</v>
      </c>
      <c r="R398" s="51">
        <f>'RESUMEN TOTAL'!W401</f>
        <v>0</v>
      </c>
      <c r="S398" s="51">
        <f>'RESUMEN TOTAL'!X401</f>
        <v>0</v>
      </c>
      <c r="T398" s="51">
        <f>'RESUMEN TOTAL'!Y401</f>
        <v>0</v>
      </c>
      <c r="U398" s="51">
        <f>'RESUMEN TOTAL'!Z401</f>
        <v>0</v>
      </c>
      <c r="V398" s="51">
        <f>'RESUMEN TOTAL'!AA401</f>
        <v>0</v>
      </c>
      <c r="W398" s="51">
        <f>'RESUMEN TOTAL'!AB401</f>
        <v>0</v>
      </c>
      <c r="X398" s="51">
        <f>'RESUMEN TOTAL'!AC401</f>
        <v>0</v>
      </c>
      <c r="Y398" s="51">
        <f>'RESUMEN TOTAL'!AD401</f>
        <v>0</v>
      </c>
      <c r="Z398" s="51">
        <f>'RESUMEN TOTAL'!AE401</f>
        <v>0</v>
      </c>
      <c r="AA398" s="51">
        <f>'RESUMEN TOTAL'!AF401</f>
        <v>0</v>
      </c>
      <c r="AB398" s="51">
        <f>'RESUMEN TOTAL'!AG401</f>
        <v>0</v>
      </c>
      <c r="AC398" s="51">
        <f>'RESUMEN TOTAL'!AH401</f>
        <v>0</v>
      </c>
      <c r="AD398" s="51">
        <f>'RESUMEN TOTAL'!AI401</f>
        <v>0</v>
      </c>
      <c r="AE398" s="51">
        <f>'RESUMEN TOTAL'!AJ401</f>
        <v>0</v>
      </c>
      <c r="AF398" s="51">
        <f>'RESUMEN TOTAL'!AK401</f>
        <v>0</v>
      </c>
      <c r="AG398" s="51">
        <f>'RESUMEN TOTAL'!AL401</f>
        <v>0</v>
      </c>
      <c r="AH398" s="51">
        <f>'RESUMEN TOTAL'!AM401</f>
        <v>0</v>
      </c>
      <c r="AI398" s="51">
        <f>'RESUMEN TOTAL'!AN401</f>
        <v>0</v>
      </c>
    </row>
    <row r="399" spans="1:35" x14ac:dyDescent="0.3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TOTAL'!K402</f>
        <v>0</v>
      </c>
      <c r="G399" s="51">
        <f>'RESUMEN TOTAL'!L402</f>
        <v>0</v>
      </c>
      <c r="H399" s="51">
        <f>'RESUMEN TOTAL'!M402</f>
        <v>0</v>
      </c>
      <c r="I399" s="51">
        <f>'RESUMEN TOTAL'!N402</f>
        <v>0</v>
      </c>
      <c r="J399" s="51">
        <f>'RESUMEN TOTAL'!O402</f>
        <v>0</v>
      </c>
      <c r="K399" s="51">
        <f>'RESUMEN TOTAL'!P402</f>
        <v>0</v>
      </c>
      <c r="L399" s="51">
        <f>'RESUMEN TOTAL'!Q402</f>
        <v>0</v>
      </c>
      <c r="M399" s="51">
        <f>'RESUMEN TOTAL'!R402</f>
        <v>0</v>
      </c>
      <c r="N399" s="51">
        <f>'RESUMEN TOTAL'!S402</f>
        <v>0</v>
      </c>
      <c r="O399" s="51">
        <f>'RESUMEN TOTAL'!T402</f>
        <v>0</v>
      </c>
      <c r="P399" s="51">
        <f>'RESUMEN TOTAL'!U402</f>
        <v>0</v>
      </c>
      <c r="Q399" s="51">
        <f>'RESUMEN TOTAL'!V402</f>
        <v>0</v>
      </c>
      <c r="R399" s="51">
        <f>'RESUMEN TOTAL'!W402</f>
        <v>0</v>
      </c>
      <c r="S399" s="51">
        <f>'RESUMEN TOTAL'!X402</f>
        <v>0</v>
      </c>
      <c r="T399" s="51">
        <f>'RESUMEN TOTAL'!Y402</f>
        <v>0</v>
      </c>
      <c r="U399" s="51">
        <f>'RESUMEN TOTAL'!Z402</f>
        <v>0</v>
      </c>
      <c r="V399" s="51">
        <f>'RESUMEN TOTAL'!AA402</f>
        <v>0</v>
      </c>
      <c r="W399" s="51">
        <f>'RESUMEN TOTAL'!AB402</f>
        <v>0</v>
      </c>
      <c r="X399" s="51">
        <f>'RESUMEN TOTAL'!AC402</f>
        <v>0</v>
      </c>
      <c r="Y399" s="51">
        <f>'RESUMEN TOTAL'!AD402</f>
        <v>0</v>
      </c>
      <c r="Z399" s="51">
        <f>'RESUMEN TOTAL'!AE402</f>
        <v>0</v>
      </c>
      <c r="AA399" s="51">
        <f>'RESUMEN TOTAL'!AF402</f>
        <v>0</v>
      </c>
      <c r="AB399" s="51">
        <f>'RESUMEN TOTAL'!AG402</f>
        <v>0</v>
      </c>
      <c r="AC399" s="51">
        <f>'RESUMEN TOTAL'!AH402</f>
        <v>0</v>
      </c>
      <c r="AD399" s="51">
        <f>'RESUMEN TOTAL'!AI402</f>
        <v>0</v>
      </c>
      <c r="AE399" s="51">
        <f>'RESUMEN TOTAL'!AJ402</f>
        <v>0</v>
      </c>
      <c r="AF399" s="51">
        <f>'RESUMEN TOTAL'!AK402</f>
        <v>0</v>
      </c>
      <c r="AG399" s="51">
        <f>'RESUMEN TOTAL'!AL402</f>
        <v>0</v>
      </c>
      <c r="AH399" s="51">
        <f>'RESUMEN TOTAL'!AM402</f>
        <v>0</v>
      </c>
      <c r="AI399" s="51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401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O1" sqref="O1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1"/>
  </cols>
  <sheetData>
    <row r="1" spans="1:35" ht="21" x14ac:dyDescent="0.4">
      <c r="E1" s="26" t="s">
        <v>622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31</v>
      </c>
      <c r="I1" s="26">
        <f t="shared" si="0"/>
        <v>34</v>
      </c>
      <c r="J1" s="26">
        <f t="shared" si="0"/>
        <v>30</v>
      </c>
      <c r="K1" s="26">
        <f t="shared" si="0"/>
        <v>52</v>
      </c>
      <c r="L1" s="26">
        <f t="shared" si="0"/>
        <v>73</v>
      </c>
      <c r="M1" s="26">
        <f t="shared" si="0"/>
        <v>50</v>
      </c>
      <c r="N1" s="26">
        <f t="shared" si="0"/>
        <v>51</v>
      </c>
      <c r="O1" s="26">
        <f t="shared" si="0"/>
        <v>64</v>
      </c>
      <c r="P1" s="26">
        <f t="shared" si="0"/>
        <v>38</v>
      </c>
      <c r="Q1" s="26">
        <f t="shared" si="0"/>
        <v>45</v>
      </c>
      <c r="R1" s="26">
        <f t="shared" si="0"/>
        <v>28</v>
      </c>
      <c r="S1" s="26">
        <f t="shared" si="0"/>
        <v>31</v>
      </c>
      <c r="T1" s="26">
        <f t="shared" si="0"/>
        <v>34</v>
      </c>
      <c r="U1" s="26">
        <f t="shared" si="0"/>
        <v>0</v>
      </c>
      <c r="V1" s="26">
        <f t="shared" si="0"/>
        <v>0</v>
      </c>
      <c r="W1" s="26">
        <f t="shared" si="0"/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ref="AH1:AI1" si="1">COUNTIF(AH3:AH400, "APAGADO")</f>
        <v>0</v>
      </c>
      <c r="AI1" s="26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>
        <f>ESTADISTICA!R4</f>
        <v>0</v>
      </c>
      <c r="S5">
        <f>ESTADISTICA!S4</f>
        <v>0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hidden="1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hidden="1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hidden="1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hidden="1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hidden="1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hidden="1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hidden="1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hidden="1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hidden="1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hidden="1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hidden="1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hidden="1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hidden="1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hidden="1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hidden="1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hidden="1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hidden="1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hidden="1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>
        <f>ESTADISTICA!J28</f>
        <v>0</v>
      </c>
      <c r="K29" t="str">
        <f>ESTADISTICA!K28</f>
        <v>APAGADO</v>
      </c>
      <c r="L29" t="str">
        <f>ESTADISTICA!L28</f>
        <v>APAGADO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hidden="1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hidden="1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1">
        <f>ESTADISTICA!AH31</f>
        <v>0</v>
      </c>
      <c r="AI32" s="51">
        <f>ESTADISTICA!AI31</f>
        <v>0</v>
      </c>
    </row>
    <row r="33" spans="1:35" hidden="1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hidden="1" x14ac:dyDescent="0.3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hidden="1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hidden="1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hidden="1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hidden="1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hidden="1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hidden="1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hidden="1" x14ac:dyDescent="0.3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hidden="1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hidden="1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hidden="1" x14ac:dyDescent="0.3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hidden="1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hidden="1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hidden="1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hidden="1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hidden="1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hidden="1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hidden="1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hidden="1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hidden="1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hidden="1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hidden="1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hidden="1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hidden="1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hidden="1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hidden="1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hidden="1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1">
        <f>ESTADISTICA!AH64</f>
        <v>0</v>
      </c>
      <c r="AI65" s="51">
        <f>ESTADISTICA!AI64</f>
        <v>0</v>
      </c>
    </row>
    <row r="66" spans="1:35" hidden="1" x14ac:dyDescent="0.3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hidden="1" x14ac:dyDescent="0.3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hidden="1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hidden="1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hidden="1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hidden="1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hidden="1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hidden="1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hidden="1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hidden="1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hidden="1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hidden="1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hidden="1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hidden="1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hidden="1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hidden="1" x14ac:dyDescent="0.3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hidden="1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hidden="1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 t="str">
        <f>ESTADISTICA!H84</f>
        <v>APAGADO</v>
      </c>
      <c r="I85" t="str">
        <f>ESTADISTICA!I84</f>
        <v>APAGADO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>
        <f>ESTADISTICA!P84</f>
        <v>0</v>
      </c>
      <c r="Q85" t="str">
        <f>ESTADISTICA!Q84</f>
        <v>APAGADO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hidden="1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hidden="1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hidden="1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hidden="1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hidden="1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hidden="1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hidden="1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hidden="1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hidden="1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 t="str">
        <f>ESTADISTICA!T93</f>
        <v>APAGADO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1">
        <f>ESTADISTICA!AH93</f>
        <v>0</v>
      </c>
      <c r="AI94" s="51">
        <f>ESTADISTICA!AI93</f>
        <v>0</v>
      </c>
    </row>
    <row r="95" spans="1:35" hidden="1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hidden="1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hidden="1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hidden="1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hidden="1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hidden="1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hidden="1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hidden="1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hidden="1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hidden="1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hidden="1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1">
        <f>ESTADISTICA!AH104</f>
        <v>0</v>
      </c>
      <c r="AI105" s="51">
        <f>ESTADISTICA!AI104</f>
        <v>0</v>
      </c>
    </row>
    <row r="106" spans="1:35" hidden="1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hidden="1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hidden="1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hidden="1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hidden="1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hidden="1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 t="str">
        <f>ESTADISTICA!T110</f>
        <v>APAGADO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hidden="1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hidden="1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hidden="1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hidden="1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hidden="1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hidden="1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hidden="1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hidden="1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hidden="1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hidden="1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hidden="1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hidden="1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hidden="1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hidden="1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 t="str">
        <f>ESTADISTICA!O124</f>
        <v>APAGADO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hidden="1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>APAGADO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hidden="1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hidden="1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 t="str">
        <f>ESTADISTICA!O127</f>
        <v>APAGADO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hidden="1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 t="str">
        <f>ESTADISTICA!O128</f>
        <v>APAGADO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hidden="1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hidden="1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1">
        <f>ESTADISTICA!AH131</f>
        <v>0</v>
      </c>
      <c r="AI132" s="51">
        <f>ESTADISTICA!AI131</f>
        <v>0</v>
      </c>
    </row>
    <row r="133" spans="1:35" hidden="1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 t="str">
        <f>ESTADISTICA!S132</f>
        <v>APAGADO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hidden="1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hidden="1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 t="str">
        <f>ESTADISTICA!T134</f>
        <v>APAGADO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1">
        <f>ESTADISTICA!AH134</f>
        <v>0</v>
      </c>
      <c r="AI135" s="51">
        <f>ESTADISTICA!AI134</f>
        <v>0</v>
      </c>
    </row>
    <row r="136" spans="1:35" hidden="1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hidden="1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hidden="1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hidden="1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hidden="1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hidden="1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hidden="1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hidden="1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hidden="1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hidden="1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hidden="1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hidden="1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hidden="1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hidden="1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hidden="1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hidden="1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hidden="1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hidden="1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 t="str">
        <f>ESTADISTICA!L154</f>
        <v>APAGADO</v>
      </c>
      <c r="M155" t="str">
        <f>ESTADISTICA!M154</f>
        <v>APAGADO</v>
      </c>
      <c r="N155" t="str">
        <f>ESTADISTICA!N154</f>
        <v>APAGADO</v>
      </c>
      <c r="O155" t="str">
        <f>ESTADISTICA!O154</f>
        <v>APAGADO</v>
      </c>
      <c r="P155" t="str">
        <f>ESTADISTICA!P154</f>
        <v>APAGADO</v>
      </c>
      <c r="Q155" t="str">
        <f>ESTADISTICA!Q154</f>
        <v>APAGADO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1">
        <f>ESTADISTICA!AH154</f>
        <v>0</v>
      </c>
      <c r="AI155" s="51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 t="str">
        <f>ESTADISTICA!P155</f>
        <v>APAGADO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1">
        <f>ESTADISTICA!AH155</f>
        <v>0</v>
      </c>
      <c r="AI156" s="51">
        <f>ESTADISTICA!AI155</f>
        <v>0</v>
      </c>
    </row>
    <row r="157" spans="1:35" hidden="1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hidden="1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 t="str">
        <f>ESTADISTICA!K157</f>
        <v>APAGADO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hidden="1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hidden="1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1">
        <f>ESTADISTICA!AH160</f>
        <v>0</v>
      </c>
      <c r="AI161" s="51">
        <f>ESTADISTICA!AI160</f>
        <v>0</v>
      </c>
    </row>
    <row r="162" spans="1:35" hidden="1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hidden="1" x14ac:dyDescent="0.3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1">
        <f>ESTADISTICA!AH163</f>
        <v>0</v>
      </c>
      <c r="AI164" s="51">
        <f>ESTADISTICA!AI163</f>
        <v>0</v>
      </c>
    </row>
    <row r="165" spans="1:35" hidden="1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hidden="1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hidden="1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hidden="1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hidden="1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hidden="1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hidden="1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hidden="1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hidden="1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hidden="1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hidden="1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hidden="1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hidden="1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hidden="1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hidden="1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hidden="1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hidden="1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hidden="1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hidden="1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hidden="1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hidden="1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hidden="1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hidden="1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hidden="1" x14ac:dyDescent="0.3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hidden="1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hidden="1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hidden="1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hidden="1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hidden="1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 t="str">
        <f>ESTADISTICA!K196</f>
        <v>APAGADO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hidden="1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hidden="1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hidden="1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hidden="1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hidden="1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hidden="1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 t="str">
        <f>ESTADISTICA!T202</f>
        <v>APAGADO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hidden="1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hidden="1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1">
        <f>ESTADISTICA!AH207</f>
        <v>0</v>
      </c>
      <c r="AI208" s="51">
        <f>ESTADISTICA!AI207</f>
        <v>0</v>
      </c>
    </row>
    <row r="209" spans="1:35" hidden="1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hidden="1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 t="str">
        <f>ESTADISTICA!T210</f>
        <v>APAGADO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 t="str">
        <f>ESTADISTICA!M212</f>
        <v>APAGADO</v>
      </c>
      <c r="N213" t="str">
        <f>ESTADISTICA!N212</f>
        <v>APAGADO</v>
      </c>
      <c r="O213" t="str">
        <f>ESTADISTICA!O212</f>
        <v>APAGADO</v>
      </c>
      <c r="P213" t="str">
        <f>ESTADISTICA!P212</f>
        <v>APAGADO</v>
      </c>
      <c r="Q213" t="str">
        <f>ESTADISTICA!Q212</f>
        <v>APAGADO</v>
      </c>
      <c r="R213" t="str">
        <f>ESTADISTICA!R212</f>
        <v>APAGADO</v>
      </c>
      <c r="S213" t="str">
        <f>ESTADISTICA!S212</f>
        <v>APAGADO</v>
      </c>
      <c r="T213" t="str">
        <f>ESTADISTICA!T212</f>
        <v>APAGADO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1">
        <f>ESTADISTICA!AH213</f>
        <v>0</v>
      </c>
      <c r="AI214" s="51">
        <f>ESTADISTICA!AI213</f>
        <v>0</v>
      </c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>
        <f>ESTADISTICA!R214</f>
        <v>0</v>
      </c>
      <c r="S215" t="str">
        <f>ESTADISTICA!S214</f>
        <v>APAGADO</v>
      </c>
      <c r="T215" t="str">
        <f>ESTADISTICA!T214</f>
        <v>APAGADO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1">
        <f>ESTADISTICA!AH214</f>
        <v>0</v>
      </c>
      <c r="AI215" s="51">
        <f>ESTADISTICA!AI214</f>
        <v>0</v>
      </c>
    </row>
    <row r="216" spans="1:35" hidden="1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hidden="1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hidden="1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hidden="1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hidden="1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1">
        <f>ESTADISTICA!AH220</f>
        <v>0</v>
      </c>
      <c r="AI221" s="51">
        <f>ESTADISTICA!AI220</f>
        <v>0</v>
      </c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hidden="1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hidden="1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hidden="1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hidden="1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 t="str">
        <f>ESTADISTICA!L225</f>
        <v>APAGADO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hidden="1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hidden="1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hidden="1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hidden="1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hidden="1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 t="str">
        <f>ESTADISTICA!L230</f>
        <v>APAGADO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hidden="1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 t="str">
        <f>ESTADISTICA!L231</f>
        <v>APAGADO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hidden="1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 t="str">
        <f>ESTADISTICA!L232</f>
        <v>APAGADO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hidden="1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 t="str">
        <f>ESTADISTICA!L233</f>
        <v>APAGADO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hidden="1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hidden="1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hidden="1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hidden="1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hidden="1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1">
        <f>ESTADISTICA!AH241</f>
        <v>0</v>
      </c>
      <c r="AI242" s="51">
        <f>ESTADISTICA!AI241</f>
        <v>0</v>
      </c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hidden="1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hidden="1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hidden="1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hidden="1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hidden="1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hidden="1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hidden="1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1">
        <f>ESTADISTICA!AH252</f>
        <v>0</v>
      </c>
      <c r="AI253" s="51">
        <f>ESTADISTICA!AI252</f>
        <v>0</v>
      </c>
    </row>
    <row r="254" spans="1:35" hidden="1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hidden="1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hidden="1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hidden="1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hidden="1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hidden="1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hidden="1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hidden="1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hidden="1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hidden="1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hidden="1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hidden="1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hidden="1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hidden="1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hidden="1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hidden="1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hidden="1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hidden="1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hidden="1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hidden="1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hidden="1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hidden="1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1">
        <f>ESTADISTICA!AH274</f>
        <v>0</v>
      </c>
      <c r="AI275" s="51">
        <f>ESTADISTICA!AI274</f>
        <v>0</v>
      </c>
    </row>
    <row r="276" spans="1:35" hidden="1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hidden="1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hidden="1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hidden="1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hidden="1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hidden="1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hidden="1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hidden="1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hidden="1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hidden="1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hidden="1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hidden="1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1">
        <f>ESTADISTICA!AH286</f>
        <v>0</v>
      </c>
      <c r="AI287" s="51">
        <f>ESTADISTICA!AI286</f>
        <v>0</v>
      </c>
    </row>
    <row r="288" spans="1:35" hidden="1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 t="str">
        <f>ESTADISTICA!S287</f>
        <v>APAGADO</v>
      </c>
      <c r="T288" t="str">
        <f>ESTADISTICA!T287</f>
        <v>APAGADO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1">
        <f>ESTADISTICA!AH287</f>
        <v>0</v>
      </c>
      <c r="AI288" s="51">
        <f>ESTADISTICA!AI287</f>
        <v>0</v>
      </c>
    </row>
    <row r="289" spans="1:35" hidden="1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 t="str">
        <f>ESTADISTICA!S288</f>
        <v>APAGADO</v>
      </c>
      <c r="T289" t="str">
        <f>ESTADISTICA!T288</f>
        <v>APAGADO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1">
        <f>ESTADISTICA!AH288</f>
        <v>0</v>
      </c>
      <c r="AI289" s="51">
        <f>ESTADISTICA!AI288</f>
        <v>0</v>
      </c>
    </row>
    <row r="290" spans="1:35" hidden="1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 t="str">
        <f>ESTADISTICA!Q289</f>
        <v>APAGADO</v>
      </c>
      <c r="R290" t="str">
        <f>ESTADISTICA!R289</f>
        <v>APAGADO</v>
      </c>
      <c r="S290" t="str">
        <f>ESTADISTICA!S289</f>
        <v>APAGADO</v>
      </c>
      <c r="T290" t="str">
        <f>ESTADISTICA!T289</f>
        <v>APAGADO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1">
        <f>ESTADISTICA!AH289</f>
        <v>0</v>
      </c>
      <c r="AI290" s="51">
        <f>ESTADISTICA!AI289</f>
        <v>0</v>
      </c>
    </row>
    <row r="291" spans="1:35" hidden="1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hidden="1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hidden="1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hidden="1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hidden="1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hidden="1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hidden="1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hidden="1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hidden="1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hidden="1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hidden="1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hidden="1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hidden="1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hidden="1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hidden="1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hidden="1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hidden="1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hidden="1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hidden="1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hidden="1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 t="str">
        <f>ESTADISTICA!L309</f>
        <v>APAGADO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hidden="1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hidden="1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hidden="1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hidden="1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 t="str">
        <f>ESTADISTICA!T313</f>
        <v>APAGADO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hidden="1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hidden="1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hidden="1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hidden="1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hidden="1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hidden="1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hidden="1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hidden="1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hidden="1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hidden="1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 t="str">
        <f>ESTADISTICA!P325</f>
        <v>APAGADO</v>
      </c>
      <c r="Q326" t="str">
        <f>ESTADISTICA!Q325</f>
        <v>APAGADO</v>
      </c>
      <c r="R326" t="str">
        <f>ESTADISTICA!R325</f>
        <v>APAGADO</v>
      </c>
      <c r="S326" t="str">
        <f>ESTADISTICA!S325</f>
        <v>APAGADO</v>
      </c>
      <c r="T326" t="str">
        <f>ESTADISTICA!T325</f>
        <v>APAGADO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hidden="1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hidden="1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hidden="1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hidden="1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hidden="1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hidden="1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hidden="1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 t="str">
        <f>ESTADISTICA!T333</f>
        <v>APAGADO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hidden="1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hidden="1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hidden="1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hidden="1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hidden="1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hidden="1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hidden="1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hidden="1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hidden="1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hidden="1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hidden="1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>
        <f>ESTADISTICA!P345</f>
        <v>0</v>
      </c>
      <c r="Q346" t="str">
        <f>ESTADISTICA!Q345</f>
        <v>APAGADO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hidden="1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hidden="1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hidden="1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hidden="1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hidden="1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hidden="1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hidden="1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>
        <f>ESTADISTICA!P353</f>
        <v>0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 t="str">
        <f>ESTADISTICA!H354</f>
        <v>APAGADO</v>
      </c>
      <c r="I355" t="str">
        <f>ESTADISTICA!I354</f>
        <v>APAGADO</v>
      </c>
      <c r="J355">
        <f>ESTADISTICA!J354</f>
        <v>0</v>
      </c>
      <c r="K355" t="str">
        <f>ESTADISTICA!K354</f>
        <v>APAGADO</v>
      </c>
      <c r="L355" t="str">
        <f>ESTADISTICA!L354</f>
        <v>APAGADO</v>
      </c>
      <c r="M355" t="str">
        <f>ESTADISTICA!M354</f>
        <v>APAGADO</v>
      </c>
      <c r="N355" t="str">
        <f>ESTADISTICA!N354</f>
        <v>APAGADO</v>
      </c>
      <c r="O355" t="str">
        <f>ESTADISTICA!O354</f>
        <v>APAGADO</v>
      </c>
      <c r="P355">
        <f>ESTADISTICA!P354</f>
        <v>0</v>
      </c>
      <c r="Q355" t="str">
        <f>ESTADISTICA!Q354</f>
        <v>APAGADO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hidden="1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hidden="1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hidden="1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1">
        <f>ESTADISTICA!AH358</f>
        <v>0</v>
      </c>
      <c r="AI359" s="51">
        <f>ESTADISTICA!AI358</f>
        <v>0</v>
      </c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1">
        <f>ESTADISTICA!AH359</f>
        <v>0</v>
      </c>
      <c r="AI360" s="51">
        <f>ESTADISTICA!AI359</f>
        <v>0</v>
      </c>
    </row>
    <row r="361" spans="1:35" hidden="1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hidden="1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hidden="1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hidden="1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hidden="1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hidden="1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hidden="1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 t="str">
        <f>ESTADISTICA!S366</f>
        <v>APAGADO</v>
      </c>
      <c r="T367" t="str">
        <f>ESTADISTICA!T366</f>
        <v>APAGADO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 t="str">
        <f>ESTADISTICA!K367</f>
        <v>APAGADO</v>
      </c>
      <c r="L368" t="str">
        <f>ESTADISTICA!L367</f>
        <v>APAGADO</v>
      </c>
      <c r="M368" t="str">
        <f>ESTADISTICA!M367</f>
        <v>APAGADO</v>
      </c>
      <c r="N368" t="str">
        <f>ESTADISTICA!N367</f>
        <v>APAGADO</v>
      </c>
      <c r="O368" t="str">
        <f>ESTADISTICA!O367</f>
        <v>APAGADO</v>
      </c>
      <c r="P368" t="str">
        <f>ESTADISTICA!P367</f>
        <v>APAGADO</v>
      </c>
      <c r="Q368" t="str">
        <f>ESTADISTICA!Q367</f>
        <v>APAGADO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hidden="1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 t="str">
        <f>ESTADISTICA!L368</f>
        <v>APAGADO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hidden="1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 t="str">
        <f>ESTADISTICA!L369</f>
        <v>APAGADO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hidden="1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 t="str">
        <f>ESTADISTICA!L370</f>
        <v>APAGADO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hidden="1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 t="str">
        <f>ESTADISTICA!L371</f>
        <v>APAGADO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hidden="1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hidden="1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hidden="1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hidden="1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hidden="1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hidden="1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hidden="1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hidden="1" x14ac:dyDescent="0.3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hidden="1" x14ac:dyDescent="0.3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hidden="1" x14ac:dyDescent="0.3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3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 t="str">
        <f>ESTADISTICA!H382</f>
        <v>APAGADO</v>
      </c>
      <c r="I383" s="51" t="str">
        <f>ESTADISTICA!I382</f>
        <v>APAGADO</v>
      </c>
      <c r="J383" s="51" t="str">
        <f>ESTADISTICA!J382</f>
        <v>APAGADO</v>
      </c>
      <c r="K383" s="51" t="str">
        <f>ESTADISTICA!K382</f>
        <v>APAGADO</v>
      </c>
      <c r="L383" s="51" t="str">
        <f>ESTADISTICA!L382</f>
        <v>APAGADO</v>
      </c>
      <c r="M383" s="51" t="str">
        <f>ESTADISTICA!M382</f>
        <v>APAGADO</v>
      </c>
      <c r="N383" s="51" t="str">
        <f>ESTADISTICA!N382</f>
        <v>APAGADO</v>
      </c>
      <c r="O383" s="51" t="str">
        <f>ESTADISTICA!O382</f>
        <v>APAGADO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  <c r="AH383" s="51">
        <f>ESTADISTICA!AH382</f>
        <v>0</v>
      </c>
      <c r="AI383" s="51">
        <f>ESTADISTICA!AI382</f>
        <v>0</v>
      </c>
    </row>
    <row r="384" spans="1:35" x14ac:dyDescent="0.3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 t="str">
        <f>ESTADISTICA!H383</f>
        <v>APAGADO</v>
      </c>
      <c r="I384" s="51" t="str">
        <f>ESTADISTICA!I383</f>
        <v>APAGADO</v>
      </c>
      <c r="J384" s="51" t="str">
        <f>ESTADISTICA!J383</f>
        <v>APAGADO</v>
      </c>
      <c r="K384" s="51" t="str">
        <f>ESTADISTICA!K383</f>
        <v>APAGADO</v>
      </c>
      <c r="L384" s="51" t="str">
        <f>ESTADISTICA!L383</f>
        <v>APAGADO</v>
      </c>
      <c r="M384" s="51" t="str">
        <f>ESTADISTICA!M383</f>
        <v>APAGADO</v>
      </c>
      <c r="N384" s="51" t="str">
        <f>ESTADISTICA!N383</f>
        <v>APAGADO</v>
      </c>
      <c r="O384" s="51" t="str">
        <f>ESTADISTICA!O383</f>
        <v>APAGADO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  <c r="AH384" s="51">
        <f>ESTADISTICA!AH383</f>
        <v>0</v>
      </c>
      <c r="AI384" s="51">
        <f>ESTADISTICA!AI383</f>
        <v>0</v>
      </c>
    </row>
    <row r="385" spans="1:35" x14ac:dyDescent="0.3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 t="str">
        <f>ESTADISTICA!H384</f>
        <v>APAGADO</v>
      </c>
      <c r="I385" s="51" t="str">
        <f>ESTADISTICA!I384</f>
        <v>APAGADO</v>
      </c>
      <c r="J385" s="51" t="str">
        <f>ESTADISTICA!J384</f>
        <v>APAGADO</v>
      </c>
      <c r="K385" s="51" t="str">
        <f>ESTADISTICA!K384</f>
        <v>APAGADO</v>
      </c>
      <c r="L385" s="51" t="str">
        <f>ESTADISTICA!L384</f>
        <v>APAGADO</v>
      </c>
      <c r="M385" s="51" t="str">
        <f>ESTADISTICA!M384</f>
        <v>APAGADO</v>
      </c>
      <c r="N385" s="51" t="str">
        <f>ESTADISTICA!N384</f>
        <v>APAGADO</v>
      </c>
      <c r="O385" s="51" t="str">
        <f>ESTADISTICA!O384</f>
        <v>APAGADO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  <c r="AH385" s="51">
        <f>ESTADISTICA!AH384</f>
        <v>0</v>
      </c>
      <c r="AI385" s="51">
        <f>ESTADISTICA!AI384</f>
        <v>0</v>
      </c>
    </row>
    <row r="386" spans="1:35" x14ac:dyDescent="0.3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 t="str">
        <f>ESTADISTICA!H385</f>
        <v>APAGADO</v>
      </c>
      <c r="I386" s="51" t="str">
        <f>ESTADISTICA!I385</f>
        <v>APAGADO</v>
      </c>
      <c r="J386" s="51" t="str">
        <f>ESTADISTICA!J385</f>
        <v>APAGADO</v>
      </c>
      <c r="K386" s="51" t="str">
        <f>ESTADISTICA!K385</f>
        <v>APAGADO</v>
      </c>
      <c r="L386" s="51" t="str">
        <f>ESTADISTICA!L385</f>
        <v>APAGADO</v>
      </c>
      <c r="M386" s="51" t="str">
        <f>ESTADISTICA!M385</f>
        <v>APAGADO</v>
      </c>
      <c r="N386" s="51" t="str">
        <f>ESTADISTICA!N385</f>
        <v>APAGADO</v>
      </c>
      <c r="O386" s="51" t="str">
        <f>ESTADISTICA!O385</f>
        <v>APAGADO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  <c r="AH386" s="51">
        <f>ESTADISTICA!AH385</f>
        <v>0</v>
      </c>
      <c r="AI386" s="51">
        <f>ESTADISTICA!AI385</f>
        <v>0</v>
      </c>
    </row>
    <row r="387" spans="1:35" hidden="1" x14ac:dyDescent="0.3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hidden="1" x14ac:dyDescent="0.3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hidden="1" x14ac:dyDescent="0.3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hidden="1" x14ac:dyDescent="0.3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hidden="1" x14ac:dyDescent="0.3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hidden="1" x14ac:dyDescent="0.3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hidden="1" x14ac:dyDescent="0.3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hidden="1" x14ac:dyDescent="0.3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hidden="1" x14ac:dyDescent="0.3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hidden="1" x14ac:dyDescent="0.3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hidden="1" x14ac:dyDescent="0.3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hidden="1" x14ac:dyDescent="0.3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hidden="1" x14ac:dyDescent="0.3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hidden="1" x14ac:dyDescent="0.3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hidden="1" x14ac:dyDescent="0.3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401" xr:uid="{2CD2C71F-307D-4E12-901F-A6B69A40CA8C}">
    <filterColumn colId="12">
      <filters>
        <filter val="APAGADO"/>
      </filters>
    </filterColumn>
  </autoFilter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2" sqref="P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8" t="s">
        <v>991</v>
      </c>
      <c r="D1" s="49">
        <f>COUNTIFS(E4:E400,"=Fibra Optica")</f>
        <v>261</v>
      </c>
    </row>
    <row r="2" spans="1:35" ht="21" x14ac:dyDescent="0.4">
      <c r="E2" s="26" t="s">
        <v>622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25</v>
      </c>
      <c r="I2" s="26">
        <f>COUNTIFS(I4:I400, "=APAGADO",E4:E400,"=Fibra Optica")</f>
        <v>28</v>
      </c>
      <c r="J2" s="26">
        <f>COUNTIFS(J4:J400, "=APAGADO",E4:E400,"=Fibra Optica")</f>
        <v>25</v>
      </c>
      <c r="K2" s="26">
        <f>COUNTIFS(K4:K400, "=APAGADO",E4:E400,"=Fibra Optica")</f>
        <v>44</v>
      </c>
      <c r="L2" s="26">
        <f>COUNTIFS(L4:L400, "=APAGADO",E4:E400,"=Fibra Optica")</f>
        <v>66</v>
      </c>
      <c r="M2" s="26">
        <f>COUNTIFS(M4:M400, "=APAGADO",E4:E400,"=Fibra Optica")</f>
        <v>43</v>
      </c>
      <c r="N2" s="26">
        <f>COUNTIFS(N4:N400, "=APAGADO",E4:E400,"=Fibra Optica")</f>
        <v>45</v>
      </c>
      <c r="O2" s="26">
        <f>COUNTIFS(O4:O400, "=APAGADO",E4:E400,"=Fibra Optica")</f>
        <v>48</v>
      </c>
      <c r="P2" s="26">
        <f>COUNTIFS(P4:P400, "=APAGADO",E4:E400,"=Fibra Optica")</f>
        <v>33</v>
      </c>
      <c r="Q2" s="26">
        <f>COUNTIFS(Q4:Q400, "=APAGADO",E4:E400,"=Fibra Optica")</f>
        <v>38</v>
      </c>
      <c r="R2" s="26">
        <f>COUNTIFS(R4:R400, "=APAGADO",E4:E400,"=Fibra Optica")</f>
        <v>25</v>
      </c>
      <c r="S2" s="26">
        <f>COUNTIFS(S4:S400, "=APAGADO",E4:E400,"=Fibra Optica")</f>
        <v>26</v>
      </c>
      <c r="T2" s="26">
        <f>COUNTIFS(T4:T400, "=APAGADO",E4:E400,"=Fibra Optica")</f>
        <v>27</v>
      </c>
      <c r="U2" s="26">
        <f>COUNTIFS(U4:U400, "=APAGADO",E4:E400,"=Fibra Optica")</f>
        <v>0</v>
      </c>
      <c r="V2" s="26">
        <f>COUNTIFS(V4:V400, "=APAGADO",E4:E400,"=Fibra Optica")</f>
        <v>0</v>
      </c>
      <c r="W2" s="26">
        <f>COUNTIFS(W4:W400, "=APAGADO",E4:E400,"=Fibra Optica")</f>
        <v>0</v>
      </c>
      <c r="X2" s="26">
        <f>COUNTIFS(X4:X400, "=APAGADO",E4:E400,"=Fibra Optica")</f>
        <v>0</v>
      </c>
      <c r="Y2" s="26">
        <f>COUNTIFS(Y4:Y400, "=APAGADO",E4:E400,"=Fibra Optica")</f>
        <v>0</v>
      </c>
      <c r="Z2" s="26">
        <f>COUNTIFS(Z4:Z400, "=APAGADO",E4:E400,"=Fibra Optica")</f>
        <v>0</v>
      </c>
      <c r="AA2" s="26">
        <f>COUNTIFS(AA4:AA400, "=APAGADO",E4:E400,"=Fibra Optica")</f>
        <v>0</v>
      </c>
      <c r="AB2" s="26">
        <f>COUNTIFS(AB4:AB400, "=APAGADO",E4:E400,"=Fibra Optica")</f>
        <v>0</v>
      </c>
      <c r="AC2" s="26">
        <f>COUNTIFS(AC4:AC400, "=APAGADO",E4:E400,"=Fibra Optica")</f>
        <v>0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15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50" t="s">
        <v>1194</v>
      </c>
      <c r="D1" s="50"/>
    </row>
    <row r="2" spans="1:35" ht="21" x14ac:dyDescent="0.4">
      <c r="E2" s="26" t="s">
        <v>622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3</v>
      </c>
      <c r="I2" s="26">
        <f>COUNTIFS(I4:I400, "=APAGADO",E4:E400,"=PTO A FO")</f>
        <v>3</v>
      </c>
      <c r="J2" s="26">
        <f>COUNTIFS(J4:J400, "=APAGADO",E4:E400,"=PTO A FO")</f>
        <v>2</v>
      </c>
      <c r="K2" s="26">
        <f>COUNTIFS(K4:K400, "=APAGADO",E4:E400,"=PTO A FO")</f>
        <v>3</v>
      </c>
      <c r="L2" s="26">
        <f>COUNTIFS(L4:L400, "=APAGADO",E4:E400,"=PTO A FO")</f>
        <v>2</v>
      </c>
      <c r="M2" s="26">
        <f>COUNTIFS(M4:M400, "=APAGADO",E4:E400,"=PTO A FO")</f>
        <v>2</v>
      </c>
      <c r="N2" s="26">
        <f>COUNTIFS(N4:N400, "=APAGADO",E4:E400,"=PTO A FO")</f>
        <v>2</v>
      </c>
      <c r="O2" s="26">
        <f>COUNTIFS(O4:O500, "=APAGADO",E4:E500,"=PTO A FO")</f>
        <v>10</v>
      </c>
      <c r="P2" s="26">
        <f>COUNTIFS(P4:P400, "=APAGADO",E4:E400,"=PTO A FO")</f>
        <v>1</v>
      </c>
      <c r="Q2" s="26">
        <f>COUNTIFS(Q4:Q400, "=APAGADO",E4:E400,"=PTO A FO")</f>
        <v>2</v>
      </c>
      <c r="R2" s="26">
        <f>COUNTIFS(R4:R400, "=APAGADO",E4:E400,"=PTO A FO")</f>
        <v>0</v>
      </c>
      <c r="S2" s="26">
        <f>COUNTIFS(S4:S400, "=APAGADO",E4:E400,"=PTO A FO")</f>
        <v>1</v>
      </c>
      <c r="T2" s="26">
        <f>COUNTIFS(T4:T400, "=APAGADO",E4:E400,"=PTO A FO")</f>
        <v>3</v>
      </c>
      <c r="U2" s="26">
        <f>COUNTIFS(U4:U400, "=APAGADO",E4:E400,"=PTO A FO")</f>
        <v>0</v>
      </c>
      <c r="V2" s="26">
        <f>COUNTIFS(V4:V400, "=APAGADO",E4:E400,"=PTO A FO")</f>
        <v>0</v>
      </c>
      <c r="W2" s="26">
        <f>COUNTIFS(W4:W400, "=APAGADO",E4:E400,"=PTO A FO")</f>
        <v>0</v>
      </c>
      <c r="X2" s="26">
        <f>COUNTIFS(X4:X400, "=APAGADO",E4:E400,"=PTO A FO")</f>
        <v>0</v>
      </c>
      <c r="Y2" s="26">
        <f>COUNTIFS(Y4:Y400, "=APAGADO",E4:E400,"=PTO A FO")</f>
        <v>0</v>
      </c>
      <c r="Z2" s="26">
        <f>COUNTIFS(Z4:Z400, "=APAGADO",E4:E400,"=PTO A FO")</f>
        <v>0</v>
      </c>
      <c r="AA2" s="26">
        <f>COUNTIFS(AA4:AA400, "=APAGADO",E4:E400,"=PTO A FO")</f>
        <v>0</v>
      </c>
      <c r="AB2" s="26">
        <f>COUNTIFS(AB4:AB400, "=APAGADO",E4:E400,"=PTO A FO")</f>
        <v>0</v>
      </c>
      <c r="AC2" s="26">
        <f>COUNTIFS(AC4:AC400, "=APAGADO",E4:E400,"=PTO A FO")</f>
        <v>0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3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3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3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3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3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3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3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3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3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3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3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3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3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3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3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3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3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3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3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3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3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3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3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3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3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3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3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3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3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3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3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3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3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3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3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3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3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3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3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3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3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3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3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3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3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3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3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3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3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3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3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3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3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3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13">
      <filters>
        <filter val="APAGAD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3" sqref="P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50" t="s">
        <v>992</v>
      </c>
      <c r="D1" s="50">
        <f>COUNTIFS(E4:E400,"=radio")</f>
        <v>94</v>
      </c>
    </row>
    <row r="2" spans="1:35" ht="21" x14ac:dyDescent="0.4">
      <c r="E2" s="26" t="s">
        <v>622</v>
      </c>
      <c r="F2" s="26">
        <f>COUNTIFS(F4:F500, "=APAGADO",E4:E500,"=radio")</f>
        <v>4</v>
      </c>
      <c r="G2" s="26">
        <f>COUNTIFS(G4:G500, "=APAGADO",E4:E500,"=radio")</f>
        <v>4</v>
      </c>
      <c r="H2" s="26">
        <f>COUNTIFS(H4:H500, "=APAGADO",E4:E500,"=radio")</f>
        <v>3</v>
      </c>
      <c r="I2" s="26">
        <f>COUNTIFS(I4:I500, "=APAGADO",E4:E500,"=radio")</f>
        <v>3</v>
      </c>
      <c r="J2" s="26">
        <f>COUNTIFS(J4:J500, "=APAGADO",E4:E500,"=radio")</f>
        <v>3</v>
      </c>
      <c r="K2" s="26">
        <f>COUNTIFS(K4:K500, "=APAGADO",E4:E500,"=radio")</f>
        <v>5</v>
      </c>
      <c r="L2" s="26">
        <f>COUNTIFS(L4:L500, "=APAGADO",E4:E500,"=radio")</f>
        <v>5</v>
      </c>
      <c r="M2" s="26">
        <f>COUNTIFS(M4:M500, "=APAGADO",E4:E500,"=radio")</f>
        <v>5</v>
      </c>
      <c r="N2" s="26">
        <f>COUNTIFS(N4:N500, "=APAGADO",E4:E500,"=radio")</f>
        <v>4</v>
      </c>
      <c r="O2" s="26">
        <f>COUNTIFS(O4:O500, "=APAGADO",E4:E500,"=radio")</f>
        <v>6</v>
      </c>
      <c r="P2" s="26">
        <f>COUNTIFS(P4:P500, "=APAGADO",E4:E500,"=radio")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4</v>
      </c>
      <c r="T2" s="26">
        <f>COUNTIFS(T4:T367, "=APAGADO",E4:E367,"=radio")</f>
        <v>4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abSelected="1" workbookViewId="0">
      <selection activeCell="G27" sqref="G27"/>
    </sheetView>
  </sheetViews>
  <sheetFormatPr baseColWidth="10" defaultRowHeight="14.4" x14ac:dyDescent="0.3"/>
  <cols>
    <col min="5" max="5" width="15.6640625" bestFit="1" customWidth="1"/>
    <col min="7" max="7" width="11.5546875" style="55"/>
  </cols>
  <sheetData>
    <row r="1" spans="1:7" x14ac:dyDescent="0.3">
      <c r="A1" t="s">
        <v>623</v>
      </c>
      <c r="B1" t="s">
        <v>16</v>
      </c>
      <c r="C1" t="s">
        <v>624</v>
      </c>
      <c r="D1" t="s">
        <v>986</v>
      </c>
      <c r="E1" t="s">
        <v>626</v>
      </c>
      <c r="F1" t="s">
        <v>625</v>
      </c>
      <c r="G1" s="55" t="s">
        <v>1003</v>
      </c>
    </row>
    <row r="2" spans="1:7" x14ac:dyDescent="0.3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392</v>
      </c>
      <c r="G2" s="55">
        <f t="shared" ref="G2:G3" si="1">E2/F2</f>
        <v>9.6938775510204078E-2</v>
      </c>
    </row>
    <row r="3" spans="1:7" x14ac:dyDescent="0.3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392</v>
      </c>
      <c r="G3" s="55">
        <f t="shared" si="1"/>
        <v>0.10459183673469388</v>
      </c>
    </row>
    <row r="4" spans="1:7" x14ac:dyDescent="0.3">
      <c r="A4" s="25">
        <f>'APAGADOS RADIO'!H3</f>
        <v>44776</v>
      </c>
      <c r="B4" s="51">
        <f>'APAGADOS RADIO'!H2+D4</f>
        <v>6</v>
      </c>
      <c r="C4" s="51">
        <f>'APAGADOS FIBRA'!H2</f>
        <v>25</v>
      </c>
      <c r="D4" s="51">
        <f>'APAGADOS ANTENA'!H2</f>
        <v>3</v>
      </c>
      <c r="E4" s="51">
        <f t="shared" ref="E4" si="3">B4+C4</f>
        <v>31</v>
      </c>
      <c r="F4" s="51">
        <f>'RESUMEN TOTAL'!B1</f>
        <v>392</v>
      </c>
      <c r="G4" s="55">
        <f t="shared" ref="G4" si="4">E4/F4</f>
        <v>7.9081632653061229E-2</v>
      </c>
    </row>
    <row r="5" spans="1:7" x14ac:dyDescent="0.3">
      <c r="A5" s="25">
        <f>'APAGADOS RADIO'!I3</f>
        <v>44777</v>
      </c>
      <c r="B5" s="51">
        <f>'APAGADOS RADIO'!I2+D5</f>
        <v>6</v>
      </c>
      <c r="C5" s="51">
        <f>'APAGADOS FIBRA'!I2</f>
        <v>28</v>
      </c>
      <c r="D5" s="51">
        <f>'APAGADOS ANTENA'!I2</f>
        <v>3</v>
      </c>
      <c r="E5" s="51">
        <f t="shared" ref="E5:E6" si="5">B5+C5</f>
        <v>34</v>
      </c>
      <c r="F5" s="51">
        <f>'RESUMEN TOTAL'!B1</f>
        <v>392</v>
      </c>
      <c r="G5" s="55">
        <f t="shared" ref="G5:G7" si="6">E5/F5</f>
        <v>8.673469387755102E-2</v>
      </c>
    </row>
    <row r="6" spans="1:7" x14ac:dyDescent="0.3">
      <c r="A6" s="25">
        <f>'APAGADOS RADIO'!J3</f>
        <v>44778</v>
      </c>
      <c r="B6" s="51">
        <f>'APAGADOS RADIO'!J2+D6</f>
        <v>5</v>
      </c>
      <c r="C6" s="51">
        <f>'APAGADOS FIBRA'!J2</f>
        <v>25</v>
      </c>
      <c r="D6" s="51">
        <f>'APAGADOS ANTENA'!J2</f>
        <v>2</v>
      </c>
      <c r="E6" s="51">
        <f t="shared" si="5"/>
        <v>30</v>
      </c>
      <c r="F6" s="51">
        <f>'RESUMEN TOTAL'!B1</f>
        <v>392</v>
      </c>
      <c r="G6" s="55">
        <f t="shared" si="6"/>
        <v>7.6530612244897961E-2</v>
      </c>
    </row>
    <row r="7" spans="1:7" x14ac:dyDescent="0.3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3">
      <c r="A8" s="25">
        <f>'APAGADOS RADIO'!L3</f>
        <v>44780</v>
      </c>
      <c r="B8" s="51">
        <f>'APAGADOS RADIO'!L2+D8</f>
        <v>7</v>
      </c>
      <c r="C8" s="51">
        <f>'APAGADOS FIBRA'!L2</f>
        <v>66</v>
      </c>
      <c r="D8" s="51">
        <f>'APAGADOS ANTENA'!L2</f>
        <v>2</v>
      </c>
      <c r="E8" s="51">
        <f t="shared" ref="E8" si="7">B8+C8</f>
        <v>73</v>
      </c>
      <c r="F8" s="51">
        <f>'RESUMEN TOTAL'!B1</f>
        <v>392</v>
      </c>
      <c r="G8" s="55">
        <f t="shared" ref="G8" si="8">E8/F8</f>
        <v>0.18622448979591838</v>
      </c>
    </row>
    <row r="9" spans="1:7" x14ac:dyDescent="0.3">
      <c r="A9" s="25">
        <f>'APAGADOS RADIO'!M3</f>
        <v>44781</v>
      </c>
      <c r="B9" s="51">
        <f>'APAGADOS RADIO'!M2+D9</f>
        <v>7</v>
      </c>
      <c r="C9" s="51">
        <f>'APAGADOS FIBRA'!M2</f>
        <v>43</v>
      </c>
      <c r="D9" s="51">
        <f>'APAGADOS ANTENA'!M2</f>
        <v>2</v>
      </c>
      <c r="E9" s="51">
        <f t="shared" ref="E9" si="9">B9+C9</f>
        <v>50</v>
      </c>
      <c r="F9" s="51">
        <f>'RESUMEN TOTAL'!B1</f>
        <v>392</v>
      </c>
      <c r="G9" s="55">
        <f t="shared" ref="G9" si="10">E9/F9</f>
        <v>0.12755102040816327</v>
      </c>
    </row>
    <row r="10" spans="1:7" x14ac:dyDescent="0.3">
      <c r="A10" s="25">
        <f>'APAGADOS RADIO'!N3</f>
        <v>44782</v>
      </c>
      <c r="B10" s="51">
        <f>'APAGADOS RADIO'!N2+D10</f>
        <v>6</v>
      </c>
      <c r="C10" s="51">
        <f>'APAGADOS FIBRA'!N2</f>
        <v>45</v>
      </c>
      <c r="D10" s="51">
        <f>'APAGADOS ANTENA'!N2</f>
        <v>2</v>
      </c>
      <c r="E10" s="51">
        <f>B10+C10</f>
        <v>51</v>
      </c>
      <c r="F10" s="51">
        <f>'RESUMEN TOTAL'!B1</f>
        <v>392</v>
      </c>
      <c r="G10" s="55">
        <f t="shared" ref="G10" si="11">E10/F10</f>
        <v>0.13010204081632654</v>
      </c>
    </row>
    <row r="11" spans="1:7" x14ac:dyDescent="0.3">
      <c r="A11" s="25">
        <f>'APAGADOS RADIO'!O3</f>
        <v>44783</v>
      </c>
      <c r="B11" s="51">
        <f>'APAGADOS RADIO'!O2+D11</f>
        <v>16</v>
      </c>
      <c r="C11" s="51">
        <f>'APAGADOS FIBRA'!O2</f>
        <v>48</v>
      </c>
      <c r="D11" s="51">
        <f>'APAGADOS ANTENA'!O2</f>
        <v>10</v>
      </c>
      <c r="E11" s="51">
        <f>B11+C11</f>
        <v>64</v>
      </c>
      <c r="F11" s="51">
        <f>'RESUMEN TOTAL'!B1</f>
        <v>392</v>
      </c>
      <c r="G11" s="55">
        <f t="shared" ref="G11" si="12">E11/F11</f>
        <v>0.16326530612244897</v>
      </c>
    </row>
    <row r="12" spans="1:7" x14ac:dyDescent="0.3">
      <c r="A12" s="25">
        <f>'APAGADOS RADIO'!P3</f>
        <v>44784</v>
      </c>
      <c r="B12" s="51">
        <f>'APAGADOS RADIO'!P2+D12</f>
        <v>5</v>
      </c>
      <c r="C12" s="51">
        <f>'APAGADOS FIBRA'!P2</f>
        <v>33</v>
      </c>
      <c r="D12" s="51">
        <f>'APAGADOS ANTENA'!P2</f>
        <v>1</v>
      </c>
      <c r="E12" s="51">
        <f>B12+C12</f>
        <v>38</v>
      </c>
      <c r="F12" s="51">
        <f>'RESUMEN TOTAL'!B1</f>
        <v>392</v>
      </c>
      <c r="G12" s="55">
        <f t="shared" ref="G12" si="13">E12/F12</f>
        <v>9.6938775510204078E-2</v>
      </c>
    </row>
    <row r="13" spans="1:7" x14ac:dyDescent="0.3">
      <c r="A13" s="25">
        <f>'APAGADOS RADIO'!Q3</f>
        <v>44785</v>
      </c>
      <c r="B13" s="51">
        <f>'APAGADOS RADIO'!Q2+D13</f>
        <v>6</v>
      </c>
      <c r="C13" s="51">
        <f>'APAGADOS FIBRA'!Q2</f>
        <v>38</v>
      </c>
      <c r="D13" s="51">
        <f>'APAGADOS ANTENA'!Q2</f>
        <v>2</v>
      </c>
      <c r="E13" s="51">
        <f>B13+C13</f>
        <v>44</v>
      </c>
      <c r="F13" s="51">
        <f>'RESUMEN TOTAL'!B1</f>
        <v>392</v>
      </c>
      <c r="G13" s="55">
        <f t="shared" ref="G13" si="14">E13/F13</f>
        <v>0.11224489795918367</v>
      </c>
    </row>
    <row r="14" spans="1:7" x14ac:dyDescent="0.3">
      <c r="A14" s="25">
        <f>'APAGADOS RADIO'!R3</f>
        <v>44786</v>
      </c>
      <c r="B14" s="51">
        <f>'APAGADOS RADIO'!R2+D14</f>
        <v>3</v>
      </c>
      <c r="C14" s="51">
        <f>'APAGADOS FIBRA'!R2</f>
        <v>25</v>
      </c>
      <c r="D14" s="51">
        <f>'APAGADOS ANTENA'!R2</f>
        <v>0</v>
      </c>
      <c r="E14" s="51">
        <f t="shared" ref="E14:E16" si="15">B14+C14</f>
        <v>28</v>
      </c>
      <c r="F14" s="51">
        <f>'RESUMEN TOTAL'!B1</f>
        <v>392</v>
      </c>
      <c r="G14" s="55">
        <f t="shared" ref="G14:G16" si="16">E14/F14</f>
        <v>7.1428571428571425E-2</v>
      </c>
    </row>
    <row r="15" spans="1:7" x14ac:dyDescent="0.3">
      <c r="A15" s="25">
        <f>'APAGADOS RADIO'!S3</f>
        <v>44787</v>
      </c>
      <c r="B15" s="51">
        <f>'APAGADOS RADIO'!S2+D15</f>
        <v>5</v>
      </c>
      <c r="C15" s="51">
        <f>'APAGADOS FIBRA'!S2</f>
        <v>26</v>
      </c>
      <c r="D15" s="51">
        <f>'APAGADOS ANTENA'!S2</f>
        <v>1</v>
      </c>
      <c r="E15" s="51">
        <f t="shared" si="15"/>
        <v>31</v>
      </c>
      <c r="F15" s="51">
        <f>'RESUMEN TOTAL'!B1</f>
        <v>392</v>
      </c>
      <c r="G15" s="55">
        <f t="shared" si="16"/>
        <v>7.9081632653061229E-2</v>
      </c>
    </row>
    <row r="16" spans="1:7" x14ac:dyDescent="0.3">
      <c r="A16" s="25">
        <f>'APAGADOS RADIO'!T3</f>
        <v>44788</v>
      </c>
      <c r="B16" s="51">
        <f>'APAGADOS RADIO'!T2+D16</f>
        <v>7</v>
      </c>
      <c r="C16" s="51">
        <f>'APAGADOS FIBRA'!T2</f>
        <v>27</v>
      </c>
      <c r="D16" s="51">
        <f>'APAGADOS ANTENA'!T2</f>
        <v>3</v>
      </c>
      <c r="E16" s="51">
        <f t="shared" si="15"/>
        <v>34</v>
      </c>
      <c r="F16" s="51">
        <f>'RESUMEN TOTAL'!B1</f>
        <v>392</v>
      </c>
      <c r="G16" s="55">
        <f t="shared" si="16"/>
        <v>8.673469387755102E-2</v>
      </c>
    </row>
    <row r="17" spans="1:6" x14ac:dyDescent="0.3">
      <c r="A17" s="25">
        <f>'APAGADOS RADIO'!U3</f>
        <v>44789</v>
      </c>
      <c r="B17" s="51"/>
      <c r="C17" s="51"/>
      <c r="D17" s="51"/>
      <c r="E17" s="51"/>
      <c r="F17" s="51"/>
    </row>
    <row r="18" spans="1:6" x14ac:dyDescent="0.3">
      <c r="A18" s="25">
        <f>'APAGADOS RADIO'!V3</f>
        <v>44790</v>
      </c>
      <c r="B18" s="51"/>
      <c r="C18" s="51"/>
      <c r="D18" s="51"/>
      <c r="E18" s="51"/>
      <c r="F18" s="51"/>
    </row>
    <row r="19" spans="1:6" x14ac:dyDescent="0.3">
      <c r="A19" s="25">
        <f>'APAGADOS RADIO'!W3</f>
        <v>44791</v>
      </c>
      <c r="B19" s="51"/>
      <c r="C19" s="51"/>
      <c r="D19" s="51"/>
      <c r="E19" s="51"/>
      <c r="F19" s="51"/>
    </row>
    <row r="20" spans="1:6" x14ac:dyDescent="0.3">
      <c r="A20" s="25">
        <f>'APAGADOS RADIO'!X3</f>
        <v>44792</v>
      </c>
      <c r="B20" s="51"/>
      <c r="C20" s="51"/>
      <c r="D20" s="51"/>
      <c r="E20" s="51"/>
      <c r="F20" s="51"/>
    </row>
    <row r="21" spans="1:6" x14ac:dyDescent="0.3">
      <c r="A21" s="25">
        <f>'APAGADOS RADIO'!Y3</f>
        <v>44793</v>
      </c>
      <c r="B21" s="51"/>
      <c r="C21" s="51"/>
      <c r="D21" s="51"/>
      <c r="E21" s="51"/>
      <c r="F21" s="51"/>
    </row>
    <row r="22" spans="1:6" x14ac:dyDescent="0.3">
      <c r="A22" s="25">
        <f>'APAGADOS RADIO'!Z3</f>
        <v>44794</v>
      </c>
      <c r="B22" s="51"/>
      <c r="C22" s="51"/>
      <c r="D22" s="51"/>
      <c r="E22" s="51"/>
      <c r="F22" s="51"/>
    </row>
    <row r="23" spans="1:6" x14ac:dyDescent="0.3">
      <c r="A23" s="25">
        <f>'APAGADOS RADIO'!AA3</f>
        <v>44795</v>
      </c>
      <c r="B23" s="51"/>
      <c r="C23" s="51"/>
      <c r="D23" s="51"/>
      <c r="E23" s="51"/>
      <c r="F23" s="51"/>
    </row>
    <row r="24" spans="1:6" x14ac:dyDescent="0.3">
      <c r="A24" s="25">
        <f>'APAGADOS RADIO'!AB3</f>
        <v>44796</v>
      </c>
      <c r="B24" s="51"/>
      <c r="C24" s="51"/>
      <c r="D24" s="51"/>
      <c r="E24" s="51"/>
      <c r="F24" s="51"/>
    </row>
    <row r="25" spans="1:6" x14ac:dyDescent="0.3">
      <c r="A25" s="25">
        <f>'APAGADOS RADIO'!AC3</f>
        <v>44797</v>
      </c>
      <c r="B25" s="51"/>
      <c r="C25" s="51"/>
      <c r="D25" s="51"/>
      <c r="E25" s="51"/>
      <c r="F25" s="51"/>
    </row>
    <row r="26" spans="1:6" x14ac:dyDescent="0.3">
      <c r="A26" s="25">
        <f>'APAGADOS RADIO'!AD3</f>
        <v>44798</v>
      </c>
      <c r="B26" s="51"/>
      <c r="C26" s="51"/>
      <c r="D26" s="51"/>
      <c r="E26" s="51"/>
      <c r="F26" s="51"/>
    </row>
    <row r="27" spans="1:6" x14ac:dyDescent="0.3">
      <c r="A27" s="25">
        <f>'APAGADOS RADIO'!AE3</f>
        <v>44799</v>
      </c>
      <c r="B27" s="51"/>
      <c r="C27" s="51"/>
      <c r="D27" s="51"/>
      <c r="E27" s="51"/>
      <c r="F27" s="51"/>
    </row>
    <row r="28" spans="1:6" x14ac:dyDescent="0.3">
      <c r="A28" s="25">
        <f>'APAGADOS RADIO'!AF3</f>
        <v>44800</v>
      </c>
      <c r="B28" s="51"/>
      <c r="C28" s="51"/>
      <c r="D28" s="51"/>
      <c r="E28" s="51"/>
      <c r="F28" s="51"/>
    </row>
    <row r="29" spans="1:6" x14ac:dyDescent="0.3">
      <c r="A29" s="25">
        <f>'APAGADOS RADIO'!AG3</f>
        <v>44801</v>
      </c>
      <c r="B29" s="51"/>
      <c r="C29" s="51"/>
      <c r="D29" s="51"/>
      <c r="E29" s="51"/>
      <c r="F29" s="51"/>
    </row>
    <row r="30" spans="1:6" x14ac:dyDescent="0.3">
      <c r="A30" s="25">
        <f>'APAGADOS RADIO'!AH3</f>
        <v>44802</v>
      </c>
      <c r="B30" s="51"/>
      <c r="C30" s="51"/>
      <c r="D30" s="51"/>
      <c r="E30" s="51"/>
      <c r="F30" s="51"/>
    </row>
    <row r="31" spans="1:6" x14ac:dyDescent="0.3">
      <c r="A31" s="25">
        <f>'APAGADOS RADIO'!AI3</f>
        <v>44803</v>
      </c>
      <c r="B31" s="51"/>
      <c r="C31" s="51"/>
      <c r="D31" s="51"/>
      <c r="E31" s="51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5"/>
    </row>
    <row r="36" spans="1:30" s="30" customFormat="1" x14ac:dyDescent="0.3">
      <c r="A36" s="20"/>
      <c r="B36" s="20"/>
      <c r="C36" s="20"/>
      <c r="D36" s="20"/>
      <c r="E36" s="20"/>
      <c r="F36" s="20"/>
      <c r="G36" s="55"/>
    </row>
    <row r="37" spans="1:30" s="20" customFormat="1" x14ac:dyDescent="0.3">
      <c r="A37"/>
      <c r="B37"/>
      <c r="C37"/>
      <c r="D37"/>
      <c r="E37"/>
      <c r="F37"/>
      <c r="G37" s="55"/>
    </row>
    <row r="39" spans="1:30" x14ac:dyDescent="0.3">
      <c r="A39" s="51"/>
      <c r="B39" s="51"/>
    </row>
    <row r="40" spans="1:30" x14ac:dyDescent="0.3">
      <c r="A40" s="51"/>
      <c r="B40" s="51"/>
      <c r="D40" s="25"/>
      <c r="E40" s="55"/>
    </row>
    <row r="41" spans="1:30" x14ac:dyDescent="0.3">
      <c r="A41" s="51"/>
      <c r="B41" s="51"/>
      <c r="D41" s="25"/>
      <c r="E41" s="55"/>
    </row>
    <row r="42" spans="1:30" x14ac:dyDescent="0.3">
      <c r="A42" s="51"/>
      <c r="B42" s="51"/>
      <c r="D42" s="25"/>
      <c r="E42" s="55"/>
    </row>
    <row r="43" spans="1:30" x14ac:dyDescent="0.3">
      <c r="A43" s="51"/>
      <c r="B43" s="51"/>
      <c r="D43" s="25"/>
      <c r="E43" s="55"/>
    </row>
    <row r="44" spans="1:30" x14ac:dyDescent="0.3">
      <c r="A44" s="51"/>
      <c r="B44" s="51"/>
      <c r="D44" s="25"/>
      <c r="E44" s="55"/>
    </row>
    <row r="45" spans="1:30" x14ac:dyDescent="0.3">
      <c r="A45" s="51"/>
      <c r="B45" s="51"/>
      <c r="D45" s="25"/>
      <c r="E45" s="55"/>
    </row>
    <row r="46" spans="1:30" x14ac:dyDescent="0.3">
      <c r="A46" s="51"/>
      <c r="B46" s="51"/>
      <c r="D46" s="25"/>
      <c r="E46" s="55"/>
    </row>
    <row r="47" spans="1:30" x14ac:dyDescent="0.3">
      <c r="A47" s="51"/>
      <c r="B47" s="51"/>
      <c r="D47" s="25"/>
      <c r="E47" s="55"/>
    </row>
    <row r="48" spans="1:30" x14ac:dyDescent="0.3">
      <c r="A48" s="51"/>
      <c r="B48" s="51"/>
      <c r="D48" s="25"/>
      <c r="E48" s="55"/>
    </row>
    <row r="49" spans="1:5" x14ac:dyDescent="0.3">
      <c r="A49" s="51"/>
      <c r="B49" s="51"/>
      <c r="D49" s="25"/>
      <c r="E49" s="55"/>
    </row>
    <row r="50" spans="1:5" x14ac:dyDescent="0.3">
      <c r="A50" s="51"/>
      <c r="B50" s="51"/>
      <c r="D50" s="25"/>
      <c r="E50" s="55"/>
    </row>
    <row r="51" spans="1:5" x14ac:dyDescent="0.3">
      <c r="A51" s="51"/>
      <c r="B51" s="51"/>
      <c r="D51" s="25"/>
      <c r="E51" s="55"/>
    </row>
    <row r="52" spans="1:5" x14ac:dyDescent="0.3">
      <c r="A52" s="51"/>
      <c r="B52" s="51"/>
      <c r="D52" s="25"/>
      <c r="E52" s="55"/>
    </row>
    <row r="53" spans="1:5" x14ac:dyDescent="0.3">
      <c r="A53" s="51"/>
      <c r="B53" s="51"/>
      <c r="D53" s="25"/>
      <c r="E53" s="55"/>
    </row>
    <row r="54" spans="1:5" x14ac:dyDescent="0.3">
      <c r="A54" s="51"/>
      <c r="B54" s="51"/>
      <c r="D54" s="25"/>
      <c r="E54" s="55"/>
    </row>
    <row r="55" spans="1:5" x14ac:dyDescent="0.3">
      <c r="A55" s="51"/>
      <c r="B55" s="51"/>
      <c r="D55" s="25"/>
      <c r="E55" s="55"/>
    </row>
    <row r="56" spans="1:5" x14ac:dyDescent="0.3">
      <c r="A56" s="51"/>
      <c r="B56" s="51"/>
      <c r="D56" s="25"/>
      <c r="E56" s="55"/>
    </row>
    <row r="57" spans="1:5" x14ac:dyDescent="0.3">
      <c r="A57" s="51"/>
      <c r="B57" s="51"/>
      <c r="D57" s="25"/>
      <c r="E57" s="55"/>
    </row>
    <row r="58" spans="1:5" x14ac:dyDescent="0.3">
      <c r="A58" s="51"/>
      <c r="B58" s="51"/>
      <c r="D58" s="25"/>
      <c r="E58" s="55"/>
    </row>
    <row r="59" spans="1:5" x14ac:dyDescent="0.3">
      <c r="A59" s="51"/>
      <c r="B59" s="51"/>
      <c r="D59" s="25"/>
      <c r="E59" s="55"/>
    </row>
    <row r="60" spans="1:5" x14ac:dyDescent="0.3">
      <c r="A60" s="51"/>
      <c r="B60" s="51"/>
      <c r="D60" s="25"/>
    </row>
    <row r="61" spans="1:5" x14ac:dyDescent="0.3">
      <c r="A61" s="51"/>
      <c r="B61" s="51"/>
      <c r="D61" s="25"/>
    </row>
    <row r="62" spans="1:5" x14ac:dyDescent="0.3">
      <c r="A62" s="51"/>
      <c r="B62" s="51"/>
      <c r="D62" s="25"/>
    </row>
    <row r="63" spans="1:5" x14ac:dyDescent="0.3">
      <c r="A63" s="51"/>
      <c r="B63" s="51"/>
      <c r="D63" s="25"/>
    </row>
    <row r="64" spans="1:5" x14ac:dyDescent="0.3">
      <c r="A64" s="51"/>
      <c r="B64" s="51"/>
      <c r="D64" s="25"/>
    </row>
    <row r="65" spans="1:4" x14ac:dyDescent="0.3">
      <c r="A65" s="51"/>
      <c r="B65" s="51"/>
      <c r="D65" s="25"/>
    </row>
    <row r="66" spans="1:4" x14ac:dyDescent="0.3">
      <c r="A66" s="51"/>
      <c r="B66" s="51"/>
      <c r="D66" s="25"/>
    </row>
    <row r="67" spans="1:4" x14ac:dyDescent="0.3">
      <c r="A67" s="51"/>
      <c r="B67" s="51"/>
      <c r="D67" s="25"/>
    </row>
    <row r="68" spans="1:4" x14ac:dyDescent="0.3">
      <c r="A68" s="51"/>
      <c r="B68" s="51"/>
      <c r="D68" s="25"/>
    </row>
    <row r="69" spans="1:4" x14ac:dyDescent="0.3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workbookViewId="0">
      <selection activeCell="A12" sqref="A12:E16"/>
    </sheetView>
  </sheetViews>
  <sheetFormatPr baseColWidth="10" defaultRowHeight="14.4" x14ac:dyDescent="0.3"/>
  <cols>
    <col min="1" max="1" width="20.33203125" bestFit="1" customWidth="1"/>
    <col min="2" max="2" width="11.5546875" style="68"/>
    <col min="3" max="3" width="11.5546875" style="11"/>
    <col min="4" max="4" width="11.5546875" style="61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1007</v>
      </c>
      <c r="D1" s="61" t="s">
        <v>1008</v>
      </c>
    </row>
    <row r="2" spans="1:13" ht="15.6" thickTop="1" thickBot="1" x14ac:dyDescent="0.35">
      <c r="A2" s="58" t="s">
        <v>1004</v>
      </c>
      <c r="B2" s="69">
        <v>392</v>
      </c>
      <c r="C2" s="65"/>
      <c r="D2" s="62"/>
      <c r="E2" s="135">
        <v>44782</v>
      </c>
    </row>
    <row r="3" spans="1:13" ht="15" customHeight="1" thickTop="1" x14ac:dyDescent="0.3">
      <c r="A3" s="59" t="s">
        <v>6</v>
      </c>
      <c r="B3" s="70">
        <v>51</v>
      </c>
      <c r="C3" s="66">
        <v>51</v>
      </c>
      <c r="D3" s="63">
        <f>C3/B2</f>
        <v>0.13010204081632654</v>
      </c>
      <c r="E3" s="136"/>
      <c r="G3" s="85" t="s">
        <v>23</v>
      </c>
      <c r="H3" s="86" t="s">
        <v>621</v>
      </c>
      <c r="I3" s="86" t="s">
        <v>15</v>
      </c>
      <c r="J3" s="86" t="s">
        <v>629</v>
      </c>
      <c r="K3" s="87" t="s">
        <v>788</v>
      </c>
      <c r="L3" s="88" t="s">
        <v>1011</v>
      </c>
      <c r="M3" s="132">
        <v>44753</v>
      </c>
    </row>
    <row r="4" spans="1:13" x14ac:dyDescent="0.3">
      <c r="A4" s="59" t="s">
        <v>1006</v>
      </c>
      <c r="B4" s="70">
        <v>2</v>
      </c>
      <c r="C4" s="66">
        <f>B3-B4</f>
        <v>49</v>
      </c>
      <c r="D4" s="63">
        <f>C4/B2</f>
        <v>0.125</v>
      </c>
      <c r="E4" s="136"/>
      <c r="G4" s="89" t="s">
        <v>320</v>
      </c>
      <c r="H4" s="90" t="s">
        <v>321</v>
      </c>
      <c r="I4" s="90" t="s">
        <v>19</v>
      </c>
      <c r="J4" s="90" t="s">
        <v>629</v>
      </c>
      <c r="K4" s="91" t="s">
        <v>801</v>
      </c>
      <c r="L4" s="92" t="s">
        <v>1011</v>
      </c>
      <c r="M4" s="133"/>
    </row>
    <row r="5" spans="1:13" x14ac:dyDescent="0.3">
      <c r="A5" s="59" t="s">
        <v>1005</v>
      </c>
      <c r="B5" s="70">
        <v>2</v>
      </c>
      <c r="C5" s="66">
        <f>C4-B5</f>
        <v>47</v>
      </c>
      <c r="D5" s="63">
        <f>C5/B2</f>
        <v>0.11989795918367346</v>
      </c>
      <c r="E5" s="136"/>
      <c r="G5" s="89" t="s">
        <v>522</v>
      </c>
      <c r="H5" s="90" t="s">
        <v>523</v>
      </c>
      <c r="I5" s="90" t="s">
        <v>15</v>
      </c>
      <c r="J5" s="90" t="s">
        <v>629</v>
      </c>
      <c r="K5" s="91" t="s">
        <v>936</v>
      </c>
      <c r="L5" s="92" t="s">
        <v>1012</v>
      </c>
      <c r="M5" s="133"/>
    </row>
    <row r="6" spans="1:13" ht="15" thickBot="1" x14ac:dyDescent="0.35">
      <c r="A6" s="60" t="s">
        <v>16</v>
      </c>
      <c r="B6" s="71">
        <v>4</v>
      </c>
      <c r="C6" s="67">
        <f>C5-B6</f>
        <v>43</v>
      </c>
      <c r="D6" s="64">
        <f>C6/B2</f>
        <v>0.10969387755102041</v>
      </c>
      <c r="E6" s="137"/>
      <c r="G6" s="89" t="s">
        <v>362</v>
      </c>
      <c r="H6" s="90" t="s">
        <v>363</v>
      </c>
      <c r="I6" s="90" t="s">
        <v>15</v>
      </c>
      <c r="J6" s="90" t="s">
        <v>629</v>
      </c>
      <c r="K6" s="91" t="s">
        <v>825</v>
      </c>
      <c r="L6" s="92" t="s">
        <v>1009</v>
      </c>
      <c r="M6" s="133"/>
    </row>
    <row r="7" spans="1:13" ht="15" customHeight="1" thickTop="1" x14ac:dyDescent="0.3">
      <c r="A7" s="58" t="s">
        <v>1004</v>
      </c>
      <c r="B7" s="69">
        <v>392</v>
      </c>
      <c r="C7" s="65"/>
      <c r="D7" s="62"/>
      <c r="E7" s="135">
        <v>44783</v>
      </c>
      <c r="G7" s="89" t="s">
        <v>368</v>
      </c>
      <c r="H7" s="90" t="s">
        <v>369</v>
      </c>
      <c r="I7" s="90" t="s">
        <v>15</v>
      </c>
      <c r="J7" s="90" t="s">
        <v>28</v>
      </c>
      <c r="K7" s="91" t="s">
        <v>828</v>
      </c>
      <c r="L7" s="92" t="s">
        <v>1009</v>
      </c>
      <c r="M7" s="133"/>
    </row>
    <row r="8" spans="1:13" ht="15" thickBot="1" x14ac:dyDescent="0.35">
      <c r="A8" s="59" t="s">
        <v>6</v>
      </c>
      <c r="B8" s="70">
        <v>64</v>
      </c>
      <c r="C8" s="66">
        <v>64</v>
      </c>
      <c r="D8" s="63">
        <f>C8/B7</f>
        <v>0.16326530612244897</v>
      </c>
      <c r="E8" s="136"/>
      <c r="G8" s="93" t="s">
        <v>370</v>
      </c>
      <c r="H8" s="94" t="s">
        <v>369</v>
      </c>
      <c r="I8" s="94" t="s">
        <v>73</v>
      </c>
      <c r="J8" s="94" t="s">
        <v>28</v>
      </c>
      <c r="K8" s="95" t="s">
        <v>827</v>
      </c>
      <c r="L8" s="96" t="s">
        <v>1009</v>
      </c>
      <c r="M8" s="138"/>
    </row>
    <row r="9" spans="1:13" ht="15.6" thickTop="1" thickBot="1" x14ac:dyDescent="0.35">
      <c r="A9" s="59" t="s">
        <v>1006</v>
      </c>
      <c r="B9" s="70">
        <v>2</v>
      </c>
      <c r="C9" s="66">
        <f>B8-B9</f>
        <v>62</v>
      </c>
      <c r="D9" s="63">
        <f>C9/B7</f>
        <v>0.15816326530612246</v>
      </c>
      <c r="E9" s="136"/>
      <c r="G9" s="97"/>
      <c r="H9" s="77"/>
      <c r="I9" s="77"/>
      <c r="J9" s="77"/>
      <c r="K9" s="78"/>
      <c r="L9" s="77"/>
      <c r="M9" s="98"/>
    </row>
    <row r="10" spans="1:13" ht="15" thickTop="1" x14ac:dyDescent="0.3">
      <c r="A10" s="59" t="s">
        <v>1005</v>
      </c>
      <c r="B10" s="70">
        <v>2</v>
      </c>
      <c r="C10" s="66">
        <f>C9-B10</f>
        <v>60</v>
      </c>
      <c r="D10" s="63">
        <f>C10/B7</f>
        <v>0.15306122448979592</v>
      </c>
      <c r="E10" s="136"/>
      <c r="G10" s="72" t="s">
        <v>634</v>
      </c>
      <c r="H10" s="73" t="s">
        <v>27</v>
      </c>
      <c r="I10" s="73" t="s">
        <v>19</v>
      </c>
      <c r="J10" s="73" t="s">
        <v>629</v>
      </c>
      <c r="K10" s="74" t="s">
        <v>635</v>
      </c>
      <c r="L10" s="75" t="s">
        <v>1011</v>
      </c>
      <c r="M10" s="132">
        <v>44755</v>
      </c>
    </row>
    <row r="11" spans="1:13" ht="15" thickBot="1" x14ac:dyDescent="0.35">
      <c r="A11" s="60" t="s">
        <v>16</v>
      </c>
      <c r="B11" s="71">
        <v>6</v>
      </c>
      <c r="C11" s="67">
        <f>C10-B11</f>
        <v>54</v>
      </c>
      <c r="D11" s="64">
        <f>C11/B7</f>
        <v>0.13775510204081631</v>
      </c>
      <c r="E11" s="137"/>
      <c r="G11" s="76" t="s">
        <v>205</v>
      </c>
      <c r="H11" s="77" t="s">
        <v>206</v>
      </c>
      <c r="I11" s="77" t="s">
        <v>19</v>
      </c>
      <c r="J11" s="77" t="s">
        <v>28</v>
      </c>
      <c r="K11" s="78" t="s">
        <v>734</v>
      </c>
      <c r="L11" s="79" t="s">
        <v>1013</v>
      </c>
      <c r="M11" s="133"/>
    </row>
    <row r="12" spans="1:13" ht="15" thickTop="1" x14ac:dyDescent="0.3">
      <c r="A12" s="58" t="s">
        <v>1004</v>
      </c>
      <c r="B12" s="69">
        <v>392</v>
      </c>
      <c r="C12" s="65"/>
      <c r="D12" s="62"/>
      <c r="E12" s="135">
        <v>44784</v>
      </c>
      <c r="G12" s="76" t="s">
        <v>266</v>
      </c>
      <c r="H12" s="77" t="s">
        <v>267</v>
      </c>
      <c r="I12" s="77" t="s">
        <v>46</v>
      </c>
      <c r="J12" s="77" t="s">
        <v>28</v>
      </c>
      <c r="K12" s="78" t="s">
        <v>770</v>
      </c>
      <c r="L12" s="79" t="s">
        <v>1013</v>
      </c>
      <c r="M12" s="133"/>
    </row>
    <row r="13" spans="1:13" x14ac:dyDescent="0.3">
      <c r="A13" s="59" t="s">
        <v>6</v>
      </c>
      <c r="B13" s="70">
        <v>38</v>
      </c>
      <c r="C13" s="66">
        <v>38</v>
      </c>
      <c r="D13" s="63">
        <f>C13/B12</f>
        <v>9.6938775510204078E-2</v>
      </c>
      <c r="E13" s="136"/>
      <c r="G13" s="76" t="s">
        <v>560</v>
      </c>
      <c r="H13" s="77" t="s">
        <v>561</v>
      </c>
      <c r="I13" s="77" t="s">
        <v>19</v>
      </c>
      <c r="J13" s="77" t="s">
        <v>28</v>
      </c>
      <c r="K13" s="78" t="s">
        <v>950</v>
      </c>
      <c r="L13" s="79" t="s">
        <v>1014</v>
      </c>
      <c r="M13" s="133"/>
    </row>
    <row r="14" spans="1:13" x14ac:dyDescent="0.3">
      <c r="A14" s="59" t="s">
        <v>1006</v>
      </c>
      <c r="B14" s="70">
        <v>2</v>
      </c>
      <c r="C14" s="66">
        <f>B13-B14</f>
        <v>36</v>
      </c>
      <c r="D14" s="63">
        <f>C14/B12</f>
        <v>9.1836734693877556E-2</v>
      </c>
      <c r="E14" s="136"/>
      <c r="G14" s="76" t="s">
        <v>362</v>
      </c>
      <c r="H14" s="77" t="s">
        <v>363</v>
      </c>
      <c r="I14" s="77" t="s">
        <v>15</v>
      </c>
      <c r="J14" s="77" t="s">
        <v>629</v>
      </c>
      <c r="K14" s="78" t="s">
        <v>825</v>
      </c>
      <c r="L14" s="79" t="s">
        <v>1009</v>
      </c>
      <c r="M14" s="133"/>
    </row>
    <row r="15" spans="1:13" ht="15" customHeight="1" thickBot="1" x14ac:dyDescent="0.35">
      <c r="A15" s="59" t="s">
        <v>1005</v>
      </c>
      <c r="B15" s="70">
        <v>2</v>
      </c>
      <c r="C15" s="66">
        <f>C14-B15</f>
        <v>34</v>
      </c>
      <c r="D15" s="63">
        <f>C15/B12</f>
        <v>8.673469387755102E-2</v>
      </c>
      <c r="E15" s="136"/>
      <c r="G15" s="80" t="s">
        <v>370</v>
      </c>
      <c r="H15" s="81" t="s">
        <v>369</v>
      </c>
      <c r="I15" s="81" t="s">
        <v>73</v>
      </c>
      <c r="J15" s="81" t="s">
        <v>28</v>
      </c>
      <c r="K15" s="81" t="s">
        <v>827</v>
      </c>
      <c r="L15" s="82" t="s">
        <v>1009</v>
      </c>
      <c r="M15" s="134"/>
    </row>
    <row r="16" spans="1:13" ht="15.6" thickTop="1" thickBot="1" x14ac:dyDescent="0.35">
      <c r="A16" s="60" t="s">
        <v>16</v>
      </c>
      <c r="B16" s="71">
        <v>4</v>
      </c>
      <c r="C16" s="67">
        <f>C15-B16</f>
        <v>30</v>
      </c>
      <c r="D16" s="64">
        <f>C16/B12</f>
        <v>7.6530612244897961E-2</v>
      </c>
      <c r="E16" s="137"/>
      <c r="G16" s="103" t="s">
        <v>634</v>
      </c>
      <c r="H16" s="104" t="s">
        <v>27</v>
      </c>
      <c r="I16" s="104" t="s">
        <v>19</v>
      </c>
      <c r="J16" s="104" t="s">
        <v>629</v>
      </c>
      <c r="K16" s="105" t="s">
        <v>635</v>
      </c>
      <c r="L16" s="106" t="s">
        <v>1195</v>
      </c>
      <c r="M16" s="132">
        <v>44763</v>
      </c>
    </row>
    <row r="17" spans="1:13" ht="15" thickTop="1" x14ac:dyDescent="0.3">
      <c r="A17" s="58"/>
      <c r="B17" s="69"/>
      <c r="C17" s="65"/>
      <c r="D17" s="62"/>
      <c r="E17" s="135"/>
      <c r="G17" s="107" t="s">
        <v>205</v>
      </c>
      <c r="H17" s="77" t="s">
        <v>206</v>
      </c>
      <c r="I17" s="77" t="s">
        <v>19</v>
      </c>
      <c r="J17" s="77" t="s">
        <v>28</v>
      </c>
      <c r="K17" s="78" t="s">
        <v>734</v>
      </c>
      <c r="L17" s="108" t="s">
        <v>1013</v>
      </c>
      <c r="M17" s="133"/>
    </row>
    <row r="18" spans="1:13" x14ac:dyDescent="0.3">
      <c r="A18" s="59"/>
      <c r="B18" s="70"/>
      <c r="C18" s="66"/>
      <c r="D18" s="63"/>
      <c r="E18" s="136"/>
      <c r="G18" s="107" t="s">
        <v>592</v>
      </c>
      <c r="H18" s="77" t="s">
        <v>593</v>
      </c>
      <c r="I18" s="77" t="s">
        <v>15</v>
      </c>
      <c r="J18" s="77" t="s">
        <v>28</v>
      </c>
      <c r="K18" s="78" t="s">
        <v>968</v>
      </c>
      <c r="L18" s="108" t="s">
        <v>1196</v>
      </c>
      <c r="M18" s="133"/>
    </row>
    <row r="19" spans="1:13" x14ac:dyDescent="0.3">
      <c r="A19" s="59"/>
      <c r="B19" s="70"/>
      <c r="C19" s="66"/>
      <c r="D19" s="63"/>
      <c r="E19" s="136"/>
      <c r="G19" s="107" t="s">
        <v>370</v>
      </c>
      <c r="H19" s="77" t="s">
        <v>369</v>
      </c>
      <c r="I19" s="77" t="s">
        <v>73</v>
      </c>
      <c r="J19" s="77" t="s">
        <v>28</v>
      </c>
      <c r="K19" s="78" t="s">
        <v>827</v>
      </c>
      <c r="L19" s="108" t="s">
        <v>1009</v>
      </c>
      <c r="M19" s="133"/>
    </row>
    <row r="20" spans="1:13" x14ac:dyDescent="0.3">
      <c r="A20" s="59"/>
      <c r="B20" s="70"/>
      <c r="C20" s="66"/>
      <c r="D20" s="63"/>
      <c r="E20" s="136"/>
      <c r="G20" s="107"/>
      <c r="H20" s="77"/>
      <c r="I20" s="77"/>
      <c r="J20" s="77"/>
      <c r="K20" s="78"/>
      <c r="L20" s="109"/>
      <c r="M20" s="133"/>
    </row>
    <row r="21" spans="1:13" ht="15" thickBot="1" x14ac:dyDescent="0.35">
      <c r="A21" s="60"/>
      <c r="B21" s="71"/>
      <c r="C21" s="67"/>
      <c r="D21" s="64"/>
      <c r="E21" s="137"/>
      <c r="G21" s="80"/>
      <c r="H21" s="81"/>
      <c r="I21" s="81"/>
      <c r="J21" s="81"/>
      <c r="K21" s="81"/>
      <c r="L21" s="82"/>
      <c r="M21" s="134"/>
    </row>
    <row r="22" spans="1:13" ht="15" thickTop="1" x14ac:dyDescent="0.3">
      <c r="A22" s="58"/>
      <c r="B22" s="69"/>
      <c r="C22" s="65"/>
      <c r="D22" s="62"/>
      <c r="E22" s="135"/>
    </row>
    <row r="23" spans="1:13" ht="15" thickBot="1" x14ac:dyDescent="0.35">
      <c r="A23" s="59"/>
      <c r="B23" s="70"/>
      <c r="C23" s="66"/>
      <c r="D23" s="63"/>
      <c r="E23" s="136"/>
    </row>
    <row r="24" spans="1:13" ht="15" thickTop="1" x14ac:dyDescent="0.3">
      <c r="A24" s="59"/>
      <c r="B24" s="70"/>
      <c r="C24" s="66"/>
      <c r="D24" s="63"/>
      <c r="E24" s="136"/>
      <c r="G24" s="72"/>
      <c r="H24" s="73"/>
      <c r="I24" s="73"/>
      <c r="J24" s="73"/>
      <c r="K24" s="74"/>
      <c r="L24" s="75"/>
      <c r="M24" s="132"/>
    </row>
    <row r="25" spans="1:13" x14ac:dyDescent="0.3">
      <c r="A25" s="59"/>
      <c r="B25" s="70"/>
      <c r="C25" s="66"/>
      <c r="D25" s="63"/>
      <c r="E25" s="136"/>
      <c r="G25" s="76"/>
      <c r="H25" s="77"/>
      <c r="I25" s="77"/>
      <c r="J25" s="77"/>
      <c r="K25" s="78"/>
      <c r="L25" s="79"/>
      <c r="M25" s="133"/>
    </row>
    <row r="26" spans="1:13" ht="15" thickBot="1" x14ac:dyDescent="0.35">
      <c r="A26" s="60"/>
      <c r="B26" s="71"/>
      <c r="C26" s="67"/>
      <c r="D26" s="64"/>
      <c r="E26" s="137"/>
      <c r="G26" s="76"/>
      <c r="H26" s="77"/>
      <c r="I26" s="77"/>
      <c r="J26" s="77"/>
      <c r="K26" s="78"/>
      <c r="L26" s="79"/>
      <c r="M26" s="133"/>
    </row>
    <row r="27" spans="1:13" ht="15" thickTop="1" x14ac:dyDescent="0.3">
      <c r="A27" s="58"/>
      <c r="B27" s="69"/>
      <c r="C27" s="65"/>
      <c r="D27" s="62"/>
      <c r="E27" s="135"/>
      <c r="G27" s="76"/>
      <c r="H27" s="77"/>
      <c r="I27" s="77"/>
      <c r="J27" s="77"/>
      <c r="K27" s="78"/>
      <c r="L27" s="79"/>
      <c r="M27" s="133"/>
    </row>
    <row r="28" spans="1:13" x14ac:dyDescent="0.3">
      <c r="A28" s="59"/>
      <c r="B28" s="70"/>
      <c r="C28" s="66"/>
      <c r="D28" s="63"/>
      <c r="E28" s="136"/>
      <c r="G28" s="76"/>
      <c r="H28" s="77"/>
      <c r="I28" s="77"/>
      <c r="J28" s="77"/>
      <c r="K28" s="78"/>
      <c r="L28" s="79"/>
      <c r="M28" s="133"/>
    </row>
    <row r="29" spans="1:13" ht="15" thickBot="1" x14ac:dyDescent="0.35">
      <c r="A29" s="59"/>
      <c r="B29" s="70"/>
      <c r="C29" s="66"/>
      <c r="D29" s="63"/>
      <c r="E29" s="136"/>
      <c r="G29" s="80"/>
      <c r="H29" s="81"/>
      <c r="I29" s="81"/>
      <c r="J29" s="81"/>
      <c r="K29" s="81"/>
      <c r="L29" s="82"/>
      <c r="M29" s="134"/>
    </row>
    <row r="30" spans="1:13" ht="15" thickTop="1" x14ac:dyDescent="0.3">
      <c r="A30" s="59"/>
      <c r="B30" s="70"/>
      <c r="C30" s="66"/>
      <c r="D30" s="63"/>
      <c r="E30" s="136"/>
    </row>
    <row r="31" spans="1:13" ht="15" thickBot="1" x14ac:dyDescent="0.35">
      <c r="A31" s="60"/>
      <c r="B31" s="71"/>
      <c r="C31" s="67"/>
      <c r="D31" s="64"/>
      <c r="E31" s="137"/>
    </row>
    <row r="32" spans="1:13" ht="15" thickTop="1" x14ac:dyDescent="0.3">
      <c r="A32" s="58"/>
      <c r="B32" s="69"/>
      <c r="C32" s="65"/>
      <c r="D32" s="62"/>
      <c r="E32" s="135"/>
      <c r="G32" s="52"/>
      <c r="H32" s="51"/>
      <c r="I32" s="51"/>
      <c r="J32" s="51"/>
      <c r="K32" s="16"/>
      <c r="L32" s="83"/>
    </row>
    <row r="33" spans="1:13" x14ac:dyDescent="0.3">
      <c r="A33" s="59"/>
      <c r="B33" s="70"/>
      <c r="C33" s="66"/>
      <c r="D33" s="63"/>
      <c r="E33" s="136"/>
      <c r="G33" s="52"/>
      <c r="H33" s="51"/>
      <c r="I33" s="51"/>
      <c r="J33" s="51"/>
      <c r="K33" s="16"/>
      <c r="L33" s="83"/>
    </row>
    <row r="34" spans="1:13" x14ac:dyDescent="0.3">
      <c r="A34" s="59"/>
      <c r="B34" s="70"/>
      <c r="C34" s="66"/>
      <c r="D34" s="63"/>
      <c r="E34" s="136"/>
      <c r="G34" s="52"/>
      <c r="H34" s="51"/>
      <c r="I34" s="51"/>
      <c r="J34" s="51"/>
      <c r="K34" s="16"/>
      <c r="L34" s="83"/>
    </row>
    <row r="35" spans="1:13" x14ac:dyDescent="0.3">
      <c r="A35" s="59"/>
      <c r="B35" s="70"/>
      <c r="C35" s="66"/>
      <c r="D35" s="63"/>
      <c r="E35" s="136"/>
      <c r="G35" s="52"/>
      <c r="H35" s="51"/>
      <c r="I35" s="51"/>
      <c r="J35" s="51"/>
      <c r="K35" s="16"/>
      <c r="L35" s="83"/>
    </row>
    <row r="36" spans="1:13" ht="15" thickBot="1" x14ac:dyDescent="0.35">
      <c r="A36" s="60"/>
      <c r="B36" s="71"/>
      <c r="C36" s="67"/>
      <c r="D36" s="64"/>
      <c r="E36" s="137"/>
      <c r="G36" s="52"/>
      <c r="H36" s="51"/>
      <c r="I36" s="51"/>
      <c r="J36" s="51"/>
      <c r="K36" s="16"/>
      <c r="L36" s="83"/>
    </row>
    <row r="37" spans="1:13" ht="15" thickTop="1" x14ac:dyDescent="0.3">
      <c r="A37" s="58"/>
      <c r="B37" s="69"/>
      <c r="C37" s="65"/>
      <c r="D37" s="62"/>
      <c r="E37" s="135"/>
      <c r="G37" s="52"/>
      <c r="H37" s="51"/>
      <c r="I37" s="51"/>
      <c r="J37" s="51"/>
      <c r="K37" s="16"/>
      <c r="L37" s="83"/>
    </row>
    <row r="38" spans="1:13" x14ac:dyDescent="0.3">
      <c r="A38" s="59"/>
      <c r="B38" s="70"/>
      <c r="C38" s="66"/>
      <c r="D38" s="63"/>
      <c r="E38" s="136"/>
      <c r="G38" s="52"/>
      <c r="H38" s="51"/>
      <c r="I38" s="51"/>
      <c r="J38" s="51"/>
      <c r="K38" s="16"/>
      <c r="L38" s="84"/>
    </row>
    <row r="39" spans="1:13" ht="15" thickBot="1" x14ac:dyDescent="0.35">
      <c r="A39" s="59"/>
      <c r="B39" s="70"/>
      <c r="C39" s="66"/>
      <c r="D39" s="63"/>
      <c r="E39" s="136"/>
    </row>
    <row r="40" spans="1:13" ht="15" thickTop="1" x14ac:dyDescent="0.3">
      <c r="A40" s="59"/>
      <c r="B40" s="70"/>
      <c r="C40" s="66"/>
      <c r="D40" s="63"/>
      <c r="E40" s="136"/>
      <c r="G40" s="72"/>
      <c r="H40" s="73"/>
      <c r="I40" s="73"/>
      <c r="J40" s="73"/>
      <c r="K40" s="74"/>
      <c r="L40" s="75"/>
      <c r="M40" s="132"/>
    </row>
    <row r="41" spans="1:13" ht="15" thickBot="1" x14ac:dyDescent="0.35">
      <c r="A41" s="60"/>
      <c r="B41" s="71"/>
      <c r="C41" s="67"/>
      <c r="D41" s="64"/>
      <c r="E41" s="137"/>
      <c r="G41" s="76"/>
      <c r="H41" s="77"/>
      <c r="I41" s="77"/>
      <c r="J41" s="77"/>
      <c r="K41" s="78"/>
      <c r="L41" s="79"/>
      <c r="M41" s="133"/>
    </row>
    <row r="42" spans="1:13" ht="15" customHeight="1" thickTop="1" x14ac:dyDescent="0.3">
      <c r="A42" s="58"/>
      <c r="B42" s="69"/>
      <c r="C42" s="65"/>
      <c r="D42" s="62"/>
      <c r="E42" s="135"/>
      <c r="G42" s="76"/>
      <c r="H42" s="77"/>
      <c r="I42" s="77"/>
      <c r="J42" s="77"/>
      <c r="K42" s="78"/>
      <c r="L42" s="79"/>
      <c r="M42" s="133"/>
    </row>
    <row r="43" spans="1:13" x14ac:dyDescent="0.3">
      <c r="A43" s="59"/>
      <c r="B43" s="70"/>
      <c r="C43" s="66"/>
      <c r="D43" s="63"/>
      <c r="E43" s="136"/>
      <c r="G43" s="76"/>
      <c r="H43" s="77"/>
      <c r="I43" s="77"/>
      <c r="J43" s="77"/>
      <c r="K43" s="78"/>
      <c r="L43" s="79"/>
      <c r="M43" s="133"/>
    </row>
    <row r="44" spans="1:13" x14ac:dyDescent="0.3">
      <c r="A44" s="59"/>
      <c r="B44" s="70"/>
      <c r="C44" s="66"/>
      <c r="D44" s="63"/>
      <c r="E44" s="136"/>
      <c r="G44" s="76"/>
      <c r="H44" s="77"/>
      <c r="I44" s="77"/>
      <c r="J44" s="77"/>
      <c r="K44" s="78"/>
      <c r="L44" s="79"/>
      <c r="M44" s="133"/>
    </row>
    <row r="45" spans="1:13" ht="15" thickBot="1" x14ac:dyDescent="0.35">
      <c r="A45" s="59"/>
      <c r="B45" s="70"/>
      <c r="C45" s="66"/>
      <c r="D45" s="63"/>
      <c r="E45" s="136"/>
      <c r="G45" s="80"/>
      <c r="H45" s="81"/>
      <c r="I45" s="81"/>
      <c r="J45" s="81"/>
      <c r="K45" s="81"/>
      <c r="L45" s="82"/>
      <c r="M45" s="134"/>
    </row>
    <row r="46" spans="1:13" ht="15.6" thickTop="1" thickBot="1" x14ac:dyDescent="0.35">
      <c r="A46" s="60"/>
      <c r="B46" s="71"/>
      <c r="C46" s="67"/>
      <c r="D46" s="64"/>
      <c r="E46" s="137"/>
    </row>
    <row r="47" spans="1:13" ht="15" thickTop="1" x14ac:dyDescent="0.3">
      <c r="G47" s="52"/>
      <c r="H47" s="51"/>
      <c r="I47" s="51"/>
      <c r="J47" s="51"/>
      <c r="K47" s="16"/>
      <c r="L47" s="83"/>
    </row>
    <row r="48" spans="1:13" x14ac:dyDescent="0.3">
      <c r="G48" s="52"/>
      <c r="H48" s="51"/>
      <c r="I48" s="51"/>
      <c r="J48" s="51"/>
      <c r="K48" s="16"/>
      <c r="L48" s="83"/>
    </row>
    <row r="49" spans="7:12" x14ac:dyDescent="0.3">
      <c r="G49" s="52"/>
      <c r="H49" s="51"/>
      <c r="I49" s="51"/>
      <c r="J49" s="51"/>
      <c r="K49" s="16"/>
      <c r="L49" s="83"/>
    </row>
    <row r="50" spans="7:12" x14ac:dyDescent="0.3">
      <c r="G50" s="52"/>
      <c r="H50" s="51"/>
      <c r="I50" s="51"/>
      <c r="J50" s="51"/>
      <c r="K50" s="16"/>
      <c r="L50" s="83"/>
    </row>
    <row r="51" spans="7:12" x14ac:dyDescent="0.3">
      <c r="G51" s="52"/>
      <c r="H51" s="51"/>
      <c r="I51" s="51"/>
      <c r="J51" s="51"/>
      <c r="K51" s="16"/>
      <c r="L51" s="83"/>
    </row>
    <row r="52" spans="7:12" x14ac:dyDescent="0.3">
      <c r="G52" s="52"/>
      <c r="H52" s="51"/>
      <c r="I52" s="51"/>
      <c r="J52" s="51"/>
      <c r="K52" s="16"/>
      <c r="L52" s="83"/>
    </row>
    <row r="53" spans="7:12" x14ac:dyDescent="0.3">
      <c r="G53" s="52"/>
      <c r="H53" s="51"/>
      <c r="I53" s="51"/>
      <c r="J53" s="51"/>
      <c r="K53" s="16"/>
      <c r="L53" s="83"/>
    </row>
  </sheetData>
  <mergeCells count="14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workbookViewId="0">
      <selection activeCell="AC21" sqref="AC21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7" style="11" bestFit="1" customWidth="1"/>
    <col min="8" max="10" width="6" style="11" bestFit="1" customWidth="1"/>
    <col min="11" max="15" width="7" style="11" bestFit="1" customWidth="1"/>
    <col min="16" max="16" width="6.6640625" style="11" bestFit="1" customWidth="1"/>
    <col min="17" max="36" width="6.6640625" bestFit="1" customWidth="1"/>
  </cols>
  <sheetData>
    <row r="1" spans="1:36" s="51" customFormat="1" ht="15.6" thickTop="1" thickBot="1" x14ac:dyDescent="0.35">
      <c r="A1" s="119"/>
      <c r="B1" s="123" t="s">
        <v>1203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5.6" thickTop="1" thickBot="1" x14ac:dyDescent="0.35">
      <c r="A2" s="131" t="s">
        <v>1192</v>
      </c>
      <c r="B2" s="120">
        <f>COUNTIFS('RESUMEN TOTAL'!C5:C396,"=BONOMO")</f>
        <v>212</v>
      </c>
      <c r="F2" s="110">
        <v>44774</v>
      </c>
      <c r="G2" s="111">
        <v>44775</v>
      </c>
      <c r="H2" s="111">
        <v>44776</v>
      </c>
      <c r="I2" s="111">
        <v>44777</v>
      </c>
      <c r="J2" s="111">
        <v>44778</v>
      </c>
      <c r="K2" s="111">
        <v>44779</v>
      </c>
      <c r="L2" s="111">
        <v>44780</v>
      </c>
      <c r="M2" s="111">
        <v>44781</v>
      </c>
      <c r="N2" s="111">
        <v>44782</v>
      </c>
      <c r="O2" s="111">
        <v>44783</v>
      </c>
      <c r="P2" s="112">
        <v>44784</v>
      </c>
      <c r="Q2" s="111">
        <v>44785</v>
      </c>
      <c r="R2" s="111">
        <v>44786</v>
      </c>
      <c r="S2" s="112">
        <v>44787</v>
      </c>
      <c r="T2" s="111">
        <v>44788</v>
      </c>
      <c r="U2" s="111">
        <v>44789</v>
      </c>
      <c r="V2" s="112">
        <v>44790</v>
      </c>
      <c r="W2" s="111">
        <v>44791</v>
      </c>
      <c r="X2" s="111">
        <v>44792</v>
      </c>
      <c r="Y2" s="112">
        <v>44793</v>
      </c>
      <c r="Z2" s="111">
        <v>44794</v>
      </c>
      <c r="AA2" s="111">
        <v>44795</v>
      </c>
      <c r="AB2" s="111">
        <v>44796</v>
      </c>
      <c r="AC2" s="111">
        <v>44797</v>
      </c>
      <c r="AD2" s="112">
        <v>44798</v>
      </c>
      <c r="AE2" s="111">
        <v>44799</v>
      </c>
      <c r="AF2" s="111">
        <v>44800</v>
      </c>
      <c r="AG2" s="112">
        <v>44801</v>
      </c>
      <c r="AH2" s="111">
        <v>44802</v>
      </c>
      <c r="AI2" s="111">
        <v>44803</v>
      </c>
      <c r="AJ2" s="111">
        <v>44804</v>
      </c>
    </row>
    <row r="3" spans="1:36" ht="15.6" thickTop="1" thickBot="1" x14ac:dyDescent="0.35">
      <c r="A3" s="121"/>
      <c r="B3" s="122"/>
      <c r="D3" s="117" t="s">
        <v>1192</v>
      </c>
      <c r="E3" s="124" t="s">
        <v>1204</v>
      </c>
      <c r="F3" s="125">
        <f>COUNTIFS('RESUMEN TOTAL'!C5:C396, "=BONOMO",'RESUMEN TOTAL'!K5:K396,"=APAGADO")</f>
        <v>26</v>
      </c>
      <c r="G3" s="126">
        <f>COUNTIFS('RESUMEN TOTAL'!C5:C396, "=BONOMO",'RESUMEN TOTAL'!L5:L396,"=APAGADO")</f>
        <v>27</v>
      </c>
      <c r="H3" s="126">
        <f>COUNTIFS('RESUMEN TOTAL'!C5:C396, "=BONOMO",'RESUMEN TOTAL'!M5:M396,"=APAGADO")</f>
        <v>20</v>
      </c>
      <c r="I3" s="126">
        <f>COUNTIFS('RESUMEN TOTAL'!C5:C396, "=BONOMO",'RESUMEN TOTAL'!N5:N396,"=APAGADO")</f>
        <v>21</v>
      </c>
      <c r="J3" s="126">
        <f>COUNTIFS('RESUMEN TOTAL'!C5:C396, "=BONOMO",'RESUMEN TOTAL'!O5:O396,"=APAGADO")</f>
        <v>16</v>
      </c>
      <c r="K3" s="126">
        <f>COUNTIFS('RESUMEN TOTAL'!C5:C396, "=BONOMO",'RESUMEN TOTAL'!P5:P396,"=APAGADO")</f>
        <v>34</v>
      </c>
      <c r="L3" s="126">
        <f>COUNTIFS('RESUMEN TOTAL'!C5:C396, "=BONOMO",'RESUMEN TOTAL'!Q5:Q396,"=APAGADO")</f>
        <v>31</v>
      </c>
      <c r="M3" s="126">
        <f>COUNTIFS('RESUMEN TOTAL'!C5:C396, "=BONOMO",'RESUMEN TOTAL'!R5:R396,"=APAGADO")</f>
        <v>31</v>
      </c>
      <c r="N3" s="126">
        <f>COUNTIFS('RESUMEN TOTAL'!C5:C396, "=BONOMO",'RESUMEN TOTAL'!S5:S396,"=APAGADO")</f>
        <v>35</v>
      </c>
      <c r="O3" s="126">
        <f>COUNTIFS('RESUMEN TOTAL'!C5:C396, "=BONOMO",'RESUMEN TOTAL'!T5:T396,"=APAGADO")</f>
        <v>45</v>
      </c>
      <c r="P3" s="127">
        <f>COUNTIFS('RESUMEN TOTAL'!C5:C396, "=BONOMO",'RESUMEN TOTAL'!U5:U396,"=APAGADO")</f>
        <v>28</v>
      </c>
      <c r="Q3" s="127">
        <f>COUNTIFS('RESUMEN TOTAL'!C5:C396, "=BONOMO",'RESUMEN TOTAL'!V5:V396,"=APAGADO")</f>
        <v>34</v>
      </c>
      <c r="R3" s="127">
        <f>COUNTIFS('RESUMEN TOTAL'!C5:C396, "=BONOMO",'RESUMEN TOTAL'!W5:W396,"=APAGADO")</f>
        <v>17</v>
      </c>
      <c r="S3" s="127">
        <f>COUNTIFS('RESUMEN TOTAL'!C5:C396, "=BONOMO",'RESUMEN TOTAL'!X5:X396,"=APAGADO")</f>
        <v>20</v>
      </c>
      <c r="T3" s="127">
        <f>COUNTIFS('RESUMEN TOTAL'!C5:C396, "=BONOMO",'RESUMEN TOTAL'!Y5:Y396,"=APAGADO")</f>
        <v>20</v>
      </c>
      <c r="U3" s="127">
        <f>COUNTIFS('RESUMEN TOTAL'!C5:C396, "=BONOMO",'RESUMEN TOTAL'!Z5:Z396,"=APAGADO")</f>
        <v>0</v>
      </c>
      <c r="V3" s="127">
        <f>COUNTIFS('RESUMEN TOTAL'!C5:C396, "=BONOMO",'RESUMEN TOTAL'!AA5:AA396,"=APAGADO")</f>
        <v>0</v>
      </c>
      <c r="W3" s="127">
        <f>COUNTIFS('RESUMEN TOTAL'!C5:C396, "=BONOMO",'RESUMEN TOTAL'!AB5:AB396,"=APAGADO")</f>
        <v>0</v>
      </c>
      <c r="X3" s="127">
        <f>COUNTIFS('RESUMEN TOTAL'!C5:C396, "=BONOMO",'RESUMEN TOTAL'!AC5:AC396,"=APAGADO")</f>
        <v>0</v>
      </c>
      <c r="Y3" s="127">
        <f>COUNTIFS('RESUMEN TOTAL'!C5:C396, "=BONOMO",'RESUMEN TOTAL'!AD5:AD396,"=APAGADO")</f>
        <v>0</v>
      </c>
      <c r="Z3" s="127">
        <f>COUNTIFS('RESUMEN TOTAL'!C5:C396, "=BONOMO",'RESUMEN TOTAL'!AE5:AE396,"=APAGADO")</f>
        <v>0</v>
      </c>
      <c r="AA3" s="127">
        <f>COUNTIFS('RESUMEN TOTAL'!C5:C396, "=BONOMO",'RESUMEN TOTAL'!AF5:AF396,"=APAGADO")</f>
        <v>0</v>
      </c>
      <c r="AB3" s="127">
        <f>COUNTIFS('RESUMEN TOTAL'!C5:C396, "=BONOMO",'RESUMEN TOTAL'!AG5:AG396,"=APAGADO")</f>
        <v>0</v>
      </c>
      <c r="AC3" s="127">
        <f>COUNTIFS('RESUMEN TOTAL'!C5:C396, "=BONOMO",'RESUMEN TOTAL'!AH5:AH396,"=APAGADO")</f>
        <v>0</v>
      </c>
      <c r="AD3" s="127">
        <f>COUNTIFS('RESUMEN TOTAL'!C5:C396, "=BONOMO",'RESUMEN TOTAL'!AI5:AI396,"=APAGADO")</f>
        <v>0</v>
      </c>
      <c r="AE3" s="127">
        <f>COUNTIFS('RESUMEN TOTAL'!C5:C396, "=BONOMO",'RESUMEN TOTAL'!AJ5:AJ396,"=APAGADO")</f>
        <v>0</v>
      </c>
      <c r="AF3" s="127">
        <f>COUNTIFS('RESUMEN TOTAL'!C5:C396, "=BONOMO",'RESUMEN TOTAL'!AK5:AK396,"=APAGADO")</f>
        <v>0</v>
      </c>
      <c r="AG3" s="127">
        <f>COUNTIFS('RESUMEN TOTAL'!C5:C396, "=BONOMO",'RESUMEN TOTAL'!AL5:AL396,"=APAGADO")</f>
        <v>0</v>
      </c>
      <c r="AH3" s="127">
        <f>COUNTIFS('RESUMEN TOTAL'!C5:C396, "=BONOMO",'RESUMEN TOTAL'!AM5:AM396,"=APAGADO")</f>
        <v>0</v>
      </c>
      <c r="AI3" s="127">
        <f>COUNTIFS('RESUMEN TOTAL'!C5:C396, "=BONOMO",'RESUMEN TOTAL'!AN5:AN396,"=APAGADO")</f>
        <v>0</v>
      </c>
      <c r="AJ3" s="127">
        <f>COUNTIFS('RESUMEN TOTAL'!C5:C396, "=BONOMO",'RESUMEN TOTAL'!AO5:AO396,"=APAGADO")</f>
        <v>0</v>
      </c>
    </row>
    <row r="4" spans="1:36" s="51" customFormat="1" ht="15.6" thickTop="1" thickBot="1" x14ac:dyDescent="0.35">
      <c r="A4" s="130" t="s">
        <v>1193</v>
      </c>
      <c r="B4" s="120">
        <f>COUNTIFS('RESUMEN TOTAL'!C5:C396,"=COSEIDI")</f>
        <v>180</v>
      </c>
      <c r="D4" s="118"/>
      <c r="E4" s="116" t="s">
        <v>1206</v>
      </c>
      <c r="F4" s="113">
        <f t="shared" ref="F4:AJ4" si="0">F3/BONOMOcam</f>
        <v>0.12264150943396226</v>
      </c>
      <c r="G4" s="114">
        <f t="shared" si="0"/>
        <v>0.12735849056603774</v>
      </c>
      <c r="H4" s="114">
        <f t="shared" si="0"/>
        <v>9.4339622641509441E-2</v>
      </c>
      <c r="I4" s="114">
        <f t="shared" si="0"/>
        <v>9.9056603773584911E-2</v>
      </c>
      <c r="J4" s="114">
        <f t="shared" si="0"/>
        <v>7.5471698113207544E-2</v>
      </c>
      <c r="K4" s="114">
        <f t="shared" si="0"/>
        <v>0.16037735849056603</v>
      </c>
      <c r="L4" s="114">
        <f t="shared" si="0"/>
        <v>0.14622641509433962</v>
      </c>
      <c r="M4" s="114">
        <f t="shared" si="0"/>
        <v>0.14622641509433962</v>
      </c>
      <c r="N4" s="114">
        <f t="shared" si="0"/>
        <v>0.1650943396226415</v>
      </c>
      <c r="O4" s="114">
        <f t="shared" si="0"/>
        <v>0.21226415094339623</v>
      </c>
      <c r="P4" s="115">
        <f t="shared" si="0"/>
        <v>0.13207547169811321</v>
      </c>
      <c r="Q4" s="115">
        <f t="shared" ref="Q4" si="1">Q3/BONOMOcam</f>
        <v>0.16037735849056603</v>
      </c>
      <c r="R4" s="115">
        <f t="shared" si="0"/>
        <v>8.0188679245283015E-2</v>
      </c>
      <c r="S4" s="115">
        <f t="shared" si="0"/>
        <v>9.4339622641509441E-2</v>
      </c>
      <c r="T4" s="115">
        <f t="shared" si="0"/>
        <v>9.4339622641509441E-2</v>
      </c>
      <c r="U4" s="115">
        <f t="shared" si="0"/>
        <v>0</v>
      </c>
      <c r="V4" s="115">
        <f t="shared" si="0"/>
        <v>0</v>
      </c>
      <c r="W4" s="115">
        <f t="shared" si="0"/>
        <v>0</v>
      </c>
      <c r="X4" s="115">
        <f t="shared" si="0"/>
        <v>0</v>
      </c>
      <c r="Y4" s="115">
        <f t="shared" si="0"/>
        <v>0</v>
      </c>
      <c r="Z4" s="115">
        <f t="shared" si="0"/>
        <v>0</v>
      </c>
      <c r="AA4" s="115">
        <f t="shared" si="0"/>
        <v>0</v>
      </c>
      <c r="AB4" s="115">
        <f t="shared" si="0"/>
        <v>0</v>
      </c>
      <c r="AC4" s="115">
        <f t="shared" si="0"/>
        <v>0</v>
      </c>
      <c r="AD4" s="115">
        <f t="shared" si="0"/>
        <v>0</v>
      </c>
      <c r="AE4" s="115">
        <f t="shared" si="0"/>
        <v>0</v>
      </c>
      <c r="AF4" s="115">
        <f t="shared" si="0"/>
        <v>0</v>
      </c>
      <c r="AG4" s="115">
        <f t="shared" si="0"/>
        <v>0</v>
      </c>
      <c r="AH4" s="115">
        <f t="shared" si="0"/>
        <v>0</v>
      </c>
      <c r="AI4" s="115">
        <f t="shared" si="0"/>
        <v>0</v>
      </c>
      <c r="AJ4" s="115">
        <f t="shared" si="0"/>
        <v>0</v>
      </c>
    </row>
    <row r="5" spans="1:36" ht="15.6" thickTop="1" thickBot="1" x14ac:dyDescent="0.35">
      <c r="A5" s="121"/>
      <c r="B5" s="122"/>
      <c r="D5" s="117" t="s">
        <v>1193</v>
      </c>
      <c r="E5" s="128" t="s">
        <v>1205</v>
      </c>
      <c r="F5" s="129">
        <f>COUNTIFS('RESUMEN TOTAL'!C7:C398, "=COSEIDI",'RESUMEN TOTAL'!K7:K398,"=APAGADO")</f>
        <v>12</v>
      </c>
      <c r="G5" s="129">
        <f>COUNTIFS('RESUMEN TOTAL'!C7:C398, "=COSEIDI",'RESUMEN TOTAL'!L7:L398,"=APAGADO")</f>
        <v>14</v>
      </c>
      <c r="H5" s="129">
        <f>COUNTIFS('RESUMEN TOTAL'!C7:C398, "=COSEIDI",'RESUMEN TOTAL'!M7:M398,"=APAGADO")</f>
        <v>11</v>
      </c>
      <c r="I5" s="129">
        <f>COUNTIFS('RESUMEN TOTAL'!C7:C398, "=COSEIDI",'RESUMEN TOTAL'!N7:N398,"=APAGADO")</f>
        <v>13</v>
      </c>
      <c r="J5" s="129">
        <f>COUNTIFS('RESUMEN TOTAL'!C7:C398, "=COSEIDI",'RESUMEN TOTAL'!O7:O398,"=APAGADO")</f>
        <v>14</v>
      </c>
      <c r="K5" s="129">
        <f>COUNTIFS('RESUMEN TOTAL'!C7:C398, "=COSEIDI",'RESUMEN TOTAL'!P7:P398,"=APAGADO")</f>
        <v>18</v>
      </c>
      <c r="L5" s="129">
        <f>COUNTIFS('RESUMEN TOTAL'!C7:C398, "=COSEIDI",'RESUMEN TOTAL'!Q7:Q398,"=APAGADO")</f>
        <v>42</v>
      </c>
      <c r="M5" s="129">
        <f>COUNTIFS('RESUMEN TOTAL'!C7:C398, "=COSEIDI",'RESUMEN TOTAL'!R7:R398,"=APAGADO")</f>
        <v>19</v>
      </c>
      <c r="N5" s="129">
        <f>COUNTIFS('RESUMEN TOTAL'!C7:C398, "=COSEIDI",'RESUMEN TOTAL'!S7:S398,"=APAGADO")</f>
        <v>16</v>
      </c>
      <c r="O5" s="129">
        <f>COUNTIFS('RESUMEN TOTAL'!C7:C398, "=COSEIDI",'RESUMEN TOTAL'!T7:T398,"=APAGADO")</f>
        <v>19</v>
      </c>
      <c r="P5" s="129">
        <f>COUNTIFS('RESUMEN TOTAL'!C7:C398, "=COSEIDI",'RESUMEN TOTAL'!U7:U398,"=APAGADO")</f>
        <v>10</v>
      </c>
      <c r="Q5" s="129">
        <f>COUNTIFS('RESUMEN TOTAL'!C7:C398, "=COSEIDI",'RESUMEN TOTAL'!V7:V398,"=APAGADO")</f>
        <v>11</v>
      </c>
      <c r="R5" s="129">
        <f>COUNTIFS('RESUMEN TOTAL'!C7:C398, "=COSEIDI",'RESUMEN TOTAL'!W7:W398,"=APAGADO")</f>
        <v>11</v>
      </c>
      <c r="S5" s="129">
        <f>COUNTIFS('RESUMEN TOTAL'!C7:C398, "=COSEIDI",'RESUMEN TOTAL'!X7:X398,"=APAGADO")</f>
        <v>11</v>
      </c>
      <c r="T5" s="129">
        <f>COUNTIFS('RESUMEN TOTAL'!C7:C398, "=COSEIDI",'RESUMEN TOTAL'!Y7:Y398,"=APAGADO")</f>
        <v>14</v>
      </c>
      <c r="U5" s="129">
        <f>COUNTIFS('RESUMEN TOTAL'!C7:C398, "=COSEIDI",'RESUMEN TOTAL'!Z7:Z398,"=APAGADO")</f>
        <v>0</v>
      </c>
      <c r="V5" s="129">
        <f>COUNTIFS('RESUMEN TOTAL'!C7:C398, "=COSEIDI",'RESUMEN TOTAL'!AA7:AA398,"=APAGADO")</f>
        <v>0</v>
      </c>
      <c r="W5" s="129">
        <f>COUNTIFS('RESUMEN TOTAL'!C7:C398, "=COSEIDI",'RESUMEN TOTAL'!AB7:AB398,"=APAGADO")</f>
        <v>0</v>
      </c>
      <c r="X5" s="129">
        <f>COUNTIFS('RESUMEN TOTAL'!C7:C398, "=COSEIDI",'RESUMEN TOTAL'!AC7:AC398,"=APAGADO")</f>
        <v>0</v>
      </c>
      <c r="Y5" s="129">
        <f>COUNTIFS('RESUMEN TOTAL'!C7:C398, "=COSEIDI",'RESUMEN TOTAL'!AD7:AD398,"=APAGADO")</f>
        <v>0</v>
      </c>
      <c r="Z5" s="129">
        <f>COUNTIFS('RESUMEN TOTAL'!C7:C398, "=COSEIDI",'RESUMEN TOTAL'!AE7:AE398,"=APAGADO")</f>
        <v>0</v>
      </c>
      <c r="AA5" s="129">
        <f>COUNTIFS('RESUMEN TOTAL'!C7:C398, "=COSEIDI",'RESUMEN TOTAL'!AF7:AF398,"=APAGADO")</f>
        <v>0</v>
      </c>
      <c r="AB5" s="129">
        <f>COUNTIFS('RESUMEN TOTAL'!C7:C398, "=COSEIDI",'RESUMEN TOTAL'!AG7:AG398,"=APAGADO")</f>
        <v>0</v>
      </c>
      <c r="AC5" s="129">
        <f>COUNTIFS('RESUMEN TOTAL'!C7:C398, "=COSEIDI",'RESUMEN TOTAL'!AH7:AH398,"=APAGADO")</f>
        <v>0</v>
      </c>
      <c r="AD5" s="129">
        <f>COUNTIFS('RESUMEN TOTAL'!C7:C398, "=COSEIDI",'RESUMEN TOTAL'!AI7:AI398,"=APAGADO")</f>
        <v>0</v>
      </c>
      <c r="AE5" s="129">
        <f>COUNTIFS('RESUMEN TOTAL'!C7:C398, "=COSEIDI",'RESUMEN TOTAL'!AJ7:AJ398,"=APAGADO")</f>
        <v>0</v>
      </c>
      <c r="AF5" s="129">
        <f>COUNTIFS('RESUMEN TOTAL'!C7:C398, "=COSEIDI",'RESUMEN TOTAL'!AK7:AK398,"=APAGADO")</f>
        <v>0</v>
      </c>
      <c r="AG5" s="129">
        <f>COUNTIFS('RESUMEN TOTAL'!C7:C398, "=COSEIDI",'RESUMEN TOTAL'!AL7:AL398,"=APAGADO")</f>
        <v>0</v>
      </c>
      <c r="AH5" s="129">
        <f>COUNTIFS('RESUMEN TOTAL'!C7:C398, "=COSEIDI",'RESUMEN TOTAL'!AM7:AM398,"=APAGADO")</f>
        <v>0</v>
      </c>
      <c r="AI5" s="129">
        <f>COUNTIFS('RESUMEN TOTAL'!C7:C398, "=COSEIDI",'RESUMEN TOTAL'!AN7:AN398,"=APAGADO")</f>
        <v>0</v>
      </c>
      <c r="AJ5" s="129">
        <f>COUNTIFS('RESUMEN TOTAL'!C7:C398, "=COSEIDI",'RESUMEN TOTAL'!AO7:AO398,"=APAGADO")</f>
        <v>0</v>
      </c>
    </row>
    <row r="6" spans="1:36" ht="15.6" thickTop="1" thickBot="1" x14ac:dyDescent="0.35">
      <c r="D6" s="118"/>
      <c r="E6" s="116" t="s">
        <v>1207</v>
      </c>
      <c r="F6" s="114">
        <f t="shared" ref="F6:AJ6" si="2">F5/COSEIDIcam</f>
        <v>6.6666666666666666E-2</v>
      </c>
      <c r="G6" s="114">
        <f t="shared" si="2"/>
        <v>7.7777777777777779E-2</v>
      </c>
      <c r="H6" s="114">
        <f t="shared" si="2"/>
        <v>6.1111111111111109E-2</v>
      </c>
      <c r="I6" s="114">
        <f t="shared" si="2"/>
        <v>7.2222222222222215E-2</v>
      </c>
      <c r="J6" s="114">
        <f t="shared" si="2"/>
        <v>7.7777777777777779E-2</v>
      </c>
      <c r="K6" s="114">
        <f t="shared" si="2"/>
        <v>0.1</v>
      </c>
      <c r="L6" s="114">
        <f t="shared" si="2"/>
        <v>0.23333333333333334</v>
      </c>
      <c r="M6" s="114">
        <f t="shared" si="2"/>
        <v>0.10555555555555556</v>
      </c>
      <c r="N6" s="114">
        <f t="shared" si="2"/>
        <v>8.8888888888888892E-2</v>
      </c>
      <c r="O6" s="114">
        <f t="shared" si="2"/>
        <v>0.10555555555555556</v>
      </c>
      <c r="P6" s="114">
        <f t="shared" si="2"/>
        <v>5.5555555555555552E-2</v>
      </c>
      <c r="Q6" s="114">
        <f t="shared" ref="Q6" si="3">Q5/COSEIDIcam</f>
        <v>6.1111111111111109E-2</v>
      </c>
      <c r="R6" s="114">
        <f t="shared" si="2"/>
        <v>6.1111111111111109E-2</v>
      </c>
      <c r="S6" s="114">
        <f t="shared" si="2"/>
        <v>6.1111111111111109E-2</v>
      </c>
      <c r="T6" s="114">
        <f t="shared" si="2"/>
        <v>7.7777777777777779E-2</v>
      </c>
      <c r="U6" s="114">
        <f t="shared" si="2"/>
        <v>0</v>
      </c>
      <c r="V6" s="114">
        <f t="shared" si="2"/>
        <v>0</v>
      </c>
      <c r="W6" s="114">
        <f t="shared" si="2"/>
        <v>0</v>
      </c>
      <c r="X6" s="114">
        <f t="shared" si="2"/>
        <v>0</v>
      </c>
      <c r="Y6" s="114">
        <f t="shared" si="2"/>
        <v>0</v>
      </c>
      <c r="Z6" s="114">
        <f t="shared" si="2"/>
        <v>0</v>
      </c>
      <c r="AA6" s="114">
        <f t="shared" si="2"/>
        <v>0</v>
      </c>
      <c r="AB6" s="114">
        <f t="shared" si="2"/>
        <v>0</v>
      </c>
      <c r="AC6" s="114">
        <f t="shared" si="2"/>
        <v>0</v>
      </c>
      <c r="AD6" s="114">
        <f t="shared" si="2"/>
        <v>0</v>
      </c>
      <c r="AE6" s="114">
        <f t="shared" si="2"/>
        <v>0</v>
      </c>
      <c r="AF6" s="114">
        <f t="shared" si="2"/>
        <v>0</v>
      </c>
      <c r="AG6" s="114">
        <f t="shared" si="2"/>
        <v>0</v>
      </c>
      <c r="AH6" s="114">
        <f t="shared" si="2"/>
        <v>0</v>
      </c>
      <c r="AI6" s="114">
        <f t="shared" si="2"/>
        <v>0</v>
      </c>
      <c r="AJ6" s="114">
        <f t="shared" si="2"/>
        <v>0</v>
      </c>
    </row>
    <row r="7" spans="1:36" ht="15" thickTop="1" x14ac:dyDescent="0.3"/>
  </sheetData>
  <conditionalFormatting sqref="F4:AJ4">
    <cfRule type="cellIs" dxfId="3" priority="4" operator="greaterThan">
      <formula>10</formula>
    </cfRule>
    <cfRule type="cellIs" dxfId="2" priority="3" operator="greaterThan">
      <formula>0.1</formula>
    </cfRule>
  </conditionalFormatting>
  <conditionalFormatting sqref="F6:AJ6">
    <cfRule type="cellIs" dxfId="1" priority="2" operator="greaterThan">
      <formula>0.11</formula>
    </cfRule>
    <cfRule type="cellIs" dxfId="0" priority="1" operator="greaterThan">
      <formula>0.1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2022-08-16T12:11:16Z</dcterms:modified>
</cp:coreProperties>
</file>