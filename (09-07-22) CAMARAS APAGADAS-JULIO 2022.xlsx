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LIO\"/>
    </mc:Choice>
  </mc:AlternateContent>
  <xr:revisionPtr revIDLastSave="0" documentId="13_ncr:1_{2D2C99A7-92C0-41D3-A26F-01A0F512C90B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2" l="1"/>
  <c r="AS1" i="2" s="1"/>
  <c r="AS2" i="2"/>
  <c r="D38" i="24"/>
  <c r="C39" i="24"/>
  <c r="C40" i="24" s="1"/>
  <c r="D33" i="24"/>
  <c r="C34" i="24"/>
  <c r="D34" i="24" s="1"/>
  <c r="D28" i="24"/>
  <c r="C29" i="24"/>
  <c r="D29" i="24" s="1"/>
  <c r="D23" i="24"/>
  <c r="C24" i="24"/>
  <c r="C25" i="24" s="1"/>
  <c r="D18" i="24"/>
  <c r="C19" i="24"/>
  <c r="C20" i="24" s="1"/>
  <c r="D13" i="24"/>
  <c r="C14" i="24"/>
  <c r="C15" i="24" s="1"/>
  <c r="D8" i="24"/>
  <c r="C9" i="24"/>
  <c r="D9" i="24" s="1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C35" i="2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24" i="14" l="1"/>
  <c r="F19" i="14"/>
  <c r="F15" i="14"/>
  <c r="F7" i="14"/>
  <c r="F3" i="14"/>
  <c r="F18" i="14"/>
  <c r="F14" i="14"/>
  <c r="F8" i="14"/>
  <c r="F6" i="14"/>
  <c r="F22" i="14"/>
  <c r="F23" i="14"/>
  <c r="F21" i="14"/>
  <c r="F17" i="14"/>
  <c r="F13" i="14"/>
  <c r="F11" i="14"/>
  <c r="F9" i="14"/>
  <c r="F5" i="14"/>
  <c r="F20" i="14"/>
  <c r="F16" i="14"/>
  <c r="F12" i="14"/>
  <c r="F10" i="14"/>
  <c r="F4" i="14"/>
  <c r="AI2" i="21"/>
  <c r="AB2" i="2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C24" i="14" s="1"/>
  <c r="AC2" i="10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E18" i="14" s="1"/>
  <c r="G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B3" i="14" s="1"/>
  <c r="Q2" i="11"/>
  <c r="B13" i="14" s="1"/>
  <c r="K2" i="11"/>
  <c r="B7" i="14" s="1"/>
  <c r="AA2" i="11"/>
  <c r="B23" i="14" s="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2" i="14" l="1"/>
  <c r="G22" i="14" s="1"/>
  <c r="E23" i="14"/>
  <c r="G23" i="14" s="1"/>
  <c r="E24" i="14"/>
  <c r="G24" i="14" s="1"/>
  <c r="E19" i="14"/>
  <c r="G19" i="14" s="1"/>
  <c r="E20" i="14"/>
  <c r="G20" i="14" s="1"/>
  <c r="E21" i="14"/>
  <c r="G21" i="14" s="1"/>
  <c r="E17" i="14"/>
  <c r="G17" i="14" s="1"/>
  <c r="E16" i="14"/>
  <c r="G16" i="14" s="1"/>
  <c r="E15" i="14"/>
  <c r="G15" i="14" s="1"/>
  <c r="E13" i="14"/>
  <c r="G13" i="14" s="1"/>
  <c r="E14" i="14"/>
  <c r="G14" i="14" s="1"/>
  <c r="E10" i="14"/>
  <c r="G10" i="14" s="1"/>
  <c r="E12" i="14"/>
  <c r="G12" i="14" s="1"/>
  <c r="E9" i="14"/>
  <c r="G9" i="14" s="1"/>
  <c r="E8" i="14"/>
  <c r="G8" i="14" s="1"/>
  <c r="E7" i="14"/>
  <c r="G7" i="14" s="1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<sst xmlns="http://schemas.openxmlformats.org/spreadsheetml/2006/main" count="3247" uniqueCount="1371">
  <si>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</si>
  <si>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</si>
  <si>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</si>
  <si>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</si>
  <si>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</si>
  <si>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</si>
  <si>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</si>
  <si>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</si>
  <si>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</si>
  <si>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</si>
  <si>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</si>
  <si>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</si>
  <si>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</si>
  <si>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</si>
  <si>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</si>
  <si>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</si>
  <si>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</si>
  <si>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</si>
  <si>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</si>
  <si>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</si>
  <si>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</si>
  <si>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</si>
  <si>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</si>
  <si>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</si>
  <si>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</si>
  <si>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</si>
  <si>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</si>
  <si>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</si>
  <si>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</si>
  <si>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</si>
  <si>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</si>
  <si>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</si>
  <si>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</si>
  <si>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</si>
  <si>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</si>
  <si>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</si>
  <si>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</si>
  <si>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</si>
  <si>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</si>
  <si>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</si>
  <si>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</si>
  <si>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</si>
  <si>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</si>
  <si>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</si>
  <si>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</si>
  <si>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</si>
  <si>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</si>
  <si>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</si>
  <si>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</si>
  <si>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</si>
  <si>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</si>
  <si>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</si>
  <si>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</si>
  <si>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</si>
  <si>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</si>
  <si>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</si>
  <si>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</si>
  <si>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</si>
  <si>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</si>
  <si>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</si>
  <si>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</si>
  <si>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</si>
  <si>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</si>
  <si>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</si>
  <si>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</si>
  <si>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</si>
  <si>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</si>
  <si>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</si>
  <si>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</si>
  <si>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</si>
  <si>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</si>
  <si>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</si>
  <si>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</si>
  <si>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</si>
  <si>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</si>
  <si>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</si>
  <si>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</si>
  <si>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</si>
  <si>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</si>
  <si>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</si>
  <si>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</si>
  <si>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</si>
  <si>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</si>
  <si>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</si>
  <si>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</si>
  <si>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</si>
  <si>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</si>
  <si>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</si>
  <si>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</si>
  <si>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</si>
  <si>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</si>
  <si>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</si>
  <si>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</si>
  <si>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</si>
  <si>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</si>
  <si>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</si>
  <si>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</si>
  <si>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</si>
  <si>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</si>
  <si>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</si>
  <si>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</si>
  <si>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</si>
  <si>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</si>
  <si>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</si>
  <si>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</si>
  <si>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</si>
  <si>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</si>
  <si>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</si>
  <si>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</si>
  <si>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</si>
  <si>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</si>
  <si>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</si>
  <si>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</si>
  <si>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</si>
  <si>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</si>
  <si>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</si>
  <si>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</si>
  <si>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</si>
  <si>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</si>
  <si>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</si>
  <si>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</si>
  <si>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</si>
  <si>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</si>
  <si>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</si>
  <si>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</si>
  <si>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</si>
  <si>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</si>
  <si>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</si>
  <si>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</si>
  <si>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</si>
  <si>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</si>
  <si>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</si>
  <si>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</si>
  <si>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</si>
  <si>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</si>
  <si>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</si>
  <si>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</si>
  <si>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</si>
  <si>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</si>
  <si>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</si>
  <si>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</si>
  <si>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</si>
  <si>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</si>
  <si>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</si>
  <si>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</si>
  <si>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</si>
  <si>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</si>
  <si>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</si>
  <si>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</si>
  <si>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</si>
  <si>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</si>
  <si>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</si>
  <si>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</si>
  <si>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</si>
  <si>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</si>
  <si>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</si>
  <si>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</si>
  <si>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</si>
  <si>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</si>
  <si>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</si>
  <si>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</si>
  <si>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</si>
  <si>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</si>
  <si>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</si>
  <si>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</si>
  <si>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</si>
  <si>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</si>
  <si>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</si>
  <si>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</si>
  <si>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</si>
  <si>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</si>
  <si>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</si>
  <si>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</si>
  <si>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</si>
  <si>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</si>
  <si>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</si>
  <si>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</si>
  <si>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</si>
  <si>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</si>
  <si>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</si>
  <si>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</si>
  <si>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</si>
  <si>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</si>
  <si>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</si>
  <si>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</si>
  <si>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</si>
  <si>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</si>
  <si>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</si>
  <si>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</si>
  <si>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</si>
  <si>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</si>
  <si>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</si>
  <si>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</si>
  <si>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</si>
  <si>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</si>
  <si>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</si>
  <si>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</si>
  <si>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</si>
  <si>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</si>
  <si>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</si>
  <si>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</si>
  <si>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</si>
  <si>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</si>
  <si>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</si>
  <si>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</si>
  <si>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</si>
  <si>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</si>
  <si>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</si>
  <si>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</si>
  <si>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</si>
  <si>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</si>
  <si>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</si>
  <si>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</si>
  <si>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</si>
  <si>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</si>
  <si>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</si>
  <si>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</si>
  <si>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</si>
  <si>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</si>
  <si>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</si>
  <si>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</si>
  <si>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</si>
  <si>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</si>
  <si>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</si>
  <si>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</si>
  <si>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</si>
  <si>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</si>
  <si>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</si>
  <si>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</si>
  <si>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</si>
  <si>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</si>
  <si>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</si>
  <si>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</si>
  <si>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</si>
  <si>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</si>
  <si>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</si>
  <si>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</si>
  <si>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</si>
  <si>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</si>
  <si>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</si>
  <si>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</si>
  <si>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</si>
  <si>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</si>
  <si>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</si>
  <si>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</si>
  <si>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</si>
  <si>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</si>
  <si>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</si>
  <si>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</si>
  <si>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</si>
  <si>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</si>
  <si>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</si>
  <si>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</si>
  <si>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</si>
  <si>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</si>
  <si>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</si>
  <si>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</si>
  <si>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</si>
  <si>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</si>
  <si>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</si>
  <si>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</si>
  <si>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</si>
  <si>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</si>
  <si>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</si>
  <si>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</si>
  <si>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</si>
  <si>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</si>
  <si>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</si>
  <si>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</si>
  <si>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</si>
  <si>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</si>
  <si>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</si>
  <si>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</si>
  <si>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</si>
  <si>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</si>
  <si>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</si>
  <si>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</si>
  <si>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</si>
  <si>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</si>
  <si>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</si>
  <si>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</si>
  <si>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</si>
  <si>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</si>
  <si>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</si>
  <si>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</si>
  <si>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</si>
  <si>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</si>
  <si>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</si>
  <si>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</si>
  <si>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</si>
  <si>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</si>
  <si>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</si>
  <si>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</si>
  <si>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</si>
  <si>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</si>
  <si>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</si>
  <si>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</si>
  <si>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</si>
  <si>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</si>
  <si>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</si>
  <si>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</si>
  <si>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</si>
  <si>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</si>
  <si>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</si>
  <si>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</si>
  <si>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</si>
  <si>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</si>
  <si>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</si>
  <si>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</si>
  <si>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</si>
  <si>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</si>
  <si>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</si>
  <si>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</si>
  <si>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</si>
  <si>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</si>
  <si>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</si>
  <si>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</si>
  <si>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</si>
  <si>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</si>
  <si>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</si>
  <si>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</si>
  <si>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</si>
  <si>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</si>
  <si>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</si>
  <si>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</si>
  <si>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</si>
  <si>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</si>
  <si>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</si>
  <si>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</si>
  <si>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</si>
  <si>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</si>
  <si>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</si>
  <si>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</si>
  <si>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</si>
  <si>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</si>
  <si>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</si>
  <si>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</si>
  <si>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</si>
  <si>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</si>
  <si>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</si>
  <si>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</si>
  <si>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</si>
  <si>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</si>
  <si>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</si>
  <si>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</si>
  <si>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</si>
  <si>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</si>
  <si>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</si>
  <si>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</si>
  <si>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</si>
  <si>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</si>
  <si>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</si>
  <si>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</si>
  <si>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</si>
  <si>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</si>
  <si>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</si>
  <si>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</si>
  <si>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</si>
  <si>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</si>
  <si>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</si>
  <si>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</si>
  <si>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</si>
  <si>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</si>
  <si>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</si>
  <si>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</si>
  <si>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</si>
  <si>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</si>
  <si>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</si>
  <si>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</si>
  <si>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</si>
  <si>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</si>
  <si>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</si>
  <si>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</si>
  <si>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</si>
  <si>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</si>
  <si>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</si>
  <si>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</si>
  <si>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</si>
  <si>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</si>
  <si>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</si>
  <si>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</si>
  <si>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</si>
  <si>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</si>
  <si>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</si>
  <si>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</si>
  <si>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</si>
  <si>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</si>
  <si>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</si>
  <si>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</si>
  <si>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</si>
  <si>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</si>
  <si>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</si>
  <si>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</si>
  <si>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</si>
  <si>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</si>
  <si>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</si>
  <si>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</si>
  <si>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</si>
  <si>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</si>
  <si>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</si>
  <si>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</si>
  <si>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</si>
  <si>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</si>
  <si>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</si>
  <si>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</si>
  <si>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</si>
  <si>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</si>
  <si>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</si>
  <si>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</si>
  <si>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</si>
  <si>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</si>
  <si>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</si>
  <si>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</si>
  <si>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</si>
  <si>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</si>
  <si>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</si>
  <si>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</si>
  <si>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</si>
  <si>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</si>
  <si>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</si>
  <si>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</si>
  <si>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</si>
  <si>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</si>
  <si>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</si>
  <si>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</si>
  <si>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</si>
  <si>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</si>
  <si>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</si>
  <si>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</si>
  <si>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</si>
  <si>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</si>
  <si>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</si>
  <si>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</si>
  <si>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</si>
  <si>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</si>
  <si>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</si>
  <si>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</si>
  <si>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</si>
  <si>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</si>
  <si>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</si>
  <si>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</si>
  <si>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</si>
  <si>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</si>
  <si>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</si>
  <si>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</si>
  <si>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</si>
  <si>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</si>
  <si>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</si>
  <si>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</si>
  <si>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</si>
  <si>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</si>
  <si>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</si>
  <si>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</si>
  <si>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</si>
  <si>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</si>
  <si>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</si>
  <si>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</si>
  <si>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</si>
  <si>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</si>
  <si>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</si>
  <si>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</si>
  <si>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</si>
  <si>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</si>
  <si>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</si>
  <si>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</si>
  <si>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</si>
  <si>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</si>
  <si>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</si>
  <si>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</si>
  <si>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</si>
  <si>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</si>
  <si>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</si>
  <si>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</si>
  <si>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</si>
  <si>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</si>
  <si>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</si>
  <si>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</si>
  <si>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</si>
  <si>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</si>
  <si>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</si>
  <si>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</si>
  <si>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</si>
  <si>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</si>
  <si>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</si>
  <si>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</si>
  <si>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</si>
  <si>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</si>
  <si>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</si>
  <si>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</si>
  <si>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</si>
  <si>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</si>
  <si>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</si>
  <si>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</si>
  <si>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</si>
  <si>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</si>
  <si>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</si>
  <si>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</si>
  <si>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</si>
  <si>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</si>
  <si>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</si>
  <si>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</si>
  <si>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</si>
  <si>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</si>
  <si>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</si>
  <si>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</si>
  <si>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</si>
  <si>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</si>
  <si>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</si>
  <si>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</si>
  <si>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</si>
  <si>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</si>
  <si>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</si>
  <si>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</si>
  <si>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</si>
  <si>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</si>
  <si>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</si>
  <si>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</si>
  <si>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</si>
  <si>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</si>
  <si>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</si>
  <si>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</si>
  <si>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</si>
  <si>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</si>
  <si>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</si>
  <si>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</si>
  <si>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</si>
  <si>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</si>
  <si>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</si>
  <si>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</si>
  <si>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</si>
  <si>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</si>
  <si>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</si>
  <si>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</si>
  <si>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</si>
  <si>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</si>
  <si>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</si>
  <si>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</si>
  <si>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</si>
  <si>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</si>
  <si>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</si>
  <si>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</si>
  <si>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</si>
  <si>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</si>
  <si>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</si>
  <si>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</si>
  <si>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</si>
  <si>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</si>
  <si>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</si>
  <si>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</si>
  <si>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</si>
  <si>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</si>
  <si>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</si>
  <si>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</si>
  <si>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</si>
  <si>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</si>
  <si>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</si>
  <si>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</si>
  <si>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</si>
  <si>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</si>
  <si>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</si>
  <si>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</si>
  <si>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</si>
  <si>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</si>
  <si>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</si>
  <si>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</si>
  <si>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</si>
  <si>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</si>
  <si>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</si>
  <si>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</si>
  <si>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</si>
  <si>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</si>
  <si>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</si>
  <si>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</si>
  <si>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</si>
  <si>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</si>
  <si>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</si>
  <si>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</si>
  <si>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</si>
  <si>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</si>
  <si>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</si>
  <si>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</si>
  <si>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</si>
  <si>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</si>
  <si>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</si>
  <si>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</si>
  <si>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</si>
  <si>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</si>
  <si>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</si>
  <si>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</si>
  <si>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</si>
  <si>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</si>
  <si>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</si>
  <si>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</si>
  <si>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</si>
  <si>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</si>
  <si>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</si>
  <si>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</si>
  <si>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</si>
  <si>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</si>
  <si>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</si>
  <si>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</si>
  <si>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</si>
  <si>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</si>
  <si>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</si>
  <si>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</si>
  <si>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</si>
  <si>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</si>
  <si>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</si>
  <si>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</si>
  <si>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</si>
  <si>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</si>
  <si>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</si>
  <si>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</si>
  <si>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</si>
  <si>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</si>
  <si>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</si>
  <si>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</si>
  <si>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</si>
  <si>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</si>
  <si>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</si>
  <si>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</si>
  <si>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</si>
  <si>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</si>
  <si>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</si>
  <si>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</si>
  <si>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</si>
  <si>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</si>
  <si>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</si>
  <si>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</si>
  <si>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</si>
  <si>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</si>
  <si>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</si>
  <si>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</si>
  <si>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</si>
  <si>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</si>
  <si>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</si>
  <si>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</si>
  <si>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</si>
  <si>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</si>
  <si>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</si>
  <si>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</si>
  <si>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</si>
  <si>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</si>
  <si>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</si>
  <si>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</si>
  <si>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</si>
  <si>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</si>
  <si>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</si>
  <si>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</si>
  <si>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</si>
  <si>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</si>
  <si>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</si>
  <si>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</si>
  <si>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</si>
  <si>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</si>
  <si>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</si>
  <si>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</si>
  <si>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</si>
  <si>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</si>
  <si>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</si>
  <si>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</si>
  <si>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</si>
  <si>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</si>
  <si>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</si>
  <si>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</si>
  <si>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</si>
  <si>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</si>
  <si>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</si>
  <si>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</si>
  <si>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</si>
  <si>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</si>
  <si>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</si>
  <si>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</si>
  <si>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</si>
  <si>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</si>
  <si>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</si>
  <si>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</si>
  <si>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</si>
  <si>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</si>
  <si>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</si>
  <si>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</si>
  <si>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</si>
  <si>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</si>
  <si>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</si>
  <si>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</si>
  <si>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</si>
  <si>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</si>
  <si>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</si>
  <si>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</si>
  <si>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</si>
  <si>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</si>
  <si>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</si>
  <si>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</si>
  <si>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</si>
  <si>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</si>
  <si>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</si>
  <si>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</si>
  <si>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</si>
  <si>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</si>
  <si>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</si>
  <si>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</si>
  <si>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</si>
  <si>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</si>
  <si>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</si>
  <si>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</si>
  <si>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</si>
  <si>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</si>
  <si>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</si>
  <si>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</si>
  <si>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</si>
  <si>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</si>
  <si>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</si>
  <si>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</si>
  <si>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</si>
  <si>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</si>
  <si>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</si>
  <si>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</si>
  <si>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</si>
  <si>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</si>
  <si>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</si>
  <si>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</si>
  <si>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</si>
  <si>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</si>
  <si>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</si>
  <si>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</si>
  <si>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</si>
  <si>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</si>
  <si>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</si>
  <si>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</si>
  <si>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</si>
  <si>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</si>
  <si>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</si>
  <si>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</si>
  <si>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</si>
  <si>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</si>
  <si>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</si>
  <si>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</si>
  <si>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</si>
  <si>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</si>
  <si>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</si>
  <si>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</si>
  <si>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</si>
  <si>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</si>
  <si>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</si>
  <si>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</si>
  <si>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</si>
  <si>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</si>
  <si>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</si>
  <si>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</si>
  <si>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</si>
  <si>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</si>
  <si>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</si>
  <si>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</si>
  <si>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</si>
  <si>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</si>
  <si>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</si>
  <si>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</si>
  <si>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</si>
  <si>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</si>
  <si>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</si>
  <si>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</si>
  <si>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</si>
  <si>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</si>
  <si>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</si>
  <si>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</si>
  <si>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</si>
  <si>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</si>
  <si>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</si>
  <si>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</si>
  <si>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</si>
  <si>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</si>
  <si>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</si>
  <si>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</si>
  <si>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</si>
  <si>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</si>
  <si>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</si>
  <si>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</si>
  <si>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</si>
  <si>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</si>
  <si>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</si>
  <si>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</si>
  <si>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</si>
  <si>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</si>
  <si>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</si>
  <si>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</si>
  <si>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</si>
  <si>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</si>
  <si>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</si>
  <si>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</si>
  <si>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</si>
  <si>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</si>
  <si>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</si>
  <si>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</si>
  <si>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</si>
  <si>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</si>
  <si>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</si>
  <si>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</si>
  <si>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</si>
  <si>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</si>
  <si>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</si>
  <si>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</si>
  <si>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</si>
  <si>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</si>
  <si>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</si>
  <si>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</si>
  <si>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</si>
  <si>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</si>
  <si>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</si>
  <si>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</si>
  <si>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</si>
  <si>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</si>
  <si>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</si>
  <si>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</si>
  <si>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</si>
  <si>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</si>
  <si>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</si>
  <si>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</si>
  <si>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</si>
  <si>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</si>
  <si>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</si>
  <si>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</si>
  <si>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</si>
  <si>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</si>
  <si>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</si>
  <si>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</si>
  <si>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</si>
  <si>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</si>
  <si>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</si>
  <si>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</si>
  <si>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</si>
  <si>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</si>
  <si>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</si>
  <si>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</si>
  <si>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</si>
  <si>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</si>
  <si>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</si>
  <si>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</si>
  <si>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</si>
  <si>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</si>
  <si>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</si>
  <si>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</si>
  <si>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</si>
  <si>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</si>
  <si>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</si>
  <si>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</si>
  <si>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</si>
  <si>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</si>
  <si>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</si>
  <si>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</si>
  <si>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</si>
  <si>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</si>
  <si>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</si>
  <si>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</si>
  <si>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</si>
  <si>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</si>
  <si>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</si>
  <si>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</si>
  <si>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</si>
  <si>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</si>
  <si>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</si>
  <si>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</si>
  <si>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</si>
  <si>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</si>
  <si>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</si>
  <si>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</si>
  <si>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</si>
  <si>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</si>
  <si>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</si>
  <si>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</si>
  <si>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</si>
  <si>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</si>
  <si>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</si>
  <si>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</si>
  <si>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</si>
  <si>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</si>
  <si>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</si>
  <si>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</si>
  <si>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</si>
  <si>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</si>
  <si>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</si>
  <si>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</si>
  <si>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</si>
  <si>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</si>
  <si>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</si>
  <si>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</si>
  <si>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</si>
  <si>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</si>
  <si>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</si>
  <si>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</si>
  <si>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</si>
  <si>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</si>
  <si>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</si>
  <si>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</si>
  <si>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</si>
  <si>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</si>
  <si>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</si>
  <si>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</si>
  <si>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</si>
  <si>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</si>
  <si>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</si>
  <si>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</si>
  <si>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</si>
  <si>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</si>
  <si>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</si>
  <si>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</si>
  <si>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</si>
  <si>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</si>
  <si>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</si>
  <si>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</si>
  <si>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</si>
  <si>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</si>
  <si>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</si>
  <si>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</si>
  <si>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</si>
  <si>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</si>
  <si>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</si>
  <si>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</si>
  <si>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</si>
  <si>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</si>
  <si>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</si>
  <si>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</si>
  <si>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</si>
  <si>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</si>
  <si>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</si>
  <si>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</si>
  <si>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</si>
  <si>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</si>
  <si>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</si>
  <si>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</si>
  <si>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</si>
  <si>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</si>
  <si>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</si>
  <si>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</si>
  <si>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</si>
  <si>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</si>
  <si>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</si>
  <si>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</si>
  <si>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</si>
  <si>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</si>
  <si>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</si>
  <si>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</si>
  <si>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</si>
  <si>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</si>
  <si>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</si>
  <si>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</si>
  <si>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</si>
  <si>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</si>
  <si>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</si>
  <si>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</si>
  <si>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</si>
  <si>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</si>
  <si>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</si>
  <si>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</si>
  <si>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</si>
  <si>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</si>
  <si>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</si>
  <si>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</si>
  <si>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</si>
  <si>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</si>
  <si>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</si>
  <si>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</si>
  <si>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</si>
  <si>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</si>
  <si>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</si>
  <si>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</si>
  <si>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</si>
  <si>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</si>
  <si>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</si>
  <si>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</si>
  <si>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</si>
  <si>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</si>
  <si>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</si>
  <si>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</si>
  <si>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</si>
  <si>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</si>
  <si>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</si>
  <si>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</si>
  <si>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</si>
  <si>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</si>
  <si>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</si>
  <si>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</si>
  <si>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</si>
  <si>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</si>
  <si>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</si>
  <si>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</si>
  <si>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</si>
  <si>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</si>
  <si>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</si>
  <si>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</si>
  <si>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</si>
  <si>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</si>
  <si>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</si>
  <si>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</si>
  <si>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</si>
  <si>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</si>
  <si>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</si>
  <si>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</si>
  <si>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</si>
  <si>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</si>
  <si>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</si>
  <si>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</si>
  <si>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</si>
  <si>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</si>
  <si>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</si>
  <si>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</si>
  <si>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</si>
  <si>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</si>
  <si>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</si>
  <si>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</si>
  <si>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</si>
  <si>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</si>
  <si>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</si>
  <si>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</si>
  <si>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</si>
  <si>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</si>
  <si>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</si>
  <si>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</si>
  <si>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</si>
  <si>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</si>
  <si>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</si>
  <si>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</si>
  <si>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</si>
  <si>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</si>
  <si>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</si>
  <si>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</si>
  <si>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</si>
  <si>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</si>
  <si>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</si>
  <si>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</si>
  <si>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</si>
  <si>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</si>
  <si>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</si>
  <si>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</si>
  <si>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</si>
  <si>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</si>
  <si>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</si>
  <si>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</si>
  <si>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</si>
  <si>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</si>
  <si>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</si>
  <si>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</si>
  <si>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</si>
  <si>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</si>
  <si>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</si>
  <si>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</si>
  <si>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</si>
  <si>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</si>
  <si>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</si>
  <si>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</si>
  <si>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</si>
  <si>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</si>
  <si>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</si>
  <si>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</si>
  <si>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</si>
  <si>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</si>
  <si>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</si>
  <si>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</si>
  <si>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</si>
  <si>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</si>
  <si>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</si>
  <si>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</si>
  <si>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</si>
  <si>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</si>
  <si>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</si>
  <si>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</si>
  <si>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</si>
  <si>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</si>
  <si>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</si>
  <si>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</si>
  <si>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</si>
  <si>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</si>
  <si>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</si>
  <si>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</si>
  <si>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</si>
  <si>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</si>
  <si>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</si>
  <si>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</si>
  <si>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</si>
  <si>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</si>
  <si>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</si>
  <si>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</si>
  <si>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</si>
  <si>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</si>
  <si>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</si>
  <si>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</si>
  <si>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</si>
  <si>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</si>
  <si>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</si>
  <si>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</si>
  <si>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</si>
  <si>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</si>
  <si>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</si>
  <si>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</si>
  <si>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</si>
  <si>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</si>
  <si>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</si>
  <si>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</si>
  <si>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</si>
  <si>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</si>
  <si>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</si>
  <si>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</si>
  <si>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</si>
  <si>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</si>
  <si>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</si>
  <si>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</si>
  <si>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</si>
  <si>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</si>
  <si>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</si>
  <si>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</si>
  <si>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</si>
  <si>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</si>
  <si>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</si>
  <si>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</si>
  <si>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</si>
  <si>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</si>
  <si>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</si>
  <si>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</si>
  <si>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</si>
  <si>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</si>
  <si>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</si>
  <si>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</si>
  <si>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</si>
  <si>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</si>
  <si>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</si>
  <si>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</si>
  <si>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</si>
  <si>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</si>
  <si>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</si>
  <si>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</si>
  <si>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</si>
  <si>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</si>
  <si>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</si>
  <si>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</si>
  <si>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</si>
  <si>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</si>
  <si>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</si>
  <si>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</si>
  <si>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</si>
  <si>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</si>
  <si>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</si>
  <si>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</si>
  <si>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</si>
  <si>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</si>
  <si>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</si>
  <si>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</si>
  <si>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</si>
  <si>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</si>
  <si>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</si>
  <si>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</si>
  <si>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</si>
  <si>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</si>
  <si>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</si>
  <si>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</si>
  <si>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</si>
  <si>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</si>
  <si>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</si>
  <si>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</si>
  <si>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</si>
  <si>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</si>
  <si>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</si>
  <si>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</si>
  <si>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</si>
  <si>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</si>
  <si>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</si>
  <si>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</si>
  <si>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</si>
  <si>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</si>
  <si>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</si>
  <si>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</si>
  <si>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</si>
  <si>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</si>
  <si>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</si>
  <si>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</si>
  <si>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</si>
  <si>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</si>
  <si>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</si>
  <si>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</si>
  <si>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</si>
  <si>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</si>
  <si>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</si>
  <si>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</si>
  <si>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</si>
  <si>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</si>
  <si>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</si>
  <si>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</si>
  <si>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</si>
  <si>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</si>
  <si>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</si>
  <si>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</si>
  <si>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</si>
  <si>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</si>
  <si>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</si>
  <si>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</si>
  <si>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</si>
  <si>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</si>
  <si>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</si>
  <si>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</si>
  <si>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</si>
  <si>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</si>
  <si>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</si>
  <si>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</si>
  <si>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</si>
  <si>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</si>
  <si>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</si>
  <si>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</si>
  <si>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</si>
  <si>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</si>
  <si>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</si>
  <si>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</si>
  <si>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</si>
  <si>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</si>
  <si>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</si>
  <si>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</si>
  <si>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</si>
  <si>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</si>
  <si>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</si>
  <si>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</si>
  <si>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</si>
  <si>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</si>
  <si>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</si>
  <si>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</si>
  <si>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</si>
  <si>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</si>
  <si>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</si>
  <si>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</si>
  <si>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</si>
  <si>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</si>
  <si>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</si>
  <si>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</si>
  <si>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</si>
  <si>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</si>
  <si>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</si>
  <si>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</si>
  <si>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</si>
  <si>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</si>
  <si>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</si>
  <si>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</si>
  <si>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</si>
  <si>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</si>
  <si>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</si>
  <si>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</si>
  <si>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</si>
  <si>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</si>
  <si>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</si>
  <si>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</si>
  <si>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</si>
  <si>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</si>
  <si>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</si>
  <si>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</si>
  <si>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</si>
  <si>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</si>
  <si>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</si>
  <si>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</si>
  <si>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</si>
  <si>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</si>
  <si>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</si>
  <si>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</si>
  <si>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</si>
  <si>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</si>
  <si>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</si>
  <si>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</si>
  <si>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</si>
  <si>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</si>
  <si>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</si>
  <si>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</si>
  <si>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</si>
  <si>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</si>
  <si>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</si>
  <si>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</si>
  <si>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</si>
  <si>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</si>
  <si>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</si>
  <si>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</si>
  <si>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</si>
  <si>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</si>
  <si>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</si>
  <si>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</si>
  <si>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</si>
  <si>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</si>
  <si>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</si>
  <si>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</si>
  <si>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</si>
  <si>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</si>
  <si>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</si>
  <si>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</si>
  <si>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</si>
  <si>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</si>
  <si>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</si>
  <si>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</si>
  <si>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</si>
  <si>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</si>
  <si>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</si>
  <si>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</si>
  <si>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</si>
  <si>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</si>
  <si>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</si>
  <si>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</si>
  <si>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</si>
  <si>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</si>
  <si>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</si>
  <si>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</si>
  <si>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</si>
  <si>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</si>
  <si>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</si>
  <si>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</si>
  <si>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</si>
  <si>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</si>
  <si>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</si>
  <si>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</si>
  <si>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</si>
  <si>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</si>
  <si>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</si>
  <si>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</si>
  <si>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</si>
  <si>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</si>
  <si>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</si>
  <si>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</si>
  <si>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</si>
  <si>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</si>
  <si>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</si>
  <si>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</si>
  <si>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</si>
  <si>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</si>
  <si>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</si>
  <si>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</si>
  <si>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</si>
  <si>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</si>
  <si>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</si>
  <si>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</si>
  <si>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</si>
  <si>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</si>
  <si>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</si>
  <si>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</si>
  <si>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</si>
  <si>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</si>
  <si>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</si>
  <si>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</si>
  <si>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</si>
  <si>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</si>
  <si>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</si>
  <si>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</si>
  <si>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</si>
  <si>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</si>
  <si>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</si>
  <si>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</si>
  <si>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</si>
  <si>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</si>
  <si>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</si>
  <si>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</si>
  <si>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</si>
  <si>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</si>
  <si>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</si>
  <si>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</si>
  <si>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</si>
  <si>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</si>
  <si>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</si>
  <si>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</si>
  <si>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</si>
  <si>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</si>
  <si>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</si>
  <si>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</si>
  <si>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</si>
  <si>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</si>
  <si>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</si>
  <si>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</si>
  <si>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</si>
  <si>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</si>
  <si>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</si>
  <si>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</si>
  <si>
    <t>APAGADO</t>
  </si>
  <si>
    <t>Davinson y Moranchel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</si>
</sst>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08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0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0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V194" activePane="bottomRight" state="frozen"/>
      <selection pane="topRight" activeCell="M1" sqref="M1"/>
      <selection pane="bottomLeft" activeCell="A5" sqref="A5"/>
      <selection pane="bottomRight" activeCell="W207" sqref="W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22</v>
      </c>
      <c r="M7" s="17">
        <f t="shared" si="8"/>
        <v>8</v>
      </c>
      <c r="N7" s="18">
        <f t="shared" si="9"/>
        <v>0.73333333333333328</v>
      </c>
      <c r="O7" s="27" t="s">
        <v>1369</v>
      </c>
      <c r="P7" s="8" t="s">
        <v>1369</v>
      </c>
      <c r="Q7" s="8" t="s">
        <v>1369</v>
      </c>
      <c r="R7" s="8" t="s">
        <v>1369</v>
      </c>
      <c r="S7" s="27" t="s">
        <v>1369</v>
      </c>
      <c r="T7" s="27"/>
      <c r="U7" s="8" t="s">
        <v>1369</v>
      </c>
      <c r="V7" s="8" t="s">
        <v>1369</v>
      </c>
      <c r="W7" s="8" t="s">
        <v>1369</v>
      </c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28</v>
      </c>
      <c r="M10" s="17">
        <f t="shared" si="8"/>
        <v>2</v>
      </c>
      <c r="N10" s="18">
        <f t="shared" si="9"/>
        <v>0.93333333333333335</v>
      </c>
      <c r="O10" s="27"/>
      <c r="P10" s="8"/>
      <c r="Q10" s="8"/>
      <c r="R10" s="8"/>
      <c r="S10" s="27"/>
      <c r="T10" s="27"/>
      <c r="U10" s="8" t="s">
        <v>1369</v>
      </c>
      <c r="V10" s="8" t="s">
        <v>1369</v>
      </c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1369</v>
      </c>
      <c r="V13" s="8" t="s">
        <v>1369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1369</v>
      </c>
      <c r="V14" s="8" t="s">
        <v>1369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1369</v>
      </c>
      <c r="V17" s="8" t="s">
        <v>1369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1369</v>
      </c>
      <c r="V18" s="8" t="s">
        <v>1369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29</v>
      </c>
      <c r="M21" s="17">
        <f t="shared" si="8"/>
        <v>1</v>
      </c>
      <c r="N21" s="18">
        <f t="shared" si="9"/>
        <v>0.96666666666666667</v>
      </c>
      <c r="O21" s="27"/>
      <c r="P21" s="8"/>
      <c r="Q21" s="8"/>
      <c r="R21" s="8"/>
      <c r="S21" s="27"/>
      <c r="T21" s="27"/>
      <c r="U21" s="8"/>
      <c r="V21" s="8"/>
      <c r="W21" s="8" t="s">
        <v>1369</v>
      </c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23</v>
      </c>
      <c r="M36" s="17">
        <f t="shared" si="8"/>
        <v>7</v>
      </c>
      <c r="N36" s="18">
        <f t="shared" si="9"/>
        <v>0.76666666666666672</v>
      </c>
      <c r="O36" s="27"/>
      <c r="P36" s="8" t="s">
        <v>1369</v>
      </c>
      <c r="Q36" s="8" t="s">
        <v>1369</v>
      </c>
      <c r="R36" s="8" t="s">
        <v>1369</v>
      </c>
      <c r="S36" s="27" t="s">
        <v>1369</v>
      </c>
      <c r="T36" s="27"/>
      <c r="U36" s="8" t="s">
        <v>1369</v>
      </c>
      <c r="V36" s="8" t="s">
        <v>1369</v>
      </c>
      <c r="W36" s="8" t="s">
        <v>1369</v>
      </c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1363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1369</v>
      </c>
      <c r="P74" s="8" t="s">
        <v>1369</v>
      </c>
      <c r="Q74" s="8" t="s">
        <v>1369</v>
      </c>
      <c r="R74" s="8" t="s">
        <v>1369</v>
      </c>
      <c r="S74" s="27" t="s">
        <v>1369</v>
      </c>
      <c r="T74" s="27"/>
      <c r="U74" s="8" t="s">
        <v>1369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27</v>
      </c>
      <c r="M80" s="17">
        <f t="shared" si="11"/>
        <v>3</v>
      </c>
      <c r="N80" s="18">
        <f t="shared" si="12"/>
        <v>0.9</v>
      </c>
      <c r="O80" s="27"/>
      <c r="P80" s="8"/>
      <c r="Q80" s="8" t="s">
        <v>1369</v>
      </c>
      <c r="R80" s="8" t="s">
        <v>1369</v>
      </c>
      <c r="S80" s="27" t="s">
        <v>1369</v>
      </c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27</v>
      </c>
      <c r="M83" s="17">
        <f t="shared" si="11"/>
        <v>3</v>
      </c>
      <c r="N83" s="18">
        <f t="shared" si="12"/>
        <v>0.9</v>
      </c>
      <c r="O83" s="27"/>
      <c r="P83" s="8"/>
      <c r="Q83" s="8" t="s">
        <v>1369</v>
      </c>
      <c r="R83" s="8" t="s">
        <v>1369</v>
      </c>
      <c r="S83" s="27" t="s">
        <v>1369</v>
      </c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1369</v>
      </c>
      <c r="S102" s="27"/>
      <c r="T102" s="27"/>
      <c r="U102" s="8"/>
      <c r="V102" s="8" t="s">
        <v>1369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1369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1369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1369</v>
      </c>
      <c r="V106" s="8" t="s">
        <v>1369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1369</v>
      </c>
      <c r="V107" s="8" t="s">
        <v>1369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1369</v>
      </c>
      <c r="V108" s="8" t="s">
        <v>1369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1369</v>
      </c>
      <c r="V109" s="8" t="s">
        <v>1369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99" t="s">
        <v>1370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1369</v>
      </c>
      <c r="P111" s="8" t="s">
        <v>1369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1369</v>
      </c>
      <c r="P113" s="8" t="s">
        <v>1369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22</v>
      </c>
      <c r="M120" s="17">
        <f t="shared" si="11"/>
        <v>8</v>
      </c>
      <c r="N120" s="18">
        <f t="shared" si="12"/>
        <v>0.73333333333333328</v>
      </c>
      <c r="O120" s="27" t="s">
        <v>1369</v>
      </c>
      <c r="P120" s="8" t="s">
        <v>1369</v>
      </c>
      <c r="Q120" s="8" t="s">
        <v>1369</v>
      </c>
      <c r="R120" s="8" t="s">
        <v>1369</v>
      </c>
      <c r="S120" s="27" t="s">
        <v>1369</v>
      </c>
      <c r="T120" s="27"/>
      <c r="U120" s="8" t="s">
        <v>1369</v>
      </c>
      <c r="V120" s="8" t="s">
        <v>1369</v>
      </c>
      <c r="W120" s="8" t="s">
        <v>1369</v>
      </c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22</v>
      </c>
      <c r="M121" s="17">
        <f t="shared" si="11"/>
        <v>8</v>
      </c>
      <c r="N121" s="18">
        <f t="shared" si="12"/>
        <v>0.73333333333333328</v>
      </c>
      <c r="O121" s="27" t="s">
        <v>1369</v>
      </c>
      <c r="P121" s="8" t="s">
        <v>1369</v>
      </c>
      <c r="Q121" s="8" t="s">
        <v>1369</v>
      </c>
      <c r="R121" s="8" t="s">
        <v>1369</v>
      </c>
      <c r="S121" s="27" t="s">
        <v>1369</v>
      </c>
      <c r="T121" s="27"/>
      <c r="U121" s="8" t="s">
        <v>1369</v>
      </c>
      <c r="V121" s="8" t="s">
        <v>1369</v>
      </c>
      <c r="W121" s="8" t="s">
        <v>1369</v>
      </c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1369</v>
      </c>
      <c r="V122" s="8" t="s">
        <v>1369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1369</v>
      </c>
      <c r="V123" s="8" t="s">
        <v>1369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1369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1369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22</v>
      </c>
      <c r="M133" s="17">
        <f t="shared" ref="M133:M196" si="14">COUNTIF(O133:AP133,"APAGADO")</f>
        <v>8</v>
      </c>
      <c r="N133" s="18">
        <f t="shared" ref="N133:N196" si="15">(L133)/(M133+L133)</f>
        <v>0.73333333333333328</v>
      </c>
      <c r="O133" s="27" t="s">
        <v>1369</v>
      </c>
      <c r="P133" s="8" t="s">
        <v>1369</v>
      </c>
      <c r="Q133" s="8" t="s">
        <v>1369</v>
      </c>
      <c r="R133" s="8" t="s">
        <v>1369</v>
      </c>
      <c r="S133" s="27" t="s">
        <v>1369</v>
      </c>
      <c r="T133" s="27"/>
      <c r="U133" s="8" t="s">
        <v>1369</v>
      </c>
      <c r="V133" s="8" t="s">
        <v>1369</v>
      </c>
      <c r="W133" s="8" t="s">
        <v>1369</v>
      </c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26</v>
      </c>
      <c r="M136" s="17">
        <f t="shared" si="14"/>
        <v>4</v>
      </c>
      <c r="N136" s="18">
        <f t="shared" si="15"/>
        <v>0.8666666666666667</v>
      </c>
      <c r="O136" s="27" t="s">
        <v>1369</v>
      </c>
      <c r="P136" s="8" t="s">
        <v>1369</v>
      </c>
      <c r="Q136" s="8" t="s">
        <v>1369</v>
      </c>
      <c r="R136" s="8" t="s">
        <v>1369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29</v>
      </c>
      <c r="M138" s="17">
        <f t="shared" si="14"/>
        <v>1</v>
      </c>
      <c r="N138" s="18">
        <f t="shared" si="15"/>
        <v>0.96666666666666667</v>
      </c>
      <c r="O138" s="27"/>
      <c r="P138" s="8"/>
      <c r="Q138" s="8"/>
      <c r="R138" s="8"/>
      <c r="S138" s="27"/>
      <c r="T138" s="27"/>
      <c r="U138" s="8" t="s">
        <v>1369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29</v>
      </c>
      <c r="M139" s="17">
        <f t="shared" si="14"/>
        <v>1</v>
      </c>
      <c r="N139" s="18">
        <f t="shared" si="15"/>
        <v>0.96666666666666667</v>
      </c>
      <c r="O139" s="27"/>
      <c r="P139" s="8"/>
      <c r="Q139" s="8"/>
      <c r="R139" s="8"/>
      <c r="S139" s="27"/>
      <c r="T139" s="27"/>
      <c r="U139" s="8" t="s">
        <v>1369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1369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1369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1369</v>
      </c>
      <c r="V169" s="8" t="s">
        <v>1369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1369</v>
      </c>
      <c r="V171" s="8" t="s">
        <v>1369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1369</v>
      </c>
      <c r="V173" s="8" t="s">
        <v>1369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1369</v>
      </c>
      <c r="V174" s="8" t="s">
        <v>1369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1369</v>
      </c>
      <c r="P177" s="8" t="s">
        <v>1369</v>
      </c>
      <c r="Q177" s="8" t="s">
        <v>1369</v>
      </c>
      <c r="R177" s="8" t="s">
        <v>1369</v>
      </c>
      <c r="S177" s="27" t="s">
        <v>1369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23</v>
      </c>
      <c r="M182" s="17">
        <f t="shared" si="14"/>
        <v>7</v>
      </c>
      <c r="N182" s="18">
        <f t="shared" si="15"/>
        <v>0.76666666666666672</v>
      </c>
      <c r="O182" s="27"/>
      <c r="P182" s="8" t="s">
        <v>1369</v>
      </c>
      <c r="Q182" s="8" t="s">
        <v>1369</v>
      </c>
      <c r="R182" s="8" t="s">
        <v>1369</v>
      </c>
      <c r="S182" s="27" t="s">
        <v>1369</v>
      </c>
      <c r="T182" s="27"/>
      <c r="U182" s="8" t="s">
        <v>1369</v>
      </c>
      <c r="V182" s="8" t="s">
        <v>1369</v>
      </c>
      <c r="W182" s="8" t="s">
        <v>1369</v>
      </c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27</v>
      </c>
      <c r="M185" s="17">
        <f t="shared" si="14"/>
        <v>3</v>
      </c>
      <c r="N185" s="18">
        <f t="shared" si="15"/>
        <v>0.9</v>
      </c>
      <c r="O185" s="27"/>
      <c r="P185" s="8"/>
      <c r="Q185" s="8" t="s">
        <v>1369</v>
      </c>
      <c r="R185" s="8" t="s">
        <v>1369</v>
      </c>
      <c r="S185" s="27" t="s">
        <v>1369</v>
      </c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28</v>
      </c>
      <c r="M186" s="17">
        <f t="shared" si="14"/>
        <v>2</v>
      </c>
      <c r="N186" s="18">
        <f t="shared" si="15"/>
        <v>0.93333333333333335</v>
      </c>
      <c r="O186" s="27"/>
      <c r="P186" s="8"/>
      <c r="Q186" s="8" t="s">
        <v>1369</v>
      </c>
      <c r="R186" s="8" t="s">
        <v>1369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1369</v>
      </c>
      <c r="P187" s="8" t="s">
        <v>1369</v>
      </c>
      <c r="Q187" s="8" t="s">
        <v>1369</v>
      </c>
      <c r="R187" s="8" t="s">
        <v>1369</v>
      </c>
      <c r="S187" s="27" t="s">
        <v>1369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1369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22</v>
      </c>
      <c r="M191" s="17">
        <f t="shared" si="14"/>
        <v>8</v>
      </c>
      <c r="N191" s="18">
        <f t="shared" si="15"/>
        <v>0.73333333333333328</v>
      </c>
      <c r="O191" s="27" t="s">
        <v>1369</v>
      </c>
      <c r="P191" s="8" t="s">
        <v>1369</v>
      </c>
      <c r="Q191" s="8" t="s">
        <v>1369</v>
      </c>
      <c r="R191" s="8" t="s">
        <v>1369</v>
      </c>
      <c r="S191" s="27" t="s">
        <v>1369</v>
      </c>
      <c r="T191" s="27"/>
      <c r="U191" s="8" t="s">
        <v>1369</v>
      </c>
      <c r="V191" s="8" t="s">
        <v>1369</v>
      </c>
      <c r="W191" s="8" t="s">
        <v>1369</v>
      </c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22</v>
      </c>
      <c r="M192" s="17">
        <f t="shared" si="14"/>
        <v>8</v>
      </c>
      <c r="N192" s="18">
        <f t="shared" si="15"/>
        <v>0.73333333333333328</v>
      </c>
      <c r="O192" s="27" t="s">
        <v>1369</v>
      </c>
      <c r="P192" s="8" t="s">
        <v>1369</v>
      </c>
      <c r="Q192" s="8" t="s">
        <v>1369</v>
      </c>
      <c r="R192" s="8" t="s">
        <v>1369</v>
      </c>
      <c r="S192" s="27" t="s">
        <v>1369</v>
      </c>
      <c r="T192" s="27"/>
      <c r="U192" s="8" t="s">
        <v>1369</v>
      </c>
      <c r="V192" s="8" t="s">
        <v>1369</v>
      </c>
      <c r="W192" s="8" t="s">
        <v>1369</v>
      </c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1369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29</v>
      </c>
      <c r="M194" s="17">
        <f t="shared" si="14"/>
        <v>1</v>
      </c>
      <c r="N194" s="18">
        <f t="shared" si="15"/>
        <v>0.96666666666666667</v>
      </c>
      <c r="O194" s="27"/>
      <c r="P194" s="8"/>
      <c r="Q194" s="8"/>
      <c r="R194" s="8"/>
      <c r="S194" s="27"/>
      <c r="T194" s="27"/>
      <c r="U194" s="8"/>
      <c r="V194" s="8"/>
      <c r="W194" s="8" t="s">
        <v>1369</v>
      </c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28</v>
      </c>
      <c r="M197" s="17">
        <f t="shared" ref="M197:M262" si="17">COUNTIF(O197:AP197,"APAGADO")</f>
        <v>2</v>
      </c>
      <c r="N197" s="18">
        <f t="shared" ref="N197:N262" si="18">(L197)/(M197+L197)</f>
        <v>0.93333333333333335</v>
      </c>
      <c r="O197" s="27"/>
      <c r="P197" s="8"/>
      <c r="Q197" s="8"/>
      <c r="R197" s="8"/>
      <c r="S197" s="27"/>
      <c r="T197" s="27"/>
      <c r="U197" s="8" t="s">
        <v>1369</v>
      </c>
      <c r="V197" s="8" t="s">
        <v>1369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28</v>
      </c>
      <c r="M198" s="17">
        <f t="shared" si="17"/>
        <v>2</v>
      </c>
      <c r="N198" s="18">
        <f t="shared" si="18"/>
        <v>0.93333333333333335</v>
      </c>
      <c r="O198" s="27"/>
      <c r="P198" s="8"/>
      <c r="Q198" s="8"/>
      <c r="R198" s="8"/>
      <c r="S198" s="27"/>
      <c r="T198" s="27"/>
      <c r="U198" s="8" t="s">
        <v>1369</v>
      </c>
      <c r="V198" s="8" t="s">
        <v>1369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1369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1369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1369</v>
      </c>
      <c r="S201" s="27"/>
      <c r="T201" s="27"/>
      <c r="U201" s="8"/>
      <c r="V201" s="8" t="s">
        <v>1369</v>
      </c>
      <c r="W201" s="8" t="s">
        <v>1369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1369</v>
      </c>
      <c r="S202" s="27"/>
      <c r="T202" s="27"/>
      <c r="U202" s="8"/>
      <c r="V202" s="8"/>
      <c r="W202" s="8" t="s">
        <v>1369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22</v>
      </c>
      <c r="M206" s="17">
        <f t="shared" si="17"/>
        <v>8</v>
      </c>
      <c r="N206" s="18">
        <f t="shared" si="18"/>
        <v>0.73333333333333328</v>
      </c>
      <c r="O206" s="27" t="s">
        <v>1369</v>
      </c>
      <c r="P206" s="8" t="s">
        <v>1369</v>
      </c>
      <c r="Q206" s="8" t="s">
        <v>1369</v>
      </c>
      <c r="R206" s="8" t="s">
        <v>1369</v>
      </c>
      <c r="S206" s="27" t="s">
        <v>1369</v>
      </c>
      <c r="T206" s="27"/>
      <c r="U206" s="8" t="s">
        <v>1369</v>
      </c>
      <c r="V206" s="8" t="s">
        <v>1369</v>
      </c>
      <c r="W206" s="8" t="s">
        <v>1369</v>
      </c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22</v>
      </c>
      <c r="M207" s="17">
        <f t="shared" si="17"/>
        <v>8</v>
      </c>
      <c r="N207" s="18">
        <f t="shared" si="18"/>
        <v>0.73333333333333328</v>
      </c>
      <c r="O207" s="27" t="s">
        <v>1369</v>
      </c>
      <c r="P207" s="8" t="s">
        <v>1369</v>
      </c>
      <c r="Q207" s="8" t="s">
        <v>1369</v>
      </c>
      <c r="R207" s="8" t="s">
        <v>1369</v>
      </c>
      <c r="S207" s="27" t="s">
        <v>1369</v>
      </c>
      <c r="T207" s="27"/>
      <c r="U207" s="8" t="s">
        <v>1369</v>
      </c>
      <c r="V207" s="8" t="s">
        <v>1369</v>
      </c>
      <c r="W207" s="8" t="s">
        <v>1369</v>
      </c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22</v>
      </c>
      <c r="M211" s="17">
        <f t="shared" si="17"/>
        <v>8</v>
      </c>
      <c r="N211" s="18">
        <f t="shared" si="18"/>
        <v>0.73333333333333328</v>
      </c>
      <c r="O211" s="27" t="s">
        <v>1369</v>
      </c>
      <c r="P211" s="8" t="s">
        <v>1369</v>
      </c>
      <c r="Q211" s="8" t="s">
        <v>1369</v>
      </c>
      <c r="R211" s="8" t="s">
        <v>1369</v>
      </c>
      <c r="S211" s="27" t="s">
        <v>1369</v>
      </c>
      <c r="T211" s="27"/>
      <c r="U211" s="8" t="s">
        <v>1369</v>
      </c>
      <c r="V211" s="8" t="s">
        <v>1369</v>
      </c>
      <c r="W211" s="8" t="s">
        <v>1369</v>
      </c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22</v>
      </c>
      <c r="M212" s="17">
        <f t="shared" si="17"/>
        <v>8</v>
      </c>
      <c r="N212" s="18">
        <f t="shared" si="18"/>
        <v>0.73333333333333328</v>
      </c>
      <c r="O212" s="27" t="s">
        <v>1369</v>
      </c>
      <c r="P212" s="8" t="s">
        <v>1369</v>
      </c>
      <c r="Q212" s="8" t="s">
        <v>1369</v>
      </c>
      <c r="R212" s="8" t="s">
        <v>1369</v>
      </c>
      <c r="S212" s="27" t="s">
        <v>1369</v>
      </c>
      <c r="T212" s="27"/>
      <c r="U212" s="8" t="s">
        <v>1369</v>
      </c>
      <c r="V212" s="8" t="s">
        <v>1369</v>
      </c>
      <c r="W212" s="8" t="s">
        <v>1369</v>
      </c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29</v>
      </c>
      <c r="M214" s="17">
        <f t="shared" si="17"/>
        <v>1</v>
      </c>
      <c r="N214" s="18">
        <f t="shared" si="18"/>
        <v>0.96666666666666667</v>
      </c>
      <c r="O214" s="27"/>
      <c r="P214" s="8"/>
      <c r="Q214" s="8"/>
      <c r="R214" s="8"/>
      <c r="S214" s="27"/>
      <c r="T214" s="27"/>
      <c r="U214" s="8"/>
      <c r="V214" s="8"/>
      <c r="W214" s="8" t="s">
        <v>1369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1369</v>
      </c>
      <c r="V230" s="8" t="s">
        <v>1369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22</v>
      </c>
      <c r="M231" s="17">
        <f t="shared" si="17"/>
        <v>8</v>
      </c>
      <c r="N231" s="18">
        <f t="shared" si="18"/>
        <v>0.73333333333333328</v>
      </c>
      <c r="O231" s="27" t="s">
        <v>1369</v>
      </c>
      <c r="P231" s="8" t="s">
        <v>1369</v>
      </c>
      <c r="Q231" s="8" t="s">
        <v>1369</v>
      </c>
      <c r="R231" s="8" t="s">
        <v>1369</v>
      </c>
      <c r="S231" s="27" t="s">
        <v>1369</v>
      </c>
      <c r="T231" s="27"/>
      <c r="U231" s="8" t="s">
        <v>1369</v>
      </c>
      <c r="V231" s="8" t="s">
        <v>1369</v>
      </c>
      <c r="W231" s="8" t="s">
        <v>1369</v>
      </c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22</v>
      </c>
      <c r="M232" s="17">
        <f t="shared" si="17"/>
        <v>8</v>
      </c>
      <c r="N232" s="18">
        <f t="shared" si="18"/>
        <v>0.73333333333333328</v>
      </c>
      <c r="O232" s="27" t="s">
        <v>1369</v>
      </c>
      <c r="P232" s="8" t="s">
        <v>1369</v>
      </c>
      <c r="Q232" s="8" t="s">
        <v>1369</v>
      </c>
      <c r="R232" s="8" t="s">
        <v>1369</v>
      </c>
      <c r="S232" s="27" t="s">
        <v>1369</v>
      </c>
      <c r="T232" s="27"/>
      <c r="U232" s="8" t="s">
        <v>1369</v>
      </c>
      <c r="V232" s="8" t="s">
        <v>1369</v>
      </c>
      <c r="W232" s="8" t="s">
        <v>1369</v>
      </c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1369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1369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1369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1369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29</v>
      </c>
      <c r="M248" s="17">
        <f t="shared" si="17"/>
        <v>1</v>
      </c>
      <c r="N248" s="18">
        <f t="shared" si="18"/>
        <v>0.96666666666666667</v>
      </c>
      <c r="O248" s="27"/>
      <c r="P248" s="8"/>
      <c r="Q248" s="8"/>
      <c r="R248" s="8"/>
      <c r="S248" s="27"/>
      <c r="T248" s="27"/>
      <c r="U248" s="8"/>
      <c r="V248" s="8"/>
      <c r="W248" s="8" t="s">
        <v>1369</v>
      </c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1369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1369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22</v>
      </c>
      <c r="M283" s="17">
        <f t="shared" si="21"/>
        <v>8</v>
      </c>
      <c r="N283" s="18">
        <f t="shared" si="22"/>
        <v>0.73333333333333328</v>
      </c>
      <c r="O283" s="27" t="s">
        <v>1369</v>
      </c>
      <c r="P283" s="8" t="s">
        <v>1369</v>
      </c>
      <c r="Q283" s="8" t="s">
        <v>1369</v>
      </c>
      <c r="R283" s="8" t="s">
        <v>1369</v>
      </c>
      <c r="S283" s="27" t="s">
        <v>1369</v>
      </c>
      <c r="T283" s="27"/>
      <c r="U283" s="8" t="s">
        <v>1369</v>
      </c>
      <c r="V283" s="8" t="s">
        <v>1369</v>
      </c>
      <c r="W283" s="8" t="s">
        <v>1369</v>
      </c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23</v>
      </c>
      <c r="M299" s="17">
        <f t="shared" si="21"/>
        <v>7</v>
      </c>
      <c r="N299" s="18">
        <f t="shared" si="22"/>
        <v>0.76666666666666672</v>
      </c>
      <c r="O299" s="27"/>
      <c r="P299" s="8" t="s">
        <v>1369</v>
      </c>
      <c r="Q299" s="8" t="s">
        <v>1369</v>
      </c>
      <c r="R299" s="8" t="s">
        <v>1369</v>
      </c>
      <c r="S299" s="27" t="s">
        <v>1369</v>
      </c>
      <c r="T299" s="27"/>
      <c r="U299" s="8" t="s">
        <v>1369</v>
      </c>
      <c r="V299" s="8" t="s">
        <v>1369</v>
      </c>
      <c r="W299" s="8" t="s">
        <v>1369</v>
      </c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23</v>
      </c>
      <c r="M300" s="17">
        <f t="shared" si="21"/>
        <v>7</v>
      </c>
      <c r="N300" s="18">
        <f t="shared" si="22"/>
        <v>0.76666666666666672</v>
      </c>
      <c r="O300" s="27"/>
      <c r="P300" s="8" t="s">
        <v>1369</v>
      </c>
      <c r="Q300" s="8" t="s">
        <v>1369</v>
      </c>
      <c r="R300" s="8" t="s">
        <v>1369</v>
      </c>
      <c r="S300" s="27" t="s">
        <v>1369</v>
      </c>
      <c r="T300" s="27"/>
      <c r="U300" s="8" t="s">
        <v>1369</v>
      </c>
      <c r="V300" s="8" t="s">
        <v>1369</v>
      </c>
      <c r="W300" s="8" t="s">
        <v>1369</v>
      </c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1369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1369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23</v>
      </c>
      <c r="M303" s="17">
        <f t="shared" si="21"/>
        <v>7</v>
      </c>
      <c r="N303" s="18">
        <f t="shared" si="22"/>
        <v>0.76666666666666672</v>
      </c>
      <c r="O303" s="27" t="s">
        <v>1369</v>
      </c>
      <c r="P303" s="8" t="s">
        <v>1369</v>
      </c>
      <c r="Q303" s="8" t="s">
        <v>1369</v>
      </c>
      <c r="R303" s="8" t="s">
        <v>1369</v>
      </c>
      <c r="S303" s="27" t="s">
        <v>1369</v>
      </c>
      <c r="T303" s="27"/>
      <c r="U303" s="8" t="s">
        <v>1369</v>
      </c>
      <c r="V303" s="8"/>
      <c r="W303" s="8" t="s">
        <v>1369</v>
      </c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1369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1369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1369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1369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22</v>
      </c>
      <c r="M308" s="17">
        <f t="shared" si="21"/>
        <v>8</v>
      </c>
      <c r="N308" s="18">
        <f t="shared" si="22"/>
        <v>0.73333333333333328</v>
      </c>
      <c r="O308" s="27" t="s">
        <v>1369</v>
      </c>
      <c r="P308" s="8" t="s">
        <v>1369</v>
      </c>
      <c r="Q308" s="8" t="s">
        <v>1369</v>
      </c>
      <c r="R308" s="8" t="s">
        <v>1369</v>
      </c>
      <c r="S308" s="27" t="s">
        <v>1369</v>
      </c>
      <c r="T308" s="27"/>
      <c r="U308" s="8" t="s">
        <v>1369</v>
      </c>
      <c r="V308" s="8" t="s">
        <v>1369</v>
      </c>
      <c r="W308" s="8" t="s">
        <v>1369</v>
      </c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22</v>
      </c>
      <c r="M335" s="17">
        <f t="shared" si="24"/>
        <v>8</v>
      </c>
      <c r="N335" s="18">
        <f t="shared" si="25"/>
        <v>0.73333333333333328</v>
      </c>
      <c r="O335" s="27" t="s">
        <v>1369</v>
      </c>
      <c r="P335" s="8" t="s">
        <v>1369</v>
      </c>
      <c r="Q335" s="8" t="s">
        <v>1369</v>
      </c>
      <c r="R335" s="8" t="s">
        <v>1369</v>
      </c>
      <c r="S335" s="27" t="s">
        <v>1369</v>
      </c>
      <c r="T335" s="27"/>
      <c r="U335" s="8" t="s">
        <v>1369</v>
      </c>
      <c r="V335" s="8" t="s">
        <v>1369</v>
      </c>
      <c r="W335" s="8" t="s">
        <v>1369</v>
      </c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22</v>
      </c>
      <c r="M336" s="17">
        <f t="shared" si="24"/>
        <v>8</v>
      </c>
      <c r="N336" s="18">
        <f t="shared" si="25"/>
        <v>0.73333333333333328</v>
      </c>
      <c r="O336" s="27" t="s">
        <v>1369</v>
      </c>
      <c r="P336" s="8" t="s">
        <v>1369</v>
      </c>
      <c r="Q336" s="8" t="s">
        <v>1369</v>
      </c>
      <c r="R336" s="8" t="s">
        <v>1369</v>
      </c>
      <c r="S336" s="27" t="s">
        <v>1369</v>
      </c>
      <c r="T336" s="27"/>
      <c r="U336" s="8" t="s">
        <v>1369</v>
      </c>
      <c r="V336" s="8" t="s">
        <v>1369</v>
      </c>
      <c r="W336" s="8" t="s">
        <v>1369</v>
      </c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1369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1369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22</v>
      </c>
      <c r="M352" s="17">
        <f t="shared" si="24"/>
        <v>8</v>
      </c>
      <c r="N352" s="18">
        <f t="shared" si="25"/>
        <v>0.73333333333333328</v>
      </c>
      <c r="O352" s="27" t="s">
        <v>1369</v>
      </c>
      <c r="P352" s="8" t="s">
        <v>1369</v>
      </c>
      <c r="Q352" s="8" t="s">
        <v>1369</v>
      </c>
      <c r="R352" s="8" t="s">
        <v>1369</v>
      </c>
      <c r="S352" s="27" t="s">
        <v>1369</v>
      </c>
      <c r="T352" s="27"/>
      <c r="U352" s="8" t="s">
        <v>1369</v>
      </c>
      <c r="V352" s="8" t="s">
        <v>1369</v>
      </c>
      <c r="W352" s="8" t="s">
        <v>1369</v>
      </c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1357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22</v>
      </c>
      <c r="M359" s="17">
        <f t="shared" si="24"/>
        <v>8</v>
      </c>
      <c r="N359" s="18">
        <f t="shared" si="25"/>
        <v>0.73333333333333328</v>
      </c>
      <c r="O359" s="27" t="s">
        <v>1369</v>
      </c>
      <c r="P359" s="8" t="s">
        <v>1369</v>
      </c>
      <c r="Q359" s="8" t="s">
        <v>1369</v>
      </c>
      <c r="R359" s="8" t="s">
        <v>1369</v>
      </c>
      <c r="S359" s="27" t="s">
        <v>1369</v>
      </c>
      <c r="T359" s="27"/>
      <c r="U359" s="8" t="s">
        <v>1369</v>
      </c>
      <c r="V359" s="8" t="s">
        <v>1369</v>
      </c>
      <c r="W359" s="8" t="s">
        <v>1369</v>
      </c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22</v>
      </c>
      <c r="M360" s="17">
        <f t="shared" si="24"/>
        <v>8</v>
      </c>
      <c r="N360" s="18">
        <f t="shared" si="25"/>
        <v>0.73333333333333328</v>
      </c>
      <c r="O360" s="27" t="s">
        <v>1369</v>
      </c>
      <c r="P360" s="8" t="s">
        <v>1369</v>
      </c>
      <c r="Q360" s="8" t="s">
        <v>1369</v>
      </c>
      <c r="R360" s="8" t="s">
        <v>1369</v>
      </c>
      <c r="S360" s="27" t="s">
        <v>1369</v>
      </c>
      <c r="T360" s="27"/>
      <c r="U360" s="8" t="s">
        <v>1369</v>
      </c>
      <c r="V360" s="8" t="s">
        <v>1369</v>
      </c>
      <c r="W360" s="8" t="s">
        <v>1369</v>
      </c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22</v>
      </c>
      <c r="M361" s="17">
        <f t="shared" si="24"/>
        <v>8</v>
      </c>
      <c r="N361" s="18">
        <f t="shared" si="25"/>
        <v>0.73333333333333328</v>
      </c>
      <c r="O361" s="27" t="s">
        <v>1369</v>
      </c>
      <c r="P361" s="8" t="s">
        <v>1369</v>
      </c>
      <c r="Q361" s="8" t="s">
        <v>1369</v>
      </c>
      <c r="R361" s="8" t="s">
        <v>1369</v>
      </c>
      <c r="S361" s="27" t="s">
        <v>1369</v>
      </c>
      <c r="T361" s="27"/>
      <c r="U361" s="8" t="s">
        <v>1369</v>
      </c>
      <c r="V361" s="8" t="s">
        <v>1369</v>
      </c>
      <c r="W361" s="8" t="s">
        <v>1369</v>
      </c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22</v>
      </c>
      <c r="M362" s="17">
        <f t="shared" si="24"/>
        <v>8</v>
      </c>
      <c r="N362" s="18">
        <f t="shared" si="25"/>
        <v>0.73333333333333328</v>
      </c>
      <c r="O362" s="27" t="s">
        <v>1369</v>
      </c>
      <c r="P362" s="8" t="s">
        <v>1369</v>
      </c>
      <c r="Q362" s="8" t="s">
        <v>1369</v>
      </c>
      <c r="R362" s="8" t="s">
        <v>1369</v>
      </c>
      <c r="S362" s="27" t="s">
        <v>1369</v>
      </c>
      <c r="T362" s="27"/>
      <c r="U362" s="8" t="s">
        <v>1369</v>
      </c>
      <c r="V362" s="8" t="s">
        <v>1369</v>
      </c>
      <c r="W362" s="8" t="s">
        <v>1369</v>
      </c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1369</v>
      </c>
      <c r="P363" s="8" t="s">
        <v>1369</v>
      </c>
      <c r="Q363" s="8" t="s">
        <v>1369</v>
      </c>
      <c r="R363" s="8" t="s">
        <v>1369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1358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1359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07" priority="2159" operator="lessThan">
      <formula>0.8</formula>
    </cfRule>
    <cfRule type="cellIs" dxfId="806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05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04" priority="2154" operator="notContains" text="Caida">
      <formula>ISERROR(SEARCH("Caida",O95))</formula>
    </cfRule>
    <cfRule type="containsText" dxfId="803" priority="2155" operator="containsText" text="Caida">
      <formula>NOT(ISERROR(SEARCH("Caida",O95)))</formula>
    </cfRule>
  </conditionalFormatting>
  <conditionalFormatting sqref="E282:K282">
    <cfRule type="containsText" dxfId="802" priority="2127" operator="containsText" text="Radio">
      <formula>NOT(ISERROR(SEARCH("Radio",E282)))</formula>
    </cfRule>
  </conditionalFormatting>
  <conditionalFormatting sqref="E283:K283">
    <cfRule type="containsText" dxfId="801" priority="2102" operator="containsText" text="Radio">
      <formula>NOT(ISERROR(SEARCH("Radio",E283)))</formula>
    </cfRule>
  </conditionalFormatting>
  <conditionalFormatting sqref="E4:K4">
    <cfRule type="containsText" dxfId="800" priority="2077" operator="containsText" text="Radio">
      <formula>NOT(ISERROR(SEARCH("Radio",E4)))</formula>
    </cfRule>
  </conditionalFormatting>
  <conditionalFormatting sqref="E231:K231">
    <cfRule type="containsText" dxfId="799" priority="2076" operator="containsText" text="Radio">
      <formula>NOT(ISERROR(SEARCH("Radio",E231)))</formula>
    </cfRule>
  </conditionalFormatting>
  <conditionalFormatting sqref="E232:K232">
    <cfRule type="containsText" dxfId="798" priority="2051" operator="containsText" text="Radio">
      <formula>NOT(ISERROR(SEARCH("Radio",E232)))</formula>
    </cfRule>
  </conditionalFormatting>
  <conditionalFormatting sqref="E233:K233">
    <cfRule type="containsText" dxfId="797" priority="2026" operator="containsText" text="Radio">
      <formula>NOT(ISERROR(SEARCH("Radio",E233)))</formula>
    </cfRule>
  </conditionalFormatting>
  <conditionalFormatting sqref="E234:K234">
    <cfRule type="containsText" dxfId="796" priority="2001" operator="containsText" text="Radio">
      <formula>NOT(ISERROR(SEARCH("Radio",E234)))</formula>
    </cfRule>
  </conditionalFormatting>
  <conditionalFormatting sqref="E235:K235">
    <cfRule type="containsText" dxfId="795" priority="1976" operator="containsText" text="Radio">
      <formula>NOT(ISERROR(SEARCH("Radio",E235)))</formula>
    </cfRule>
  </conditionalFormatting>
  <conditionalFormatting sqref="E335:K335">
    <cfRule type="containsText" dxfId="794" priority="1927" operator="containsText" text="Radio">
      <formula>NOT(ISERROR(SEARCH("Radio",E335)))</formula>
    </cfRule>
  </conditionalFormatting>
  <conditionalFormatting sqref="E336:K336">
    <cfRule type="containsText" dxfId="793" priority="1902" operator="containsText" text="Radio">
      <formula>NOT(ISERROR(SEARCH("Radio",E336)))</formula>
    </cfRule>
  </conditionalFormatting>
  <conditionalFormatting sqref="E237:K237">
    <cfRule type="containsText" dxfId="792" priority="1877" operator="containsText" text="Radio">
      <formula>NOT(ISERROR(SEARCH("Radio",E237)))</formula>
    </cfRule>
  </conditionalFormatting>
  <conditionalFormatting sqref="E238:K238">
    <cfRule type="containsText" dxfId="791" priority="1852" operator="containsText" text="Radio">
      <formula>NOT(ISERROR(SEARCH("Radio",E238)))</formula>
    </cfRule>
  </conditionalFormatting>
  <conditionalFormatting sqref="E33:K35">
    <cfRule type="containsText" dxfId="790" priority="1827" operator="containsText" text="Radio">
      <formula>NOT(ISERROR(SEARCH("Radio",E33)))</formula>
    </cfRule>
  </conditionalFormatting>
  <conditionalFormatting sqref="E239:K239">
    <cfRule type="containsText" dxfId="789" priority="1802" operator="containsText" text="Radio">
      <formula>NOT(ISERROR(SEARCH("Radio",E239)))</formula>
    </cfRule>
  </conditionalFormatting>
  <conditionalFormatting sqref="E240:K240">
    <cfRule type="containsText" dxfId="788" priority="1777" operator="containsText" text="Radio">
      <formula>NOT(ISERROR(SEARCH("Radio",E240)))</formula>
    </cfRule>
  </conditionalFormatting>
  <conditionalFormatting sqref="E241:K241">
    <cfRule type="containsText" dxfId="787" priority="1752" operator="containsText" text="Radio">
      <formula>NOT(ISERROR(SEARCH("Radio",E241)))</formula>
    </cfRule>
  </conditionalFormatting>
  <conditionalFormatting sqref="E242:K242">
    <cfRule type="containsText" dxfId="786" priority="1727" operator="containsText" text="Radio">
      <formula>NOT(ISERROR(SEARCH("Radio",E242)))</formula>
    </cfRule>
  </conditionalFormatting>
  <conditionalFormatting sqref="P6:P92 P96:P230">
    <cfRule type="cellIs" dxfId="785" priority="1652" operator="lessThan">
      <formula>0.8</formula>
    </cfRule>
    <cfRule type="cellIs" dxfId="784" priority="1653" operator="greaterThan">
      <formula>0.8</formula>
    </cfRule>
  </conditionalFormatting>
  <conditionalFormatting sqref="P6:P92 P96:P230">
    <cfRule type="notContainsText" dxfId="783" priority="1650" operator="notContains" text="Caida">
      <formula>ISERROR(SEARCH("Caida",P6))</formula>
    </cfRule>
    <cfRule type="containsText" dxfId="782" priority="1651" operator="containsText" text="Caida">
      <formula>NOT(ISERROR(SEARCH("Caida",P6)))</formula>
    </cfRule>
  </conditionalFormatting>
  <conditionalFormatting sqref="P337:P366 P284:P334">
    <cfRule type="cellIs" dxfId="781" priority="1648" operator="lessThan">
      <formula>0.8</formula>
    </cfRule>
    <cfRule type="cellIs" dxfId="780" priority="1649" operator="greaterThan">
      <formula>0.8</formula>
    </cfRule>
  </conditionalFormatting>
  <conditionalFormatting sqref="P337:P366 P284:P334 P391:P1048576">
    <cfRule type="notContainsText" dxfId="779" priority="1646" operator="notContains" text="Caida">
      <formula>ISERROR(SEARCH("Caida",P284))</formula>
    </cfRule>
    <cfRule type="containsText" dxfId="778" priority="1647" operator="containsText" text="Caida">
      <formula>NOT(ISERROR(SEARCH("Caida",P284)))</formula>
    </cfRule>
  </conditionalFormatting>
  <conditionalFormatting sqref="O391:O1048576">
    <cfRule type="notContainsText" dxfId="777" priority="1695" operator="notContains" text="Caida">
      <formula>ISERROR(SEARCH("Caida",O391))</formula>
    </cfRule>
    <cfRule type="containsText" dxfId="776" priority="1696" operator="containsText" text="Caida">
      <formula>NOT(ISERROR(SEARCH("Caida",O391)))</formula>
    </cfRule>
  </conditionalFormatting>
  <conditionalFormatting sqref="P336">
    <cfRule type="cellIs" dxfId="775" priority="1607" operator="lessThan">
      <formula>0.8</formula>
    </cfRule>
    <cfRule type="cellIs" dxfId="774" priority="1608" operator="greaterThan">
      <formula>0.8</formula>
    </cfRule>
  </conditionalFormatting>
  <conditionalFormatting sqref="P336">
    <cfRule type="notContainsText" dxfId="773" priority="1605" operator="notContains" text="Caida">
      <formula>ISERROR(SEARCH("Caida",P336))</formula>
    </cfRule>
    <cfRule type="containsText" dxfId="772" priority="1606" operator="containsText" text="Caida">
      <formula>NOT(ISERROR(SEARCH("Caida",P336)))</formula>
    </cfRule>
  </conditionalFormatting>
  <conditionalFormatting sqref="P22">
    <cfRule type="containsText" dxfId="771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70" priority="1643" operator="lessThan">
      <formula>0.8</formula>
    </cfRule>
    <cfRule type="cellIs" dxfId="769" priority="1644" operator="greaterThan">
      <formula>0.8</formula>
    </cfRule>
  </conditionalFormatting>
  <conditionalFormatting sqref="P282">
    <cfRule type="notContainsText" dxfId="768" priority="1641" operator="notContains" text="Caida">
      <formula>ISERROR(SEARCH("Caida",P282))</formula>
    </cfRule>
    <cfRule type="containsText" dxfId="767" priority="1642" operator="containsText" text="Caida">
      <formula>NOT(ISERROR(SEARCH("Caida",P282)))</formula>
    </cfRule>
  </conditionalFormatting>
  <conditionalFormatting sqref="P283">
    <cfRule type="cellIs" dxfId="766" priority="1639" operator="lessThan">
      <formula>0.8</formula>
    </cfRule>
    <cfRule type="cellIs" dxfId="765" priority="1640" operator="greaterThan">
      <formula>0.8</formula>
    </cfRule>
  </conditionalFormatting>
  <conditionalFormatting sqref="P283">
    <cfRule type="notContainsText" dxfId="764" priority="1637" operator="notContains" text="Caida">
      <formula>ISERROR(SEARCH("Caida",P283))</formula>
    </cfRule>
    <cfRule type="containsText" dxfId="763" priority="1638" operator="containsText" text="Caida">
      <formula>NOT(ISERROR(SEARCH("Caida",P283)))</formula>
    </cfRule>
  </conditionalFormatting>
  <conditionalFormatting sqref="P5">
    <cfRule type="cellIs" dxfId="762" priority="1635" operator="lessThan">
      <formula>0.8</formula>
    </cfRule>
    <cfRule type="cellIs" dxfId="761" priority="1636" operator="greaterThan">
      <formula>0.8</formula>
    </cfRule>
  </conditionalFormatting>
  <conditionalFormatting sqref="P5">
    <cfRule type="notContainsText" dxfId="760" priority="1633" operator="notContains" text="Caida">
      <formula>ISERROR(SEARCH("Caida",P5))</formula>
    </cfRule>
    <cfRule type="containsText" dxfId="759" priority="1634" operator="containsText" text="Caida">
      <formula>NOT(ISERROR(SEARCH("Caida",P5)))</formula>
    </cfRule>
  </conditionalFormatting>
  <conditionalFormatting sqref="P231">
    <cfRule type="cellIs" dxfId="758" priority="1631" operator="lessThan">
      <formula>0.8</formula>
    </cfRule>
    <cfRule type="cellIs" dxfId="757" priority="1632" operator="greaterThan">
      <formula>0.8</formula>
    </cfRule>
  </conditionalFormatting>
  <conditionalFormatting sqref="P231">
    <cfRule type="notContainsText" dxfId="756" priority="1629" operator="notContains" text="Caida">
      <formula>ISERROR(SEARCH("Caida",P231))</formula>
    </cfRule>
    <cfRule type="containsText" dxfId="755" priority="1630" operator="containsText" text="Caida">
      <formula>NOT(ISERROR(SEARCH("Caida",P231)))</formula>
    </cfRule>
  </conditionalFormatting>
  <conditionalFormatting sqref="P232">
    <cfRule type="cellIs" dxfId="754" priority="1627" operator="lessThan">
      <formula>0.8</formula>
    </cfRule>
    <cfRule type="cellIs" dxfId="753" priority="1628" operator="greaterThan">
      <formula>0.8</formula>
    </cfRule>
  </conditionalFormatting>
  <conditionalFormatting sqref="P232">
    <cfRule type="notContainsText" dxfId="752" priority="1625" operator="notContains" text="Caida">
      <formula>ISERROR(SEARCH("Caida",P232))</formula>
    </cfRule>
    <cfRule type="containsText" dxfId="751" priority="1626" operator="containsText" text="Caida">
      <formula>NOT(ISERROR(SEARCH("Caida",P232)))</formula>
    </cfRule>
  </conditionalFormatting>
  <conditionalFormatting sqref="P233">
    <cfRule type="cellIs" dxfId="750" priority="1623" operator="lessThan">
      <formula>0.8</formula>
    </cfRule>
    <cfRule type="cellIs" dxfId="749" priority="1624" operator="greaterThan">
      <formula>0.8</formula>
    </cfRule>
  </conditionalFormatting>
  <conditionalFormatting sqref="P233">
    <cfRule type="notContainsText" dxfId="748" priority="1621" operator="notContains" text="Caida">
      <formula>ISERROR(SEARCH("Caida",P233))</formula>
    </cfRule>
    <cfRule type="containsText" dxfId="747" priority="1622" operator="containsText" text="Caida">
      <formula>NOT(ISERROR(SEARCH("Caida",P233)))</formula>
    </cfRule>
  </conditionalFormatting>
  <conditionalFormatting sqref="P234">
    <cfRule type="cellIs" dxfId="746" priority="1619" operator="lessThan">
      <formula>0.8</formula>
    </cfRule>
    <cfRule type="cellIs" dxfId="745" priority="1620" operator="greaterThan">
      <formula>0.8</formula>
    </cfRule>
  </conditionalFormatting>
  <conditionalFormatting sqref="P234">
    <cfRule type="notContainsText" dxfId="744" priority="1617" operator="notContains" text="Caida">
      <formula>ISERROR(SEARCH("Caida",P234))</formula>
    </cfRule>
    <cfRule type="containsText" dxfId="743" priority="1618" operator="containsText" text="Caida">
      <formula>NOT(ISERROR(SEARCH("Caida",P234)))</formula>
    </cfRule>
  </conditionalFormatting>
  <conditionalFormatting sqref="P235">
    <cfRule type="cellIs" dxfId="742" priority="1615" operator="lessThan">
      <formula>0.8</formula>
    </cfRule>
    <cfRule type="cellIs" dxfId="741" priority="1616" operator="greaterThan">
      <formula>0.8</formula>
    </cfRule>
  </conditionalFormatting>
  <conditionalFormatting sqref="P235">
    <cfRule type="notContainsText" dxfId="740" priority="1613" operator="notContains" text="Caida">
      <formula>ISERROR(SEARCH("Caida",P235))</formula>
    </cfRule>
    <cfRule type="containsText" dxfId="739" priority="1614" operator="containsText" text="Caida">
      <formula>NOT(ISERROR(SEARCH("Caida",P235)))</formula>
    </cfRule>
  </conditionalFormatting>
  <conditionalFormatting sqref="P335">
    <cfRule type="cellIs" dxfId="738" priority="1611" operator="lessThan">
      <formula>0.8</formula>
    </cfRule>
    <cfRule type="cellIs" dxfId="737" priority="1612" operator="greaterThan">
      <formula>0.8</formula>
    </cfRule>
  </conditionalFormatting>
  <conditionalFormatting sqref="P335">
    <cfRule type="notContainsText" dxfId="736" priority="1609" operator="notContains" text="Caida">
      <formula>ISERROR(SEARCH("Caida",P335))</formula>
    </cfRule>
    <cfRule type="containsText" dxfId="735" priority="1610" operator="containsText" text="Caida">
      <formula>NOT(ISERROR(SEARCH("Caida",P335)))</formula>
    </cfRule>
  </conditionalFormatting>
  <conditionalFormatting sqref="Q6:Q92 Q96:Q230">
    <cfRule type="cellIs" dxfId="734" priority="1603" operator="lessThan">
      <formula>0.8</formula>
    </cfRule>
    <cfRule type="cellIs" dxfId="733" priority="1604" operator="greaterThan">
      <formula>0.8</formula>
    </cfRule>
  </conditionalFormatting>
  <conditionalFormatting sqref="Q6:Q92 Q96:Q230">
    <cfRule type="notContainsText" dxfId="732" priority="1601" operator="notContains" text="Caida">
      <formula>ISERROR(SEARCH("Caida",Q6))</formula>
    </cfRule>
    <cfRule type="containsText" dxfId="731" priority="1602" operator="containsText" text="Caida">
      <formula>NOT(ISERROR(SEARCH("Caida",Q6)))</formula>
    </cfRule>
  </conditionalFormatting>
  <conditionalFormatting sqref="Q336">
    <cfRule type="cellIs" dxfId="730" priority="1558" operator="lessThan">
      <formula>0.8</formula>
    </cfRule>
    <cfRule type="cellIs" dxfId="729" priority="1559" operator="greaterThan">
      <formula>0.8</formula>
    </cfRule>
  </conditionalFormatting>
  <conditionalFormatting sqref="Q336">
    <cfRule type="notContainsText" dxfId="728" priority="1556" operator="notContains" text="Caida">
      <formula>ISERROR(SEARCH("Caida",Q336))</formula>
    </cfRule>
    <cfRule type="containsText" dxfId="727" priority="1557" operator="containsText" text="Caida">
      <formula>NOT(ISERROR(SEARCH("Caida",Q336)))</formula>
    </cfRule>
  </conditionalFormatting>
  <conditionalFormatting sqref="Q337:Q366 Q284:Q334">
    <cfRule type="cellIs" dxfId="726" priority="1599" operator="lessThan">
      <formula>0.8</formula>
    </cfRule>
    <cfRule type="cellIs" dxfId="725" priority="1600" operator="greaterThan">
      <formula>0.8</formula>
    </cfRule>
  </conditionalFormatting>
  <conditionalFormatting sqref="Q337:Q366 Q284:Q334 Q391:Q1048576">
    <cfRule type="notContainsText" dxfId="724" priority="1597" operator="notContains" text="Caida">
      <formula>ISERROR(SEARCH("Caida",Q284))</formula>
    </cfRule>
    <cfRule type="containsText" dxfId="723" priority="1598" operator="containsText" text="Caida">
      <formula>NOT(ISERROR(SEARCH("Caida",Q284)))</formula>
    </cfRule>
  </conditionalFormatting>
  <conditionalFormatting sqref="Q22">
    <cfRule type="containsText" dxfId="722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21" priority="1594" operator="lessThan">
      <formula>0.8</formula>
    </cfRule>
    <cfRule type="cellIs" dxfId="720" priority="1595" operator="greaterThan">
      <formula>0.8</formula>
    </cfRule>
  </conditionalFormatting>
  <conditionalFormatting sqref="Q282">
    <cfRule type="notContainsText" dxfId="719" priority="1592" operator="notContains" text="Caida">
      <formula>ISERROR(SEARCH("Caida",Q282))</formula>
    </cfRule>
    <cfRule type="containsText" dxfId="718" priority="1593" operator="containsText" text="Caida">
      <formula>NOT(ISERROR(SEARCH("Caida",Q282)))</formula>
    </cfRule>
  </conditionalFormatting>
  <conditionalFormatting sqref="Q283">
    <cfRule type="cellIs" dxfId="717" priority="1590" operator="lessThan">
      <formula>0.8</formula>
    </cfRule>
    <cfRule type="cellIs" dxfId="716" priority="1591" operator="greaterThan">
      <formula>0.8</formula>
    </cfRule>
  </conditionalFormatting>
  <conditionalFormatting sqref="Q283">
    <cfRule type="notContainsText" dxfId="715" priority="1588" operator="notContains" text="Caida">
      <formula>ISERROR(SEARCH("Caida",Q283))</formula>
    </cfRule>
    <cfRule type="containsText" dxfId="714" priority="1589" operator="containsText" text="Caida">
      <formula>NOT(ISERROR(SEARCH("Caida",Q283)))</formula>
    </cfRule>
  </conditionalFormatting>
  <conditionalFormatting sqref="Q5">
    <cfRule type="cellIs" dxfId="713" priority="1586" operator="lessThan">
      <formula>0.8</formula>
    </cfRule>
    <cfRule type="cellIs" dxfId="712" priority="1587" operator="greaterThan">
      <formula>0.8</formula>
    </cfRule>
  </conditionalFormatting>
  <conditionalFormatting sqref="Q5">
    <cfRule type="notContainsText" dxfId="711" priority="1584" operator="notContains" text="Caida">
      <formula>ISERROR(SEARCH("Caida",Q5))</formula>
    </cfRule>
    <cfRule type="containsText" dxfId="710" priority="1585" operator="containsText" text="Caida">
      <formula>NOT(ISERROR(SEARCH("Caida",Q5)))</formula>
    </cfRule>
  </conditionalFormatting>
  <conditionalFormatting sqref="Q231">
    <cfRule type="cellIs" dxfId="709" priority="1582" operator="lessThan">
      <formula>0.8</formula>
    </cfRule>
    <cfRule type="cellIs" dxfId="708" priority="1583" operator="greaterThan">
      <formula>0.8</formula>
    </cfRule>
  </conditionalFormatting>
  <conditionalFormatting sqref="Q231">
    <cfRule type="notContainsText" dxfId="707" priority="1580" operator="notContains" text="Caida">
      <formula>ISERROR(SEARCH("Caida",Q231))</formula>
    </cfRule>
    <cfRule type="containsText" dxfId="706" priority="1581" operator="containsText" text="Caida">
      <formula>NOT(ISERROR(SEARCH("Caida",Q231)))</formula>
    </cfRule>
  </conditionalFormatting>
  <conditionalFormatting sqref="Q232">
    <cfRule type="cellIs" dxfId="705" priority="1578" operator="lessThan">
      <formula>0.8</formula>
    </cfRule>
    <cfRule type="cellIs" dxfId="704" priority="1579" operator="greaterThan">
      <formula>0.8</formula>
    </cfRule>
  </conditionalFormatting>
  <conditionalFormatting sqref="Q232">
    <cfRule type="notContainsText" dxfId="703" priority="1576" operator="notContains" text="Caida">
      <formula>ISERROR(SEARCH("Caida",Q232))</formula>
    </cfRule>
    <cfRule type="containsText" dxfId="702" priority="1577" operator="containsText" text="Caida">
      <formula>NOT(ISERROR(SEARCH("Caida",Q232)))</formula>
    </cfRule>
  </conditionalFormatting>
  <conditionalFormatting sqref="Q233">
    <cfRule type="cellIs" dxfId="701" priority="1574" operator="lessThan">
      <formula>0.8</formula>
    </cfRule>
    <cfRule type="cellIs" dxfId="700" priority="1575" operator="greaterThan">
      <formula>0.8</formula>
    </cfRule>
  </conditionalFormatting>
  <conditionalFormatting sqref="Q233">
    <cfRule type="notContainsText" dxfId="699" priority="1572" operator="notContains" text="Caida">
      <formula>ISERROR(SEARCH("Caida",Q233))</formula>
    </cfRule>
    <cfRule type="containsText" dxfId="698" priority="1573" operator="containsText" text="Caida">
      <formula>NOT(ISERROR(SEARCH("Caida",Q233)))</formula>
    </cfRule>
  </conditionalFormatting>
  <conditionalFormatting sqref="Q234">
    <cfRule type="cellIs" dxfId="697" priority="1570" operator="lessThan">
      <formula>0.8</formula>
    </cfRule>
    <cfRule type="cellIs" dxfId="696" priority="1571" operator="greaterThan">
      <formula>0.8</formula>
    </cfRule>
  </conditionalFormatting>
  <conditionalFormatting sqref="Q234">
    <cfRule type="notContainsText" dxfId="695" priority="1568" operator="notContains" text="Caida">
      <formula>ISERROR(SEARCH("Caida",Q234))</formula>
    </cfRule>
    <cfRule type="containsText" dxfId="694" priority="1569" operator="containsText" text="Caida">
      <formula>NOT(ISERROR(SEARCH("Caida",Q234)))</formula>
    </cfRule>
  </conditionalFormatting>
  <conditionalFormatting sqref="Q235">
    <cfRule type="cellIs" dxfId="693" priority="1566" operator="lessThan">
      <formula>0.8</formula>
    </cfRule>
    <cfRule type="cellIs" dxfId="692" priority="1567" operator="greaterThan">
      <formula>0.8</formula>
    </cfRule>
  </conditionalFormatting>
  <conditionalFormatting sqref="Q235">
    <cfRule type="notContainsText" dxfId="691" priority="1564" operator="notContains" text="Caida">
      <formula>ISERROR(SEARCH("Caida",Q235))</formula>
    </cfRule>
    <cfRule type="containsText" dxfId="690" priority="1565" operator="containsText" text="Caida">
      <formula>NOT(ISERROR(SEARCH("Caida",Q235)))</formula>
    </cfRule>
  </conditionalFormatting>
  <conditionalFormatting sqref="Q335">
    <cfRule type="cellIs" dxfId="689" priority="1562" operator="lessThan">
      <formula>0.8</formula>
    </cfRule>
    <cfRule type="cellIs" dxfId="688" priority="1563" operator="greaterThan">
      <formula>0.8</formula>
    </cfRule>
  </conditionalFormatting>
  <conditionalFormatting sqref="Q335">
    <cfRule type="notContainsText" dxfId="687" priority="1560" operator="notContains" text="Caida">
      <formula>ISERROR(SEARCH("Caida",Q335))</formula>
    </cfRule>
    <cfRule type="containsText" dxfId="686" priority="1561" operator="containsText" text="Caida">
      <formula>NOT(ISERROR(SEARCH("Caida",Q335)))</formula>
    </cfRule>
  </conditionalFormatting>
  <conditionalFormatting sqref="R6:R92 R96:R230">
    <cfRule type="cellIs" dxfId="685" priority="1554" operator="lessThan">
      <formula>0.8</formula>
    </cfRule>
    <cfRule type="cellIs" dxfId="684" priority="1555" operator="greaterThan">
      <formula>0.8</formula>
    </cfRule>
  </conditionalFormatting>
  <conditionalFormatting sqref="R6:R92 R96:R230">
    <cfRule type="notContainsText" dxfId="683" priority="1552" operator="notContains" text="Caida">
      <formula>ISERROR(SEARCH("Caida",R6))</formula>
    </cfRule>
    <cfRule type="containsText" dxfId="682" priority="1553" operator="containsText" text="Caida">
      <formula>NOT(ISERROR(SEARCH("Caida",R6)))</formula>
    </cfRule>
  </conditionalFormatting>
  <conditionalFormatting sqref="R336:T336">
    <cfRule type="cellIs" dxfId="681" priority="1509" operator="lessThan">
      <formula>0.8</formula>
    </cfRule>
    <cfRule type="cellIs" dxfId="680" priority="1510" operator="greaterThan">
      <formula>0.8</formula>
    </cfRule>
  </conditionalFormatting>
  <conditionalFormatting sqref="R336:T336">
    <cfRule type="notContainsText" dxfId="679" priority="1507" operator="notContains" text="Caida">
      <formula>ISERROR(SEARCH("Caida",R336))</formula>
    </cfRule>
    <cfRule type="containsText" dxfId="678" priority="1508" operator="containsText" text="Caida">
      <formula>NOT(ISERROR(SEARCH("Caida",R336)))</formula>
    </cfRule>
  </conditionalFormatting>
  <conditionalFormatting sqref="R337:R366 R284:R334">
    <cfRule type="cellIs" dxfId="677" priority="1550" operator="lessThan">
      <formula>0.8</formula>
    </cfRule>
    <cfRule type="cellIs" dxfId="676" priority="1551" operator="greaterThan">
      <formula>0.8</formula>
    </cfRule>
  </conditionalFormatting>
  <conditionalFormatting sqref="R337:R366 R284:R334 R391:R1048576">
    <cfRule type="notContainsText" dxfId="675" priority="1548" operator="notContains" text="Caida">
      <formula>ISERROR(SEARCH("Caida",R284))</formula>
    </cfRule>
    <cfRule type="containsText" dxfId="674" priority="1549" operator="containsText" text="Caida">
      <formula>NOT(ISERROR(SEARCH("Caida",R284)))</formula>
    </cfRule>
  </conditionalFormatting>
  <conditionalFormatting sqref="R22:T22">
    <cfRule type="containsText" dxfId="673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72" priority="1545" operator="lessThan">
      <formula>0.8</formula>
    </cfRule>
    <cfRule type="cellIs" dxfId="671" priority="1546" operator="greaterThan">
      <formula>0.8</formula>
    </cfRule>
  </conditionalFormatting>
  <conditionalFormatting sqref="R282:T282">
    <cfRule type="notContainsText" dxfId="670" priority="1543" operator="notContains" text="Caida">
      <formula>ISERROR(SEARCH("Caida",R282))</formula>
    </cfRule>
    <cfRule type="containsText" dxfId="669" priority="1544" operator="containsText" text="Caida">
      <formula>NOT(ISERROR(SEARCH("Caida",R282)))</formula>
    </cfRule>
  </conditionalFormatting>
  <conditionalFormatting sqref="R283:T283">
    <cfRule type="cellIs" dxfId="668" priority="1541" operator="lessThan">
      <formula>0.8</formula>
    </cfRule>
    <cfRule type="cellIs" dxfId="667" priority="1542" operator="greaterThan">
      <formula>0.8</formula>
    </cfRule>
  </conditionalFormatting>
  <conditionalFormatting sqref="R283:T283">
    <cfRule type="notContainsText" dxfId="666" priority="1539" operator="notContains" text="Caida">
      <formula>ISERROR(SEARCH("Caida",R283))</formula>
    </cfRule>
    <cfRule type="containsText" dxfId="665" priority="1540" operator="containsText" text="Caida">
      <formula>NOT(ISERROR(SEARCH("Caida",R283)))</formula>
    </cfRule>
  </conditionalFormatting>
  <conditionalFormatting sqref="R5:T5">
    <cfRule type="cellIs" dxfId="664" priority="1537" operator="lessThan">
      <formula>0.8</formula>
    </cfRule>
    <cfRule type="cellIs" dxfId="663" priority="1538" operator="greaterThan">
      <formula>0.8</formula>
    </cfRule>
  </conditionalFormatting>
  <conditionalFormatting sqref="R5:T5">
    <cfRule type="notContainsText" dxfId="662" priority="1535" operator="notContains" text="Caida">
      <formula>ISERROR(SEARCH("Caida",R5))</formula>
    </cfRule>
    <cfRule type="containsText" dxfId="661" priority="1536" operator="containsText" text="Caida">
      <formula>NOT(ISERROR(SEARCH("Caida",R5)))</formula>
    </cfRule>
  </conditionalFormatting>
  <conditionalFormatting sqref="R231:T231">
    <cfRule type="cellIs" dxfId="660" priority="1533" operator="lessThan">
      <formula>0.8</formula>
    </cfRule>
    <cfRule type="cellIs" dxfId="659" priority="1534" operator="greaterThan">
      <formula>0.8</formula>
    </cfRule>
  </conditionalFormatting>
  <conditionalFormatting sqref="R231:T231">
    <cfRule type="notContainsText" dxfId="658" priority="1531" operator="notContains" text="Caida">
      <formula>ISERROR(SEARCH("Caida",R231))</formula>
    </cfRule>
    <cfRule type="containsText" dxfId="657" priority="1532" operator="containsText" text="Caida">
      <formula>NOT(ISERROR(SEARCH("Caida",R231)))</formula>
    </cfRule>
  </conditionalFormatting>
  <conditionalFormatting sqref="R232:T232">
    <cfRule type="cellIs" dxfId="656" priority="1529" operator="lessThan">
      <formula>0.8</formula>
    </cfRule>
    <cfRule type="cellIs" dxfId="655" priority="1530" operator="greaterThan">
      <formula>0.8</formula>
    </cfRule>
  </conditionalFormatting>
  <conditionalFormatting sqref="R232:T232">
    <cfRule type="notContainsText" dxfId="654" priority="1527" operator="notContains" text="Caida">
      <formula>ISERROR(SEARCH("Caida",R232))</formula>
    </cfRule>
    <cfRule type="containsText" dxfId="653" priority="1528" operator="containsText" text="Caida">
      <formula>NOT(ISERROR(SEARCH("Caida",R232)))</formula>
    </cfRule>
  </conditionalFormatting>
  <conditionalFormatting sqref="R233:T233">
    <cfRule type="cellIs" dxfId="652" priority="1525" operator="lessThan">
      <formula>0.8</formula>
    </cfRule>
    <cfRule type="cellIs" dxfId="651" priority="1526" operator="greaterThan">
      <formula>0.8</formula>
    </cfRule>
  </conditionalFormatting>
  <conditionalFormatting sqref="R233:T233">
    <cfRule type="notContainsText" dxfId="650" priority="1523" operator="notContains" text="Caida">
      <formula>ISERROR(SEARCH("Caida",R233))</formula>
    </cfRule>
    <cfRule type="containsText" dxfId="649" priority="1524" operator="containsText" text="Caida">
      <formula>NOT(ISERROR(SEARCH("Caida",R233)))</formula>
    </cfRule>
  </conditionalFormatting>
  <conditionalFormatting sqref="R234:T234">
    <cfRule type="cellIs" dxfId="648" priority="1521" operator="lessThan">
      <formula>0.8</formula>
    </cfRule>
    <cfRule type="cellIs" dxfId="647" priority="1522" operator="greaterThan">
      <formula>0.8</formula>
    </cfRule>
  </conditionalFormatting>
  <conditionalFormatting sqref="R234:T234">
    <cfRule type="notContainsText" dxfId="646" priority="1519" operator="notContains" text="Caida">
      <formula>ISERROR(SEARCH("Caida",R234))</formula>
    </cfRule>
    <cfRule type="containsText" dxfId="645" priority="1520" operator="containsText" text="Caida">
      <formula>NOT(ISERROR(SEARCH("Caida",R234)))</formula>
    </cfRule>
  </conditionalFormatting>
  <conditionalFormatting sqref="R235:T235">
    <cfRule type="cellIs" dxfId="644" priority="1517" operator="lessThan">
      <formula>0.8</formula>
    </cfRule>
    <cfRule type="cellIs" dxfId="643" priority="1518" operator="greaterThan">
      <formula>0.8</formula>
    </cfRule>
  </conditionalFormatting>
  <conditionalFormatting sqref="R235:T235">
    <cfRule type="notContainsText" dxfId="642" priority="1515" operator="notContains" text="Caida">
      <formula>ISERROR(SEARCH("Caida",R235))</formula>
    </cfRule>
    <cfRule type="containsText" dxfId="641" priority="1516" operator="containsText" text="Caida">
      <formula>NOT(ISERROR(SEARCH("Caida",R235)))</formula>
    </cfRule>
  </conditionalFormatting>
  <conditionalFormatting sqref="R335:T335">
    <cfRule type="cellIs" dxfId="640" priority="1513" operator="lessThan">
      <formula>0.8</formula>
    </cfRule>
    <cfRule type="cellIs" dxfId="639" priority="1514" operator="greaterThan">
      <formula>0.8</formula>
    </cfRule>
  </conditionalFormatting>
  <conditionalFormatting sqref="R335:T335">
    <cfRule type="notContainsText" dxfId="638" priority="1511" operator="notContains" text="Caida">
      <formula>ISERROR(SEARCH("Caida",R335))</formula>
    </cfRule>
    <cfRule type="containsText" dxfId="637" priority="1512" operator="containsText" text="Caida">
      <formula>NOT(ISERROR(SEARCH("Caida",R335)))</formula>
    </cfRule>
  </conditionalFormatting>
  <conditionalFormatting sqref="S391:S1048576">
    <cfRule type="notContainsText" dxfId="636" priority="1499" operator="notContains" text="Caida">
      <formula>ISERROR(SEARCH("Caida",S391))</formula>
    </cfRule>
    <cfRule type="containsText" dxfId="635" priority="1500" operator="containsText" text="Caida">
      <formula>NOT(ISERROR(SEARCH("Caida",S391)))</formula>
    </cfRule>
  </conditionalFormatting>
  <conditionalFormatting sqref="T391:T1048576">
    <cfRule type="notContainsText" dxfId="634" priority="1450" operator="notContains" text="Caida">
      <formula>ISERROR(SEARCH("Caida",T391))</formula>
    </cfRule>
    <cfRule type="containsText" dxfId="633" priority="1451" operator="containsText" text="Caida">
      <formula>NOT(ISERROR(SEARCH("Caida",T391)))</formula>
    </cfRule>
  </conditionalFormatting>
  <conditionalFormatting sqref="E92:K93">
    <cfRule type="containsText" dxfId="632" priority="1406" operator="containsText" text="Radio">
      <formula>NOT(ISERROR(SEARCH("Radio",E92)))</formula>
    </cfRule>
  </conditionalFormatting>
  <conditionalFormatting sqref="P93:P95">
    <cfRule type="cellIs" dxfId="631" priority="1376" operator="lessThan">
      <formula>0.8</formula>
    </cfRule>
    <cfRule type="cellIs" dxfId="630" priority="1377" operator="greaterThan">
      <formula>0.8</formula>
    </cfRule>
  </conditionalFormatting>
  <conditionalFormatting sqref="P93:P95">
    <cfRule type="notContainsText" dxfId="629" priority="1374" operator="notContains" text="Caida">
      <formula>ISERROR(SEARCH("Caida",P93))</formula>
    </cfRule>
    <cfRule type="containsText" dxfId="628" priority="1375" operator="containsText" text="Caida">
      <formula>NOT(ISERROR(SEARCH("Caida",P93)))</formula>
    </cfRule>
  </conditionalFormatting>
  <conditionalFormatting sqref="Q93:Q95">
    <cfRule type="cellIs" dxfId="627" priority="1372" operator="lessThan">
      <formula>0.8</formula>
    </cfRule>
    <cfRule type="cellIs" dxfId="626" priority="1373" operator="greaterThan">
      <formula>0.8</formula>
    </cfRule>
  </conditionalFormatting>
  <conditionalFormatting sqref="Q93:Q95">
    <cfRule type="notContainsText" dxfId="625" priority="1370" operator="notContains" text="Caida">
      <formula>ISERROR(SEARCH("Caida",Q93))</formula>
    </cfRule>
    <cfRule type="containsText" dxfId="624" priority="1371" operator="containsText" text="Caida">
      <formula>NOT(ISERROR(SEARCH("Caida",Q93)))</formula>
    </cfRule>
  </conditionalFormatting>
  <conditionalFormatting sqref="R93:R95">
    <cfRule type="cellIs" dxfId="623" priority="1368" operator="lessThan">
      <formula>0.8</formula>
    </cfRule>
    <cfRule type="cellIs" dxfId="622" priority="1369" operator="greaterThan">
      <formula>0.8</formula>
    </cfRule>
  </conditionalFormatting>
  <conditionalFormatting sqref="R93:R95">
    <cfRule type="notContainsText" dxfId="621" priority="1366" operator="notContains" text="Caida">
      <formula>ISERROR(SEARCH("Caida",R93))</formula>
    </cfRule>
    <cfRule type="containsText" dxfId="620" priority="1367" operator="containsText" text="Caida">
      <formula>NOT(ISERROR(SEARCH("Caida",R93)))</formula>
    </cfRule>
  </conditionalFormatting>
  <conditionalFormatting sqref="E365:K365">
    <cfRule type="containsText" dxfId="619" priority="1355" operator="containsText" text="Radio">
      <formula>NOT(ISERROR(SEARCH("Radio",E365)))</formula>
    </cfRule>
  </conditionalFormatting>
  <conditionalFormatting sqref="P367">
    <cfRule type="cellIs" dxfId="618" priority="1337" operator="lessThan">
      <formula>0.8</formula>
    </cfRule>
    <cfRule type="cellIs" dxfId="617" priority="1338" operator="greaterThan">
      <formula>0.8</formula>
    </cfRule>
  </conditionalFormatting>
  <conditionalFormatting sqref="P367">
    <cfRule type="notContainsText" dxfId="616" priority="1335" operator="notContains" text="Caida">
      <formula>ISERROR(SEARCH("Caida",P367))</formula>
    </cfRule>
    <cfRule type="containsText" dxfId="615" priority="1336" operator="containsText" text="Caida">
      <formula>NOT(ISERROR(SEARCH("Caida",P367)))</formula>
    </cfRule>
  </conditionalFormatting>
  <conditionalFormatting sqref="Q367">
    <cfRule type="cellIs" dxfId="614" priority="1333" operator="lessThan">
      <formula>0.8</formula>
    </cfRule>
    <cfRule type="cellIs" dxfId="613" priority="1334" operator="greaterThan">
      <formula>0.8</formula>
    </cfRule>
  </conditionalFormatting>
  <conditionalFormatting sqref="Q367">
    <cfRule type="notContainsText" dxfId="612" priority="1331" operator="notContains" text="Caida">
      <formula>ISERROR(SEARCH("Caida",Q367))</formula>
    </cfRule>
    <cfRule type="containsText" dxfId="611" priority="1332" operator="containsText" text="Caida">
      <formula>NOT(ISERROR(SEARCH("Caida",Q367)))</formula>
    </cfRule>
  </conditionalFormatting>
  <conditionalFormatting sqref="R367:T367">
    <cfRule type="cellIs" dxfId="610" priority="1329" operator="lessThan">
      <formula>0.8</formula>
    </cfRule>
    <cfRule type="cellIs" dxfId="609" priority="1330" operator="greaterThan">
      <formula>0.8</formula>
    </cfRule>
  </conditionalFormatting>
  <conditionalFormatting sqref="R367:T367">
    <cfRule type="notContainsText" dxfId="608" priority="1327" operator="notContains" text="Caida">
      <formula>ISERROR(SEARCH("Caida",R367))</formula>
    </cfRule>
    <cfRule type="containsText" dxfId="607" priority="1328" operator="containsText" text="Caida">
      <formula>NOT(ISERROR(SEARCH("Caida",R367)))</formula>
    </cfRule>
  </conditionalFormatting>
  <conditionalFormatting sqref="E366:K366">
    <cfRule type="containsText" dxfId="606" priority="1316" operator="containsText" text="Radio">
      <formula>NOT(ISERROR(SEARCH("Radio",E366)))</formula>
    </cfRule>
  </conditionalFormatting>
  <conditionalFormatting sqref="P368">
    <cfRule type="cellIs" dxfId="605" priority="1298" operator="lessThan">
      <formula>0.8</formula>
    </cfRule>
    <cfRule type="cellIs" dxfId="604" priority="1299" operator="greaterThan">
      <formula>0.8</formula>
    </cfRule>
  </conditionalFormatting>
  <conditionalFormatting sqref="P368">
    <cfRule type="notContainsText" dxfId="603" priority="1296" operator="notContains" text="Caida">
      <formula>ISERROR(SEARCH("Caida",P368))</formula>
    </cfRule>
    <cfRule type="containsText" dxfId="602" priority="1297" operator="containsText" text="Caida">
      <formula>NOT(ISERROR(SEARCH("Caida",P368)))</formula>
    </cfRule>
  </conditionalFormatting>
  <conditionalFormatting sqref="Q368">
    <cfRule type="cellIs" dxfId="601" priority="1294" operator="lessThan">
      <formula>0.8</formula>
    </cfRule>
    <cfRule type="cellIs" dxfId="600" priority="1295" operator="greaterThan">
      <formula>0.8</formula>
    </cfRule>
  </conditionalFormatting>
  <conditionalFormatting sqref="Q368">
    <cfRule type="notContainsText" dxfId="599" priority="1292" operator="notContains" text="Caida">
      <formula>ISERROR(SEARCH("Caida",Q368))</formula>
    </cfRule>
    <cfRule type="containsText" dxfId="598" priority="1293" operator="containsText" text="Caida">
      <formula>NOT(ISERROR(SEARCH("Caida",Q368)))</formula>
    </cfRule>
  </conditionalFormatting>
  <conditionalFormatting sqref="R368:T368">
    <cfRule type="cellIs" dxfId="597" priority="1290" operator="lessThan">
      <formula>0.8</formula>
    </cfRule>
    <cfRule type="cellIs" dxfId="596" priority="1291" operator="greaterThan">
      <formula>0.8</formula>
    </cfRule>
  </conditionalFormatting>
  <conditionalFormatting sqref="R368:T368">
    <cfRule type="notContainsText" dxfId="595" priority="1288" operator="notContains" text="Caida">
      <formula>ISERROR(SEARCH("Caida",R368))</formula>
    </cfRule>
    <cfRule type="containsText" dxfId="594" priority="1289" operator="containsText" text="Caida">
      <formula>NOT(ISERROR(SEARCH("Caida",R368)))</formula>
    </cfRule>
  </conditionalFormatting>
  <conditionalFormatting sqref="E367:K367">
    <cfRule type="containsText" dxfId="593" priority="1277" operator="containsText" text="Radio">
      <formula>NOT(ISERROR(SEARCH("Radio",E367)))</formula>
    </cfRule>
  </conditionalFormatting>
  <conditionalFormatting sqref="P369">
    <cfRule type="cellIs" dxfId="592" priority="1259" operator="lessThan">
      <formula>0.8</formula>
    </cfRule>
    <cfRule type="cellIs" dxfId="591" priority="1260" operator="greaterThan">
      <formula>0.8</formula>
    </cfRule>
  </conditionalFormatting>
  <conditionalFormatting sqref="P369">
    <cfRule type="notContainsText" dxfId="590" priority="1257" operator="notContains" text="Caida">
      <formula>ISERROR(SEARCH("Caida",P369))</formula>
    </cfRule>
    <cfRule type="containsText" dxfId="589" priority="1258" operator="containsText" text="Caida">
      <formula>NOT(ISERROR(SEARCH("Caida",P369)))</formula>
    </cfRule>
  </conditionalFormatting>
  <conditionalFormatting sqref="Q369">
    <cfRule type="cellIs" dxfId="588" priority="1255" operator="lessThan">
      <formula>0.8</formula>
    </cfRule>
    <cfRule type="cellIs" dxfId="587" priority="1256" operator="greaterThan">
      <formula>0.8</formula>
    </cfRule>
  </conditionalFormatting>
  <conditionalFormatting sqref="Q369">
    <cfRule type="notContainsText" dxfId="586" priority="1253" operator="notContains" text="Caida">
      <formula>ISERROR(SEARCH("Caida",Q369))</formula>
    </cfRule>
    <cfRule type="containsText" dxfId="585" priority="1254" operator="containsText" text="Caida">
      <formula>NOT(ISERROR(SEARCH("Caida",Q369)))</formula>
    </cfRule>
  </conditionalFormatting>
  <conditionalFormatting sqref="R369:T369">
    <cfRule type="cellIs" dxfId="584" priority="1251" operator="lessThan">
      <formula>0.8</formula>
    </cfRule>
    <cfRule type="cellIs" dxfId="583" priority="1252" operator="greaterThan">
      <formula>0.8</formula>
    </cfRule>
  </conditionalFormatting>
  <conditionalFormatting sqref="R369:T369">
    <cfRule type="notContainsText" dxfId="582" priority="1249" operator="notContains" text="Caida">
      <formula>ISERROR(SEARCH("Caida",R369))</formula>
    </cfRule>
    <cfRule type="containsText" dxfId="581" priority="1250" operator="containsText" text="Caida">
      <formula>NOT(ISERROR(SEARCH("Caida",R369)))</formula>
    </cfRule>
  </conditionalFormatting>
  <conditionalFormatting sqref="E368:K368">
    <cfRule type="containsText" dxfId="580" priority="1238" operator="containsText" text="Radio">
      <formula>NOT(ISERROR(SEARCH("Radio",E368)))</formula>
    </cfRule>
  </conditionalFormatting>
  <conditionalFormatting sqref="U231">
    <cfRule type="cellIs" dxfId="579" priority="1179" operator="lessThan">
      <formula>0.8</formula>
    </cfRule>
    <cfRule type="cellIs" dxfId="578" priority="1180" operator="greaterThan">
      <formula>0.8</formula>
    </cfRule>
  </conditionalFormatting>
  <conditionalFormatting sqref="U231">
    <cfRule type="notContainsText" dxfId="577" priority="1177" operator="notContains" text="Caida">
      <formula>ISERROR(SEARCH("Caida",U231))</formula>
    </cfRule>
    <cfRule type="containsText" dxfId="576" priority="1178" operator="containsText" text="Caida">
      <formula>NOT(ISERROR(SEARCH("Caida",U231)))</formula>
    </cfRule>
  </conditionalFormatting>
  <conditionalFormatting sqref="U232">
    <cfRule type="cellIs" dxfId="575" priority="1175" operator="lessThan">
      <formula>0.8</formula>
    </cfRule>
    <cfRule type="cellIs" dxfId="574" priority="1176" operator="greaterThan">
      <formula>0.8</formula>
    </cfRule>
  </conditionalFormatting>
  <conditionalFormatting sqref="U232">
    <cfRule type="notContainsText" dxfId="573" priority="1173" operator="notContains" text="Caida">
      <formula>ISERROR(SEARCH("Caida",U232))</formula>
    </cfRule>
    <cfRule type="containsText" dxfId="572" priority="1174" operator="containsText" text="Caida">
      <formula>NOT(ISERROR(SEARCH("Caida",U232)))</formula>
    </cfRule>
  </conditionalFormatting>
  <conditionalFormatting sqref="P370:P372">
    <cfRule type="cellIs" dxfId="571" priority="1220" operator="lessThan">
      <formula>0.8</formula>
    </cfRule>
    <cfRule type="cellIs" dxfId="570" priority="1221" operator="greaterThan">
      <formula>0.8</formula>
    </cfRule>
  </conditionalFormatting>
  <conditionalFormatting sqref="P370:P372">
    <cfRule type="notContainsText" dxfId="569" priority="1218" operator="notContains" text="Caida">
      <formula>ISERROR(SEARCH("Caida",P370))</formula>
    </cfRule>
    <cfRule type="containsText" dxfId="568" priority="1219" operator="containsText" text="Caida">
      <formula>NOT(ISERROR(SEARCH("Caida",P370)))</formula>
    </cfRule>
  </conditionalFormatting>
  <conditionalFormatting sqref="Q370:Q372">
    <cfRule type="cellIs" dxfId="567" priority="1216" operator="lessThan">
      <formula>0.8</formula>
    </cfRule>
    <cfRule type="cellIs" dxfId="566" priority="1217" operator="greaterThan">
      <formula>0.8</formula>
    </cfRule>
  </conditionalFormatting>
  <conditionalFormatting sqref="Q370:Q372">
    <cfRule type="notContainsText" dxfId="565" priority="1214" operator="notContains" text="Caida">
      <formula>ISERROR(SEARCH("Caida",Q370))</formula>
    </cfRule>
    <cfRule type="containsText" dxfId="564" priority="1215" operator="containsText" text="Caida">
      <formula>NOT(ISERROR(SEARCH("Caida",Q370)))</formula>
    </cfRule>
  </conditionalFormatting>
  <conditionalFormatting sqref="R370:T370">
    <cfRule type="cellIs" dxfId="563" priority="1212" operator="lessThan">
      <formula>0.8</formula>
    </cfRule>
    <cfRule type="cellIs" dxfId="562" priority="1213" operator="greaterThan">
      <formula>0.8</formula>
    </cfRule>
  </conditionalFormatting>
  <conditionalFormatting sqref="R370:T370">
    <cfRule type="notContainsText" dxfId="561" priority="1210" operator="notContains" text="Caida">
      <formula>ISERROR(SEARCH("Caida",R370))</formula>
    </cfRule>
    <cfRule type="containsText" dxfId="560" priority="1211" operator="containsText" text="Caida">
      <formula>NOT(ISERROR(SEARCH("Caida",R370)))</formula>
    </cfRule>
  </conditionalFormatting>
  <conditionalFormatting sqref="U368">
    <cfRule type="cellIs" dxfId="559" priority="1143" operator="lessThan">
      <formula>0.8</formula>
    </cfRule>
    <cfRule type="cellIs" dxfId="558" priority="1144" operator="greaterThan">
      <formula>0.8</formula>
    </cfRule>
  </conditionalFormatting>
  <conditionalFormatting sqref="U368">
    <cfRule type="notContainsText" dxfId="557" priority="1141" operator="notContains" text="Caida">
      <formula>ISERROR(SEARCH("Caida",U368))</formula>
    </cfRule>
    <cfRule type="containsText" dxfId="556" priority="1142" operator="containsText" text="Caida">
      <formula>NOT(ISERROR(SEARCH("Caida",U368)))</formula>
    </cfRule>
  </conditionalFormatting>
  <conditionalFormatting sqref="U369">
    <cfRule type="cellIs" dxfId="555" priority="1139" operator="lessThan">
      <formula>0.8</formula>
    </cfRule>
    <cfRule type="cellIs" dxfId="554" priority="1140" operator="greaterThan">
      <formula>0.8</formula>
    </cfRule>
  </conditionalFormatting>
  <conditionalFormatting sqref="U369">
    <cfRule type="notContainsText" dxfId="553" priority="1137" operator="notContains" text="Caida">
      <formula>ISERROR(SEARCH("Caida",U369))</formula>
    </cfRule>
    <cfRule type="containsText" dxfId="552" priority="1138" operator="containsText" text="Caida">
      <formula>NOT(ISERROR(SEARCH("Caida",U369)))</formula>
    </cfRule>
  </conditionalFormatting>
  <conditionalFormatting sqref="U370:U372">
    <cfRule type="cellIs" dxfId="551" priority="1135" operator="lessThan">
      <formula>0.8</formula>
    </cfRule>
    <cfRule type="cellIs" dxfId="550" priority="1136" operator="greaterThan">
      <formula>0.8</formula>
    </cfRule>
  </conditionalFormatting>
  <conditionalFormatting sqref="U370:U372">
    <cfRule type="notContainsText" dxfId="549" priority="1133" operator="notContains" text="Caida">
      <formula>ISERROR(SEARCH("Caida",U370))</formula>
    </cfRule>
    <cfRule type="containsText" dxfId="548" priority="1134" operator="containsText" text="Caida">
      <formula>NOT(ISERROR(SEARCH("Caida",U370)))</formula>
    </cfRule>
  </conditionalFormatting>
  <conditionalFormatting sqref="U6:U92 U96:U230">
    <cfRule type="cellIs" dxfId="547" priority="1200" operator="lessThan">
      <formula>0.8</formula>
    </cfRule>
    <cfRule type="cellIs" dxfId="546" priority="1201" operator="greaterThan">
      <formula>0.8</formula>
    </cfRule>
  </conditionalFormatting>
  <conditionalFormatting sqref="U6:U92 U96:U230">
    <cfRule type="notContainsText" dxfId="545" priority="1198" operator="notContains" text="Caida">
      <formula>ISERROR(SEARCH("Caida",U6))</formula>
    </cfRule>
    <cfRule type="containsText" dxfId="544" priority="1199" operator="containsText" text="Caida">
      <formula>NOT(ISERROR(SEARCH("Caida",U6)))</formula>
    </cfRule>
  </conditionalFormatting>
  <conditionalFormatting sqref="U336">
    <cfRule type="cellIs" dxfId="543" priority="1155" operator="lessThan">
      <formula>0.8</formula>
    </cfRule>
    <cfRule type="cellIs" dxfId="542" priority="1156" operator="greaterThan">
      <formula>0.8</formula>
    </cfRule>
  </conditionalFormatting>
  <conditionalFormatting sqref="U336">
    <cfRule type="notContainsText" dxfId="541" priority="1153" operator="notContains" text="Caida">
      <formula>ISERROR(SEARCH("Caida",U336))</formula>
    </cfRule>
    <cfRule type="containsText" dxfId="540" priority="1154" operator="containsText" text="Caida">
      <formula>NOT(ISERROR(SEARCH("Caida",U336)))</formula>
    </cfRule>
  </conditionalFormatting>
  <conditionalFormatting sqref="U337:U366 U284:U334">
    <cfRule type="cellIs" dxfId="539" priority="1196" operator="lessThan">
      <formula>0.8</formula>
    </cfRule>
    <cfRule type="cellIs" dxfId="538" priority="1197" operator="greaterThan">
      <formula>0.8</formula>
    </cfRule>
  </conditionalFormatting>
  <conditionalFormatting sqref="U337:U366 U284:U334 U391:U1048576">
    <cfRule type="notContainsText" dxfId="537" priority="1194" operator="notContains" text="Caida">
      <formula>ISERROR(SEARCH("Caida",U284))</formula>
    </cfRule>
    <cfRule type="containsText" dxfId="536" priority="1195" operator="containsText" text="Caida">
      <formula>NOT(ISERROR(SEARCH("Caida",U284)))</formula>
    </cfRule>
  </conditionalFormatting>
  <conditionalFormatting sqref="U22">
    <cfRule type="containsText" dxfId="535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34" priority="1191" operator="lessThan">
      <formula>0.8</formula>
    </cfRule>
    <cfRule type="cellIs" dxfId="533" priority="1192" operator="greaterThan">
      <formula>0.8</formula>
    </cfRule>
  </conditionalFormatting>
  <conditionalFormatting sqref="U282">
    <cfRule type="notContainsText" dxfId="532" priority="1189" operator="notContains" text="Caida">
      <formula>ISERROR(SEARCH("Caida",U282))</formula>
    </cfRule>
    <cfRule type="containsText" dxfId="531" priority="1190" operator="containsText" text="Caida">
      <formula>NOT(ISERROR(SEARCH("Caida",U282)))</formula>
    </cfRule>
  </conditionalFormatting>
  <conditionalFormatting sqref="U283">
    <cfRule type="cellIs" dxfId="530" priority="1187" operator="lessThan">
      <formula>0.8</formula>
    </cfRule>
    <cfRule type="cellIs" dxfId="529" priority="1188" operator="greaterThan">
      <formula>0.8</formula>
    </cfRule>
  </conditionalFormatting>
  <conditionalFormatting sqref="U283">
    <cfRule type="notContainsText" dxfId="528" priority="1185" operator="notContains" text="Caida">
      <formula>ISERROR(SEARCH("Caida",U283))</formula>
    </cfRule>
    <cfRule type="containsText" dxfId="527" priority="1186" operator="containsText" text="Caida">
      <formula>NOT(ISERROR(SEARCH("Caida",U283)))</formula>
    </cfRule>
  </conditionalFormatting>
  <conditionalFormatting sqref="U5">
    <cfRule type="cellIs" dxfId="526" priority="1183" operator="lessThan">
      <formula>0.8</formula>
    </cfRule>
    <cfRule type="cellIs" dxfId="525" priority="1184" operator="greaterThan">
      <formula>0.8</formula>
    </cfRule>
  </conditionalFormatting>
  <conditionalFormatting sqref="U5">
    <cfRule type="notContainsText" dxfId="524" priority="1181" operator="notContains" text="Caida">
      <formula>ISERROR(SEARCH("Caida",U5))</formula>
    </cfRule>
    <cfRule type="containsText" dxfId="523" priority="1182" operator="containsText" text="Caida">
      <formula>NOT(ISERROR(SEARCH("Caida",U5)))</formula>
    </cfRule>
  </conditionalFormatting>
  <conditionalFormatting sqref="U233">
    <cfRule type="cellIs" dxfId="522" priority="1171" operator="lessThan">
      <formula>0.8</formula>
    </cfRule>
    <cfRule type="cellIs" dxfId="521" priority="1172" operator="greaterThan">
      <formula>0.8</formula>
    </cfRule>
  </conditionalFormatting>
  <conditionalFormatting sqref="U233">
    <cfRule type="notContainsText" dxfId="520" priority="1169" operator="notContains" text="Caida">
      <formula>ISERROR(SEARCH("Caida",U233))</formula>
    </cfRule>
    <cfRule type="containsText" dxfId="519" priority="1170" operator="containsText" text="Caida">
      <formula>NOT(ISERROR(SEARCH("Caida",U233)))</formula>
    </cfRule>
  </conditionalFormatting>
  <conditionalFormatting sqref="U234">
    <cfRule type="cellIs" dxfId="518" priority="1167" operator="lessThan">
      <formula>0.8</formula>
    </cfRule>
    <cfRule type="cellIs" dxfId="517" priority="1168" operator="greaterThan">
      <formula>0.8</formula>
    </cfRule>
  </conditionalFormatting>
  <conditionalFormatting sqref="U234">
    <cfRule type="notContainsText" dxfId="516" priority="1165" operator="notContains" text="Caida">
      <formula>ISERROR(SEARCH("Caida",U234))</formula>
    </cfRule>
    <cfRule type="containsText" dxfId="515" priority="1166" operator="containsText" text="Caida">
      <formula>NOT(ISERROR(SEARCH("Caida",U234)))</formula>
    </cfRule>
  </conditionalFormatting>
  <conditionalFormatting sqref="U235">
    <cfRule type="cellIs" dxfId="514" priority="1163" operator="lessThan">
      <formula>0.8</formula>
    </cfRule>
    <cfRule type="cellIs" dxfId="513" priority="1164" operator="greaterThan">
      <formula>0.8</formula>
    </cfRule>
  </conditionalFormatting>
  <conditionalFormatting sqref="U235">
    <cfRule type="notContainsText" dxfId="512" priority="1161" operator="notContains" text="Caida">
      <formula>ISERROR(SEARCH("Caida",U235))</formula>
    </cfRule>
    <cfRule type="containsText" dxfId="511" priority="1162" operator="containsText" text="Caida">
      <formula>NOT(ISERROR(SEARCH("Caida",U235)))</formula>
    </cfRule>
  </conditionalFormatting>
  <conditionalFormatting sqref="U335">
    <cfRule type="cellIs" dxfId="510" priority="1159" operator="lessThan">
      <formula>0.8</formula>
    </cfRule>
    <cfRule type="cellIs" dxfId="509" priority="1160" operator="greaterThan">
      <formula>0.8</formula>
    </cfRule>
  </conditionalFormatting>
  <conditionalFormatting sqref="U335">
    <cfRule type="notContainsText" dxfId="508" priority="1157" operator="notContains" text="Caida">
      <formula>ISERROR(SEARCH("Caida",U335))</formula>
    </cfRule>
    <cfRule type="containsText" dxfId="507" priority="1158" operator="containsText" text="Caida">
      <formula>NOT(ISERROR(SEARCH("Caida",U335)))</formula>
    </cfRule>
  </conditionalFormatting>
  <conditionalFormatting sqref="U93:U95">
    <cfRule type="cellIs" dxfId="506" priority="1151" operator="lessThan">
      <formula>0.8</formula>
    </cfRule>
    <cfRule type="cellIs" dxfId="505" priority="1152" operator="greaterThan">
      <formula>0.8</formula>
    </cfRule>
  </conditionalFormatting>
  <conditionalFormatting sqref="U93:U95">
    <cfRule type="notContainsText" dxfId="504" priority="1149" operator="notContains" text="Caida">
      <formula>ISERROR(SEARCH("Caida",U93))</formula>
    </cfRule>
    <cfRule type="containsText" dxfId="503" priority="1150" operator="containsText" text="Caida">
      <formula>NOT(ISERROR(SEARCH("Caida",U93)))</formula>
    </cfRule>
  </conditionalFormatting>
  <conditionalFormatting sqref="U367">
    <cfRule type="cellIs" dxfId="502" priority="1147" operator="lessThan">
      <formula>0.8</formula>
    </cfRule>
    <cfRule type="cellIs" dxfId="501" priority="1148" operator="greaterThan">
      <formula>0.8</formula>
    </cfRule>
  </conditionalFormatting>
  <conditionalFormatting sqref="U367">
    <cfRule type="notContainsText" dxfId="500" priority="1145" operator="notContains" text="Caida">
      <formula>ISERROR(SEARCH("Caida",U367))</formula>
    </cfRule>
    <cfRule type="containsText" dxfId="499" priority="1146" operator="containsText" text="Caida">
      <formula>NOT(ISERROR(SEARCH("Caida",U367)))</formula>
    </cfRule>
  </conditionalFormatting>
  <conditionalFormatting sqref="V6:X92">
    <cfRule type="cellIs" dxfId="498" priority="1131" operator="lessThan">
      <formula>0.8</formula>
    </cfRule>
    <cfRule type="cellIs" dxfId="497" priority="1132" operator="greaterThan">
      <formula>0.8</formula>
    </cfRule>
  </conditionalFormatting>
  <conditionalFormatting sqref="V6:X92">
    <cfRule type="notContainsText" dxfId="496" priority="1129" operator="notContains" text="Caida">
      <formula>ISERROR(SEARCH("Caida",V6))</formula>
    </cfRule>
    <cfRule type="containsText" dxfId="495" priority="1130" operator="containsText" text="Caida">
      <formula>NOT(ISERROR(SEARCH("Caida",V6)))</formula>
    </cfRule>
  </conditionalFormatting>
  <conditionalFormatting sqref="V22:X22 AA22:AJ22">
    <cfRule type="containsText" dxfId="494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93" priority="1126" operator="lessThan">
      <formula>0.8</formula>
    </cfRule>
    <cfRule type="cellIs" dxfId="492" priority="1127" operator="greaterThan">
      <formula>0.8</formula>
    </cfRule>
  </conditionalFormatting>
  <conditionalFormatting sqref="V5:X5 AA5:AJ5">
    <cfRule type="notContainsText" dxfId="491" priority="1124" operator="notContains" text="Caida">
      <formula>ISERROR(SEARCH("Caida",V5))</formula>
    </cfRule>
    <cfRule type="containsText" dxfId="490" priority="1125" operator="containsText" text="Caida">
      <formula>NOT(ISERROR(SEARCH("Caida",V5)))</formula>
    </cfRule>
  </conditionalFormatting>
  <conditionalFormatting sqref="V93:X95">
    <cfRule type="cellIs" dxfId="489" priority="1122" operator="lessThan">
      <formula>0.8</formula>
    </cfRule>
    <cfRule type="cellIs" dxfId="488" priority="1123" operator="greaterThan">
      <formula>0.8</formula>
    </cfRule>
  </conditionalFormatting>
  <conditionalFormatting sqref="V93:X95">
    <cfRule type="notContainsText" dxfId="487" priority="1120" operator="notContains" text="Caida">
      <formula>ISERROR(SEARCH("Caida",V93))</formula>
    </cfRule>
    <cfRule type="containsText" dxfId="486" priority="1121" operator="containsText" text="Caida">
      <formula>NOT(ISERROR(SEARCH("Caida",V93)))</formula>
    </cfRule>
  </conditionalFormatting>
  <conditionalFormatting sqref="E1:E372 E391:E1048576">
    <cfRule type="containsText" dxfId="485" priority="980" operator="containsText" text="fija">
      <formula>NOT(ISERROR(SEARCH("fija",E1)))</formula>
    </cfRule>
    <cfRule type="containsText" dxfId="484" priority="981" operator="containsText" text="domo">
      <formula>NOT(ISERROR(SEARCH("domo",E1)))</formula>
    </cfRule>
  </conditionalFormatting>
  <conditionalFormatting sqref="AK6:AP92">
    <cfRule type="cellIs" dxfId="483" priority="956" operator="lessThan">
      <formula>0.8</formula>
    </cfRule>
    <cfRule type="cellIs" dxfId="482" priority="957" operator="greaterThan">
      <formula>0.8</formula>
    </cfRule>
  </conditionalFormatting>
  <conditionalFormatting sqref="AK6:AP92">
    <cfRule type="notContainsText" dxfId="481" priority="954" operator="notContains" text="Caida">
      <formula>ISERROR(SEARCH("Caida",AK6))</formula>
    </cfRule>
    <cfRule type="containsText" dxfId="480" priority="955" operator="containsText" text="Caida">
      <formula>NOT(ISERROR(SEARCH("Caida",AK6)))</formula>
    </cfRule>
  </conditionalFormatting>
  <conditionalFormatting sqref="AK22:AR22">
    <cfRule type="containsText" dxfId="479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78" priority="951" operator="lessThan">
      <formula>0.8</formula>
    </cfRule>
    <cfRule type="cellIs" dxfId="477" priority="952" operator="greaterThan">
      <formula>0.8</formula>
    </cfRule>
  </conditionalFormatting>
  <conditionalFormatting sqref="AK5:AR5">
    <cfRule type="notContainsText" dxfId="476" priority="949" operator="notContains" text="Caida">
      <formula>ISERROR(SEARCH("Caida",AK5))</formula>
    </cfRule>
    <cfRule type="containsText" dxfId="475" priority="950" operator="containsText" text="Caida">
      <formula>NOT(ISERROR(SEARCH("Caida",AK5)))</formula>
    </cfRule>
  </conditionalFormatting>
  <conditionalFormatting sqref="AK93:AP94">
    <cfRule type="cellIs" dxfId="474" priority="947" operator="lessThan">
      <formula>0.8</formula>
    </cfRule>
    <cfRule type="cellIs" dxfId="473" priority="948" operator="greaterThan">
      <formula>0.8</formula>
    </cfRule>
  </conditionalFormatting>
  <conditionalFormatting sqref="AK93:AP94">
    <cfRule type="notContainsText" dxfId="472" priority="945" operator="notContains" text="Caida">
      <formula>ISERROR(SEARCH("Caida",AK93))</formula>
    </cfRule>
    <cfRule type="containsText" dxfId="471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70" priority="944" operator="equal">
      <formula>"APAGADO"</formula>
    </cfRule>
  </conditionalFormatting>
  <conditionalFormatting sqref="S6:S92 S96:S230">
    <cfRule type="cellIs" dxfId="469" priority="928" operator="lessThan">
      <formula>0.8</formula>
    </cfRule>
    <cfRule type="cellIs" dxfId="468" priority="929" operator="greaterThan">
      <formula>0.8</formula>
    </cfRule>
  </conditionalFormatting>
  <conditionalFormatting sqref="S6:S92 S96:S230">
    <cfRule type="notContainsText" dxfId="467" priority="926" operator="notContains" text="Caida">
      <formula>ISERROR(SEARCH("Caida",S6))</formula>
    </cfRule>
    <cfRule type="containsText" dxfId="466" priority="927" operator="containsText" text="Caida">
      <formula>NOT(ISERROR(SEARCH("Caida",S6)))</formula>
    </cfRule>
  </conditionalFormatting>
  <conditionalFormatting sqref="S337:S366 S284:S334">
    <cfRule type="cellIs" dxfId="465" priority="924" operator="lessThan">
      <formula>0.8</formula>
    </cfRule>
    <cfRule type="cellIs" dxfId="464" priority="925" operator="greaterThan">
      <formula>0.8</formula>
    </cfRule>
  </conditionalFormatting>
  <conditionalFormatting sqref="S337:S366 S284:S334">
    <cfRule type="notContainsText" dxfId="463" priority="922" operator="notContains" text="Caida">
      <formula>ISERROR(SEARCH("Caida",S284))</formula>
    </cfRule>
    <cfRule type="containsText" dxfId="462" priority="923" operator="containsText" text="Caida">
      <formula>NOT(ISERROR(SEARCH("Caida",S284)))</formula>
    </cfRule>
  </conditionalFormatting>
  <conditionalFormatting sqref="S93:S95">
    <cfRule type="cellIs" dxfId="461" priority="920" operator="lessThan">
      <formula>0.8</formula>
    </cfRule>
    <cfRule type="cellIs" dxfId="460" priority="921" operator="greaterThan">
      <formula>0.8</formula>
    </cfRule>
  </conditionalFormatting>
  <conditionalFormatting sqref="S93:S95">
    <cfRule type="notContainsText" dxfId="459" priority="918" operator="notContains" text="Caida">
      <formula>ISERROR(SEARCH("Caida",S93))</formula>
    </cfRule>
    <cfRule type="containsText" dxfId="458" priority="919" operator="containsText" text="Caida">
      <formula>NOT(ISERROR(SEARCH("Caida",S93)))</formula>
    </cfRule>
  </conditionalFormatting>
  <conditionalFormatting sqref="T6:T92 T96:T230">
    <cfRule type="cellIs" dxfId="457" priority="916" operator="lessThan">
      <formula>0.8</formula>
    </cfRule>
    <cfRule type="cellIs" dxfId="456" priority="917" operator="greaterThan">
      <formula>0.8</formula>
    </cfRule>
  </conditionalFormatting>
  <conditionalFormatting sqref="T6:T92 T96:T230">
    <cfRule type="notContainsText" dxfId="455" priority="914" operator="notContains" text="Caida">
      <formula>ISERROR(SEARCH("Caida",T6))</formula>
    </cfRule>
    <cfRule type="containsText" dxfId="454" priority="915" operator="containsText" text="Caida">
      <formula>NOT(ISERROR(SEARCH("Caida",T6)))</formula>
    </cfRule>
  </conditionalFormatting>
  <conditionalFormatting sqref="T337:T366 T284:T334">
    <cfRule type="cellIs" dxfId="453" priority="912" operator="lessThan">
      <formula>0.8</formula>
    </cfRule>
    <cfRule type="cellIs" dxfId="452" priority="913" operator="greaterThan">
      <formula>0.8</formula>
    </cfRule>
  </conditionalFormatting>
  <conditionalFormatting sqref="T337:T366 T284:T334">
    <cfRule type="notContainsText" dxfId="451" priority="910" operator="notContains" text="Caida">
      <formula>ISERROR(SEARCH("Caida",T284))</formula>
    </cfRule>
    <cfRule type="containsText" dxfId="450" priority="911" operator="containsText" text="Caida">
      <formula>NOT(ISERROR(SEARCH("Caida",T284)))</formula>
    </cfRule>
  </conditionalFormatting>
  <conditionalFormatting sqref="T93:T95">
    <cfRule type="cellIs" dxfId="449" priority="908" operator="lessThan">
      <formula>0.8</formula>
    </cfRule>
    <cfRule type="cellIs" dxfId="448" priority="909" operator="greaterThan">
      <formula>0.8</formula>
    </cfRule>
  </conditionalFormatting>
  <conditionalFormatting sqref="T93:T95">
    <cfRule type="notContainsText" dxfId="447" priority="906" operator="notContains" text="Caida">
      <formula>ISERROR(SEARCH("Caida",T93))</formula>
    </cfRule>
    <cfRule type="containsText" dxfId="446" priority="907" operator="containsText" text="Caida">
      <formula>NOT(ISERROR(SEARCH("Caida",T93)))</formula>
    </cfRule>
  </conditionalFormatting>
  <conditionalFormatting sqref="F1:F372 F391:F1048576">
    <cfRule type="cellIs" dxfId="445" priority="835" operator="equal">
      <formula>"PTP A FO"</formula>
    </cfRule>
  </conditionalFormatting>
  <conditionalFormatting sqref="R371:T372">
    <cfRule type="cellIs" dxfId="444" priority="464" operator="lessThan">
      <formula>0.8</formula>
    </cfRule>
    <cfRule type="cellIs" dxfId="443" priority="465" operator="greaterThan">
      <formula>0.8</formula>
    </cfRule>
  </conditionalFormatting>
  <conditionalFormatting sqref="R371:T372">
    <cfRule type="notContainsText" dxfId="442" priority="462" operator="notContains" text="Caida">
      <formula>ISERROR(SEARCH("Caida",R371))</formula>
    </cfRule>
    <cfRule type="containsText" dxfId="441" priority="463" operator="containsText" text="Caida">
      <formula>NOT(ISERROR(SEARCH("Caida",R371)))</formula>
    </cfRule>
  </conditionalFormatting>
  <conditionalFormatting sqref="O6:O92">
    <cfRule type="cellIs" dxfId="440" priority="452" operator="lessThan">
      <formula>0.8</formula>
    </cfRule>
    <cfRule type="cellIs" dxfId="439" priority="453" operator="greaterThan">
      <formula>0.8</formula>
    </cfRule>
  </conditionalFormatting>
  <conditionalFormatting sqref="O6:O92">
    <cfRule type="notContainsText" dxfId="438" priority="450" operator="notContains" text="Caida">
      <formula>ISERROR(SEARCH("Caida",O6))</formula>
    </cfRule>
    <cfRule type="containsText" dxfId="437" priority="451" operator="containsText" text="Caida">
      <formula>NOT(ISERROR(SEARCH("Caida",O6)))</formula>
    </cfRule>
  </conditionalFormatting>
  <conditionalFormatting sqref="O22">
    <cfRule type="containsText" dxfId="436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35" priority="447" operator="lessThan">
      <formula>0.8</formula>
    </cfRule>
    <cfRule type="cellIs" dxfId="434" priority="448" operator="greaterThan">
      <formula>0.8</formula>
    </cfRule>
  </conditionalFormatting>
  <conditionalFormatting sqref="O5">
    <cfRule type="notContainsText" dxfId="433" priority="445" operator="notContains" text="Caida">
      <formula>ISERROR(SEARCH("Caida",O5))</formula>
    </cfRule>
    <cfRule type="containsText" dxfId="432" priority="446" operator="containsText" text="Caida">
      <formula>NOT(ISERROR(SEARCH("Caida",O5)))</formula>
    </cfRule>
  </conditionalFormatting>
  <conditionalFormatting sqref="O93:O94">
    <cfRule type="cellIs" dxfId="431" priority="443" operator="lessThan">
      <formula>0.8</formula>
    </cfRule>
    <cfRule type="cellIs" dxfId="430" priority="444" operator="greaterThan">
      <formula>0.8</formula>
    </cfRule>
  </conditionalFormatting>
  <conditionalFormatting sqref="O93:O94">
    <cfRule type="notContainsText" dxfId="429" priority="441" operator="notContains" text="Caida">
      <formula>ISERROR(SEARCH("Caida",O93))</formula>
    </cfRule>
    <cfRule type="containsText" dxfId="428" priority="442" operator="containsText" text="Caida">
      <formula>NOT(ISERROR(SEARCH("Caida",O93)))</formula>
    </cfRule>
  </conditionalFormatting>
  <conditionalFormatting sqref="AR6:AR92">
    <cfRule type="cellIs" dxfId="427" priority="434" operator="lessThan">
      <formula>0.8</formula>
    </cfRule>
    <cfRule type="cellIs" dxfId="426" priority="435" operator="greaterThan">
      <formula>0.8</formula>
    </cfRule>
  </conditionalFormatting>
  <conditionalFormatting sqref="AR6:AR92">
    <cfRule type="notContainsText" dxfId="425" priority="432" operator="notContains" text="Caida">
      <formula>ISERROR(SEARCH("Caida",AR6))</formula>
    </cfRule>
    <cfRule type="containsText" dxfId="424" priority="433" operator="containsText" text="Caida">
      <formula>NOT(ISERROR(SEARCH("Caida",AR6)))</formula>
    </cfRule>
  </conditionalFormatting>
  <conditionalFormatting sqref="AR93:AR94">
    <cfRule type="cellIs" dxfId="423" priority="430" operator="lessThan">
      <formula>0.8</formula>
    </cfRule>
    <cfRule type="cellIs" dxfId="422" priority="431" operator="greaterThan">
      <formula>0.8</formula>
    </cfRule>
  </conditionalFormatting>
  <conditionalFormatting sqref="AR93:AR94">
    <cfRule type="notContainsText" dxfId="421" priority="428" operator="notContains" text="Caida">
      <formula>ISERROR(SEARCH("Caida",AR93))</formula>
    </cfRule>
    <cfRule type="containsText" dxfId="420" priority="429" operator="containsText" text="Caida">
      <formula>NOT(ISERROR(SEARCH("Caida",AR93)))</formula>
    </cfRule>
  </conditionalFormatting>
  <conditionalFormatting sqref="AA6:AF92">
    <cfRule type="cellIs" dxfId="419" priority="369" operator="lessThan">
      <formula>0.8</formula>
    </cfRule>
    <cfRule type="cellIs" dxfId="418" priority="370" operator="greaterThan">
      <formula>0.8</formula>
    </cfRule>
  </conditionalFormatting>
  <conditionalFormatting sqref="AA6:AF92">
    <cfRule type="notContainsText" dxfId="417" priority="367" operator="notContains" text="Caida">
      <formula>ISERROR(SEARCH("Caida",AA6))</formula>
    </cfRule>
    <cfRule type="containsText" dxfId="416" priority="368" operator="containsText" text="Caida">
      <formula>NOT(ISERROR(SEARCH("Caida",AA6)))</formula>
    </cfRule>
  </conditionalFormatting>
  <conditionalFormatting sqref="AA93:AF95">
    <cfRule type="cellIs" dxfId="415" priority="365" operator="lessThan">
      <formula>0.8</formula>
    </cfRule>
    <cfRule type="cellIs" dxfId="414" priority="366" operator="greaterThan">
      <formula>0.8</formula>
    </cfRule>
  </conditionalFormatting>
  <conditionalFormatting sqref="AA93:AF95">
    <cfRule type="notContainsText" dxfId="413" priority="363" operator="notContains" text="Caida">
      <formula>ISERROR(SEARCH("Caida",AA93))</formula>
    </cfRule>
    <cfRule type="containsText" dxfId="412" priority="364" operator="containsText" text="Caida">
      <formula>NOT(ISERROR(SEARCH("Caida",AA93)))</formula>
    </cfRule>
  </conditionalFormatting>
  <conditionalFormatting sqref="AF1 AF5:AF372 AF380:AF1048576 AF3">
    <cfRule type="cellIs" dxfId="411" priority="362" operator="equal">
      <formula>"apagado"</formula>
    </cfRule>
  </conditionalFormatting>
  <conditionalFormatting sqref="AE1 AE5:AE372 AE380:AE1048576 AE3">
    <cfRule type="cellIs" dxfId="410" priority="361" operator="equal">
      <formula>"apagado"</formula>
    </cfRule>
  </conditionalFormatting>
  <conditionalFormatting sqref="AD1 AD5:AD372 AD380:AD1048576 AD3">
    <cfRule type="cellIs" dxfId="409" priority="360" operator="equal">
      <formula>"apagado"</formula>
    </cfRule>
  </conditionalFormatting>
  <conditionalFormatting sqref="AC1 AC5:AC372 AC380:AC1048576 AC3">
    <cfRule type="cellIs" dxfId="408" priority="359" operator="equal">
      <formula>"apagado"</formula>
    </cfRule>
  </conditionalFormatting>
  <conditionalFormatting sqref="AB1 AB5:AB372 AB380:AB1048576 AB3">
    <cfRule type="cellIs" dxfId="407" priority="358" operator="equal">
      <formula>"apagado"</formula>
    </cfRule>
  </conditionalFormatting>
  <conditionalFormatting sqref="AA1 AA5:AA372 AA380:AA1048576 AA3">
    <cfRule type="cellIs" dxfId="406" priority="357" operator="equal">
      <formula>"apagado"</formula>
    </cfRule>
  </conditionalFormatting>
  <conditionalFormatting sqref="Z1 Z380:Z1048576 Z3">
    <cfRule type="cellIs" dxfId="405" priority="356" operator="equal">
      <formula>"apagado"</formula>
    </cfRule>
  </conditionalFormatting>
  <conditionalFormatting sqref="Y1 Y380:Y1048576 Y3">
    <cfRule type="cellIs" dxfId="404" priority="355" operator="equal">
      <formula>"apagado"</formula>
    </cfRule>
  </conditionalFormatting>
  <conditionalFormatting sqref="AG6:AG92">
    <cfRule type="cellIs" dxfId="403" priority="353" operator="lessThan">
      <formula>0.8</formula>
    </cfRule>
    <cfRule type="cellIs" dxfId="402" priority="354" operator="greaterThan">
      <formula>0.8</formula>
    </cfRule>
  </conditionalFormatting>
  <conditionalFormatting sqref="AG6:AG92">
    <cfRule type="notContainsText" dxfId="401" priority="351" operator="notContains" text="Caida">
      <formula>ISERROR(SEARCH("Caida",AG6))</formula>
    </cfRule>
    <cfRule type="containsText" dxfId="400" priority="352" operator="containsText" text="Caida">
      <formula>NOT(ISERROR(SEARCH("Caida",AG6)))</formula>
    </cfRule>
  </conditionalFormatting>
  <conditionalFormatting sqref="AG93:AG95">
    <cfRule type="cellIs" dxfId="399" priority="349" operator="lessThan">
      <formula>0.8</formula>
    </cfRule>
    <cfRule type="cellIs" dxfId="398" priority="350" operator="greaterThan">
      <formula>0.8</formula>
    </cfRule>
  </conditionalFormatting>
  <conditionalFormatting sqref="AG93:AG95">
    <cfRule type="notContainsText" dxfId="397" priority="347" operator="notContains" text="Caida">
      <formula>ISERROR(SEARCH("Caida",AG93))</formula>
    </cfRule>
    <cfRule type="containsText" dxfId="396" priority="348" operator="containsText" text="Caida">
      <formula>NOT(ISERROR(SEARCH("Caida",AG93)))</formula>
    </cfRule>
  </conditionalFormatting>
  <conditionalFormatting sqref="AG1 AG5:AG372 AG380:AG1048576 AG3">
    <cfRule type="cellIs" dxfId="395" priority="346" operator="equal">
      <formula>"apagado"</formula>
    </cfRule>
  </conditionalFormatting>
  <conditionalFormatting sqref="AH6:AH92">
    <cfRule type="cellIs" dxfId="394" priority="344" operator="lessThan">
      <formula>0.8</formula>
    </cfRule>
    <cfRule type="cellIs" dxfId="393" priority="345" operator="greaterThan">
      <formula>0.8</formula>
    </cfRule>
  </conditionalFormatting>
  <conditionalFormatting sqref="AH6:AH92">
    <cfRule type="notContainsText" dxfId="392" priority="342" operator="notContains" text="Caida">
      <formula>ISERROR(SEARCH("Caida",AH6))</formula>
    </cfRule>
    <cfRule type="containsText" dxfId="391" priority="343" operator="containsText" text="Caida">
      <formula>NOT(ISERROR(SEARCH("Caida",AH6)))</formula>
    </cfRule>
  </conditionalFormatting>
  <conditionalFormatting sqref="AH93:AH95">
    <cfRule type="cellIs" dxfId="390" priority="340" operator="lessThan">
      <formula>0.8</formula>
    </cfRule>
    <cfRule type="cellIs" dxfId="389" priority="341" operator="greaterThan">
      <formula>0.8</formula>
    </cfRule>
  </conditionalFormatting>
  <conditionalFormatting sqref="AH93:AH95">
    <cfRule type="notContainsText" dxfId="388" priority="338" operator="notContains" text="Caida">
      <formula>ISERROR(SEARCH("Caida",AH93))</formula>
    </cfRule>
    <cfRule type="containsText" dxfId="387" priority="339" operator="containsText" text="Caida">
      <formula>NOT(ISERROR(SEARCH("Caida",AH93)))</formula>
    </cfRule>
  </conditionalFormatting>
  <conditionalFormatting sqref="AH1 AH380:AH1048576 AH3 AH5:AH372">
    <cfRule type="cellIs" dxfId="386" priority="337" operator="equal">
      <formula>"apagado"</formula>
    </cfRule>
  </conditionalFormatting>
  <conditionalFormatting sqref="AI6:AI92">
    <cfRule type="cellIs" dxfId="385" priority="335" operator="lessThan">
      <formula>0.8</formula>
    </cfRule>
    <cfRule type="cellIs" dxfId="384" priority="336" operator="greaterThan">
      <formula>0.8</formula>
    </cfRule>
  </conditionalFormatting>
  <conditionalFormatting sqref="AI6:AI92">
    <cfRule type="notContainsText" dxfId="383" priority="333" operator="notContains" text="Caida">
      <formula>ISERROR(SEARCH("Caida",AI6))</formula>
    </cfRule>
    <cfRule type="containsText" dxfId="382" priority="334" operator="containsText" text="Caida">
      <formula>NOT(ISERROR(SEARCH("Caida",AI6)))</formula>
    </cfRule>
  </conditionalFormatting>
  <conditionalFormatting sqref="AI93:AI95">
    <cfRule type="cellIs" dxfId="381" priority="331" operator="lessThan">
      <formula>0.8</formula>
    </cfRule>
    <cfRule type="cellIs" dxfId="380" priority="332" operator="greaterThan">
      <formula>0.8</formula>
    </cfRule>
  </conditionalFormatting>
  <conditionalFormatting sqref="AI93:AI95">
    <cfRule type="notContainsText" dxfId="379" priority="329" operator="notContains" text="Caida">
      <formula>ISERROR(SEARCH("Caida",AI93))</formula>
    </cfRule>
    <cfRule type="containsText" dxfId="378" priority="330" operator="containsText" text="Caida">
      <formula>NOT(ISERROR(SEARCH("Caida",AI93)))</formula>
    </cfRule>
  </conditionalFormatting>
  <conditionalFormatting sqref="AI1 AI5:AI372 AI380:AI1048576 AI3">
    <cfRule type="cellIs" dxfId="377" priority="328" operator="equal">
      <formula>"apagado"</formula>
    </cfRule>
  </conditionalFormatting>
  <conditionalFormatting sqref="AJ6:AJ92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J6:AJ92">
    <cfRule type="notContainsText" dxfId="374" priority="324" operator="notContains" text="Caida">
      <formula>ISERROR(SEARCH("Caida",AJ6))</formula>
    </cfRule>
    <cfRule type="containsText" dxfId="373" priority="325" operator="containsText" text="Caida">
      <formula>NOT(ISERROR(SEARCH("Caida",AJ6)))</formula>
    </cfRule>
  </conditionalFormatting>
  <conditionalFormatting sqref="AJ93:AJ95">
    <cfRule type="cellIs" dxfId="372" priority="322" operator="lessThan">
      <formula>0.8</formula>
    </cfRule>
    <cfRule type="cellIs" dxfId="371" priority="323" operator="greaterThan">
      <formula>0.8</formula>
    </cfRule>
  </conditionalFormatting>
  <conditionalFormatting sqref="AJ93:AJ95">
    <cfRule type="notContainsText" dxfId="370" priority="320" operator="notContains" text="Caida">
      <formula>ISERROR(SEARCH("Caida",AJ93))</formula>
    </cfRule>
    <cfRule type="containsText" dxfId="369" priority="321" operator="containsText" text="Caida">
      <formula>NOT(ISERROR(SEARCH("Caida",AJ93)))</formula>
    </cfRule>
  </conditionalFormatting>
  <conditionalFormatting sqref="AJ1 AJ5:AJ372 AJ380:AJ1048576 AJ3">
    <cfRule type="cellIs" dxfId="368" priority="319" operator="equal">
      <formula>"apagado"</formula>
    </cfRule>
  </conditionalFormatting>
  <conditionalFormatting sqref="AQ95:AQ369">
    <cfRule type="cellIs" dxfId="367" priority="300" operator="lessThan">
      <formula>0.8</formula>
    </cfRule>
    <cfRule type="cellIs" dxfId="366" priority="301" operator="greaterThan">
      <formula>0.8</formula>
    </cfRule>
  </conditionalFormatting>
  <conditionalFormatting sqref="AQ95:AQ372 AQ391:AQ1048576">
    <cfRule type="notContainsText" dxfId="365" priority="298" operator="notContains" text="Caida">
      <formula>ISERROR(SEARCH("Caida",AQ95))</formula>
    </cfRule>
    <cfRule type="containsText" dxfId="364" priority="299" operator="containsText" text="Caida">
      <formula>NOT(ISERROR(SEARCH("Caida",AQ95)))</formula>
    </cfRule>
  </conditionalFormatting>
  <conditionalFormatting sqref="AQ6:AQ92">
    <cfRule type="cellIs" dxfId="363" priority="296" operator="lessThan">
      <formula>0.8</formula>
    </cfRule>
    <cfRule type="cellIs" dxfId="362" priority="297" operator="greaterThan">
      <formula>0.8</formula>
    </cfRule>
  </conditionalFormatting>
  <conditionalFormatting sqref="AQ6:AQ92">
    <cfRule type="notContainsText" dxfId="361" priority="294" operator="notContains" text="Caida">
      <formula>ISERROR(SEARCH("Caida",AQ6))</formula>
    </cfRule>
    <cfRule type="containsText" dxfId="360" priority="295" operator="containsText" text="Caida">
      <formula>NOT(ISERROR(SEARCH("Caida",AQ6)))</formula>
    </cfRule>
  </conditionalFormatting>
  <conditionalFormatting sqref="AQ93:AQ94">
    <cfRule type="cellIs" dxfId="359" priority="292" operator="lessThan">
      <formula>0.8</formula>
    </cfRule>
    <cfRule type="cellIs" dxfId="358" priority="293" operator="greaterThan">
      <formula>0.8</formula>
    </cfRule>
  </conditionalFormatting>
  <conditionalFormatting sqref="AQ93:AQ94">
    <cfRule type="notContainsText" dxfId="357" priority="290" operator="notContains" text="Caida">
      <formula>ISERROR(SEARCH("Caida",AQ93))</formula>
    </cfRule>
    <cfRule type="containsText" dxfId="356" priority="291" operator="containsText" text="Caida">
      <formula>NOT(ISERROR(SEARCH("Caida",AQ93)))</formula>
    </cfRule>
  </conditionalFormatting>
  <conditionalFormatting sqref="AQ10">
    <cfRule type="cellIs" dxfId="355" priority="285" operator="equal">
      <formula>"apagado"</formula>
    </cfRule>
    <cfRule type="cellIs" dxfId="354" priority="288" operator="lessThan">
      <formula>0.8</formula>
    </cfRule>
    <cfRule type="cellIs" dxfId="353" priority="289" operator="greaterThan">
      <formula>0.8</formula>
    </cfRule>
  </conditionalFormatting>
  <conditionalFormatting sqref="AQ10">
    <cfRule type="notContainsText" dxfId="352" priority="286" operator="notContains" text="Caida">
      <formula>ISERROR(SEARCH("Caida",AQ10))</formula>
    </cfRule>
    <cfRule type="containsText" dxfId="351" priority="287" operator="containsText" text="Caida">
      <formula>NOT(ISERROR(SEARCH("Caida",AQ10)))</formula>
    </cfRule>
  </conditionalFormatting>
  <conditionalFormatting sqref="AQ1 AQ5:AQ372 AQ380:AQ1048576 AQ3">
    <cfRule type="cellIs" dxfId="350" priority="284" operator="equal">
      <formula>"apagado"</formula>
    </cfRule>
  </conditionalFormatting>
  <conditionalFormatting sqref="O5:X372 AA5:AR372">
    <cfRule type="cellIs" dxfId="349" priority="283" operator="equal">
      <formula>"APAGADO"</formula>
    </cfRule>
  </conditionalFormatting>
  <conditionalFormatting sqref="Y96:Y372">
    <cfRule type="cellIs" dxfId="348" priority="245" operator="lessThan">
      <formula>0.8</formula>
    </cfRule>
    <cfRule type="cellIs" dxfId="347" priority="246" operator="greaterThan">
      <formula>0.8</formula>
    </cfRule>
  </conditionalFormatting>
  <conditionalFormatting sqref="Y96:Y372">
    <cfRule type="notContainsText" dxfId="346" priority="243" operator="notContains" text="Caida">
      <formula>ISERROR(SEARCH("Caida",Y96))</formula>
    </cfRule>
    <cfRule type="containsText" dxfId="345" priority="244" operator="containsText" text="Caida">
      <formula>NOT(ISERROR(SEARCH("Caida",Y96)))</formula>
    </cfRule>
  </conditionalFormatting>
  <conditionalFormatting sqref="Y22">
    <cfRule type="containsText" dxfId="344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43" priority="240" operator="lessThan">
      <formula>0.8</formula>
    </cfRule>
    <cfRule type="cellIs" dxfId="342" priority="241" operator="greaterThan">
      <formula>0.8</formula>
    </cfRule>
  </conditionalFormatting>
  <conditionalFormatting sqref="Y5">
    <cfRule type="notContainsText" dxfId="341" priority="238" operator="notContains" text="Caida">
      <formula>ISERROR(SEARCH("Caida",Y5))</formula>
    </cfRule>
    <cfRule type="containsText" dxfId="340" priority="239" operator="containsText" text="Caida">
      <formula>NOT(ISERROR(SEARCH("Caida",Y5)))</formula>
    </cfRule>
  </conditionalFormatting>
  <conditionalFormatting sqref="Y5:Y372">
    <cfRule type="cellIs" dxfId="339" priority="237" operator="equal">
      <formula>"APAGADO"</formula>
    </cfRule>
  </conditionalFormatting>
  <conditionalFormatting sqref="Y6:Y92">
    <cfRule type="cellIs" dxfId="338" priority="235" operator="lessThan">
      <formula>0.8</formula>
    </cfRule>
    <cfRule type="cellIs" dxfId="337" priority="236" operator="greaterThan">
      <formula>0.8</formula>
    </cfRule>
  </conditionalFormatting>
  <conditionalFormatting sqref="Y6:Y92">
    <cfRule type="notContainsText" dxfId="336" priority="233" operator="notContains" text="Caida">
      <formula>ISERROR(SEARCH("Caida",Y6))</formula>
    </cfRule>
    <cfRule type="containsText" dxfId="335" priority="234" operator="containsText" text="Caida">
      <formula>NOT(ISERROR(SEARCH("Caida",Y6)))</formula>
    </cfRule>
  </conditionalFormatting>
  <conditionalFormatting sqref="Y93:Y95">
    <cfRule type="cellIs" dxfId="334" priority="231" operator="lessThan">
      <formula>0.8</formula>
    </cfRule>
    <cfRule type="cellIs" dxfId="333" priority="232" operator="greaterThan">
      <formula>0.8</formula>
    </cfRule>
  </conditionalFormatting>
  <conditionalFormatting sqref="Y93:Y95">
    <cfRule type="notContainsText" dxfId="332" priority="229" operator="notContains" text="Caida">
      <formula>ISERROR(SEARCH("Caida",Y93))</formula>
    </cfRule>
    <cfRule type="containsText" dxfId="331" priority="230" operator="containsText" text="Caida">
      <formula>NOT(ISERROR(SEARCH("Caida",Y93)))</formula>
    </cfRule>
  </conditionalFormatting>
  <conditionalFormatting sqref="Y5:Y372">
    <cfRule type="cellIs" dxfId="330" priority="228" operator="equal">
      <formula>"apagado"</formula>
    </cfRule>
  </conditionalFormatting>
  <conditionalFormatting sqref="Z96:Z372">
    <cfRule type="cellIs" dxfId="329" priority="225" operator="lessThan">
      <formula>0.8</formula>
    </cfRule>
    <cfRule type="cellIs" dxfId="328" priority="226" operator="greaterThan">
      <formula>0.8</formula>
    </cfRule>
  </conditionalFormatting>
  <conditionalFormatting sqref="Z96:Z372">
    <cfRule type="notContainsText" dxfId="327" priority="223" operator="notContains" text="Caida">
      <formula>ISERROR(SEARCH("Caida",Z96))</formula>
    </cfRule>
    <cfRule type="containsText" dxfId="326" priority="224" operator="containsText" text="Caida">
      <formula>NOT(ISERROR(SEARCH("Caida",Z96)))</formula>
    </cfRule>
  </conditionalFormatting>
  <conditionalFormatting sqref="Z22">
    <cfRule type="containsText" dxfId="325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24" priority="220" operator="lessThan">
      <formula>0.8</formula>
    </cfRule>
    <cfRule type="cellIs" dxfId="323" priority="221" operator="greaterThan">
      <formula>0.8</formula>
    </cfRule>
  </conditionalFormatting>
  <conditionalFormatting sqref="Z5">
    <cfRule type="notContainsText" dxfId="322" priority="218" operator="notContains" text="Caida">
      <formula>ISERROR(SEARCH("Caida",Z5))</formula>
    </cfRule>
    <cfRule type="containsText" dxfId="321" priority="219" operator="containsText" text="Caida">
      <formula>NOT(ISERROR(SEARCH("Caida",Z5)))</formula>
    </cfRule>
  </conditionalFormatting>
  <conditionalFormatting sqref="Z5:Z372">
    <cfRule type="cellIs" dxfId="320" priority="217" operator="equal">
      <formula>"APAGADO"</formula>
    </cfRule>
  </conditionalFormatting>
  <conditionalFormatting sqref="Z6:Z92">
    <cfRule type="cellIs" dxfId="319" priority="215" operator="lessThan">
      <formula>0.8</formula>
    </cfRule>
    <cfRule type="cellIs" dxfId="318" priority="216" operator="greaterThan">
      <formula>0.8</formula>
    </cfRule>
  </conditionalFormatting>
  <conditionalFormatting sqref="Z6:Z92">
    <cfRule type="notContainsText" dxfId="317" priority="213" operator="notContains" text="Caida">
      <formula>ISERROR(SEARCH("Caida",Z6))</formula>
    </cfRule>
    <cfRule type="containsText" dxfId="316" priority="214" operator="containsText" text="Caida">
      <formula>NOT(ISERROR(SEARCH("Caida",Z6)))</formula>
    </cfRule>
  </conditionalFormatting>
  <conditionalFormatting sqref="Z93:Z95">
    <cfRule type="cellIs" dxfId="315" priority="211" operator="lessThan">
      <formula>0.8</formula>
    </cfRule>
    <cfRule type="cellIs" dxfId="314" priority="212" operator="greaterThan">
      <formula>0.8</formula>
    </cfRule>
  </conditionalFormatting>
  <conditionalFormatting sqref="Z93:Z95">
    <cfRule type="notContainsText" dxfId="313" priority="209" operator="notContains" text="Caida">
      <formula>ISERROR(SEARCH("Caida",Z93))</formula>
    </cfRule>
    <cfRule type="containsText" dxfId="312" priority="210" operator="containsText" text="Caida">
      <formula>NOT(ISERROR(SEARCH("Caida",Z93)))</formula>
    </cfRule>
  </conditionalFormatting>
  <conditionalFormatting sqref="Z5:Z372">
    <cfRule type="cellIs" dxfId="311" priority="208" operator="equal">
      <formula>"apagado"</formula>
    </cfRule>
  </conditionalFormatting>
  <conditionalFormatting sqref="AH94">
    <cfRule type="cellIs" dxfId="310" priority="205" operator="lessThan">
      <formula>0.8</formula>
    </cfRule>
    <cfRule type="cellIs" dxfId="309" priority="206" operator="greaterThan">
      <formula>0.8</formula>
    </cfRule>
  </conditionalFormatting>
  <conditionalFormatting sqref="AH94">
    <cfRule type="notContainsText" dxfId="308" priority="203" operator="notContains" text="Caida">
      <formula>ISERROR(SEARCH("Caida",AH94))</formula>
    </cfRule>
    <cfRule type="containsText" dxfId="307" priority="204" operator="containsText" text="Caida">
      <formula>NOT(ISERROR(SEARCH("Caida",AH94)))</formula>
    </cfRule>
  </conditionalFormatting>
  <conditionalFormatting sqref="AH96">
    <cfRule type="cellIs" dxfId="306" priority="201" operator="lessThan">
      <formula>0.8</formula>
    </cfRule>
    <cfRule type="cellIs" dxfId="305" priority="202" operator="greaterThan">
      <formula>0.8</formula>
    </cfRule>
  </conditionalFormatting>
  <conditionalFormatting sqref="AH96">
    <cfRule type="notContainsText" dxfId="304" priority="199" operator="notContains" text="Caida">
      <formula>ISERROR(SEARCH("Caida",AH96))</formula>
    </cfRule>
    <cfRule type="containsText" dxfId="303" priority="200" operator="containsText" text="Caida">
      <formula>NOT(ISERROR(SEARCH("Caida",AH96)))</formula>
    </cfRule>
  </conditionalFormatting>
  <conditionalFormatting sqref="AH99">
    <cfRule type="cellIs" dxfId="302" priority="197" operator="lessThan">
      <formula>0.8</formula>
    </cfRule>
    <cfRule type="cellIs" dxfId="301" priority="198" operator="greaterThan">
      <formula>0.8</formula>
    </cfRule>
  </conditionalFormatting>
  <conditionalFormatting sqref="AH99">
    <cfRule type="notContainsText" dxfId="300" priority="195" operator="notContains" text="Caida">
      <formula>ISERROR(SEARCH("Caida",AH99))</formula>
    </cfRule>
    <cfRule type="containsText" dxfId="299" priority="196" operator="containsText" text="Caida">
      <formula>NOT(ISERROR(SEARCH("Caida",AH99)))</formula>
    </cfRule>
  </conditionalFormatting>
  <conditionalFormatting sqref="AH115">
    <cfRule type="cellIs" dxfId="298" priority="193" operator="lessThan">
      <formula>0.8</formula>
    </cfRule>
    <cfRule type="cellIs" dxfId="297" priority="194" operator="greaterThan">
      <formula>0.8</formula>
    </cfRule>
  </conditionalFormatting>
  <conditionalFormatting sqref="AH115">
    <cfRule type="notContainsText" dxfId="296" priority="191" operator="notContains" text="Caida">
      <formula>ISERROR(SEARCH("Caida",AH115))</formula>
    </cfRule>
    <cfRule type="containsText" dxfId="295" priority="192" operator="containsText" text="Caida">
      <formula>NOT(ISERROR(SEARCH("Caida",AH115)))</formula>
    </cfRule>
  </conditionalFormatting>
  <conditionalFormatting sqref="AH116">
    <cfRule type="cellIs" dxfId="294" priority="189" operator="lessThan">
      <formula>0.8</formula>
    </cfRule>
    <cfRule type="cellIs" dxfId="293" priority="190" operator="greaterThan">
      <formula>0.8</formula>
    </cfRule>
  </conditionalFormatting>
  <conditionalFormatting sqref="AH116">
    <cfRule type="notContainsText" dxfId="292" priority="187" operator="notContains" text="Caida">
      <formula>ISERROR(SEARCH("Caida",AH116))</formula>
    </cfRule>
    <cfRule type="containsText" dxfId="291" priority="188" operator="containsText" text="Caida">
      <formula>NOT(ISERROR(SEARCH("Caida",AH116)))</formula>
    </cfRule>
  </conditionalFormatting>
  <conditionalFormatting sqref="AH120">
    <cfRule type="cellIs" dxfId="290" priority="185" operator="lessThan">
      <formula>0.8</formula>
    </cfRule>
    <cfRule type="cellIs" dxfId="289" priority="186" operator="greaterThan">
      <formula>0.8</formula>
    </cfRule>
  </conditionalFormatting>
  <conditionalFormatting sqref="AH120">
    <cfRule type="notContainsText" dxfId="288" priority="183" operator="notContains" text="Caida">
      <formula>ISERROR(SEARCH("Caida",AH120))</formula>
    </cfRule>
    <cfRule type="containsText" dxfId="287" priority="184" operator="containsText" text="Caida">
      <formula>NOT(ISERROR(SEARCH("Caida",AH120)))</formula>
    </cfRule>
  </conditionalFormatting>
  <conditionalFormatting sqref="AH121">
    <cfRule type="cellIs" dxfId="286" priority="181" operator="lessThan">
      <formula>0.8</formula>
    </cfRule>
    <cfRule type="cellIs" dxfId="285" priority="182" operator="greaterThan">
      <formula>0.8</formula>
    </cfRule>
  </conditionalFormatting>
  <conditionalFormatting sqref="AH121">
    <cfRule type="notContainsText" dxfId="284" priority="179" operator="notContains" text="Caida">
      <formula>ISERROR(SEARCH("Caida",AH121))</formula>
    </cfRule>
    <cfRule type="containsText" dxfId="283" priority="180" operator="containsText" text="Caida">
      <formula>NOT(ISERROR(SEARCH("Caida",AH121)))</formula>
    </cfRule>
  </conditionalFormatting>
  <conditionalFormatting sqref="AH133">
    <cfRule type="cellIs" dxfId="282" priority="177" operator="lessThan">
      <formula>0.8</formula>
    </cfRule>
    <cfRule type="cellIs" dxfId="281" priority="178" operator="greaterThan">
      <formula>0.8</formula>
    </cfRule>
  </conditionalFormatting>
  <conditionalFormatting sqref="AH133">
    <cfRule type="notContainsText" dxfId="280" priority="175" operator="notContains" text="Caida">
      <formula>ISERROR(SEARCH("Caida",AH133))</formula>
    </cfRule>
    <cfRule type="containsText" dxfId="279" priority="176" operator="containsText" text="Caida">
      <formula>NOT(ISERROR(SEARCH("Caida",AH133)))</formula>
    </cfRule>
  </conditionalFormatting>
  <conditionalFormatting sqref="AH135">
    <cfRule type="cellIs" dxfId="278" priority="173" operator="lessThan">
      <formula>0.8</formula>
    </cfRule>
    <cfRule type="cellIs" dxfId="277" priority="174" operator="greaterThan">
      <formula>0.8</formula>
    </cfRule>
  </conditionalFormatting>
  <conditionalFormatting sqref="AH135">
    <cfRule type="notContainsText" dxfId="276" priority="171" operator="notContains" text="Caida">
      <formula>ISERROR(SEARCH("Caida",AH135))</formula>
    </cfRule>
    <cfRule type="containsText" dxfId="275" priority="172" operator="containsText" text="Caida">
      <formula>NOT(ISERROR(SEARCH("Caida",AH135)))</formula>
    </cfRule>
  </conditionalFormatting>
  <conditionalFormatting sqref="AH142">
    <cfRule type="cellIs" dxfId="274" priority="169" operator="lessThan">
      <formula>0.8</formula>
    </cfRule>
    <cfRule type="cellIs" dxfId="273" priority="170" operator="greaterThan">
      <formula>0.8</formula>
    </cfRule>
  </conditionalFormatting>
  <conditionalFormatting sqref="AH142">
    <cfRule type="notContainsText" dxfId="272" priority="167" operator="notContains" text="Caida">
      <formula>ISERROR(SEARCH("Caida",AH142))</formula>
    </cfRule>
    <cfRule type="containsText" dxfId="271" priority="168" operator="containsText" text="Caida">
      <formula>NOT(ISERROR(SEARCH("Caida",AH142)))</formula>
    </cfRule>
  </conditionalFormatting>
  <conditionalFormatting sqref="AH143">
    <cfRule type="cellIs" dxfId="270" priority="165" operator="lessThan">
      <formula>0.8</formula>
    </cfRule>
    <cfRule type="cellIs" dxfId="269" priority="166" operator="greaterThan">
      <formula>0.8</formula>
    </cfRule>
  </conditionalFormatting>
  <conditionalFormatting sqref="AH143">
    <cfRule type="notContainsText" dxfId="268" priority="163" operator="notContains" text="Caida">
      <formula>ISERROR(SEARCH("Caida",AH143))</formula>
    </cfRule>
    <cfRule type="containsText" dxfId="267" priority="164" operator="containsText" text="Caida">
      <formula>NOT(ISERROR(SEARCH("Caida",AH143)))</formula>
    </cfRule>
  </conditionalFormatting>
  <conditionalFormatting sqref="AH144">
    <cfRule type="cellIs" dxfId="266" priority="161" operator="lessThan">
      <formula>0.8</formula>
    </cfRule>
    <cfRule type="cellIs" dxfId="265" priority="162" operator="greaterThan">
      <formula>0.8</formula>
    </cfRule>
  </conditionalFormatting>
  <conditionalFormatting sqref="AH144">
    <cfRule type="notContainsText" dxfId="264" priority="159" operator="notContains" text="Caida">
      <formula>ISERROR(SEARCH("Caida",AH144))</formula>
    </cfRule>
    <cfRule type="containsText" dxfId="263" priority="160" operator="containsText" text="Caida">
      <formula>NOT(ISERROR(SEARCH("Caida",AH144)))</formula>
    </cfRule>
  </conditionalFormatting>
  <conditionalFormatting sqref="AH163">
    <cfRule type="cellIs" dxfId="262" priority="157" operator="lessThan">
      <formula>0.8</formula>
    </cfRule>
    <cfRule type="cellIs" dxfId="261" priority="158" operator="greaterThan">
      <formula>0.8</formula>
    </cfRule>
  </conditionalFormatting>
  <conditionalFormatting sqref="AH163">
    <cfRule type="notContainsText" dxfId="260" priority="155" operator="notContains" text="Caida">
      <formula>ISERROR(SEARCH("Caida",AH163))</formula>
    </cfRule>
    <cfRule type="containsText" dxfId="259" priority="156" operator="containsText" text="Caida">
      <formula>NOT(ISERROR(SEARCH("Caida",AH163)))</formula>
    </cfRule>
  </conditionalFormatting>
  <conditionalFormatting sqref="AH164">
    <cfRule type="cellIs" dxfId="258" priority="153" operator="lessThan">
      <formula>0.8</formula>
    </cfRule>
    <cfRule type="cellIs" dxfId="257" priority="154" operator="greaterThan">
      <formula>0.8</formula>
    </cfRule>
  </conditionalFormatting>
  <conditionalFormatting sqref="AH164">
    <cfRule type="notContainsText" dxfId="256" priority="151" operator="notContains" text="Caida">
      <formula>ISERROR(SEARCH("Caida",AH164))</formula>
    </cfRule>
    <cfRule type="containsText" dxfId="255" priority="152" operator="containsText" text="Caida">
      <formula>NOT(ISERROR(SEARCH("Caida",AH164)))</formula>
    </cfRule>
  </conditionalFormatting>
  <conditionalFormatting sqref="AH166">
    <cfRule type="cellIs" dxfId="254" priority="149" operator="lessThan">
      <formula>0.8</formula>
    </cfRule>
    <cfRule type="cellIs" dxfId="253" priority="150" operator="greaterThan">
      <formula>0.8</formula>
    </cfRule>
  </conditionalFormatting>
  <conditionalFormatting sqref="AH166">
    <cfRule type="notContainsText" dxfId="252" priority="147" operator="notContains" text="Caida">
      <formula>ISERROR(SEARCH("Caida",AH166))</formula>
    </cfRule>
    <cfRule type="containsText" dxfId="251" priority="148" operator="containsText" text="Caida">
      <formula>NOT(ISERROR(SEARCH("Caida",AH166)))</formula>
    </cfRule>
  </conditionalFormatting>
  <conditionalFormatting sqref="AH177">
    <cfRule type="cellIs" dxfId="250" priority="145" operator="lessThan">
      <formula>0.8</formula>
    </cfRule>
    <cfRule type="cellIs" dxfId="249" priority="146" operator="greaterThan">
      <formula>0.8</formula>
    </cfRule>
  </conditionalFormatting>
  <conditionalFormatting sqref="AH177">
    <cfRule type="notContainsText" dxfId="248" priority="143" operator="notContains" text="Caida">
      <formula>ISERROR(SEARCH("Caida",AH177))</formula>
    </cfRule>
    <cfRule type="containsText" dxfId="247" priority="144" operator="containsText" text="Caida">
      <formula>NOT(ISERROR(SEARCH("Caida",AH177)))</formula>
    </cfRule>
  </conditionalFormatting>
  <conditionalFormatting sqref="AH191">
    <cfRule type="cellIs" dxfId="246" priority="141" operator="lessThan">
      <formula>0.8</formula>
    </cfRule>
    <cfRule type="cellIs" dxfId="245" priority="142" operator="greaterThan">
      <formula>0.8</formula>
    </cfRule>
  </conditionalFormatting>
  <conditionalFormatting sqref="AH191">
    <cfRule type="notContainsText" dxfId="244" priority="139" operator="notContains" text="Caida">
      <formula>ISERROR(SEARCH("Caida",AH191))</formula>
    </cfRule>
    <cfRule type="containsText" dxfId="243" priority="140" operator="containsText" text="Caida">
      <formula>NOT(ISERROR(SEARCH("Caida",AH191)))</formula>
    </cfRule>
  </conditionalFormatting>
  <conditionalFormatting sqref="AH192">
    <cfRule type="cellIs" dxfId="242" priority="137" operator="lessThan">
      <formula>0.8</formula>
    </cfRule>
    <cfRule type="cellIs" dxfId="241" priority="138" operator="greaterThan">
      <formula>0.8</formula>
    </cfRule>
  </conditionalFormatting>
  <conditionalFormatting sqref="AH192">
    <cfRule type="notContainsText" dxfId="240" priority="135" operator="notContains" text="Caida">
      <formula>ISERROR(SEARCH("Caida",AH192))</formula>
    </cfRule>
    <cfRule type="containsText" dxfId="239" priority="136" operator="containsText" text="Caida">
      <formula>NOT(ISERROR(SEARCH("Caida",AH192)))</formula>
    </cfRule>
  </conditionalFormatting>
  <conditionalFormatting sqref="AH198">
    <cfRule type="cellIs" dxfId="238" priority="133" operator="lessThan">
      <formula>0.8</formula>
    </cfRule>
    <cfRule type="cellIs" dxfId="237" priority="134" operator="greaterThan">
      <formula>0.8</formula>
    </cfRule>
  </conditionalFormatting>
  <conditionalFormatting sqref="AH198">
    <cfRule type="notContainsText" dxfId="236" priority="131" operator="notContains" text="Caida">
      <formula>ISERROR(SEARCH("Caida",AH198))</formula>
    </cfRule>
    <cfRule type="containsText" dxfId="235" priority="132" operator="containsText" text="Caida">
      <formula>NOT(ISERROR(SEARCH("Caida",AH198)))</formula>
    </cfRule>
  </conditionalFormatting>
  <conditionalFormatting sqref="AH206">
    <cfRule type="cellIs" dxfId="234" priority="129" operator="lessThan">
      <formula>0.8</formula>
    </cfRule>
    <cfRule type="cellIs" dxfId="233" priority="130" operator="greaterThan">
      <formula>0.8</formula>
    </cfRule>
  </conditionalFormatting>
  <conditionalFormatting sqref="AH206">
    <cfRule type="notContainsText" dxfId="232" priority="127" operator="notContains" text="Caida">
      <formula>ISERROR(SEARCH("Caida",AH206))</formula>
    </cfRule>
    <cfRule type="containsText" dxfId="231" priority="128" operator="containsText" text="Caida">
      <formula>NOT(ISERROR(SEARCH("Caida",AH206)))</formula>
    </cfRule>
  </conditionalFormatting>
  <conditionalFormatting sqref="AH211">
    <cfRule type="cellIs" dxfId="230" priority="125" operator="lessThan">
      <formula>0.8</formula>
    </cfRule>
    <cfRule type="cellIs" dxfId="229" priority="126" operator="greaterThan">
      <formula>0.8</formula>
    </cfRule>
  </conditionalFormatting>
  <conditionalFormatting sqref="AH211">
    <cfRule type="notContainsText" dxfId="228" priority="123" operator="notContains" text="Caida">
      <formula>ISERROR(SEARCH("Caida",AH211))</formula>
    </cfRule>
    <cfRule type="containsText" dxfId="227" priority="124" operator="containsText" text="Caida">
      <formula>NOT(ISERROR(SEARCH("Caida",AH211)))</formula>
    </cfRule>
  </conditionalFormatting>
  <conditionalFormatting sqref="AH212">
    <cfRule type="cellIs" dxfId="226" priority="121" operator="lessThan">
      <formula>0.8</formula>
    </cfRule>
    <cfRule type="cellIs" dxfId="225" priority="122" operator="greaterThan">
      <formula>0.8</formula>
    </cfRule>
  </conditionalFormatting>
  <conditionalFormatting sqref="AH212">
    <cfRule type="notContainsText" dxfId="224" priority="119" operator="notContains" text="Caida">
      <formula>ISERROR(SEARCH("Caida",AH212))</formula>
    </cfRule>
    <cfRule type="containsText" dxfId="223" priority="120" operator="containsText" text="Caida">
      <formula>NOT(ISERROR(SEARCH("Caida",AH212)))</formula>
    </cfRule>
  </conditionalFormatting>
  <conditionalFormatting sqref="AH359">
    <cfRule type="cellIs" dxfId="222" priority="118" operator="equal">
      <formula>"apagado"</formula>
    </cfRule>
  </conditionalFormatting>
  <conditionalFormatting sqref="AH360">
    <cfRule type="cellIs" dxfId="221" priority="117" operator="equal">
      <formula>"apagado"</formula>
    </cfRule>
  </conditionalFormatting>
  <conditionalFormatting sqref="AH361">
    <cfRule type="cellIs" dxfId="220" priority="116" operator="equal">
      <formula>"apagado"</formula>
    </cfRule>
  </conditionalFormatting>
  <conditionalFormatting sqref="AH362">
    <cfRule type="cellIs" dxfId="219" priority="115" operator="equal">
      <formula>"apagado"</formula>
    </cfRule>
  </conditionalFormatting>
  <conditionalFormatting sqref="AH206">
    <cfRule type="cellIs" dxfId="218" priority="114" operator="equal">
      <formula>"apagado"</formula>
    </cfRule>
  </conditionalFormatting>
  <conditionalFormatting sqref="AH211">
    <cfRule type="cellIs" dxfId="217" priority="113" operator="equal">
      <formula>"apagado"</formula>
    </cfRule>
  </conditionalFormatting>
  <conditionalFormatting sqref="AH212">
    <cfRule type="cellIs" dxfId="216" priority="112" operator="equal">
      <formula>"apagado"</formula>
    </cfRule>
  </conditionalFormatting>
  <conditionalFormatting sqref="AH198">
    <cfRule type="cellIs" dxfId="215" priority="111" operator="equal">
      <formula>"apagado"</formula>
    </cfRule>
  </conditionalFormatting>
  <conditionalFormatting sqref="AH192">
    <cfRule type="cellIs" dxfId="214" priority="110" operator="equal">
      <formula>"apagado"</formula>
    </cfRule>
  </conditionalFormatting>
  <conditionalFormatting sqref="AH191">
    <cfRule type="cellIs" dxfId="213" priority="109" operator="equal">
      <formula>"apagado"</formula>
    </cfRule>
  </conditionalFormatting>
  <conditionalFormatting sqref="AH177">
    <cfRule type="cellIs" dxfId="212" priority="108" operator="equal">
      <formula>"apagado"</formula>
    </cfRule>
  </conditionalFormatting>
  <conditionalFormatting sqref="AH166">
    <cfRule type="cellIs" dxfId="211" priority="107" operator="equal">
      <formula>"apagado"</formula>
    </cfRule>
  </conditionalFormatting>
  <conditionalFormatting sqref="AH163">
    <cfRule type="cellIs" dxfId="210" priority="106" operator="equal">
      <formula>"apagado"</formula>
    </cfRule>
  </conditionalFormatting>
  <conditionalFormatting sqref="AH164">
    <cfRule type="cellIs" dxfId="209" priority="105" operator="equal">
      <formula>"apagado"</formula>
    </cfRule>
  </conditionalFormatting>
  <conditionalFormatting sqref="AH142">
    <cfRule type="cellIs" dxfId="208" priority="104" operator="equal">
      <formula>"apagado"</formula>
    </cfRule>
  </conditionalFormatting>
  <conditionalFormatting sqref="AH143">
    <cfRule type="cellIs" dxfId="207" priority="103" operator="equal">
      <formula>"apagado"</formula>
    </cfRule>
  </conditionalFormatting>
  <conditionalFormatting sqref="AH144">
    <cfRule type="cellIs" dxfId="206" priority="102" operator="equal">
      <formula>"apagado"</formula>
    </cfRule>
  </conditionalFormatting>
  <conditionalFormatting sqref="AH133">
    <cfRule type="cellIs" dxfId="205" priority="101" operator="equal">
      <formula>"apagado"</formula>
    </cfRule>
  </conditionalFormatting>
  <conditionalFormatting sqref="AH135">
    <cfRule type="cellIs" dxfId="204" priority="100" operator="equal">
      <formula>"apagado"</formula>
    </cfRule>
  </conditionalFormatting>
  <conditionalFormatting sqref="AH115">
    <cfRule type="cellIs" dxfId="203" priority="99" operator="equal">
      <formula>"apagado"</formula>
    </cfRule>
  </conditionalFormatting>
  <conditionalFormatting sqref="AH116">
    <cfRule type="cellIs" dxfId="202" priority="98" operator="equal">
      <formula>"apagado"</formula>
    </cfRule>
  </conditionalFormatting>
  <conditionalFormatting sqref="AH120">
    <cfRule type="cellIs" dxfId="201" priority="97" operator="equal">
      <formula>"apagado"</formula>
    </cfRule>
  </conditionalFormatting>
  <conditionalFormatting sqref="AH121">
    <cfRule type="cellIs" dxfId="200" priority="96" operator="equal">
      <formula>"apagado"</formula>
    </cfRule>
  </conditionalFormatting>
  <conditionalFormatting sqref="AH99">
    <cfRule type="cellIs" dxfId="199" priority="95" operator="equal">
      <formula>"apagado"</formula>
    </cfRule>
  </conditionalFormatting>
  <conditionalFormatting sqref="AH94">
    <cfRule type="cellIs" dxfId="198" priority="93" operator="lessThan">
      <formula>0.8</formula>
    </cfRule>
    <cfRule type="cellIs" dxfId="197" priority="94" operator="greaterThan">
      <formula>0.8</formula>
    </cfRule>
  </conditionalFormatting>
  <conditionalFormatting sqref="AH94">
    <cfRule type="notContainsText" dxfId="196" priority="91" operator="notContains" text="Caida">
      <formula>ISERROR(SEARCH("Caida",AH94))</formula>
    </cfRule>
    <cfRule type="containsText" dxfId="195" priority="92" operator="containsText" text="Caida">
      <formula>NOT(ISERROR(SEARCH("Caida",AH94)))</formula>
    </cfRule>
  </conditionalFormatting>
  <conditionalFormatting sqref="AH94">
    <cfRule type="cellIs" dxfId="194" priority="90" operator="equal">
      <formula>"apagado"</formula>
    </cfRule>
  </conditionalFormatting>
  <conditionalFormatting sqref="AH96">
    <cfRule type="cellIs" dxfId="193" priority="89" operator="equal">
      <formula>"apagado"</formula>
    </cfRule>
  </conditionalFormatting>
  <conditionalFormatting sqref="V373:X379 AA373:AJ379 N373:N379">
    <cfRule type="cellIs" dxfId="192" priority="73" operator="lessThan">
      <formula>0.8</formula>
    </cfRule>
    <cfRule type="cellIs" dxfId="191" priority="74" operator="greaterThan">
      <formula>0.8</formula>
    </cfRule>
  </conditionalFormatting>
  <conditionalFormatting sqref="E373:K379">
    <cfRule type="containsText" dxfId="190" priority="72" operator="containsText" text="Radio">
      <formula>NOT(ISERROR(SEARCH("Radio",E373)))</formula>
    </cfRule>
  </conditionalFormatting>
  <conditionalFormatting sqref="O373:O379 V373:X379 AA373:AP379 AR373:AR379">
    <cfRule type="notContainsText" dxfId="189" priority="70" operator="notContains" text="Caida">
      <formula>ISERROR(SEARCH("Caida",O373))</formula>
    </cfRule>
    <cfRule type="containsText" dxfId="188" priority="71" operator="containsText" text="Caida">
      <formula>NOT(ISERROR(SEARCH("Caida",O373)))</formula>
    </cfRule>
  </conditionalFormatting>
  <conditionalFormatting sqref="P373:P379">
    <cfRule type="cellIs" dxfId="187" priority="68" operator="lessThan">
      <formula>0.8</formula>
    </cfRule>
    <cfRule type="cellIs" dxfId="186" priority="69" operator="greaterThan">
      <formula>0.8</formula>
    </cfRule>
  </conditionalFormatting>
  <conditionalFormatting sqref="P373:P379">
    <cfRule type="notContainsText" dxfId="185" priority="66" operator="notContains" text="Caida">
      <formula>ISERROR(SEARCH("Caida",P373))</formula>
    </cfRule>
    <cfRule type="containsText" dxfId="184" priority="67" operator="containsText" text="Caida">
      <formula>NOT(ISERROR(SEARCH("Caida",P373)))</formula>
    </cfRule>
  </conditionalFormatting>
  <conditionalFormatting sqref="Q373:Q379">
    <cfRule type="cellIs" dxfId="183" priority="64" operator="lessThan">
      <formula>0.8</formula>
    </cfRule>
    <cfRule type="cellIs" dxfId="182" priority="65" operator="greaterThan">
      <formula>0.8</formula>
    </cfRule>
  </conditionalFormatting>
  <conditionalFormatting sqref="Q373:Q379">
    <cfRule type="notContainsText" dxfId="181" priority="62" operator="notContains" text="Caida">
      <formula>ISERROR(SEARCH("Caida",Q373))</formula>
    </cfRule>
    <cfRule type="containsText" dxfId="180" priority="63" operator="containsText" text="Caida">
      <formula>NOT(ISERROR(SEARCH("Caida",Q373)))</formula>
    </cfRule>
  </conditionalFormatting>
  <conditionalFormatting sqref="U373:U379">
    <cfRule type="cellIs" dxfId="179" priority="60" operator="lessThan">
      <formula>0.8</formula>
    </cfRule>
    <cfRule type="cellIs" dxfId="178" priority="61" operator="greaterThan">
      <formula>0.8</formula>
    </cfRule>
  </conditionalFormatting>
  <conditionalFormatting sqref="U373:U379">
    <cfRule type="notContainsText" dxfId="177" priority="58" operator="notContains" text="Caida">
      <formula>ISERROR(SEARCH("Caida",U373))</formula>
    </cfRule>
    <cfRule type="containsText" dxfId="176" priority="59" operator="containsText" text="Caida">
      <formula>NOT(ISERROR(SEARCH("Caida",U373)))</formula>
    </cfRule>
  </conditionalFormatting>
  <conditionalFormatting sqref="E373:E379">
    <cfRule type="containsText" dxfId="175" priority="56" operator="containsText" text="fija">
      <formula>NOT(ISERROR(SEARCH("fija",E373)))</formula>
    </cfRule>
    <cfRule type="containsText" dxfId="174" priority="57" operator="containsText" text="domo">
      <formula>NOT(ISERROR(SEARCH("domo",E373)))</formula>
    </cfRule>
  </conditionalFormatting>
  <conditionalFormatting sqref="O373:O379 AK373:AR379">
    <cfRule type="cellIs" dxfId="173" priority="55" operator="equal">
      <formula>"APAGADO"</formula>
    </cfRule>
  </conditionalFormatting>
  <conditionalFormatting sqref="F373:F379">
    <cfRule type="cellIs" dxfId="172" priority="54" operator="equal">
      <formula>"PTP A FO"</formula>
    </cfRule>
  </conditionalFormatting>
  <conditionalFormatting sqref="R373:T379">
    <cfRule type="cellIs" dxfId="171" priority="52" operator="lessThan">
      <formula>0.8</formula>
    </cfRule>
    <cfRule type="cellIs" dxfId="170" priority="53" operator="greaterThan">
      <formula>0.8</formula>
    </cfRule>
  </conditionalFormatting>
  <conditionalFormatting sqref="R373:T379">
    <cfRule type="notContainsText" dxfId="169" priority="50" operator="notContains" text="Caida">
      <formula>ISERROR(SEARCH("Caida",R373))</formula>
    </cfRule>
    <cfRule type="containsText" dxfId="168" priority="51" operator="containsText" text="Caida">
      <formula>NOT(ISERROR(SEARCH("Caida",R373)))</formula>
    </cfRule>
  </conditionalFormatting>
  <conditionalFormatting sqref="AF373:AF379">
    <cfRule type="cellIs" dxfId="167" priority="49" operator="equal">
      <formula>"apagado"</formula>
    </cfRule>
  </conditionalFormatting>
  <conditionalFormatting sqref="AE373:AE379">
    <cfRule type="cellIs" dxfId="166" priority="48" operator="equal">
      <formula>"apagado"</formula>
    </cfRule>
  </conditionalFormatting>
  <conditionalFormatting sqref="AD373:AD379">
    <cfRule type="cellIs" dxfId="165" priority="47" operator="equal">
      <formula>"apagado"</formula>
    </cfRule>
  </conditionalFormatting>
  <conditionalFormatting sqref="AC373:AC379">
    <cfRule type="cellIs" dxfId="164" priority="46" operator="equal">
      <formula>"apagado"</formula>
    </cfRule>
  </conditionalFormatting>
  <conditionalFormatting sqref="AB373:AB379">
    <cfRule type="cellIs" dxfId="163" priority="45" operator="equal">
      <formula>"apagado"</formula>
    </cfRule>
  </conditionalFormatting>
  <conditionalFormatting sqref="AA373:AA379">
    <cfRule type="cellIs" dxfId="162" priority="44" operator="equal">
      <formula>"apagado"</formula>
    </cfRule>
  </conditionalFormatting>
  <conditionalFormatting sqref="AG373:AG379">
    <cfRule type="cellIs" dxfId="161" priority="43" operator="equal">
      <formula>"apagado"</formula>
    </cfRule>
  </conditionalFormatting>
  <conditionalFormatting sqref="AH373:AH379">
    <cfRule type="cellIs" dxfId="160" priority="42" operator="equal">
      <formula>"apagado"</formula>
    </cfRule>
  </conditionalFormatting>
  <conditionalFormatting sqref="AI373:AI379">
    <cfRule type="cellIs" dxfId="159" priority="41" operator="equal">
      <formula>"apagado"</formula>
    </cfRule>
  </conditionalFormatting>
  <conditionalFormatting sqref="AJ373:AJ379">
    <cfRule type="cellIs" dxfId="158" priority="40" operator="equal">
      <formula>"apagado"</formula>
    </cfRule>
  </conditionalFormatting>
  <conditionalFormatting sqref="AQ373:AQ379">
    <cfRule type="notContainsText" dxfId="157" priority="38" operator="notContains" text="Caida">
      <formula>ISERROR(SEARCH("Caida",AQ373))</formula>
    </cfRule>
    <cfRule type="containsText" dxfId="156" priority="39" operator="containsText" text="Caida">
      <formula>NOT(ISERROR(SEARCH("Caida",AQ373)))</formula>
    </cfRule>
  </conditionalFormatting>
  <conditionalFormatting sqref="AQ373:AQ379">
    <cfRule type="cellIs" dxfId="155" priority="37" operator="equal">
      <formula>"apagado"</formula>
    </cfRule>
  </conditionalFormatting>
  <conditionalFormatting sqref="O373:X379 AA373:AR379">
    <cfRule type="cellIs" dxfId="154" priority="36" operator="equal">
      <formula>"APAGADO"</formula>
    </cfRule>
  </conditionalFormatting>
  <conditionalFormatting sqref="Y373:Y379">
    <cfRule type="cellIs" dxfId="153" priority="34" operator="lessThan">
      <formula>0.8</formula>
    </cfRule>
    <cfRule type="cellIs" dxfId="152" priority="35" operator="greaterThan">
      <formula>0.8</formula>
    </cfRule>
  </conditionalFormatting>
  <conditionalFormatting sqref="Y373:Y379">
    <cfRule type="notContainsText" dxfId="151" priority="32" operator="notContains" text="Caida">
      <formula>ISERROR(SEARCH("Caida",Y373))</formula>
    </cfRule>
    <cfRule type="containsText" dxfId="150" priority="33" operator="containsText" text="Caida">
      <formula>NOT(ISERROR(SEARCH("Caida",Y373)))</formula>
    </cfRule>
  </conditionalFormatting>
  <conditionalFormatting sqref="Y373:Y379">
    <cfRule type="cellIs" dxfId="149" priority="31" operator="equal">
      <formula>"APAGADO"</formula>
    </cfRule>
  </conditionalFormatting>
  <conditionalFormatting sqref="Y373:Y379">
    <cfRule type="cellIs" dxfId="148" priority="30" operator="equal">
      <formula>"apagado"</formula>
    </cfRule>
  </conditionalFormatting>
  <conditionalFormatting sqref="Z373:Z379">
    <cfRule type="cellIs" dxfId="147" priority="28" operator="lessThan">
      <formula>0.8</formula>
    </cfRule>
    <cfRule type="cellIs" dxfId="146" priority="29" operator="greaterThan">
      <formula>0.8</formula>
    </cfRule>
  </conditionalFormatting>
  <conditionalFormatting sqref="Z373:Z379">
    <cfRule type="notContainsText" dxfId="145" priority="26" operator="notContains" text="Caida">
      <formula>ISERROR(SEARCH("Caida",Z373))</formula>
    </cfRule>
    <cfRule type="containsText" dxfId="144" priority="27" operator="containsText" text="Caida">
      <formula>NOT(ISERROR(SEARCH("Caida",Z373)))</formula>
    </cfRule>
  </conditionalFormatting>
  <conditionalFormatting sqref="Z373:Z379">
    <cfRule type="cellIs" dxfId="143" priority="25" operator="equal">
      <formula>"APAGADO"</formula>
    </cfRule>
  </conditionalFormatting>
  <conditionalFormatting sqref="Z373:Z379">
    <cfRule type="cellIs" dxfId="142" priority="24" operator="equal">
      <formula>"apagado"</formula>
    </cfRule>
  </conditionalFormatting>
  <conditionalFormatting sqref="AS95:AS369">
    <cfRule type="cellIs" dxfId="141" priority="22" operator="lessThan">
      <formula>0.8</formula>
    </cfRule>
    <cfRule type="cellIs" dxfId="140" priority="23" operator="greaterThan">
      <formula>0.8</formula>
    </cfRule>
  </conditionalFormatting>
  <conditionalFormatting sqref="AS95:AS372">
    <cfRule type="notContainsText" dxfId="139" priority="20" operator="notContains" text="Caida">
      <formula>ISERROR(SEARCH("Caida",AS95))</formula>
    </cfRule>
    <cfRule type="containsText" dxfId="138" priority="21" operator="containsText" text="Caida">
      <formula>NOT(ISERROR(SEARCH("Caida",AS95)))</formula>
    </cfRule>
  </conditionalFormatting>
  <conditionalFormatting sqref="AS22">
    <cfRule type="containsText" dxfId="137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36" priority="17" operator="lessThan">
      <formula>0.8</formula>
    </cfRule>
    <cfRule type="cellIs" dxfId="135" priority="18" operator="greaterThan">
      <formula>0.8</formula>
    </cfRule>
  </conditionalFormatting>
  <conditionalFormatting sqref="AS5">
    <cfRule type="notContainsText" dxfId="134" priority="15" operator="notContains" text="Caida">
      <formula>ISERROR(SEARCH("Caida",AS5))</formula>
    </cfRule>
    <cfRule type="containsText" dxfId="133" priority="16" operator="containsText" text="Caida">
      <formula>NOT(ISERROR(SEARCH("Caida",AS5)))</formula>
    </cfRule>
  </conditionalFormatting>
  <conditionalFormatting sqref="AS1 AS5:AS372">
    <cfRule type="cellIs" dxfId="132" priority="14" operator="equal">
      <formula>"APAGADO"</formula>
    </cfRule>
  </conditionalFormatting>
  <conditionalFormatting sqref="AS6:AS92">
    <cfRule type="cellIs" dxfId="131" priority="12" operator="lessThan">
      <formula>0.8</formula>
    </cfRule>
    <cfRule type="cellIs" dxfId="130" priority="13" operator="greaterThan">
      <formula>0.8</formula>
    </cfRule>
  </conditionalFormatting>
  <conditionalFormatting sqref="AS6:AS92">
    <cfRule type="notContainsText" dxfId="129" priority="10" operator="notContains" text="Caida">
      <formula>ISERROR(SEARCH("Caida",AS6))</formula>
    </cfRule>
    <cfRule type="containsText" dxfId="128" priority="11" operator="containsText" text="Caida">
      <formula>NOT(ISERROR(SEARCH("Caida",AS6)))</formula>
    </cfRule>
  </conditionalFormatting>
  <conditionalFormatting sqref="AS93:AS94">
    <cfRule type="cellIs" dxfId="127" priority="8" operator="lessThan">
      <formula>0.8</formula>
    </cfRule>
    <cfRule type="cellIs" dxfId="126" priority="9" operator="greaterThan">
      <formula>0.8</formula>
    </cfRule>
  </conditionalFormatting>
  <conditionalFormatting sqref="AS93:AS94">
    <cfRule type="notContainsText" dxfId="125" priority="6" operator="notContains" text="Caida">
      <formula>ISERROR(SEARCH("Caida",AS93))</formula>
    </cfRule>
    <cfRule type="containsText" dxfId="124" priority="7" operator="containsText" text="Caida">
      <formula>NOT(ISERROR(SEARCH("Caida",AS93)))</formula>
    </cfRule>
  </conditionalFormatting>
  <conditionalFormatting sqref="AS5:AS372">
    <cfRule type="cellIs" dxfId="123" priority="5" operator="equal">
      <formula>"APAGADO"</formula>
    </cfRule>
  </conditionalFormatting>
  <conditionalFormatting sqref="AS373:AS379">
    <cfRule type="notContainsText" dxfId="122" priority="3" operator="notContains" text="Caida">
      <formula>ISERROR(SEARCH("Caida",AS373))</formula>
    </cfRule>
    <cfRule type="containsText" dxfId="121" priority="4" operator="containsText" text="Caida">
      <formula>NOT(ISERROR(SEARCH("Caida",AS373)))</formula>
    </cfRule>
  </conditionalFormatting>
  <conditionalFormatting sqref="AS373:AS379">
    <cfRule type="cellIs" dxfId="120" priority="2" operator="equal">
      <formula>"APAGADO"</formula>
    </cfRule>
  </conditionalFormatting>
  <conditionalFormatting sqref="AS373:AS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39</v>
      </c>
      <c r="N2" s="26">
        <f>COUNTIFS(N4:N367, "=APAGADO",E4:E367,"=Fibra Optica")</f>
        <v>24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4</v>
      </c>
      <c r="N2" s="26">
        <f>COUNTIFS(N4:N367, "=APAGADO",E4:E367,"=PTP A FO")</f>
        <v>3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5</v>
      </c>
      <c r="N2" s="26">
        <f>COUNTIFS(N4:N367, "=APAGADO",E4:E367,"=radio")</f>
        <v>7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9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3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25" workbookViewId="0">
      <selection activeCell="G25" sqref="G25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25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7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25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25">
      <c r="A7" s="25">
        <f>'APAGADOS RADIO'!K3</f>
        <v>44748</v>
      </c>
      <c r="B7" s="54">
        <f>'APAGADOS RADIO'!K2+D7</f>
        <v>0</v>
      </c>
      <c r="C7" s="54">
        <f>'APAGADOS FIBRA'!K2</f>
        <v>0</v>
      </c>
      <c r="D7" s="54">
        <f>'APAGADOS ANTENA'!K2</f>
        <v>0</v>
      </c>
      <c r="E7" s="54">
        <f t="shared" si="5"/>
        <v>0</v>
      </c>
      <c r="F7" s="54">
        <f>'RESUMEN TOTAL'!C1</f>
        <v>375</v>
      </c>
      <c r="G7" s="59">
        <f t="shared" si="6"/>
        <v>0</v>
      </c>
    </row>
    <row r="8" spans="1:7" x14ac:dyDescent="0.25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25">
      <c r="A9" s="25">
        <f>'APAGADOS RADIO'!M3</f>
        <v>44750</v>
      </c>
      <c r="B9" s="54">
        <f>'APAGADOS RADIO'!M2+D9</f>
        <v>9</v>
      </c>
      <c r="C9" s="54">
        <f>'APAGADOS FIBRA'!M2</f>
        <v>39</v>
      </c>
      <c r="D9" s="54">
        <f>'APAGADOS ANTENA'!M2</f>
        <v>4</v>
      </c>
      <c r="E9" s="54">
        <f t="shared" ref="E9" si="9">B9+C9</f>
        <v>48</v>
      </c>
      <c r="F9" s="54">
        <f>'RESUMEN TOTAL'!C1</f>
        <v>375</v>
      </c>
      <c r="G9" s="59">
        <f t="shared" ref="G9" si="10">E9/F9</f>
        <v>0.128</v>
      </c>
    </row>
    <row r="10" spans="1:7" x14ac:dyDescent="0.25">
      <c r="A10" s="25">
        <f>'APAGADOS RADIO'!N3</f>
        <v>44751</v>
      </c>
      <c r="B10" s="54">
        <f>'APAGADOS RADIO'!N2+D10</f>
        <v>10</v>
      </c>
      <c r="C10" s="54">
        <f>'APAGADOS FIBRA'!N2</f>
        <v>24</v>
      </c>
      <c r="D10" s="54">
        <f>'APAGADOS ANTENA'!N2</f>
        <v>3</v>
      </c>
      <c r="E10" s="54">
        <f t="shared" ref="E10" si="11">B10+C10</f>
        <v>34</v>
      </c>
      <c r="F10" s="54">
        <f>'RESUMEN TOTAL'!C1</f>
        <v>375</v>
      </c>
      <c r="G10" s="59">
        <f t="shared" ref="G10" si="12">E10/F10</f>
        <v>9.0666666666666673E-2</v>
      </c>
    </row>
    <row r="11" spans="1:7" x14ac:dyDescent="0.25">
      <c r="A11" s="25">
        <f>'APAGADOS RADIO'!O3</f>
        <v>44752</v>
      </c>
      <c r="B11" s="54">
        <f>'APAGADOS RADIO'!O2+D11</f>
        <v>0</v>
      </c>
      <c r="C11" s="54">
        <f>'APAGADOS FIBRA'!O2</f>
        <v>0</v>
      </c>
      <c r="D11" s="54">
        <f>'APAGADOS ANTENA'!O2</f>
        <v>0</v>
      </c>
      <c r="E11" s="54">
        <f t="shared" ref="E11" si="13">B11+C11</f>
        <v>0</v>
      </c>
      <c r="F11" s="54">
        <f>'RESUMEN TOTAL'!C1</f>
        <v>375</v>
      </c>
      <c r="G11" s="59">
        <f t="shared" ref="G11" si="14">E11/F11</f>
        <v>0</v>
      </c>
    </row>
    <row r="12" spans="1:7" x14ac:dyDescent="0.25">
      <c r="A12" s="25">
        <f>'APAGADOS RADIO'!P3</f>
        <v>44753</v>
      </c>
      <c r="B12" s="54">
        <f>'APAGADOS RADIO'!P2+D12</f>
        <v>0</v>
      </c>
      <c r="C12" s="54">
        <f>'APAGADOS FIBRA'!P2</f>
        <v>0</v>
      </c>
      <c r="D12" s="54">
        <f>'APAGADOS ANTENA'!P2</f>
        <v>0</v>
      </c>
      <c r="E12" s="54">
        <f t="shared" ref="E12:E14" si="15">B12+C12</f>
        <v>0</v>
      </c>
      <c r="F12" s="54">
        <f>'RESUMEN TOTAL'!C1</f>
        <v>375</v>
      </c>
      <c r="G12" s="59">
        <f t="shared" ref="G12:G14" si="16">E12/F12</f>
        <v>0</v>
      </c>
    </row>
    <row r="13" spans="1:7" x14ac:dyDescent="0.25">
      <c r="A13" s="25">
        <f>'APAGADOS RADIO'!Q3</f>
        <v>44754</v>
      </c>
      <c r="B13" s="54">
        <f>'APAGADOS RADIO'!Q2+D13</f>
        <v>0</v>
      </c>
      <c r="C13" s="54">
        <f>'APAGADOS FIBRA'!Q2</f>
        <v>0</v>
      </c>
      <c r="D13" s="54">
        <f>'APAGADOS ANTENA'!Q2</f>
        <v>0</v>
      </c>
      <c r="E13" s="54">
        <f t="shared" si="15"/>
        <v>0</v>
      </c>
      <c r="F13" s="54">
        <f>'RESUMEN TOTAL'!C1</f>
        <v>375</v>
      </c>
      <c r="G13" s="59">
        <f t="shared" si="16"/>
        <v>0</v>
      </c>
    </row>
    <row r="14" spans="1:7" x14ac:dyDescent="0.25">
      <c r="A14" s="25">
        <f>'APAGADOS RADIO'!R3</f>
        <v>44755</v>
      </c>
      <c r="B14" s="54">
        <f>'APAGADOS RADIO'!R2+D14</f>
        <v>0</v>
      </c>
      <c r="C14" s="54">
        <f>'APAGADOS FIBRA'!R2</f>
        <v>0</v>
      </c>
      <c r="D14" s="54">
        <f>'APAGADOS ANTENA'!R2</f>
        <v>0</v>
      </c>
      <c r="E14" s="54">
        <f t="shared" si="15"/>
        <v>0</v>
      </c>
      <c r="F14" s="54">
        <f>'RESUMEN TOTAL'!C1</f>
        <v>375</v>
      </c>
      <c r="G14" s="59">
        <f t="shared" si="16"/>
        <v>0</v>
      </c>
    </row>
    <row r="15" spans="1:7" x14ac:dyDescent="0.25">
      <c r="A15" s="25">
        <f>'APAGADOS RADIO'!S3</f>
        <v>44756</v>
      </c>
      <c r="B15" s="54">
        <f>'APAGADOS RADIO'!S2+D15</f>
        <v>0</v>
      </c>
      <c r="C15" s="54">
        <f>'APAGADOS FIBRA'!S2</f>
        <v>0</v>
      </c>
      <c r="D15" s="54">
        <f>'APAGADOS ANTENA'!S2</f>
        <v>0</v>
      </c>
      <c r="E15" s="54">
        <f t="shared" ref="E15:E22" si="17">B15+C15</f>
        <v>0</v>
      </c>
      <c r="F15" s="54">
        <f>'RESUMEN TOTAL'!C1</f>
        <v>375</v>
      </c>
      <c r="G15" s="59">
        <f t="shared" ref="G15:G22" si="18">E15/F15</f>
        <v>0</v>
      </c>
    </row>
    <row r="16" spans="1:7" x14ac:dyDescent="0.25">
      <c r="A16" s="25">
        <f>'APAGADOS RADIO'!T3</f>
        <v>44757</v>
      </c>
      <c r="B16" s="54">
        <f>'APAGADOS RADIO'!T2+D16</f>
        <v>0</v>
      </c>
      <c r="C16" s="54">
        <f>'APAGADOS FIBRA'!T2</f>
        <v>0</v>
      </c>
      <c r="D16" s="54">
        <f>'APAGADOS ANTENA'!T2</f>
        <v>0</v>
      </c>
      <c r="E16" s="54">
        <f t="shared" si="17"/>
        <v>0</v>
      </c>
      <c r="F16" s="54">
        <f>'RESUMEN TOTAL'!C1</f>
        <v>375</v>
      </c>
      <c r="G16" s="59">
        <f t="shared" si="18"/>
        <v>0</v>
      </c>
    </row>
    <row r="17" spans="1:7" x14ac:dyDescent="0.25">
      <c r="A17" s="25">
        <f>'APAGADOS RADIO'!U3</f>
        <v>44758</v>
      </c>
      <c r="B17" s="54">
        <f>'APAGADOS RADIO'!U2+D17</f>
        <v>0</v>
      </c>
      <c r="C17" s="54">
        <f>'APAGADOS FIBRA'!U2</f>
        <v>0</v>
      </c>
      <c r="D17" s="54">
        <f>'APAGADOS ANTENA'!U2</f>
        <v>0</v>
      </c>
      <c r="E17" s="54">
        <f t="shared" si="17"/>
        <v>0</v>
      </c>
      <c r="F17" s="54">
        <f>'RESUMEN TOTAL'!C1</f>
        <v>375</v>
      </c>
      <c r="G17" s="59">
        <f t="shared" si="18"/>
        <v>0</v>
      </c>
    </row>
    <row r="18" spans="1:7" x14ac:dyDescent="0.25">
      <c r="A18" s="25">
        <f>'APAGADOS RADIO'!V3</f>
        <v>44759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44760</v>
      </c>
      <c r="B19" s="54">
        <f>'APAGADOS RADIO'!W2+D19</f>
        <v>0</v>
      </c>
      <c r="C19" s="54">
        <f>'APAGADOS FIBRA'!W2</f>
        <v>0</v>
      </c>
      <c r="D19" s="54">
        <f>'APAGADOS ANTENA'!W2</f>
        <v>0</v>
      </c>
      <c r="E19" s="54">
        <f t="shared" si="17"/>
        <v>0</v>
      </c>
      <c r="F19" s="54">
        <f>'RESUMEN TOTAL'!C1</f>
        <v>375</v>
      </c>
      <c r="G19" s="59">
        <f t="shared" si="18"/>
        <v>0</v>
      </c>
    </row>
    <row r="20" spans="1:7" x14ac:dyDescent="0.25">
      <c r="A20" s="25">
        <f>'APAGADOS RADIO'!X3</f>
        <v>44761</v>
      </c>
      <c r="B20" s="54">
        <f>'APAGADOS RADIO'!X2+D20</f>
        <v>0</v>
      </c>
      <c r="C20" s="54">
        <f>'APAGADOS FIBRA'!X2</f>
        <v>0</v>
      </c>
      <c r="D20" s="54">
        <f>'APAGADOS ANTENA'!X2</f>
        <v>0</v>
      </c>
      <c r="E20" s="54">
        <f t="shared" si="17"/>
        <v>0</v>
      </c>
      <c r="F20" s="54">
        <f>'RESUMEN TOTAL'!C1</f>
        <v>375</v>
      </c>
      <c r="G20" s="59">
        <f t="shared" si="18"/>
        <v>0</v>
      </c>
    </row>
    <row r="21" spans="1:7" x14ac:dyDescent="0.25">
      <c r="A21" s="25">
        <f>'APAGADOS RADIO'!Y3</f>
        <v>44762</v>
      </c>
      <c r="B21" s="54">
        <f>'APAGADOS RADIO'!Y2+D21</f>
        <v>0</v>
      </c>
      <c r="C21" s="54">
        <f>'APAGADOS FIBRA'!Y2</f>
        <v>0</v>
      </c>
      <c r="D21" s="54">
        <f>'APAGADOS ANTENA'!Y2</f>
        <v>0</v>
      </c>
      <c r="E21" s="54">
        <f t="shared" si="17"/>
        <v>0</v>
      </c>
      <c r="F21" s="54">
        <f>'RESUMEN TOTAL'!C1</f>
        <v>375</v>
      </c>
      <c r="G21" s="59">
        <f t="shared" si="18"/>
        <v>0</v>
      </c>
    </row>
    <row r="22" spans="1:7" x14ac:dyDescent="0.25">
      <c r="A22" s="25">
        <f>'APAGADOS RADIO'!Z3</f>
        <v>44763</v>
      </c>
      <c r="B22" s="54">
        <f>'APAGADOS RADIO'!Z2+D22</f>
        <v>0</v>
      </c>
      <c r="C22" s="54">
        <f>'APAGADOS FIBRA'!Z2</f>
        <v>0</v>
      </c>
      <c r="D22" s="54">
        <f>'APAGADOS ANTENA'!Z2</f>
        <v>0</v>
      </c>
      <c r="E22" s="54">
        <f t="shared" si="17"/>
        <v>0</v>
      </c>
      <c r="F22" s="54">
        <f>'RESUMEN TOTAL'!C1</f>
        <v>375</v>
      </c>
      <c r="G22" s="59">
        <f t="shared" si="18"/>
        <v>0</v>
      </c>
    </row>
    <row r="23" spans="1:7" x14ac:dyDescent="0.25">
      <c r="A23" s="25">
        <f>'APAGADOS RADIO'!AA3</f>
        <v>44764</v>
      </c>
      <c r="B23" s="54">
        <f>'APAGADOS RADIO'!AA2+D23</f>
        <v>0</v>
      </c>
      <c r="C23" s="54">
        <f>'APAGADOS FIBRA'!AA2</f>
        <v>0</v>
      </c>
      <c r="D23" s="54">
        <f>'APAGADOS ANTENA'!AA2</f>
        <v>0</v>
      </c>
      <c r="E23" s="54">
        <f t="shared" ref="E23" si="19">B23+C23</f>
        <v>0</v>
      </c>
      <c r="F23" s="54">
        <f>'RESUMEN TOTAL'!C1</f>
        <v>375</v>
      </c>
      <c r="G23" s="59">
        <f t="shared" ref="G23" si="20">E23/F23</f>
        <v>0</v>
      </c>
    </row>
    <row r="24" spans="1:7" x14ac:dyDescent="0.25">
      <c r="A24" s="25">
        <f>'APAGADOS RADIO'!AB3</f>
        <v>44765</v>
      </c>
      <c r="B24" s="54">
        <f>'APAGADOS RADIO'!AB2+D24</f>
        <v>0</v>
      </c>
      <c r="C24" s="54">
        <f>'APAGADOS FIBRA'!AB2</f>
        <v>0</v>
      </c>
      <c r="D24" s="54">
        <f>'APAGADOS ANTENA'!AB2</f>
        <v>0</v>
      </c>
      <c r="E24" s="54">
        <f t="shared" ref="E24" si="21">B24+C24</f>
        <v>0</v>
      </c>
      <c r="F24" s="54">
        <f>'RESUMEN TOTAL'!C1</f>
        <v>375</v>
      </c>
      <c r="G24" s="59">
        <f t="shared" ref="G24" si="22">E24/F24</f>
        <v>0</v>
      </c>
    </row>
    <row r="25" spans="1:7" x14ac:dyDescent="0.25">
      <c r="A25" s="25">
        <f>'APAGADOS RADIO'!AC3</f>
        <v>44766</v>
      </c>
      <c r="B25" s="54"/>
      <c r="C25" s="54"/>
      <c r="D25" s="54"/>
      <c r="E25" s="54"/>
    </row>
    <row r="26" spans="1:7" x14ac:dyDescent="0.25">
      <c r="A26" s="25">
        <f>'APAGADOS RADIO'!AD3</f>
        <v>44767</v>
      </c>
      <c r="B26" s="54"/>
      <c r="C26" s="54"/>
      <c r="D26" s="54"/>
      <c r="E26" s="54"/>
    </row>
    <row r="27" spans="1:7" x14ac:dyDescent="0.25">
      <c r="A27" s="25">
        <f>'APAGADOS RADIO'!AE3</f>
        <v>44768</v>
      </c>
      <c r="B27" s="54"/>
      <c r="C27" s="54"/>
      <c r="D27" s="54"/>
      <c r="E27" s="54"/>
    </row>
    <row r="28" spans="1:7" x14ac:dyDescent="0.25">
      <c r="A28" s="25">
        <f>'APAGADOS RADIO'!AF3</f>
        <v>44769</v>
      </c>
      <c r="B28" s="54"/>
      <c r="C28" s="54"/>
      <c r="D28" s="54"/>
      <c r="E28" s="54"/>
    </row>
    <row r="29" spans="1:7" x14ac:dyDescent="0.25">
      <c r="A29" s="25">
        <f>'APAGADOS RADIO'!AG3</f>
        <v>44770</v>
      </c>
      <c r="B29" s="54"/>
      <c r="C29" s="54"/>
      <c r="D29" s="54"/>
      <c r="E29" s="54"/>
    </row>
    <row r="30" spans="1:7" x14ac:dyDescent="0.25">
      <c r="A30" s="25">
        <f>'APAGADOS RADIO'!AH3</f>
        <v>44771</v>
      </c>
      <c r="B30" s="54"/>
      <c r="C30" s="54"/>
      <c r="D30" s="54"/>
      <c r="E30" s="54"/>
    </row>
    <row r="31" spans="1:7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06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7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969</v>
      </c>
      <c r="L3" s="83" t="s">
        <v>1354</v>
      </c>
      <c r="M3" s="103">
        <v>44715</v>
      </c>
    </row>
    <row r="4" spans="1:13" x14ac:dyDescent="0.25">
      <c r="A4" s="67" t="s">
        <v>1348</v>
      </c>
      <c r="B4" s="78">
        <v>4</v>
      </c>
      <c r="C4" s="74">
        <f>B3-B4</f>
        <v>79</v>
      </c>
      <c r="D4" s="71">
        <f>C4/B2</f>
        <v>0.21066666666666667</v>
      </c>
      <c r="E4" s="107"/>
      <c r="G4" s="84" t="s">
        <v>550</v>
      </c>
      <c r="H4" s="85" t="s">
        <v>551</v>
      </c>
      <c r="I4" s="85" t="s">
        <v>19</v>
      </c>
      <c r="J4" s="85" t="s">
        <v>36</v>
      </c>
      <c r="K4" s="86" t="s">
        <v>1148</v>
      </c>
      <c r="L4" s="87" t="s">
        <v>1355</v>
      </c>
      <c r="M4" s="104"/>
    </row>
    <row r="5" spans="1:13" x14ac:dyDescent="0.25">
      <c r="A5" s="67" t="s">
        <v>1347</v>
      </c>
      <c r="B5" s="78">
        <v>3</v>
      </c>
      <c r="C5" s="74">
        <f>C4-B5</f>
        <v>76</v>
      </c>
      <c r="D5" s="71">
        <f>C5/B2</f>
        <v>0.20266666666666666</v>
      </c>
      <c r="E5" s="107"/>
      <c r="G5" s="84" t="s">
        <v>552</v>
      </c>
      <c r="H5" s="85" t="s">
        <v>551</v>
      </c>
      <c r="I5" s="85" t="s">
        <v>113</v>
      </c>
      <c r="J5" s="85" t="s">
        <v>36</v>
      </c>
      <c r="K5" s="86" t="s">
        <v>1147</v>
      </c>
      <c r="L5" s="87" t="s">
        <v>1355</v>
      </c>
      <c r="M5" s="104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8"/>
      <c r="G6" s="88" t="s">
        <v>517</v>
      </c>
      <c r="H6" s="89" t="s">
        <v>516</v>
      </c>
      <c r="I6" s="89" t="s">
        <v>113</v>
      </c>
      <c r="J6" s="89" t="s">
        <v>36</v>
      </c>
      <c r="K6" s="90" t="s">
        <v>1133</v>
      </c>
      <c r="L6" s="91" t="s">
        <v>1356</v>
      </c>
      <c r="M6" s="105"/>
    </row>
    <row r="7" spans="1:13" ht="15" customHeight="1" thickTop="1" thickBot="1" x14ac:dyDescent="0.3">
      <c r="A7" s="66" t="s">
        <v>1346</v>
      </c>
      <c r="B7" s="77">
        <v>375</v>
      </c>
      <c r="C7" s="73"/>
      <c r="D7" s="70"/>
      <c r="E7" s="106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7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969</v>
      </c>
      <c r="L8" s="83" t="s">
        <v>1354</v>
      </c>
      <c r="M8" s="103">
        <v>44718</v>
      </c>
    </row>
    <row r="9" spans="1:13" x14ac:dyDescent="0.25">
      <c r="A9" s="67" t="s">
        <v>1348</v>
      </c>
      <c r="B9" s="78">
        <v>5</v>
      </c>
      <c r="C9" s="74">
        <f>B8-B9</f>
        <v>58</v>
      </c>
      <c r="D9" s="71">
        <f>C9/B7</f>
        <v>0.15466666666666667</v>
      </c>
      <c r="E9" s="107"/>
      <c r="G9" s="84" t="s">
        <v>543</v>
      </c>
      <c r="H9" s="85" t="s">
        <v>544</v>
      </c>
      <c r="I9" s="85" t="s">
        <v>19</v>
      </c>
      <c r="J9" s="85" t="s">
        <v>941</v>
      </c>
      <c r="K9" s="86" t="s">
        <v>1145</v>
      </c>
      <c r="L9" s="87" t="s">
        <v>1355</v>
      </c>
      <c r="M9" s="104"/>
    </row>
    <row r="10" spans="1:13" x14ac:dyDescent="0.25">
      <c r="A10" s="67" t="s">
        <v>1347</v>
      </c>
      <c r="B10" s="78">
        <v>3</v>
      </c>
      <c r="C10" s="74">
        <f>C9-B10</f>
        <v>55</v>
      </c>
      <c r="D10" s="71">
        <f>C10/B7</f>
        <v>0.14666666666666667</v>
      </c>
      <c r="E10" s="107"/>
      <c r="G10" s="84" t="s">
        <v>550</v>
      </c>
      <c r="H10" s="85" t="s">
        <v>551</v>
      </c>
      <c r="I10" s="85" t="s">
        <v>19</v>
      </c>
      <c r="J10" s="85" t="s">
        <v>36</v>
      </c>
      <c r="K10" s="86" t="s">
        <v>1148</v>
      </c>
      <c r="L10" s="87" t="s">
        <v>1355</v>
      </c>
      <c r="M10" s="104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8"/>
      <c r="G11" s="84" t="s">
        <v>552</v>
      </c>
      <c r="H11" s="85" t="s">
        <v>551</v>
      </c>
      <c r="I11" s="85" t="s">
        <v>113</v>
      </c>
      <c r="J11" s="85" t="s">
        <v>36</v>
      </c>
      <c r="K11" s="86" t="s">
        <v>1147</v>
      </c>
      <c r="L11" s="87" t="s">
        <v>1355</v>
      </c>
      <c r="M11" s="104"/>
    </row>
    <row r="12" spans="1:13" ht="15.75" thickTop="1" x14ac:dyDescent="0.25">
      <c r="A12" s="66" t="s">
        <v>1346</v>
      </c>
      <c r="B12" s="77">
        <v>375</v>
      </c>
      <c r="C12" s="73"/>
      <c r="D12" s="70"/>
      <c r="E12" s="106">
        <v>44719</v>
      </c>
      <c r="G12" s="84" t="s">
        <v>517</v>
      </c>
      <c r="H12" s="85" t="s">
        <v>516</v>
      </c>
      <c r="I12" s="85" t="s">
        <v>113</v>
      </c>
      <c r="J12" s="85" t="s">
        <v>36</v>
      </c>
      <c r="K12" s="86" t="s">
        <v>1133</v>
      </c>
      <c r="L12" s="87" t="s">
        <v>1356</v>
      </c>
      <c r="M12" s="104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7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1348</v>
      </c>
      <c r="B14" s="78">
        <v>6</v>
      </c>
      <c r="C14" s="74">
        <f>B13-B14</f>
        <v>56</v>
      </c>
      <c r="D14" s="71">
        <f>C14/B12</f>
        <v>0.14933333333333335</v>
      </c>
      <c r="E14" s="107"/>
    </row>
    <row r="15" spans="1:13" ht="15" customHeight="1" thickBot="1" x14ac:dyDescent="0.3">
      <c r="A15" s="67" t="s">
        <v>1347</v>
      </c>
      <c r="B15" s="78">
        <v>3</v>
      </c>
      <c r="C15" s="74">
        <f>C14-B15</f>
        <v>53</v>
      </c>
      <c r="D15" s="71">
        <f>C15/B12</f>
        <v>0.14133333333333334</v>
      </c>
      <c r="E15" s="107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8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969</v>
      </c>
      <c r="L16" s="83" t="s">
        <v>1354</v>
      </c>
      <c r="M16" s="100">
        <v>44719</v>
      </c>
    </row>
    <row r="17" spans="1:13" ht="15.75" thickTop="1" x14ac:dyDescent="0.25">
      <c r="A17" s="66" t="s">
        <v>1346</v>
      </c>
      <c r="B17" s="77">
        <v>375</v>
      </c>
      <c r="C17" s="73"/>
      <c r="D17" s="70"/>
      <c r="E17" s="106">
        <v>44720</v>
      </c>
      <c r="G17" s="84" t="s">
        <v>543</v>
      </c>
      <c r="H17" s="85" t="s">
        <v>544</v>
      </c>
      <c r="I17" s="85" t="s">
        <v>19</v>
      </c>
      <c r="J17" s="85" t="s">
        <v>941</v>
      </c>
      <c r="K17" s="86" t="s">
        <v>1145</v>
      </c>
      <c r="L17" s="87" t="s">
        <v>1355</v>
      </c>
      <c r="M17" s="101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7"/>
      <c r="G18" s="84" t="s">
        <v>550</v>
      </c>
      <c r="H18" s="85" t="s">
        <v>551</v>
      </c>
      <c r="I18" s="85" t="s">
        <v>19</v>
      </c>
      <c r="J18" s="85" t="s">
        <v>36</v>
      </c>
      <c r="K18" s="86" t="s">
        <v>1148</v>
      </c>
      <c r="L18" s="87" t="s">
        <v>1355</v>
      </c>
      <c r="M18" s="101"/>
    </row>
    <row r="19" spans="1:13" x14ac:dyDescent="0.25">
      <c r="A19" s="67" t="s">
        <v>1348</v>
      </c>
      <c r="B19" s="78">
        <v>6</v>
      </c>
      <c r="C19" s="74">
        <f>B18-B19</f>
        <v>38</v>
      </c>
      <c r="D19" s="71">
        <f>C19/B17</f>
        <v>0.10133333333333333</v>
      </c>
      <c r="E19" s="107"/>
      <c r="G19" s="84" t="s">
        <v>552</v>
      </c>
      <c r="H19" s="85" t="s">
        <v>551</v>
      </c>
      <c r="I19" s="85" t="s">
        <v>113</v>
      </c>
      <c r="J19" s="85" t="s">
        <v>36</v>
      </c>
      <c r="K19" s="86" t="s">
        <v>1147</v>
      </c>
      <c r="L19" s="87" t="s">
        <v>1355</v>
      </c>
      <c r="M19" s="101"/>
    </row>
    <row r="20" spans="1:13" x14ac:dyDescent="0.25">
      <c r="A20" s="67" t="s">
        <v>1347</v>
      </c>
      <c r="B20" s="78">
        <v>3</v>
      </c>
      <c r="C20" s="74">
        <f>C19-B20</f>
        <v>35</v>
      </c>
      <c r="D20" s="71">
        <f>C20/B17</f>
        <v>9.3333333333333338E-2</v>
      </c>
      <c r="E20" s="107"/>
      <c r="G20" s="84" t="s">
        <v>517</v>
      </c>
      <c r="H20" s="85" t="s">
        <v>516</v>
      </c>
      <c r="I20" s="85" t="s">
        <v>113</v>
      </c>
      <c r="J20" s="85" t="s">
        <v>36</v>
      </c>
      <c r="K20" s="86" t="s">
        <v>1133</v>
      </c>
      <c r="L20" s="87" t="s">
        <v>1356</v>
      </c>
      <c r="M20" s="101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8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1339</v>
      </c>
      <c r="L21" s="96" t="s">
        <v>1356</v>
      </c>
      <c r="M21" s="102"/>
    </row>
    <row r="22" spans="1:13" ht="15.75" thickTop="1" x14ac:dyDescent="0.25">
      <c r="A22" s="66" t="s">
        <v>1346</v>
      </c>
      <c r="B22" s="77">
        <v>375</v>
      </c>
      <c r="C22" s="73"/>
      <c r="D22" s="70"/>
      <c r="E22" s="106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7"/>
    </row>
    <row r="24" spans="1:13" ht="15.75" thickTop="1" x14ac:dyDescent="0.25">
      <c r="A24" s="67" t="s">
        <v>1348</v>
      </c>
      <c r="B24" s="78">
        <v>7</v>
      </c>
      <c r="C24" s="74">
        <f>B23-B24</f>
        <v>44</v>
      </c>
      <c r="D24" s="71">
        <f>C24/B22</f>
        <v>0.11733333333333333</v>
      </c>
      <c r="E24" s="107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969</v>
      </c>
      <c r="L24" s="83" t="s">
        <v>1354</v>
      </c>
      <c r="M24" s="100">
        <v>44720</v>
      </c>
    </row>
    <row r="25" spans="1:13" x14ac:dyDescent="0.25">
      <c r="A25" s="67" t="s">
        <v>1347</v>
      </c>
      <c r="B25" s="78">
        <v>3</v>
      </c>
      <c r="C25" s="74">
        <f>C24-B25</f>
        <v>41</v>
      </c>
      <c r="D25" s="71">
        <f>C25/B22</f>
        <v>0.10933333333333334</v>
      </c>
      <c r="E25" s="107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1339</v>
      </c>
      <c r="L25" s="87" t="s">
        <v>1360</v>
      </c>
      <c r="M25" s="101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8"/>
      <c r="G26" s="84" t="s">
        <v>543</v>
      </c>
      <c r="H26" s="85" t="s">
        <v>544</v>
      </c>
      <c r="I26" s="85" t="s">
        <v>19</v>
      </c>
      <c r="J26" s="85" t="s">
        <v>941</v>
      </c>
      <c r="K26" s="86" t="s">
        <v>1145</v>
      </c>
      <c r="L26" s="87" t="s">
        <v>1355</v>
      </c>
      <c r="M26" s="101"/>
    </row>
    <row r="27" spans="1:13" ht="15.75" thickTop="1" x14ac:dyDescent="0.25">
      <c r="A27" s="66" t="s">
        <v>1346</v>
      </c>
      <c r="B27" s="77">
        <v>375</v>
      </c>
      <c r="C27" s="73"/>
      <c r="D27" s="70"/>
      <c r="E27" s="106">
        <v>44733</v>
      </c>
      <c r="G27" s="84" t="s">
        <v>550</v>
      </c>
      <c r="H27" s="85" t="s">
        <v>551</v>
      </c>
      <c r="I27" s="85" t="s">
        <v>19</v>
      </c>
      <c r="J27" s="85" t="s">
        <v>36</v>
      </c>
      <c r="K27" s="86" t="s">
        <v>1148</v>
      </c>
      <c r="L27" s="87" t="s">
        <v>1355</v>
      </c>
      <c r="M27" s="101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7"/>
      <c r="G28" s="84" t="s">
        <v>552</v>
      </c>
      <c r="H28" s="85" t="s">
        <v>551</v>
      </c>
      <c r="I28" s="85" t="s">
        <v>113</v>
      </c>
      <c r="J28" s="85" t="s">
        <v>36</v>
      </c>
      <c r="K28" s="86" t="s">
        <v>1147</v>
      </c>
      <c r="L28" s="87" t="s">
        <v>1355</v>
      </c>
      <c r="M28" s="101"/>
    </row>
    <row r="29" spans="1:13" ht="15.75" thickBot="1" x14ac:dyDescent="0.3">
      <c r="A29" s="67" t="s">
        <v>1348</v>
      </c>
      <c r="B29" s="78">
        <v>6</v>
      </c>
      <c r="C29" s="74">
        <f>B28-B29</f>
        <v>27</v>
      </c>
      <c r="D29" s="71">
        <f>C29/B27</f>
        <v>7.1999999999999995E-2</v>
      </c>
      <c r="E29" s="107"/>
      <c r="G29" s="94" t="s">
        <v>517</v>
      </c>
      <c r="H29" s="95" t="s">
        <v>516</v>
      </c>
      <c r="I29" s="95" t="s">
        <v>113</v>
      </c>
      <c r="J29" s="95" t="s">
        <v>36</v>
      </c>
      <c r="K29" s="95" t="s">
        <v>1133</v>
      </c>
      <c r="L29" s="96" t="s">
        <v>1356</v>
      </c>
      <c r="M29" s="102"/>
    </row>
    <row r="30" spans="1:13" ht="15.75" thickTop="1" x14ac:dyDescent="0.25">
      <c r="A30" s="67" t="s">
        <v>1347</v>
      </c>
      <c r="B30" s="78">
        <v>3</v>
      </c>
      <c r="C30" s="74">
        <f>C29-B30</f>
        <v>24</v>
      </c>
      <c r="D30" s="71">
        <f>C30/B27</f>
        <v>6.4000000000000001E-2</v>
      </c>
      <c r="E30" s="107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8"/>
    </row>
    <row r="32" spans="1:13" ht="15.75" thickTop="1" x14ac:dyDescent="0.25">
      <c r="A32" s="66" t="s">
        <v>1346</v>
      </c>
      <c r="B32" s="77">
        <v>375</v>
      </c>
      <c r="C32" s="73"/>
      <c r="D32" s="70"/>
      <c r="E32" s="106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943</v>
      </c>
      <c r="L32" s="97" t="s">
        <v>1361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7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1339</v>
      </c>
      <c r="L33" s="97" t="s">
        <v>1360</v>
      </c>
    </row>
    <row r="34" spans="1:13" x14ac:dyDescent="0.25">
      <c r="A34" s="67" t="s">
        <v>1348</v>
      </c>
      <c r="B34" s="78">
        <v>4</v>
      </c>
      <c r="C34" s="74">
        <f>B33-B34</f>
        <v>31</v>
      </c>
      <c r="D34" s="71">
        <f>C34/B32</f>
        <v>8.2666666666666666E-2</v>
      </c>
      <c r="E34" s="107"/>
      <c r="G34" s="55" t="s">
        <v>317</v>
      </c>
      <c r="H34" s="54" t="s">
        <v>318</v>
      </c>
      <c r="I34" s="54" t="s">
        <v>24</v>
      </c>
      <c r="J34" s="54" t="s">
        <v>36</v>
      </c>
      <c r="K34" s="16" t="s">
        <v>1051</v>
      </c>
      <c r="L34" s="97" t="s">
        <v>1362</v>
      </c>
    </row>
    <row r="35" spans="1:13" x14ac:dyDescent="0.25">
      <c r="A35" s="67" t="s">
        <v>1347</v>
      </c>
      <c r="B35" s="78">
        <v>3</v>
      </c>
      <c r="C35" s="74">
        <f>C34-B35</f>
        <v>28</v>
      </c>
      <c r="D35" s="71">
        <f>C35/B32</f>
        <v>7.4666666666666673E-2</v>
      </c>
      <c r="E35" s="107"/>
      <c r="G35" s="55" t="s">
        <v>543</v>
      </c>
      <c r="H35" s="54" t="s">
        <v>544</v>
      </c>
      <c r="I35" s="54" t="s">
        <v>19</v>
      </c>
      <c r="J35" s="54" t="s">
        <v>941</v>
      </c>
      <c r="K35" s="16" t="s">
        <v>1145</v>
      </c>
      <c r="L35" s="97" t="s">
        <v>1355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8"/>
      <c r="G36" s="55" t="s">
        <v>550</v>
      </c>
      <c r="H36" s="54" t="s">
        <v>551</v>
      </c>
      <c r="I36" s="54" t="s">
        <v>19</v>
      </c>
      <c r="J36" s="54" t="s">
        <v>36</v>
      </c>
      <c r="K36" s="16" t="s">
        <v>1148</v>
      </c>
      <c r="L36" s="97" t="s">
        <v>1355</v>
      </c>
    </row>
    <row r="37" spans="1:13" ht="15.75" thickTop="1" x14ac:dyDescent="0.25">
      <c r="A37" s="66" t="s">
        <v>1346</v>
      </c>
      <c r="B37" s="77">
        <v>375</v>
      </c>
      <c r="C37" s="73"/>
      <c r="D37" s="70"/>
      <c r="E37" s="106">
        <v>44735</v>
      </c>
      <c r="G37" s="55" t="s">
        <v>552</v>
      </c>
      <c r="H37" s="54" t="s">
        <v>551</v>
      </c>
      <c r="I37" s="54" t="s">
        <v>113</v>
      </c>
      <c r="J37" s="54" t="s">
        <v>36</v>
      </c>
      <c r="K37" s="16" t="s">
        <v>1147</v>
      </c>
      <c r="L37" s="97" t="s">
        <v>1355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7"/>
      <c r="G38" s="55" t="s">
        <v>517</v>
      </c>
      <c r="H38" s="54" t="s">
        <v>516</v>
      </c>
      <c r="I38" s="54" t="s">
        <v>113</v>
      </c>
      <c r="J38" s="54" t="s">
        <v>36</v>
      </c>
      <c r="K38" s="16" t="s">
        <v>1133</v>
      </c>
      <c r="L38" s="98" t="s">
        <v>1356</v>
      </c>
    </row>
    <row r="39" spans="1:13" ht="15.75" thickBot="1" x14ac:dyDescent="0.3">
      <c r="A39" s="67" t="s">
        <v>1348</v>
      </c>
      <c r="B39" s="78">
        <v>7</v>
      </c>
      <c r="C39" s="74">
        <f>B38-B39</f>
        <v>31</v>
      </c>
      <c r="D39" s="71">
        <f>C39/B37</f>
        <v>8.2666666666666666E-2</v>
      </c>
      <c r="E39" s="107"/>
    </row>
    <row r="40" spans="1:13" ht="15.75" thickTop="1" x14ac:dyDescent="0.25">
      <c r="A40" s="67" t="s">
        <v>1347</v>
      </c>
      <c r="B40" s="78">
        <v>3</v>
      </c>
      <c r="C40" s="74">
        <f>C39-B40</f>
        <v>28</v>
      </c>
      <c r="D40" s="71">
        <f>C40/B37</f>
        <v>7.4666666666666673E-2</v>
      </c>
      <c r="E40" s="107"/>
      <c r="G40" s="80" t="s">
        <v>371</v>
      </c>
      <c r="H40" s="81" t="s">
        <v>372</v>
      </c>
      <c r="I40" s="81" t="s">
        <v>19</v>
      </c>
      <c r="J40" s="81" t="s">
        <v>25</v>
      </c>
      <c r="K40" s="82" t="s">
        <v>1066</v>
      </c>
      <c r="L40" s="83" t="s">
        <v>1364</v>
      </c>
      <c r="M40" s="100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8"/>
      <c r="G41" s="84" t="s">
        <v>517</v>
      </c>
      <c r="H41" s="85" t="s">
        <v>516</v>
      </c>
      <c r="I41" s="85" t="s">
        <v>113</v>
      </c>
      <c r="J41" s="85" t="s">
        <v>36</v>
      </c>
      <c r="K41" s="86" t="s">
        <v>1133</v>
      </c>
      <c r="L41" s="87" t="s">
        <v>1365</v>
      </c>
      <c r="M41" s="101"/>
    </row>
    <row r="42" spans="1:13" ht="15.75" thickTop="1" x14ac:dyDescent="0.25">
      <c r="G42" s="84" t="s">
        <v>825</v>
      </c>
      <c r="H42" s="85" t="s">
        <v>826</v>
      </c>
      <c r="I42" s="85" t="s">
        <v>24</v>
      </c>
      <c r="J42" s="85" t="s">
        <v>36</v>
      </c>
      <c r="K42" s="86" t="s">
        <v>1271</v>
      </c>
      <c r="L42" s="87" t="s">
        <v>1365</v>
      </c>
      <c r="M42" s="101"/>
    </row>
    <row r="43" spans="1:13" x14ac:dyDescent="0.25">
      <c r="G43" s="84" t="s">
        <v>543</v>
      </c>
      <c r="H43" s="85" t="s">
        <v>544</v>
      </c>
      <c r="I43" s="85" t="s">
        <v>19</v>
      </c>
      <c r="J43" s="85" t="s">
        <v>941</v>
      </c>
      <c r="K43" s="86" t="s">
        <v>1145</v>
      </c>
      <c r="L43" s="87" t="s">
        <v>1355</v>
      </c>
      <c r="M43" s="101"/>
    </row>
    <row r="44" spans="1:13" x14ac:dyDescent="0.25">
      <c r="G44" s="84" t="s">
        <v>550</v>
      </c>
      <c r="H44" s="85" t="s">
        <v>551</v>
      </c>
      <c r="I44" s="85" t="s">
        <v>19</v>
      </c>
      <c r="J44" s="85" t="s">
        <v>36</v>
      </c>
      <c r="K44" s="86" t="s">
        <v>1148</v>
      </c>
      <c r="L44" s="87" t="s">
        <v>1355</v>
      </c>
      <c r="M44" s="101"/>
    </row>
    <row r="45" spans="1:13" ht="15.75" thickBot="1" x14ac:dyDescent="0.3">
      <c r="G45" s="94" t="s">
        <v>552</v>
      </c>
      <c r="H45" s="95" t="s">
        <v>551</v>
      </c>
      <c r="I45" s="95" t="s">
        <v>113</v>
      </c>
      <c r="J45" s="95" t="s">
        <v>36</v>
      </c>
      <c r="K45" s="95" t="s">
        <v>1147</v>
      </c>
      <c r="L45" s="96" t="s">
        <v>1355</v>
      </c>
      <c r="M45" s="102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1039</v>
      </c>
      <c r="L47" s="97" t="s">
        <v>1366</v>
      </c>
    </row>
    <row r="48" spans="1:13" x14ac:dyDescent="0.25">
      <c r="G48" s="55" t="s">
        <v>371</v>
      </c>
      <c r="H48" s="54" t="s">
        <v>372</v>
      </c>
      <c r="I48" s="54" t="s">
        <v>19</v>
      </c>
      <c r="J48" s="54" t="s">
        <v>25</v>
      </c>
      <c r="K48" s="16" t="s">
        <v>1066</v>
      </c>
      <c r="L48" s="97" t="s">
        <v>1367</v>
      </c>
    </row>
    <row r="49" spans="7:12" x14ac:dyDescent="0.25">
      <c r="G49" s="55" t="s">
        <v>766</v>
      </c>
      <c r="H49" s="54" t="s">
        <v>767</v>
      </c>
      <c r="I49" s="54" t="s">
        <v>19</v>
      </c>
      <c r="J49" s="54" t="s">
        <v>941</v>
      </c>
      <c r="K49" s="16" t="s">
        <v>1257</v>
      </c>
      <c r="L49" s="97" t="s">
        <v>1368</v>
      </c>
    </row>
    <row r="50" spans="7:12" x14ac:dyDescent="0.25">
      <c r="G50" s="55" t="s">
        <v>825</v>
      </c>
      <c r="H50" s="54" t="s">
        <v>826</v>
      </c>
      <c r="I50" s="54" t="s">
        <v>24</v>
      </c>
      <c r="J50" s="54" t="s">
        <v>36</v>
      </c>
      <c r="K50" s="16" t="s">
        <v>1271</v>
      </c>
      <c r="L50" s="97" t="s">
        <v>1365</v>
      </c>
    </row>
    <row r="51" spans="7:12" x14ac:dyDescent="0.25">
      <c r="G51" s="55" t="s">
        <v>543</v>
      </c>
      <c r="H51" s="54" t="s">
        <v>544</v>
      </c>
      <c r="I51" s="54" t="s">
        <v>19</v>
      </c>
      <c r="J51" s="54" t="s">
        <v>941</v>
      </c>
      <c r="K51" s="16" t="s">
        <v>1145</v>
      </c>
      <c r="L51" s="97" t="s">
        <v>1355</v>
      </c>
    </row>
    <row r="52" spans="7:12" x14ac:dyDescent="0.25">
      <c r="G52" s="55" t="s">
        <v>550</v>
      </c>
      <c r="H52" s="54" t="s">
        <v>551</v>
      </c>
      <c r="I52" s="54" t="s">
        <v>19</v>
      </c>
      <c r="J52" s="54" t="s">
        <v>36</v>
      </c>
      <c r="K52" s="16" t="s">
        <v>1148</v>
      </c>
      <c r="L52" s="97" t="s">
        <v>1355</v>
      </c>
    </row>
    <row r="53" spans="7:12" x14ac:dyDescent="0.25">
      <c r="G53" s="55" t="s">
        <v>552</v>
      </c>
      <c r="H53" s="54" t="s">
        <v>551</v>
      </c>
      <c r="I53" s="54" t="s">
        <v>113</v>
      </c>
      <c r="J53" s="54" t="s">
        <v>36</v>
      </c>
      <c r="K53" s="16" t="s">
        <v>1147</v>
      </c>
      <c r="L53" s="97" t="s">
        <v>1355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2022-07-11T10:19:10Z</dcterms:modified>
</cp:coreProperties>
</file>