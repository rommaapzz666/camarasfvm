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8_{405686D4-F8BC-4D5C-B63D-AB48D64C729E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" i="10" l="1"/>
  <c r="AB2" i="2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D366" i="8"/>
  <c r="E366" i="8"/>
  <c r="F366" i="8"/>
  <c r="G366" i="8"/>
  <c r="H366" i="8"/>
  <c r="I366" i="8"/>
  <c r="J366" i="8"/>
  <c r="J367" i="9" s="1"/>
  <c r="K366" i="8"/>
  <c r="L366" i="8"/>
  <c r="M366" i="8"/>
  <c r="N366" i="8"/>
  <c r="O366" i="8"/>
  <c r="P366" i="8"/>
  <c r="Q366" i="8"/>
  <c r="R366" i="8"/>
  <c r="R367" i="9" s="1"/>
  <c r="S366" i="8"/>
  <c r="T366" i="8"/>
  <c r="U366" i="8"/>
  <c r="V366" i="8"/>
  <c r="W366" i="8"/>
  <c r="X366" i="8"/>
  <c r="X368" i="21" s="1"/>
  <c r="Y366" i="8"/>
  <c r="Y367" i="9" s="1"/>
  <c r="Z366" i="8"/>
  <c r="Z367" i="9" s="1"/>
  <c r="AA366" i="8"/>
  <c r="AB366" i="8"/>
  <c r="AC366" i="8"/>
  <c r="AD366" i="8"/>
  <c r="AD367" i="9" s="1"/>
  <c r="AE366" i="8"/>
  <c r="AE367" i="9" s="1"/>
  <c r="AF366" i="8"/>
  <c r="AG366" i="8"/>
  <c r="A367" i="8"/>
  <c r="A369" i="11" s="1"/>
  <c r="B367" i="8"/>
  <c r="C367" i="8"/>
  <c r="D367" i="8"/>
  <c r="E367" i="8"/>
  <c r="F367" i="8"/>
  <c r="G367" i="8"/>
  <c r="H367" i="8"/>
  <c r="I367" i="8"/>
  <c r="I368" i="9" s="1"/>
  <c r="J367" i="8"/>
  <c r="K367" i="8"/>
  <c r="L367" i="8"/>
  <c r="M367" i="8"/>
  <c r="N367" i="8"/>
  <c r="O367" i="8"/>
  <c r="P367" i="8"/>
  <c r="Q367" i="8"/>
  <c r="Q368" i="9" s="1"/>
  <c r="R367" i="8"/>
  <c r="S367" i="8"/>
  <c r="T367" i="8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C367" i="8"/>
  <c r="AD367" i="8"/>
  <c r="AE367" i="8"/>
  <c r="AF367" i="8"/>
  <c r="AG367" i="8"/>
  <c r="AG368" i="9" s="1"/>
  <c r="A368" i="8"/>
  <c r="B368" i="8"/>
  <c r="C368" i="8"/>
  <c r="D368" i="8"/>
  <c r="E368" i="8"/>
  <c r="F368" i="8"/>
  <c r="G368" i="8"/>
  <c r="H368" i="8"/>
  <c r="H369" i="9" s="1"/>
  <c r="I368" i="8"/>
  <c r="I369" i="9" s="1"/>
  <c r="J368" i="8"/>
  <c r="K368" i="8"/>
  <c r="L368" i="8"/>
  <c r="M368" i="8"/>
  <c r="N368" i="8"/>
  <c r="O368" i="8"/>
  <c r="P368" i="8"/>
  <c r="Q368" i="8"/>
  <c r="Q369" i="9" s="1"/>
  <c r="R368" i="8"/>
  <c r="S368" i="8"/>
  <c r="T368" i="8"/>
  <c r="U368" i="8"/>
  <c r="V368" i="8"/>
  <c r="W368" i="8"/>
  <c r="X368" i="8"/>
  <c r="X369" i="9" s="1"/>
  <c r="Y368" i="8"/>
  <c r="Z368" i="8"/>
  <c r="AA368" i="8"/>
  <c r="AB368" i="8"/>
  <c r="AC368" i="8"/>
  <c r="AC369" i="9" s="1"/>
  <c r="AD368" i="8"/>
  <c r="AE368" i="8"/>
  <c r="AF368" i="8"/>
  <c r="AF369" i="9" s="1"/>
  <c r="AG368" i="8"/>
  <c r="AG369" i="9" s="1"/>
  <c r="A369" i="8"/>
  <c r="B369" i="8"/>
  <c r="C369" i="8"/>
  <c r="D369" i="8"/>
  <c r="E369" i="8"/>
  <c r="F369" i="8"/>
  <c r="G369" i="8"/>
  <c r="G370" i="9" s="1"/>
  <c r="H369" i="8"/>
  <c r="H370" i="9" s="1"/>
  <c r="I369" i="8"/>
  <c r="J369" i="8"/>
  <c r="K369" i="8"/>
  <c r="L369" i="8"/>
  <c r="M369" i="8"/>
  <c r="N369" i="8"/>
  <c r="O369" i="8"/>
  <c r="O370" i="9" s="1"/>
  <c r="P369" i="8"/>
  <c r="Q369" i="8"/>
  <c r="R369" i="8"/>
  <c r="S369" i="8"/>
  <c r="T369" i="8"/>
  <c r="U369" i="8"/>
  <c r="V369" i="8"/>
  <c r="W369" i="8"/>
  <c r="W370" i="9" s="1"/>
  <c r="X369" i="8"/>
  <c r="Y369" i="8"/>
  <c r="Z369" i="8"/>
  <c r="AA369" i="8"/>
  <c r="AA370" i="9" s="1"/>
  <c r="AB369" i="8"/>
  <c r="AC369" i="8"/>
  <c r="AC370" i="9" s="1"/>
  <c r="AD369" i="8"/>
  <c r="AE369" i="8"/>
  <c r="AE370" i="9" s="1"/>
  <c r="AF369" i="8"/>
  <c r="AF370" i="9" s="1"/>
  <c r="AG369" i="8"/>
  <c r="AG370" i="9" s="1"/>
  <c r="A370" i="8"/>
  <c r="B370" i="8"/>
  <c r="C370" i="8"/>
  <c r="D370" i="8"/>
  <c r="E370" i="8"/>
  <c r="F370" i="8"/>
  <c r="F371" i="9" s="1"/>
  <c r="G370" i="8"/>
  <c r="G371" i="9" s="1"/>
  <c r="H370" i="8"/>
  <c r="I370" i="8"/>
  <c r="J370" i="8"/>
  <c r="K370" i="8"/>
  <c r="L370" i="8"/>
  <c r="M370" i="8"/>
  <c r="N370" i="8"/>
  <c r="N371" i="9" s="1"/>
  <c r="O370" i="8"/>
  <c r="O371" i="9" s="1"/>
  <c r="P370" i="8"/>
  <c r="Q370" i="8"/>
  <c r="R370" i="8"/>
  <c r="S370" i="8"/>
  <c r="T370" i="8"/>
  <c r="U370" i="8"/>
  <c r="V370" i="8"/>
  <c r="V371" i="9" s="1"/>
  <c r="W370" i="8"/>
  <c r="X370" i="8"/>
  <c r="X371" i="9" s="1"/>
  <c r="Y370" i="8"/>
  <c r="Z370" i="8"/>
  <c r="AA370" i="8"/>
  <c r="AB370" i="8"/>
  <c r="AC370" i="8"/>
  <c r="AD370" i="8"/>
  <c r="AD371" i="9" s="1"/>
  <c r="AE370" i="8"/>
  <c r="AE371" i="9" s="1"/>
  <c r="AF370" i="8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P371" i="8"/>
  <c r="Q371" i="8"/>
  <c r="R371" i="8"/>
  <c r="S371" i="8"/>
  <c r="T371" i="8"/>
  <c r="U371" i="8"/>
  <c r="V371" i="8"/>
  <c r="V372" i="9" s="1"/>
  <c r="W371" i="8"/>
  <c r="X371" i="8"/>
  <c r="Y371" i="8"/>
  <c r="Y372" i="9" s="1"/>
  <c r="Z371" i="8"/>
  <c r="AA371" i="8"/>
  <c r="AB371" i="8"/>
  <c r="AC371" i="8"/>
  <c r="AC372" i="9" s="1"/>
  <c r="AD371" i="8"/>
  <c r="AE371" i="8"/>
  <c r="AF371" i="8"/>
  <c r="AG371" i="8"/>
  <c r="A372" i="8"/>
  <c r="B372" i="8"/>
  <c r="C372" i="8"/>
  <c r="D372" i="8"/>
  <c r="D373" i="9" s="1"/>
  <c r="E372" i="8"/>
  <c r="F372" i="8"/>
  <c r="G372" i="8"/>
  <c r="H372" i="8"/>
  <c r="I372" i="8"/>
  <c r="J372" i="8"/>
  <c r="K372" i="8"/>
  <c r="L372" i="8"/>
  <c r="L373" i="9" s="1"/>
  <c r="M372" i="8"/>
  <c r="M373" i="9" s="1"/>
  <c r="N372" i="8"/>
  <c r="O372" i="8"/>
  <c r="P372" i="8"/>
  <c r="Q372" i="8"/>
  <c r="R372" i="8"/>
  <c r="S372" i="8"/>
  <c r="T372" i="8"/>
  <c r="T373" i="9" s="1"/>
  <c r="U372" i="8"/>
  <c r="U373" i="9" s="1"/>
  <c r="V372" i="8"/>
  <c r="W372" i="8"/>
  <c r="X372" i="8"/>
  <c r="X373" i="9" s="1"/>
  <c r="Y372" i="8"/>
  <c r="Z372" i="8"/>
  <c r="AA372" i="8"/>
  <c r="AB372" i="8"/>
  <c r="AB373" i="9" s="1"/>
  <c r="AC372" i="8"/>
  <c r="AD372" i="8"/>
  <c r="AE372" i="8"/>
  <c r="AF372" i="8"/>
  <c r="AG372" i="8"/>
  <c r="A373" i="8"/>
  <c r="B373" i="8"/>
  <c r="C373" i="8"/>
  <c r="D373" i="8"/>
  <c r="E373" i="8"/>
  <c r="F373" i="8"/>
  <c r="G373" i="8"/>
  <c r="H373" i="8"/>
  <c r="I373" i="8"/>
  <c r="J373" i="8"/>
  <c r="K373" i="8"/>
  <c r="K374" i="9" s="1"/>
  <c r="L373" i="8"/>
  <c r="L374" i="9" s="1"/>
  <c r="M373" i="8"/>
  <c r="N373" i="8"/>
  <c r="O373" i="8"/>
  <c r="P373" i="8"/>
  <c r="Q373" i="8"/>
  <c r="R373" i="8"/>
  <c r="S373" i="8"/>
  <c r="S374" i="9" s="1"/>
  <c r="T373" i="8"/>
  <c r="T374" i="9" s="1"/>
  <c r="U373" i="8"/>
  <c r="V373" i="8"/>
  <c r="W373" i="8"/>
  <c r="X373" i="8"/>
  <c r="X374" i="9" s="1"/>
  <c r="Y373" i="8"/>
  <c r="Z373" i="8"/>
  <c r="AA373" i="8"/>
  <c r="AA374" i="9" s="1"/>
  <c r="AB373" i="8"/>
  <c r="AC373" i="8"/>
  <c r="AD373" i="8"/>
  <c r="AE373" i="8"/>
  <c r="AF373" i="8"/>
  <c r="AG373" i="8"/>
  <c r="A374" i="8"/>
  <c r="B374" i="8"/>
  <c r="B375" i="9" s="1"/>
  <c r="C374" i="8"/>
  <c r="C375" i="9" s="1"/>
  <c r="D374" i="8"/>
  <c r="E374" i="8"/>
  <c r="F374" i="8"/>
  <c r="G374" i="8"/>
  <c r="H374" i="8"/>
  <c r="I374" i="8"/>
  <c r="J374" i="8"/>
  <c r="J375" i="9" s="1"/>
  <c r="K374" i="8"/>
  <c r="K375" i="9" s="1"/>
  <c r="L374" i="8"/>
  <c r="M374" i="8"/>
  <c r="N374" i="8"/>
  <c r="O374" i="8"/>
  <c r="P374" i="8"/>
  <c r="Q374" i="8"/>
  <c r="R374" i="8"/>
  <c r="R375" i="9" s="1"/>
  <c r="S374" i="8"/>
  <c r="S375" i="9" s="1"/>
  <c r="T374" i="8"/>
  <c r="U374" i="8"/>
  <c r="V374" i="8"/>
  <c r="W374" i="8"/>
  <c r="X374" i="8"/>
  <c r="Y374" i="8"/>
  <c r="Y375" i="9" s="1"/>
  <c r="Z374" i="8"/>
  <c r="Z375" i="9" s="1"/>
  <c r="AA374" i="8"/>
  <c r="AB374" i="8"/>
  <c r="AC374" i="8"/>
  <c r="AD374" i="8"/>
  <c r="AE374" i="8"/>
  <c r="AF374" i="8"/>
  <c r="AG374" i="8"/>
  <c r="A369" i="9"/>
  <c r="G369" i="9"/>
  <c r="K369" i="9"/>
  <c r="O369" i="9"/>
  <c r="S369" i="9"/>
  <c r="W369" i="9"/>
  <c r="Y369" i="9"/>
  <c r="AA369" i="9"/>
  <c r="AE369" i="9"/>
  <c r="F370" i="9"/>
  <c r="N370" i="9"/>
  <c r="P370" i="9"/>
  <c r="V370" i="9"/>
  <c r="X370" i="9"/>
  <c r="AD370" i="9"/>
  <c r="I371" i="9"/>
  <c r="Q371" i="9"/>
  <c r="W371" i="9"/>
  <c r="Y371" i="9"/>
  <c r="AG371" i="9"/>
  <c r="AD372" i="9"/>
  <c r="E373" i="9"/>
  <c r="G373" i="9"/>
  <c r="K373" i="9"/>
  <c r="O373" i="9"/>
  <c r="S373" i="9"/>
  <c r="W373" i="9"/>
  <c r="AA373" i="9"/>
  <c r="AC373" i="9"/>
  <c r="AE373" i="9"/>
  <c r="F374" i="9"/>
  <c r="N374" i="9"/>
  <c r="V374" i="9"/>
  <c r="AB374" i="9"/>
  <c r="AD374" i="9"/>
  <c r="I375" i="9"/>
  <c r="Q375" i="9"/>
  <c r="AA375" i="9"/>
  <c r="AG375" i="9"/>
  <c r="F367" i="9"/>
  <c r="G367" i="9"/>
  <c r="H367" i="9"/>
  <c r="I367" i="9"/>
  <c r="K367" i="9"/>
  <c r="L367" i="9"/>
  <c r="M367" i="9"/>
  <c r="N367" i="9"/>
  <c r="O367" i="9"/>
  <c r="P367" i="9"/>
  <c r="Q367" i="9"/>
  <c r="S367" i="9"/>
  <c r="T367" i="9"/>
  <c r="U367" i="9"/>
  <c r="V367" i="9"/>
  <c r="W367" i="9"/>
  <c r="AA367" i="9"/>
  <c r="AB367" i="9"/>
  <c r="AC367" i="9"/>
  <c r="AF367" i="9"/>
  <c r="AG367" i="9"/>
  <c r="F368" i="9"/>
  <c r="G368" i="9"/>
  <c r="H368" i="9"/>
  <c r="J368" i="9"/>
  <c r="K368" i="9"/>
  <c r="L368" i="9"/>
  <c r="M368" i="9"/>
  <c r="N368" i="9"/>
  <c r="O368" i="9"/>
  <c r="P368" i="9"/>
  <c r="R368" i="9"/>
  <c r="S368" i="9"/>
  <c r="T368" i="9"/>
  <c r="U368" i="9"/>
  <c r="V368" i="9"/>
  <c r="W368" i="9"/>
  <c r="AB368" i="9"/>
  <c r="AC368" i="9"/>
  <c r="AD368" i="9"/>
  <c r="AE368" i="9"/>
  <c r="AF368" i="9"/>
  <c r="F369" i="9"/>
  <c r="J369" i="9"/>
  <c r="L369" i="9"/>
  <c r="M369" i="9"/>
  <c r="N369" i="9"/>
  <c r="P369" i="9"/>
  <c r="R369" i="9"/>
  <c r="T369" i="9"/>
  <c r="U369" i="9"/>
  <c r="V369" i="9"/>
  <c r="Z369" i="9"/>
  <c r="AB369" i="9"/>
  <c r="AD369" i="9"/>
  <c r="I370" i="9"/>
  <c r="J370" i="9"/>
  <c r="K370" i="9"/>
  <c r="L370" i="9"/>
  <c r="M370" i="9"/>
  <c r="Q370" i="9"/>
  <c r="R370" i="9"/>
  <c r="S370" i="9"/>
  <c r="T370" i="9"/>
  <c r="U370" i="9"/>
  <c r="Y370" i="9"/>
  <c r="Z370" i="9"/>
  <c r="AB370" i="9"/>
  <c r="H371" i="9"/>
  <c r="J371" i="9"/>
  <c r="K371" i="9"/>
  <c r="L371" i="9"/>
  <c r="M371" i="9"/>
  <c r="P371" i="9"/>
  <c r="R371" i="9"/>
  <c r="S371" i="9"/>
  <c r="T371" i="9"/>
  <c r="U371" i="9"/>
  <c r="Z371" i="9"/>
  <c r="AA371" i="9"/>
  <c r="AB371" i="9"/>
  <c r="AC371" i="9"/>
  <c r="AF371" i="9"/>
  <c r="G372" i="9"/>
  <c r="H372" i="9"/>
  <c r="I372" i="9"/>
  <c r="J372" i="9"/>
  <c r="K372" i="9"/>
  <c r="L372" i="9"/>
  <c r="O372" i="9"/>
  <c r="P372" i="9"/>
  <c r="Q372" i="9"/>
  <c r="R372" i="9"/>
  <c r="S372" i="9"/>
  <c r="T372" i="9"/>
  <c r="U372" i="9"/>
  <c r="W372" i="9"/>
  <c r="X372" i="9"/>
  <c r="Z372" i="9"/>
  <c r="AA372" i="9"/>
  <c r="AB372" i="9"/>
  <c r="AE372" i="9"/>
  <c r="AF372" i="9"/>
  <c r="AG372" i="9"/>
  <c r="F373" i="9"/>
  <c r="H373" i="9"/>
  <c r="I373" i="9"/>
  <c r="J373" i="9"/>
  <c r="N373" i="9"/>
  <c r="P373" i="9"/>
  <c r="Q373" i="9"/>
  <c r="R373" i="9"/>
  <c r="V373" i="9"/>
  <c r="Y373" i="9"/>
  <c r="Z373" i="9"/>
  <c r="AD373" i="9"/>
  <c r="AF373" i="9"/>
  <c r="AG373" i="9"/>
  <c r="G374" i="9"/>
  <c r="H374" i="9"/>
  <c r="I374" i="9"/>
  <c r="J374" i="9"/>
  <c r="M374" i="9"/>
  <c r="O374" i="9"/>
  <c r="P374" i="9"/>
  <c r="Q374" i="9"/>
  <c r="R374" i="9"/>
  <c r="U374" i="9"/>
  <c r="W374" i="9"/>
  <c r="Y374" i="9"/>
  <c r="Z374" i="9"/>
  <c r="AC374" i="9"/>
  <c r="AE374" i="9"/>
  <c r="AF374" i="9"/>
  <c r="AG374" i="9"/>
  <c r="F375" i="9"/>
  <c r="G375" i="9"/>
  <c r="H375" i="9"/>
  <c r="L375" i="9"/>
  <c r="M375" i="9"/>
  <c r="N375" i="9"/>
  <c r="O375" i="9"/>
  <c r="P375" i="9"/>
  <c r="T375" i="9"/>
  <c r="U375" i="9"/>
  <c r="V375" i="9"/>
  <c r="W375" i="9"/>
  <c r="X375" i="9"/>
  <c r="AB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B369" i="9"/>
  <c r="C369" i="9"/>
  <c r="D369" i="9"/>
  <c r="E369" i="9"/>
  <c r="A370" i="9"/>
  <c r="B370" i="9"/>
  <c r="C370" i="9"/>
  <c r="D370" i="9"/>
  <c r="E370" i="9"/>
  <c r="A371" i="9"/>
  <c r="B371" i="9"/>
  <c r="C371" i="9"/>
  <c r="D371" i="9"/>
  <c r="E371" i="9"/>
  <c r="A372" i="9"/>
  <c r="B372" i="9"/>
  <c r="C372" i="9"/>
  <c r="D372" i="9"/>
  <c r="A373" i="9"/>
  <c r="B373" i="9"/>
  <c r="C373" i="9"/>
  <c r="A374" i="9"/>
  <c r="B374" i="9"/>
  <c r="C374" i="9"/>
  <c r="D374" i="9"/>
  <c r="E374" i="9"/>
  <c r="A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D367" i="9"/>
  <c r="E367" i="9"/>
  <c r="A368" i="9"/>
  <c r="B368" i="9"/>
  <c r="C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8" i="21"/>
  <c r="AB368" i="21"/>
  <c r="AC368" i="11"/>
  <c r="AD368" i="10"/>
  <c r="AF368" i="10"/>
  <c r="AG368" i="11"/>
  <c r="AB369" i="11"/>
  <c r="AC369" i="11"/>
  <c r="AD369" i="21"/>
  <c r="AE369" i="21"/>
  <c r="AF369" i="11"/>
  <c r="O368" i="10"/>
  <c r="P368" i="21"/>
  <c r="Q368" i="10"/>
  <c r="S368" i="21"/>
  <c r="T368" i="21"/>
  <c r="U368" i="11"/>
  <c r="V368" i="10"/>
  <c r="W368" i="10"/>
  <c r="Y368" i="10"/>
  <c r="O369" i="21"/>
  <c r="P369" i="11"/>
  <c r="R369" i="21"/>
  <c r="S369" i="21"/>
  <c r="T369" i="11"/>
  <c r="U369" i="11"/>
  <c r="V369" i="11"/>
  <c r="W369" i="21"/>
  <c r="X369" i="11"/>
  <c r="Z369" i="21"/>
  <c r="E368" i="11"/>
  <c r="F368" i="10"/>
  <c r="G368" i="10"/>
  <c r="H368" i="11"/>
  <c r="I368" i="11"/>
  <c r="J368" i="10"/>
  <c r="K368" i="21"/>
  <c r="L368" i="21"/>
  <c r="M368" i="11"/>
  <c r="N368" i="10"/>
  <c r="E369" i="11"/>
  <c r="F369" i="11"/>
  <c r="G369" i="21"/>
  <c r="H369" i="11"/>
  <c r="J369" i="21"/>
  <c r="K369" i="21"/>
  <c r="L369" i="11"/>
  <c r="M369" i="11"/>
  <c r="N369" i="11"/>
  <c r="A368" i="10"/>
  <c r="B368" i="10"/>
  <c r="C368" i="21"/>
  <c r="D368" i="21"/>
  <c r="B369" i="21"/>
  <c r="C369" i="21"/>
  <c r="D369" i="1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E368" i="10" l="1"/>
  <c r="AA369" i="11"/>
  <c r="AA369" i="21"/>
  <c r="X367" i="9"/>
  <c r="AG369" i="21"/>
  <c r="I369" i="11"/>
  <c r="Y369" i="11"/>
  <c r="Q369" i="11"/>
  <c r="Z368" i="10"/>
  <c r="R368" i="10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D6" i="14" s="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D24" i="14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D26" i="14" s="1"/>
  <c r="AE367" i="10"/>
  <c r="AE367" i="21"/>
  <c r="AC2" i="21"/>
  <c r="D25" i="14" s="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W1" i="9" l="1"/>
  <c r="AG2" i="21"/>
  <c r="D1" i="11"/>
  <c r="F2" i="10"/>
  <c r="C2" i="14" s="1"/>
  <c r="O2" i="11"/>
  <c r="B11" i="14" s="1"/>
  <c r="D1" i="10"/>
  <c r="AE2" i="21"/>
  <c r="AF2" i="21"/>
  <c r="AB2" i="10"/>
  <c r="C24" i="14" s="1"/>
  <c r="C26" i="14"/>
  <c r="AC2" i="10"/>
  <c r="C25" i="14" s="1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K2" i="11"/>
  <c r="B7" i="14" s="1"/>
  <c r="AA2" i="11"/>
  <c r="B23" i="14" s="1"/>
  <c r="L2" i="11"/>
  <c r="B8" i="14" s="1"/>
  <c r="AC2" i="11"/>
  <c r="B25" i="14" s="1"/>
  <c r="F2" i="11"/>
  <c r="B2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E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5" i="14" l="1"/>
  <c r="E26" i="14"/>
  <c r="B24" i="14"/>
  <c r="E24" i="14" s="1"/>
  <c r="E23" i="14"/>
  <c r="E20" i="14"/>
  <c r="E21" i="14"/>
  <c r="E19" i="14"/>
  <c r="E17" i="14"/>
  <c r="E18" i="14"/>
  <c r="E16" i="14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<sst xmlns="http://schemas.openxmlformats.org/spreadsheetml/2006/main" count="4355" uniqueCount="1333">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</sst>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</cellXfs>
  <cellStyles count="2">
    <cellStyle name="Normal" xfId="0" builtinId="0"/>
    <cellStyle name="Porcentaje" xfId="1" builtinId="5"/>
  </cellStyles>
  <dxfs count="44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0" zoomScaleNormal="80" workbookViewId="0">
      <pane xSplit="14" ySplit="4" topLeftCell="AP193" activePane="bottomRight" state="frozen"/>
      <selection pane="topRight" activeCell="M1" sqref="M1"/>
      <selection pane="bottomLeft" activeCell="A5" sqref="A5"/>
      <selection pane="bottomRight" activeCell="AP207" sqref="AP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33.285156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5" width="8.7109375" style="22" customWidth="1"/>
  </cols>
  <sheetData>
    <row r="1" spans="1:45" s="5" customFormat="1" ht="27.75" customHeight="1" thickTop="1" x14ac:dyDescent="0.25">
      <c r="A1" s="1" t="s">
        <v>0</v>
      </c>
      <c r="B1" s="56"/>
      <c r="C1" s="42">
        <f>COUNTA(C5:C527)</f>
        <v>368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0.14130434782608695</v>
      </c>
      <c r="AG1" s="4">
        <f t="shared" si="0"/>
        <v>0.1983695652173913</v>
      </c>
      <c r="AH1" s="4">
        <f t="shared" si="0"/>
        <v>0.14130434782608695</v>
      </c>
      <c r="AI1" s="4">
        <f t="shared" si="0"/>
        <v>0.14986376021798364</v>
      </c>
      <c r="AJ1" s="4">
        <f t="shared" si="0"/>
        <v>0.1875</v>
      </c>
      <c r="AK1" s="4">
        <f t="shared" si="0"/>
        <v>8.9673913043478257E-2</v>
      </c>
      <c r="AL1" s="4">
        <f t="shared" si="0"/>
        <v>0.2391304347826087</v>
      </c>
      <c r="AM1" s="4">
        <f t="shared" si="0"/>
        <v>0.14402173913043478</v>
      </c>
      <c r="AN1" s="4">
        <f t="shared" si="0"/>
        <v>0.15489130434782608</v>
      </c>
      <c r="AO1" s="4">
        <f t="shared" si="0"/>
        <v>0.15760869565217392</v>
      </c>
      <c r="AP1" s="4">
        <f t="shared" si="0"/>
        <v>0.21467391304347827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316</v>
      </c>
      <c r="AG2" s="10">
        <f t="shared" si="2"/>
        <v>295</v>
      </c>
      <c r="AH2" s="10">
        <f t="shared" si="2"/>
        <v>316</v>
      </c>
      <c r="AI2" s="10">
        <f t="shared" si="2"/>
        <v>312</v>
      </c>
      <c r="AJ2" s="10">
        <f t="shared" si="2"/>
        <v>299</v>
      </c>
      <c r="AK2" s="10">
        <f t="shared" si="2"/>
        <v>335</v>
      </c>
      <c r="AL2" s="10">
        <f t="shared" si="2"/>
        <v>280</v>
      </c>
      <c r="AM2" s="10">
        <f t="shared" si="2"/>
        <v>315</v>
      </c>
      <c r="AN2" s="10">
        <f t="shared" si="2"/>
        <v>311</v>
      </c>
      <c r="AO2" s="10">
        <f t="shared" si="2"/>
        <v>310</v>
      </c>
      <c r="AP2" s="10">
        <f t="shared" si="2"/>
        <v>289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52</v>
      </c>
      <c r="AG3" s="14">
        <f t="shared" si="3"/>
        <v>73</v>
      </c>
      <c r="AH3" s="14">
        <f t="shared" si="3"/>
        <v>52</v>
      </c>
      <c r="AI3" s="14">
        <f t="shared" si="3"/>
        <v>55</v>
      </c>
      <c r="AJ3" s="14">
        <f t="shared" si="3"/>
        <v>69</v>
      </c>
      <c r="AK3" s="14">
        <f t="shared" si="3"/>
        <v>33</v>
      </c>
      <c r="AL3" s="14">
        <f t="shared" si="3"/>
        <v>88</v>
      </c>
      <c r="AM3" s="14">
        <f t="shared" si="3"/>
        <v>53</v>
      </c>
      <c r="AN3" s="14">
        <f t="shared" si="3"/>
        <v>57</v>
      </c>
      <c r="AO3" s="14">
        <f t="shared" si="3"/>
        <v>58</v>
      </c>
      <c r="AP3" s="14">
        <f t="shared" si="3"/>
        <v>79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1.5" thickTop="1" thickBot="1" x14ac:dyDescent="0.35">
      <c r="A4" t="s">
        <v>7</v>
      </c>
      <c r="B4" t="s">
        <v>1326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11</v>
      </c>
      <c r="M5" s="17">
        <f t="shared" ref="M5:M68" si="6">COUNTIF(O5:AP5,"APAGADO")</f>
        <v>17</v>
      </c>
      <c r="N5" s="18">
        <f t="shared" ref="N5:N68" si="7">(L5)/(M5+L5)</f>
        <v>0.39285714285714285</v>
      </c>
      <c r="O5" s="29" t="s">
        <v>939</v>
      </c>
      <c r="P5" s="19" t="s">
        <v>939</v>
      </c>
      <c r="Q5" s="19" t="s">
        <v>939</v>
      </c>
      <c r="R5" s="19" t="s">
        <v>939</v>
      </c>
      <c r="S5" s="29" t="s">
        <v>939</v>
      </c>
      <c r="T5" s="29" t="s">
        <v>939</v>
      </c>
      <c r="U5" s="19" t="s">
        <v>939</v>
      </c>
      <c r="V5" s="19" t="s">
        <v>939</v>
      </c>
      <c r="W5" s="19" t="s">
        <v>939</v>
      </c>
      <c r="X5" s="29" t="s">
        <v>939</v>
      </c>
      <c r="Y5" s="29" t="s">
        <v>939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 t="s">
        <v>939</v>
      </c>
      <c r="AL5" s="19" t="s">
        <v>939</v>
      </c>
      <c r="AM5" s="19" t="s">
        <v>939</v>
      </c>
      <c r="AN5" s="29" t="s">
        <v>939</v>
      </c>
      <c r="AO5" s="19" t="s">
        <v>939</v>
      </c>
      <c r="AP5" s="19" t="s">
        <v>939</v>
      </c>
      <c r="AQ5" s="29"/>
      <c r="AR5" s="29"/>
      <c r="AS5" s="29"/>
    </row>
    <row r="6" spans="1:45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C10" s="45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23</v>
      </c>
      <c r="M10" s="17">
        <f t="shared" si="6"/>
        <v>5</v>
      </c>
      <c r="N10" s="18">
        <f t="shared" si="7"/>
        <v>0.8214285714285714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 t="s">
        <v>939</v>
      </c>
      <c r="AM10" s="8" t="s">
        <v>939</v>
      </c>
      <c r="AN10" s="27" t="s">
        <v>939</v>
      </c>
      <c r="AO10" s="8" t="s">
        <v>939</v>
      </c>
      <c r="AP10" s="8" t="s">
        <v>939</v>
      </c>
      <c r="AQ10" s="27"/>
      <c r="AR10" s="27"/>
      <c r="AS10" s="27"/>
    </row>
    <row r="11" spans="1:45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22</v>
      </c>
      <c r="M13" s="17">
        <f t="shared" si="6"/>
        <v>6</v>
      </c>
      <c r="N13" s="18">
        <f t="shared" si="7"/>
        <v>0.7857142857142857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 t="s">
        <v>939</v>
      </c>
      <c r="AK13" s="8"/>
      <c r="AL13" s="8" t="s">
        <v>939</v>
      </c>
      <c r="AM13" s="8" t="s">
        <v>939</v>
      </c>
      <c r="AN13" s="27" t="s">
        <v>939</v>
      </c>
      <c r="AO13" s="8" t="s">
        <v>939</v>
      </c>
      <c r="AP13" s="8" t="s">
        <v>939</v>
      </c>
      <c r="AQ13" s="27"/>
      <c r="AR13" s="27"/>
      <c r="AS13" s="27"/>
    </row>
    <row r="14" spans="1:45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21</v>
      </c>
      <c r="M14" s="17">
        <f t="shared" si="6"/>
        <v>7</v>
      </c>
      <c r="N14" s="18">
        <f t="shared" si="7"/>
        <v>0.75</v>
      </c>
      <c r="O14" s="27" t="s">
        <v>939</v>
      </c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 t="s">
        <v>939</v>
      </c>
      <c r="AH14" s="27"/>
      <c r="AI14" s="27"/>
      <c r="AJ14" s="27" t="s">
        <v>939</v>
      </c>
      <c r="AK14" s="8"/>
      <c r="AL14" s="8" t="s">
        <v>939</v>
      </c>
      <c r="AM14" s="8" t="s">
        <v>939</v>
      </c>
      <c r="AN14" s="27"/>
      <c r="AO14" s="8" t="s">
        <v>939</v>
      </c>
      <c r="AP14" s="8" t="s">
        <v>939</v>
      </c>
      <c r="AQ14" s="27"/>
      <c r="AR14" s="27"/>
      <c r="AS14" s="27"/>
    </row>
    <row r="15" spans="1:45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 t="s">
        <v>939</v>
      </c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22</v>
      </c>
      <c r="M17" s="17">
        <f t="shared" si="6"/>
        <v>6</v>
      </c>
      <c r="N17" s="18">
        <f t="shared" si="7"/>
        <v>0.7857142857142857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 t="s">
        <v>939</v>
      </c>
      <c r="AK17" s="8"/>
      <c r="AL17" s="8" t="s">
        <v>939</v>
      </c>
      <c r="AM17" s="8" t="s">
        <v>939</v>
      </c>
      <c r="AN17" s="27" t="s">
        <v>939</v>
      </c>
      <c r="AO17" s="8" t="s">
        <v>939</v>
      </c>
      <c r="AP17" s="8" t="s">
        <v>939</v>
      </c>
      <c r="AQ17" s="27"/>
      <c r="AR17" s="27"/>
      <c r="AS17" s="27"/>
    </row>
    <row r="18" spans="1:45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22</v>
      </c>
      <c r="M18" s="17">
        <f t="shared" si="6"/>
        <v>6</v>
      </c>
      <c r="N18" s="18">
        <f t="shared" si="7"/>
        <v>0.7857142857142857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 t="s">
        <v>939</v>
      </c>
      <c r="AK18" s="8"/>
      <c r="AL18" s="8" t="s">
        <v>939</v>
      </c>
      <c r="AM18" s="8" t="s">
        <v>939</v>
      </c>
      <c r="AN18" s="27" t="s">
        <v>939</v>
      </c>
      <c r="AO18" s="8" t="s">
        <v>939</v>
      </c>
      <c r="AP18" s="8" t="s">
        <v>939</v>
      </c>
      <c r="AQ18" s="27"/>
      <c r="AR18" s="27"/>
      <c r="AS18" s="27"/>
    </row>
    <row r="19" spans="1:45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7"/>
      <c r="P19" s="8" t="s">
        <v>939</v>
      </c>
      <c r="Q19" s="8" t="s">
        <v>939</v>
      </c>
      <c r="R19" s="8" t="s">
        <v>939</v>
      </c>
      <c r="S19" s="27" t="s">
        <v>939</v>
      </c>
      <c r="T19" s="27" t="s">
        <v>939</v>
      </c>
      <c r="U19" s="8" t="s">
        <v>939</v>
      </c>
      <c r="V19" s="8" t="s">
        <v>939</v>
      </c>
      <c r="W19" s="8" t="s">
        <v>939</v>
      </c>
      <c r="X19" s="27" t="s">
        <v>939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C20" s="45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 t="s">
        <v>939</v>
      </c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C22" s="45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7"/>
      <c r="P22" s="8"/>
      <c r="Q22" s="8"/>
      <c r="R22" s="8"/>
      <c r="S22" s="27"/>
      <c r="T22" s="27"/>
      <c r="U22" s="8"/>
      <c r="V22" s="8"/>
      <c r="W22" s="8" t="s">
        <v>939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939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C23" s="45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7"/>
      <c r="P24" s="8"/>
      <c r="Q24" s="8"/>
      <c r="R24" s="8" t="s">
        <v>939</v>
      </c>
      <c r="S24" s="27" t="s">
        <v>939</v>
      </c>
      <c r="T24" s="27" t="s">
        <v>939</v>
      </c>
      <c r="U24" s="8" t="s">
        <v>939</v>
      </c>
      <c r="V24" s="8"/>
      <c r="W24" s="8" t="s">
        <v>939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17</v>
      </c>
      <c r="M30" s="17">
        <f t="shared" si="6"/>
        <v>11</v>
      </c>
      <c r="N30" s="18">
        <f t="shared" si="7"/>
        <v>0.6071428571428571</v>
      </c>
      <c r="O30" s="27"/>
      <c r="P30" s="8"/>
      <c r="Q30" s="8"/>
      <c r="R30" s="8"/>
      <c r="S30" s="27"/>
      <c r="T30" s="27"/>
      <c r="U30" s="8"/>
      <c r="V30" s="8"/>
      <c r="W30" s="8" t="s">
        <v>939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 t="s">
        <v>939</v>
      </c>
      <c r="AH30" s="27" t="s">
        <v>939</v>
      </c>
      <c r="AI30" s="27" t="s">
        <v>939</v>
      </c>
      <c r="AJ30" s="27" t="s">
        <v>939</v>
      </c>
      <c r="AK30" s="8" t="s">
        <v>939</v>
      </c>
      <c r="AL30" s="8" t="s">
        <v>939</v>
      </c>
      <c r="AM30" s="8" t="s">
        <v>939</v>
      </c>
      <c r="AN30" s="27" t="s">
        <v>939</v>
      </c>
      <c r="AO30" s="8" t="s">
        <v>939</v>
      </c>
      <c r="AP30" s="8" t="s">
        <v>939</v>
      </c>
      <c r="AQ30" s="27"/>
      <c r="AR30" s="27"/>
      <c r="AS30" s="27"/>
    </row>
    <row r="31" spans="1:45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27</v>
      </c>
      <c r="M34" s="17">
        <f t="shared" si="6"/>
        <v>1</v>
      </c>
      <c r="N34" s="18">
        <f t="shared" si="7"/>
        <v>0.9642857142857143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 t="s">
        <v>939</v>
      </c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27</v>
      </c>
      <c r="M35" s="17">
        <f t="shared" si="6"/>
        <v>1</v>
      </c>
      <c r="N35" s="18">
        <f t="shared" si="7"/>
        <v>0.9642857142857143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 t="s">
        <v>939</v>
      </c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 t="s">
        <v>939</v>
      </c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7" t="s">
        <v>939</v>
      </c>
      <c r="P37" s="8" t="s">
        <v>939</v>
      </c>
      <c r="Q37" s="8" t="s">
        <v>939</v>
      </c>
      <c r="R37" s="8" t="s">
        <v>939</v>
      </c>
      <c r="S37" s="27" t="s">
        <v>939</v>
      </c>
      <c r="T37" s="27" t="s">
        <v>939</v>
      </c>
      <c r="U37" s="8" t="s">
        <v>939</v>
      </c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 t="s">
        <v>940</v>
      </c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C41" s="45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19</v>
      </c>
      <c r="M41" s="17">
        <f t="shared" si="6"/>
        <v>9</v>
      </c>
      <c r="N41" s="18">
        <f t="shared" si="7"/>
        <v>0.6785714285714286</v>
      </c>
      <c r="O41" s="27"/>
      <c r="P41" s="8" t="s">
        <v>939</v>
      </c>
      <c r="Q41" s="8" t="s">
        <v>939</v>
      </c>
      <c r="R41" s="8" t="s">
        <v>939</v>
      </c>
      <c r="S41" s="27" t="s">
        <v>939</v>
      </c>
      <c r="T41" s="27" t="s">
        <v>939</v>
      </c>
      <c r="U41" s="8" t="s">
        <v>939</v>
      </c>
      <c r="V41" s="8"/>
      <c r="W41" s="8" t="s">
        <v>939</v>
      </c>
      <c r="X41" s="27" t="s">
        <v>939</v>
      </c>
      <c r="Y41" s="27"/>
      <c r="Z41" s="27"/>
      <c r="AA41" s="27"/>
      <c r="AB41" s="27"/>
      <c r="AC41" s="27"/>
      <c r="AD41" s="27"/>
      <c r="AE41" s="27"/>
      <c r="AF41" s="27"/>
      <c r="AG41" s="27" t="s">
        <v>939</v>
      </c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C43" s="45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7"/>
      <c r="P43" s="8"/>
      <c r="Q43" s="8"/>
      <c r="R43" s="8"/>
      <c r="S43" s="27"/>
      <c r="T43" s="27"/>
      <c r="U43" s="8"/>
      <c r="V43" s="8"/>
      <c r="W43" s="8" t="s">
        <v>939</v>
      </c>
      <c r="X43" s="27" t="s">
        <v>939</v>
      </c>
      <c r="Y43" s="27" t="s">
        <v>939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C44" s="45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16</v>
      </c>
      <c r="M44" s="17">
        <f t="shared" si="6"/>
        <v>12</v>
      </c>
      <c r="N44" s="18">
        <f t="shared" si="7"/>
        <v>0.5714285714285714</v>
      </c>
      <c r="O44" s="27" t="s">
        <v>939</v>
      </c>
      <c r="P44" s="8" t="s">
        <v>939</v>
      </c>
      <c r="Q44" s="8" t="s">
        <v>939</v>
      </c>
      <c r="R44" s="8" t="s">
        <v>939</v>
      </c>
      <c r="S44" s="27" t="s">
        <v>939</v>
      </c>
      <c r="T44" s="27" t="s">
        <v>939</v>
      </c>
      <c r="U44" s="8" t="s">
        <v>939</v>
      </c>
      <c r="V44" s="8" t="s">
        <v>939</v>
      </c>
      <c r="W44" s="8" t="s">
        <v>939</v>
      </c>
      <c r="X44" s="27" t="s">
        <v>939</v>
      </c>
      <c r="Y44" s="27" t="s">
        <v>939</v>
      </c>
      <c r="Z44" s="27"/>
      <c r="AA44" s="27"/>
      <c r="AB44" s="27"/>
      <c r="AC44" s="27"/>
      <c r="AD44" s="27"/>
      <c r="AE44" s="27"/>
      <c r="AF44" s="27"/>
      <c r="AG44" s="27" t="s">
        <v>939</v>
      </c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7"/>
      <c r="P48" s="8"/>
      <c r="Q48" s="8"/>
      <c r="R48" s="8"/>
      <c r="S48" s="27"/>
      <c r="T48" s="27"/>
      <c r="U48" s="8"/>
      <c r="V48" s="8"/>
      <c r="W48" s="8" t="s">
        <v>939</v>
      </c>
      <c r="X48" s="27" t="s">
        <v>939</v>
      </c>
      <c r="Y48" s="27" t="s">
        <v>939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 t="s">
        <v>939</v>
      </c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C50" s="45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26</v>
      </c>
      <c r="M51" s="17">
        <f t="shared" si="6"/>
        <v>2</v>
      </c>
      <c r="N51" s="18">
        <f t="shared" si="7"/>
        <v>0.9285714285714286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 t="s">
        <v>939</v>
      </c>
      <c r="AH51" s="27"/>
      <c r="AI51" s="27"/>
      <c r="AJ51" s="27"/>
      <c r="AK51" s="8"/>
      <c r="AL51" s="8" t="s">
        <v>939</v>
      </c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16</v>
      </c>
      <c r="M52" s="17">
        <f t="shared" si="6"/>
        <v>12</v>
      </c>
      <c r="N52" s="18">
        <f t="shared" si="7"/>
        <v>0.5714285714285714</v>
      </c>
      <c r="O52" s="27" t="s">
        <v>939</v>
      </c>
      <c r="P52" s="8" t="s">
        <v>939</v>
      </c>
      <c r="Q52" s="8" t="s">
        <v>939</v>
      </c>
      <c r="R52" s="8" t="s">
        <v>939</v>
      </c>
      <c r="S52" s="27" t="s">
        <v>939</v>
      </c>
      <c r="T52" s="27" t="s">
        <v>939</v>
      </c>
      <c r="U52" s="8" t="s">
        <v>939</v>
      </c>
      <c r="V52" s="8" t="s">
        <v>939</v>
      </c>
      <c r="W52" s="8" t="s">
        <v>939</v>
      </c>
      <c r="X52" s="27" t="s">
        <v>939</v>
      </c>
      <c r="Y52" s="27" t="s">
        <v>939</v>
      </c>
      <c r="Z52" s="27"/>
      <c r="AA52" s="27"/>
      <c r="AB52" s="27"/>
      <c r="AC52" s="27"/>
      <c r="AD52" s="27"/>
      <c r="AE52" s="27"/>
      <c r="AF52" s="27"/>
      <c r="AG52" s="27" t="s">
        <v>939</v>
      </c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C53" s="45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7" t="s">
        <v>939</v>
      </c>
      <c r="P54" s="8" t="s">
        <v>939</v>
      </c>
      <c r="Q54" s="8" t="s">
        <v>939</v>
      </c>
      <c r="R54" s="8" t="s">
        <v>939</v>
      </c>
      <c r="S54" s="27" t="s">
        <v>939</v>
      </c>
      <c r="T54" s="27" t="s">
        <v>939</v>
      </c>
      <c r="U54" s="8" t="s">
        <v>939</v>
      </c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/>
      <c r="S56" s="27"/>
      <c r="T56" s="27"/>
      <c r="U56" s="8"/>
      <c r="V56" s="8"/>
      <c r="W56" s="8" t="s">
        <v>939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7"/>
      <c r="P59" s="8"/>
      <c r="Q59" s="8"/>
      <c r="R59" s="8"/>
      <c r="S59" s="27"/>
      <c r="T59" s="27"/>
      <c r="U59" s="8"/>
      <c r="V59" s="8"/>
      <c r="W59" s="8" t="s">
        <v>939</v>
      </c>
      <c r="X59" s="27" t="s">
        <v>939</v>
      </c>
      <c r="Y59" s="27" t="s">
        <v>939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7" t="s">
        <v>939</v>
      </c>
      <c r="P60" s="8" t="s">
        <v>939</v>
      </c>
      <c r="Q60" s="8" t="s">
        <v>939</v>
      </c>
      <c r="R60" s="8" t="s">
        <v>939</v>
      </c>
      <c r="S60" s="27" t="s">
        <v>939</v>
      </c>
      <c r="T60" s="27" t="s">
        <v>939</v>
      </c>
      <c r="U60" s="8" t="s">
        <v>939</v>
      </c>
      <c r="V60" s="8"/>
      <c r="W60" s="8" t="s">
        <v>939</v>
      </c>
      <c r="X60" s="27" t="s">
        <v>939</v>
      </c>
      <c r="Y60" s="27" t="s">
        <v>939</v>
      </c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24</v>
      </c>
      <c r="M62" s="17">
        <f t="shared" si="6"/>
        <v>4</v>
      </c>
      <c r="N62" s="18">
        <f t="shared" si="7"/>
        <v>0.8571428571428571</v>
      </c>
      <c r="O62" s="27"/>
      <c r="P62" s="8"/>
      <c r="Q62" s="8"/>
      <c r="R62" s="8"/>
      <c r="S62" s="27"/>
      <c r="T62" s="27"/>
      <c r="U62" s="8"/>
      <c r="V62" s="8" t="s">
        <v>939</v>
      </c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 t="s">
        <v>939</v>
      </c>
      <c r="AO62" s="8" t="s">
        <v>939</v>
      </c>
      <c r="AP62" s="8" t="s">
        <v>939</v>
      </c>
      <c r="AQ62" s="27"/>
      <c r="AR62" s="27"/>
      <c r="AS62" s="27"/>
    </row>
    <row r="63" spans="1:45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16</v>
      </c>
      <c r="M63" s="17">
        <f t="shared" si="6"/>
        <v>12</v>
      </c>
      <c r="N63" s="18">
        <f t="shared" si="7"/>
        <v>0.5714285714285714</v>
      </c>
      <c r="O63" s="27" t="s">
        <v>939</v>
      </c>
      <c r="P63" s="8" t="s">
        <v>939</v>
      </c>
      <c r="Q63" s="8" t="s">
        <v>939</v>
      </c>
      <c r="R63" s="8" t="s">
        <v>939</v>
      </c>
      <c r="S63" s="27" t="s">
        <v>939</v>
      </c>
      <c r="T63" s="27" t="s">
        <v>939</v>
      </c>
      <c r="U63" s="8" t="s">
        <v>939</v>
      </c>
      <c r="V63" s="8" t="s">
        <v>939</v>
      </c>
      <c r="W63" s="8" t="s">
        <v>939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 t="s">
        <v>939</v>
      </c>
      <c r="AO63" s="8" t="s">
        <v>939</v>
      </c>
      <c r="AP63" s="8" t="s">
        <v>939</v>
      </c>
      <c r="AQ63" s="27"/>
      <c r="AR63" s="27"/>
      <c r="AS63" s="27"/>
    </row>
    <row r="64" spans="1:45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14</v>
      </c>
      <c r="M65" s="17">
        <f t="shared" si="6"/>
        <v>14</v>
      </c>
      <c r="N65" s="18">
        <f t="shared" si="7"/>
        <v>0.5</v>
      </c>
      <c r="O65" s="27" t="s">
        <v>939</v>
      </c>
      <c r="P65" s="8" t="s">
        <v>939</v>
      </c>
      <c r="Q65" s="8" t="s">
        <v>939</v>
      </c>
      <c r="R65" s="8" t="s">
        <v>939</v>
      </c>
      <c r="S65" s="27" t="s">
        <v>939</v>
      </c>
      <c r="T65" s="27" t="s">
        <v>939</v>
      </c>
      <c r="U65" s="8" t="s">
        <v>939</v>
      </c>
      <c r="V65" s="8" t="s">
        <v>939</v>
      </c>
      <c r="W65" s="8" t="s">
        <v>939</v>
      </c>
      <c r="X65" s="27" t="s">
        <v>939</v>
      </c>
      <c r="Y65" s="27" t="s">
        <v>939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 t="s">
        <v>939</v>
      </c>
      <c r="AO65" s="8" t="s">
        <v>939</v>
      </c>
      <c r="AP65" s="8" t="s">
        <v>939</v>
      </c>
      <c r="AQ65" s="27"/>
      <c r="AR65" s="27"/>
      <c r="AS65" s="27"/>
    </row>
    <row r="66" spans="1:45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16</v>
      </c>
      <c r="M68" s="17">
        <f t="shared" si="6"/>
        <v>12</v>
      </c>
      <c r="N68" s="18">
        <f t="shared" si="7"/>
        <v>0.5714285714285714</v>
      </c>
      <c r="O68" s="27" t="s">
        <v>939</v>
      </c>
      <c r="P68" s="8" t="s">
        <v>939</v>
      </c>
      <c r="Q68" s="8" t="s">
        <v>939</v>
      </c>
      <c r="R68" s="8" t="s">
        <v>939</v>
      </c>
      <c r="S68" s="27" t="s">
        <v>939</v>
      </c>
      <c r="T68" s="27" t="s">
        <v>939</v>
      </c>
      <c r="U68" s="8" t="s">
        <v>939</v>
      </c>
      <c r="V68" s="8" t="s">
        <v>939</v>
      </c>
      <c r="W68" s="8" t="s">
        <v>939</v>
      </c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 t="s">
        <v>939</v>
      </c>
      <c r="AO68" s="8" t="s">
        <v>939</v>
      </c>
      <c r="AP68" s="8" t="s">
        <v>939</v>
      </c>
      <c r="AQ68" s="27"/>
      <c r="AR68" s="27"/>
      <c r="AS68" s="27"/>
    </row>
    <row r="69" spans="1:45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16</v>
      </c>
      <c r="M70" s="17">
        <f t="shared" si="9"/>
        <v>12</v>
      </c>
      <c r="N70" s="18">
        <f t="shared" si="10"/>
        <v>0.5714285714285714</v>
      </c>
      <c r="O70" s="27" t="s">
        <v>939</v>
      </c>
      <c r="P70" s="8" t="s">
        <v>939</v>
      </c>
      <c r="Q70" s="8" t="s">
        <v>939</v>
      </c>
      <c r="R70" s="8" t="s">
        <v>939</v>
      </c>
      <c r="S70" s="27" t="s">
        <v>939</v>
      </c>
      <c r="T70" s="27" t="s">
        <v>939</v>
      </c>
      <c r="U70" s="8" t="s">
        <v>939</v>
      </c>
      <c r="V70" s="8" t="s">
        <v>939</v>
      </c>
      <c r="W70" s="8" t="s">
        <v>939</v>
      </c>
      <c r="X70" s="27" t="s">
        <v>939</v>
      </c>
      <c r="Y70" s="27"/>
      <c r="Z70" s="27"/>
      <c r="AA70" s="27"/>
      <c r="AB70" s="27"/>
      <c r="AC70" s="27"/>
      <c r="AD70" s="27"/>
      <c r="AE70" s="27"/>
      <c r="AF70" s="27"/>
      <c r="AG70" s="27" t="s">
        <v>939</v>
      </c>
      <c r="AH70" s="27"/>
      <c r="AI70" s="27"/>
      <c r="AJ70" s="27"/>
      <c r="AK70" s="8"/>
      <c r="AL70" s="8"/>
      <c r="AM70" s="8"/>
      <c r="AN70" s="27" t="s">
        <v>939</v>
      </c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0</v>
      </c>
      <c r="M80" s="17">
        <f t="shared" si="9"/>
        <v>28</v>
      </c>
      <c r="N80" s="18">
        <f t="shared" si="10"/>
        <v>0</v>
      </c>
      <c r="O80" s="27" t="s">
        <v>939</v>
      </c>
      <c r="P80" s="8" t="s">
        <v>939</v>
      </c>
      <c r="Q80" s="8" t="s">
        <v>939</v>
      </c>
      <c r="R80" s="8" t="s">
        <v>939</v>
      </c>
      <c r="S80" s="27" t="s">
        <v>939</v>
      </c>
      <c r="T80" s="27" t="s">
        <v>939</v>
      </c>
      <c r="U80" s="8" t="s">
        <v>939</v>
      </c>
      <c r="V80" s="8" t="s">
        <v>939</v>
      </c>
      <c r="W80" s="8" t="s">
        <v>939</v>
      </c>
      <c r="X80" s="27" t="s">
        <v>939</v>
      </c>
      <c r="Y80" s="27" t="s">
        <v>939</v>
      </c>
      <c r="Z80" s="27" t="s">
        <v>939</v>
      </c>
      <c r="AA80" s="27" t="s">
        <v>939</v>
      </c>
      <c r="AB80" s="27" t="s">
        <v>939</v>
      </c>
      <c r="AC80" s="27" t="s">
        <v>939</v>
      </c>
      <c r="AD80" s="27" t="s">
        <v>939</v>
      </c>
      <c r="AE80" s="27" t="s">
        <v>939</v>
      </c>
      <c r="AF80" s="27" t="s">
        <v>939</v>
      </c>
      <c r="AG80" s="27" t="s">
        <v>939</v>
      </c>
      <c r="AH80" s="27" t="s">
        <v>939</v>
      </c>
      <c r="AI80" s="27" t="s">
        <v>939</v>
      </c>
      <c r="AJ80" s="27" t="s">
        <v>939</v>
      </c>
      <c r="AK80" s="8" t="s">
        <v>939</v>
      </c>
      <c r="AL80" s="8" t="s">
        <v>939</v>
      </c>
      <c r="AM80" s="8" t="s">
        <v>939</v>
      </c>
      <c r="AN80" s="27" t="s">
        <v>939</v>
      </c>
      <c r="AO80" s="8" t="s">
        <v>939</v>
      </c>
      <c r="AP80" s="8" t="s">
        <v>939</v>
      </c>
      <c r="AQ80" s="27"/>
      <c r="AR80" s="27"/>
      <c r="AS80" s="27"/>
    </row>
    <row r="81" spans="1:45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27</v>
      </c>
      <c r="M82" s="17">
        <f t="shared" si="9"/>
        <v>1</v>
      </c>
      <c r="N82" s="18">
        <f t="shared" si="10"/>
        <v>0.9642857142857143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 t="s">
        <v>939</v>
      </c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 t="s">
        <v>939</v>
      </c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7" t="s">
        <v>939</v>
      </c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7" t="s">
        <v>939</v>
      </c>
      <c r="P88" s="8" t="s">
        <v>939</v>
      </c>
      <c r="Q88" s="8" t="s">
        <v>939</v>
      </c>
      <c r="R88" s="8" t="s">
        <v>939</v>
      </c>
      <c r="S88" s="27" t="s">
        <v>939</v>
      </c>
      <c r="T88" s="27" t="s">
        <v>939</v>
      </c>
      <c r="U88" s="8" t="s">
        <v>939</v>
      </c>
      <c r="V88" s="8" t="s">
        <v>939</v>
      </c>
      <c r="W88" s="8" t="s">
        <v>939</v>
      </c>
      <c r="X88" s="27" t="s">
        <v>939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11</v>
      </c>
      <c r="M89" s="17">
        <f t="shared" si="9"/>
        <v>17</v>
      </c>
      <c r="N89" s="18">
        <f t="shared" si="10"/>
        <v>0.39285714285714285</v>
      </c>
      <c r="O89" s="27"/>
      <c r="P89" s="8" t="s">
        <v>939</v>
      </c>
      <c r="Q89" s="8" t="s">
        <v>939</v>
      </c>
      <c r="R89" s="8" t="s">
        <v>939</v>
      </c>
      <c r="S89" s="27" t="s">
        <v>939</v>
      </c>
      <c r="T89" s="27" t="s">
        <v>939</v>
      </c>
      <c r="U89" s="8" t="s">
        <v>939</v>
      </c>
      <c r="V89" s="8" t="s">
        <v>939</v>
      </c>
      <c r="W89" s="8" t="s">
        <v>939</v>
      </c>
      <c r="X89" s="27" t="s">
        <v>939</v>
      </c>
      <c r="Y89" s="27"/>
      <c r="Z89" s="27"/>
      <c r="AA89" s="27"/>
      <c r="AB89" s="27"/>
      <c r="AC89" s="27" t="s">
        <v>939</v>
      </c>
      <c r="AD89" s="27" t="s">
        <v>939</v>
      </c>
      <c r="AE89" s="27" t="s">
        <v>939</v>
      </c>
      <c r="AF89" s="27" t="s">
        <v>939</v>
      </c>
      <c r="AG89" s="27" t="s">
        <v>939</v>
      </c>
      <c r="AH89" s="27" t="s">
        <v>939</v>
      </c>
      <c r="AI89" s="27" t="s">
        <v>939</v>
      </c>
      <c r="AJ89" s="27" t="s">
        <v>939</v>
      </c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9</v>
      </c>
      <c r="M90" s="17">
        <f t="shared" si="9"/>
        <v>19</v>
      </c>
      <c r="N90" s="18">
        <f t="shared" si="10"/>
        <v>0.32142857142857145</v>
      </c>
      <c r="O90" s="27" t="s">
        <v>939</v>
      </c>
      <c r="P90" s="8" t="s">
        <v>939</v>
      </c>
      <c r="Q90" s="8" t="s">
        <v>939</v>
      </c>
      <c r="R90" s="8" t="s">
        <v>939</v>
      </c>
      <c r="S90" s="27" t="s">
        <v>939</v>
      </c>
      <c r="T90" s="27" t="s">
        <v>939</v>
      </c>
      <c r="U90" s="8" t="s">
        <v>939</v>
      </c>
      <c r="V90" s="8" t="s">
        <v>939</v>
      </c>
      <c r="W90" s="8" t="s">
        <v>939</v>
      </c>
      <c r="X90" s="27" t="s">
        <v>939</v>
      </c>
      <c r="Y90" s="27"/>
      <c r="Z90" s="27"/>
      <c r="AA90" s="27"/>
      <c r="AB90" s="27"/>
      <c r="AC90" s="27" t="s">
        <v>939</v>
      </c>
      <c r="AD90" s="27" t="s">
        <v>939</v>
      </c>
      <c r="AE90" s="27" t="s">
        <v>939</v>
      </c>
      <c r="AF90" s="27" t="s">
        <v>939</v>
      </c>
      <c r="AG90" s="27" t="s">
        <v>939</v>
      </c>
      <c r="AH90" s="27" t="s">
        <v>939</v>
      </c>
      <c r="AI90" s="27" t="s">
        <v>939</v>
      </c>
      <c r="AJ90" s="27" t="s">
        <v>939</v>
      </c>
      <c r="AK90" s="8"/>
      <c r="AL90" s="8" t="s">
        <v>939</v>
      </c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0</v>
      </c>
      <c r="M91" s="17">
        <f t="shared" si="9"/>
        <v>28</v>
      </c>
      <c r="N91" s="18">
        <f t="shared" si="10"/>
        <v>0</v>
      </c>
      <c r="O91" s="27" t="s">
        <v>939</v>
      </c>
      <c r="P91" s="8" t="s">
        <v>939</v>
      </c>
      <c r="Q91" s="8" t="s">
        <v>939</v>
      </c>
      <c r="R91" s="8" t="s">
        <v>939</v>
      </c>
      <c r="S91" s="27" t="s">
        <v>939</v>
      </c>
      <c r="T91" s="27" t="s">
        <v>939</v>
      </c>
      <c r="U91" s="8" t="s">
        <v>939</v>
      </c>
      <c r="V91" s="8" t="s">
        <v>939</v>
      </c>
      <c r="W91" s="8" t="s">
        <v>939</v>
      </c>
      <c r="X91" s="27" t="s">
        <v>939</v>
      </c>
      <c r="Y91" s="27" t="s">
        <v>939</v>
      </c>
      <c r="Z91" s="27" t="s">
        <v>939</v>
      </c>
      <c r="AA91" s="27" t="s">
        <v>939</v>
      </c>
      <c r="AB91" s="27" t="s">
        <v>939</v>
      </c>
      <c r="AC91" s="27" t="s">
        <v>939</v>
      </c>
      <c r="AD91" s="27" t="s">
        <v>939</v>
      </c>
      <c r="AE91" s="27" t="s">
        <v>939</v>
      </c>
      <c r="AF91" s="27" t="s">
        <v>939</v>
      </c>
      <c r="AG91" s="27" t="s">
        <v>939</v>
      </c>
      <c r="AH91" s="27" t="s">
        <v>939</v>
      </c>
      <c r="AI91" s="27" t="s">
        <v>939</v>
      </c>
      <c r="AJ91" s="27" t="s">
        <v>939</v>
      </c>
      <c r="AK91" s="8" t="s">
        <v>939</v>
      </c>
      <c r="AL91" s="8" t="s">
        <v>939</v>
      </c>
      <c r="AM91" s="8" t="s">
        <v>939</v>
      </c>
      <c r="AN91" s="27" t="s">
        <v>939</v>
      </c>
      <c r="AO91" s="8" t="s">
        <v>939</v>
      </c>
      <c r="AP91" s="8" t="s">
        <v>939</v>
      </c>
      <c r="AQ91" s="27"/>
      <c r="AR91" s="27"/>
      <c r="AS91" s="27"/>
    </row>
    <row r="92" spans="1:45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0</v>
      </c>
      <c r="M92" s="17">
        <f t="shared" si="9"/>
        <v>28</v>
      </c>
      <c r="N92" s="18">
        <f t="shared" si="10"/>
        <v>0</v>
      </c>
      <c r="O92" s="27" t="s">
        <v>939</v>
      </c>
      <c r="P92" s="8" t="s">
        <v>939</v>
      </c>
      <c r="Q92" s="8" t="s">
        <v>939</v>
      </c>
      <c r="R92" s="8" t="s">
        <v>939</v>
      </c>
      <c r="S92" s="27" t="s">
        <v>939</v>
      </c>
      <c r="T92" s="27" t="s">
        <v>939</v>
      </c>
      <c r="U92" s="8" t="s">
        <v>939</v>
      </c>
      <c r="V92" s="8" t="s">
        <v>939</v>
      </c>
      <c r="W92" s="8" t="s">
        <v>939</v>
      </c>
      <c r="X92" s="27" t="s">
        <v>939</v>
      </c>
      <c r="Y92" s="27" t="s">
        <v>939</v>
      </c>
      <c r="Z92" s="27" t="s">
        <v>939</v>
      </c>
      <c r="AA92" s="27" t="s">
        <v>939</v>
      </c>
      <c r="AB92" s="27" t="s">
        <v>939</v>
      </c>
      <c r="AC92" s="27" t="s">
        <v>939</v>
      </c>
      <c r="AD92" s="27" t="s">
        <v>939</v>
      </c>
      <c r="AE92" s="27" t="s">
        <v>939</v>
      </c>
      <c r="AF92" s="27" t="s">
        <v>939</v>
      </c>
      <c r="AG92" s="27" t="s">
        <v>939</v>
      </c>
      <c r="AH92" s="27" t="s">
        <v>939</v>
      </c>
      <c r="AI92" s="27" t="s">
        <v>939</v>
      </c>
      <c r="AJ92" s="27" t="s">
        <v>939</v>
      </c>
      <c r="AK92" s="8" t="s">
        <v>939</v>
      </c>
      <c r="AL92" s="8" t="s">
        <v>939</v>
      </c>
      <c r="AM92" s="8" t="s">
        <v>939</v>
      </c>
      <c r="AN92" s="27" t="s">
        <v>939</v>
      </c>
      <c r="AO92" s="8" t="s">
        <v>939</v>
      </c>
      <c r="AP92" s="8" t="s">
        <v>939</v>
      </c>
      <c r="AQ92" s="27"/>
      <c r="AR92" s="27"/>
      <c r="AS92" s="27"/>
    </row>
    <row r="93" spans="1:45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27</v>
      </c>
      <c r="M93" s="17">
        <f t="shared" si="9"/>
        <v>1</v>
      </c>
      <c r="N93" s="18">
        <f t="shared" si="10"/>
        <v>0.9642857142857143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 t="s">
        <v>939</v>
      </c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7"/>
      <c r="P94" s="8"/>
      <c r="Q94" s="8"/>
      <c r="R94" s="8"/>
      <c r="S94" s="27"/>
      <c r="T94" s="27"/>
      <c r="U94" s="8"/>
      <c r="V94" s="8"/>
      <c r="W94" s="8" t="s">
        <v>939</v>
      </c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27</v>
      </c>
      <c r="M95" s="17">
        <f t="shared" si="9"/>
        <v>1</v>
      </c>
      <c r="N95" s="18">
        <f t="shared" si="10"/>
        <v>0.9642857142857143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 t="s">
        <v>939</v>
      </c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7"/>
      <c r="P97" s="8"/>
      <c r="Q97" s="8"/>
      <c r="R97" s="8"/>
      <c r="S97" s="27"/>
      <c r="T97" s="27"/>
      <c r="U97" s="8" t="s">
        <v>939</v>
      </c>
      <c r="V97" s="8" t="s">
        <v>939</v>
      </c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 t="s">
        <v>939</v>
      </c>
      <c r="V102" s="8"/>
      <c r="W102" s="8"/>
      <c r="X102" s="27"/>
      <c r="Y102" s="27"/>
      <c r="Z102" s="27" t="s">
        <v>939</v>
      </c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16</v>
      </c>
      <c r="M104" s="17">
        <f t="shared" si="9"/>
        <v>12</v>
      </c>
      <c r="N104" s="18">
        <f t="shared" si="10"/>
        <v>0.5714285714285714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 t="s">
        <v>939</v>
      </c>
      <c r="Z104" s="27" t="s">
        <v>939</v>
      </c>
      <c r="AA104" s="27" t="s">
        <v>939</v>
      </c>
      <c r="AB104" s="27" t="s">
        <v>939</v>
      </c>
      <c r="AC104" s="27" t="s">
        <v>939</v>
      </c>
      <c r="AD104" s="27" t="s">
        <v>939</v>
      </c>
      <c r="AE104" s="27" t="s">
        <v>939</v>
      </c>
      <c r="AF104" s="27" t="s">
        <v>939</v>
      </c>
      <c r="AG104" s="27" t="s">
        <v>939</v>
      </c>
      <c r="AH104" s="27" t="s">
        <v>939</v>
      </c>
      <c r="AI104" s="27" t="s">
        <v>939</v>
      </c>
      <c r="AJ104" s="27" t="s">
        <v>939</v>
      </c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16</v>
      </c>
      <c r="M105" s="17">
        <f t="shared" si="9"/>
        <v>12</v>
      </c>
      <c r="N105" s="18">
        <f t="shared" si="10"/>
        <v>0.5714285714285714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 t="s">
        <v>939</v>
      </c>
      <c r="Z105" s="27" t="s">
        <v>939</v>
      </c>
      <c r="AA105" s="27" t="s">
        <v>939</v>
      </c>
      <c r="AB105" s="27" t="s">
        <v>939</v>
      </c>
      <c r="AC105" s="27" t="s">
        <v>939</v>
      </c>
      <c r="AD105" s="27" t="s">
        <v>939</v>
      </c>
      <c r="AE105" s="27" t="s">
        <v>939</v>
      </c>
      <c r="AF105" s="27" t="s">
        <v>939</v>
      </c>
      <c r="AG105" s="27" t="s">
        <v>939</v>
      </c>
      <c r="AH105" s="27" t="s">
        <v>939</v>
      </c>
      <c r="AI105" s="27" t="s">
        <v>939</v>
      </c>
      <c r="AJ105" s="27" t="s">
        <v>939</v>
      </c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17</v>
      </c>
      <c r="M106" s="17">
        <f t="shared" si="9"/>
        <v>11</v>
      </c>
      <c r="N106" s="18">
        <f t="shared" si="10"/>
        <v>0.6071428571428571</v>
      </c>
      <c r="O106" s="27"/>
      <c r="P106" s="8" t="s">
        <v>939</v>
      </c>
      <c r="Q106" s="8" t="s">
        <v>939</v>
      </c>
      <c r="R106" s="8"/>
      <c r="S106" s="27"/>
      <c r="T106" s="27"/>
      <c r="U106" s="8"/>
      <c r="V106" s="8"/>
      <c r="W106" s="8"/>
      <c r="X106" s="27" t="s">
        <v>939</v>
      </c>
      <c r="Y106" s="27"/>
      <c r="Z106" s="27"/>
      <c r="AA106" s="27"/>
      <c r="AB106" s="27" t="s">
        <v>939</v>
      </c>
      <c r="AC106" s="27"/>
      <c r="AD106" s="27" t="s">
        <v>939</v>
      </c>
      <c r="AE106" s="27"/>
      <c r="AF106" s="27"/>
      <c r="AG106" s="27"/>
      <c r="AH106" s="27"/>
      <c r="AI106" s="27"/>
      <c r="AJ106" s="27" t="s">
        <v>939</v>
      </c>
      <c r="AK106" s="8"/>
      <c r="AL106" s="8" t="s">
        <v>939</v>
      </c>
      <c r="AM106" s="8" t="s">
        <v>939</v>
      </c>
      <c r="AN106" s="27" t="s">
        <v>939</v>
      </c>
      <c r="AO106" s="8" t="s">
        <v>939</v>
      </c>
      <c r="AP106" s="8" t="s">
        <v>939</v>
      </c>
      <c r="AQ106" s="27"/>
      <c r="AR106" s="27"/>
      <c r="AS106" s="27"/>
    </row>
    <row r="107" spans="1:45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17</v>
      </c>
      <c r="M107" s="17">
        <f t="shared" si="9"/>
        <v>11</v>
      </c>
      <c r="N107" s="18">
        <f t="shared" si="10"/>
        <v>0.6071428571428571</v>
      </c>
      <c r="O107" s="27"/>
      <c r="P107" s="8" t="s">
        <v>939</v>
      </c>
      <c r="Q107" s="8" t="s">
        <v>939</v>
      </c>
      <c r="R107" s="8"/>
      <c r="S107" s="27"/>
      <c r="T107" s="27"/>
      <c r="U107" s="8"/>
      <c r="V107" s="8"/>
      <c r="W107" s="8"/>
      <c r="X107" s="27" t="s">
        <v>939</v>
      </c>
      <c r="Y107" s="27"/>
      <c r="Z107" s="27"/>
      <c r="AA107" s="27"/>
      <c r="AB107" s="27" t="s">
        <v>939</v>
      </c>
      <c r="AC107" s="27"/>
      <c r="AD107" s="27" t="s">
        <v>939</v>
      </c>
      <c r="AE107" s="27"/>
      <c r="AF107" s="27"/>
      <c r="AG107" s="27"/>
      <c r="AH107" s="27"/>
      <c r="AI107" s="27"/>
      <c r="AJ107" s="27" t="s">
        <v>939</v>
      </c>
      <c r="AK107" s="8"/>
      <c r="AL107" s="8" t="s">
        <v>939</v>
      </c>
      <c r="AM107" s="8" t="s">
        <v>939</v>
      </c>
      <c r="AN107" s="27" t="s">
        <v>939</v>
      </c>
      <c r="AO107" s="8" t="s">
        <v>939</v>
      </c>
      <c r="AP107" s="8" t="s">
        <v>939</v>
      </c>
      <c r="AQ107" s="27"/>
      <c r="AR107" s="27"/>
      <c r="AS107" s="27"/>
    </row>
    <row r="108" spans="1:45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17</v>
      </c>
      <c r="M108" s="17">
        <f t="shared" si="9"/>
        <v>11</v>
      </c>
      <c r="N108" s="18">
        <f t="shared" si="10"/>
        <v>0.6071428571428571</v>
      </c>
      <c r="O108" s="27"/>
      <c r="P108" s="8" t="s">
        <v>939</v>
      </c>
      <c r="Q108" s="8" t="s">
        <v>939</v>
      </c>
      <c r="R108" s="8"/>
      <c r="S108" s="27"/>
      <c r="T108" s="27"/>
      <c r="U108" s="8"/>
      <c r="V108" s="8"/>
      <c r="W108" s="8"/>
      <c r="X108" s="27" t="s">
        <v>939</v>
      </c>
      <c r="Y108" s="27"/>
      <c r="Z108" s="27"/>
      <c r="AA108" s="27"/>
      <c r="AB108" s="27" t="s">
        <v>939</v>
      </c>
      <c r="AC108" s="27"/>
      <c r="AD108" s="27" t="s">
        <v>939</v>
      </c>
      <c r="AE108" s="27"/>
      <c r="AF108" s="27"/>
      <c r="AG108" s="27"/>
      <c r="AH108" s="27"/>
      <c r="AI108" s="27"/>
      <c r="AJ108" s="27" t="s">
        <v>939</v>
      </c>
      <c r="AK108" s="8"/>
      <c r="AL108" s="8" t="s">
        <v>939</v>
      </c>
      <c r="AM108" s="8" t="s">
        <v>939</v>
      </c>
      <c r="AN108" s="27" t="s">
        <v>939</v>
      </c>
      <c r="AO108" s="8" t="s">
        <v>939</v>
      </c>
      <c r="AP108" s="8" t="s">
        <v>939</v>
      </c>
      <c r="AQ108" s="27"/>
      <c r="AR108" s="27"/>
      <c r="AS108" s="27"/>
    </row>
    <row r="109" spans="1:45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17</v>
      </c>
      <c r="M109" s="17">
        <f t="shared" si="9"/>
        <v>11</v>
      </c>
      <c r="N109" s="18">
        <f t="shared" si="10"/>
        <v>0.6071428571428571</v>
      </c>
      <c r="O109" s="27"/>
      <c r="P109" s="8" t="s">
        <v>939</v>
      </c>
      <c r="Q109" s="8" t="s">
        <v>939</v>
      </c>
      <c r="R109" s="8"/>
      <c r="S109" s="27"/>
      <c r="T109" s="27"/>
      <c r="U109" s="8"/>
      <c r="V109" s="8"/>
      <c r="W109" s="8"/>
      <c r="X109" s="27" t="s">
        <v>939</v>
      </c>
      <c r="Y109" s="27"/>
      <c r="Z109" s="27"/>
      <c r="AA109" s="27"/>
      <c r="AB109" s="27" t="s">
        <v>939</v>
      </c>
      <c r="AC109" s="27"/>
      <c r="AD109" s="27" t="s">
        <v>939</v>
      </c>
      <c r="AE109" s="27"/>
      <c r="AF109" s="27"/>
      <c r="AG109" s="27"/>
      <c r="AH109" s="27"/>
      <c r="AI109" s="27"/>
      <c r="AJ109" s="27" t="s">
        <v>939</v>
      </c>
      <c r="AK109" s="8"/>
      <c r="AL109" s="8" t="s">
        <v>939</v>
      </c>
      <c r="AM109" s="8" t="s">
        <v>939</v>
      </c>
      <c r="AN109" s="27" t="s">
        <v>939</v>
      </c>
      <c r="AO109" s="8" t="s">
        <v>939</v>
      </c>
      <c r="AP109" s="8" t="s">
        <v>939</v>
      </c>
      <c r="AQ109" s="27"/>
      <c r="AR109" s="27"/>
      <c r="AS109" s="27"/>
    </row>
    <row r="110" spans="1:45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24</v>
      </c>
      <c r="M112" s="17">
        <f t="shared" si="9"/>
        <v>4</v>
      </c>
      <c r="N112" s="18">
        <f t="shared" si="10"/>
        <v>0.8571428571428571</v>
      </c>
      <c r="O112" s="27"/>
      <c r="P112" s="8"/>
      <c r="Q112" s="8"/>
      <c r="R112" s="8"/>
      <c r="S112" s="27" t="s">
        <v>939</v>
      </c>
      <c r="T112" s="27"/>
      <c r="U112" s="8"/>
      <c r="V112" s="8"/>
      <c r="W112" s="8" t="s">
        <v>939</v>
      </c>
      <c r="X112" s="27"/>
      <c r="Y112" s="27"/>
      <c r="Z112" s="27"/>
      <c r="AA112" s="27"/>
      <c r="AB112" s="27"/>
      <c r="AC112" s="27"/>
      <c r="AD112" s="27"/>
      <c r="AE112" s="27"/>
      <c r="AF112" s="27"/>
      <c r="AG112" s="27" t="s">
        <v>939</v>
      </c>
      <c r="AH112" s="27"/>
      <c r="AI112" s="27"/>
      <c r="AJ112" s="27"/>
      <c r="AK112" s="8"/>
      <c r="AL112" s="8" t="s">
        <v>939</v>
      </c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10</v>
      </c>
      <c r="M115" s="17">
        <f t="shared" si="9"/>
        <v>18</v>
      </c>
      <c r="N115" s="18">
        <f t="shared" si="10"/>
        <v>0.35714285714285715</v>
      </c>
      <c r="O115" s="27" t="s">
        <v>939</v>
      </c>
      <c r="P115" s="8" t="s">
        <v>939</v>
      </c>
      <c r="Q115" s="8" t="s">
        <v>939</v>
      </c>
      <c r="R115" s="8" t="s">
        <v>939</v>
      </c>
      <c r="S115" s="27" t="s">
        <v>939</v>
      </c>
      <c r="T115" s="27" t="s">
        <v>939</v>
      </c>
      <c r="U115" s="8" t="s">
        <v>939</v>
      </c>
      <c r="V115" s="8" t="s">
        <v>939</v>
      </c>
      <c r="W115" s="8" t="s">
        <v>939</v>
      </c>
      <c r="X115" s="27" t="s">
        <v>939</v>
      </c>
      <c r="Y115" s="27"/>
      <c r="Z115" s="27"/>
      <c r="AA115" s="27"/>
      <c r="AB115" s="27"/>
      <c r="AC115" s="27"/>
      <c r="AD115" s="27" t="s">
        <v>939</v>
      </c>
      <c r="AE115" s="27" t="s">
        <v>939</v>
      </c>
      <c r="AF115" s="27" t="s">
        <v>939</v>
      </c>
      <c r="AG115" s="27" t="s">
        <v>939</v>
      </c>
      <c r="AH115" s="27" t="s">
        <v>939</v>
      </c>
      <c r="AI115" s="27" t="s">
        <v>939</v>
      </c>
      <c r="AJ115" s="27" t="s">
        <v>939</v>
      </c>
      <c r="AK115" s="8" t="s">
        <v>939</v>
      </c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10</v>
      </c>
      <c r="M116" s="17">
        <f t="shared" si="9"/>
        <v>18</v>
      </c>
      <c r="N116" s="18">
        <f t="shared" si="10"/>
        <v>0.35714285714285715</v>
      </c>
      <c r="O116" s="27" t="s">
        <v>939</v>
      </c>
      <c r="P116" s="8" t="s">
        <v>939</v>
      </c>
      <c r="Q116" s="8" t="s">
        <v>939</v>
      </c>
      <c r="R116" s="8" t="s">
        <v>939</v>
      </c>
      <c r="S116" s="27" t="s">
        <v>939</v>
      </c>
      <c r="T116" s="27" t="s">
        <v>939</v>
      </c>
      <c r="U116" s="8" t="s">
        <v>939</v>
      </c>
      <c r="V116" s="8" t="s">
        <v>939</v>
      </c>
      <c r="W116" s="8" t="s">
        <v>939</v>
      </c>
      <c r="X116" s="27" t="s">
        <v>939</v>
      </c>
      <c r="Y116" s="27"/>
      <c r="Z116" s="27"/>
      <c r="AA116" s="27"/>
      <c r="AB116" s="27"/>
      <c r="AC116" s="27"/>
      <c r="AD116" s="27" t="s">
        <v>939</v>
      </c>
      <c r="AE116" s="27" t="s">
        <v>939</v>
      </c>
      <c r="AF116" s="27" t="s">
        <v>939</v>
      </c>
      <c r="AG116" s="27" t="s">
        <v>939</v>
      </c>
      <c r="AH116" s="27" t="s">
        <v>939</v>
      </c>
      <c r="AI116" s="27" t="s">
        <v>939</v>
      </c>
      <c r="AJ116" s="27" t="s">
        <v>939</v>
      </c>
      <c r="AK116" s="8" t="s">
        <v>939</v>
      </c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27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 t="s">
        <v>940</v>
      </c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7" t="s">
        <v>939</v>
      </c>
      <c r="P120" s="8" t="s">
        <v>939</v>
      </c>
      <c r="Q120" s="8" t="s">
        <v>939</v>
      </c>
      <c r="R120" s="8" t="s">
        <v>939</v>
      </c>
      <c r="S120" s="27" t="s">
        <v>939</v>
      </c>
      <c r="T120" s="27" t="s">
        <v>939</v>
      </c>
      <c r="U120" s="8" t="s">
        <v>939</v>
      </c>
      <c r="V120" s="8" t="s">
        <v>939</v>
      </c>
      <c r="W120" s="8" t="s">
        <v>939</v>
      </c>
      <c r="X120" s="27" t="s">
        <v>939</v>
      </c>
      <c r="Y120" s="27" t="s">
        <v>939</v>
      </c>
      <c r="Z120" s="27" t="s">
        <v>939</v>
      </c>
      <c r="AA120" s="27" t="s">
        <v>939</v>
      </c>
      <c r="AB120" s="27" t="s">
        <v>939</v>
      </c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7" t="s">
        <v>939</v>
      </c>
      <c r="P121" s="8" t="s">
        <v>939</v>
      </c>
      <c r="Q121" s="8" t="s">
        <v>939</v>
      </c>
      <c r="R121" s="8" t="s">
        <v>939</v>
      </c>
      <c r="S121" s="27" t="s">
        <v>939</v>
      </c>
      <c r="T121" s="27" t="s">
        <v>939</v>
      </c>
      <c r="U121" s="8" t="s">
        <v>939</v>
      </c>
      <c r="V121" s="8" t="s">
        <v>939</v>
      </c>
      <c r="W121" s="8" t="s">
        <v>939</v>
      </c>
      <c r="X121" s="27" t="s">
        <v>939</v>
      </c>
      <c r="Y121" s="27" t="s">
        <v>939</v>
      </c>
      <c r="Z121" s="27" t="s">
        <v>939</v>
      </c>
      <c r="AA121" s="27" t="s">
        <v>939</v>
      </c>
      <c r="AB121" s="27" t="s">
        <v>939</v>
      </c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16</v>
      </c>
      <c r="M122" s="17">
        <f t="shared" si="9"/>
        <v>12</v>
      </c>
      <c r="N122" s="18">
        <f t="shared" si="10"/>
        <v>0.5714285714285714</v>
      </c>
      <c r="O122" s="27"/>
      <c r="P122" s="8" t="s">
        <v>939</v>
      </c>
      <c r="Q122" s="8" t="s">
        <v>939</v>
      </c>
      <c r="R122" s="8"/>
      <c r="S122" s="27"/>
      <c r="T122" s="27"/>
      <c r="U122" s="8" t="s">
        <v>939</v>
      </c>
      <c r="V122" s="8"/>
      <c r="W122" s="8"/>
      <c r="X122" s="27" t="s">
        <v>939</v>
      </c>
      <c r="Y122" s="27"/>
      <c r="Z122" s="27"/>
      <c r="AA122" s="27"/>
      <c r="AB122" s="27" t="s">
        <v>939</v>
      </c>
      <c r="AC122" s="27"/>
      <c r="AD122" s="27" t="s">
        <v>939</v>
      </c>
      <c r="AE122" s="27"/>
      <c r="AF122" s="27"/>
      <c r="AG122" s="27"/>
      <c r="AH122" s="27"/>
      <c r="AI122" s="27"/>
      <c r="AJ122" s="27" t="s">
        <v>939</v>
      </c>
      <c r="AK122" s="8"/>
      <c r="AL122" s="8" t="s">
        <v>939</v>
      </c>
      <c r="AM122" s="8" t="s">
        <v>939</v>
      </c>
      <c r="AN122" s="27" t="s">
        <v>939</v>
      </c>
      <c r="AO122" s="8" t="s">
        <v>939</v>
      </c>
      <c r="AP122" s="8" t="s">
        <v>939</v>
      </c>
      <c r="AQ122" s="27"/>
      <c r="AR122" s="27"/>
      <c r="AS122" s="27"/>
    </row>
    <row r="123" spans="1:45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16</v>
      </c>
      <c r="M123" s="17">
        <f t="shared" si="9"/>
        <v>12</v>
      </c>
      <c r="N123" s="18">
        <f t="shared" si="10"/>
        <v>0.5714285714285714</v>
      </c>
      <c r="O123" s="27"/>
      <c r="P123" s="8" t="s">
        <v>939</v>
      </c>
      <c r="Q123" s="8" t="s">
        <v>939</v>
      </c>
      <c r="R123" s="8"/>
      <c r="S123" s="27"/>
      <c r="T123" s="27"/>
      <c r="U123" s="8" t="s">
        <v>939</v>
      </c>
      <c r="V123" s="8"/>
      <c r="W123" s="8"/>
      <c r="X123" s="27" t="s">
        <v>939</v>
      </c>
      <c r="Y123" s="27"/>
      <c r="Z123" s="27"/>
      <c r="AA123" s="27"/>
      <c r="AB123" s="27" t="s">
        <v>939</v>
      </c>
      <c r="AC123" s="27"/>
      <c r="AD123" s="27" t="s">
        <v>939</v>
      </c>
      <c r="AE123" s="27"/>
      <c r="AF123" s="27"/>
      <c r="AG123" s="27"/>
      <c r="AH123" s="27"/>
      <c r="AI123" s="27"/>
      <c r="AJ123" s="27" t="s">
        <v>939</v>
      </c>
      <c r="AK123" s="8"/>
      <c r="AL123" s="8" t="s">
        <v>939</v>
      </c>
      <c r="AM123" s="8" t="s">
        <v>939</v>
      </c>
      <c r="AN123" s="27" t="s">
        <v>939</v>
      </c>
      <c r="AO123" s="8" t="s">
        <v>939</v>
      </c>
      <c r="AP123" s="8" t="s">
        <v>939</v>
      </c>
      <c r="AQ123" s="27"/>
      <c r="AR123" s="27"/>
      <c r="AS123" s="27"/>
    </row>
    <row r="124" spans="1:45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15</v>
      </c>
      <c r="M129" s="17">
        <f t="shared" si="9"/>
        <v>13</v>
      </c>
      <c r="N129" s="18">
        <f t="shared" si="10"/>
        <v>0.5357142857142857</v>
      </c>
      <c r="O129" s="27"/>
      <c r="P129" s="8"/>
      <c r="Q129" s="8"/>
      <c r="R129" s="8"/>
      <c r="S129" s="27" t="s">
        <v>939</v>
      </c>
      <c r="T129" s="27"/>
      <c r="U129" s="8"/>
      <c r="V129" s="8"/>
      <c r="W129" s="8"/>
      <c r="X129" s="27"/>
      <c r="Y129" s="27" t="s">
        <v>939</v>
      </c>
      <c r="Z129" s="27" t="s">
        <v>939</v>
      </c>
      <c r="AA129" s="27" t="s">
        <v>939</v>
      </c>
      <c r="AB129" s="27" t="s">
        <v>939</v>
      </c>
      <c r="AC129" s="27" t="s">
        <v>939</v>
      </c>
      <c r="AD129" s="27" t="s">
        <v>939</v>
      </c>
      <c r="AE129" s="27" t="s">
        <v>939</v>
      </c>
      <c r="AF129" s="27" t="s">
        <v>939</v>
      </c>
      <c r="AG129" s="27" t="s">
        <v>939</v>
      </c>
      <c r="AH129" s="27" t="s">
        <v>939</v>
      </c>
      <c r="AI129" s="27" t="s">
        <v>939</v>
      </c>
      <c r="AJ129" s="27" t="s">
        <v>939</v>
      </c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16</v>
      </c>
      <c r="M130" s="17">
        <f t="shared" si="9"/>
        <v>12</v>
      </c>
      <c r="N130" s="18">
        <f t="shared" si="10"/>
        <v>0.5714285714285714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 t="s">
        <v>939</v>
      </c>
      <c r="Z130" s="27" t="s">
        <v>939</v>
      </c>
      <c r="AA130" s="27" t="s">
        <v>939</v>
      </c>
      <c r="AB130" s="27" t="s">
        <v>939</v>
      </c>
      <c r="AC130" s="27" t="s">
        <v>939</v>
      </c>
      <c r="AD130" s="27" t="s">
        <v>939</v>
      </c>
      <c r="AE130" s="27" t="s">
        <v>939</v>
      </c>
      <c r="AF130" s="27" t="s">
        <v>939</v>
      </c>
      <c r="AG130" s="27" t="s">
        <v>939</v>
      </c>
      <c r="AH130" s="27" t="s">
        <v>939</v>
      </c>
      <c r="AI130" s="27" t="s">
        <v>939</v>
      </c>
      <c r="AJ130" s="27" t="s">
        <v>939</v>
      </c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0</v>
      </c>
      <c r="M133" s="17">
        <f t="shared" ref="M133:M196" si="12">COUNTIF(O133:AP133,"APAGADO")</f>
        <v>28</v>
      </c>
      <c r="N133" s="18">
        <f t="shared" ref="N133:N196" si="13">(L133)/(M133+L133)</f>
        <v>0</v>
      </c>
      <c r="O133" s="27" t="s">
        <v>939</v>
      </c>
      <c r="P133" s="8" t="s">
        <v>939</v>
      </c>
      <c r="Q133" s="8" t="s">
        <v>939</v>
      </c>
      <c r="R133" s="8" t="s">
        <v>939</v>
      </c>
      <c r="S133" s="27" t="s">
        <v>939</v>
      </c>
      <c r="T133" s="27" t="s">
        <v>939</v>
      </c>
      <c r="U133" s="8" t="s">
        <v>939</v>
      </c>
      <c r="V133" s="8" t="s">
        <v>939</v>
      </c>
      <c r="W133" s="8" t="s">
        <v>939</v>
      </c>
      <c r="X133" s="27" t="s">
        <v>939</v>
      </c>
      <c r="Y133" s="27" t="s">
        <v>939</v>
      </c>
      <c r="Z133" s="27" t="s">
        <v>939</v>
      </c>
      <c r="AA133" s="27" t="s">
        <v>939</v>
      </c>
      <c r="AB133" s="27" t="s">
        <v>939</v>
      </c>
      <c r="AC133" s="27" t="s">
        <v>939</v>
      </c>
      <c r="AD133" s="27" t="s">
        <v>939</v>
      </c>
      <c r="AE133" s="27" t="s">
        <v>939</v>
      </c>
      <c r="AF133" s="27" t="s">
        <v>939</v>
      </c>
      <c r="AG133" s="27" t="s">
        <v>939</v>
      </c>
      <c r="AH133" s="27" t="s">
        <v>939</v>
      </c>
      <c r="AI133" s="27" t="s">
        <v>939</v>
      </c>
      <c r="AJ133" s="27" t="s">
        <v>939</v>
      </c>
      <c r="AK133" s="8" t="s">
        <v>939</v>
      </c>
      <c r="AL133" s="8" t="s">
        <v>939</v>
      </c>
      <c r="AM133" s="8" t="s">
        <v>939</v>
      </c>
      <c r="AN133" s="27" t="s">
        <v>939</v>
      </c>
      <c r="AO133" s="8" t="s">
        <v>939</v>
      </c>
      <c r="AP133" s="8" t="s">
        <v>939</v>
      </c>
      <c r="AQ133" s="27"/>
      <c r="AR133" s="27"/>
      <c r="AS133" s="27"/>
    </row>
    <row r="134" spans="1:45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/>
      <c r="S134" s="27" t="s">
        <v>939</v>
      </c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23</v>
      </c>
      <c r="M136" s="17">
        <f t="shared" si="12"/>
        <v>5</v>
      </c>
      <c r="N136" s="18">
        <f t="shared" si="13"/>
        <v>0.8214285714285714</v>
      </c>
      <c r="O136" s="27" t="s">
        <v>939</v>
      </c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 t="s">
        <v>939</v>
      </c>
      <c r="AN136" s="27" t="s">
        <v>939</v>
      </c>
      <c r="AO136" s="8" t="s">
        <v>939</v>
      </c>
      <c r="AP136" s="8" t="s">
        <v>939</v>
      </c>
      <c r="AQ136" s="27"/>
      <c r="AR136" s="27"/>
      <c r="AS136" s="27"/>
    </row>
    <row r="137" spans="1:45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7" t="s">
        <v>939</v>
      </c>
      <c r="P137" s="8" t="s">
        <v>939</v>
      </c>
      <c r="Q137" s="8" t="s">
        <v>939</v>
      </c>
      <c r="R137" s="8" t="s">
        <v>939</v>
      </c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16</v>
      </c>
      <c r="M138" s="17">
        <f t="shared" si="12"/>
        <v>12</v>
      </c>
      <c r="N138" s="18">
        <f t="shared" si="13"/>
        <v>0.5714285714285714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 t="s">
        <v>939</v>
      </c>
      <c r="Z138" s="27" t="s">
        <v>939</v>
      </c>
      <c r="AA138" s="27" t="s">
        <v>939</v>
      </c>
      <c r="AB138" s="27" t="s">
        <v>939</v>
      </c>
      <c r="AC138" s="27" t="s">
        <v>939</v>
      </c>
      <c r="AD138" s="27" t="s">
        <v>939</v>
      </c>
      <c r="AE138" s="27" t="s">
        <v>939</v>
      </c>
      <c r="AF138" s="27" t="s">
        <v>939</v>
      </c>
      <c r="AG138" s="27" t="s">
        <v>939</v>
      </c>
      <c r="AH138" s="27" t="s">
        <v>939</v>
      </c>
      <c r="AI138" s="27" t="s">
        <v>939</v>
      </c>
      <c r="AJ138" s="27" t="s">
        <v>939</v>
      </c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16</v>
      </c>
      <c r="M139" s="17">
        <f t="shared" si="12"/>
        <v>12</v>
      </c>
      <c r="N139" s="18">
        <f t="shared" si="13"/>
        <v>0.5714285714285714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 t="s">
        <v>939</v>
      </c>
      <c r="Z139" s="27" t="s">
        <v>939</v>
      </c>
      <c r="AA139" s="27" t="s">
        <v>939</v>
      </c>
      <c r="AB139" s="27" t="s">
        <v>939</v>
      </c>
      <c r="AC139" s="27" t="s">
        <v>939</v>
      </c>
      <c r="AD139" s="27" t="s">
        <v>939</v>
      </c>
      <c r="AE139" s="27" t="s">
        <v>939</v>
      </c>
      <c r="AF139" s="27" t="s">
        <v>939</v>
      </c>
      <c r="AG139" s="27" t="s">
        <v>939</v>
      </c>
      <c r="AH139" s="27" t="s">
        <v>939</v>
      </c>
      <c r="AI139" s="27" t="s">
        <v>939</v>
      </c>
      <c r="AJ139" s="27" t="s">
        <v>939</v>
      </c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16</v>
      </c>
      <c r="M140" s="17">
        <f t="shared" si="12"/>
        <v>12</v>
      </c>
      <c r="N140" s="18">
        <f t="shared" si="13"/>
        <v>0.5714285714285714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 t="s">
        <v>939</v>
      </c>
      <c r="Z140" s="27" t="s">
        <v>939</v>
      </c>
      <c r="AA140" s="27" t="s">
        <v>939</v>
      </c>
      <c r="AB140" s="27" t="s">
        <v>939</v>
      </c>
      <c r="AC140" s="27" t="s">
        <v>939</v>
      </c>
      <c r="AD140" s="27" t="s">
        <v>939</v>
      </c>
      <c r="AE140" s="27" t="s">
        <v>939</v>
      </c>
      <c r="AF140" s="27" t="s">
        <v>939</v>
      </c>
      <c r="AG140" s="27" t="s">
        <v>939</v>
      </c>
      <c r="AH140" s="27" t="s">
        <v>939</v>
      </c>
      <c r="AI140" s="27" t="s">
        <v>939</v>
      </c>
      <c r="AJ140" s="27" t="s">
        <v>939</v>
      </c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15</v>
      </c>
      <c r="M141" s="17">
        <f t="shared" si="12"/>
        <v>13</v>
      </c>
      <c r="N141" s="18">
        <f t="shared" si="13"/>
        <v>0.5357142857142857</v>
      </c>
      <c r="O141" s="27"/>
      <c r="P141" s="8"/>
      <c r="Q141" s="8"/>
      <c r="R141" s="8"/>
      <c r="S141" s="27" t="s">
        <v>939</v>
      </c>
      <c r="T141" s="27"/>
      <c r="U141" s="8"/>
      <c r="V141" s="8"/>
      <c r="W141" s="8"/>
      <c r="X141" s="27"/>
      <c r="Y141" s="27" t="s">
        <v>939</v>
      </c>
      <c r="Z141" s="27" t="s">
        <v>939</v>
      </c>
      <c r="AA141" s="27" t="s">
        <v>939</v>
      </c>
      <c r="AB141" s="27" t="s">
        <v>939</v>
      </c>
      <c r="AC141" s="27" t="s">
        <v>939</v>
      </c>
      <c r="AD141" s="27" t="s">
        <v>939</v>
      </c>
      <c r="AE141" s="27" t="s">
        <v>939</v>
      </c>
      <c r="AF141" s="27" t="s">
        <v>939</v>
      </c>
      <c r="AG141" s="27" t="s">
        <v>939</v>
      </c>
      <c r="AH141" s="27" t="s">
        <v>939</v>
      </c>
      <c r="AI141" s="27" t="s">
        <v>939</v>
      </c>
      <c r="AJ141" s="27" t="s">
        <v>939</v>
      </c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26</v>
      </c>
      <c r="M142" s="17">
        <f t="shared" si="12"/>
        <v>2</v>
      </c>
      <c r="N142" s="18">
        <f t="shared" si="13"/>
        <v>0.9285714285714286</v>
      </c>
      <c r="O142" s="27"/>
      <c r="P142" s="8"/>
      <c r="Q142" s="8"/>
      <c r="R142" s="8"/>
      <c r="S142" s="27"/>
      <c r="T142" s="27"/>
      <c r="U142" s="8"/>
      <c r="V142" s="8"/>
      <c r="W142" s="8" t="s">
        <v>939</v>
      </c>
      <c r="X142" s="27"/>
      <c r="Y142" s="27"/>
      <c r="Z142" s="27"/>
      <c r="AA142" s="27"/>
      <c r="AB142" s="27"/>
      <c r="AC142" s="27"/>
      <c r="AD142" s="27"/>
      <c r="AE142" s="27"/>
      <c r="AF142" s="27"/>
      <c r="AG142" s="27" t="s">
        <v>939</v>
      </c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7"/>
      <c r="P143" s="8"/>
      <c r="Q143" s="8"/>
      <c r="R143" s="8"/>
      <c r="S143" s="27"/>
      <c r="T143" s="27"/>
      <c r="U143" s="8"/>
      <c r="V143" s="8"/>
      <c r="W143" s="8" t="s">
        <v>939</v>
      </c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7"/>
      <c r="P144" s="8"/>
      <c r="Q144" s="8"/>
      <c r="R144" s="8"/>
      <c r="S144" s="27"/>
      <c r="T144" s="27"/>
      <c r="U144" s="8"/>
      <c r="V144" s="8" t="s">
        <v>939</v>
      </c>
      <c r="W144" s="8" t="s">
        <v>939</v>
      </c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C145" s="45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7"/>
      <c r="P146" s="8"/>
      <c r="Q146" s="8"/>
      <c r="R146" s="8" t="s">
        <v>939</v>
      </c>
      <c r="S146" s="27" t="s">
        <v>939</v>
      </c>
      <c r="T146" s="27" t="s">
        <v>939</v>
      </c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7" t="s">
        <v>939</v>
      </c>
      <c r="P149" s="8" t="s">
        <v>939</v>
      </c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7" t="s">
        <v>939</v>
      </c>
      <c r="P150" s="8" t="s">
        <v>939</v>
      </c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7" t="s">
        <v>939</v>
      </c>
      <c r="P151" s="8" t="s">
        <v>939</v>
      </c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8</v>
      </c>
      <c r="M153" s="17">
        <f t="shared" si="12"/>
        <v>20</v>
      </c>
      <c r="N153" s="18">
        <f t="shared" si="13"/>
        <v>0.2857142857142857</v>
      </c>
      <c r="O153" s="27"/>
      <c r="P153" s="8"/>
      <c r="Q153" s="8"/>
      <c r="R153" s="8"/>
      <c r="S153" s="27"/>
      <c r="T153" s="27"/>
      <c r="U153" s="8"/>
      <c r="V153" s="8" t="s">
        <v>939</v>
      </c>
      <c r="W153" s="8" t="s">
        <v>939</v>
      </c>
      <c r="X153" s="27" t="s">
        <v>939</v>
      </c>
      <c r="Y153" s="27" t="s">
        <v>939</v>
      </c>
      <c r="Z153" s="27" t="s">
        <v>939</v>
      </c>
      <c r="AA153" s="27" t="s">
        <v>939</v>
      </c>
      <c r="AB153" s="27" t="s">
        <v>939</v>
      </c>
      <c r="AC153" s="27" t="s">
        <v>939</v>
      </c>
      <c r="AD153" s="27" t="s">
        <v>939</v>
      </c>
      <c r="AE153" s="27" t="s">
        <v>939</v>
      </c>
      <c r="AF153" s="27" t="s">
        <v>939</v>
      </c>
      <c r="AG153" s="27" t="s">
        <v>939</v>
      </c>
      <c r="AH153" s="27" t="s">
        <v>939</v>
      </c>
      <c r="AI153" s="27" t="s">
        <v>939</v>
      </c>
      <c r="AJ153" s="27" t="s">
        <v>939</v>
      </c>
      <c r="AK153" s="8" t="s">
        <v>939</v>
      </c>
      <c r="AL153" s="8" t="s">
        <v>939</v>
      </c>
      <c r="AM153" s="8" t="s">
        <v>939</v>
      </c>
      <c r="AN153" s="27"/>
      <c r="AO153" s="8" t="s">
        <v>939</v>
      </c>
      <c r="AP153" s="8" t="s">
        <v>939</v>
      </c>
      <c r="AQ153" s="27"/>
      <c r="AR153" s="27"/>
      <c r="AS153" s="27"/>
    </row>
    <row r="154" spans="1:45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 t="s">
        <v>939</v>
      </c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26</v>
      </c>
      <c r="M155" s="17">
        <f t="shared" si="12"/>
        <v>2</v>
      </c>
      <c r="N155" s="18">
        <f t="shared" si="13"/>
        <v>0.9285714285714286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 t="s">
        <v>939</v>
      </c>
      <c r="AF155" s="27"/>
      <c r="AG155" s="27" t="s">
        <v>939</v>
      </c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1</v>
      </c>
      <c r="M156" s="17">
        <f t="shared" si="12"/>
        <v>27</v>
      </c>
      <c r="N156" s="18">
        <f t="shared" si="13"/>
        <v>3.5714285714285712E-2</v>
      </c>
      <c r="O156" s="27"/>
      <c r="P156" s="8" t="s">
        <v>939</v>
      </c>
      <c r="Q156" s="8" t="s">
        <v>939</v>
      </c>
      <c r="R156" s="8" t="s">
        <v>939</v>
      </c>
      <c r="S156" s="27" t="s">
        <v>939</v>
      </c>
      <c r="T156" s="27" t="s">
        <v>939</v>
      </c>
      <c r="U156" s="8" t="s">
        <v>939</v>
      </c>
      <c r="V156" s="8" t="s">
        <v>939</v>
      </c>
      <c r="W156" s="8" t="s">
        <v>939</v>
      </c>
      <c r="X156" s="27" t="s">
        <v>939</v>
      </c>
      <c r="Y156" s="27" t="s">
        <v>939</v>
      </c>
      <c r="Z156" s="27" t="s">
        <v>939</v>
      </c>
      <c r="AA156" s="27" t="s">
        <v>939</v>
      </c>
      <c r="AB156" s="27" t="s">
        <v>939</v>
      </c>
      <c r="AC156" s="27" t="s">
        <v>939</v>
      </c>
      <c r="AD156" s="27" t="s">
        <v>939</v>
      </c>
      <c r="AE156" s="27" t="s">
        <v>939</v>
      </c>
      <c r="AF156" s="27" t="s">
        <v>939</v>
      </c>
      <c r="AG156" s="27" t="s">
        <v>939</v>
      </c>
      <c r="AH156" s="27" t="s">
        <v>939</v>
      </c>
      <c r="AI156" s="27" t="s">
        <v>939</v>
      </c>
      <c r="AJ156" s="27" t="s">
        <v>939</v>
      </c>
      <c r="AK156" s="8" t="s">
        <v>939</v>
      </c>
      <c r="AL156" s="8" t="s">
        <v>939</v>
      </c>
      <c r="AM156" s="8" t="s">
        <v>939</v>
      </c>
      <c r="AN156" s="27" t="s">
        <v>939</v>
      </c>
      <c r="AO156" s="8" t="s">
        <v>939</v>
      </c>
      <c r="AP156" s="8" t="s">
        <v>939</v>
      </c>
      <c r="AQ156" s="27"/>
      <c r="AR156" s="27"/>
      <c r="AS156" s="27"/>
    </row>
    <row r="157" spans="1:45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 t="s">
        <v>939</v>
      </c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7</v>
      </c>
      <c r="M159" s="17">
        <f t="shared" si="12"/>
        <v>21</v>
      </c>
      <c r="N159" s="18">
        <f t="shared" si="13"/>
        <v>0.25</v>
      </c>
      <c r="O159" s="27" t="s">
        <v>939</v>
      </c>
      <c r="P159" s="8" t="s">
        <v>939</v>
      </c>
      <c r="Q159" s="8" t="s">
        <v>939</v>
      </c>
      <c r="R159" s="8" t="s">
        <v>939</v>
      </c>
      <c r="S159" s="27" t="s">
        <v>939</v>
      </c>
      <c r="T159" s="27" t="s">
        <v>939</v>
      </c>
      <c r="U159" s="8" t="s">
        <v>939</v>
      </c>
      <c r="V159" s="8"/>
      <c r="W159" s="8" t="s">
        <v>939</v>
      </c>
      <c r="X159" s="27" t="s">
        <v>939</v>
      </c>
      <c r="Y159" s="27" t="s">
        <v>939</v>
      </c>
      <c r="Z159" s="27" t="s">
        <v>939</v>
      </c>
      <c r="AA159" s="27" t="s">
        <v>939</v>
      </c>
      <c r="AB159" s="27" t="s">
        <v>939</v>
      </c>
      <c r="AC159" s="27"/>
      <c r="AD159" s="27" t="s">
        <v>939</v>
      </c>
      <c r="AE159" s="27" t="s">
        <v>939</v>
      </c>
      <c r="AF159" s="27" t="s">
        <v>939</v>
      </c>
      <c r="AG159" s="27" t="s">
        <v>939</v>
      </c>
      <c r="AH159" s="27" t="s">
        <v>939</v>
      </c>
      <c r="AI159" s="27" t="s">
        <v>939</v>
      </c>
      <c r="AJ159" s="27" t="s">
        <v>939</v>
      </c>
      <c r="AK159" s="8"/>
      <c r="AL159" s="8" t="s">
        <v>939</v>
      </c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C160" s="45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14</v>
      </c>
      <c r="M160" s="17">
        <f t="shared" si="12"/>
        <v>14</v>
      </c>
      <c r="N160" s="18">
        <f t="shared" si="13"/>
        <v>0.5</v>
      </c>
      <c r="O160" s="27"/>
      <c r="P160" s="8" t="s">
        <v>939</v>
      </c>
      <c r="Q160" s="8" t="s">
        <v>939</v>
      </c>
      <c r="R160" s="8" t="s">
        <v>939</v>
      </c>
      <c r="S160" s="27" t="s">
        <v>939</v>
      </c>
      <c r="T160" s="27" t="s">
        <v>939</v>
      </c>
      <c r="U160" s="8" t="s">
        <v>939</v>
      </c>
      <c r="V160" s="8" t="s">
        <v>939</v>
      </c>
      <c r="W160" s="8" t="s">
        <v>939</v>
      </c>
      <c r="X160" s="27" t="s">
        <v>939</v>
      </c>
      <c r="Y160" s="27" t="s">
        <v>939</v>
      </c>
      <c r="Z160" s="27" t="s">
        <v>939</v>
      </c>
      <c r="AA160" s="27"/>
      <c r="AB160" s="27" t="s">
        <v>939</v>
      </c>
      <c r="AC160" s="27" t="s">
        <v>939</v>
      </c>
      <c r="AD160" s="27"/>
      <c r="AE160" s="27"/>
      <c r="AF160" s="27"/>
      <c r="AG160" s="27"/>
      <c r="AH160" s="27"/>
      <c r="AI160" s="27"/>
      <c r="AJ160" s="27"/>
      <c r="AK160" s="8"/>
      <c r="AL160" s="8" t="s">
        <v>939</v>
      </c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 t="s">
        <v>939</v>
      </c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7"/>
      <c r="P163" s="8" t="s">
        <v>939</v>
      </c>
      <c r="Q163" s="8" t="s">
        <v>939</v>
      </c>
      <c r="R163" s="8" t="s">
        <v>939</v>
      </c>
      <c r="S163" s="27" t="s">
        <v>939</v>
      </c>
      <c r="T163" s="27" t="s">
        <v>939</v>
      </c>
      <c r="U163" s="8" t="s">
        <v>939</v>
      </c>
      <c r="V163" s="8" t="s">
        <v>939</v>
      </c>
      <c r="W163" s="8" t="s">
        <v>939</v>
      </c>
      <c r="X163" s="27" t="s">
        <v>939</v>
      </c>
      <c r="Y163" s="27" t="s">
        <v>939</v>
      </c>
      <c r="Z163" s="27" t="s">
        <v>939</v>
      </c>
      <c r="AA163" s="27" t="s">
        <v>939</v>
      </c>
      <c r="AB163" s="27" t="s">
        <v>939</v>
      </c>
      <c r="AC163" s="27" t="s">
        <v>939</v>
      </c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7"/>
      <c r="P164" s="8" t="s">
        <v>939</v>
      </c>
      <c r="Q164" s="8" t="s">
        <v>939</v>
      </c>
      <c r="R164" s="8" t="s">
        <v>939</v>
      </c>
      <c r="S164" s="27" t="s">
        <v>939</v>
      </c>
      <c r="T164" s="27" t="s">
        <v>939</v>
      </c>
      <c r="U164" s="8" t="s">
        <v>939</v>
      </c>
      <c r="V164" s="8" t="s">
        <v>939</v>
      </c>
      <c r="W164" s="8" t="s">
        <v>939</v>
      </c>
      <c r="X164" s="27" t="s">
        <v>939</v>
      </c>
      <c r="Y164" s="27" t="s">
        <v>939</v>
      </c>
      <c r="Z164" s="27" t="s">
        <v>939</v>
      </c>
      <c r="AA164" s="27" t="s">
        <v>939</v>
      </c>
      <c r="AB164" s="27" t="s">
        <v>939</v>
      </c>
      <c r="AC164" s="27" t="s">
        <v>939</v>
      </c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7"/>
      <c r="P166" s="8"/>
      <c r="Q166" s="8"/>
      <c r="R166" s="8"/>
      <c r="S166" s="27" t="s">
        <v>939</v>
      </c>
      <c r="T166" s="27" t="s">
        <v>939</v>
      </c>
      <c r="U166" s="8" t="s">
        <v>939</v>
      </c>
      <c r="V166" s="8" t="s">
        <v>939</v>
      </c>
      <c r="W166" s="8" t="s">
        <v>939</v>
      </c>
      <c r="X166" s="27" t="s">
        <v>939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15</v>
      </c>
      <c r="M169" s="17">
        <f t="shared" si="12"/>
        <v>13</v>
      </c>
      <c r="N169" s="18">
        <f t="shared" si="13"/>
        <v>0.5357142857142857</v>
      </c>
      <c r="O169" s="27"/>
      <c r="P169" s="8" t="s">
        <v>939</v>
      </c>
      <c r="Q169" s="8" t="s">
        <v>939</v>
      </c>
      <c r="R169" s="8" t="s">
        <v>939</v>
      </c>
      <c r="S169" s="27" t="s">
        <v>939</v>
      </c>
      <c r="T169" s="27" t="s">
        <v>939</v>
      </c>
      <c r="U169" s="8" t="s">
        <v>939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 t="s">
        <v>939</v>
      </c>
      <c r="AK169" s="8" t="s">
        <v>939</v>
      </c>
      <c r="AL169" s="8" t="s">
        <v>939</v>
      </c>
      <c r="AM169" s="8" t="s">
        <v>939</v>
      </c>
      <c r="AN169" s="27" t="s">
        <v>939</v>
      </c>
      <c r="AO169" s="8" t="s">
        <v>939</v>
      </c>
      <c r="AP169" s="8" t="s">
        <v>939</v>
      </c>
      <c r="AQ169" s="27"/>
      <c r="AR169" s="27"/>
      <c r="AS169" s="27"/>
    </row>
    <row r="170" spans="1:45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7</v>
      </c>
      <c r="M171" s="17">
        <f t="shared" si="12"/>
        <v>21</v>
      </c>
      <c r="N171" s="18">
        <f t="shared" si="13"/>
        <v>0.25</v>
      </c>
      <c r="O171" s="27" t="s">
        <v>939</v>
      </c>
      <c r="P171" s="8" t="s">
        <v>939</v>
      </c>
      <c r="Q171" s="8" t="s">
        <v>939</v>
      </c>
      <c r="R171" s="8" t="s">
        <v>939</v>
      </c>
      <c r="S171" s="27" t="s">
        <v>939</v>
      </c>
      <c r="T171" s="27" t="s">
        <v>939</v>
      </c>
      <c r="U171" s="8" t="s">
        <v>939</v>
      </c>
      <c r="V171" s="8" t="s">
        <v>939</v>
      </c>
      <c r="W171" s="8"/>
      <c r="X171" s="27"/>
      <c r="Y171" s="27"/>
      <c r="Z171" s="27" t="s">
        <v>939</v>
      </c>
      <c r="AA171" s="27" t="s">
        <v>939</v>
      </c>
      <c r="AB171" s="27" t="s">
        <v>939</v>
      </c>
      <c r="AC171" s="27" t="s">
        <v>939</v>
      </c>
      <c r="AD171" s="27" t="s">
        <v>939</v>
      </c>
      <c r="AE171" s="27" t="s">
        <v>939</v>
      </c>
      <c r="AF171" s="27"/>
      <c r="AG171" s="27"/>
      <c r="AH171" s="27"/>
      <c r="AI171" s="27"/>
      <c r="AJ171" s="27" t="s">
        <v>939</v>
      </c>
      <c r="AK171" s="8" t="s">
        <v>939</v>
      </c>
      <c r="AL171" s="8" t="s">
        <v>939</v>
      </c>
      <c r="AM171" s="8" t="s">
        <v>939</v>
      </c>
      <c r="AN171" s="27" t="s">
        <v>939</v>
      </c>
      <c r="AO171" s="8" t="s">
        <v>939</v>
      </c>
      <c r="AP171" s="8" t="s">
        <v>939</v>
      </c>
      <c r="AQ171" s="27"/>
      <c r="AR171" s="27"/>
      <c r="AS171" s="27"/>
    </row>
    <row r="172" spans="1:45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21</v>
      </c>
      <c r="M173" s="17">
        <f t="shared" si="12"/>
        <v>7</v>
      </c>
      <c r="N173" s="18">
        <f t="shared" si="13"/>
        <v>0.75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 t="s">
        <v>939</v>
      </c>
      <c r="AK173" s="8" t="s">
        <v>939</v>
      </c>
      <c r="AL173" s="8" t="s">
        <v>939</v>
      </c>
      <c r="AM173" s="8" t="s">
        <v>939</v>
      </c>
      <c r="AN173" s="27" t="s">
        <v>939</v>
      </c>
      <c r="AO173" s="8" t="s">
        <v>939</v>
      </c>
      <c r="AP173" s="8" t="s">
        <v>939</v>
      </c>
      <c r="AQ173" s="27"/>
      <c r="AR173" s="27"/>
      <c r="AS173" s="27"/>
    </row>
    <row r="174" spans="1:45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11</v>
      </c>
      <c r="M174" s="17">
        <f t="shared" si="12"/>
        <v>17</v>
      </c>
      <c r="N174" s="18">
        <f t="shared" si="13"/>
        <v>0.39285714285714285</v>
      </c>
      <c r="O174" s="27" t="s">
        <v>939</v>
      </c>
      <c r="P174" s="8" t="s">
        <v>939</v>
      </c>
      <c r="Q174" s="8" t="s">
        <v>939</v>
      </c>
      <c r="R174" s="8" t="s">
        <v>939</v>
      </c>
      <c r="S174" s="27"/>
      <c r="T174" s="27" t="s">
        <v>939</v>
      </c>
      <c r="U174" s="8" t="s">
        <v>939</v>
      </c>
      <c r="V174" s="8" t="s">
        <v>939</v>
      </c>
      <c r="W174" s="8" t="s">
        <v>939</v>
      </c>
      <c r="X174" s="27" t="s">
        <v>939</v>
      </c>
      <c r="Y174" s="27"/>
      <c r="Z174" s="27"/>
      <c r="AA174" s="27"/>
      <c r="AB174" s="27"/>
      <c r="AC174" s="27"/>
      <c r="AD174" s="27" t="s">
        <v>939</v>
      </c>
      <c r="AE174" s="27"/>
      <c r="AF174" s="27"/>
      <c r="AG174" s="27"/>
      <c r="AH174" s="27"/>
      <c r="AI174" s="27"/>
      <c r="AJ174" s="27" t="s">
        <v>939</v>
      </c>
      <c r="AK174" s="8" t="s">
        <v>939</v>
      </c>
      <c r="AL174" s="8" t="s">
        <v>939</v>
      </c>
      <c r="AM174" s="8" t="s">
        <v>939</v>
      </c>
      <c r="AN174" s="27" t="s">
        <v>939</v>
      </c>
      <c r="AO174" s="8" t="s">
        <v>939</v>
      </c>
      <c r="AP174" s="8" t="s">
        <v>939</v>
      </c>
      <c r="AQ174" s="27"/>
      <c r="AR174" s="27"/>
      <c r="AS174" s="27"/>
    </row>
    <row r="175" spans="1:45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17</v>
      </c>
      <c r="M180" s="17">
        <f t="shared" si="12"/>
        <v>11</v>
      </c>
      <c r="N180" s="18">
        <f t="shared" si="13"/>
        <v>0.6071428571428571</v>
      </c>
      <c r="O180" s="27" t="s">
        <v>939</v>
      </c>
      <c r="P180" s="8"/>
      <c r="Q180" s="8"/>
      <c r="R180" s="8" t="s">
        <v>939</v>
      </c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 t="s">
        <v>939</v>
      </c>
      <c r="AE180" s="27"/>
      <c r="AF180" s="27"/>
      <c r="AG180" s="27"/>
      <c r="AH180" s="27"/>
      <c r="AI180" s="27" t="s">
        <v>939</v>
      </c>
      <c r="AJ180" s="27" t="s">
        <v>939</v>
      </c>
      <c r="AK180" s="8" t="s">
        <v>939</v>
      </c>
      <c r="AL180" s="8" t="s">
        <v>939</v>
      </c>
      <c r="AM180" s="8" t="s">
        <v>939</v>
      </c>
      <c r="AN180" s="27" t="s">
        <v>939</v>
      </c>
      <c r="AO180" s="8" t="s">
        <v>939</v>
      </c>
      <c r="AP180" s="8" t="s">
        <v>939</v>
      </c>
      <c r="AQ180" s="27"/>
      <c r="AR180" s="27"/>
      <c r="AS180" s="27"/>
    </row>
    <row r="181" spans="1:45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7"/>
      <c r="P182" s="8"/>
      <c r="Q182" s="8"/>
      <c r="R182" s="8"/>
      <c r="S182" s="27"/>
      <c r="T182" s="27"/>
      <c r="U182" s="8"/>
      <c r="V182" s="8"/>
      <c r="W182" s="8" t="s">
        <v>939</v>
      </c>
      <c r="X182" s="27" t="s">
        <v>939</v>
      </c>
      <c r="Y182" s="27" t="s">
        <v>939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0</v>
      </c>
      <c r="M191" s="17">
        <f t="shared" si="12"/>
        <v>28</v>
      </c>
      <c r="N191" s="18">
        <f t="shared" si="13"/>
        <v>0</v>
      </c>
      <c r="O191" s="27" t="s">
        <v>939</v>
      </c>
      <c r="P191" s="8" t="s">
        <v>939</v>
      </c>
      <c r="Q191" s="8" t="s">
        <v>939</v>
      </c>
      <c r="R191" s="8" t="s">
        <v>939</v>
      </c>
      <c r="S191" s="27" t="s">
        <v>939</v>
      </c>
      <c r="T191" s="27" t="s">
        <v>939</v>
      </c>
      <c r="U191" s="8" t="s">
        <v>939</v>
      </c>
      <c r="V191" s="8" t="s">
        <v>939</v>
      </c>
      <c r="W191" s="8" t="s">
        <v>939</v>
      </c>
      <c r="X191" s="27" t="s">
        <v>939</v>
      </c>
      <c r="Y191" s="27" t="s">
        <v>939</v>
      </c>
      <c r="Z191" s="27" t="s">
        <v>939</v>
      </c>
      <c r="AA191" s="27" t="s">
        <v>939</v>
      </c>
      <c r="AB191" s="27" t="s">
        <v>939</v>
      </c>
      <c r="AC191" s="27" t="s">
        <v>939</v>
      </c>
      <c r="AD191" s="27" t="s">
        <v>939</v>
      </c>
      <c r="AE191" s="27" t="s">
        <v>939</v>
      </c>
      <c r="AF191" s="27" t="s">
        <v>939</v>
      </c>
      <c r="AG191" s="27" t="s">
        <v>939</v>
      </c>
      <c r="AH191" s="27" t="s">
        <v>939</v>
      </c>
      <c r="AI191" s="27" t="s">
        <v>939</v>
      </c>
      <c r="AJ191" s="27" t="s">
        <v>939</v>
      </c>
      <c r="AK191" s="8" t="s">
        <v>939</v>
      </c>
      <c r="AL191" s="8" t="s">
        <v>939</v>
      </c>
      <c r="AM191" s="8" t="s">
        <v>939</v>
      </c>
      <c r="AN191" s="27" t="s">
        <v>939</v>
      </c>
      <c r="AO191" s="8" t="s">
        <v>939</v>
      </c>
      <c r="AP191" s="8" t="s">
        <v>939</v>
      </c>
      <c r="AQ191" s="27"/>
      <c r="AR191" s="27"/>
      <c r="AS191" s="27"/>
    </row>
    <row r="192" spans="1:45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0</v>
      </c>
      <c r="M192" s="17">
        <f t="shared" si="12"/>
        <v>28</v>
      </c>
      <c r="N192" s="18">
        <f t="shared" si="13"/>
        <v>0</v>
      </c>
      <c r="O192" s="27" t="s">
        <v>939</v>
      </c>
      <c r="P192" s="8" t="s">
        <v>939</v>
      </c>
      <c r="Q192" s="8" t="s">
        <v>939</v>
      </c>
      <c r="R192" s="8" t="s">
        <v>939</v>
      </c>
      <c r="S192" s="27" t="s">
        <v>939</v>
      </c>
      <c r="T192" s="27" t="s">
        <v>939</v>
      </c>
      <c r="U192" s="8" t="s">
        <v>939</v>
      </c>
      <c r="V192" s="8" t="s">
        <v>939</v>
      </c>
      <c r="W192" s="8" t="s">
        <v>939</v>
      </c>
      <c r="X192" s="27" t="s">
        <v>939</v>
      </c>
      <c r="Y192" s="27" t="s">
        <v>939</v>
      </c>
      <c r="Z192" s="27" t="s">
        <v>939</v>
      </c>
      <c r="AA192" s="27" t="s">
        <v>939</v>
      </c>
      <c r="AB192" s="27" t="s">
        <v>939</v>
      </c>
      <c r="AC192" s="27" t="s">
        <v>939</v>
      </c>
      <c r="AD192" s="27" t="s">
        <v>939</v>
      </c>
      <c r="AE192" s="27" t="s">
        <v>939</v>
      </c>
      <c r="AF192" s="27" t="s">
        <v>939</v>
      </c>
      <c r="AG192" s="27" t="s">
        <v>939</v>
      </c>
      <c r="AH192" s="27" t="s">
        <v>939</v>
      </c>
      <c r="AI192" s="27" t="s">
        <v>939</v>
      </c>
      <c r="AJ192" s="27" t="s">
        <v>939</v>
      </c>
      <c r="AK192" s="8" t="s">
        <v>939</v>
      </c>
      <c r="AL192" s="8" t="s">
        <v>939</v>
      </c>
      <c r="AM192" s="8" t="s">
        <v>939</v>
      </c>
      <c r="AN192" s="27" t="s">
        <v>939</v>
      </c>
      <c r="AO192" s="8" t="s">
        <v>939</v>
      </c>
      <c r="AP192" s="8" t="s">
        <v>939</v>
      </c>
      <c r="AQ192" s="27"/>
      <c r="AR192" s="27"/>
      <c r="AS192" s="27"/>
    </row>
    <row r="193" spans="1:45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8</v>
      </c>
      <c r="M193" s="17">
        <f t="shared" si="12"/>
        <v>20</v>
      </c>
      <c r="N193" s="18">
        <f t="shared" si="13"/>
        <v>0.2857142857142857</v>
      </c>
      <c r="O193" s="27" t="s">
        <v>939</v>
      </c>
      <c r="P193" s="8" t="s">
        <v>939</v>
      </c>
      <c r="Q193" s="8" t="s">
        <v>939</v>
      </c>
      <c r="R193" s="8" t="s">
        <v>939</v>
      </c>
      <c r="S193" s="27" t="s">
        <v>939</v>
      </c>
      <c r="T193" s="27" t="s">
        <v>939</v>
      </c>
      <c r="U193" s="8" t="s">
        <v>939</v>
      </c>
      <c r="V193" s="8" t="s">
        <v>939</v>
      </c>
      <c r="W193" s="8" t="s">
        <v>939</v>
      </c>
      <c r="X193" s="27" t="s">
        <v>939</v>
      </c>
      <c r="Y193" s="27" t="s">
        <v>939</v>
      </c>
      <c r="Z193" s="27" t="s">
        <v>939</v>
      </c>
      <c r="AA193" s="27" t="s">
        <v>939</v>
      </c>
      <c r="AB193" s="27" t="s">
        <v>939</v>
      </c>
      <c r="AC193" s="27" t="s">
        <v>939</v>
      </c>
      <c r="AD193" s="27" t="s">
        <v>939</v>
      </c>
      <c r="AE193" s="27"/>
      <c r="AF193" s="27" t="s">
        <v>939</v>
      </c>
      <c r="AG193" s="27"/>
      <c r="AH193" s="27"/>
      <c r="AI193" s="27"/>
      <c r="AJ193" s="27" t="s">
        <v>939</v>
      </c>
      <c r="AK193" s="8" t="s">
        <v>939</v>
      </c>
      <c r="AL193" s="8"/>
      <c r="AM193" s="8"/>
      <c r="AN193" s="27"/>
      <c r="AO193" s="8"/>
      <c r="AP193" s="8" t="s">
        <v>939</v>
      </c>
      <c r="AQ193" s="27"/>
      <c r="AR193" s="27"/>
      <c r="AS193" s="27"/>
    </row>
    <row r="194" spans="1:45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9</v>
      </c>
      <c r="M194" s="17">
        <f t="shared" si="12"/>
        <v>19</v>
      </c>
      <c r="N194" s="18">
        <f t="shared" si="13"/>
        <v>0.32142857142857145</v>
      </c>
      <c r="O194" s="27" t="s">
        <v>939</v>
      </c>
      <c r="P194" s="8" t="s">
        <v>939</v>
      </c>
      <c r="Q194" s="8" t="s">
        <v>939</v>
      </c>
      <c r="R194" s="8" t="s">
        <v>939</v>
      </c>
      <c r="S194" s="27" t="s">
        <v>939</v>
      </c>
      <c r="T194" s="27" t="s">
        <v>939</v>
      </c>
      <c r="U194" s="8" t="s">
        <v>939</v>
      </c>
      <c r="V194" s="8" t="s">
        <v>939</v>
      </c>
      <c r="W194" s="8" t="s">
        <v>939</v>
      </c>
      <c r="X194" s="27" t="s">
        <v>939</v>
      </c>
      <c r="Y194" s="27" t="s">
        <v>939</v>
      </c>
      <c r="Z194" s="27"/>
      <c r="AA194" s="27" t="s">
        <v>939</v>
      </c>
      <c r="AB194" s="27" t="s">
        <v>939</v>
      </c>
      <c r="AC194" s="27" t="s">
        <v>939</v>
      </c>
      <c r="AD194" s="27" t="s">
        <v>939</v>
      </c>
      <c r="AE194" s="27"/>
      <c r="AF194" s="27" t="s">
        <v>939</v>
      </c>
      <c r="AG194" s="27"/>
      <c r="AH194" s="27"/>
      <c r="AI194" s="27"/>
      <c r="AJ194" s="27" t="s">
        <v>939</v>
      </c>
      <c r="AK194" s="8" t="s">
        <v>939</v>
      </c>
      <c r="AL194" s="8"/>
      <c r="AM194" s="8"/>
      <c r="AN194" s="27"/>
      <c r="AO194" s="8"/>
      <c r="AP194" s="8" t="s">
        <v>939</v>
      </c>
      <c r="AQ194" s="27"/>
      <c r="AR194" s="27"/>
      <c r="AS194" s="27"/>
    </row>
    <row r="195" spans="1:45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7"/>
      <c r="P195" s="8" t="s">
        <v>939</v>
      </c>
      <c r="Q195" s="8" t="s">
        <v>939</v>
      </c>
      <c r="R195" s="8" t="s">
        <v>939</v>
      </c>
      <c r="S195" s="27" t="s">
        <v>939</v>
      </c>
      <c r="T195" s="27" t="s">
        <v>939</v>
      </c>
      <c r="U195" s="8" t="s">
        <v>939</v>
      </c>
      <c r="V195" s="8" t="s">
        <v>939</v>
      </c>
      <c r="W195" s="8" t="s">
        <v>939</v>
      </c>
      <c r="X195" s="27" t="s">
        <v>939</v>
      </c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7"/>
      <c r="P196" s="8" t="s">
        <v>939</v>
      </c>
      <c r="Q196" s="8" t="s">
        <v>939</v>
      </c>
      <c r="R196" s="8" t="s">
        <v>939</v>
      </c>
      <c r="S196" s="27" t="s">
        <v>939</v>
      </c>
      <c r="T196" s="27" t="s">
        <v>939</v>
      </c>
      <c r="U196" s="8" t="s">
        <v>939</v>
      </c>
      <c r="V196" s="8" t="s">
        <v>939</v>
      </c>
      <c r="W196" s="8" t="s">
        <v>939</v>
      </c>
      <c r="X196" s="27" t="s">
        <v>939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12</v>
      </c>
      <c r="M197" s="17">
        <f t="shared" ref="M197:M262" si="15">COUNTIF(O197:AP197,"APAGADO")</f>
        <v>16</v>
      </c>
      <c r="N197" s="18">
        <f t="shared" ref="N197:N262" si="16">(L197)/(M197+L197)</f>
        <v>0.42857142857142855</v>
      </c>
      <c r="O197" s="27" t="s">
        <v>939</v>
      </c>
      <c r="P197" s="8" t="s">
        <v>939</v>
      </c>
      <c r="Q197" s="8" t="s">
        <v>939</v>
      </c>
      <c r="R197" s="8" t="s">
        <v>939</v>
      </c>
      <c r="S197" s="27" t="s">
        <v>939</v>
      </c>
      <c r="T197" s="27" t="s">
        <v>939</v>
      </c>
      <c r="U197" s="8"/>
      <c r="V197" s="8"/>
      <c r="W197" s="8"/>
      <c r="X197" s="27" t="s">
        <v>939</v>
      </c>
      <c r="Y197" s="27"/>
      <c r="Z197" s="27"/>
      <c r="AA197" s="27" t="s">
        <v>939</v>
      </c>
      <c r="AB197" s="27" t="s">
        <v>939</v>
      </c>
      <c r="AC197" s="27"/>
      <c r="AD197" s="27" t="s">
        <v>939</v>
      </c>
      <c r="AE197" s="27"/>
      <c r="AF197" s="27"/>
      <c r="AG197" s="27"/>
      <c r="AH197" s="27"/>
      <c r="AI197" s="27"/>
      <c r="AJ197" s="27" t="s">
        <v>939</v>
      </c>
      <c r="AK197" s="8"/>
      <c r="AL197" s="8" t="s">
        <v>939</v>
      </c>
      <c r="AM197" s="8" t="s">
        <v>939</v>
      </c>
      <c r="AN197" s="27" t="s">
        <v>939</v>
      </c>
      <c r="AO197" s="8" t="s">
        <v>939</v>
      </c>
      <c r="AP197" s="8" t="s">
        <v>939</v>
      </c>
      <c r="AQ197" s="27"/>
      <c r="AR197" s="27"/>
      <c r="AS197" s="27"/>
    </row>
    <row r="198" spans="1:45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16</v>
      </c>
      <c r="M198" s="17">
        <f t="shared" si="15"/>
        <v>12</v>
      </c>
      <c r="N198" s="18">
        <f t="shared" si="16"/>
        <v>0.5714285714285714</v>
      </c>
      <c r="O198" s="27"/>
      <c r="P198" s="8" t="s">
        <v>939</v>
      </c>
      <c r="Q198" s="8" t="s">
        <v>939</v>
      </c>
      <c r="R198" s="8"/>
      <c r="S198" s="27"/>
      <c r="T198" s="27"/>
      <c r="U198" s="8"/>
      <c r="V198" s="8"/>
      <c r="W198" s="8"/>
      <c r="X198" s="27" t="s">
        <v>939</v>
      </c>
      <c r="Y198" s="27"/>
      <c r="Z198" s="27"/>
      <c r="AA198" s="27" t="s">
        <v>939</v>
      </c>
      <c r="AB198" s="27" t="s">
        <v>939</v>
      </c>
      <c r="AC198" s="27"/>
      <c r="AD198" s="27" t="s">
        <v>939</v>
      </c>
      <c r="AE198" s="27"/>
      <c r="AF198" s="27"/>
      <c r="AG198" s="27"/>
      <c r="AH198" s="27"/>
      <c r="AI198" s="27"/>
      <c r="AJ198" s="27" t="s">
        <v>939</v>
      </c>
      <c r="AK198" s="8"/>
      <c r="AL198" s="8" t="s">
        <v>939</v>
      </c>
      <c r="AM198" s="8" t="s">
        <v>939</v>
      </c>
      <c r="AN198" s="27" t="s">
        <v>939</v>
      </c>
      <c r="AO198" s="8" t="s">
        <v>939</v>
      </c>
      <c r="AP198" s="8" t="s">
        <v>939</v>
      </c>
      <c r="AQ198" s="27"/>
      <c r="AR198" s="27"/>
      <c r="AS198" s="27"/>
    </row>
    <row r="199" spans="1:45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19</v>
      </c>
      <c r="M199" s="17">
        <f t="shared" si="15"/>
        <v>9</v>
      </c>
      <c r="N199" s="18">
        <f t="shared" si="16"/>
        <v>0.6785714285714286</v>
      </c>
      <c r="O199" s="27"/>
      <c r="P199" s="8"/>
      <c r="Q199" s="8"/>
      <c r="R199" s="8"/>
      <c r="S199" s="27"/>
      <c r="T199" s="27"/>
      <c r="U199" s="8" t="s">
        <v>939</v>
      </c>
      <c r="V199" s="8" t="s">
        <v>939</v>
      </c>
      <c r="W199" s="8" t="s">
        <v>939</v>
      </c>
      <c r="X199" s="27"/>
      <c r="Y199" s="27" t="s">
        <v>939</v>
      </c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 t="s">
        <v>939</v>
      </c>
      <c r="AM199" s="8" t="s">
        <v>939</v>
      </c>
      <c r="AN199" s="27" t="s">
        <v>939</v>
      </c>
      <c r="AO199" s="8" t="s">
        <v>939</v>
      </c>
      <c r="AP199" s="8" t="s">
        <v>939</v>
      </c>
      <c r="AQ199" s="27"/>
      <c r="AR199" s="27"/>
      <c r="AS199" s="27"/>
    </row>
    <row r="200" spans="1:45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22</v>
      </c>
      <c r="M200" s="17">
        <f t="shared" si="15"/>
        <v>6</v>
      </c>
      <c r="N200" s="18">
        <f t="shared" si="16"/>
        <v>0.7857142857142857</v>
      </c>
      <c r="O200" s="27"/>
      <c r="P200" s="8"/>
      <c r="Q200" s="8"/>
      <c r="R200" s="8"/>
      <c r="S200" s="27"/>
      <c r="T200" s="27"/>
      <c r="U200" s="8" t="s">
        <v>939</v>
      </c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 t="s">
        <v>939</v>
      </c>
      <c r="AM200" s="8" t="s">
        <v>939</v>
      </c>
      <c r="AN200" s="27" t="s">
        <v>939</v>
      </c>
      <c r="AO200" s="8" t="s">
        <v>939</v>
      </c>
      <c r="AP200" s="8" t="s">
        <v>939</v>
      </c>
      <c r="AQ200" s="27"/>
      <c r="AR200" s="27"/>
      <c r="AS200" s="27"/>
    </row>
    <row r="201" spans="1:45" ht="15.75" thickBot="1" x14ac:dyDescent="0.3">
      <c r="A201" t="s">
        <v>358</v>
      </c>
      <c r="C201" s="45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 t="s">
        <v>939</v>
      </c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 t="s">
        <v>939</v>
      </c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7" t="s">
        <v>939</v>
      </c>
      <c r="P204" s="8"/>
      <c r="Q204" s="8"/>
      <c r="R204" s="8"/>
      <c r="S204" s="27"/>
      <c r="T204" s="27" t="s">
        <v>939</v>
      </c>
      <c r="U204" s="8" t="s">
        <v>939</v>
      </c>
      <c r="V204" s="8" t="s">
        <v>939</v>
      </c>
      <c r="W204" s="8" t="s">
        <v>939</v>
      </c>
      <c r="X204" s="27" t="s">
        <v>939</v>
      </c>
      <c r="Y204" s="27" t="s">
        <v>939</v>
      </c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7"/>
      <c r="P205" s="8"/>
      <c r="Q205" s="8"/>
      <c r="R205" s="8"/>
      <c r="S205" s="27"/>
      <c r="T205" s="27" t="s">
        <v>939</v>
      </c>
      <c r="U205" s="8" t="s">
        <v>939</v>
      </c>
      <c r="V205" s="8" t="s">
        <v>939</v>
      </c>
      <c r="W205" s="8" t="s">
        <v>939</v>
      </c>
      <c r="X205" s="27" t="s">
        <v>939</v>
      </c>
      <c r="Y205" s="27" t="s">
        <v>939</v>
      </c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1</v>
      </c>
      <c r="M206" s="17">
        <f t="shared" si="15"/>
        <v>27</v>
      </c>
      <c r="N206" s="18">
        <f t="shared" si="16"/>
        <v>3.5714285714285712E-2</v>
      </c>
      <c r="O206" s="27" t="s">
        <v>939</v>
      </c>
      <c r="P206" s="8" t="s">
        <v>939</v>
      </c>
      <c r="Q206" s="8" t="s">
        <v>939</v>
      </c>
      <c r="R206" s="8" t="s">
        <v>939</v>
      </c>
      <c r="S206" s="27" t="s">
        <v>939</v>
      </c>
      <c r="T206" s="27" t="s">
        <v>939</v>
      </c>
      <c r="U206" s="8" t="s">
        <v>939</v>
      </c>
      <c r="V206" s="8" t="s">
        <v>939</v>
      </c>
      <c r="W206" s="8" t="s">
        <v>939</v>
      </c>
      <c r="X206" s="27" t="s">
        <v>939</v>
      </c>
      <c r="Y206" s="27" t="s">
        <v>939</v>
      </c>
      <c r="Z206" s="27" t="s">
        <v>939</v>
      </c>
      <c r="AA206" s="27" t="s">
        <v>939</v>
      </c>
      <c r="AB206" s="27" t="s">
        <v>939</v>
      </c>
      <c r="AC206" s="27" t="s">
        <v>939</v>
      </c>
      <c r="AD206" s="27" t="s">
        <v>939</v>
      </c>
      <c r="AE206" s="27" t="s">
        <v>939</v>
      </c>
      <c r="AF206" s="27" t="s">
        <v>939</v>
      </c>
      <c r="AG206" s="27" t="s">
        <v>939</v>
      </c>
      <c r="AH206" s="27" t="s">
        <v>939</v>
      </c>
      <c r="AI206" s="27" t="s">
        <v>939</v>
      </c>
      <c r="AJ206" s="27"/>
      <c r="AK206" s="8" t="s">
        <v>939</v>
      </c>
      <c r="AL206" s="8" t="s">
        <v>939</v>
      </c>
      <c r="AM206" s="8" t="s">
        <v>939</v>
      </c>
      <c r="AN206" s="27" t="s">
        <v>939</v>
      </c>
      <c r="AO206" s="8" t="s">
        <v>939</v>
      </c>
      <c r="AP206" s="8" t="s">
        <v>939</v>
      </c>
      <c r="AQ206" s="27"/>
      <c r="AR206" s="27"/>
      <c r="AS206" s="27"/>
    </row>
    <row r="207" spans="1:45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20</v>
      </c>
      <c r="M207" s="17">
        <f t="shared" si="15"/>
        <v>8</v>
      </c>
      <c r="N207" s="18">
        <f t="shared" si="16"/>
        <v>0.7142857142857143</v>
      </c>
      <c r="O207" s="27"/>
      <c r="P207" s="8" t="s">
        <v>939</v>
      </c>
      <c r="Q207" s="8" t="s">
        <v>939</v>
      </c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 t="s">
        <v>939</v>
      </c>
      <c r="AL207" s="8" t="s">
        <v>939</v>
      </c>
      <c r="AM207" s="8" t="s">
        <v>939</v>
      </c>
      <c r="AN207" s="27" t="s">
        <v>939</v>
      </c>
      <c r="AO207" s="8" t="s">
        <v>939</v>
      </c>
      <c r="AP207" s="8" t="s">
        <v>939</v>
      </c>
      <c r="AQ207" s="27"/>
      <c r="AR207" s="27"/>
      <c r="AS207" s="27"/>
    </row>
    <row r="208" spans="1:45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24</v>
      </c>
      <c r="M208" s="17">
        <f t="shared" si="15"/>
        <v>4</v>
      </c>
      <c r="N208" s="18">
        <f t="shared" si="16"/>
        <v>0.8571428571428571</v>
      </c>
      <c r="O208" s="27"/>
      <c r="P208" s="8" t="s">
        <v>939</v>
      </c>
      <c r="Q208" s="8" t="s">
        <v>939</v>
      </c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 t="s">
        <v>939</v>
      </c>
      <c r="AM208" s="8"/>
      <c r="AN208" s="27" t="s">
        <v>939</v>
      </c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 t="s">
        <v>939</v>
      </c>
      <c r="AM210" s="8" t="s">
        <v>939</v>
      </c>
      <c r="AN210" s="27" t="s">
        <v>939</v>
      </c>
      <c r="AO210" s="8" t="s">
        <v>939</v>
      </c>
      <c r="AP210" s="8" t="s">
        <v>939</v>
      </c>
      <c r="AQ210" s="27"/>
      <c r="AR210" s="27"/>
      <c r="AS210" s="27"/>
    </row>
    <row r="211" spans="1:45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18</v>
      </c>
      <c r="M211" s="17">
        <f t="shared" si="15"/>
        <v>10</v>
      </c>
      <c r="N211" s="18">
        <f t="shared" si="16"/>
        <v>0.6428571428571429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 t="s">
        <v>939</v>
      </c>
      <c r="AG211" s="27" t="s">
        <v>939</v>
      </c>
      <c r="AH211" s="27" t="s">
        <v>939</v>
      </c>
      <c r="AI211" s="27" t="s">
        <v>939</v>
      </c>
      <c r="AJ211" s="27" t="s">
        <v>939</v>
      </c>
      <c r="AK211" s="8"/>
      <c r="AL211" s="8" t="s">
        <v>939</v>
      </c>
      <c r="AM211" s="8" t="s">
        <v>939</v>
      </c>
      <c r="AN211" s="27" t="s">
        <v>939</v>
      </c>
      <c r="AO211" s="8" t="s">
        <v>939</v>
      </c>
      <c r="AP211" s="8" t="s">
        <v>939</v>
      </c>
      <c r="AQ211" s="27"/>
      <c r="AR211" s="27"/>
      <c r="AS211" s="27"/>
    </row>
    <row r="212" spans="1:45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18</v>
      </c>
      <c r="M212" s="17">
        <f t="shared" si="15"/>
        <v>10</v>
      </c>
      <c r="N212" s="18">
        <f t="shared" si="16"/>
        <v>0.6428571428571429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 t="s">
        <v>939</v>
      </c>
      <c r="AG212" s="27" t="s">
        <v>939</v>
      </c>
      <c r="AH212" s="27" t="s">
        <v>939</v>
      </c>
      <c r="AI212" s="27" t="s">
        <v>939</v>
      </c>
      <c r="AJ212" s="27" t="s">
        <v>939</v>
      </c>
      <c r="AK212" s="8"/>
      <c r="AL212" s="8" t="s">
        <v>939</v>
      </c>
      <c r="AM212" s="8" t="s">
        <v>939</v>
      </c>
      <c r="AN212" s="27" t="s">
        <v>939</v>
      </c>
      <c r="AO212" s="8" t="s">
        <v>939</v>
      </c>
      <c r="AP212" s="8" t="s">
        <v>939</v>
      </c>
      <c r="AQ212" s="27"/>
      <c r="AR212" s="27"/>
      <c r="AS212" s="27"/>
    </row>
    <row r="213" spans="1:45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27</v>
      </c>
      <c r="M214" s="17">
        <f t="shared" si="15"/>
        <v>1</v>
      </c>
      <c r="N214" s="18">
        <f t="shared" si="16"/>
        <v>0.9642857142857143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 t="s">
        <v>939</v>
      </c>
      <c r="AQ214" s="27"/>
      <c r="AR214" s="27"/>
      <c r="AS214" s="27"/>
    </row>
    <row r="215" spans="1:45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27</v>
      </c>
      <c r="M215" s="17">
        <f t="shared" si="15"/>
        <v>1</v>
      </c>
      <c r="N215" s="18">
        <f t="shared" si="16"/>
        <v>0.9642857142857143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 t="s">
        <v>939</v>
      </c>
      <c r="AQ215" s="27"/>
      <c r="AR215" s="27"/>
      <c r="AS215" s="27"/>
    </row>
    <row r="216" spans="1:45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27</v>
      </c>
      <c r="M216" s="17">
        <f t="shared" si="15"/>
        <v>1</v>
      </c>
      <c r="N216" s="18">
        <f t="shared" si="16"/>
        <v>0.9642857142857143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 t="s">
        <v>939</v>
      </c>
      <c r="AQ216" s="27"/>
      <c r="AR216" s="27"/>
      <c r="AS216" s="27"/>
    </row>
    <row r="217" spans="1:45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27</v>
      </c>
      <c r="M217" s="17">
        <f t="shared" si="15"/>
        <v>1</v>
      </c>
      <c r="N217" s="18">
        <f t="shared" si="16"/>
        <v>0.9642857142857143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 t="s">
        <v>939</v>
      </c>
      <c r="AQ217" s="27"/>
      <c r="AR217" s="27"/>
      <c r="AS217" s="27"/>
    </row>
    <row r="218" spans="1:45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27</v>
      </c>
      <c r="M218" s="17">
        <f t="shared" si="15"/>
        <v>1</v>
      </c>
      <c r="N218" s="18">
        <f t="shared" si="16"/>
        <v>0.9642857142857143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 t="s">
        <v>939</v>
      </c>
      <c r="AQ218" s="27"/>
      <c r="AR218" s="27"/>
      <c r="AS218" s="27"/>
    </row>
    <row r="219" spans="1:45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27</v>
      </c>
      <c r="M219" s="17">
        <f t="shared" si="15"/>
        <v>1</v>
      </c>
      <c r="N219" s="18">
        <f t="shared" si="16"/>
        <v>0.9642857142857143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 t="s">
        <v>939</v>
      </c>
      <c r="AQ219" s="27"/>
      <c r="AR219" s="27"/>
      <c r="AS219" s="27"/>
    </row>
    <row r="220" spans="1:45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27</v>
      </c>
      <c r="M220" s="17">
        <f t="shared" si="15"/>
        <v>1</v>
      </c>
      <c r="N220" s="18">
        <f t="shared" si="16"/>
        <v>0.9642857142857143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 t="s">
        <v>939</v>
      </c>
      <c r="AQ220" s="27"/>
      <c r="AR220" s="27"/>
      <c r="AS220" s="27"/>
    </row>
    <row r="221" spans="1:45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27</v>
      </c>
      <c r="M221" s="17">
        <f t="shared" si="15"/>
        <v>1</v>
      </c>
      <c r="N221" s="18">
        <f t="shared" si="16"/>
        <v>0.9642857142857143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 t="s">
        <v>939</v>
      </c>
      <c r="AQ221" s="27"/>
      <c r="AR221" s="27"/>
      <c r="AS221" s="27"/>
    </row>
    <row r="222" spans="1:45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 t="s">
        <v>939</v>
      </c>
      <c r="AQ222" s="27"/>
      <c r="AR222" s="27"/>
      <c r="AS222" s="27"/>
    </row>
    <row r="223" spans="1:45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 t="s">
        <v>939</v>
      </c>
      <c r="AQ223" s="27"/>
      <c r="AR223" s="27"/>
      <c r="AS223" s="27"/>
    </row>
    <row r="224" spans="1:45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11</v>
      </c>
      <c r="M224" s="17">
        <f t="shared" si="15"/>
        <v>17</v>
      </c>
      <c r="N224" s="18">
        <f t="shared" si="16"/>
        <v>0.39285714285714285</v>
      </c>
      <c r="O224" s="27" t="s">
        <v>939</v>
      </c>
      <c r="P224" s="8" t="s">
        <v>939</v>
      </c>
      <c r="Q224" s="8" t="s">
        <v>939</v>
      </c>
      <c r="R224" s="8" t="s">
        <v>939</v>
      </c>
      <c r="S224" s="27" t="s">
        <v>939</v>
      </c>
      <c r="T224" s="27" t="s">
        <v>939</v>
      </c>
      <c r="U224" s="8" t="s">
        <v>939</v>
      </c>
      <c r="V224" s="8" t="s">
        <v>939</v>
      </c>
      <c r="W224" s="8" t="s">
        <v>939</v>
      </c>
      <c r="X224" s="27" t="s">
        <v>939</v>
      </c>
      <c r="Y224" s="27" t="s">
        <v>939</v>
      </c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 t="s">
        <v>939</v>
      </c>
      <c r="AL224" s="8" t="s">
        <v>939</v>
      </c>
      <c r="AM224" s="8" t="s">
        <v>939</v>
      </c>
      <c r="AN224" s="27" t="s">
        <v>939</v>
      </c>
      <c r="AO224" s="8" t="s">
        <v>939</v>
      </c>
      <c r="AP224" s="8" t="s">
        <v>939</v>
      </c>
      <c r="AQ224" s="27"/>
      <c r="AR224" s="27"/>
      <c r="AS224" s="27"/>
    </row>
    <row r="225" spans="1:45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 t="s">
        <v>939</v>
      </c>
      <c r="AA225" s="27" t="s">
        <v>939</v>
      </c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20</v>
      </c>
      <c r="M230" s="17">
        <f t="shared" si="15"/>
        <v>8</v>
      </c>
      <c r="N230" s="18">
        <f t="shared" si="16"/>
        <v>0.7142857142857143</v>
      </c>
      <c r="O230" s="27" t="s">
        <v>939</v>
      </c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 t="s">
        <v>939</v>
      </c>
      <c r="AK230" s="8" t="s">
        <v>939</v>
      </c>
      <c r="AL230" s="8" t="s">
        <v>939</v>
      </c>
      <c r="AM230" s="8" t="s">
        <v>939</v>
      </c>
      <c r="AN230" s="27" t="s">
        <v>939</v>
      </c>
      <c r="AO230" s="8" t="s">
        <v>939</v>
      </c>
      <c r="AP230" s="8" t="s">
        <v>939</v>
      </c>
      <c r="AQ230" s="27"/>
      <c r="AR230" s="27"/>
      <c r="AS230" s="27"/>
    </row>
    <row r="231" spans="1:45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 t="s">
        <v>939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27</v>
      </c>
      <c r="M232" s="17">
        <f t="shared" si="15"/>
        <v>1</v>
      </c>
      <c r="N232" s="18">
        <f t="shared" si="16"/>
        <v>0.9642857142857143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 t="s">
        <v>939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 t="s">
        <v>939</v>
      </c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22</v>
      </c>
      <c r="M235" s="17">
        <f t="shared" si="15"/>
        <v>6</v>
      </c>
      <c r="N235" s="18">
        <f t="shared" si="16"/>
        <v>0.7857142857142857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 t="s">
        <v>939</v>
      </c>
      <c r="AA235" s="27" t="s">
        <v>939</v>
      </c>
      <c r="AB235" s="27" t="s">
        <v>939</v>
      </c>
      <c r="AC235" s="27" t="s">
        <v>939</v>
      </c>
      <c r="AD235" s="27" t="s">
        <v>939</v>
      </c>
      <c r="AE235" s="27"/>
      <c r="AF235" s="27"/>
      <c r="AG235" s="27"/>
      <c r="AH235" s="27"/>
      <c r="AI235" s="27"/>
      <c r="AJ235" s="27"/>
      <c r="AK235" s="8"/>
      <c r="AL235" s="8" t="s">
        <v>939</v>
      </c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22</v>
      </c>
      <c r="M236" s="17">
        <f t="shared" si="15"/>
        <v>6</v>
      </c>
      <c r="N236" s="18">
        <f t="shared" si="16"/>
        <v>0.7857142857142857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 t="s">
        <v>939</v>
      </c>
      <c r="AA236" s="27" t="s">
        <v>939</v>
      </c>
      <c r="AB236" s="27" t="s">
        <v>939</v>
      </c>
      <c r="AC236" s="27" t="s">
        <v>939</v>
      </c>
      <c r="AD236" s="27" t="s">
        <v>939</v>
      </c>
      <c r="AE236" s="27"/>
      <c r="AF236" s="27"/>
      <c r="AG236" s="27"/>
      <c r="AH236" s="27"/>
      <c r="AI236" s="27"/>
      <c r="AJ236" s="27"/>
      <c r="AK236" s="8"/>
      <c r="AL236" s="8" t="s">
        <v>939</v>
      </c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21</v>
      </c>
      <c r="M237" s="17">
        <f t="shared" si="15"/>
        <v>7</v>
      </c>
      <c r="N237" s="18">
        <f t="shared" si="16"/>
        <v>0.75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939</v>
      </c>
      <c r="AA237" s="27" t="s">
        <v>939</v>
      </c>
      <c r="AB237" s="27" t="s">
        <v>939</v>
      </c>
      <c r="AC237" s="27" t="s">
        <v>939</v>
      </c>
      <c r="AD237" s="27" t="s">
        <v>939</v>
      </c>
      <c r="AE237" s="27"/>
      <c r="AF237" s="27"/>
      <c r="AG237" s="27"/>
      <c r="AH237" s="27"/>
      <c r="AI237" s="27" t="s">
        <v>939</v>
      </c>
      <c r="AJ237" s="27"/>
      <c r="AK237" s="8"/>
      <c r="AL237" s="8" t="s">
        <v>939</v>
      </c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7" t="s">
        <v>939</v>
      </c>
      <c r="P238" s="8" t="s">
        <v>939</v>
      </c>
      <c r="Q238" s="8" t="s">
        <v>939</v>
      </c>
      <c r="R238" s="8" t="s">
        <v>939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18</v>
      </c>
      <c r="M239" s="17">
        <f t="shared" si="15"/>
        <v>10</v>
      </c>
      <c r="N239" s="18">
        <f t="shared" si="16"/>
        <v>0.6428571428571429</v>
      </c>
      <c r="O239" s="27" t="s">
        <v>939</v>
      </c>
      <c r="P239" s="8" t="s">
        <v>939</v>
      </c>
      <c r="Q239" s="8" t="s">
        <v>939</v>
      </c>
      <c r="R239" s="8" t="s">
        <v>939</v>
      </c>
      <c r="S239" s="27" t="s">
        <v>939</v>
      </c>
      <c r="T239" s="27" t="s">
        <v>939</v>
      </c>
      <c r="U239" s="8" t="s">
        <v>939</v>
      </c>
      <c r="V239" s="8" t="s">
        <v>939</v>
      </c>
      <c r="W239" s="8" t="s">
        <v>939</v>
      </c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 t="s">
        <v>939</v>
      </c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17</v>
      </c>
      <c r="M240" s="17">
        <f t="shared" si="15"/>
        <v>11</v>
      </c>
      <c r="N240" s="18">
        <f t="shared" si="16"/>
        <v>0.6071428571428571</v>
      </c>
      <c r="O240" s="27" t="s">
        <v>939</v>
      </c>
      <c r="P240" s="8" t="s">
        <v>939</v>
      </c>
      <c r="Q240" s="8" t="s">
        <v>939</v>
      </c>
      <c r="R240" s="8" t="s">
        <v>939</v>
      </c>
      <c r="S240" s="27" t="s">
        <v>939</v>
      </c>
      <c r="T240" s="27" t="s">
        <v>939</v>
      </c>
      <c r="U240" s="8" t="s">
        <v>939</v>
      </c>
      <c r="V240" s="8" t="s">
        <v>939</v>
      </c>
      <c r="W240" s="8" t="s">
        <v>939</v>
      </c>
      <c r="X240" s="27"/>
      <c r="Y240" s="27"/>
      <c r="Z240" s="27"/>
      <c r="AA240" s="27"/>
      <c r="AB240" s="27"/>
      <c r="AC240" s="27"/>
      <c r="AD240" s="27"/>
      <c r="AE240" s="27"/>
      <c r="AF240" s="27"/>
      <c r="AG240" s="27" t="s">
        <v>939</v>
      </c>
      <c r="AH240" s="27"/>
      <c r="AI240" s="27"/>
      <c r="AJ240" s="27"/>
      <c r="AK240" s="8"/>
      <c r="AL240" s="8" t="s">
        <v>939</v>
      </c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22</v>
      </c>
      <c r="M241" s="17">
        <f t="shared" si="15"/>
        <v>6</v>
      </c>
      <c r="N241" s="18">
        <f t="shared" si="16"/>
        <v>0.7857142857142857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 t="s">
        <v>939</v>
      </c>
      <c r="AA241" s="27" t="s">
        <v>939</v>
      </c>
      <c r="AB241" s="27" t="s">
        <v>939</v>
      </c>
      <c r="AC241" s="27" t="s">
        <v>939</v>
      </c>
      <c r="AD241" s="27" t="s">
        <v>939</v>
      </c>
      <c r="AE241" s="27"/>
      <c r="AF241" s="27"/>
      <c r="AG241" s="27"/>
      <c r="AH241" s="27"/>
      <c r="AI241" s="27"/>
      <c r="AJ241" s="27"/>
      <c r="AK241" s="8"/>
      <c r="AL241" s="8" t="s">
        <v>939</v>
      </c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22</v>
      </c>
      <c r="M242" s="17">
        <f t="shared" si="15"/>
        <v>6</v>
      </c>
      <c r="N242" s="18">
        <f t="shared" si="16"/>
        <v>0.7857142857142857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 t="s">
        <v>939</v>
      </c>
      <c r="AA242" s="27" t="s">
        <v>939</v>
      </c>
      <c r="AB242" s="27" t="s">
        <v>939</v>
      </c>
      <c r="AC242" s="27" t="s">
        <v>939</v>
      </c>
      <c r="AD242" s="27" t="s">
        <v>939</v>
      </c>
      <c r="AE242" s="27"/>
      <c r="AF242" s="27"/>
      <c r="AG242" s="27"/>
      <c r="AH242" s="27"/>
      <c r="AI242" s="27"/>
      <c r="AJ242" s="27"/>
      <c r="AK242" s="8"/>
      <c r="AL242" s="8" t="s">
        <v>939</v>
      </c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22</v>
      </c>
      <c r="M243" s="17">
        <f t="shared" si="15"/>
        <v>6</v>
      </c>
      <c r="N243" s="18">
        <f t="shared" si="16"/>
        <v>0.7857142857142857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 t="s">
        <v>939</v>
      </c>
      <c r="AA243" s="27" t="s">
        <v>939</v>
      </c>
      <c r="AB243" s="27" t="s">
        <v>939</v>
      </c>
      <c r="AC243" s="27" t="s">
        <v>939</v>
      </c>
      <c r="AD243" s="27" t="s">
        <v>939</v>
      </c>
      <c r="AE243" s="27"/>
      <c r="AF243" s="27"/>
      <c r="AG243" s="27"/>
      <c r="AH243" s="27"/>
      <c r="AI243" s="27"/>
      <c r="AJ243" s="27"/>
      <c r="AK243" s="8"/>
      <c r="AL243" s="8" t="s">
        <v>939</v>
      </c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22</v>
      </c>
      <c r="M244" s="17">
        <f t="shared" si="15"/>
        <v>6</v>
      </c>
      <c r="N244" s="18">
        <f t="shared" si="16"/>
        <v>0.7857142857142857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 t="s">
        <v>939</v>
      </c>
      <c r="AA244" s="27" t="s">
        <v>939</v>
      </c>
      <c r="AB244" s="27" t="s">
        <v>939</v>
      </c>
      <c r="AC244" s="27" t="s">
        <v>939</v>
      </c>
      <c r="AD244" s="27" t="s">
        <v>939</v>
      </c>
      <c r="AE244" s="27"/>
      <c r="AF244" s="27"/>
      <c r="AG244" s="27"/>
      <c r="AH244" s="27"/>
      <c r="AI244" s="27"/>
      <c r="AJ244" s="27"/>
      <c r="AK244" s="8"/>
      <c r="AL244" s="8" t="s">
        <v>939</v>
      </c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619</v>
      </c>
      <c r="C245" s="45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 t="s">
        <v>939</v>
      </c>
      <c r="AF245" s="27" t="s">
        <v>939</v>
      </c>
      <c r="AG245" s="27" t="s">
        <v>939</v>
      </c>
      <c r="AH245" s="27" t="s">
        <v>939</v>
      </c>
      <c r="AI245" s="27" t="s">
        <v>939</v>
      </c>
      <c r="AJ245" s="27" t="s">
        <v>939</v>
      </c>
      <c r="AK245" s="27" t="s">
        <v>939</v>
      </c>
      <c r="AL245" s="27" t="s">
        <v>939</v>
      </c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609</v>
      </c>
      <c r="C246" s="45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 t="s">
        <v>939</v>
      </c>
      <c r="AC246" s="27" t="s">
        <v>939</v>
      </c>
      <c r="AD246" s="27" t="s">
        <v>939</v>
      </c>
      <c r="AE246" s="27"/>
      <c r="AF246" s="27" t="s">
        <v>939</v>
      </c>
      <c r="AG246" s="27" t="s">
        <v>939</v>
      </c>
      <c r="AH246" s="27" t="s">
        <v>939</v>
      </c>
      <c r="AI246" s="27" t="s">
        <v>939</v>
      </c>
      <c r="AJ246" s="27" t="s">
        <v>939</v>
      </c>
      <c r="AK246" s="27" t="s">
        <v>939</v>
      </c>
      <c r="AL246" s="27" t="s">
        <v>939</v>
      </c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26</v>
      </c>
      <c r="M250" s="17">
        <f t="shared" si="15"/>
        <v>2</v>
      </c>
      <c r="N250" s="18">
        <f t="shared" si="16"/>
        <v>0.9285714285714286</v>
      </c>
      <c r="O250" s="27"/>
      <c r="P250" s="8"/>
      <c r="Q250" s="8"/>
      <c r="R250" s="8"/>
      <c r="S250" s="27" t="s">
        <v>939</v>
      </c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 t="s">
        <v>939</v>
      </c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6</v>
      </c>
      <c r="M251" s="17">
        <f t="shared" si="15"/>
        <v>22</v>
      </c>
      <c r="N251" s="18">
        <f t="shared" si="16"/>
        <v>0.21428571428571427</v>
      </c>
      <c r="O251" s="27" t="s">
        <v>939</v>
      </c>
      <c r="P251" s="8" t="s">
        <v>939</v>
      </c>
      <c r="Q251" s="8" t="s">
        <v>939</v>
      </c>
      <c r="R251" s="8" t="s">
        <v>939</v>
      </c>
      <c r="S251" s="27" t="s">
        <v>939</v>
      </c>
      <c r="T251" s="27" t="s">
        <v>939</v>
      </c>
      <c r="U251" s="8" t="s">
        <v>939</v>
      </c>
      <c r="V251" s="8" t="s">
        <v>939</v>
      </c>
      <c r="W251" s="8" t="s">
        <v>939</v>
      </c>
      <c r="X251" s="27" t="s">
        <v>939</v>
      </c>
      <c r="Y251" s="27" t="s">
        <v>939</v>
      </c>
      <c r="Z251" s="27" t="s">
        <v>939</v>
      </c>
      <c r="AA251" s="27" t="s">
        <v>939</v>
      </c>
      <c r="AB251" s="27" t="s">
        <v>939</v>
      </c>
      <c r="AC251" s="27" t="s">
        <v>939</v>
      </c>
      <c r="AD251" s="27" t="s">
        <v>939</v>
      </c>
      <c r="AE251" s="27" t="s">
        <v>939</v>
      </c>
      <c r="AF251" s="27" t="s">
        <v>939</v>
      </c>
      <c r="AG251" s="27" t="s">
        <v>939</v>
      </c>
      <c r="AH251" s="27" t="s">
        <v>939</v>
      </c>
      <c r="AI251" s="27" t="s">
        <v>939</v>
      </c>
      <c r="AJ251" s="27" t="s">
        <v>939</v>
      </c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6</v>
      </c>
      <c r="M252" s="17">
        <f t="shared" si="15"/>
        <v>22</v>
      </c>
      <c r="N252" s="18">
        <f t="shared" si="16"/>
        <v>0.21428571428571427</v>
      </c>
      <c r="O252" s="27" t="s">
        <v>939</v>
      </c>
      <c r="P252" s="8" t="s">
        <v>939</v>
      </c>
      <c r="Q252" s="8" t="s">
        <v>939</v>
      </c>
      <c r="R252" s="8" t="s">
        <v>939</v>
      </c>
      <c r="S252" s="27" t="s">
        <v>939</v>
      </c>
      <c r="T252" s="27" t="s">
        <v>939</v>
      </c>
      <c r="U252" s="8" t="s">
        <v>939</v>
      </c>
      <c r="V252" s="8" t="s">
        <v>939</v>
      </c>
      <c r="W252" s="8" t="s">
        <v>939</v>
      </c>
      <c r="X252" s="27" t="s">
        <v>939</v>
      </c>
      <c r="Y252" s="27" t="s">
        <v>939</v>
      </c>
      <c r="Z252" s="27" t="s">
        <v>939</v>
      </c>
      <c r="AA252" s="27" t="s">
        <v>939</v>
      </c>
      <c r="AB252" s="27" t="s">
        <v>939</v>
      </c>
      <c r="AC252" s="27" t="s">
        <v>939</v>
      </c>
      <c r="AD252" s="27" t="s">
        <v>939</v>
      </c>
      <c r="AE252" s="27" t="s">
        <v>939</v>
      </c>
      <c r="AF252" s="27" t="s">
        <v>939</v>
      </c>
      <c r="AG252" s="27" t="s">
        <v>939</v>
      </c>
      <c r="AH252" s="27" t="s">
        <v>939</v>
      </c>
      <c r="AI252" s="27" t="s">
        <v>939</v>
      </c>
      <c r="AJ252" s="27" t="s">
        <v>939</v>
      </c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6</v>
      </c>
      <c r="M253" s="17">
        <f t="shared" si="15"/>
        <v>22</v>
      </c>
      <c r="N253" s="18">
        <f t="shared" si="16"/>
        <v>0.21428571428571427</v>
      </c>
      <c r="O253" s="27" t="s">
        <v>939</v>
      </c>
      <c r="P253" s="8" t="s">
        <v>939</v>
      </c>
      <c r="Q253" s="8" t="s">
        <v>939</v>
      </c>
      <c r="R253" s="8" t="s">
        <v>939</v>
      </c>
      <c r="S253" s="27" t="s">
        <v>939</v>
      </c>
      <c r="T253" s="27" t="s">
        <v>939</v>
      </c>
      <c r="U253" s="8" t="s">
        <v>939</v>
      </c>
      <c r="V253" s="8" t="s">
        <v>939</v>
      </c>
      <c r="W253" s="8" t="s">
        <v>939</v>
      </c>
      <c r="X253" s="27" t="s">
        <v>939</v>
      </c>
      <c r="Y253" s="27" t="s">
        <v>939</v>
      </c>
      <c r="Z253" s="27" t="s">
        <v>939</v>
      </c>
      <c r="AA253" s="27" t="s">
        <v>939</v>
      </c>
      <c r="AB253" s="27" t="s">
        <v>939</v>
      </c>
      <c r="AC253" s="27" t="s">
        <v>939</v>
      </c>
      <c r="AD253" s="27" t="s">
        <v>939</v>
      </c>
      <c r="AE253" s="27" t="s">
        <v>939</v>
      </c>
      <c r="AF253" s="27" t="s">
        <v>939</v>
      </c>
      <c r="AG253" s="27" t="s">
        <v>939</v>
      </c>
      <c r="AH253" s="27" t="s">
        <v>939</v>
      </c>
      <c r="AI253" s="27" t="s">
        <v>939</v>
      </c>
      <c r="AJ253" s="27" t="s">
        <v>939</v>
      </c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6</v>
      </c>
      <c r="M254" s="17">
        <f t="shared" si="15"/>
        <v>22</v>
      </c>
      <c r="N254" s="18">
        <f t="shared" si="16"/>
        <v>0.21428571428571427</v>
      </c>
      <c r="O254" s="27" t="s">
        <v>939</v>
      </c>
      <c r="P254" s="8" t="s">
        <v>939</v>
      </c>
      <c r="Q254" s="8" t="s">
        <v>939</v>
      </c>
      <c r="R254" s="8" t="s">
        <v>939</v>
      </c>
      <c r="S254" s="27" t="s">
        <v>939</v>
      </c>
      <c r="T254" s="27" t="s">
        <v>939</v>
      </c>
      <c r="U254" s="8" t="s">
        <v>939</v>
      </c>
      <c r="V254" s="8" t="s">
        <v>939</v>
      </c>
      <c r="W254" s="8" t="s">
        <v>939</v>
      </c>
      <c r="X254" s="27" t="s">
        <v>939</v>
      </c>
      <c r="Y254" s="27" t="s">
        <v>939</v>
      </c>
      <c r="Z254" s="27" t="s">
        <v>939</v>
      </c>
      <c r="AA254" s="27" t="s">
        <v>939</v>
      </c>
      <c r="AB254" s="27" t="s">
        <v>939</v>
      </c>
      <c r="AC254" s="27" t="s">
        <v>939</v>
      </c>
      <c r="AD254" s="27" t="s">
        <v>939</v>
      </c>
      <c r="AE254" s="27" t="s">
        <v>939</v>
      </c>
      <c r="AF254" s="27" t="s">
        <v>939</v>
      </c>
      <c r="AG254" s="27" t="s">
        <v>939</v>
      </c>
      <c r="AH254" s="27" t="s">
        <v>939</v>
      </c>
      <c r="AI254" s="27" t="s">
        <v>939</v>
      </c>
      <c r="AJ254" s="27" t="s">
        <v>939</v>
      </c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 t="s">
        <v>939</v>
      </c>
      <c r="AQ258" s="27"/>
      <c r="AR258" s="27"/>
      <c r="AS258" s="27"/>
    </row>
    <row r="259" spans="1:45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27</v>
      </c>
      <c r="M259" s="17">
        <f t="shared" si="15"/>
        <v>1</v>
      </c>
      <c r="N259" s="18">
        <f t="shared" si="16"/>
        <v>0.9642857142857143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 t="s">
        <v>939</v>
      </c>
      <c r="AQ259" s="27"/>
      <c r="AR259" s="27"/>
      <c r="AS259" s="27"/>
    </row>
    <row r="260" spans="1:45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7" t="s">
        <v>939</v>
      </c>
      <c r="P261" s="8" t="s">
        <v>939</v>
      </c>
      <c r="Q261" s="8" t="s">
        <v>939</v>
      </c>
      <c r="R261" s="8" t="s">
        <v>939</v>
      </c>
      <c r="S261" s="27" t="s">
        <v>939</v>
      </c>
      <c r="T261" s="27" t="s">
        <v>939</v>
      </c>
      <c r="U261" s="8" t="s">
        <v>939</v>
      </c>
      <c r="V261" s="8" t="s">
        <v>939</v>
      </c>
      <c r="W261" s="8" t="s">
        <v>939</v>
      </c>
      <c r="X261" s="27" t="s">
        <v>939</v>
      </c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22</v>
      </c>
      <c r="M262" s="17">
        <f t="shared" si="15"/>
        <v>6</v>
      </c>
      <c r="N262" s="18">
        <f t="shared" si="16"/>
        <v>0.7857142857142857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 t="s">
        <v>939</v>
      </c>
      <c r="AE262" s="27" t="s">
        <v>939</v>
      </c>
      <c r="AF262" s="27" t="s">
        <v>939</v>
      </c>
      <c r="AG262" s="27" t="s">
        <v>939</v>
      </c>
      <c r="AH262" s="27" t="s">
        <v>939</v>
      </c>
      <c r="AI262" s="27" t="s">
        <v>939</v>
      </c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21</v>
      </c>
      <c r="M263" s="17">
        <f t="shared" ref="M263:M326" si="18">COUNTIF(O263:AP263,"APAGADO")</f>
        <v>7</v>
      </c>
      <c r="N263" s="18">
        <f t="shared" ref="N263:N326" si="19">(L263)/(M263+L263)</f>
        <v>0.75</v>
      </c>
      <c r="O263" s="27"/>
      <c r="P263" s="8"/>
      <c r="Q263" s="8"/>
      <c r="R263" s="8"/>
      <c r="S263" s="27"/>
      <c r="T263" s="27"/>
      <c r="U263" s="8"/>
      <c r="V263" s="8"/>
      <c r="W263" s="8" t="s">
        <v>939</v>
      </c>
      <c r="X263" s="27"/>
      <c r="Y263" s="27"/>
      <c r="Z263" s="27"/>
      <c r="AA263" s="27"/>
      <c r="AB263" s="27"/>
      <c r="AC263" s="27"/>
      <c r="AD263" s="27"/>
      <c r="AE263" s="27"/>
      <c r="AF263" s="27" t="s">
        <v>939</v>
      </c>
      <c r="AG263" s="27" t="s">
        <v>939</v>
      </c>
      <c r="AH263" s="27" t="s">
        <v>939</v>
      </c>
      <c r="AI263" s="27" t="s">
        <v>939</v>
      </c>
      <c r="AJ263" s="27" t="s">
        <v>939</v>
      </c>
      <c r="AK263" s="8" t="s">
        <v>939</v>
      </c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21</v>
      </c>
      <c r="M264" s="17">
        <f t="shared" si="18"/>
        <v>7</v>
      </c>
      <c r="N264" s="18">
        <f t="shared" si="19"/>
        <v>0.75</v>
      </c>
      <c r="O264" s="27"/>
      <c r="P264" s="8"/>
      <c r="Q264" s="8"/>
      <c r="R264" s="8"/>
      <c r="S264" s="27"/>
      <c r="T264" s="27"/>
      <c r="U264" s="8"/>
      <c r="V264" s="8"/>
      <c r="W264" s="8" t="s">
        <v>939</v>
      </c>
      <c r="X264" s="27"/>
      <c r="Y264" s="27"/>
      <c r="Z264" s="27"/>
      <c r="AA264" s="27"/>
      <c r="AB264" s="27"/>
      <c r="AC264" s="27"/>
      <c r="AD264" s="27"/>
      <c r="AE264" s="27"/>
      <c r="AF264" s="27" t="s">
        <v>939</v>
      </c>
      <c r="AG264" s="27" t="s">
        <v>939</v>
      </c>
      <c r="AH264" s="27" t="s">
        <v>939</v>
      </c>
      <c r="AI264" s="27" t="s">
        <v>939</v>
      </c>
      <c r="AJ264" s="27" t="s">
        <v>939</v>
      </c>
      <c r="AK264" s="8" t="s">
        <v>939</v>
      </c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14</v>
      </c>
      <c r="M265" s="17">
        <f t="shared" si="18"/>
        <v>14</v>
      </c>
      <c r="N265" s="18">
        <f t="shared" si="19"/>
        <v>0.5</v>
      </c>
      <c r="O265" s="27"/>
      <c r="P265" s="8" t="s">
        <v>939</v>
      </c>
      <c r="Q265" s="8" t="s">
        <v>939</v>
      </c>
      <c r="R265" s="8" t="s">
        <v>939</v>
      </c>
      <c r="S265" s="27" t="s">
        <v>939</v>
      </c>
      <c r="T265" s="27" t="s">
        <v>939</v>
      </c>
      <c r="U265" s="8" t="s">
        <v>939</v>
      </c>
      <c r="V265" s="8" t="s">
        <v>939</v>
      </c>
      <c r="W265" s="8" t="s">
        <v>939</v>
      </c>
      <c r="X265" s="27"/>
      <c r="Y265" s="27"/>
      <c r="Z265" s="27"/>
      <c r="AA265" s="27"/>
      <c r="AB265" s="27"/>
      <c r="AC265" s="27"/>
      <c r="AD265" s="27"/>
      <c r="AE265" s="27"/>
      <c r="AF265" s="27" t="s">
        <v>939</v>
      </c>
      <c r="AG265" s="27" t="s">
        <v>939</v>
      </c>
      <c r="AH265" s="27" t="s">
        <v>939</v>
      </c>
      <c r="AI265" s="27" t="s">
        <v>939</v>
      </c>
      <c r="AJ265" s="27" t="s">
        <v>939</v>
      </c>
      <c r="AK265" s="8" t="s">
        <v>939</v>
      </c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14</v>
      </c>
      <c r="M266" s="17">
        <f t="shared" si="18"/>
        <v>14</v>
      </c>
      <c r="N266" s="18">
        <f t="shared" si="19"/>
        <v>0.5</v>
      </c>
      <c r="O266" s="27"/>
      <c r="P266" s="8" t="s">
        <v>939</v>
      </c>
      <c r="Q266" s="8" t="s">
        <v>939</v>
      </c>
      <c r="R266" s="8" t="s">
        <v>939</v>
      </c>
      <c r="S266" s="27" t="s">
        <v>939</v>
      </c>
      <c r="T266" s="27" t="s">
        <v>939</v>
      </c>
      <c r="U266" s="8" t="s">
        <v>939</v>
      </c>
      <c r="V266" s="8" t="s">
        <v>939</v>
      </c>
      <c r="W266" s="8" t="s">
        <v>939</v>
      </c>
      <c r="X266" s="27"/>
      <c r="Y266" s="27"/>
      <c r="Z266" s="27"/>
      <c r="AA266" s="27"/>
      <c r="AB266" s="27"/>
      <c r="AC266" s="27"/>
      <c r="AD266" s="27"/>
      <c r="AE266" s="27"/>
      <c r="AF266" s="27" t="s">
        <v>939</v>
      </c>
      <c r="AG266" s="27" t="s">
        <v>939</v>
      </c>
      <c r="AH266" s="27" t="s">
        <v>939</v>
      </c>
      <c r="AI266" s="27" t="s">
        <v>939</v>
      </c>
      <c r="AJ266" s="27" t="s">
        <v>939</v>
      </c>
      <c r="AK266" s="8" t="s">
        <v>939</v>
      </c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7" t="s">
        <v>939</v>
      </c>
      <c r="P273" s="8" t="s">
        <v>939</v>
      </c>
      <c r="Q273" s="8" t="s">
        <v>939</v>
      </c>
      <c r="R273" s="8" t="s">
        <v>939</v>
      </c>
      <c r="S273" s="27" t="s">
        <v>939</v>
      </c>
      <c r="T273" s="27" t="s">
        <v>939</v>
      </c>
      <c r="U273" s="8"/>
      <c r="V273" s="8" t="s">
        <v>939</v>
      </c>
      <c r="W273" s="8" t="s">
        <v>939</v>
      </c>
      <c r="X273" s="27" t="s">
        <v>939</v>
      </c>
      <c r="Y273" s="27" t="s">
        <v>939</v>
      </c>
      <c r="Z273" s="27" t="s">
        <v>939</v>
      </c>
      <c r="AA273" s="27" t="s">
        <v>939</v>
      </c>
      <c r="AB273" s="27" t="s">
        <v>939</v>
      </c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7" t="s">
        <v>939</v>
      </c>
      <c r="P274" s="8" t="s">
        <v>939</v>
      </c>
      <c r="Q274" s="8" t="s">
        <v>939</v>
      </c>
      <c r="R274" s="8" t="s">
        <v>939</v>
      </c>
      <c r="S274" s="27" t="s">
        <v>939</v>
      </c>
      <c r="T274" s="27" t="s">
        <v>939</v>
      </c>
      <c r="U274" s="8"/>
      <c r="V274" s="8" t="s">
        <v>939</v>
      </c>
      <c r="W274" s="8" t="s">
        <v>939</v>
      </c>
      <c r="X274" s="27" t="s">
        <v>939</v>
      </c>
      <c r="Y274" s="27" t="s">
        <v>939</v>
      </c>
      <c r="Z274" s="27"/>
      <c r="AA274" s="27" t="s">
        <v>939</v>
      </c>
      <c r="AB274" s="27" t="s">
        <v>939</v>
      </c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24</v>
      </c>
      <c r="M278" s="17">
        <f t="shared" si="18"/>
        <v>4</v>
      </c>
      <c r="N278" s="18">
        <f t="shared" si="19"/>
        <v>0.8571428571428571</v>
      </c>
      <c r="O278" s="27"/>
      <c r="P278" s="8" t="s">
        <v>939</v>
      </c>
      <c r="Q278" s="8" t="s">
        <v>939</v>
      </c>
      <c r="R278" s="8" t="s">
        <v>939</v>
      </c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 t="s">
        <v>939</v>
      </c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22</v>
      </c>
      <c r="M279" s="17">
        <f t="shared" si="18"/>
        <v>6</v>
      </c>
      <c r="N279" s="18">
        <f t="shared" si="19"/>
        <v>0.7857142857142857</v>
      </c>
      <c r="O279" s="27" t="s">
        <v>939</v>
      </c>
      <c r="P279" s="8" t="s">
        <v>939</v>
      </c>
      <c r="Q279" s="8" t="s">
        <v>939</v>
      </c>
      <c r="R279" s="8" t="s">
        <v>939</v>
      </c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 t="s">
        <v>939</v>
      </c>
      <c r="AM279" s="8"/>
      <c r="AN279" s="27"/>
      <c r="AO279" s="8" t="s">
        <v>939</v>
      </c>
      <c r="AP279" s="8"/>
      <c r="AQ279" s="27"/>
      <c r="AR279" s="27"/>
      <c r="AS279" s="27"/>
    </row>
    <row r="280" spans="1:45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 t="s">
        <v>939</v>
      </c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7</v>
      </c>
      <c r="M281" s="17">
        <f t="shared" si="18"/>
        <v>21</v>
      </c>
      <c r="N281" s="18">
        <f t="shared" si="19"/>
        <v>0.25</v>
      </c>
      <c r="O281" s="27"/>
      <c r="P281" s="8"/>
      <c r="Q281" s="8"/>
      <c r="R281" s="8"/>
      <c r="S281" s="27"/>
      <c r="T281" s="27"/>
      <c r="U281" s="8"/>
      <c r="V281" s="8" t="s">
        <v>939</v>
      </c>
      <c r="W281" s="8" t="s">
        <v>939</v>
      </c>
      <c r="X281" s="27" t="s">
        <v>939</v>
      </c>
      <c r="Y281" s="27" t="s">
        <v>939</v>
      </c>
      <c r="Z281" s="27" t="s">
        <v>939</v>
      </c>
      <c r="AA281" s="27" t="s">
        <v>939</v>
      </c>
      <c r="AB281" s="27" t="s">
        <v>939</v>
      </c>
      <c r="AC281" s="27" t="s">
        <v>939</v>
      </c>
      <c r="AD281" s="27" t="s">
        <v>939</v>
      </c>
      <c r="AE281" s="27" t="s">
        <v>939</v>
      </c>
      <c r="AF281" s="27" t="s">
        <v>939</v>
      </c>
      <c r="AG281" s="27" t="s">
        <v>939</v>
      </c>
      <c r="AH281" s="27" t="s">
        <v>939</v>
      </c>
      <c r="AI281" s="27" t="s">
        <v>939</v>
      </c>
      <c r="AJ281" s="27" t="s">
        <v>939</v>
      </c>
      <c r="AK281" s="8" t="s">
        <v>939</v>
      </c>
      <c r="AL281" s="8" t="s">
        <v>939</v>
      </c>
      <c r="AM281" s="8" t="s">
        <v>939</v>
      </c>
      <c r="AN281" s="27" t="s">
        <v>939</v>
      </c>
      <c r="AO281" s="8" t="s">
        <v>939</v>
      </c>
      <c r="AP281" s="8" t="s">
        <v>939</v>
      </c>
      <c r="AQ281" s="27"/>
      <c r="AR281" s="27"/>
      <c r="AS281" s="27"/>
    </row>
    <row r="282" spans="1:45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3</v>
      </c>
      <c r="M282" s="17">
        <f t="shared" si="18"/>
        <v>25</v>
      </c>
      <c r="N282" s="18">
        <f t="shared" si="19"/>
        <v>0.10714285714285714</v>
      </c>
      <c r="O282" s="27" t="s">
        <v>939</v>
      </c>
      <c r="P282" s="8" t="s">
        <v>939</v>
      </c>
      <c r="Q282" s="8" t="s">
        <v>939</v>
      </c>
      <c r="R282" s="8" t="s">
        <v>939</v>
      </c>
      <c r="S282" s="27"/>
      <c r="T282" s="27"/>
      <c r="U282" s="8" t="s">
        <v>939</v>
      </c>
      <c r="V282" s="8" t="s">
        <v>939</v>
      </c>
      <c r="W282" s="8" t="s">
        <v>939</v>
      </c>
      <c r="X282" s="27" t="s">
        <v>939</v>
      </c>
      <c r="Y282" s="27" t="s">
        <v>939</v>
      </c>
      <c r="Z282" s="27" t="s">
        <v>939</v>
      </c>
      <c r="AA282" s="27" t="s">
        <v>939</v>
      </c>
      <c r="AB282" s="27" t="s">
        <v>939</v>
      </c>
      <c r="AC282" s="27" t="s">
        <v>939</v>
      </c>
      <c r="AD282" s="27" t="s">
        <v>939</v>
      </c>
      <c r="AE282" s="27" t="s">
        <v>939</v>
      </c>
      <c r="AF282" s="27" t="s">
        <v>939</v>
      </c>
      <c r="AG282" s="27" t="s">
        <v>939</v>
      </c>
      <c r="AH282" s="27" t="s">
        <v>939</v>
      </c>
      <c r="AI282" s="27" t="s">
        <v>939</v>
      </c>
      <c r="AJ282" s="27" t="s">
        <v>939</v>
      </c>
      <c r="AK282" s="8"/>
      <c r="AL282" s="8" t="s">
        <v>939</v>
      </c>
      <c r="AM282" s="8" t="s">
        <v>939</v>
      </c>
      <c r="AN282" s="27" t="s">
        <v>939</v>
      </c>
      <c r="AO282" s="8" t="s">
        <v>939</v>
      </c>
      <c r="AP282" s="8" t="s">
        <v>939</v>
      </c>
      <c r="AQ282" s="27"/>
      <c r="AR282" s="27"/>
      <c r="AS282" s="27"/>
    </row>
    <row r="283" spans="1:45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18</v>
      </c>
      <c r="M284" s="17">
        <f t="shared" si="18"/>
        <v>10</v>
      </c>
      <c r="N284" s="18">
        <f t="shared" si="19"/>
        <v>0.6428571428571429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 t="s">
        <v>939</v>
      </c>
      <c r="AG284" s="27" t="s">
        <v>939</v>
      </c>
      <c r="AH284" s="27" t="s">
        <v>939</v>
      </c>
      <c r="AI284" s="27" t="s">
        <v>939</v>
      </c>
      <c r="AJ284" s="27" t="s">
        <v>939</v>
      </c>
      <c r="AK284" s="8"/>
      <c r="AL284" s="8" t="s">
        <v>939</v>
      </c>
      <c r="AM284" s="8" t="s">
        <v>939</v>
      </c>
      <c r="AN284" s="27" t="s">
        <v>939</v>
      </c>
      <c r="AO284" s="8" t="s">
        <v>939</v>
      </c>
      <c r="AP284" s="8" t="s">
        <v>939</v>
      </c>
      <c r="AQ284" s="27"/>
      <c r="AR284" s="27"/>
      <c r="AS284" s="27"/>
    </row>
    <row r="285" spans="1:45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18</v>
      </c>
      <c r="M285" s="17">
        <f t="shared" si="18"/>
        <v>10</v>
      </c>
      <c r="N285" s="18">
        <f t="shared" si="19"/>
        <v>0.6428571428571429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 t="s">
        <v>939</v>
      </c>
      <c r="AG285" s="27" t="s">
        <v>939</v>
      </c>
      <c r="AH285" s="27" t="s">
        <v>939</v>
      </c>
      <c r="AI285" s="27" t="s">
        <v>939</v>
      </c>
      <c r="AJ285" s="27" t="s">
        <v>939</v>
      </c>
      <c r="AK285" s="8"/>
      <c r="AL285" s="8" t="s">
        <v>939</v>
      </c>
      <c r="AM285" s="8" t="s">
        <v>939</v>
      </c>
      <c r="AN285" s="27" t="s">
        <v>939</v>
      </c>
      <c r="AO285" s="8" t="s">
        <v>939</v>
      </c>
      <c r="AP285" s="8" t="s">
        <v>939</v>
      </c>
      <c r="AQ285" s="27"/>
      <c r="AR285" s="27"/>
      <c r="AS285" s="27"/>
    </row>
    <row r="286" spans="1:45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 t="s">
        <v>939</v>
      </c>
      <c r="AQ286" s="27"/>
      <c r="AR286" s="27"/>
      <c r="AS286" s="27"/>
    </row>
    <row r="287" spans="1:45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27</v>
      </c>
      <c r="M287" s="17">
        <f t="shared" si="18"/>
        <v>1</v>
      </c>
      <c r="N287" s="18">
        <f t="shared" si="19"/>
        <v>0.9642857142857143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 t="s">
        <v>939</v>
      </c>
      <c r="AQ287" s="27"/>
      <c r="AR287" s="27"/>
      <c r="AS287" s="27"/>
    </row>
    <row r="288" spans="1:45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25</v>
      </c>
      <c r="M288" s="17">
        <f t="shared" si="18"/>
        <v>3</v>
      </c>
      <c r="N288" s="18">
        <f t="shared" si="19"/>
        <v>0.8928571428571429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 t="s">
        <v>939</v>
      </c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 t="s">
        <v>939</v>
      </c>
      <c r="AM288" s="8"/>
      <c r="AN288" s="27"/>
      <c r="AO288" s="8" t="s">
        <v>939</v>
      </c>
      <c r="AP288" s="8"/>
      <c r="AQ288" s="27"/>
      <c r="AR288" s="27"/>
      <c r="AS288" s="27"/>
    </row>
    <row r="289" spans="1:45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26</v>
      </c>
      <c r="M290" s="17">
        <f t="shared" si="18"/>
        <v>2</v>
      </c>
      <c r="N290" s="18">
        <f t="shared" si="19"/>
        <v>0.9285714285714286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 t="s">
        <v>939</v>
      </c>
      <c r="AN290" s="27"/>
      <c r="AO290" s="8"/>
      <c r="AP290" s="8" t="s">
        <v>939</v>
      </c>
      <c r="AQ290" s="27"/>
      <c r="AR290" s="27"/>
      <c r="AS290" s="27"/>
    </row>
    <row r="291" spans="1:45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24</v>
      </c>
      <c r="M291" s="17">
        <f t="shared" si="18"/>
        <v>4</v>
      </c>
      <c r="N291" s="18">
        <f t="shared" si="19"/>
        <v>0.8571428571428571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 t="s">
        <v>939</v>
      </c>
      <c r="AM291" s="8" t="s">
        <v>939</v>
      </c>
      <c r="AN291" s="27"/>
      <c r="AO291" s="8" t="s">
        <v>939</v>
      </c>
      <c r="AP291" s="8" t="s">
        <v>939</v>
      </c>
      <c r="AQ291" s="27"/>
      <c r="AR291" s="27"/>
      <c r="AS291" s="27"/>
    </row>
    <row r="292" spans="1:45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23</v>
      </c>
      <c r="M292" s="17">
        <f t="shared" si="18"/>
        <v>5</v>
      </c>
      <c r="N292" s="18">
        <f t="shared" si="19"/>
        <v>0.8214285714285714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 t="s">
        <v>939</v>
      </c>
      <c r="AM292" s="8" t="s">
        <v>939</v>
      </c>
      <c r="AN292" s="27" t="s">
        <v>939</v>
      </c>
      <c r="AO292" s="8" t="s">
        <v>939</v>
      </c>
      <c r="AP292" s="8" t="s">
        <v>939</v>
      </c>
      <c r="AQ292" s="27"/>
      <c r="AR292" s="27"/>
      <c r="AS292" s="27"/>
    </row>
    <row r="293" spans="1:45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23</v>
      </c>
      <c r="M293" s="17">
        <f t="shared" si="18"/>
        <v>5</v>
      </c>
      <c r="N293" s="18">
        <f t="shared" si="19"/>
        <v>0.8214285714285714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 t="s">
        <v>939</v>
      </c>
      <c r="AM293" s="8" t="s">
        <v>939</v>
      </c>
      <c r="AN293" s="27" t="s">
        <v>939</v>
      </c>
      <c r="AO293" s="8" t="s">
        <v>939</v>
      </c>
      <c r="AP293" s="8" t="s">
        <v>939</v>
      </c>
      <c r="AQ293" s="27"/>
      <c r="AR293" s="27"/>
      <c r="AS293" s="27"/>
    </row>
    <row r="294" spans="1:45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23</v>
      </c>
      <c r="M294" s="17">
        <f t="shared" si="18"/>
        <v>5</v>
      </c>
      <c r="N294" s="18">
        <f t="shared" si="19"/>
        <v>0.8214285714285714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 t="s">
        <v>939</v>
      </c>
      <c r="AM294" s="8" t="s">
        <v>939</v>
      </c>
      <c r="AN294" s="27" t="s">
        <v>939</v>
      </c>
      <c r="AO294" s="8" t="s">
        <v>939</v>
      </c>
      <c r="AP294" s="8" t="s">
        <v>939</v>
      </c>
      <c r="AQ294" s="27"/>
      <c r="AR294" s="27"/>
      <c r="AS294" s="27"/>
    </row>
    <row r="295" spans="1:45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23</v>
      </c>
      <c r="M295" s="17">
        <f t="shared" si="18"/>
        <v>5</v>
      </c>
      <c r="N295" s="18">
        <f t="shared" si="19"/>
        <v>0.8214285714285714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 t="s">
        <v>939</v>
      </c>
      <c r="AM295" s="8" t="s">
        <v>939</v>
      </c>
      <c r="AN295" s="27" t="s">
        <v>939</v>
      </c>
      <c r="AO295" s="8" t="s">
        <v>939</v>
      </c>
      <c r="AP295" s="8" t="s">
        <v>939</v>
      </c>
      <c r="AQ295" s="27"/>
      <c r="AR295" s="27"/>
      <c r="AS295" s="27"/>
    </row>
    <row r="296" spans="1:45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 t="s">
        <v>939</v>
      </c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22</v>
      </c>
      <c r="M297" s="17">
        <f t="shared" si="18"/>
        <v>6</v>
      </c>
      <c r="N297" s="18">
        <f t="shared" si="19"/>
        <v>0.7857142857142857</v>
      </c>
      <c r="O297" s="27"/>
      <c r="P297" s="8"/>
      <c r="Q297" s="8"/>
      <c r="R297" s="8"/>
      <c r="S297" s="27"/>
      <c r="T297" s="27" t="s">
        <v>939</v>
      </c>
      <c r="U297" s="8"/>
      <c r="V297" s="8" t="s">
        <v>939</v>
      </c>
      <c r="W297" s="8" t="s">
        <v>939</v>
      </c>
      <c r="X297" s="27" t="s">
        <v>939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939</v>
      </c>
      <c r="AM297" s="8" t="s">
        <v>939</v>
      </c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24</v>
      </c>
      <c r="M303" s="17">
        <f t="shared" si="18"/>
        <v>4</v>
      </c>
      <c r="N303" s="18">
        <f t="shared" si="19"/>
        <v>0.8571428571428571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 t="s">
        <v>939</v>
      </c>
      <c r="AM303" s="8" t="s">
        <v>939</v>
      </c>
      <c r="AN303" s="27" t="s">
        <v>939</v>
      </c>
      <c r="AO303" s="8" t="s">
        <v>939</v>
      </c>
      <c r="AP303" s="8"/>
      <c r="AQ303" s="27"/>
      <c r="AR303" s="27"/>
      <c r="AS303" s="27"/>
    </row>
    <row r="304" spans="1:45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16</v>
      </c>
      <c r="M304" s="17">
        <f t="shared" si="18"/>
        <v>12</v>
      </c>
      <c r="N304" s="18">
        <f t="shared" si="19"/>
        <v>0.5714285714285714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 t="s">
        <v>939</v>
      </c>
      <c r="Z304" s="27" t="s">
        <v>939</v>
      </c>
      <c r="AA304" s="27" t="s">
        <v>939</v>
      </c>
      <c r="AB304" s="27" t="s">
        <v>939</v>
      </c>
      <c r="AC304" s="27" t="s">
        <v>939</v>
      </c>
      <c r="AD304" s="27" t="s">
        <v>939</v>
      </c>
      <c r="AE304" s="27" t="s">
        <v>939</v>
      </c>
      <c r="AF304" s="27" t="s">
        <v>939</v>
      </c>
      <c r="AG304" s="27" t="s">
        <v>939</v>
      </c>
      <c r="AH304" s="27" t="s">
        <v>939</v>
      </c>
      <c r="AI304" s="27" t="s">
        <v>939</v>
      </c>
      <c r="AJ304" s="27" t="s">
        <v>939</v>
      </c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15</v>
      </c>
      <c r="M305" s="17">
        <f t="shared" si="18"/>
        <v>13</v>
      </c>
      <c r="N305" s="18">
        <f t="shared" si="19"/>
        <v>0.5357142857142857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 t="s">
        <v>939</v>
      </c>
      <c r="Z305" s="27" t="s">
        <v>939</v>
      </c>
      <c r="AA305" s="27" t="s">
        <v>939</v>
      </c>
      <c r="AB305" s="27" t="s">
        <v>939</v>
      </c>
      <c r="AC305" s="27" t="s">
        <v>939</v>
      </c>
      <c r="AD305" s="27" t="s">
        <v>939</v>
      </c>
      <c r="AE305" s="27" t="s">
        <v>939</v>
      </c>
      <c r="AF305" s="27" t="s">
        <v>939</v>
      </c>
      <c r="AG305" s="27" t="s">
        <v>939</v>
      </c>
      <c r="AH305" s="27" t="s">
        <v>939</v>
      </c>
      <c r="AI305" s="27" t="s">
        <v>939</v>
      </c>
      <c r="AJ305" s="27" t="s">
        <v>939</v>
      </c>
      <c r="AK305" s="8"/>
      <c r="AL305" s="8" t="s">
        <v>939</v>
      </c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16</v>
      </c>
      <c r="M306" s="17">
        <f t="shared" si="18"/>
        <v>12</v>
      </c>
      <c r="N306" s="18">
        <f t="shared" si="19"/>
        <v>0.5714285714285714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 t="s">
        <v>939</v>
      </c>
      <c r="Z306" s="27" t="s">
        <v>939</v>
      </c>
      <c r="AA306" s="27" t="s">
        <v>939</v>
      </c>
      <c r="AB306" s="27" t="s">
        <v>939</v>
      </c>
      <c r="AC306" s="27" t="s">
        <v>939</v>
      </c>
      <c r="AD306" s="27" t="s">
        <v>939</v>
      </c>
      <c r="AE306" s="27" t="s">
        <v>939</v>
      </c>
      <c r="AF306" s="27" t="s">
        <v>939</v>
      </c>
      <c r="AG306" s="27" t="s">
        <v>939</v>
      </c>
      <c r="AH306" s="27" t="s">
        <v>939</v>
      </c>
      <c r="AI306" s="27" t="s">
        <v>939</v>
      </c>
      <c r="AJ306" s="27" t="s">
        <v>939</v>
      </c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16</v>
      </c>
      <c r="M307" s="17">
        <f t="shared" si="18"/>
        <v>12</v>
      </c>
      <c r="N307" s="18">
        <f t="shared" si="19"/>
        <v>0.5714285714285714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 t="s">
        <v>939</v>
      </c>
      <c r="Z307" s="27" t="s">
        <v>939</v>
      </c>
      <c r="AA307" s="27" t="s">
        <v>939</v>
      </c>
      <c r="AB307" s="27" t="s">
        <v>939</v>
      </c>
      <c r="AC307" s="27" t="s">
        <v>939</v>
      </c>
      <c r="AD307" s="27" t="s">
        <v>939</v>
      </c>
      <c r="AE307" s="27" t="s">
        <v>939</v>
      </c>
      <c r="AF307" s="27" t="s">
        <v>939</v>
      </c>
      <c r="AG307" s="27" t="s">
        <v>939</v>
      </c>
      <c r="AH307" s="27" t="s">
        <v>939</v>
      </c>
      <c r="AI307" s="27" t="s">
        <v>939</v>
      </c>
      <c r="AJ307" s="27" t="s">
        <v>939</v>
      </c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C308" s="45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7" t="s">
        <v>939</v>
      </c>
      <c r="P308" s="8" t="s">
        <v>939</v>
      </c>
      <c r="Q308" s="8"/>
      <c r="R308" s="8"/>
      <c r="S308" s="27" t="s">
        <v>939</v>
      </c>
      <c r="T308" s="27"/>
      <c r="U308" s="8"/>
      <c r="V308" s="8"/>
      <c r="W308" s="8"/>
      <c r="X308" s="27"/>
      <c r="Y308" s="27"/>
      <c r="Z308" s="27"/>
      <c r="AA308" s="27" t="s">
        <v>939</v>
      </c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C310" s="45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22</v>
      </c>
      <c r="M311" s="17">
        <f t="shared" si="18"/>
        <v>6</v>
      </c>
      <c r="N311" s="18">
        <f t="shared" si="19"/>
        <v>0.7857142857142857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 t="s">
        <v>939</v>
      </c>
      <c r="AE311" s="27" t="s">
        <v>939</v>
      </c>
      <c r="AF311" s="27" t="s">
        <v>939</v>
      </c>
      <c r="AG311" s="27" t="s">
        <v>939</v>
      </c>
      <c r="AH311" s="27" t="s">
        <v>939</v>
      </c>
      <c r="AI311" s="27" t="s">
        <v>939</v>
      </c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23</v>
      </c>
      <c r="M312" s="17">
        <f t="shared" si="18"/>
        <v>5</v>
      </c>
      <c r="N312" s="18">
        <f t="shared" si="19"/>
        <v>0.8214285714285714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 t="s">
        <v>939</v>
      </c>
      <c r="AF312" s="27" t="s">
        <v>939</v>
      </c>
      <c r="AG312" s="27" t="s">
        <v>939</v>
      </c>
      <c r="AH312" s="27" t="s">
        <v>939</v>
      </c>
      <c r="AI312" s="27" t="s">
        <v>939</v>
      </c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22</v>
      </c>
      <c r="M313" s="17">
        <f t="shared" si="18"/>
        <v>6</v>
      </c>
      <c r="N313" s="18">
        <f t="shared" si="19"/>
        <v>0.7857142857142857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 t="s">
        <v>939</v>
      </c>
      <c r="AB313" s="27"/>
      <c r="AC313" s="27"/>
      <c r="AD313" s="27"/>
      <c r="AE313" s="27" t="s">
        <v>939</v>
      </c>
      <c r="AF313" s="27" t="s">
        <v>939</v>
      </c>
      <c r="AG313" s="27" t="s">
        <v>939</v>
      </c>
      <c r="AH313" s="27" t="s">
        <v>939</v>
      </c>
      <c r="AI313" s="27" t="s">
        <v>939</v>
      </c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 t="s">
        <v>939</v>
      </c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 t="s">
        <v>939</v>
      </c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10</v>
      </c>
      <c r="M321" s="17">
        <f t="shared" si="18"/>
        <v>18</v>
      </c>
      <c r="N321" s="18">
        <f t="shared" si="19"/>
        <v>0.35714285714285715</v>
      </c>
      <c r="O321" s="27" t="s">
        <v>939</v>
      </c>
      <c r="P321" s="8" t="s">
        <v>939</v>
      </c>
      <c r="Q321" s="8" t="s">
        <v>939</v>
      </c>
      <c r="R321" s="8" t="s">
        <v>939</v>
      </c>
      <c r="S321" s="27" t="s">
        <v>939</v>
      </c>
      <c r="T321" s="27" t="s">
        <v>939</v>
      </c>
      <c r="U321" s="8" t="s">
        <v>939</v>
      </c>
      <c r="V321" s="8" t="s">
        <v>939</v>
      </c>
      <c r="W321" s="8" t="s">
        <v>939</v>
      </c>
      <c r="X321" s="27" t="s">
        <v>939</v>
      </c>
      <c r="Y321" s="27"/>
      <c r="Z321" s="27"/>
      <c r="AA321" s="27"/>
      <c r="AB321" s="27"/>
      <c r="AC321" s="27"/>
      <c r="AD321" s="27" t="s">
        <v>939</v>
      </c>
      <c r="AE321" s="27" t="s">
        <v>939</v>
      </c>
      <c r="AF321" s="27" t="s">
        <v>939</v>
      </c>
      <c r="AG321" s="27" t="s">
        <v>939</v>
      </c>
      <c r="AH321" s="27" t="s">
        <v>939</v>
      </c>
      <c r="AI321" s="27" t="s">
        <v>939</v>
      </c>
      <c r="AJ321" s="27" t="s">
        <v>939</v>
      </c>
      <c r="AK321" s="8" t="s">
        <v>939</v>
      </c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14</v>
      </c>
      <c r="M322" s="17">
        <f t="shared" si="18"/>
        <v>14</v>
      </c>
      <c r="N322" s="18">
        <f t="shared" si="19"/>
        <v>0.5</v>
      </c>
      <c r="O322" s="27" t="s">
        <v>939</v>
      </c>
      <c r="P322" s="8" t="s">
        <v>939</v>
      </c>
      <c r="Q322" s="8" t="s">
        <v>939</v>
      </c>
      <c r="R322" s="8" t="s">
        <v>939</v>
      </c>
      <c r="S322" s="27" t="s">
        <v>939</v>
      </c>
      <c r="T322" s="27" t="s">
        <v>939</v>
      </c>
      <c r="U322" s="8" t="s">
        <v>939</v>
      </c>
      <c r="V322" s="8" t="s">
        <v>939</v>
      </c>
      <c r="W322" s="8" t="s">
        <v>939</v>
      </c>
      <c r="X322" s="27" t="s">
        <v>939</v>
      </c>
      <c r="Y322" s="27"/>
      <c r="Z322" s="27"/>
      <c r="AA322" s="27"/>
      <c r="AB322" s="27"/>
      <c r="AC322" s="27" t="s">
        <v>939</v>
      </c>
      <c r="AD322" s="27" t="s">
        <v>939</v>
      </c>
      <c r="AE322" s="27"/>
      <c r="AF322" s="27"/>
      <c r="AG322" s="27" t="s">
        <v>939</v>
      </c>
      <c r="AH322" s="27"/>
      <c r="AI322" s="27"/>
      <c r="AJ322" s="27" t="s">
        <v>939</v>
      </c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 t="s">
        <v>939</v>
      </c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21</v>
      </c>
      <c r="M324" s="17">
        <f t="shared" si="18"/>
        <v>7</v>
      </c>
      <c r="N324" s="18">
        <f t="shared" si="19"/>
        <v>0.75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 t="s">
        <v>939</v>
      </c>
      <c r="AE324" s="27" t="s">
        <v>939</v>
      </c>
      <c r="AF324" s="27" t="s">
        <v>939</v>
      </c>
      <c r="AG324" s="27"/>
      <c r="AH324" s="27"/>
      <c r="AI324" s="27" t="s">
        <v>939</v>
      </c>
      <c r="AJ324" s="27" t="s">
        <v>939</v>
      </c>
      <c r="AK324" s="8" t="s">
        <v>939</v>
      </c>
      <c r="AL324" s="8"/>
      <c r="AM324" s="8" t="s">
        <v>939</v>
      </c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12</v>
      </c>
      <c r="M330" s="17">
        <f t="shared" si="21"/>
        <v>16</v>
      </c>
      <c r="N330" s="18">
        <f t="shared" si="22"/>
        <v>0.42857142857142855</v>
      </c>
      <c r="O330" s="27"/>
      <c r="P330" s="8" t="s">
        <v>939</v>
      </c>
      <c r="Q330" s="8" t="s">
        <v>939</v>
      </c>
      <c r="R330" s="8" t="s">
        <v>939</v>
      </c>
      <c r="S330" s="27" t="s">
        <v>939</v>
      </c>
      <c r="T330" s="27" t="s">
        <v>939</v>
      </c>
      <c r="U330" s="8" t="s">
        <v>939</v>
      </c>
      <c r="V330" s="8" t="s">
        <v>939</v>
      </c>
      <c r="W330" s="8" t="s">
        <v>939</v>
      </c>
      <c r="X330" s="27" t="s">
        <v>939</v>
      </c>
      <c r="Y330" s="27"/>
      <c r="Z330" s="27"/>
      <c r="AA330" s="27"/>
      <c r="AB330" s="27" t="s">
        <v>939</v>
      </c>
      <c r="AC330" s="27" t="s">
        <v>939</v>
      </c>
      <c r="AD330" s="27" t="s">
        <v>939</v>
      </c>
      <c r="AE330" s="27"/>
      <c r="AF330" s="27"/>
      <c r="AG330" s="27" t="s">
        <v>939</v>
      </c>
      <c r="AH330" s="27" t="s">
        <v>939</v>
      </c>
      <c r="AI330" s="27" t="s">
        <v>939</v>
      </c>
      <c r="AJ330" s="27" t="s">
        <v>939</v>
      </c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12</v>
      </c>
      <c r="M331" s="17">
        <f t="shared" si="21"/>
        <v>16</v>
      </c>
      <c r="N331" s="18">
        <f t="shared" si="22"/>
        <v>0.42857142857142855</v>
      </c>
      <c r="O331" s="27"/>
      <c r="P331" s="8" t="s">
        <v>939</v>
      </c>
      <c r="Q331" s="8" t="s">
        <v>939</v>
      </c>
      <c r="R331" s="8" t="s">
        <v>939</v>
      </c>
      <c r="S331" s="27" t="s">
        <v>939</v>
      </c>
      <c r="T331" s="27" t="s">
        <v>939</v>
      </c>
      <c r="U331" s="8" t="s">
        <v>939</v>
      </c>
      <c r="V331" s="8" t="s">
        <v>939</v>
      </c>
      <c r="W331" s="8" t="s">
        <v>939</v>
      </c>
      <c r="X331" s="27" t="s">
        <v>939</v>
      </c>
      <c r="Y331" s="27"/>
      <c r="Z331" s="27"/>
      <c r="AA331" s="27"/>
      <c r="AB331" s="27" t="s">
        <v>939</v>
      </c>
      <c r="AC331" s="27" t="s">
        <v>939</v>
      </c>
      <c r="AD331" s="27" t="s">
        <v>939</v>
      </c>
      <c r="AE331" s="27"/>
      <c r="AF331" s="27"/>
      <c r="AG331" s="27" t="s">
        <v>939</v>
      </c>
      <c r="AH331" s="27" t="s">
        <v>939</v>
      </c>
      <c r="AI331" s="27" t="s">
        <v>939</v>
      </c>
      <c r="AJ331" s="27" t="s">
        <v>939</v>
      </c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 t="s">
        <v>939</v>
      </c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7" t="s">
        <v>939</v>
      </c>
      <c r="P333" s="8" t="s">
        <v>939</v>
      </c>
      <c r="Q333" s="8" t="s">
        <v>939</v>
      </c>
      <c r="R333" s="8" t="s">
        <v>939</v>
      </c>
      <c r="S333" s="27" t="s">
        <v>939</v>
      </c>
      <c r="T333" s="27" t="s">
        <v>939</v>
      </c>
      <c r="U333" s="8" t="s">
        <v>939</v>
      </c>
      <c r="V333" s="8" t="s">
        <v>939</v>
      </c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 t="s">
        <v>939</v>
      </c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 t="s">
        <v>939</v>
      </c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 t="s">
        <v>939</v>
      </c>
      <c r="AE339" s="27"/>
      <c r="AF339" s="27"/>
      <c r="AG339" s="27"/>
      <c r="AH339" s="27"/>
      <c r="AI339" s="27"/>
      <c r="AJ339" s="27"/>
      <c r="AK339" s="8"/>
      <c r="AL339" s="8" t="s">
        <v>939</v>
      </c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 t="s">
        <v>939</v>
      </c>
      <c r="AO342" s="8"/>
      <c r="AP342" s="8"/>
      <c r="AQ342" s="27"/>
      <c r="AR342" s="27"/>
      <c r="AS342" s="27"/>
    </row>
    <row r="343" spans="1:45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 t="s">
        <v>939</v>
      </c>
      <c r="AQ345" s="27"/>
      <c r="AR345" s="27"/>
      <c r="AS345" s="27"/>
    </row>
    <row r="346" spans="1:45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 t="s">
        <v>939</v>
      </c>
      <c r="AQ346" s="27"/>
      <c r="AR346" s="27"/>
      <c r="AS346" s="27"/>
    </row>
    <row r="347" spans="1:45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16</v>
      </c>
      <c r="M347" s="17">
        <f t="shared" si="21"/>
        <v>12</v>
      </c>
      <c r="N347" s="18">
        <f t="shared" si="22"/>
        <v>0.5714285714285714</v>
      </c>
      <c r="O347" s="27" t="s">
        <v>939</v>
      </c>
      <c r="P347" s="8" t="s">
        <v>939</v>
      </c>
      <c r="Q347" s="8" t="s">
        <v>939</v>
      </c>
      <c r="R347" s="8" t="s">
        <v>939</v>
      </c>
      <c r="S347" s="27" t="s">
        <v>939</v>
      </c>
      <c r="T347" s="27" t="s">
        <v>939</v>
      </c>
      <c r="U347" s="8" t="s">
        <v>939</v>
      </c>
      <c r="V347" s="8" t="s">
        <v>939</v>
      </c>
      <c r="W347" s="8" t="s">
        <v>939</v>
      </c>
      <c r="X347" s="27" t="s">
        <v>939</v>
      </c>
      <c r="Y347" s="27" t="s">
        <v>939</v>
      </c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 t="s">
        <v>939</v>
      </c>
      <c r="AQ347" s="27"/>
      <c r="AR347" s="27"/>
      <c r="AS347" s="27"/>
    </row>
    <row r="348" spans="1:45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16</v>
      </c>
      <c r="M348" s="17">
        <f t="shared" si="21"/>
        <v>12</v>
      </c>
      <c r="N348" s="18">
        <f t="shared" si="22"/>
        <v>0.5714285714285714</v>
      </c>
      <c r="O348" s="27" t="s">
        <v>939</v>
      </c>
      <c r="P348" s="8" t="s">
        <v>939</v>
      </c>
      <c r="Q348" s="8" t="s">
        <v>939</v>
      </c>
      <c r="R348" s="8" t="s">
        <v>939</v>
      </c>
      <c r="S348" s="27" t="s">
        <v>939</v>
      </c>
      <c r="T348" s="27" t="s">
        <v>939</v>
      </c>
      <c r="U348" s="8" t="s">
        <v>939</v>
      </c>
      <c r="V348" s="8" t="s">
        <v>939</v>
      </c>
      <c r="W348" s="8" t="s">
        <v>939</v>
      </c>
      <c r="X348" s="27" t="s">
        <v>939</v>
      </c>
      <c r="Y348" s="27" t="s">
        <v>939</v>
      </c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 t="s">
        <v>939</v>
      </c>
      <c r="AQ348" s="27"/>
      <c r="AR348" s="27"/>
      <c r="AS348" s="27"/>
    </row>
    <row r="349" spans="1:45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8</v>
      </c>
      <c r="M349" s="17">
        <f t="shared" si="21"/>
        <v>20</v>
      </c>
      <c r="N349" s="18">
        <f t="shared" si="22"/>
        <v>0.2857142857142857</v>
      </c>
      <c r="O349" s="27" t="s">
        <v>939</v>
      </c>
      <c r="P349" s="8" t="s">
        <v>939</v>
      </c>
      <c r="Q349" s="8" t="s">
        <v>939</v>
      </c>
      <c r="R349" s="8" t="s">
        <v>939</v>
      </c>
      <c r="S349" s="27" t="s">
        <v>939</v>
      </c>
      <c r="T349" s="27" t="s">
        <v>939</v>
      </c>
      <c r="U349" s="8" t="s">
        <v>939</v>
      </c>
      <c r="V349" s="8" t="s">
        <v>939</v>
      </c>
      <c r="W349" s="8" t="s">
        <v>939</v>
      </c>
      <c r="X349" s="27" t="s">
        <v>939</v>
      </c>
      <c r="Y349" s="27" t="s">
        <v>939</v>
      </c>
      <c r="Z349" s="27"/>
      <c r="AA349" s="27"/>
      <c r="AB349" s="27" t="s">
        <v>939</v>
      </c>
      <c r="AC349" s="27" t="s">
        <v>939</v>
      </c>
      <c r="AD349" s="27" t="s">
        <v>939</v>
      </c>
      <c r="AE349" s="27" t="s">
        <v>939</v>
      </c>
      <c r="AF349" s="27" t="s">
        <v>939</v>
      </c>
      <c r="AG349" s="27" t="s">
        <v>939</v>
      </c>
      <c r="AH349" s="27" t="s">
        <v>939</v>
      </c>
      <c r="AI349" s="27" t="s">
        <v>939</v>
      </c>
      <c r="AJ349" s="27"/>
      <c r="AK349" s="8"/>
      <c r="AL349" s="8"/>
      <c r="AM349" s="8"/>
      <c r="AN349" s="27"/>
      <c r="AO349" s="8"/>
      <c r="AP349" s="8" t="s">
        <v>939</v>
      </c>
      <c r="AQ349" s="27"/>
      <c r="AR349" s="27"/>
      <c r="AS349" s="27"/>
    </row>
    <row r="350" spans="1:45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12</v>
      </c>
      <c r="M350" s="17">
        <f t="shared" si="21"/>
        <v>16</v>
      </c>
      <c r="N350" s="18">
        <f t="shared" si="22"/>
        <v>0.42857142857142855</v>
      </c>
      <c r="O350" s="27" t="s">
        <v>939</v>
      </c>
      <c r="P350" s="8" t="s">
        <v>939</v>
      </c>
      <c r="Q350" s="8" t="s">
        <v>939</v>
      </c>
      <c r="R350" s="8" t="s">
        <v>939</v>
      </c>
      <c r="S350" s="27"/>
      <c r="T350" s="27" t="s">
        <v>939</v>
      </c>
      <c r="U350" s="8" t="s">
        <v>939</v>
      </c>
      <c r="V350" s="8" t="s">
        <v>939</v>
      </c>
      <c r="W350" s="8"/>
      <c r="X350" s="27"/>
      <c r="Y350" s="27"/>
      <c r="Z350" s="27" t="s">
        <v>939</v>
      </c>
      <c r="AA350" s="27" t="s">
        <v>939</v>
      </c>
      <c r="AB350" s="27"/>
      <c r="AC350" s="27"/>
      <c r="AD350" s="27" t="s">
        <v>939</v>
      </c>
      <c r="AE350" s="27" t="s">
        <v>939</v>
      </c>
      <c r="AF350" s="27" t="s">
        <v>939</v>
      </c>
      <c r="AG350" s="27" t="s">
        <v>939</v>
      </c>
      <c r="AH350" s="27" t="s">
        <v>939</v>
      </c>
      <c r="AI350" s="27" t="s">
        <v>939</v>
      </c>
      <c r="AJ350" s="27" t="s">
        <v>939</v>
      </c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7" t="s">
        <v>939</v>
      </c>
      <c r="P351" s="8" t="s">
        <v>939</v>
      </c>
      <c r="Q351" s="8" t="s">
        <v>939</v>
      </c>
      <c r="R351" s="8" t="s">
        <v>939</v>
      </c>
      <c r="S351" s="27" t="s">
        <v>939</v>
      </c>
      <c r="T351" s="27" t="s">
        <v>939</v>
      </c>
      <c r="U351" s="8" t="s">
        <v>939</v>
      </c>
      <c r="V351" s="8" t="s">
        <v>939</v>
      </c>
      <c r="W351" s="8" t="s">
        <v>939</v>
      </c>
      <c r="X351" s="27" t="s">
        <v>939</v>
      </c>
      <c r="Y351" s="27" t="s">
        <v>939</v>
      </c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25</v>
      </c>
      <c r="M352" s="17">
        <f t="shared" si="21"/>
        <v>3</v>
      </c>
      <c r="N352" s="18">
        <f t="shared" si="22"/>
        <v>0.8928571428571429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 t="s">
        <v>939</v>
      </c>
      <c r="AO352" s="8" t="s">
        <v>939</v>
      </c>
      <c r="AP352" s="8" t="s">
        <v>939</v>
      </c>
      <c r="AQ352" s="27"/>
      <c r="AR352" s="27"/>
      <c r="AS352" s="27"/>
    </row>
    <row r="353" spans="1:45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20</v>
      </c>
      <c r="M355" s="17">
        <f t="shared" si="21"/>
        <v>8</v>
      </c>
      <c r="N355" s="18">
        <f t="shared" si="22"/>
        <v>0.7142857142857143</v>
      </c>
      <c r="O355" s="27"/>
      <c r="P355" s="8"/>
      <c r="Q355" s="8"/>
      <c r="R355" s="8"/>
      <c r="S355" s="27" t="s">
        <v>939</v>
      </c>
      <c r="T355" s="27" t="s">
        <v>939</v>
      </c>
      <c r="U355" s="8"/>
      <c r="V355" s="8"/>
      <c r="W355" s="8"/>
      <c r="X355" s="27"/>
      <c r="Y355" s="27"/>
      <c r="Z355" s="27" t="s">
        <v>939</v>
      </c>
      <c r="AA355" s="27" t="s">
        <v>939</v>
      </c>
      <c r="AB355" s="27"/>
      <c r="AC355" s="27"/>
      <c r="AD355" s="27"/>
      <c r="AE355" s="27"/>
      <c r="AF355" s="27"/>
      <c r="AG355" s="27" t="s">
        <v>939</v>
      </c>
      <c r="AH355" s="27"/>
      <c r="AI355" s="27"/>
      <c r="AJ355" s="27"/>
      <c r="AK355" s="8"/>
      <c r="AL355" s="8" t="s">
        <v>939</v>
      </c>
      <c r="AM355" s="8"/>
      <c r="AN355" s="27" t="s">
        <v>939</v>
      </c>
      <c r="AO355" s="8" t="s">
        <v>939</v>
      </c>
      <c r="AP355" s="8"/>
      <c r="AQ355" s="27"/>
      <c r="AR355" s="27"/>
      <c r="AS355" s="27"/>
    </row>
    <row r="356" spans="1:45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23</v>
      </c>
      <c r="M358" s="17">
        <f t="shared" si="21"/>
        <v>5</v>
      </c>
      <c r="N358" s="18">
        <f t="shared" si="22"/>
        <v>0.8214285714285714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939</v>
      </c>
      <c r="AM358" s="8" t="s">
        <v>939</v>
      </c>
      <c r="AN358" s="27" t="s">
        <v>939</v>
      </c>
      <c r="AO358" s="8" t="s">
        <v>939</v>
      </c>
      <c r="AP358" s="8" t="s">
        <v>939</v>
      </c>
      <c r="AQ358" s="27"/>
      <c r="AR358" s="27"/>
      <c r="AS358" s="27"/>
    </row>
    <row r="359" spans="1:45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 t="s">
        <v>939</v>
      </c>
      <c r="AQ363" s="27"/>
      <c r="AR363" s="27"/>
      <c r="AS363" s="27"/>
    </row>
    <row r="364" spans="1:45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7"/>
      <c r="P364" s="8"/>
      <c r="Q364" s="8"/>
      <c r="R364" s="8"/>
      <c r="S364" s="27"/>
      <c r="T364" s="27"/>
      <c r="U364" s="8" t="s">
        <v>939</v>
      </c>
      <c r="V364" s="8" t="s">
        <v>939</v>
      </c>
      <c r="W364" s="8" t="s">
        <v>939</v>
      </c>
      <c r="X364" s="27" t="s">
        <v>939</v>
      </c>
      <c r="Y364" s="27" t="s">
        <v>939</v>
      </c>
      <c r="Z364" s="27"/>
      <c r="AA364" s="27" t="s">
        <v>939</v>
      </c>
      <c r="AB364" s="27" t="s">
        <v>939</v>
      </c>
      <c r="AC364" s="27" t="s">
        <v>939</v>
      </c>
      <c r="AD364" s="27" t="s">
        <v>939</v>
      </c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10</v>
      </c>
      <c r="M369" s="17">
        <f t="shared" si="21"/>
        <v>18</v>
      </c>
      <c r="N369" s="18">
        <f t="shared" si="22"/>
        <v>0.35714285714285715</v>
      </c>
      <c r="O369" s="27" t="s">
        <v>939</v>
      </c>
      <c r="P369" s="8" t="s">
        <v>939</v>
      </c>
      <c r="Q369" s="8" t="s">
        <v>939</v>
      </c>
      <c r="R369" s="8" t="s">
        <v>939</v>
      </c>
      <c r="S369" s="27" t="s">
        <v>939</v>
      </c>
      <c r="T369" s="27" t="s">
        <v>939</v>
      </c>
      <c r="U369" s="8" t="s">
        <v>939</v>
      </c>
      <c r="V369" s="8" t="s">
        <v>939</v>
      </c>
      <c r="W369" s="8" t="s">
        <v>939</v>
      </c>
      <c r="X369" s="27" t="s">
        <v>939</v>
      </c>
      <c r="Y369" s="27" t="s">
        <v>939</v>
      </c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 t="s">
        <v>939</v>
      </c>
      <c r="AK369" s="8" t="s">
        <v>939</v>
      </c>
      <c r="AL369" s="8" t="s">
        <v>939</v>
      </c>
      <c r="AM369" s="8" t="s">
        <v>939</v>
      </c>
      <c r="AN369" s="27" t="s">
        <v>939</v>
      </c>
      <c r="AO369" s="8" t="s">
        <v>939</v>
      </c>
      <c r="AP369" s="8" t="s">
        <v>939</v>
      </c>
      <c r="AQ369" s="27"/>
      <c r="AR369" s="27"/>
      <c r="AS369" s="27"/>
    </row>
    <row r="370" spans="1:45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 t="s">
        <v>939</v>
      </c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1318</v>
      </c>
      <c r="C371" s="45" t="s">
        <v>1314</v>
      </c>
      <c r="D371" t="s">
        <v>1316</v>
      </c>
      <c r="E371" s="45" t="s">
        <v>113</v>
      </c>
      <c r="F371" s="45" t="s">
        <v>36</v>
      </c>
      <c r="G371" s="9"/>
      <c r="H371" s="9" t="s">
        <v>1321</v>
      </c>
      <c r="I371" s="9"/>
      <c r="J371" s="9"/>
      <c r="K371" s="28" t="s">
        <v>1319</v>
      </c>
      <c r="L371" s="17">
        <f t="shared" ref="L371:L372" si="23">COUNTIF(O371:AP371,"")</f>
        <v>26</v>
      </c>
      <c r="M371" s="17">
        <f t="shared" ref="M371:M372" si="24">COUNTIF(O371:AP371,"APAGADO")</f>
        <v>2</v>
      </c>
      <c r="N371" s="18">
        <f t="shared" ref="N371:N372" si="25">(L371)/(M371+L371)</f>
        <v>0.9285714285714286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 t="s">
        <v>939</v>
      </c>
      <c r="AM371" s="27"/>
      <c r="AN371" s="27"/>
      <c r="AO371" s="27"/>
      <c r="AP371" s="27" t="s">
        <v>939</v>
      </c>
      <c r="AQ371" s="27"/>
      <c r="AR371" s="27"/>
      <c r="AS371" s="27"/>
    </row>
    <row r="372" spans="1:45" ht="15.75" thickBot="1" x14ac:dyDescent="0.3">
      <c r="A372" t="s">
        <v>1318</v>
      </c>
      <c r="C372" s="45" t="s">
        <v>1315</v>
      </c>
      <c r="D372" t="s">
        <v>1317</v>
      </c>
      <c r="E372" s="45" t="s">
        <v>113</v>
      </c>
      <c r="F372" s="45" t="s">
        <v>36</v>
      </c>
      <c r="G372" s="9" t="s">
        <v>1321</v>
      </c>
      <c r="H372" s="9"/>
      <c r="I372" s="9"/>
      <c r="J372" s="9"/>
      <c r="K372" s="28" t="s">
        <v>1320</v>
      </c>
      <c r="L372" s="17">
        <f t="shared" si="23"/>
        <v>26</v>
      </c>
      <c r="M372" s="17">
        <f t="shared" si="24"/>
        <v>2</v>
      </c>
      <c r="N372" s="18">
        <f t="shared" si="25"/>
        <v>0.9285714285714286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 t="s">
        <v>939</v>
      </c>
      <c r="AM372" s="27"/>
      <c r="AN372" s="27"/>
      <c r="AO372" s="27"/>
      <c r="AP372" s="27" t="s">
        <v>939</v>
      </c>
      <c r="AQ372" s="27"/>
      <c r="AR372" s="27"/>
      <c r="AS372" s="27"/>
    </row>
    <row r="373" spans="1:45" x14ac:dyDescent="0.25">
      <c r="E373" s="9"/>
      <c r="F373" s="9"/>
      <c r="G373" s="9"/>
      <c r="H373" s="9"/>
      <c r="I373" s="9"/>
      <c r="J373" s="9"/>
      <c r="K373" s="28"/>
      <c r="N373" s="21"/>
      <c r="O373" s="28"/>
      <c r="P373" s="9"/>
      <c r="Q373" s="9"/>
      <c r="R373" s="9"/>
      <c r="S373" s="9"/>
      <c r="T373" s="9"/>
      <c r="U373" s="9"/>
      <c r="V373" s="9"/>
      <c r="W373" s="9"/>
      <c r="X373" s="9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9"/>
      <c r="AL373" s="9"/>
      <c r="AM373" s="9"/>
      <c r="AN373" s="9"/>
      <c r="AO373" s="9"/>
      <c r="AP373" s="9"/>
      <c r="AQ373" s="28"/>
      <c r="AR373" s="28"/>
      <c r="AS373" s="28"/>
    </row>
    <row r="374" spans="1:45" x14ac:dyDescent="0.25">
      <c r="E374" s="9"/>
      <c r="F374" s="9"/>
      <c r="G374" s="9"/>
      <c r="H374" s="9"/>
      <c r="I374" s="9"/>
      <c r="J374" s="9"/>
      <c r="K374" s="28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9"/>
      <c r="AL374" s="9"/>
      <c r="AM374" s="9"/>
      <c r="AN374" s="9"/>
      <c r="AO374" s="9"/>
      <c r="AP374" s="9"/>
      <c r="AQ374" s="28"/>
      <c r="AR374" s="28"/>
      <c r="AS374" s="28"/>
    </row>
    <row r="375" spans="1:45" x14ac:dyDescent="0.25">
      <c r="E375" s="9"/>
      <c r="F375" s="9"/>
      <c r="G375" s="9"/>
      <c r="H375" s="9"/>
      <c r="I375" s="9"/>
      <c r="J375" s="9"/>
      <c r="K375" s="28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9"/>
      <c r="AL375" s="9"/>
      <c r="AM375" s="9"/>
      <c r="AN375" s="9"/>
      <c r="AO375" s="9"/>
      <c r="AP375" s="9"/>
      <c r="AQ375" s="28"/>
      <c r="AR375" s="28"/>
      <c r="AS375" s="28"/>
    </row>
    <row r="376" spans="1:45" x14ac:dyDescent="0.25">
      <c r="E376" s="9"/>
      <c r="F376" s="9"/>
      <c r="G376" s="9"/>
      <c r="H376" s="9"/>
      <c r="I376" s="9"/>
      <c r="J376" s="9"/>
      <c r="K376" s="28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9"/>
      <c r="AL376" s="9"/>
      <c r="AM376" s="9"/>
      <c r="AN376" s="9"/>
      <c r="AO376" s="9"/>
      <c r="AP376" s="9"/>
      <c r="AQ376" s="28"/>
      <c r="AR376" s="28"/>
      <c r="AS376" s="28"/>
    </row>
    <row r="377" spans="1:45" x14ac:dyDescent="0.25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  <c r="AS377" s="28"/>
    </row>
    <row r="378" spans="1:45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28"/>
    </row>
    <row r="379" spans="1:45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28"/>
    </row>
    <row r="380" spans="1:45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28"/>
    </row>
    <row r="381" spans="1:45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28"/>
    </row>
    <row r="382" spans="1:45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28"/>
    </row>
    <row r="383" spans="1:45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28"/>
    </row>
    <row r="384" spans="1:45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28"/>
    </row>
    <row r="385" spans="5:45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28"/>
    </row>
    <row r="386" spans="5:45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28"/>
    </row>
    <row r="387" spans="5:45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28"/>
    </row>
    <row r="388" spans="5:45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28"/>
    </row>
    <row r="389" spans="5:45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28"/>
    </row>
    <row r="390" spans="5:45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28"/>
    </row>
    <row r="391" spans="5:45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28"/>
    </row>
    <row r="392" spans="5:45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28"/>
    </row>
    <row r="393" spans="5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28"/>
    </row>
    <row r="394" spans="5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28"/>
    </row>
    <row r="395" spans="5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28"/>
    </row>
    <row r="396" spans="5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28"/>
    </row>
    <row r="397" spans="5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28"/>
    </row>
    <row r="398" spans="5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28"/>
    </row>
    <row r="399" spans="5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28"/>
    </row>
    <row r="400" spans="5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28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28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28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28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28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28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28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28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28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28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28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28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28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28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28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28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28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28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28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28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28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28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28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28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28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28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28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28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28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28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28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28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28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28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28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28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28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28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28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28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28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28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28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28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28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28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28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28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28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28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28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28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28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28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28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28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28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28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28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28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28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28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28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28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28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28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28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28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28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28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28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28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28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28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28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28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28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28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28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28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28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28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28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28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28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28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28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28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28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28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28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28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28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28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28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28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28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28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28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28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28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28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28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28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28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28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28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28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28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28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28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28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28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28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28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28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28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28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28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28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28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28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28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28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28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28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28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28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28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28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28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28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28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28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28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28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28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28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28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28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28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28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28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28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28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28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28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28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28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28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28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28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28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28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28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28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28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28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28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28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28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28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28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28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28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28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28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28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28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28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28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28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28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28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28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28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28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28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28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28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28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28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28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28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28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28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28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28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28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28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28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28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28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28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28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28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28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28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28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28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28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28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28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28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28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28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28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28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28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28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28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28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28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28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28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28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28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28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28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28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28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28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28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28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28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28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28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28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28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28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28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28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28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28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28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28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28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28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28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28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28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28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28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28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28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28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28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28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28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28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28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28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28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28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28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28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28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28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28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28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28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28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28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28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28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28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28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28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28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28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28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28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N247:N372 P236:U244 P247:U281 O95:O244 O247:O369 V96:X244 V247:X372 N245:X246 AK95:AS369 Y96:AJ372">
    <cfRule type="cellIs" dxfId="446" priority="1841" operator="lessThan">
      <formula>0.8</formula>
    </cfRule>
    <cfRule type="cellIs" dxfId="445" priority="1842" operator="greaterThan">
      <formula>0.8</formula>
    </cfRule>
  </conditionalFormatting>
  <conditionalFormatting sqref="E1:K3 E284:K334 E236:K236 E5:K32 E36:K91 E94:K230 E337:K364 E369:K372 E243:K281 E391:K1048576">
    <cfRule type="containsText" dxfId="444" priority="1840" operator="containsText" text="Radio">
      <formula>NOT(ISERROR(SEARCH("Radio",E1)))</formula>
    </cfRule>
  </conditionalFormatting>
  <conditionalFormatting sqref="P236:U244 P247:U281 O95:O244 O247:O372 V96:X244 V247:X372 O245:X246 AK95:AS372 Y96:AJ372 V391:AS1048576">
    <cfRule type="notContainsText" dxfId="443" priority="1836" operator="notContains" text="Caida">
      <formula>ISERROR(SEARCH("Caida",O95))</formula>
    </cfRule>
    <cfRule type="containsText" dxfId="442" priority="1837" operator="containsText" text="Caida">
      <formula>NOT(ISERROR(SEARCH("Caida",O95)))</formula>
    </cfRule>
  </conditionalFormatting>
  <conditionalFormatting sqref="E282:K282">
    <cfRule type="containsText" dxfId="441" priority="1809" operator="containsText" text="Radio">
      <formula>NOT(ISERROR(SEARCH("Radio",E282)))</formula>
    </cfRule>
  </conditionalFormatting>
  <conditionalFormatting sqref="E283:K283">
    <cfRule type="containsText" dxfId="440" priority="1784" operator="containsText" text="Radio">
      <formula>NOT(ISERROR(SEARCH("Radio",E283)))</formula>
    </cfRule>
  </conditionalFormatting>
  <conditionalFormatting sqref="E4:K4">
    <cfRule type="containsText" dxfId="439" priority="1759" operator="containsText" text="Radio">
      <formula>NOT(ISERROR(SEARCH("Radio",E4)))</formula>
    </cfRule>
  </conditionalFormatting>
  <conditionalFormatting sqref="E231:K231">
    <cfRule type="containsText" dxfId="438" priority="1758" operator="containsText" text="Radio">
      <formula>NOT(ISERROR(SEARCH("Radio",E231)))</formula>
    </cfRule>
  </conditionalFormatting>
  <conditionalFormatting sqref="E232:K232">
    <cfRule type="containsText" dxfId="437" priority="1733" operator="containsText" text="Radio">
      <formula>NOT(ISERROR(SEARCH("Radio",E232)))</formula>
    </cfRule>
  </conditionalFormatting>
  <conditionalFormatting sqref="E233:K233">
    <cfRule type="containsText" dxfId="436" priority="1708" operator="containsText" text="Radio">
      <formula>NOT(ISERROR(SEARCH("Radio",E233)))</formula>
    </cfRule>
  </conditionalFormatting>
  <conditionalFormatting sqref="E234:K234">
    <cfRule type="containsText" dxfId="435" priority="1683" operator="containsText" text="Radio">
      <formula>NOT(ISERROR(SEARCH("Radio",E234)))</formula>
    </cfRule>
  </conditionalFormatting>
  <conditionalFormatting sqref="E235:K235">
    <cfRule type="containsText" dxfId="434" priority="1658" operator="containsText" text="Radio">
      <formula>NOT(ISERROR(SEARCH("Radio",E235)))</formula>
    </cfRule>
  </conditionalFormatting>
  <conditionalFormatting sqref="E335:K335">
    <cfRule type="containsText" dxfId="433" priority="1609" operator="containsText" text="Radio">
      <formula>NOT(ISERROR(SEARCH("Radio",E335)))</formula>
    </cfRule>
  </conditionalFormatting>
  <conditionalFormatting sqref="E336:K336">
    <cfRule type="containsText" dxfId="432" priority="1584" operator="containsText" text="Radio">
      <formula>NOT(ISERROR(SEARCH("Radio",E336)))</formula>
    </cfRule>
  </conditionalFormatting>
  <conditionalFormatting sqref="E237:K237">
    <cfRule type="containsText" dxfId="431" priority="1559" operator="containsText" text="Radio">
      <formula>NOT(ISERROR(SEARCH("Radio",E237)))</formula>
    </cfRule>
  </conditionalFormatting>
  <conditionalFormatting sqref="E238:K238">
    <cfRule type="containsText" dxfId="430" priority="1534" operator="containsText" text="Radio">
      <formula>NOT(ISERROR(SEARCH("Radio",E238)))</formula>
    </cfRule>
  </conditionalFormatting>
  <conditionalFormatting sqref="E33:K35">
    <cfRule type="containsText" dxfId="429" priority="1509" operator="containsText" text="Radio">
      <formula>NOT(ISERROR(SEARCH("Radio",E33)))</formula>
    </cfRule>
  </conditionalFormatting>
  <conditionalFormatting sqref="E239:K239">
    <cfRule type="containsText" dxfId="428" priority="1484" operator="containsText" text="Radio">
      <formula>NOT(ISERROR(SEARCH("Radio",E239)))</formula>
    </cfRule>
  </conditionalFormatting>
  <conditionalFormatting sqref="E240:K240">
    <cfRule type="containsText" dxfId="427" priority="1459" operator="containsText" text="Radio">
      <formula>NOT(ISERROR(SEARCH("Radio",E240)))</formula>
    </cfRule>
  </conditionalFormatting>
  <conditionalFormatting sqref="E241:K241">
    <cfRule type="containsText" dxfId="426" priority="1434" operator="containsText" text="Radio">
      <formula>NOT(ISERROR(SEARCH("Radio",E241)))</formula>
    </cfRule>
  </conditionalFormatting>
  <conditionalFormatting sqref="E242:K242">
    <cfRule type="containsText" dxfId="425" priority="1409" operator="containsText" text="Radio">
      <formula>NOT(ISERROR(SEARCH("Radio",E242)))</formula>
    </cfRule>
  </conditionalFormatting>
  <conditionalFormatting sqref="P6:P92 P96:P230">
    <cfRule type="cellIs" dxfId="424" priority="1334" operator="lessThan">
      <formula>0.8</formula>
    </cfRule>
    <cfRule type="cellIs" dxfId="423" priority="1335" operator="greaterThan">
      <formula>0.8</formula>
    </cfRule>
  </conditionalFormatting>
  <conditionalFormatting sqref="P6:P92 P96:P230">
    <cfRule type="notContainsText" dxfId="422" priority="1332" operator="notContains" text="Caida">
      <formula>ISERROR(SEARCH("Caida",P6))</formula>
    </cfRule>
    <cfRule type="containsText" dxfId="421" priority="1333" operator="containsText" text="Caida">
      <formula>NOT(ISERROR(SEARCH("Caida",P6)))</formula>
    </cfRule>
  </conditionalFormatting>
  <conditionalFormatting sqref="P337:P366 P284:P334">
    <cfRule type="cellIs" dxfId="420" priority="1330" operator="lessThan">
      <formula>0.8</formula>
    </cfRule>
    <cfRule type="cellIs" dxfId="419" priority="1331" operator="greaterThan">
      <formula>0.8</formula>
    </cfRule>
  </conditionalFormatting>
  <conditionalFormatting sqref="P337:P366 P284:P334 P391:P1048576">
    <cfRule type="notContainsText" dxfId="418" priority="1328" operator="notContains" text="Caida">
      <formula>ISERROR(SEARCH("Caida",P284))</formula>
    </cfRule>
    <cfRule type="containsText" dxfId="417" priority="1329" operator="containsText" text="Caida">
      <formula>NOT(ISERROR(SEARCH("Caida",P284)))</formula>
    </cfRule>
  </conditionalFormatting>
  <conditionalFormatting sqref="O391:O1048576">
    <cfRule type="notContainsText" dxfId="416" priority="1377" operator="notContains" text="Caida">
      <formula>ISERROR(SEARCH("Caida",O391))</formula>
    </cfRule>
    <cfRule type="containsText" dxfId="415" priority="1378" operator="containsText" text="Caida">
      <formula>NOT(ISERROR(SEARCH("Caida",O391)))</formula>
    </cfRule>
  </conditionalFormatting>
  <conditionalFormatting sqref="P336">
    <cfRule type="cellIs" dxfId="414" priority="1289" operator="lessThan">
      <formula>0.8</formula>
    </cfRule>
    <cfRule type="cellIs" dxfId="413" priority="1290" operator="greaterThan">
      <formula>0.8</formula>
    </cfRule>
  </conditionalFormatting>
  <conditionalFormatting sqref="P336">
    <cfRule type="notContainsText" dxfId="412" priority="1287" operator="notContains" text="Caida">
      <formula>ISERROR(SEARCH("Caida",P336))</formula>
    </cfRule>
    <cfRule type="containsText" dxfId="411" priority="1288" operator="containsText" text="Caida">
      <formula>NOT(ISERROR(SEARCH("Caida",P336)))</formula>
    </cfRule>
  </conditionalFormatting>
  <conditionalFormatting sqref="P22">
    <cfRule type="containsText" dxfId="410" priority="1327" operator="containsText" text="Instaladas en Funcionamiento Caida">
      <formula>NOT(ISERROR(SEARCH("Instaladas en Funcionamiento Caida",P22)))</formula>
    </cfRule>
  </conditionalFormatting>
  <conditionalFormatting sqref="P282">
    <cfRule type="cellIs" dxfId="409" priority="1325" operator="lessThan">
      <formula>0.8</formula>
    </cfRule>
    <cfRule type="cellIs" dxfId="408" priority="1326" operator="greaterThan">
      <formula>0.8</formula>
    </cfRule>
  </conditionalFormatting>
  <conditionalFormatting sqref="P282">
    <cfRule type="notContainsText" dxfId="407" priority="1323" operator="notContains" text="Caida">
      <formula>ISERROR(SEARCH("Caida",P282))</formula>
    </cfRule>
    <cfRule type="containsText" dxfId="406" priority="1324" operator="containsText" text="Caida">
      <formula>NOT(ISERROR(SEARCH("Caida",P282)))</formula>
    </cfRule>
  </conditionalFormatting>
  <conditionalFormatting sqref="P283">
    <cfRule type="cellIs" dxfId="405" priority="1321" operator="lessThan">
      <formula>0.8</formula>
    </cfRule>
    <cfRule type="cellIs" dxfId="404" priority="1322" operator="greaterThan">
      <formula>0.8</formula>
    </cfRule>
  </conditionalFormatting>
  <conditionalFormatting sqref="P283">
    <cfRule type="notContainsText" dxfId="403" priority="1319" operator="notContains" text="Caida">
      <formula>ISERROR(SEARCH("Caida",P283))</formula>
    </cfRule>
    <cfRule type="containsText" dxfId="402" priority="1320" operator="containsText" text="Caida">
      <formula>NOT(ISERROR(SEARCH("Caida",P283)))</formula>
    </cfRule>
  </conditionalFormatting>
  <conditionalFormatting sqref="P5">
    <cfRule type="cellIs" dxfId="401" priority="1317" operator="lessThan">
      <formula>0.8</formula>
    </cfRule>
    <cfRule type="cellIs" dxfId="400" priority="1318" operator="greaterThan">
      <formula>0.8</formula>
    </cfRule>
  </conditionalFormatting>
  <conditionalFormatting sqref="P5">
    <cfRule type="notContainsText" dxfId="399" priority="1315" operator="notContains" text="Caida">
      <formula>ISERROR(SEARCH("Caida",P5))</formula>
    </cfRule>
    <cfRule type="containsText" dxfId="398" priority="1316" operator="containsText" text="Caida">
      <formula>NOT(ISERROR(SEARCH("Caida",P5)))</formula>
    </cfRule>
  </conditionalFormatting>
  <conditionalFormatting sqref="P231">
    <cfRule type="cellIs" dxfId="397" priority="1313" operator="lessThan">
      <formula>0.8</formula>
    </cfRule>
    <cfRule type="cellIs" dxfId="396" priority="1314" operator="greaterThan">
      <formula>0.8</formula>
    </cfRule>
  </conditionalFormatting>
  <conditionalFormatting sqref="P231">
    <cfRule type="notContainsText" dxfId="395" priority="1311" operator="notContains" text="Caida">
      <formula>ISERROR(SEARCH("Caida",P231))</formula>
    </cfRule>
    <cfRule type="containsText" dxfId="394" priority="1312" operator="containsText" text="Caida">
      <formula>NOT(ISERROR(SEARCH("Caida",P231)))</formula>
    </cfRule>
  </conditionalFormatting>
  <conditionalFormatting sqref="P232">
    <cfRule type="cellIs" dxfId="393" priority="1309" operator="lessThan">
      <formula>0.8</formula>
    </cfRule>
    <cfRule type="cellIs" dxfId="392" priority="1310" operator="greaterThan">
      <formula>0.8</formula>
    </cfRule>
  </conditionalFormatting>
  <conditionalFormatting sqref="P232">
    <cfRule type="notContainsText" dxfId="391" priority="1307" operator="notContains" text="Caida">
      <formula>ISERROR(SEARCH("Caida",P232))</formula>
    </cfRule>
    <cfRule type="containsText" dxfId="390" priority="1308" operator="containsText" text="Caida">
      <formula>NOT(ISERROR(SEARCH("Caida",P232)))</formula>
    </cfRule>
  </conditionalFormatting>
  <conditionalFormatting sqref="P233">
    <cfRule type="cellIs" dxfId="389" priority="1305" operator="lessThan">
      <formula>0.8</formula>
    </cfRule>
    <cfRule type="cellIs" dxfId="388" priority="1306" operator="greaterThan">
      <formula>0.8</formula>
    </cfRule>
  </conditionalFormatting>
  <conditionalFormatting sqref="P233">
    <cfRule type="notContainsText" dxfId="387" priority="1303" operator="notContains" text="Caida">
      <formula>ISERROR(SEARCH("Caida",P233))</formula>
    </cfRule>
    <cfRule type="containsText" dxfId="386" priority="1304" operator="containsText" text="Caida">
      <formula>NOT(ISERROR(SEARCH("Caida",P233)))</formula>
    </cfRule>
  </conditionalFormatting>
  <conditionalFormatting sqref="P234">
    <cfRule type="cellIs" dxfId="385" priority="1301" operator="lessThan">
      <formula>0.8</formula>
    </cfRule>
    <cfRule type="cellIs" dxfId="384" priority="1302" operator="greaterThan">
      <formula>0.8</formula>
    </cfRule>
  </conditionalFormatting>
  <conditionalFormatting sqref="P234">
    <cfRule type="notContainsText" dxfId="383" priority="1299" operator="notContains" text="Caida">
      <formula>ISERROR(SEARCH("Caida",P234))</formula>
    </cfRule>
    <cfRule type="containsText" dxfId="382" priority="1300" operator="containsText" text="Caida">
      <formula>NOT(ISERROR(SEARCH("Caida",P234)))</formula>
    </cfRule>
  </conditionalFormatting>
  <conditionalFormatting sqref="P235">
    <cfRule type="cellIs" dxfId="381" priority="1297" operator="lessThan">
      <formula>0.8</formula>
    </cfRule>
    <cfRule type="cellIs" dxfId="380" priority="1298" operator="greaterThan">
      <formula>0.8</formula>
    </cfRule>
  </conditionalFormatting>
  <conditionalFormatting sqref="P235">
    <cfRule type="notContainsText" dxfId="379" priority="1295" operator="notContains" text="Caida">
      <formula>ISERROR(SEARCH("Caida",P235))</formula>
    </cfRule>
    <cfRule type="containsText" dxfId="378" priority="1296" operator="containsText" text="Caida">
      <formula>NOT(ISERROR(SEARCH("Caida",P235)))</formula>
    </cfRule>
  </conditionalFormatting>
  <conditionalFormatting sqref="P335">
    <cfRule type="cellIs" dxfId="377" priority="1293" operator="lessThan">
      <formula>0.8</formula>
    </cfRule>
    <cfRule type="cellIs" dxfId="376" priority="1294" operator="greaterThan">
      <formula>0.8</formula>
    </cfRule>
  </conditionalFormatting>
  <conditionalFormatting sqref="P335">
    <cfRule type="notContainsText" dxfId="375" priority="1291" operator="notContains" text="Caida">
      <formula>ISERROR(SEARCH("Caida",P335))</formula>
    </cfRule>
    <cfRule type="containsText" dxfId="374" priority="1292" operator="containsText" text="Caida">
      <formula>NOT(ISERROR(SEARCH("Caida",P335)))</formula>
    </cfRule>
  </conditionalFormatting>
  <conditionalFormatting sqref="Q6:Q92 Q96:Q230">
    <cfRule type="cellIs" dxfId="373" priority="1285" operator="lessThan">
      <formula>0.8</formula>
    </cfRule>
    <cfRule type="cellIs" dxfId="372" priority="1286" operator="greaterThan">
      <formula>0.8</formula>
    </cfRule>
  </conditionalFormatting>
  <conditionalFormatting sqref="Q6:Q92 Q96:Q230">
    <cfRule type="notContainsText" dxfId="371" priority="1283" operator="notContains" text="Caida">
      <formula>ISERROR(SEARCH("Caida",Q6))</formula>
    </cfRule>
    <cfRule type="containsText" dxfId="370" priority="1284" operator="containsText" text="Caida">
      <formula>NOT(ISERROR(SEARCH("Caida",Q6)))</formula>
    </cfRule>
  </conditionalFormatting>
  <conditionalFormatting sqref="Q336">
    <cfRule type="cellIs" dxfId="369" priority="1240" operator="lessThan">
      <formula>0.8</formula>
    </cfRule>
    <cfRule type="cellIs" dxfId="368" priority="1241" operator="greaterThan">
      <formula>0.8</formula>
    </cfRule>
  </conditionalFormatting>
  <conditionalFormatting sqref="Q336">
    <cfRule type="notContainsText" dxfId="367" priority="1238" operator="notContains" text="Caida">
      <formula>ISERROR(SEARCH("Caida",Q336))</formula>
    </cfRule>
    <cfRule type="containsText" dxfId="366" priority="1239" operator="containsText" text="Caida">
      <formula>NOT(ISERROR(SEARCH("Caida",Q336)))</formula>
    </cfRule>
  </conditionalFormatting>
  <conditionalFormatting sqref="Q337:Q366 Q284:Q334">
    <cfRule type="cellIs" dxfId="365" priority="1281" operator="lessThan">
      <formula>0.8</formula>
    </cfRule>
    <cfRule type="cellIs" dxfId="364" priority="1282" operator="greaterThan">
      <formula>0.8</formula>
    </cfRule>
  </conditionalFormatting>
  <conditionalFormatting sqref="Q337:Q366 Q284:Q334 Q391:Q1048576">
    <cfRule type="notContainsText" dxfId="363" priority="1279" operator="notContains" text="Caida">
      <formula>ISERROR(SEARCH("Caida",Q284))</formula>
    </cfRule>
    <cfRule type="containsText" dxfId="362" priority="1280" operator="containsText" text="Caida">
      <formula>NOT(ISERROR(SEARCH("Caida",Q284)))</formula>
    </cfRule>
  </conditionalFormatting>
  <conditionalFormatting sqref="Q22">
    <cfRule type="containsText" dxfId="361" priority="1278" operator="containsText" text="Instaladas en Funcionamiento Caida">
      <formula>NOT(ISERROR(SEARCH("Instaladas en Funcionamiento Caida",Q22)))</formula>
    </cfRule>
  </conditionalFormatting>
  <conditionalFormatting sqref="Q282">
    <cfRule type="cellIs" dxfId="360" priority="1276" operator="lessThan">
      <formula>0.8</formula>
    </cfRule>
    <cfRule type="cellIs" dxfId="359" priority="1277" operator="greaterThan">
      <formula>0.8</formula>
    </cfRule>
  </conditionalFormatting>
  <conditionalFormatting sqref="Q282">
    <cfRule type="notContainsText" dxfId="358" priority="1274" operator="notContains" text="Caida">
      <formula>ISERROR(SEARCH("Caida",Q282))</formula>
    </cfRule>
    <cfRule type="containsText" dxfId="357" priority="1275" operator="containsText" text="Caida">
      <formula>NOT(ISERROR(SEARCH("Caida",Q282)))</formula>
    </cfRule>
  </conditionalFormatting>
  <conditionalFormatting sqref="Q283">
    <cfRule type="cellIs" dxfId="356" priority="1272" operator="lessThan">
      <formula>0.8</formula>
    </cfRule>
    <cfRule type="cellIs" dxfId="355" priority="1273" operator="greaterThan">
      <formula>0.8</formula>
    </cfRule>
  </conditionalFormatting>
  <conditionalFormatting sqref="Q283">
    <cfRule type="notContainsText" dxfId="354" priority="1270" operator="notContains" text="Caida">
      <formula>ISERROR(SEARCH("Caida",Q283))</formula>
    </cfRule>
    <cfRule type="containsText" dxfId="353" priority="1271" operator="containsText" text="Caida">
      <formula>NOT(ISERROR(SEARCH("Caida",Q283)))</formula>
    </cfRule>
  </conditionalFormatting>
  <conditionalFormatting sqref="Q5">
    <cfRule type="cellIs" dxfId="352" priority="1268" operator="lessThan">
      <formula>0.8</formula>
    </cfRule>
    <cfRule type="cellIs" dxfId="351" priority="1269" operator="greaterThan">
      <formula>0.8</formula>
    </cfRule>
  </conditionalFormatting>
  <conditionalFormatting sqref="Q5">
    <cfRule type="notContainsText" dxfId="350" priority="1266" operator="notContains" text="Caida">
      <formula>ISERROR(SEARCH("Caida",Q5))</formula>
    </cfRule>
    <cfRule type="containsText" dxfId="349" priority="1267" operator="containsText" text="Caida">
      <formula>NOT(ISERROR(SEARCH("Caida",Q5)))</formula>
    </cfRule>
  </conditionalFormatting>
  <conditionalFormatting sqref="Q231">
    <cfRule type="cellIs" dxfId="348" priority="1264" operator="lessThan">
      <formula>0.8</formula>
    </cfRule>
    <cfRule type="cellIs" dxfId="347" priority="1265" operator="greaterThan">
      <formula>0.8</formula>
    </cfRule>
  </conditionalFormatting>
  <conditionalFormatting sqref="Q231">
    <cfRule type="notContainsText" dxfId="346" priority="1262" operator="notContains" text="Caida">
      <formula>ISERROR(SEARCH("Caida",Q231))</formula>
    </cfRule>
    <cfRule type="containsText" dxfId="345" priority="1263" operator="containsText" text="Caida">
      <formula>NOT(ISERROR(SEARCH("Caida",Q231)))</formula>
    </cfRule>
  </conditionalFormatting>
  <conditionalFormatting sqref="Q232">
    <cfRule type="cellIs" dxfId="344" priority="1260" operator="lessThan">
      <formula>0.8</formula>
    </cfRule>
    <cfRule type="cellIs" dxfId="343" priority="1261" operator="greaterThan">
      <formula>0.8</formula>
    </cfRule>
  </conditionalFormatting>
  <conditionalFormatting sqref="Q232">
    <cfRule type="notContainsText" dxfId="342" priority="1258" operator="notContains" text="Caida">
      <formula>ISERROR(SEARCH("Caida",Q232))</formula>
    </cfRule>
    <cfRule type="containsText" dxfId="341" priority="1259" operator="containsText" text="Caida">
      <formula>NOT(ISERROR(SEARCH("Caida",Q232)))</formula>
    </cfRule>
  </conditionalFormatting>
  <conditionalFormatting sqref="Q233">
    <cfRule type="cellIs" dxfId="340" priority="1256" operator="lessThan">
      <formula>0.8</formula>
    </cfRule>
    <cfRule type="cellIs" dxfId="339" priority="1257" operator="greaterThan">
      <formula>0.8</formula>
    </cfRule>
  </conditionalFormatting>
  <conditionalFormatting sqref="Q233">
    <cfRule type="notContainsText" dxfId="338" priority="1254" operator="notContains" text="Caida">
      <formula>ISERROR(SEARCH("Caida",Q233))</formula>
    </cfRule>
    <cfRule type="containsText" dxfId="337" priority="1255" operator="containsText" text="Caida">
      <formula>NOT(ISERROR(SEARCH("Caida",Q233)))</formula>
    </cfRule>
  </conditionalFormatting>
  <conditionalFormatting sqref="Q234">
    <cfRule type="cellIs" dxfId="336" priority="1252" operator="lessThan">
      <formula>0.8</formula>
    </cfRule>
    <cfRule type="cellIs" dxfId="335" priority="1253" operator="greaterThan">
      <formula>0.8</formula>
    </cfRule>
  </conditionalFormatting>
  <conditionalFormatting sqref="Q234">
    <cfRule type="notContainsText" dxfId="334" priority="1250" operator="notContains" text="Caida">
      <formula>ISERROR(SEARCH("Caida",Q234))</formula>
    </cfRule>
    <cfRule type="containsText" dxfId="333" priority="1251" operator="containsText" text="Caida">
      <formula>NOT(ISERROR(SEARCH("Caida",Q234)))</formula>
    </cfRule>
  </conditionalFormatting>
  <conditionalFormatting sqref="Q235">
    <cfRule type="cellIs" dxfId="332" priority="1248" operator="lessThan">
      <formula>0.8</formula>
    </cfRule>
    <cfRule type="cellIs" dxfId="331" priority="1249" operator="greaterThan">
      <formula>0.8</formula>
    </cfRule>
  </conditionalFormatting>
  <conditionalFormatting sqref="Q235">
    <cfRule type="notContainsText" dxfId="330" priority="1246" operator="notContains" text="Caida">
      <formula>ISERROR(SEARCH("Caida",Q235))</formula>
    </cfRule>
    <cfRule type="containsText" dxfId="329" priority="1247" operator="containsText" text="Caida">
      <formula>NOT(ISERROR(SEARCH("Caida",Q235)))</formula>
    </cfRule>
  </conditionalFormatting>
  <conditionalFormatting sqref="Q335">
    <cfRule type="cellIs" dxfId="328" priority="1244" operator="lessThan">
      <formula>0.8</formula>
    </cfRule>
    <cfRule type="cellIs" dxfId="327" priority="1245" operator="greaterThan">
      <formula>0.8</formula>
    </cfRule>
  </conditionalFormatting>
  <conditionalFormatting sqref="Q335">
    <cfRule type="notContainsText" dxfId="326" priority="1242" operator="notContains" text="Caida">
      <formula>ISERROR(SEARCH("Caida",Q335))</formula>
    </cfRule>
    <cfRule type="containsText" dxfId="325" priority="1243" operator="containsText" text="Caida">
      <formula>NOT(ISERROR(SEARCH("Caida",Q335)))</formula>
    </cfRule>
  </conditionalFormatting>
  <conditionalFormatting sqref="R6:R92 R96:R230">
    <cfRule type="cellIs" dxfId="324" priority="1236" operator="lessThan">
      <formula>0.8</formula>
    </cfRule>
    <cfRule type="cellIs" dxfId="323" priority="1237" operator="greaterThan">
      <formula>0.8</formula>
    </cfRule>
  </conditionalFormatting>
  <conditionalFormatting sqref="R6:R92 R96:R230">
    <cfRule type="notContainsText" dxfId="322" priority="1234" operator="notContains" text="Caida">
      <formula>ISERROR(SEARCH("Caida",R6))</formula>
    </cfRule>
    <cfRule type="containsText" dxfId="321" priority="1235" operator="containsText" text="Caida">
      <formula>NOT(ISERROR(SEARCH("Caida",R6)))</formula>
    </cfRule>
  </conditionalFormatting>
  <conditionalFormatting sqref="R336:T336">
    <cfRule type="cellIs" dxfId="320" priority="1191" operator="lessThan">
      <formula>0.8</formula>
    </cfRule>
    <cfRule type="cellIs" dxfId="319" priority="1192" operator="greaterThan">
      <formula>0.8</formula>
    </cfRule>
  </conditionalFormatting>
  <conditionalFormatting sqref="R336:T336">
    <cfRule type="notContainsText" dxfId="318" priority="1189" operator="notContains" text="Caida">
      <formula>ISERROR(SEARCH("Caida",R336))</formula>
    </cfRule>
    <cfRule type="containsText" dxfId="317" priority="1190" operator="containsText" text="Caida">
      <formula>NOT(ISERROR(SEARCH("Caida",R336)))</formula>
    </cfRule>
  </conditionalFormatting>
  <conditionalFormatting sqref="R337:R366 R284:R334">
    <cfRule type="cellIs" dxfId="316" priority="1232" operator="lessThan">
      <formula>0.8</formula>
    </cfRule>
    <cfRule type="cellIs" dxfId="315" priority="1233" operator="greaterThan">
      <formula>0.8</formula>
    </cfRule>
  </conditionalFormatting>
  <conditionalFormatting sqref="R337:R366 R284:R334 R391:R1048576">
    <cfRule type="notContainsText" dxfId="314" priority="1230" operator="notContains" text="Caida">
      <formula>ISERROR(SEARCH("Caida",R284))</formula>
    </cfRule>
    <cfRule type="containsText" dxfId="313" priority="1231" operator="containsText" text="Caida">
      <formula>NOT(ISERROR(SEARCH("Caida",R284)))</formula>
    </cfRule>
  </conditionalFormatting>
  <conditionalFormatting sqref="R22:T22">
    <cfRule type="containsText" dxfId="312" priority="1229" operator="containsText" text="Instaladas en Funcionamiento Caida">
      <formula>NOT(ISERROR(SEARCH("Instaladas en Funcionamiento Caida",R22)))</formula>
    </cfRule>
  </conditionalFormatting>
  <conditionalFormatting sqref="R282:T282">
    <cfRule type="cellIs" dxfId="311" priority="1227" operator="lessThan">
      <formula>0.8</formula>
    </cfRule>
    <cfRule type="cellIs" dxfId="310" priority="1228" operator="greaterThan">
      <formula>0.8</formula>
    </cfRule>
  </conditionalFormatting>
  <conditionalFormatting sqref="R282:T282">
    <cfRule type="notContainsText" dxfId="309" priority="1225" operator="notContains" text="Caida">
      <formula>ISERROR(SEARCH("Caida",R282))</formula>
    </cfRule>
    <cfRule type="containsText" dxfId="308" priority="1226" operator="containsText" text="Caida">
      <formula>NOT(ISERROR(SEARCH("Caida",R282)))</formula>
    </cfRule>
  </conditionalFormatting>
  <conditionalFormatting sqref="R283:T283">
    <cfRule type="cellIs" dxfId="307" priority="1223" operator="lessThan">
      <formula>0.8</formula>
    </cfRule>
    <cfRule type="cellIs" dxfId="306" priority="1224" operator="greaterThan">
      <formula>0.8</formula>
    </cfRule>
  </conditionalFormatting>
  <conditionalFormatting sqref="R283:T283">
    <cfRule type="notContainsText" dxfId="305" priority="1221" operator="notContains" text="Caida">
      <formula>ISERROR(SEARCH("Caida",R283))</formula>
    </cfRule>
    <cfRule type="containsText" dxfId="304" priority="1222" operator="containsText" text="Caida">
      <formula>NOT(ISERROR(SEARCH("Caida",R283)))</formula>
    </cfRule>
  </conditionalFormatting>
  <conditionalFormatting sqref="R5:T5">
    <cfRule type="cellIs" dxfId="303" priority="1219" operator="lessThan">
      <formula>0.8</formula>
    </cfRule>
    <cfRule type="cellIs" dxfId="302" priority="1220" operator="greaterThan">
      <formula>0.8</formula>
    </cfRule>
  </conditionalFormatting>
  <conditionalFormatting sqref="R5:T5">
    <cfRule type="notContainsText" dxfId="301" priority="1217" operator="notContains" text="Caida">
      <formula>ISERROR(SEARCH("Caida",R5))</formula>
    </cfRule>
    <cfRule type="containsText" dxfId="300" priority="1218" operator="containsText" text="Caida">
      <formula>NOT(ISERROR(SEARCH("Caida",R5)))</formula>
    </cfRule>
  </conditionalFormatting>
  <conditionalFormatting sqref="R231:T231">
    <cfRule type="cellIs" dxfId="299" priority="1215" operator="lessThan">
      <formula>0.8</formula>
    </cfRule>
    <cfRule type="cellIs" dxfId="298" priority="1216" operator="greaterThan">
      <formula>0.8</formula>
    </cfRule>
  </conditionalFormatting>
  <conditionalFormatting sqref="R231:T231">
    <cfRule type="notContainsText" dxfId="297" priority="1213" operator="notContains" text="Caida">
      <formula>ISERROR(SEARCH("Caida",R231))</formula>
    </cfRule>
    <cfRule type="containsText" dxfId="296" priority="1214" operator="containsText" text="Caida">
      <formula>NOT(ISERROR(SEARCH("Caida",R231)))</formula>
    </cfRule>
  </conditionalFormatting>
  <conditionalFormatting sqref="R232:T232">
    <cfRule type="cellIs" dxfId="295" priority="1211" operator="lessThan">
      <formula>0.8</formula>
    </cfRule>
    <cfRule type="cellIs" dxfId="294" priority="1212" operator="greaterThan">
      <formula>0.8</formula>
    </cfRule>
  </conditionalFormatting>
  <conditionalFormatting sqref="R232:T232">
    <cfRule type="notContainsText" dxfId="293" priority="1209" operator="notContains" text="Caida">
      <formula>ISERROR(SEARCH("Caida",R232))</formula>
    </cfRule>
    <cfRule type="containsText" dxfId="292" priority="1210" operator="containsText" text="Caida">
      <formula>NOT(ISERROR(SEARCH("Caida",R232)))</formula>
    </cfRule>
  </conditionalFormatting>
  <conditionalFormatting sqref="R233:T233">
    <cfRule type="cellIs" dxfId="291" priority="1207" operator="lessThan">
      <formula>0.8</formula>
    </cfRule>
    <cfRule type="cellIs" dxfId="290" priority="1208" operator="greaterThan">
      <formula>0.8</formula>
    </cfRule>
  </conditionalFormatting>
  <conditionalFormatting sqref="R233:T233">
    <cfRule type="notContainsText" dxfId="289" priority="1205" operator="notContains" text="Caida">
      <formula>ISERROR(SEARCH("Caida",R233))</formula>
    </cfRule>
    <cfRule type="containsText" dxfId="288" priority="1206" operator="containsText" text="Caida">
      <formula>NOT(ISERROR(SEARCH("Caida",R233)))</formula>
    </cfRule>
  </conditionalFormatting>
  <conditionalFormatting sqref="R234:T234">
    <cfRule type="cellIs" dxfId="287" priority="1203" operator="lessThan">
      <formula>0.8</formula>
    </cfRule>
    <cfRule type="cellIs" dxfId="286" priority="1204" operator="greaterThan">
      <formula>0.8</formula>
    </cfRule>
  </conditionalFormatting>
  <conditionalFormatting sqref="R234:T234">
    <cfRule type="notContainsText" dxfId="285" priority="1201" operator="notContains" text="Caida">
      <formula>ISERROR(SEARCH("Caida",R234))</formula>
    </cfRule>
    <cfRule type="containsText" dxfId="284" priority="1202" operator="containsText" text="Caida">
      <formula>NOT(ISERROR(SEARCH("Caida",R234)))</formula>
    </cfRule>
  </conditionalFormatting>
  <conditionalFormatting sqref="R235:T235">
    <cfRule type="cellIs" dxfId="283" priority="1199" operator="lessThan">
      <formula>0.8</formula>
    </cfRule>
    <cfRule type="cellIs" dxfId="282" priority="1200" operator="greaterThan">
      <formula>0.8</formula>
    </cfRule>
  </conditionalFormatting>
  <conditionalFormatting sqref="R235:T235">
    <cfRule type="notContainsText" dxfId="281" priority="1197" operator="notContains" text="Caida">
      <formula>ISERROR(SEARCH("Caida",R235))</formula>
    </cfRule>
    <cfRule type="containsText" dxfId="280" priority="1198" operator="containsText" text="Caida">
      <formula>NOT(ISERROR(SEARCH("Caida",R235)))</formula>
    </cfRule>
  </conditionalFormatting>
  <conditionalFormatting sqref="R335:T335">
    <cfRule type="cellIs" dxfId="279" priority="1195" operator="lessThan">
      <formula>0.8</formula>
    </cfRule>
    <cfRule type="cellIs" dxfId="278" priority="1196" operator="greaterThan">
      <formula>0.8</formula>
    </cfRule>
  </conditionalFormatting>
  <conditionalFormatting sqref="R335:T335">
    <cfRule type="notContainsText" dxfId="277" priority="1193" operator="notContains" text="Caida">
      <formula>ISERROR(SEARCH("Caida",R335))</formula>
    </cfRule>
    <cfRule type="containsText" dxfId="276" priority="1194" operator="containsText" text="Caida">
      <formula>NOT(ISERROR(SEARCH("Caida",R335)))</formula>
    </cfRule>
  </conditionalFormatting>
  <conditionalFormatting sqref="S391:S1048576">
    <cfRule type="notContainsText" dxfId="275" priority="1181" operator="notContains" text="Caida">
      <formula>ISERROR(SEARCH("Caida",S391))</formula>
    </cfRule>
    <cfRule type="containsText" dxfId="274" priority="1182" operator="containsText" text="Caida">
      <formula>NOT(ISERROR(SEARCH("Caida",S391)))</formula>
    </cfRule>
  </conditionalFormatting>
  <conditionalFormatting sqref="T391:T1048576">
    <cfRule type="notContainsText" dxfId="273" priority="1132" operator="notContains" text="Caida">
      <formula>ISERROR(SEARCH("Caida",T391))</formula>
    </cfRule>
    <cfRule type="containsText" dxfId="272" priority="1133" operator="containsText" text="Caida">
      <formula>NOT(ISERROR(SEARCH("Caida",T391)))</formula>
    </cfRule>
  </conditionalFormatting>
  <conditionalFormatting sqref="E92:K93">
    <cfRule type="containsText" dxfId="271" priority="1088" operator="containsText" text="Radio">
      <formula>NOT(ISERROR(SEARCH("Radio",E92)))</formula>
    </cfRule>
  </conditionalFormatting>
  <conditionalFormatting sqref="P93:P95">
    <cfRule type="cellIs" dxfId="270" priority="1058" operator="lessThan">
      <formula>0.8</formula>
    </cfRule>
    <cfRule type="cellIs" dxfId="269" priority="1059" operator="greaterThan">
      <formula>0.8</formula>
    </cfRule>
  </conditionalFormatting>
  <conditionalFormatting sqref="P93:P95">
    <cfRule type="notContainsText" dxfId="268" priority="1056" operator="notContains" text="Caida">
      <formula>ISERROR(SEARCH("Caida",P93))</formula>
    </cfRule>
    <cfRule type="containsText" dxfId="267" priority="1057" operator="containsText" text="Caida">
      <formula>NOT(ISERROR(SEARCH("Caida",P93)))</formula>
    </cfRule>
  </conditionalFormatting>
  <conditionalFormatting sqref="Q93:Q95">
    <cfRule type="cellIs" dxfId="266" priority="1054" operator="lessThan">
      <formula>0.8</formula>
    </cfRule>
    <cfRule type="cellIs" dxfId="265" priority="1055" operator="greaterThan">
      <formula>0.8</formula>
    </cfRule>
  </conditionalFormatting>
  <conditionalFormatting sqref="Q93:Q95">
    <cfRule type="notContainsText" dxfId="264" priority="1052" operator="notContains" text="Caida">
      <formula>ISERROR(SEARCH("Caida",Q93))</formula>
    </cfRule>
    <cfRule type="containsText" dxfId="263" priority="1053" operator="containsText" text="Caida">
      <formula>NOT(ISERROR(SEARCH("Caida",Q93)))</formula>
    </cfRule>
  </conditionalFormatting>
  <conditionalFormatting sqref="R93:R95">
    <cfRule type="cellIs" dxfId="262" priority="1050" operator="lessThan">
      <formula>0.8</formula>
    </cfRule>
    <cfRule type="cellIs" dxfId="261" priority="1051" operator="greaterThan">
      <formula>0.8</formula>
    </cfRule>
  </conditionalFormatting>
  <conditionalFormatting sqref="R93:R95">
    <cfRule type="notContainsText" dxfId="260" priority="1048" operator="notContains" text="Caida">
      <formula>ISERROR(SEARCH("Caida",R93))</formula>
    </cfRule>
    <cfRule type="containsText" dxfId="259" priority="1049" operator="containsText" text="Caida">
      <formula>NOT(ISERROR(SEARCH("Caida",R93)))</formula>
    </cfRule>
  </conditionalFormatting>
  <conditionalFormatting sqref="E365:K365">
    <cfRule type="containsText" dxfId="258" priority="1037" operator="containsText" text="Radio">
      <formula>NOT(ISERROR(SEARCH("Radio",E365)))</formula>
    </cfRule>
  </conditionalFormatting>
  <conditionalFormatting sqref="P367">
    <cfRule type="cellIs" dxfId="257" priority="1019" operator="lessThan">
      <formula>0.8</formula>
    </cfRule>
    <cfRule type="cellIs" dxfId="256" priority="1020" operator="greaterThan">
      <formula>0.8</formula>
    </cfRule>
  </conditionalFormatting>
  <conditionalFormatting sqref="P367">
    <cfRule type="notContainsText" dxfId="255" priority="1017" operator="notContains" text="Caida">
      <formula>ISERROR(SEARCH("Caida",P367))</formula>
    </cfRule>
    <cfRule type="containsText" dxfId="254" priority="1018" operator="containsText" text="Caida">
      <formula>NOT(ISERROR(SEARCH("Caida",P367)))</formula>
    </cfRule>
  </conditionalFormatting>
  <conditionalFormatting sqref="Q367">
    <cfRule type="cellIs" dxfId="253" priority="1015" operator="lessThan">
      <formula>0.8</formula>
    </cfRule>
    <cfRule type="cellIs" dxfId="252" priority="1016" operator="greaterThan">
      <formula>0.8</formula>
    </cfRule>
  </conditionalFormatting>
  <conditionalFormatting sqref="Q367">
    <cfRule type="notContainsText" dxfId="251" priority="1013" operator="notContains" text="Caida">
      <formula>ISERROR(SEARCH("Caida",Q367))</formula>
    </cfRule>
    <cfRule type="containsText" dxfId="250" priority="1014" operator="containsText" text="Caida">
      <formula>NOT(ISERROR(SEARCH("Caida",Q367)))</formula>
    </cfRule>
  </conditionalFormatting>
  <conditionalFormatting sqref="R367:T367">
    <cfRule type="cellIs" dxfId="249" priority="1011" operator="lessThan">
      <formula>0.8</formula>
    </cfRule>
    <cfRule type="cellIs" dxfId="248" priority="1012" operator="greaterThan">
      <formula>0.8</formula>
    </cfRule>
  </conditionalFormatting>
  <conditionalFormatting sqref="R367:T367">
    <cfRule type="notContainsText" dxfId="247" priority="1009" operator="notContains" text="Caida">
      <formula>ISERROR(SEARCH("Caida",R367))</formula>
    </cfRule>
    <cfRule type="containsText" dxfId="246" priority="1010" operator="containsText" text="Caida">
      <formula>NOT(ISERROR(SEARCH("Caida",R367)))</formula>
    </cfRule>
  </conditionalFormatting>
  <conditionalFormatting sqref="E366:K366">
    <cfRule type="containsText" dxfId="245" priority="998" operator="containsText" text="Radio">
      <formula>NOT(ISERROR(SEARCH("Radio",E366)))</formula>
    </cfRule>
  </conditionalFormatting>
  <conditionalFormatting sqref="P368">
    <cfRule type="cellIs" dxfId="244" priority="980" operator="lessThan">
      <formula>0.8</formula>
    </cfRule>
    <cfRule type="cellIs" dxfId="243" priority="981" operator="greaterThan">
      <formula>0.8</formula>
    </cfRule>
  </conditionalFormatting>
  <conditionalFormatting sqref="P368">
    <cfRule type="notContainsText" dxfId="242" priority="978" operator="notContains" text="Caida">
      <formula>ISERROR(SEARCH("Caida",P368))</formula>
    </cfRule>
    <cfRule type="containsText" dxfId="241" priority="979" operator="containsText" text="Caida">
      <formula>NOT(ISERROR(SEARCH("Caida",P368)))</formula>
    </cfRule>
  </conditionalFormatting>
  <conditionalFormatting sqref="Q368">
    <cfRule type="cellIs" dxfId="240" priority="976" operator="lessThan">
      <formula>0.8</formula>
    </cfRule>
    <cfRule type="cellIs" dxfId="239" priority="977" operator="greaterThan">
      <formula>0.8</formula>
    </cfRule>
  </conditionalFormatting>
  <conditionalFormatting sqref="Q368">
    <cfRule type="notContainsText" dxfId="238" priority="974" operator="notContains" text="Caida">
      <formula>ISERROR(SEARCH("Caida",Q368))</formula>
    </cfRule>
    <cfRule type="containsText" dxfId="237" priority="975" operator="containsText" text="Caida">
      <formula>NOT(ISERROR(SEARCH("Caida",Q368)))</formula>
    </cfRule>
  </conditionalFormatting>
  <conditionalFormatting sqref="R368:T368">
    <cfRule type="cellIs" dxfId="236" priority="972" operator="lessThan">
      <formula>0.8</formula>
    </cfRule>
    <cfRule type="cellIs" dxfId="235" priority="973" operator="greaterThan">
      <formula>0.8</formula>
    </cfRule>
  </conditionalFormatting>
  <conditionalFormatting sqref="R368:T368">
    <cfRule type="notContainsText" dxfId="234" priority="970" operator="notContains" text="Caida">
      <formula>ISERROR(SEARCH("Caida",R368))</formula>
    </cfRule>
    <cfRule type="containsText" dxfId="233" priority="971" operator="containsText" text="Caida">
      <formula>NOT(ISERROR(SEARCH("Caida",R368)))</formula>
    </cfRule>
  </conditionalFormatting>
  <conditionalFormatting sqref="E367:K367">
    <cfRule type="containsText" dxfId="232" priority="959" operator="containsText" text="Radio">
      <formula>NOT(ISERROR(SEARCH("Radio",E367)))</formula>
    </cfRule>
  </conditionalFormatting>
  <conditionalFormatting sqref="P369">
    <cfRule type="cellIs" dxfId="231" priority="941" operator="lessThan">
      <formula>0.8</formula>
    </cfRule>
    <cfRule type="cellIs" dxfId="230" priority="942" operator="greaterThan">
      <formula>0.8</formula>
    </cfRule>
  </conditionalFormatting>
  <conditionalFormatting sqref="P369">
    <cfRule type="notContainsText" dxfId="229" priority="939" operator="notContains" text="Caida">
      <formula>ISERROR(SEARCH("Caida",P369))</formula>
    </cfRule>
    <cfRule type="containsText" dxfId="228" priority="940" operator="containsText" text="Caida">
      <formula>NOT(ISERROR(SEARCH("Caida",P369)))</formula>
    </cfRule>
  </conditionalFormatting>
  <conditionalFormatting sqref="Q369">
    <cfRule type="cellIs" dxfId="227" priority="937" operator="lessThan">
      <formula>0.8</formula>
    </cfRule>
    <cfRule type="cellIs" dxfId="226" priority="938" operator="greaterThan">
      <formula>0.8</formula>
    </cfRule>
  </conditionalFormatting>
  <conditionalFormatting sqref="Q369">
    <cfRule type="notContainsText" dxfId="225" priority="935" operator="notContains" text="Caida">
      <formula>ISERROR(SEARCH("Caida",Q369))</formula>
    </cfRule>
    <cfRule type="containsText" dxfId="224" priority="936" operator="containsText" text="Caida">
      <formula>NOT(ISERROR(SEARCH("Caida",Q369)))</formula>
    </cfRule>
  </conditionalFormatting>
  <conditionalFormatting sqref="R369:T369">
    <cfRule type="cellIs" dxfId="223" priority="933" operator="lessThan">
      <formula>0.8</formula>
    </cfRule>
    <cfRule type="cellIs" dxfId="222" priority="934" operator="greaterThan">
      <formula>0.8</formula>
    </cfRule>
  </conditionalFormatting>
  <conditionalFormatting sqref="R369:T369">
    <cfRule type="notContainsText" dxfId="221" priority="931" operator="notContains" text="Caida">
      <formula>ISERROR(SEARCH("Caida",R369))</formula>
    </cfRule>
    <cfRule type="containsText" dxfId="220" priority="932" operator="containsText" text="Caida">
      <formula>NOT(ISERROR(SEARCH("Caida",R369)))</formula>
    </cfRule>
  </conditionalFormatting>
  <conditionalFormatting sqref="E368:K368">
    <cfRule type="containsText" dxfId="219" priority="920" operator="containsText" text="Radio">
      <formula>NOT(ISERROR(SEARCH("Radio",E368)))</formula>
    </cfRule>
  </conditionalFormatting>
  <conditionalFormatting sqref="U231">
    <cfRule type="cellIs" dxfId="218" priority="861" operator="lessThan">
      <formula>0.8</formula>
    </cfRule>
    <cfRule type="cellIs" dxfId="217" priority="862" operator="greaterThan">
      <formula>0.8</formula>
    </cfRule>
  </conditionalFormatting>
  <conditionalFormatting sqref="U231">
    <cfRule type="notContainsText" dxfId="216" priority="859" operator="notContains" text="Caida">
      <formula>ISERROR(SEARCH("Caida",U231))</formula>
    </cfRule>
    <cfRule type="containsText" dxfId="215" priority="860" operator="containsText" text="Caida">
      <formula>NOT(ISERROR(SEARCH("Caida",U231)))</formula>
    </cfRule>
  </conditionalFormatting>
  <conditionalFormatting sqref="U232">
    <cfRule type="cellIs" dxfId="214" priority="857" operator="lessThan">
      <formula>0.8</formula>
    </cfRule>
    <cfRule type="cellIs" dxfId="213" priority="858" operator="greaterThan">
      <formula>0.8</formula>
    </cfRule>
  </conditionalFormatting>
  <conditionalFormatting sqref="U232">
    <cfRule type="notContainsText" dxfId="212" priority="855" operator="notContains" text="Caida">
      <formula>ISERROR(SEARCH("Caida",U232))</formula>
    </cfRule>
    <cfRule type="containsText" dxfId="211" priority="856" operator="containsText" text="Caida">
      <formula>NOT(ISERROR(SEARCH("Caida",U232)))</formula>
    </cfRule>
  </conditionalFormatting>
  <conditionalFormatting sqref="P370:P372">
    <cfRule type="cellIs" dxfId="210" priority="902" operator="lessThan">
      <formula>0.8</formula>
    </cfRule>
    <cfRule type="cellIs" dxfId="209" priority="903" operator="greaterThan">
      <formula>0.8</formula>
    </cfRule>
  </conditionalFormatting>
  <conditionalFormatting sqref="P370:P372">
    <cfRule type="notContainsText" dxfId="208" priority="900" operator="notContains" text="Caida">
      <formula>ISERROR(SEARCH("Caida",P370))</formula>
    </cfRule>
    <cfRule type="containsText" dxfId="207" priority="901" operator="containsText" text="Caida">
      <formula>NOT(ISERROR(SEARCH("Caida",P370)))</formula>
    </cfRule>
  </conditionalFormatting>
  <conditionalFormatting sqref="Q370:Q372">
    <cfRule type="cellIs" dxfId="206" priority="898" operator="lessThan">
      <formula>0.8</formula>
    </cfRule>
    <cfRule type="cellIs" dxfId="205" priority="899" operator="greaterThan">
      <formula>0.8</formula>
    </cfRule>
  </conditionalFormatting>
  <conditionalFormatting sqref="Q370:Q372">
    <cfRule type="notContainsText" dxfId="204" priority="896" operator="notContains" text="Caida">
      <formula>ISERROR(SEARCH("Caida",Q370))</formula>
    </cfRule>
    <cfRule type="containsText" dxfId="203" priority="897" operator="containsText" text="Caida">
      <formula>NOT(ISERROR(SEARCH("Caida",Q370)))</formula>
    </cfRule>
  </conditionalFormatting>
  <conditionalFormatting sqref="R370:T370">
    <cfRule type="cellIs" dxfId="202" priority="894" operator="lessThan">
      <formula>0.8</formula>
    </cfRule>
    <cfRule type="cellIs" dxfId="201" priority="895" operator="greaterThan">
      <formula>0.8</formula>
    </cfRule>
  </conditionalFormatting>
  <conditionalFormatting sqref="R370:T370">
    <cfRule type="notContainsText" dxfId="200" priority="892" operator="notContains" text="Caida">
      <formula>ISERROR(SEARCH("Caida",R370))</formula>
    </cfRule>
    <cfRule type="containsText" dxfId="199" priority="893" operator="containsText" text="Caida">
      <formula>NOT(ISERROR(SEARCH("Caida",R370)))</formula>
    </cfRule>
  </conditionalFormatting>
  <conditionalFormatting sqref="U368">
    <cfRule type="cellIs" dxfId="198" priority="825" operator="lessThan">
      <formula>0.8</formula>
    </cfRule>
    <cfRule type="cellIs" dxfId="197" priority="826" operator="greaterThan">
      <formula>0.8</formula>
    </cfRule>
  </conditionalFormatting>
  <conditionalFormatting sqref="U368">
    <cfRule type="notContainsText" dxfId="196" priority="823" operator="notContains" text="Caida">
      <formula>ISERROR(SEARCH("Caida",U368))</formula>
    </cfRule>
    <cfRule type="containsText" dxfId="195" priority="824" operator="containsText" text="Caida">
      <formula>NOT(ISERROR(SEARCH("Caida",U368)))</formula>
    </cfRule>
  </conditionalFormatting>
  <conditionalFormatting sqref="U369">
    <cfRule type="cellIs" dxfId="194" priority="821" operator="lessThan">
      <formula>0.8</formula>
    </cfRule>
    <cfRule type="cellIs" dxfId="193" priority="822" operator="greaterThan">
      <formula>0.8</formula>
    </cfRule>
  </conditionalFormatting>
  <conditionalFormatting sqref="U369">
    <cfRule type="notContainsText" dxfId="192" priority="819" operator="notContains" text="Caida">
      <formula>ISERROR(SEARCH("Caida",U369))</formula>
    </cfRule>
    <cfRule type="containsText" dxfId="191" priority="820" operator="containsText" text="Caida">
      <formula>NOT(ISERROR(SEARCH("Caida",U369)))</formula>
    </cfRule>
  </conditionalFormatting>
  <conditionalFormatting sqref="U370:U372">
    <cfRule type="cellIs" dxfId="190" priority="817" operator="lessThan">
      <formula>0.8</formula>
    </cfRule>
    <cfRule type="cellIs" dxfId="189" priority="818" operator="greaterThan">
      <formula>0.8</formula>
    </cfRule>
  </conditionalFormatting>
  <conditionalFormatting sqref="U370:U372">
    <cfRule type="notContainsText" dxfId="188" priority="815" operator="notContains" text="Caida">
      <formula>ISERROR(SEARCH("Caida",U370))</formula>
    </cfRule>
    <cfRule type="containsText" dxfId="187" priority="816" operator="containsText" text="Caida">
      <formula>NOT(ISERROR(SEARCH("Caida",U370)))</formula>
    </cfRule>
  </conditionalFormatting>
  <conditionalFormatting sqref="U6:U92 U96:U230">
    <cfRule type="cellIs" dxfId="186" priority="882" operator="lessThan">
      <formula>0.8</formula>
    </cfRule>
    <cfRule type="cellIs" dxfId="185" priority="883" operator="greaterThan">
      <formula>0.8</formula>
    </cfRule>
  </conditionalFormatting>
  <conditionalFormatting sqref="U6:U92 U96:U230">
    <cfRule type="notContainsText" dxfId="184" priority="880" operator="notContains" text="Caida">
      <formula>ISERROR(SEARCH("Caida",U6))</formula>
    </cfRule>
    <cfRule type="containsText" dxfId="183" priority="881" operator="containsText" text="Caida">
      <formula>NOT(ISERROR(SEARCH("Caida",U6)))</formula>
    </cfRule>
  </conditionalFormatting>
  <conditionalFormatting sqref="U336">
    <cfRule type="cellIs" dxfId="182" priority="837" operator="lessThan">
      <formula>0.8</formula>
    </cfRule>
    <cfRule type="cellIs" dxfId="181" priority="838" operator="greaterThan">
      <formula>0.8</formula>
    </cfRule>
  </conditionalFormatting>
  <conditionalFormatting sqref="U336">
    <cfRule type="notContainsText" dxfId="180" priority="835" operator="notContains" text="Caida">
      <formula>ISERROR(SEARCH("Caida",U336))</formula>
    </cfRule>
    <cfRule type="containsText" dxfId="179" priority="836" operator="containsText" text="Caida">
      <formula>NOT(ISERROR(SEARCH("Caida",U336)))</formula>
    </cfRule>
  </conditionalFormatting>
  <conditionalFormatting sqref="U337:U366 U284:U334">
    <cfRule type="cellIs" dxfId="178" priority="878" operator="lessThan">
      <formula>0.8</formula>
    </cfRule>
    <cfRule type="cellIs" dxfId="177" priority="879" operator="greaterThan">
      <formula>0.8</formula>
    </cfRule>
  </conditionalFormatting>
  <conditionalFormatting sqref="U337:U366 U284:U334 U391:U1048576">
    <cfRule type="notContainsText" dxfId="176" priority="876" operator="notContains" text="Caida">
      <formula>ISERROR(SEARCH("Caida",U284))</formula>
    </cfRule>
    <cfRule type="containsText" dxfId="175" priority="877" operator="containsText" text="Caida">
      <formula>NOT(ISERROR(SEARCH("Caida",U284)))</formula>
    </cfRule>
  </conditionalFormatting>
  <conditionalFormatting sqref="U22">
    <cfRule type="containsText" dxfId="174" priority="875" operator="containsText" text="Instaladas en Funcionamiento Caida">
      <formula>NOT(ISERROR(SEARCH("Instaladas en Funcionamiento Caida",U22)))</formula>
    </cfRule>
  </conditionalFormatting>
  <conditionalFormatting sqref="U282">
    <cfRule type="cellIs" dxfId="173" priority="873" operator="lessThan">
      <formula>0.8</formula>
    </cfRule>
    <cfRule type="cellIs" dxfId="172" priority="874" operator="greaterThan">
      <formula>0.8</formula>
    </cfRule>
  </conditionalFormatting>
  <conditionalFormatting sqref="U282">
    <cfRule type="notContainsText" dxfId="171" priority="871" operator="notContains" text="Caida">
      <formula>ISERROR(SEARCH("Caida",U282))</formula>
    </cfRule>
    <cfRule type="containsText" dxfId="170" priority="872" operator="containsText" text="Caida">
      <formula>NOT(ISERROR(SEARCH("Caida",U282)))</formula>
    </cfRule>
  </conditionalFormatting>
  <conditionalFormatting sqref="U283">
    <cfRule type="cellIs" dxfId="169" priority="869" operator="lessThan">
      <formula>0.8</formula>
    </cfRule>
    <cfRule type="cellIs" dxfId="168" priority="870" operator="greaterThan">
      <formula>0.8</formula>
    </cfRule>
  </conditionalFormatting>
  <conditionalFormatting sqref="U283">
    <cfRule type="notContainsText" dxfId="167" priority="867" operator="notContains" text="Caida">
      <formula>ISERROR(SEARCH("Caida",U283))</formula>
    </cfRule>
    <cfRule type="containsText" dxfId="166" priority="868" operator="containsText" text="Caida">
      <formula>NOT(ISERROR(SEARCH("Caida",U283)))</formula>
    </cfRule>
  </conditionalFormatting>
  <conditionalFormatting sqref="U5">
    <cfRule type="cellIs" dxfId="165" priority="865" operator="lessThan">
      <formula>0.8</formula>
    </cfRule>
    <cfRule type="cellIs" dxfId="164" priority="866" operator="greaterThan">
      <formula>0.8</formula>
    </cfRule>
  </conditionalFormatting>
  <conditionalFormatting sqref="U5">
    <cfRule type="notContainsText" dxfId="163" priority="863" operator="notContains" text="Caida">
      <formula>ISERROR(SEARCH("Caida",U5))</formula>
    </cfRule>
    <cfRule type="containsText" dxfId="162" priority="864" operator="containsText" text="Caida">
      <formula>NOT(ISERROR(SEARCH("Caida",U5)))</formula>
    </cfRule>
  </conditionalFormatting>
  <conditionalFormatting sqref="U233">
    <cfRule type="cellIs" dxfId="161" priority="853" operator="lessThan">
      <formula>0.8</formula>
    </cfRule>
    <cfRule type="cellIs" dxfId="160" priority="854" operator="greaterThan">
      <formula>0.8</formula>
    </cfRule>
  </conditionalFormatting>
  <conditionalFormatting sqref="U233">
    <cfRule type="notContainsText" dxfId="159" priority="851" operator="notContains" text="Caida">
      <formula>ISERROR(SEARCH("Caida",U233))</formula>
    </cfRule>
    <cfRule type="containsText" dxfId="158" priority="852" operator="containsText" text="Caida">
      <formula>NOT(ISERROR(SEARCH("Caida",U233)))</formula>
    </cfRule>
  </conditionalFormatting>
  <conditionalFormatting sqref="U234">
    <cfRule type="cellIs" dxfId="157" priority="849" operator="lessThan">
      <formula>0.8</formula>
    </cfRule>
    <cfRule type="cellIs" dxfId="156" priority="850" operator="greaterThan">
      <formula>0.8</formula>
    </cfRule>
  </conditionalFormatting>
  <conditionalFormatting sqref="U234">
    <cfRule type="notContainsText" dxfId="155" priority="847" operator="notContains" text="Caida">
      <formula>ISERROR(SEARCH("Caida",U234))</formula>
    </cfRule>
    <cfRule type="containsText" dxfId="154" priority="848" operator="containsText" text="Caida">
      <formula>NOT(ISERROR(SEARCH("Caida",U234)))</formula>
    </cfRule>
  </conditionalFormatting>
  <conditionalFormatting sqref="U235">
    <cfRule type="cellIs" dxfId="153" priority="845" operator="lessThan">
      <formula>0.8</formula>
    </cfRule>
    <cfRule type="cellIs" dxfId="152" priority="846" operator="greaterThan">
      <formula>0.8</formula>
    </cfRule>
  </conditionalFormatting>
  <conditionalFormatting sqref="U235">
    <cfRule type="notContainsText" dxfId="151" priority="843" operator="notContains" text="Caida">
      <formula>ISERROR(SEARCH("Caida",U235))</formula>
    </cfRule>
    <cfRule type="containsText" dxfId="150" priority="844" operator="containsText" text="Caida">
      <formula>NOT(ISERROR(SEARCH("Caida",U235)))</formula>
    </cfRule>
  </conditionalFormatting>
  <conditionalFormatting sqref="U335">
    <cfRule type="cellIs" dxfId="149" priority="841" operator="lessThan">
      <formula>0.8</formula>
    </cfRule>
    <cfRule type="cellIs" dxfId="148" priority="842" operator="greaterThan">
      <formula>0.8</formula>
    </cfRule>
  </conditionalFormatting>
  <conditionalFormatting sqref="U335">
    <cfRule type="notContainsText" dxfId="147" priority="839" operator="notContains" text="Caida">
      <formula>ISERROR(SEARCH("Caida",U335))</formula>
    </cfRule>
    <cfRule type="containsText" dxfId="146" priority="840" operator="containsText" text="Caida">
      <formula>NOT(ISERROR(SEARCH("Caida",U335)))</formula>
    </cfRule>
  </conditionalFormatting>
  <conditionalFormatting sqref="U93:U95">
    <cfRule type="cellIs" dxfId="145" priority="833" operator="lessThan">
      <formula>0.8</formula>
    </cfRule>
    <cfRule type="cellIs" dxfId="144" priority="834" operator="greaterThan">
      <formula>0.8</formula>
    </cfRule>
  </conditionalFormatting>
  <conditionalFormatting sqref="U93:U95">
    <cfRule type="notContainsText" dxfId="143" priority="831" operator="notContains" text="Caida">
      <formula>ISERROR(SEARCH("Caida",U93))</formula>
    </cfRule>
    <cfRule type="containsText" dxfId="142" priority="832" operator="containsText" text="Caida">
      <formula>NOT(ISERROR(SEARCH("Caida",U93)))</formula>
    </cfRule>
  </conditionalFormatting>
  <conditionalFormatting sqref="U367">
    <cfRule type="cellIs" dxfId="141" priority="829" operator="lessThan">
      <formula>0.8</formula>
    </cfRule>
    <cfRule type="cellIs" dxfId="140" priority="830" operator="greaterThan">
      <formula>0.8</formula>
    </cfRule>
  </conditionalFormatting>
  <conditionalFormatting sqref="U367">
    <cfRule type="notContainsText" dxfId="139" priority="827" operator="notContains" text="Caida">
      <formula>ISERROR(SEARCH("Caida",U367))</formula>
    </cfRule>
    <cfRule type="containsText" dxfId="138" priority="828" operator="containsText" text="Caida">
      <formula>NOT(ISERROR(SEARCH("Caida",U367)))</formula>
    </cfRule>
  </conditionalFormatting>
  <conditionalFormatting sqref="V6:X92">
    <cfRule type="cellIs" dxfId="137" priority="813" operator="lessThan">
      <formula>0.8</formula>
    </cfRule>
    <cfRule type="cellIs" dxfId="136" priority="814" operator="greaterThan">
      <formula>0.8</formula>
    </cfRule>
  </conditionalFormatting>
  <conditionalFormatting sqref="V6:X92">
    <cfRule type="notContainsText" dxfId="135" priority="811" operator="notContains" text="Caida">
      <formula>ISERROR(SEARCH("Caida",V6))</formula>
    </cfRule>
    <cfRule type="containsText" dxfId="134" priority="812" operator="containsText" text="Caida">
      <formula>NOT(ISERROR(SEARCH("Caida",V6)))</formula>
    </cfRule>
  </conditionalFormatting>
  <conditionalFormatting sqref="V22:AJ22">
    <cfRule type="containsText" dxfId="133" priority="810" operator="containsText" text="Instaladas en Funcionamiento Caida">
      <formula>NOT(ISERROR(SEARCH("Instaladas en Funcionamiento Caida",V22)))</formula>
    </cfRule>
  </conditionalFormatting>
  <conditionalFormatting sqref="V5:AJ5">
    <cfRule type="cellIs" dxfId="132" priority="808" operator="lessThan">
      <formula>0.8</formula>
    </cfRule>
    <cfRule type="cellIs" dxfId="131" priority="809" operator="greaterThan">
      <formula>0.8</formula>
    </cfRule>
  </conditionalFormatting>
  <conditionalFormatting sqref="V5:AJ5">
    <cfRule type="notContainsText" dxfId="130" priority="806" operator="notContains" text="Caida">
      <formula>ISERROR(SEARCH("Caida",V5))</formula>
    </cfRule>
    <cfRule type="containsText" dxfId="129" priority="807" operator="containsText" text="Caida">
      <formula>NOT(ISERROR(SEARCH("Caida",V5)))</formula>
    </cfRule>
  </conditionalFormatting>
  <conditionalFormatting sqref="V93:X95">
    <cfRule type="cellIs" dxfId="128" priority="804" operator="lessThan">
      <formula>0.8</formula>
    </cfRule>
    <cfRule type="cellIs" dxfId="127" priority="805" operator="greaterThan">
      <formula>0.8</formula>
    </cfRule>
  </conditionalFormatting>
  <conditionalFormatting sqref="V93:X95">
    <cfRule type="notContainsText" dxfId="126" priority="802" operator="notContains" text="Caida">
      <formula>ISERROR(SEARCH("Caida",V93))</formula>
    </cfRule>
    <cfRule type="containsText" dxfId="125" priority="803" operator="containsText" text="Caida">
      <formula>NOT(ISERROR(SEARCH("Caida",V93)))</formula>
    </cfRule>
  </conditionalFormatting>
  <conditionalFormatting sqref="E1:E372 E391:E1048576">
    <cfRule type="containsText" dxfId="124" priority="662" operator="containsText" text="fija">
      <formula>NOT(ISERROR(SEARCH("fija",E1)))</formula>
    </cfRule>
    <cfRule type="containsText" dxfId="123" priority="663" operator="containsText" text="domo">
      <formula>NOT(ISERROR(SEARCH("domo",E1)))</formula>
    </cfRule>
  </conditionalFormatting>
  <conditionalFormatting sqref="AK6:AP92">
    <cfRule type="cellIs" dxfId="122" priority="638" operator="lessThan">
      <formula>0.8</formula>
    </cfRule>
    <cfRule type="cellIs" dxfId="121" priority="639" operator="greaterThan">
      <formula>0.8</formula>
    </cfRule>
  </conditionalFormatting>
  <conditionalFormatting sqref="AK6:AP92">
    <cfRule type="notContainsText" dxfId="120" priority="636" operator="notContains" text="Caida">
      <formula>ISERROR(SEARCH("Caida",AK6))</formula>
    </cfRule>
    <cfRule type="containsText" dxfId="119" priority="637" operator="containsText" text="Caida">
      <formula>NOT(ISERROR(SEARCH("Caida",AK6)))</formula>
    </cfRule>
  </conditionalFormatting>
  <conditionalFormatting sqref="AK22:AS22">
    <cfRule type="containsText" dxfId="118" priority="635" operator="containsText" text="Instaladas en Funcionamiento Caida">
      <formula>NOT(ISERROR(SEARCH("Instaladas en Funcionamiento Caida",AK22)))</formula>
    </cfRule>
  </conditionalFormatting>
  <conditionalFormatting sqref="AK5:AS5">
    <cfRule type="cellIs" dxfId="117" priority="633" operator="lessThan">
      <formula>0.8</formula>
    </cfRule>
    <cfRule type="cellIs" dxfId="116" priority="634" operator="greaterThan">
      <formula>0.8</formula>
    </cfRule>
  </conditionalFormatting>
  <conditionalFormatting sqref="AK5:AS5">
    <cfRule type="notContainsText" dxfId="115" priority="631" operator="notContains" text="Caida">
      <formula>ISERROR(SEARCH("Caida",AK5))</formula>
    </cfRule>
    <cfRule type="containsText" dxfId="114" priority="632" operator="containsText" text="Caida">
      <formula>NOT(ISERROR(SEARCH("Caida",AK5)))</formula>
    </cfRule>
  </conditionalFormatting>
  <conditionalFormatting sqref="AK93:AP94">
    <cfRule type="cellIs" dxfId="113" priority="629" operator="lessThan">
      <formula>0.8</formula>
    </cfRule>
    <cfRule type="cellIs" dxfId="112" priority="630" operator="greaterThan">
      <formula>0.8</formula>
    </cfRule>
  </conditionalFormatting>
  <conditionalFormatting sqref="AK93:AP94">
    <cfRule type="notContainsText" dxfId="111" priority="627" operator="notContains" text="Caida">
      <formula>ISERROR(SEARCH("Caida",AK93))</formula>
    </cfRule>
    <cfRule type="containsText" dxfId="110" priority="628" operator="containsText" text="Caida">
      <formula>NOT(ISERROR(SEARCH("Caida",AK93)))</formula>
    </cfRule>
  </conditionalFormatting>
  <conditionalFormatting sqref="AK1:AS1 O247:O372 AK391:AS1048576 AK5:AS372 O5:AJ369">
    <cfRule type="cellIs" dxfId="109" priority="626" operator="equal">
      <formula>"APAGADO"</formula>
    </cfRule>
  </conditionalFormatting>
  <conditionalFormatting sqref="S6:S92 S96:S230">
    <cfRule type="cellIs" dxfId="108" priority="610" operator="lessThan">
      <formula>0.8</formula>
    </cfRule>
    <cfRule type="cellIs" dxfId="107" priority="611" operator="greaterThan">
      <formula>0.8</formula>
    </cfRule>
  </conditionalFormatting>
  <conditionalFormatting sqref="S6:S92 S96:S230">
    <cfRule type="notContainsText" dxfId="106" priority="608" operator="notContains" text="Caida">
      <formula>ISERROR(SEARCH("Caida",S6))</formula>
    </cfRule>
    <cfRule type="containsText" dxfId="105" priority="609" operator="containsText" text="Caida">
      <formula>NOT(ISERROR(SEARCH("Caida",S6)))</formula>
    </cfRule>
  </conditionalFormatting>
  <conditionalFormatting sqref="S337:S366 S284:S334">
    <cfRule type="cellIs" dxfId="104" priority="606" operator="lessThan">
      <formula>0.8</formula>
    </cfRule>
    <cfRule type="cellIs" dxfId="103" priority="607" operator="greaterThan">
      <formula>0.8</formula>
    </cfRule>
  </conditionalFormatting>
  <conditionalFormatting sqref="S337:S366 S284:S334">
    <cfRule type="notContainsText" dxfId="102" priority="604" operator="notContains" text="Caida">
      <formula>ISERROR(SEARCH("Caida",S284))</formula>
    </cfRule>
    <cfRule type="containsText" dxfId="101" priority="605" operator="containsText" text="Caida">
      <formula>NOT(ISERROR(SEARCH("Caida",S284)))</formula>
    </cfRule>
  </conditionalFormatting>
  <conditionalFormatting sqref="S93:S95">
    <cfRule type="cellIs" dxfId="100" priority="602" operator="lessThan">
      <formula>0.8</formula>
    </cfRule>
    <cfRule type="cellIs" dxfId="99" priority="603" operator="greaterThan">
      <formula>0.8</formula>
    </cfRule>
  </conditionalFormatting>
  <conditionalFormatting sqref="S93:S95">
    <cfRule type="notContainsText" dxfId="98" priority="600" operator="notContains" text="Caida">
      <formula>ISERROR(SEARCH("Caida",S93))</formula>
    </cfRule>
    <cfRule type="containsText" dxfId="97" priority="601" operator="containsText" text="Caida">
      <formula>NOT(ISERROR(SEARCH("Caida",S93)))</formula>
    </cfRule>
  </conditionalFormatting>
  <conditionalFormatting sqref="T6:T92 T96:T230">
    <cfRule type="cellIs" dxfId="96" priority="598" operator="lessThan">
      <formula>0.8</formula>
    </cfRule>
    <cfRule type="cellIs" dxfId="95" priority="599" operator="greaterThan">
      <formula>0.8</formula>
    </cfRule>
  </conditionalFormatting>
  <conditionalFormatting sqref="T6:T92 T96:T230">
    <cfRule type="notContainsText" dxfId="94" priority="596" operator="notContains" text="Caida">
      <formula>ISERROR(SEARCH("Caida",T6))</formula>
    </cfRule>
    <cfRule type="containsText" dxfId="93" priority="597" operator="containsText" text="Caida">
      <formula>NOT(ISERROR(SEARCH("Caida",T6)))</formula>
    </cfRule>
  </conditionalFormatting>
  <conditionalFormatting sqref="T337:T366 T284:T334">
    <cfRule type="cellIs" dxfId="92" priority="594" operator="lessThan">
      <formula>0.8</formula>
    </cfRule>
    <cfRule type="cellIs" dxfId="91" priority="595" operator="greaterThan">
      <formula>0.8</formula>
    </cfRule>
  </conditionalFormatting>
  <conditionalFormatting sqref="T337:T366 T284:T334">
    <cfRule type="notContainsText" dxfId="90" priority="592" operator="notContains" text="Caida">
      <formula>ISERROR(SEARCH("Caida",T284))</formula>
    </cfRule>
    <cfRule type="containsText" dxfId="89" priority="593" operator="containsText" text="Caida">
      <formula>NOT(ISERROR(SEARCH("Caida",T284)))</formula>
    </cfRule>
  </conditionalFormatting>
  <conditionalFormatting sqref="T93:T95">
    <cfRule type="cellIs" dxfId="88" priority="590" operator="lessThan">
      <formula>0.8</formula>
    </cfRule>
    <cfRule type="cellIs" dxfId="87" priority="591" operator="greaterThan">
      <formula>0.8</formula>
    </cfRule>
  </conditionalFormatting>
  <conditionalFormatting sqref="T93:T95">
    <cfRule type="notContainsText" dxfId="86" priority="588" operator="notContains" text="Caida">
      <formula>ISERROR(SEARCH("Caida",T93))</formula>
    </cfRule>
    <cfRule type="containsText" dxfId="85" priority="589" operator="containsText" text="Caida">
      <formula>NOT(ISERROR(SEARCH("Caida",T93)))</formula>
    </cfRule>
  </conditionalFormatting>
  <conditionalFormatting sqref="F1:F372 F391:F1048576">
    <cfRule type="cellIs" dxfId="84" priority="517" operator="equal">
      <formula>"PTP A FO"</formula>
    </cfRule>
  </conditionalFormatting>
  <conditionalFormatting sqref="R371:T372">
    <cfRule type="cellIs" dxfId="83" priority="146" operator="lessThan">
      <formula>0.8</formula>
    </cfRule>
    <cfRule type="cellIs" dxfId="82" priority="147" operator="greaterThan">
      <formula>0.8</formula>
    </cfRule>
  </conditionalFormatting>
  <conditionalFormatting sqref="R371:T372">
    <cfRule type="notContainsText" dxfId="81" priority="144" operator="notContains" text="Caida">
      <formula>ISERROR(SEARCH("Caida",R371))</formula>
    </cfRule>
    <cfRule type="containsText" dxfId="80" priority="145" operator="containsText" text="Caida">
      <formula>NOT(ISERROR(SEARCH("Caida",R371)))</formula>
    </cfRule>
  </conditionalFormatting>
  <conditionalFormatting sqref="O6:O92">
    <cfRule type="cellIs" dxfId="79" priority="134" operator="lessThan">
      <formula>0.8</formula>
    </cfRule>
    <cfRule type="cellIs" dxfId="78" priority="135" operator="greaterThan">
      <formula>0.8</formula>
    </cfRule>
  </conditionalFormatting>
  <conditionalFormatting sqref="O6:O92">
    <cfRule type="notContainsText" dxfId="77" priority="132" operator="notContains" text="Caida">
      <formula>ISERROR(SEARCH("Caida",O6))</formula>
    </cfRule>
    <cfRule type="containsText" dxfId="76" priority="133" operator="containsText" text="Caida">
      <formula>NOT(ISERROR(SEARCH("Caida",O6)))</formula>
    </cfRule>
  </conditionalFormatting>
  <conditionalFormatting sqref="O22">
    <cfRule type="containsText" dxfId="75" priority="131" operator="containsText" text="Instaladas en Funcionamiento Caida">
      <formula>NOT(ISERROR(SEARCH("Instaladas en Funcionamiento Caida",O22)))</formula>
    </cfRule>
  </conditionalFormatting>
  <conditionalFormatting sqref="O5">
    <cfRule type="cellIs" dxfId="74" priority="129" operator="lessThan">
      <formula>0.8</formula>
    </cfRule>
    <cfRule type="cellIs" dxfId="73" priority="130" operator="greaterThan">
      <formula>0.8</formula>
    </cfRule>
  </conditionalFormatting>
  <conditionalFormatting sqref="O5">
    <cfRule type="notContainsText" dxfId="72" priority="127" operator="notContains" text="Caida">
      <formula>ISERROR(SEARCH("Caida",O5))</formula>
    </cfRule>
    <cfRule type="containsText" dxfId="71" priority="128" operator="containsText" text="Caida">
      <formula>NOT(ISERROR(SEARCH("Caida",O5)))</formula>
    </cfRule>
  </conditionalFormatting>
  <conditionalFormatting sqref="O93:O94">
    <cfRule type="cellIs" dxfId="70" priority="125" operator="lessThan">
      <formula>0.8</formula>
    </cfRule>
    <cfRule type="cellIs" dxfId="69" priority="126" operator="greaterThan">
      <formula>0.8</formula>
    </cfRule>
  </conditionalFormatting>
  <conditionalFormatting sqref="O93:O94">
    <cfRule type="notContainsText" dxfId="68" priority="123" operator="notContains" text="Caida">
      <formula>ISERROR(SEARCH("Caida",O93))</formula>
    </cfRule>
    <cfRule type="containsText" dxfId="67" priority="124" operator="containsText" text="Caida">
      <formula>NOT(ISERROR(SEARCH("Caida",O93)))</formula>
    </cfRule>
  </conditionalFormatting>
  <conditionalFormatting sqref="AQ6:AS92">
    <cfRule type="cellIs" dxfId="66" priority="116" operator="lessThan">
      <formula>0.8</formula>
    </cfRule>
    <cfRule type="cellIs" dxfId="65" priority="117" operator="greaterThan">
      <formula>0.8</formula>
    </cfRule>
  </conditionalFormatting>
  <conditionalFormatting sqref="AQ6:AS92">
    <cfRule type="notContainsText" dxfId="64" priority="114" operator="notContains" text="Caida">
      <formula>ISERROR(SEARCH("Caida",AQ6))</formula>
    </cfRule>
    <cfRule type="containsText" dxfId="63" priority="115" operator="containsText" text="Caida">
      <formula>NOT(ISERROR(SEARCH("Caida",AQ6)))</formula>
    </cfRule>
  </conditionalFormatting>
  <conditionalFormatting sqref="AQ93:AS94">
    <cfRule type="cellIs" dxfId="62" priority="112" operator="lessThan">
      <formula>0.8</formula>
    </cfRule>
    <cfRule type="cellIs" dxfId="61" priority="113" operator="greaterThan">
      <formula>0.8</formula>
    </cfRule>
  </conditionalFormatting>
  <conditionalFormatting sqref="AQ93:AS94">
    <cfRule type="notContainsText" dxfId="60" priority="110" operator="notContains" text="Caida">
      <formula>ISERROR(SEARCH("Caida",AQ93))</formula>
    </cfRule>
    <cfRule type="containsText" dxfId="59" priority="111" operator="containsText" text="Caida">
      <formula>NOT(ISERROR(SEARCH("Caida",AQ93)))</formula>
    </cfRule>
  </conditionalFormatting>
  <conditionalFormatting sqref="Y6:AF92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Y6:AF92">
    <cfRule type="notContainsText" dxfId="56" priority="49" operator="notContains" text="Caida">
      <formula>ISERROR(SEARCH("Caida",Y6))</formula>
    </cfRule>
    <cfRule type="containsText" dxfId="55" priority="50" operator="containsText" text="Caida">
      <formula>NOT(ISERROR(SEARCH("Caida",Y6)))</formula>
    </cfRule>
  </conditionalFormatting>
  <conditionalFormatting sqref="Y93:AF9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Y93:AF95">
    <cfRule type="notContainsText" dxfId="52" priority="45" operator="notContains" text="Caida">
      <formula>ISERROR(SEARCH("Caida",Y93))</formula>
    </cfRule>
    <cfRule type="containsText" dxfId="51" priority="46" operator="containsText" text="Caida">
      <formula>NOT(ISERROR(SEARCH("Caida",Y93)))</formula>
    </cfRule>
  </conditionalFormatting>
  <conditionalFormatting sqref="AF1:AF1048576">
    <cfRule type="cellIs" dxfId="50" priority="44" operator="equal">
      <formula>"apagado"</formula>
    </cfRule>
  </conditionalFormatting>
  <conditionalFormatting sqref="AE1:AE1048576">
    <cfRule type="cellIs" dxfId="49" priority="43" operator="equal">
      <formula>"apagado"</formula>
    </cfRule>
  </conditionalFormatting>
  <conditionalFormatting sqref="AD1:AD1048576">
    <cfRule type="cellIs" dxfId="48" priority="42" operator="equal">
      <formula>"apagado"</formula>
    </cfRule>
  </conditionalFormatting>
  <conditionalFormatting sqref="AC1:AC1048576">
    <cfRule type="cellIs" dxfId="47" priority="41" operator="equal">
      <formula>"apagado"</formula>
    </cfRule>
  </conditionalFormatting>
  <conditionalFormatting sqref="AB1:AB1048576">
    <cfRule type="cellIs" dxfId="46" priority="40" operator="equal">
      <formula>"apagado"</formula>
    </cfRule>
  </conditionalFormatting>
  <conditionalFormatting sqref="AA1:AA1048576">
    <cfRule type="cellIs" dxfId="45" priority="39" operator="equal">
      <formula>"apagado"</formula>
    </cfRule>
  </conditionalFormatting>
  <conditionalFormatting sqref="Z1:Z1048576">
    <cfRule type="cellIs" dxfId="44" priority="38" operator="equal">
      <formula>"apagado"</formula>
    </cfRule>
  </conditionalFormatting>
  <conditionalFormatting sqref="Y1:Y1048576">
    <cfRule type="cellIs" dxfId="43" priority="37" operator="equal">
      <formula>"apagado"</formula>
    </cfRule>
  </conditionalFormatting>
  <conditionalFormatting sqref="AG6:AG92">
    <cfRule type="cellIs" dxfId="42" priority="35" operator="lessThan">
      <formula>0.8</formula>
    </cfRule>
    <cfRule type="cellIs" dxfId="41" priority="36" operator="greaterThan">
      <formula>0.8</formula>
    </cfRule>
  </conditionalFormatting>
  <conditionalFormatting sqref="AG6:AG92">
    <cfRule type="notContainsText" dxfId="40" priority="33" operator="notContains" text="Caida">
      <formula>ISERROR(SEARCH("Caida",AG6))</formula>
    </cfRule>
    <cfRule type="containsText" dxfId="39" priority="34" operator="containsText" text="Caida">
      <formula>NOT(ISERROR(SEARCH("Caida",AG6)))</formula>
    </cfRule>
  </conditionalFormatting>
  <conditionalFormatting sqref="AG93:AG95">
    <cfRule type="cellIs" dxfId="38" priority="31" operator="lessThan">
      <formula>0.8</formula>
    </cfRule>
    <cfRule type="cellIs" dxfId="37" priority="32" operator="greaterThan">
      <formula>0.8</formula>
    </cfRule>
  </conditionalFormatting>
  <conditionalFormatting sqref="AG93:AG95">
    <cfRule type="notContainsText" dxfId="36" priority="29" operator="notContains" text="Caida">
      <formula>ISERROR(SEARCH("Caida",AG93))</formula>
    </cfRule>
    <cfRule type="containsText" dxfId="35" priority="30" operator="containsText" text="Caida">
      <formula>NOT(ISERROR(SEARCH("Caida",AG93)))</formula>
    </cfRule>
  </conditionalFormatting>
  <conditionalFormatting sqref="AG1:AG1048576">
    <cfRule type="cellIs" dxfId="34" priority="28" operator="equal">
      <formula>"apagado"</formula>
    </cfRule>
  </conditionalFormatting>
  <conditionalFormatting sqref="AH6:AH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AH6:AH92">
    <cfRule type="notContainsText" dxfId="31" priority="24" operator="notContains" text="Caida">
      <formula>ISERROR(SEARCH("Caida",AH6))</formula>
    </cfRule>
    <cfRule type="containsText" dxfId="30" priority="25" operator="containsText" text="Caida">
      <formula>NOT(ISERROR(SEARCH("Caida",AH6)))</formula>
    </cfRule>
  </conditionalFormatting>
  <conditionalFormatting sqref="AH93:AH95">
    <cfRule type="cellIs" dxfId="29" priority="22" operator="lessThan">
      <formula>0.8</formula>
    </cfRule>
    <cfRule type="cellIs" dxfId="28" priority="23" operator="greaterThan">
      <formula>0.8</formula>
    </cfRule>
  </conditionalFormatting>
  <conditionalFormatting sqref="AH93:AH95">
    <cfRule type="notContainsText" dxfId="27" priority="20" operator="notContains" text="Caida">
      <formula>ISERROR(SEARCH("Caida",AH93))</formula>
    </cfRule>
    <cfRule type="containsText" dxfId="26" priority="21" operator="containsText" text="Caida">
      <formula>NOT(ISERROR(SEARCH("Caida",AH93)))</formula>
    </cfRule>
  </conditionalFormatting>
  <conditionalFormatting sqref="AH1:AH1048576">
    <cfRule type="cellIs" dxfId="25" priority="19" operator="equal">
      <formula>"apagado"</formula>
    </cfRule>
  </conditionalFormatting>
  <conditionalFormatting sqref="AI6:AI92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AI6:AI92">
    <cfRule type="notContainsText" dxfId="22" priority="15" operator="notContains" text="Caida">
      <formula>ISERROR(SEARCH("Caida",AI6))</formula>
    </cfRule>
    <cfRule type="containsText" dxfId="21" priority="16" operator="containsText" text="Caida">
      <formula>NOT(ISERROR(SEARCH("Caida",AI6)))</formula>
    </cfRule>
  </conditionalFormatting>
  <conditionalFormatting sqref="AI93:AI95">
    <cfRule type="cellIs" dxfId="20" priority="13" operator="lessThan">
      <formula>0.8</formula>
    </cfRule>
    <cfRule type="cellIs" dxfId="19" priority="14" operator="greaterThan">
      <formula>0.8</formula>
    </cfRule>
  </conditionalFormatting>
  <conditionalFormatting sqref="AI93:AI95">
    <cfRule type="notContainsText" dxfId="18" priority="11" operator="notContains" text="Caida">
      <formula>ISERROR(SEARCH("Caida",AI93))</formula>
    </cfRule>
    <cfRule type="containsText" dxfId="17" priority="12" operator="containsText" text="Caida">
      <formula>NOT(ISERROR(SEARCH("Caida",AI93)))</formula>
    </cfRule>
  </conditionalFormatting>
  <conditionalFormatting sqref="AI1:AI1048576">
    <cfRule type="cellIs" dxfId="16" priority="10" operator="equal">
      <formula>"apagado"</formula>
    </cfRule>
  </conditionalFormatting>
  <conditionalFormatting sqref="AJ6:AJ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J6:AJ92">
    <cfRule type="notContainsText" dxfId="13" priority="6" operator="notContains" text="Caida">
      <formula>ISERROR(SEARCH("Caida",AJ6))</formula>
    </cfRule>
    <cfRule type="containsText" dxfId="12" priority="7" operator="containsText" text="Caida">
      <formula>NOT(ISERROR(SEARCH("Caida",AJ6)))</formula>
    </cfRule>
  </conditionalFormatting>
  <conditionalFormatting sqref="AJ93:AJ95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J93:AJ95">
    <cfRule type="notContainsText" dxfId="9" priority="2" operator="notContains" text="Caida">
      <formula>ISERROR(SEARCH("Caida",AJ93))</formula>
    </cfRule>
    <cfRule type="containsText" dxfId="8" priority="3" operator="containsText" text="Caida">
      <formula>NOT(ISERROR(SEARCH("Caida",AJ93)))</formula>
    </cfRule>
  </conditionalFormatting>
  <conditionalFormatting sqref="AJ1:AJ1048576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1312</v>
      </c>
    </row>
    <row r="2" spans="1:1" ht="15.75" thickBot="1" x14ac:dyDescent="0.3"/>
    <row r="3" spans="1:1" ht="20.25" thickTop="1" thickBot="1" x14ac:dyDescent="0.3">
      <c r="A3" s="48">
        <v>44621</v>
      </c>
    </row>
    <row r="4" spans="1:1" ht="20.25" thickTop="1" thickBot="1" x14ac:dyDescent="0.3">
      <c r="A4" s="48">
        <v>44622</v>
      </c>
    </row>
    <row r="5" spans="1:1" ht="20.25" thickTop="1" thickBot="1" x14ac:dyDescent="0.3">
      <c r="A5" s="48">
        <v>44623</v>
      </c>
    </row>
    <row r="6" spans="1:1" ht="20.25" thickTop="1" thickBot="1" x14ac:dyDescent="0.3">
      <c r="A6" s="48">
        <v>44624</v>
      </c>
    </row>
    <row r="7" spans="1:1" ht="20.25" thickTop="1" thickBot="1" x14ac:dyDescent="0.3">
      <c r="A7" s="48">
        <v>44625</v>
      </c>
    </row>
    <row r="8" spans="1:1" ht="20.25" thickTop="1" thickBot="1" x14ac:dyDescent="0.3">
      <c r="A8" s="48">
        <v>44626</v>
      </c>
    </row>
    <row r="9" spans="1:1" ht="20.25" thickTop="1" thickBot="1" x14ac:dyDescent="0.3">
      <c r="A9" s="48">
        <v>44627</v>
      </c>
    </row>
    <row r="10" spans="1:1" ht="20.25" thickTop="1" thickBot="1" x14ac:dyDescent="0.3">
      <c r="A10" s="48">
        <v>44628</v>
      </c>
    </row>
    <row r="11" spans="1:1" ht="20.25" thickTop="1" thickBot="1" x14ac:dyDescent="0.3">
      <c r="A11" s="48">
        <v>44629</v>
      </c>
    </row>
    <row r="12" spans="1:1" ht="20.25" thickTop="1" thickBot="1" x14ac:dyDescent="0.3">
      <c r="A12" s="48">
        <v>44630</v>
      </c>
    </row>
    <row r="13" spans="1:1" ht="20.25" thickTop="1" thickBot="1" x14ac:dyDescent="0.3">
      <c r="A13" s="48">
        <v>44631</v>
      </c>
    </row>
    <row r="14" spans="1:1" ht="20.25" thickTop="1" thickBot="1" x14ac:dyDescent="0.3">
      <c r="A14" s="48">
        <v>44632</v>
      </c>
    </row>
    <row r="15" spans="1:1" ht="20.25" thickTop="1" thickBot="1" x14ac:dyDescent="0.3">
      <c r="A15" s="48">
        <v>44633</v>
      </c>
    </row>
    <row r="16" spans="1:1" ht="20.25" thickTop="1" thickBot="1" x14ac:dyDescent="0.3">
      <c r="A16" s="48">
        <v>44634</v>
      </c>
    </row>
    <row r="17" spans="1:2" ht="20.25" thickTop="1" thickBot="1" x14ac:dyDescent="0.3">
      <c r="A17" s="48">
        <v>44635</v>
      </c>
    </row>
    <row r="18" spans="1:2" ht="20.25" thickTop="1" thickBot="1" x14ac:dyDescent="0.3">
      <c r="A18" s="48">
        <v>44636</v>
      </c>
    </row>
    <row r="19" spans="1:2" ht="20.25" thickTop="1" thickBot="1" x14ac:dyDescent="0.3">
      <c r="A19" s="48">
        <v>44637</v>
      </c>
    </row>
    <row r="20" spans="1:2" ht="20.25" thickTop="1" thickBot="1" x14ac:dyDescent="0.3">
      <c r="A20" s="48">
        <v>44638</v>
      </c>
    </row>
    <row r="21" spans="1:2" ht="20.25" thickTop="1" thickBot="1" x14ac:dyDescent="0.3">
      <c r="A21" s="48">
        <v>44639</v>
      </c>
    </row>
    <row r="22" spans="1:2" ht="20.25" thickTop="1" thickBot="1" x14ac:dyDescent="0.3">
      <c r="A22" s="48">
        <v>44640</v>
      </c>
    </row>
    <row r="23" spans="1:2" ht="20.25" thickTop="1" thickBot="1" x14ac:dyDescent="0.3">
      <c r="A23" s="48">
        <v>44641</v>
      </c>
      <c r="B23" s="49"/>
    </row>
    <row r="24" spans="1:2" ht="20.25" thickTop="1" thickBot="1" x14ac:dyDescent="0.3">
      <c r="A24" s="48">
        <v>44642</v>
      </c>
      <c r="B24" s="50"/>
    </row>
    <row r="25" spans="1:2" ht="20.25" thickTop="1" thickBot="1" x14ac:dyDescent="0.3">
      <c r="A25" s="48">
        <v>44643</v>
      </c>
    </row>
    <row r="26" spans="1:2" ht="20.25" thickTop="1" thickBot="1" x14ac:dyDescent="0.3">
      <c r="A26" s="48">
        <v>44644</v>
      </c>
    </row>
    <row r="27" spans="1:2" ht="20.25" thickTop="1" thickBot="1" x14ac:dyDescent="0.3">
      <c r="A27" s="48">
        <v>44645</v>
      </c>
    </row>
    <row r="28" spans="1:2" ht="20.25" thickTop="1" thickBot="1" x14ac:dyDescent="0.3">
      <c r="A28" s="48">
        <v>44646</v>
      </c>
    </row>
    <row r="29" spans="1:2" ht="20.25" thickTop="1" thickBot="1" x14ac:dyDescent="0.3">
      <c r="A29" s="48">
        <v>44647</v>
      </c>
    </row>
    <row r="30" spans="1:2" ht="20.25" thickTop="1" thickBot="1" x14ac:dyDescent="0.3">
      <c r="A30" s="48">
        <v>44648</v>
      </c>
    </row>
    <row r="31" spans="1:2" ht="20.25" thickTop="1" thickBot="1" x14ac:dyDescent="0.3">
      <c r="A31" s="48">
        <v>44649</v>
      </c>
    </row>
    <row r="32" spans="1:2" ht="20.25" thickTop="1" thickBot="1" x14ac:dyDescent="0.3">
      <c r="A32" s="48">
        <v>44650</v>
      </c>
    </row>
    <row r="33" spans="1:1" ht="20.25" thickTop="1" thickBot="1" x14ac:dyDescent="0.3">
      <c r="A33" s="48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349" workbookViewId="0">
      <selection activeCell="A2" sqref="A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44621</v>
      </c>
      <c r="G1" s="25">
        <f>'RESUMEN TOTAL'!P4</f>
        <v>44622</v>
      </c>
      <c r="H1" s="25">
        <f>'RESUMEN TOTAL'!Q4</f>
        <v>44623</v>
      </c>
      <c r="I1" s="25">
        <f>'RESUMEN TOTAL'!R4</f>
        <v>44624</v>
      </c>
      <c r="J1" s="25">
        <f>'RESUMEN TOTAL'!S4</f>
        <v>44625</v>
      </c>
      <c r="K1" s="25">
        <f>'RESUMEN TOTAL'!T4</f>
        <v>44626</v>
      </c>
      <c r="L1" s="25">
        <f>'RESUMEN TOTAL'!U4</f>
        <v>44627</v>
      </c>
      <c r="M1" s="25">
        <f>'RESUMEN TOTAL'!V4</f>
        <v>44628</v>
      </c>
      <c r="N1" s="25">
        <f>'RESUMEN TOTAL'!W4</f>
        <v>44629</v>
      </c>
      <c r="O1" s="25">
        <f>'RESUMEN TOTAL'!X4</f>
        <v>44630</v>
      </c>
      <c r="P1" s="25">
        <f>'RESUMEN TOTAL'!Y4</f>
        <v>44631</v>
      </c>
      <c r="Q1" s="25">
        <f>'RESUMEN TOTAL'!Z4</f>
        <v>44632</v>
      </c>
      <c r="R1" s="25">
        <f>'RESUMEN TOTAL'!AA4</f>
        <v>44633</v>
      </c>
      <c r="S1" s="25">
        <f>'RESUMEN TOTAL'!AB4</f>
        <v>44634</v>
      </c>
      <c r="T1" s="25">
        <f>'RESUMEN TOTAL'!AC4</f>
        <v>44635</v>
      </c>
      <c r="U1" s="25">
        <f>'RESUMEN TOTAL'!AD4</f>
        <v>44636</v>
      </c>
      <c r="V1" s="25">
        <f>'RESUMEN TOTAL'!AE4</f>
        <v>44637</v>
      </c>
      <c r="W1" s="25">
        <f>'RESUMEN TOTAL'!AF4</f>
        <v>44638</v>
      </c>
      <c r="X1" s="25">
        <f>'RESUMEN TOTAL'!AG4</f>
        <v>44639</v>
      </c>
      <c r="Y1" s="25">
        <f>'RESUMEN TOTAL'!AH4</f>
        <v>44640</v>
      </c>
      <c r="Z1" s="25">
        <f>'RESUMEN TOTAL'!AI4</f>
        <v>44641</v>
      </c>
      <c r="AA1" s="25">
        <f>'RESUMEN TOTAL'!AJ4</f>
        <v>44642</v>
      </c>
      <c r="AB1" s="25">
        <f>'RESUMEN TOTAL'!AK4</f>
        <v>44643</v>
      </c>
      <c r="AC1" s="25">
        <f>'RESUMEN TOTAL'!AL4</f>
        <v>44644</v>
      </c>
      <c r="AD1" s="25">
        <f>'RESUMEN TOTAL'!AM4</f>
        <v>44645</v>
      </c>
      <c r="AE1" s="25">
        <f>'RESUMEN TOTAL'!AN4</f>
        <v>44646</v>
      </c>
      <c r="AF1" s="25">
        <f>'RESUMEN TOTAL'!AO4</f>
        <v>44647</v>
      </c>
      <c r="AG1" s="25">
        <f>'RESUMEN TOTAL'!AP4</f>
        <v>44648</v>
      </c>
      <c r="AH1" s="25">
        <f>'RESUMEN TOTAL'!AQ4</f>
        <v>44649</v>
      </c>
      <c r="AI1" s="25">
        <f>'RESUMEN TOTAL'!AR4</f>
        <v>44650</v>
      </c>
      <c r="AJ1" s="25">
        <f>'RESUMEN TOTAL'!AS4</f>
        <v>44651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 t="str">
        <f>'RESUMEN TOTAL'!AK5</f>
        <v>APAGADO</v>
      </c>
      <c r="AC2" t="str">
        <f>'RESUMEN TOTAL'!AL5</f>
        <v>APAGADO</v>
      </c>
      <c r="AD2" t="str">
        <f>'RESUMEN TOTAL'!AM5</f>
        <v>APAGADO</v>
      </c>
      <c r="AE2" t="str">
        <f>'RESUMEN TOTAL'!AN5</f>
        <v>APAGADO</v>
      </c>
      <c r="AF2" t="str">
        <f>'RESUMEN TOTAL'!AO5</f>
        <v>APAGADO</v>
      </c>
      <c r="AG2" t="str">
        <f>'RESUMEN TOTAL'!AP5</f>
        <v>APAGADO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 t="str">
        <f>'RESUMEN TOTAL'!AL10</f>
        <v>APAGADO</v>
      </c>
      <c r="AD7" t="str">
        <f>'RESUMEN TOTAL'!AM10</f>
        <v>APAGADO</v>
      </c>
      <c r="AE7" t="str">
        <f>'RESUMEN TOTAL'!AN10</f>
        <v>APAGADO</v>
      </c>
      <c r="AF7" t="str">
        <f>'RESUMEN TOTAL'!AO10</f>
        <v>APAGADO</v>
      </c>
      <c r="AG7" t="str">
        <f>'RESUMEN TOTAL'!AP10</f>
        <v>APAGADO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 t="str">
        <f>'RESUMEN TOTAL'!AJ13</f>
        <v>APAGADO</v>
      </c>
      <c r="AB10">
        <f>'RESUMEN TOTAL'!AK13</f>
        <v>0</v>
      </c>
      <c r="AC10" t="str">
        <f>'RESUMEN TOTAL'!AL13</f>
        <v>APAGADO</v>
      </c>
      <c r="AD10" t="str">
        <f>'RESUMEN TOTAL'!AM13</f>
        <v>APAGADO</v>
      </c>
      <c r="AE10" t="str">
        <f>'RESUMEN TOTAL'!AN13</f>
        <v>APAGADO</v>
      </c>
      <c r="AF10" t="str">
        <f>'RESUMEN TOTAL'!AO13</f>
        <v>APAGADO</v>
      </c>
      <c r="AG10" t="str">
        <f>'RESUMEN TOTAL'!AP13</f>
        <v>APAGADO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>
        <f>'RESUMEN TOTAL'!AH14</f>
        <v>0</v>
      </c>
      <c r="Z11">
        <f>'RESUMEN TOTAL'!AI14</f>
        <v>0</v>
      </c>
      <c r="AA11" t="str">
        <f>'RESUMEN TOTAL'!AJ14</f>
        <v>APAGADO</v>
      </c>
      <c r="AB11">
        <f>'RESUMEN TOTAL'!AK14</f>
        <v>0</v>
      </c>
      <c r="AC11" t="str">
        <f>'RESUMEN TOTAL'!AL14</f>
        <v>APAGADO</v>
      </c>
      <c r="AD11" t="str">
        <f>'RESUMEN TOTAL'!AM14</f>
        <v>APAGADO</v>
      </c>
      <c r="AE11">
        <f>'RESUMEN TOTAL'!AN14</f>
        <v>0</v>
      </c>
      <c r="AF11" t="str">
        <f>'RESUMEN TOTAL'!AO14</f>
        <v>APAGADO</v>
      </c>
      <c r="AG11" t="str">
        <f>'RESUMEN TOTAL'!AP14</f>
        <v>APAGADO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 t="str">
        <f>'RESUMEN TOTAL'!AG15</f>
        <v>APAGADO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 t="str">
        <f>'RESUMEN TOTAL'!AJ17</f>
        <v>APAGADO</v>
      </c>
      <c r="AB14">
        <f>'RESUMEN TOTAL'!AK17</f>
        <v>0</v>
      </c>
      <c r="AC14" t="str">
        <f>'RESUMEN TOTAL'!AL17</f>
        <v>APAGADO</v>
      </c>
      <c r="AD14" t="str">
        <f>'RESUMEN TOTAL'!AM17</f>
        <v>APAGADO</v>
      </c>
      <c r="AE14" t="str">
        <f>'RESUMEN TOTAL'!AN17</f>
        <v>APAGADO</v>
      </c>
      <c r="AF14" t="str">
        <f>'RESUMEN TOTAL'!AO17</f>
        <v>APAGADO</v>
      </c>
      <c r="AG14" t="str">
        <f>'RESUMEN TOTAL'!AP17</f>
        <v>APAGADO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 t="str">
        <f>'RESUMEN TOTAL'!AJ18</f>
        <v>APAGADO</v>
      </c>
      <c r="AB15">
        <f>'RESUMEN TOTAL'!AK18</f>
        <v>0</v>
      </c>
      <c r="AC15" t="str">
        <f>'RESUMEN TOTAL'!AL18</f>
        <v>APAGADO</v>
      </c>
      <c r="AD15" t="str">
        <f>'RESUMEN TOTAL'!AM18</f>
        <v>APAGADO</v>
      </c>
      <c r="AE15" t="str">
        <f>'RESUMEN TOTAL'!AN18</f>
        <v>APAGADO</v>
      </c>
      <c r="AF15" t="str">
        <f>'RESUMEN TOTAL'!AO18</f>
        <v>APAGADO</v>
      </c>
      <c r="AG15" t="str">
        <f>'RESUMEN TOTAL'!AP18</f>
        <v>APAGADO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 t="str">
        <f>'RESUMEN TOTAL'!AL20</f>
        <v>APAGADO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 t="str">
        <f>'RESUMEN TOTAL'!AN30</f>
        <v>APAGADO</v>
      </c>
      <c r="AF27" t="str">
        <f>'RESUMEN TOTAL'!AO30</f>
        <v>APAGADO</v>
      </c>
      <c r="AG27" t="str">
        <f>'RESUMEN TOTAL'!AP30</f>
        <v>APAGADO</v>
      </c>
    </row>
    <row r="28" spans="1:33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 t="str">
        <f>'RESUMEN TOTAL'!AL34</f>
        <v>APAGADO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 t="str">
        <f>'RESUMEN TOTAL'!AL35</f>
        <v>APAGADO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 t="str">
        <f>'RESUMEN TOTAL'!AL36</f>
        <v>APAGADO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 t="str">
        <f>'RESUMEN TOTAL'!AG41</f>
        <v>APAGADO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 t="str">
        <f>'RESUMEN TOTAL'!AG44</f>
        <v>APAGADO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 t="str">
        <f>'RESUMEN TOTAL'!AG49</f>
        <v>APAGADO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 t="str">
        <f>'RESUMEN TOTAL'!AG51</f>
        <v>APAGADO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 t="str">
        <f>'RESUMEN TOTAL'!AL51</f>
        <v>APAGADO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 t="str">
        <f>'RESUMEN TOTAL'!AG52</f>
        <v>APAGADO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 t="str">
        <f>'RESUMEN TOTAL'!AN62</f>
        <v>APAGADO</v>
      </c>
      <c r="AF59" t="str">
        <f>'RESUMEN TOTAL'!AO62</f>
        <v>APAGADO</v>
      </c>
      <c r="AG59" t="str">
        <f>'RESUMEN TOTAL'!AP62</f>
        <v>APAGADO</v>
      </c>
    </row>
    <row r="60" spans="1:33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 t="str">
        <f>'RESUMEN TOTAL'!AN63</f>
        <v>APAGADO</v>
      </c>
      <c r="AF60" t="str">
        <f>'RESUMEN TOTAL'!AO63</f>
        <v>APAGADO</v>
      </c>
      <c r="AG60" t="str">
        <f>'RESUMEN TOTAL'!AP63</f>
        <v>APAGADO</v>
      </c>
    </row>
    <row r="61" spans="1:33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 t="str">
        <f>'RESUMEN TOTAL'!AN65</f>
        <v>APAGADO</v>
      </c>
      <c r="AF62" t="str">
        <f>'RESUMEN TOTAL'!AO65</f>
        <v>APAGADO</v>
      </c>
      <c r="AG62" t="str">
        <f>'RESUMEN TOTAL'!AP65</f>
        <v>APAGADO</v>
      </c>
    </row>
    <row r="63" spans="1:33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 t="str">
        <f>'RESUMEN TOTAL'!AN68</f>
        <v>APAGADO</v>
      </c>
      <c r="AF65" t="str">
        <f>'RESUMEN TOTAL'!AO68</f>
        <v>APAGADO</v>
      </c>
      <c r="AG65" t="str">
        <f>'RESUMEN TOTAL'!AP68</f>
        <v>APAGADO</v>
      </c>
    </row>
    <row r="66" spans="1:33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 t="str">
        <f>'RESUMEN TOTAL'!AG70</f>
        <v>APAGADO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 t="str">
        <f>'RESUMEN TOTAL'!AN70</f>
        <v>APAGADO</v>
      </c>
      <c r="AF67">
        <f>'RESUMEN TOTAL'!AO70</f>
        <v>0</v>
      </c>
      <c r="AG67">
        <f>'RESUMEN TOTAL'!AP70</f>
        <v>0</v>
      </c>
    </row>
    <row r="68" spans="1:33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 t="str">
        <f>'RESUMEN TOTAL'!AP80</f>
        <v>APAGADO</v>
      </c>
    </row>
    <row r="78" spans="1:33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 t="str">
        <f>'RESUMEN TOTAL'!AL82</f>
        <v>APAGADO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 t="str">
        <f>'RESUMEN TOTAL'!AF89</f>
        <v>APAGADO</v>
      </c>
      <c r="X86" t="str">
        <f>'RESUMEN TOTAL'!AG89</f>
        <v>APAGADO</v>
      </c>
      <c r="Y86" t="str">
        <f>'RESUMEN TOTAL'!AH89</f>
        <v>APAGADO</v>
      </c>
      <c r="Z86" t="str">
        <f>'RESUMEN TOTAL'!AI89</f>
        <v>APAGADO</v>
      </c>
      <c r="AA86" t="str">
        <f>'RESUMEN TOTAL'!AJ89</f>
        <v>APAGADO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 t="str">
        <f>'RESUMEN TOTAL'!AF90</f>
        <v>APAGADO</v>
      </c>
      <c r="X87" t="str">
        <f>'RESUMEN TOTAL'!AG90</f>
        <v>APAGADO</v>
      </c>
      <c r="Y87" t="str">
        <f>'RESUMEN TOTAL'!AH90</f>
        <v>APAGADO</v>
      </c>
      <c r="Z87" t="str">
        <f>'RESUMEN TOTAL'!AI90</f>
        <v>APAGADO</v>
      </c>
      <c r="AA87" t="str">
        <f>'RESUMEN TOTAL'!AJ90</f>
        <v>APAGADO</v>
      </c>
      <c r="AB87">
        <f>'RESUMEN TOTAL'!AK90</f>
        <v>0</v>
      </c>
      <c r="AC87" t="str">
        <f>'RESUMEN TOTAL'!AL90</f>
        <v>APAGADO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 t="str">
        <f>'RESUMEN TOTAL'!AF91</f>
        <v>APAGADO</v>
      </c>
      <c r="X88" t="str">
        <f>'RESUMEN TOTAL'!AG91</f>
        <v>APAGADO</v>
      </c>
      <c r="Y88" t="str">
        <f>'RESUMEN TOTAL'!AH91</f>
        <v>APAGADO</v>
      </c>
      <c r="Z88" t="str">
        <f>'RESUMEN TOTAL'!AI91</f>
        <v>APAGADO</v>
      </c>
      <c r="AA88" t="str">
        <f>'RESUMEN TOTAL'!AJ91</f>
        <v>APAGADO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 t="str">
        <f>'RESUMEN TOTAL'!AN91</f>
        <v>APAGADO</v>
      </c>
      <c r="AF88" t="str">
        <f>'RESUMEN TOTAL'!AO91</f>
        <v>APAGADO</v>
      </c>
      <c r="AG88" t="str">
        <f>'RESUMEN TOTAL'!AP91</f>
        <v>APAGADO</v>
      </c>
    </row>
    <row r="89" spans="1:33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 t="str">
        <f>'RESUMEN TOTAL'!AF92</f>
        <v>APAGADO</v>
      </c>
      <c r="X89" t="str">
        <f>'RESUMEN TOTAL'!AG92</f>
        <v>APAGADO</v>
      </c>
      <c r="Y89" t="str">
        <f>'RESUMEN TOTAL'!AH92</f>
        <v>APAGADO</v>
      </c>
      <c r="Z89" t="str">
        <f>'RESUMEN TOTAL'!AI92</f>
        <v>APAGADO</v>
      </c>
      <c r="AA89" t="str">
        <f>'RESUMEN TOTAL'!AJ92</f>
        <v>APAGADO</v>
      </c>
      <c r="AB89" t="str">
        <f>'RESUMEN TOTAL'!AK92</f>
        <v>APAGADO</v>
      </c>
      <c r="AC89" t="str">
        <f>'RESUMEN TOTAL'!AL92</f>
        <v>APAGADO</v>
      </c>
      <c r="AD89" t="str">
        <f>'RESUMEN TOTAL'!AM92</f>
        <v>APAGADO</v>
      </c>
      <c r="AE89" t="str">
        <f>'RESUMEN TOTAL'!AN92</f>
        <v>APAGADO</v>
      </c>
      <c r="AF89" t="str">
        <f>'RESUMEN TOTAL'!AO92</f>
        <v>APAGADO</v>
      </c>
      <c r="AG89" t="str">
        <f>'RESUMEN TOTAL'!AP92</f>
        <v>APAGADO</v>
      </c>
    </row>
    <row r="90" spans="1:33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 t="str">
        <f>'RESUMEN TOTAL'!AL93</f>
        <v>APAGADO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 t="str">
        <f>'RESUMEN TOTAL'!AL95</f>
        <v>APAGADO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 t="str">
        <f>'RESUMEN TOTAL'!AH104</f>
        <v>APAGADO</v>
      </c>
      <c r="Z101" t="str">
        <f>'RESUMEN TOTAL'!AI104</f>
        <v>APAGADO</v>
      </c>
      <c r="AA101" t="str">
        <f>'RESUMEN TOTAL'!AJ104</f>
        <v>APAGADO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 t="str">
        <f>'RESUMEN TOTAL'!AH105</f>
        <v>APAGADO</v>
      </c>
      <c r="Z102" t="str">
        <f>'RESUMEN TOTAL'!AI105</f>
        <v>APAGADO</v>
      </c>
      <c r="AA102" t="str">
        <f>'RESUMEN TOTAL'!AJ105</f>
        <v>APAGADO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 t="str">
        <f>'RESUMEN TOTAL'!AJ106</f>
        <v>APAGADO</v>
      </c>
      <c r="AB103">
        <f>'RESUMEN TOTAL'!AK106</f>
        <v>0</v>
      </c>
      <c r="AC103" t="str">
        <f>'RESUMEN TOTAL'!AL106</f>
        <v>APAGADO</v>
      </c>
      <c r="AD103" t="str">
        <f>'RESUMEN TOTAL'!AM106</f>
        <v>APAGADO</v>
      </c>
      <c r="AE103" t="str">
        <f>'RESUMEN TOTAL'!AN106</f>
        <v>APAGADO</v>
      </c>
      <c r="AF103" t="str">
        <f>'RESUMEN TOTAL'!AO106</f>
        <v>APAGADO</v>
      </c>
      <c r="AG103" t="str">
        <f>'RESUMEN TOTAL'!AP106</f>
        <v>APAGADO</v>
      </c>
    </row>
    <row r="104" spans="1:33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 t="str">
        <f>'RESUMEN TOTAL'!AJ107</f>
        <v>APAGADO</v>
      </c>
      <c r="AB104">
        <f>'RESUMEN TOTAL'!AK107</f>
        <v>0</v>
      </c>
      <c r="AC104" t="str">
        <f>'RESUMEN TOTAL'!AL107</f>
        <v>APAGADO</v>
      </c>
      <c r="AD104" t="str">
        <f>'RESUMEN TOTAL'!AM107</f>
        <v>APAGADO</v>
      </c>
      <c r="AE104" t="str">
        <f>'RESUMEN TOTAL'!AN107</f>
        <v>APAGADO</v>
      </c>
      <c r="AF104" t="str">
        <f>'RESUMEN TOTAL'!AO107</f>
        <v>APAGADO</v>
      </c>
      <c r="AG104" t="str">
        <f>'RESUMEN TOTAL'!AP107</f>
        <v>APAGADO</v>
      </c>
    </row>
    <row r="105" spans="1:33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 t="str">
        <f>'RESUMEN TOTAL'!AJ108</f>
        <v>APAGADO</v>
      </c>
      <c r="AB105">
        <f>'RESUMEN TOTAL'!AK108</f>
        <v>0</v>
      </c>
      <c r="AC105" t="str">
        <f>'RESUMEN TOTAL'!AL108</f>
        <v>APAGADO</v>
      </c>
      <c r="AD105" t="str">
        <f>'RESUMEN TOTAL'!AM108</f>
        <v>APAGADO</v>
      </c>
      <c r="AE105" t="str">
        <f>'RESUMEN TOTAL'!AN108</f>
        <v>APAGADO</v>
      </c>
      <c r="AF105" t="str">
        <f>'RESUMEN TOTAL'!AO108</f>
        <v>APAGADO</v>
      </c>
      <c r="AG105" t="str">
        <f>'RESUMEN TOTAL'!AP108</f>
        <v>APAGADO</v>
      </c>
    </row>
    <row r="106" spans="1:33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 t="str">
        <f>'RESUMEN TOTAL'!AJ109</f>
        <v>APAGADO</v>
      </c>
      <c r="AB106">
        <f>'RESUMEN TOTAL'!AK109</f>
        <v>0</v>
      </c>
      <c r="AC106" t="str">
        <f>'RESUMEN TOTAL'!AL109</f>
        <v>APAGADO</v>
      </c>
      <c r="AD106" t="str">
        <f>'RESUMEN TOTAL'!AM109</f>
        <v>APAGADO</v>
      </c>
      <c r="AE106" t="str">
        <f>'RESUMEN TOTAL'!AN109</f>
        <v>APAGADO</v>
      </c>
      <c r="AF106" t="str">
        <f>'RESUMEN TOTAL'!AO109</f>
        <v>APAGADO</v>
      </c>
      <c r="AG106" t="str">
        <f>'RESUMEN TOTAL'!AP109</f>
        <v>APAGADO</v>
      </c>
    </row>
    <row r="107" spans="1:33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 t="str">
        <f>'RESUMEN TOTAL'!AG112</f>
        <v>APAGADO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 t="str">
        <f>'RESUMEN TOTAL'!AL112</f>
        <v>APAGADO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 t="str">
        <f>'RESUMEN TOTAL'!AI117</f>
        <v xml:space="preserve"> 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 t="str">
        <f>'RESUMEN TOTAL'!AJ122</f>
        <v>APAGADO</v>
      </c>
      <c r="AB119">
        <f>'RESUMEN TOTAL'!AK122</f>
        <v>0</v>
      </c>
      <c r="AC119" t="str">
        <f>'RESUMEN TOTAL'!AL122</f>
        <v>APAGADO</v>
      </c>
      <c r="AD119" t="str">
        <f>'RESUMEN TOTAL'!AM122</f>
        <v>APAGADO</v>
      </c>
      <c r="AE119" t="str">
        <f>'RESUMEN TOTAL'!AN122</f>
        <v>APAGADO</v>
      </c>
      <c r="AF119" t="str">
        <f>'RESUMEN TOTAL'!AO122</f>
        <v>APAGADO</v>
      </c>
      <c r="AG119" t="str">
        <f>'RESUMEN TOTAL'!AP122</f>
        <v>APAGADO</v>
      </c>
    </row>
    <row r="120" spans="1:33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 t="str">
        <f>'RESUMEN TOTAL'!AJ123</f>
        <v>APAGADO</v>
      </c>
      <c r="AB120">
        <f>'RESUMEN TOTAL'!AK123</f>
        <v>0</v>
      </c>
      <c r="AC120" t="str">
        <f>'RESUMEN TOTAL'!AL123</f>
        <v>APAGADO</v>
      </c>
      <c r="AD120" t="str">
        <f>'RESUMEN TOTAL'!AM123</f>
        <v>APAGADO</v>
      </c>
      <c r="AE120" t="str">
        <f>'RESUMEN TOTAL'!AN123</f>
        <v>APAGADO</v>
      </c>
      <c r="AF120" t="str">
        <f>'RESUMEN TOTAL'!AO123</f>
        <v>APAGADO</v>
      </c>
      <c r="AG120" t="str">
        <f>'RESUMEN TOTAL'!AP123</f>
        <v>APAGADO</v>
      </c>
    </row>
    <row r="121" spans="1:33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 t="str">
        <f>'RESUMEN TOTAL'!AH130</f>
        <v>APAGADO</v>
      </c>
      <c r="Z127" t="str">
        <f>'RESUMEN TOTAL'!AI130</f>
        <v>APAGADO</v>
      </c>
      <c r="AA127" t="str">
        <f>'RESUMEN TOTAL'!AJ130</f>
        <v>APAGADO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 t="str">
        <f>'RESUMEN TOTAL'!AP133</f>
        <v>APAGADO</v>
      </c>
    </row>
    <row r="131" spans="1:33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 t="str">
        <f>'RESUMEN TOTAL'!AM136</f>
        <v>APAGADO</v>
      </c>
      <c r="AE133" t="str">
        <f>'RESUMEN TOTAL'!AN136</f>
        <v>APAGADO</v>
      </c>
      <c r="AF133" t="str">
        <f>'RESUMEN TOTAL'!AO136</f>
        <v>APAGADO</v>
      </c>
      <c r="AG133" t="str">
        <f>'RESUMEN TOTAL'!AP136</f>
        <v>APAGADO</v>
      </c>
    </row>
    <row r="134" spans="1:33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 t="str">
        <f>'RESUMEN TOTAL'!AH138</f>
        <v>APAGADO</v>
      </c>
      <c r="Z135" t="str">
        <f>'RESUMEN TOTAL'!AI138</f>
        <v>APAGADO</v>
      </c>
      <c r="AA135" t="str">
        <f>'RESUMEN TOTAL'!AJ138</f>
        <v>APAGADO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 t="str">
        <f>'RESUMEN TOTAL'!AH139</f>
        <v>APAGADO</v>
      </c>
      <c r="Z136" t="str">
        <f>'RESUMEN TOTAL'!AI139</f>
        <v>APAGADO</v>
      </c>
      <c r="AA136" t="str">
        <f>'RESUMEN TOTAL'!AJ139</f>
        <v>APAGADO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 t="str">
        <f>'RESUMEN TOTAL'!AH140</f>
        <v>APAGADO</v>
      </c>
      <c r="Z137" t="str">
        <f>'RESUMEN TOTAL'!AI140</f>
        <v>APAGADO</v>
      </c>
      <c r="AA137" t="str">
        <f>'RESUMEN TOTAL'!AJ140</f>
        <v>APAGADO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 t="str">
        <f>'RESUMEN TOTAL'!AH141</f>
        <v>APAGADO</v>
      </c>
      <c r="Z138" t="str">
        <f>'RESUMEN TOTAL'!AI141</f>
        <v>APAGADO</v>
      </c>
      <c r="AA138" t="str">
        <f>'RESUMEN TOTAL'!AJ141</f>
        <v>APAGADO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 t="str">
        <f>'RESUMEN TOTAL'!AG142</f>
        <v>APAGADO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 t="str">
        <f>'RESUMEN TOTAL'!AF153</f>
        <v>APAGADO</v>
      </c>
      <c r="X150" t="str">
        <f>'RESUMEN TOTAL'!AG153</f>
        <v>APAGADO</v>
      </c>
      <c r="Y150" t="str">
        <f>'RESUMEN TOTAL'!AH153</f>
        <v>APAGADO</v>
      </c>
      <c r="Z150" t="str">
        <f>'RESUMEN TOTAL'!AI153</f>
        <v>APAGADO</v>
      </c>
      <c r="AA150" t="str">
        <f>'RESUMEN TOTAL'!AJ153</f>
        <v>APAGADO</v>
      </c>
      <c r="AB150" t="str">
        <f>'RESUMEN TOTAL'!AK153</f>
        <v>APAGADO</v>
      </c>
      <c r="AC150" t="str">
        <f>'RESUMEN TOTAL'!AL153</f>
        <v>APAGADO</v>
      </c>
      <c r="AD150" t="str">
        <f>'RESUMEN TOTAL'!AM153</f>
        <v>APAGADO</v>
      </c>
      <c r="AE150">
        <f>'RESUMEN TOTAL'!AN153</f>
        <v>0</v>
      </c>
      <c r="AF150" t="str">
        <f>'RESUMEN TOTAL'!AO153</f>
        <v>APAGADO</v>
      </c>
      <c r="AG150" t="str">
        <f>'RESUMEN TOTAL'!AP153</f>
        <v>APAGADO</v>
      </c>
    </row>
    <row r="151" spans="1:33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 t="str">
        <f>'RESUMEN TOTAL'!AG154</f>
        <v>APAGADO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 t="str">
        <f>'RESUMEN TOTAL'!AG155</f>
        <v>APAGADO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 t="str">
        <f>'RESUMEN TOTAL'!AF156</f>
        <v>APAGADO</v>
      </c>
      <c r="X153" t="str">
        <f>'RESUMEN TOTAL'!AG156</f>
        <v>APAGADO</v>
      </c>
      <c r="Y153" t="str">
        <f>'RESUMEN TOTAL'!AH156</f>
        <v>APAGADO</v>
      </c>
      <c r="Z153" t="str">
        <f>'RESUMEN TOTAL'!AI156</f>
        <v>APAGADO</v>
      </c>
      <c r="AA153" t="str">
        <f>'RESUMEN TOTAL'!AJ156</f>
        <v>APAGADO</v>
      </c>
      <c r="AB153" t="str">
        <f>'RESUMEN TOTAL'!AK156</f>
        <v>APAGADO</v>
      </c>
      <c r="AC153" t="str">
        <f>'RESUMEN TOTAL'!AL156</f>
        <v>APAGADO</v>
      </c>
      <c r="AD153" t="str">
        <f>'RESUMEN TOTAL'!AM156</f>
        <v>APAGADO</v>
      </c>
      <c r="AE153" t="str">
        <f>'RESUMEN TOTAL'!AN156</f>
        <v>APAGADO</v>
      </c>
      <c r="AF153" t="str">
        <f>'RESUMEN TOTAL'!AO156</f>
        <v>APAGADO</v>
      </c>
      <c r="AG153" t="str">
        <f>'RESUMEN TOTAL'!AP156</f>
        <v>APAGADO</v>
      </c>
    </row>
    <row r="154" spans="1:33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 t="str">
        <f>'RESUMEN TOTAL'!AL158</f>
        <v>APAGADO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 t="str">
        <f>'RESUMEN TOTAL'!AF159</f>
        <v>APAGADO</v>
      </c>
      <c r="X156" t="str">
        <f>'RESUMEN TOTAL'!AG159</f>
        <v>APAGADO</v>
      </c>
      <c r="Y156" t="str">
        <f>'RESUMEN TOTAL'!AH159</f>
        <v>APAGADO</v>
      </c>
      <c r="Z156" t="str">
        <f>'RESUMEN TOTAL'!AI159</f>
        <v>APAGADO</v>
      </c>
      <c r="AA156" t="str">
        <f>'RESUMEN TOTAL'!AJ159</f>
        <v>APAGADO</v>
      </c>
      <c r="AB156">
        <f>'RESUMEN TOTAL'!AK159</f>
        <v>0</v>
      </c>
      <c r="AC156" t="str">
        <f>'RESUMEN TOTAL'!AL159</f>
        <v>APAGADO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 t="str">
        <f>'RESUMEN TOTAL'!AL160</f>
        <v>APAGADO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 t="str">
        <f>'RESUMEN TOTAL'!AJ169</f>
        <v>APAGADO</v>
      </c>
      <c r="AB166" t="str">
        <f>'RESUMEN TOTAL'!AK169</f>
        <v>APAGADO</v>
      </c>
      <c r="AC166" t="str">
        <f>'RESUMEN TOTAL'!AL169</f>
        <v>APAGADO</v>
      </c>
      <c r="AD166" t="str">
        <f>'RESUMEN TOTAL'!AM169</f>
        <v>APAGADO</v>
      </c>
      <c r="AE166" t="str">
        <f>'RESUMEN TOTAL'!AN169</f>
        <v>APAGADO</v>
      </c>
      <c r="AF166" t="str">
        <f>'RESUMEN TOTAL'!AO169</f>
        <v>APAGADO</v>
      </c>
      <c r="AG166" t="str">
        <f>'RESUMEN TOTAL'!AP169</f>
        <v>APAGADO</v>
      </c>
    </row>
    <row r="167" spans="1:33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 t="str">
        <f>'RESUMEN TOTAL'!AJ171</f>
        <v>APAGADO</v>
      </c>
      <c r="AB168" t="str">
        <f>'RESUMEN TOTAL'!AK171</f>
        <v>APAGADO</v>
      </c>
      <c r="AC168" t="str">
        <f>'RESUMEN TOTAL'!AL171</f>
        <v>APAGADO</v>
      </c>
      <c r="AD168" t="str">
        <f>'RESUMEN TOTAL'!AM171</f>
        <v>APAGADO</v>
      </c>
      <c r="AE168" t="str">
        <f>'RESUMEN TOTAL'!AN171</f>
        <v>APAGADO</v>
      </c>
      <c r="AF168" t="str">
        <f>'RESUMEN TOTAL'!AO171</f>
        <v>APAGADO</v>
      </c>
      <c r="AG168" t="str">
        <f>'RESUMEN TOTAL'!AP171</f>
        <v>APAGADO</v>
      </c>
    </row>
    <row r="169" spans="1:33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 t="str">
        <f>'RESUMEN TOTAL'!AJ173</f>
        <v>APAGADO</v>
      </c>
      <c r="AB170" t="str">
        <f>'RESUMEN TOTAL'!AK173</f>
        <v>APAGADO</v>
      </c>
      <c r="AC170" t="str">
        <f>'RESUMEN TOTAL'!AL173</f>
        <v>APAGADO</v>
      </c>
      <c r="AD170" t="str">
        <f>'RESUMEN TOTAL'!AM173</f>
        <v>APAGADO</v>
      </c>
      <c r="AE170" t="str">
        <f>'RESUMEN TOTAL'!AN173</f>
        <v>APAGADO</v>
      </c>
      <c r="AF170" t="str">
        <f>'RESUMEN TOTAL'!AO173</f>
        <v>APAGADO</v>
      </c>
      <c r="AG170" t="str">
        <f>'RESUMEN TOTAL'!AP173</f>
        <v>APAGADO</v>
      </c>
    </row>
    <row r="171" spans="1:33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 t="str">
        <f>'RESUMEN TOTAL'!AJ174</f>
        <v>APAGADO</v>
      </c>
      <c r="AB171" t="str">
        <f>'RESUMEN TOTAL'!AK174</f>
        <v>APAGADO</v>
      </c>
      <c r="AC171" t="str">
        <f>'RESUMEN TOTAL'!AL174</f>
        <v>APAGADO</v>
      </c>
      <c r="AD171" t="str">
        <f>'RESUMEN TOTAL'!AM174</f>
        <v>APAGADO</v>
      </c>
      <c r="AE171" t="str">
        <f>'RESUMEN TOTAL'!AN174</f>
        <v>APAGADO</v>
      </c>
      <c r="AF171" t="str">
        <f>'RESUMEN TOTAL'!AO174</f>
        <v>APAGADO</v>
      </c>
      <c r="AG171" t="str">
        <f>'RESUMEN TOTAL'!AP174</f>
        <v>APAGADO</v>
      </c>
    </row>
    <row r="172" spans="1:33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 t="str">
        <f>'RESUMEN TOTAL'!AI180</f>
        <v>APAGADO</v>
      </c>
      <c r="AA177" t="str">
        <f>'RESUMEN TOTAL'!AJ180</f>
        <v>APAGADO</v>
      </c>
      <c r="AB177" t="str">
        <f>'RESUMEN TOTAL'!AK180</f>
        <v>APAGADO</v>
      </c>
      <c r="AC177" t="str">
        <f>'RESUMEN TOTAL'!AL180</f>
        <v>APAGADO</v>
      </c>
      <c r="AD177" t="str">
        <f>'RESUMEN TOTAL'!AM180</f>
        <v>APAGADO</v>
      </c>
      <c r="AE177" t="str">
        <f>'RESUMEN TOTAL'!AN180</f>
        <v>APAGADO</v>
      </c>
      <c r="AF177" t="str">
        <f>'RESUMEN TOTAL'!AO180</f>
        <v>APAGADO</v>
      </c>
      <c r="AG177" t="str">
        <f>'RESUMEN TOTAL'!AP180</f>
        <v>APAGADO</v>
      </c>
    </row>
    <row r="178" spans="1:33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</row>
    <row r="189" spans="1:33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 t="str">
        <f>'RESUMEN TOTAL'!AP192</f>
        <v>APAGADO</v>
      </c>
    </row>
    <row r="190" spans="1:33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 t="str">
        <f>'RESUMEN TOTAL'!AF193</f>
        <v>APAGADO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 t="str">
        <f>'RESUMEN TOTAL'!AJ193</f>
        <v>APAGADO</v>
      </c>
      <c r="AB190" t="str">
        <f>'RESUMEN TOTAL'!AK193</f>
        <v>APAGADO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 t="str">
        <f>'RESUMEN TOTAL'!AP193</f>
        <v>APAGADO</v>
      </c>
    </row>
    <row r="191" spans="1:33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 t="str">
        <f>'RESUMEN TOTAL'!AJ194</f>
        <v>APAGADO</v>
      </c>
      <c r="AB191" t="str">
        <f>'RESUMEN TOTAL'!AK194</f>
        <v>APAGADO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 t="str">
        <f>'RESUMEN TOTAL'!AP194</f>
        <v>APAGADO</v>
      </c>
    </row>
    <row r="192" spans="1:33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 t="str">
        <f>'RESUMEN TOTAL'!AJ197</f>
        <v>APAGADO</v>
      </c>
      <c r="AB194">
        <f>'RESUMEN TOTAL'!AK197</f>
        <v>0</v>
      </c>
      <c r="AC194" t="str">
        <f>'RESUMEN TOTAL'!AL197</f>
        <v>APAGADO</v>
      </c>
      <c r="AD194" t="str">
        <f>'RESUMEN TOTAL'!AM197</f>
        <v>APAGADO</v>
      </c>
      <c r="AE194" t="str">
        <f>'RESUMEN TOTAL'!AN197</f>
        <v>APAGADO</v>
      </c>
      <c r="AF194" t="str">
        <f>'RESUMEN TOTAL'!AO197</f>
        <v>APAGADO</v>
      </c>
      <c r="AG194" t="str">
        <f>'RESUMEN TOTAL'!AP197</f>
        <v>APAGADO</v>
      </c>
    </row>
    <row r="195" spans="1:33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 t="str">
        <f>'RESUMEN TOTAL'!AJ198</f>
        <v>APAGADO</v>
      </c>
      <c r="AB195">
        <f>'RESUMEN TOTAL'!AK198</f>
        <v>0</v>
      </c>
      <c r="AC195" t="str">
        <f>'RESUMEN TOTAL'!AL198</f>
        <v>APAGADO</v>
      </c>
      <c r="AD195" t="str">
        <f>'RESUMEN TOTAL'!AM198</f>
        <v>APAGADO</v>
      </c>
      <c r="AE195" t="str">
        <f>'RESUMEN TOTAL'!AN198</f>
        <v>APAGADO</v>
      </c>
      <c r="AF195" t="str">
        <f>'RESUMEN TOTAL'!AO198</f>
        <v>APAGADO</v>
      </c>
      <c r="AG195" t="str">
        <f>'RESUMEN TOTAL'!AP198</f>
        <v>APAGADO</v>
      </c>
    </row>
    <row r="196" spans="1:33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 t="str">
        <f>'RESUMEN TOTAL'!AL199</f>
        <v>APAGADO</v>
      </c>
      <c r="AD196" t="str">
        <f>'RESUMEN TOTAL'!AM199</f>
        <v>APAGADO</v>
      </c>
      <c r="AE196" t="str">
        <f>'RESUMEN TOTAL'!AN199</f>
        <v>APAGADO</v>
      </c>
      <c r="AF196" t="str">
        <f>'RESUMEN TOTAL'!AO199</f>
        <v>APAGADO</v>
      </c>
      <c r="AG196" t="str">
        <f>'RESUMEN TOTAL'!AP199</f>
        <v>APAGADO</v>
      </c>
    </row>
    <row r="197" spans="1:33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 t="str">
        <f>'RESUMEN TOTAL'!AL200</f>
        <v>APAGADO</v>
      </c>
      <c r="AD197" t="str">
        <f>'RESUMEN TOTAL'!AM200</f>
        <v>APAGADO</v>
      </c>
      <c r="AE197" t="str">
        <f>'RESUMEN TOTAL'!AN200</f>
        <v>APAGADO</v>
      </c>
      <c r="AF197" t="str">
        <f>'RESUMEN TOTAL'!AO200</f>
        <v>APAGADO</v>
      </c>
      <c r="AG197" t="str">
        <f>'RESUMEN TOTAL'!AP200</f>
        <v>APAGADO</v>
      </c>
    </row>
    <row r="198" spans="1:33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 t="str">
        <f>'RESUMEN TOTAL'!AL201</f>
        <v>APAGADO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 t="str">
        <f>'RESUMEN TOTAL'!AL202</f>
        <v>APAGADO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 t="str">
        <f>'RESUMEN TOTAL'!AP206</f>
        <v>APAGADO</v>
      </c>
    </row>
    <row r="204" spans="1:33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 t="str">
        <f>'RESUMEN TOTAL'!AO207</f>
        <v>APAGADO</v>
      </c>
      <c r="AG204" t="str">
        <f>'RESUMEN TOTAL'!AP207</f>
        <v>APAGADO</v>
      </c>
    </row>
    <row r="205" spans="1:33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 t="str">
        <f>'RESUMEN TOTAL'!AL208</f>
        <v>APAGADO</v>
      </c>
      <c r="AD205">
        <f>'RESUMEN TOTAL'!AM208</f>
        <v>0</v>
      </c>
      <c r="AE205" t="str">
        <f>'RESUMEN TOTAL'!AN208</f>
        <v>APAGADO</v>
      </c>
      <c r="AF205">
        <f>'RESUMEN TOTAL'!AO208</f>
        <v>0</v>
      </c>
      <c r="AG205">
        <f>'RESUMEN TOTAL'!AP208</f>
        <v>0</v>
      </c>
    </row>
    <row r="206" spans="1:33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 t="str">
        <f>'RESUMEN TOTAL'!AO210</f>
        <v>APAGADO</v>
      </c>
      <c r="AG207" t="str">
        <f>'RESUMEN TOTAL'!AP210</f>
        <v>APAGADO</v>
      </c>
    </row>
    <row r="208" spans="1:33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>
        <f>'RESUMEN TOTAL'!AK211</f>
        <v>0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 t="str">
        <f>'RESUMEN TOTAL'!AO211</f>
        <v>APAGADO</v>
      </c>
      <c r="AG208" t="str">
        <f>'RESUMEN TOTAL'!AP211</f>
        <v>APAGADO</v>
      </c>
    </row>
    <row r="209" spans="1:33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>
        <f>'RESUMEN TOTAL'!AK212</f>
        <v>0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 t="str">
        <f>'RESUMEN TOTAL'!AO212</f>
        <v>APAGADO</v>
      </c>
      <c r="AG209" t="str">
        <f>'RESUMEN TOTAL'!AP212</f>
        <v>APAGADO</v>
      </c>
    </row>
    <row r="210" spans="1:33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 t="str">
        <f>'RESUMEN TOTAL'!AP214</f>
        <v>APAGADO</v>
      </c>
    </row>
    <row r="212" spans="1:33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 t="str">
        <f>'RESUMEN TOTAL'!AP215</f>
        <v>APAGADO</v>
      </c>
    </row>
    <row r="213" spans="1:33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 t="str">
        <f>'RESUMEN TOTAL'!AP216</f>
        <v>APAGADO</v>
      </c>
    </row>
    <row r="214" spans="1:33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 t="str">
        <f>'RESUMEN TOTAL'!AP217</f>
        <v>APAGADO</v>
      </c>
    </row>
    <row r="215" spans="1:33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 t="str">
        <f>'RESUMEN TOTAL'!AP218</f>
        <v>APAGADO</v>
      </c>
    </row>
    <row r="216" spans="1:33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 t="str">
        <f>'RESUMEN TOTAL'!AP219</f>
        <v>APAGADO</v>
      </c>
    </row>
    <row r="217" spans="1:33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 t="str">
        <f>'RESUMEN TOTAL'!AP220</f>
        <v>APAGADO</v>
      </c>
    </row>
    <row r="218" spans="1:33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 t="str">
        <f>'RESUMEN TOTAL'!AP221</f>
        <v>APAGADO</v>
      </c>
    </row>
    <row r="219" spans="1:33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 t="str">
        <f>'RESUMEN TOTAL'!AP222</f>
        <v>APAGADO</v>
      </c>
    </row>
    <row r="220" spans="1:33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 t="str">
        <f>'RESUMEN TOTAL'!AP223</f>
        <v>APAGADO</v>
      </c>
    </row>
    <row r="221" spans="1:33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 t="str">
        <f>'RESUMEN TOTAL'!AK224</f>
        <v>APAGADO</v>
      </c>
      <c r="AC221" t="str">
        <f>'RESUMEN TOTAL'!AL224</f>
        <v>APAGADO</v>
      </c>
      <c r="AD221" t="str">
        <f>'RESUMEN TOTAL'!AM224</f>
        <v>APAGADO</v>
      </c>
      <c r="AE221" t="str">
        <f>'RESUMEN TOTAL'!AN224</f>
        <v>APAGADO</v>
      </c>
      <c r="AF221" t="str">
        <f>'RESUMEN TOTAL'!AO224</f>
        <v>APAGADO</v>
      </c>
      <c r="AG221" t="str">
        <f>'RESUMEN TOTAL'!AP224</f>
        <v>APAGADO</v>
      </c>
    </row>
    <row r="222" spans="1:33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 t="str">
        <f>'RESUMEN TOTAL'!AJ230</f>
        <v>APAGADO</v>
      </c>
      <c r="AB227" t="str">
        <f>'RESUMEN TOTAL'!AK230</f>
        <v>APAGADO</v>
      </c>
      <c r="AC227" t="str">
        <f>'RESUMEN TOTAL'!AL230</f>
        <v>APAGADO</v>
      </c>
      <c r="AD227" t="str">
        <f>'RESUMEN TOTAL'!AM230</f>
        <v>APAGADO</v>
      </c>
      <c r="AE227" t="str">
        <f>'RESUMEN TOTAL'!AN230</f>
        <v>APAGADO</v>
      </c>
      <c r="AF227" t="str">
        <f>'RESUMEN TOTAL'!AO230</f>
        <v>APAGADO</v>
      </c>
      <c r="AG227" t="str">
        <f>'RESUMEN TOTAL'!AP230</f>
        <v>APAGADO</v>
      </c>
    </row>
    <row r="228" spans="1:33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 t="str">
        <f>'RESUMEN TOTAL'!AL235</f>
        <v>APAGADO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 t="str">
        <f>'RESUMEN TOTAL'!AL236</f>
        <v>APAGADO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 t="str">
        <f>'RESUMEN TOTAL'!AI237</f>
        <v>APAGADO</v>
      </c>
      <c r="AA234">
        <f>'RESUMEN TOTAL'!AJ237</f>
        <v>0</v>
      </c>
      <c r="AB234">
        <f>'RESUMEN TOTAL'!AK237</f>
        <v>0</v>
      </c>
      <c r="AC234" t="str">
        <f>'RESUMEN TOTAL'!AL237</f>
        <v>APAGADO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 t="str">
        <f>'RESUMEN TOTAL'!AL239</f>
        <v>APAGADO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 t="str">
        <f>'RESUMEN TOTAL'!AG240</f>
        <v>APAGADO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 t="str">
        <f>'RESUMEN TOTAL'!AL240</f>
        <v>APAGADO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 t="str">
        <f>'RESUMEN TOTAL'!AL241</f>
        <v>APAGADO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 t="str">
        <f>'RESUMEN TOTAL'!AL242</f>
        <v>APAGADO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 t="str">
        <f>'RESUMEN TOTAL'!AL243</f>
        <v>APAGADO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 t="str">
        <f>'RESUMEN TOTAL'!AL244</f>
        <v>APAGADO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 t="str">
        <f>'RESUMEN TOTAL'!AE245</f>
        <v>APAGADO</v>
      </c>
      <c r="W242" t="str">
        <f>'RESUMEN TOTAL'!AF245</f>
        <v>APAGADO</v>
      </c>
      <c r="X242" t="str">
        <f>'RESUMEN TOTAL'!AG245</f>
        <v>APAGADO</v>
      </c>
      <c r="Y242" t="str">
        <f>'RESUMEN TOTAL'!AH245</f>
        <v>APAGADO</v>
      </c>
      <c r="Z242" t="str">
        <f>'RESUMEN TOTAL'!AI245</f>
        <v>APAGADO</v>
      </c>
      <c r="AA242" t="str">
        <f>'RESUMEN TOTAL'!AJ245</f>
        <v>APAGADO</v>
      </c>
      <c r="AB242" t="str">
        <f>'RESUMEN TOTAL'!AK245</f>
        <v>APAGADO</v>
      </c>
      <c r="AC242" t="str">
        <f>'RESUMEN TOTAL'!AL245</f>
        <v>APAGADO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 t="str">
        <f>'RESUMEN TOTAL'!AB246</f>
        <v>APAGADO</v>
      </c>
      <c r="T243" t="str">
        <f>'RESUMEN TOTAL'!AC246</f>
        <v>APAGADO</v>
      </c>
      <c r="U243" t="str">
        <f>'RESUMEN TOTAL'!AD246</f>
        <v>APAGADO</v>
      </c>
      <c r="V243">
        <f>'RESUMEN TOTAL'!AE246</f>
        <v>0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 t="str">
        <f>'RESUMEN TOTAL'!S250</f>
        <v>APAGADO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 t="str">
        <f>'RESUMEN TOTAL'!AG250</f>
        <v>APAGADO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 t="str">
        <f>'RESUMEN TOTAL'!AB251</f>
        <v>APAGADO</v>
      </c>
      <c r="T248" t="str">
        <f>'RESUMEN TOTAL'!AC251</f>
        <v>APAGADO</v>
      </c>
      <c r="U248" t="str">
        <f>'RESUMEN TOTAL'!AD251</f>
        <v>APAGADO</v>
      </c>
      <c r="V248" t="str">
        <f>'RESUMEN TOTAL'!AE251</f>
        <v>APAGADO</v>
      </c>
      <c r="W248" t="str">
        <f>'RESUMEN TOTAL'!AF251</f>
        <v>APAGADO</v>
      </c>
      <c r="X248" t="str">
        <f>'RESUMEN TOTAL'!AG251</f>
        <v>APAGADO</v>
      </c>
      <c r="Y248" t="str">
        <f>'RESUMEN TOTAL'!AH251</f>
        <v>APAGADO</v>
      </c>
      <c r="Z248" t="str">
        <f>'RESUMEN TOTAL'!AI251</f>
        <v>APAGADO</v>
      </c>
      <c r="AA248" t="str">
        <f>'RESUMEN TOTAL'!AJ251</f>
        <v>APAGADO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 t="str">
        <f>'RESUMEN TOTAL'!AB252</f>
        <v>APAGADO</v>
      </c>
      <c r="T249" t="str">
        <f>'RESUMEN TOTAL'!AC252</f>
        <v>APAGADO</v>
      </c>
      <c r="U249" t="str">
        <f>'RESUMEN TOTAL'!AD252</f>
        <v>APAGADO</v>
      </c>
      <c r="V249" t="str">
        <f>'RESUMEN TOTAL'!AE252</f>
        <v>APAGADO</v>
      </c>
      <c r="W249" t="str">
        <f>'RESUMEN TOTAL'!AF252</f>
        <v>APAGADO</v>
      </c>
      <c r="X249" t="str">
        <f>'RESUMEN TOTAL'!AG252</f>
        <v>APAGADO</v>
      </c>
      <c r="Y249" t="str">
        <f>'RESUMEN TOTAL'!AH252</f>
        <v>APAGADO</v>
      </c>
      <c r="Z249" t="str">
        <f>'RESUMEN TOTAL'!AI252</f>
        <v>APAGADO</v>
      </c>
      <c r="AA249" t="str">
        <f>'RESUMEN TOTAL'!AJ252</f>
        <v>APAGADO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 t="str">
        <f>'RESUMEN TOTAL'!S253</f>
        <v>APAGADO</v>
      </c>
      <c r="K250" t="str">
        <f>'RESUMEN TOTAL'!T253</f>
        <v>APAGADO</v>
      </c>
      <c r="L250" t="str">
        <f>'RESUMEN TOTAL'!U253</f>
        <v>APAGADO</v>
      </c>
      <c r="M250" t="str">
        <f>'RESUMEN TOTAL'!V253</f>
        <v>APAGADO</v>
      </c>
      <c r="N250" t="str">
        <f>'RESUMEN TOTAL'!W253</f>
        <v>APAGADO</v>
      </c>
      <c r="O250" t="str">
        <f>'RESUMEN TOTAL'!X253</f>
        <v>APAGADO</v>
      </c>
      <c r="P250" t="str">
        <f>'RESUMEN TOTAL'!Y253</f>
        <v>APAGADO</v>
      </c>
      <c r="Q250" t="str">
        <f>'RESUMEN TOTAL'!Z253</f>
        <v>APAGADO</v>
      </c>
      <c r="R250" t="str">
        <f>'RESUMEN TOTAL'!AA253</f>
        <v>APAGADO</v>
      </c>
      <c r="S250" t="str">
        <f>'RESUMEN TOTAL'!AB253</f>
        <v>APAGADO</v>
      </c>
      <c r="T250" t="str">
        <f>'RESUMEN TOTAL'!AC253</f>
        <v>APAGADO</v>
      </c>
      <c r="U250" t="str">
        <f>'RESUMEN TOTAL'!AD253</f>
        <v>APAGADO</v>
      </c>
      <c r="V250" t="str">
        <f>'RESUMEN TOTAL'!AE253</f>
        <v>APAGADO</v>
      </c>
      <c r="W250" t="str">
        <f>'RESUMEN TOTAL'!AF253</f>
        <v>APAGADO</v>
      </c>
      <c r="X250" t="str">
        <f>'RESUMEN TOTAL'!AG253</f>
        <v>APAGADO</v>
      </c>
      <c r="Y250" t="str">
        <f>'RESUMEN TOTAL'!AH253</f>
        <v>APAGADO</v>
      </c>
      <c r="Z250" t="str">
        <f>'RESUMEN TOTAL'!AI253</f>
        <v>APAGADO</v>
      </c>
      <c r="AA250" t="str">
        <f>'RESUMEN TOTAL'!AJ253</f>
        <v>APAGADO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 t="str">
        <f>'RESUMEN TOTAL'!X254</f>
        <v>APAGADO</v>
      </c>
      <c r="P251" t="str">
        <f>'RESUMEN TOTAL'!Y254</f>
        <v>APAGADO</v>
      </c>
      <c r="Q251" t="str">
        <f>'RESUMEN TOTAL'!Z254</f>
        <v>APAGADO</v>
      </c>
      <c r="R251" t="str">
        <f>'RESUMEN TOTAL'!AA254</f>
        <v>APAGADO</v>
      </c>
      <c r="S251" t="str">
        <f>'RESUMEN TOTAL'!AB254</f>
        <v>APAGADO</v>
      </c>
      <c r="T251" t="str">
        <f>'RESUMEN TOTAL'!AC254</f>
        <v>APAGADO</v>
      </c>
      <c r="U251" t="str">
        <f>'RESUMEN TOTAL'!AD254</f>
        <v>APAGADO</v>
      </c>
      <c r="V251" t="str">
        <f>'RESUMEN TOTAL'!AE254</f>
        <v>APAGADO</v>
      </c>
      <c r="W251" t="str">
        <f>'RESUMEN TOTAL'!AF254</f>
        <v>APAGADO</v>
      </c>
      <c r="X251" t="str">
        <f>'RESUMEN TOTAL'!AG254</f>
        <v>APAGADO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 t="str">
        <f>'RESUMEN TOTAL'!AP258</f>
        <v>APAGADO</v>
      </c>
    </row>
    <row r="256" spans="1:33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 t="str">
        <f>'RESUMEN TOTAL'!AP259</f>
        <v>APAGADO</v>
      </c>
    </row>
    <row r="257" spans="1:33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 t="str">
        <f>'RESUMEN TOTAL'!O261</f>
        <v>APAGADO</v>
      </c>
      <c r="G258" t="str">
        <f>'RESUMEN TOTAL'!P261</f>
        <v>APAGADO</v>
      </c>
      <c r="H258" t="str">
        <f>'RESUMEN TOTAL'!Q261</f>
        <v>APAGADO</v>
      </c>
      <c r="I258" t="str">
        <f>'RESUMEN TOTAL'!R261</f>
        <v>APAGADO</v>
      </c>
      <c r="J258" t="str">
        <f>'RESUMEN TOTAL'!S261</f>
        <v>APAGADO</v>
      </c>
      <c r="K258" t="str">
        <f>'RESUMEN TOTAL'!T261</f>
        <v>APAGADO</v>
      </c>
      <c r="L258" t="str">
        <f>'RESUMEN TOTAL'!U261</f>
        <v>APAGADO</v>
      </c>
      <c r="M258" t="str">
        <f>'RESUMEN TOTAL'!V261</f>
        <v>APAGADO</v>
      </c>
      <c r="N258" t="str">
        <f>'RESUMEN TOTAL'!W261</f>
        <v>APAGADO</v>
      </c>
      <c r="O258" t="str">
        <f>'RESUMEN TOTAL'!X261</f>
        <v>APAGADO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 t="str">
        <f>'RESUMEN TOTAL'!AD262</f>
        <v>APAGADO</v>
      </c>
      <c r="V259" t="str">
        <f>'RESUMEN TOTAL'!AE262</f>
        <v>APAGADO</v>
      </c>
      <c r="W259" t="str">
        <f>'RESUMEN TOTAL'!AF262</f>
        <v>APAGADO</v>
      </c>
      <c r="X259" t="str">
        <f>'RESUMEN TOTAL'!AG262</f>
        <v>APAGADO</v>
      </c>
      <c r="Y259" t="str">
        <f>'RESUMEN TOTAL'!AH262</f>
        <v>APAGADO</v>
      </c>
      <c r="Z259" t="str">
        <f>'RESUMEN TOTAL'!AI262</f>
        <v>APAGADO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 t="str">
        <f>'RESUMEN TOTAL'!U265</f>
        <v>APAGADO</v>
      </c>
      <c r="M262" t="str">
        <f>'RESUMEN TOTAL'!V265</f>
        <v>APAGADO</v>
      </c>
      <c r="N262" t="str">
        <f>'RESUMEN TOTAL'!W265</f>
        <v>APAGADO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 t="str">
        <f>'RESUMEN TOTAL'!U266</f>
        <v>APAGADO</v>
      </c>
      <c r="M263" t="str">
        <f>'RESUMEN TOTAL'!V266</f>
        <v>APAGADO</v>
      </c>
      <c r="N263" t="str">
        <f>'RESUMEN TOTAL'!W266</f>
        <v>APAGADO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 t="str">
        <f>'RESUMEN TOTAL'!O273</f>
        <v>APAGADO</v>
      </c>
      <c r="G270" t="str">
        <f>'RESUMEN TOTAL'!P273</f>
        <v>APAGADO</v>
      </c>
      <c r="H270" t="str">
        <f>'RESUMEN TOTAL'!Q273</f>
        <v>APAGADO</v>
      </c>
      <c r="I270" t="str">
        <f>'RESUMEN TOTAL'!R273</f>
        <v>APAGADO</v>
      </c>
      <c r="J270" t="str">
        <f>'RESUMEN TOTAL'!S273</f>
        <v>APAGADO</v>
      </c>
      <c r="K270" t="str">
        <f>'RESUMEN TOTAL'!T273</f>
        <v>APAGADO</v>
      </c>
      <c r="L270">
        <f>'RESUMEN TOTAL'!U273</f>
        <v>0</v>
      </c>
      <c r="M270" t="str">
        <f>'RESUMEN TOTAL'!V273</f>
        <v>APAGADO</v>
      </c>
      <c r="N270" t="str">
        <f>'RESUMEN TOTAL'!W273</f>
        <v>APAGADO</v>
      </c>
      <c r="O270" t="str">
        <f>'RESUMEN TOTAL'!X273</f>
        <v>APAGADO</v>
      </c>
      <c r="P270" t="str">
        <f>'RESUMEN TOTAL'!Y273</f>
        <v>APAGADO</v>
      </c>
      <c r="Q270" t="str">
        <f>'RESUMEN TOTAL'!Z273</f>
        <v>APAGADO</v>
      </c>
      <c r="R270" t="str">
        <f>'RESUMEN TOTAL'!AA273</f>
        <v>APAGADO</v>
      </c>
      <c r="S270" t="str">
        <f>'RESUMEN TOTAL'!AB273</f>
        <v>APAGADO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 t="str">
        <f>'RESUMEN TOTAL'!O274</f>
        <v>APAGADO</v>
      </c>
      <c r="G271" t="str">
        <f>'RESUMEN TOTAL'!P274</f>
        <v>APAGADO</v>
      </c>
      <c r="H271" t="str">
        <f>'RESUMEN TOTAL'!Q274</f>
        <v>APAGADO</v>
      </c>
      <c r="I271" t="str">
        <f>'RESUMEN TOTAL'!R274</f>
        <v>APAGADO</v>
      </c>
      <c r="J271" t="str">
        <f>'RESUMEN TOTAL'!S274</f>
        <v>APAGADO</v>
      </c>
      <c r="K271" t="str">
        <f>'RESUMEN TOTAL'!T274</f>
        <v>APAGADO</v>
      </c>
      <c r="L271">
        <f>'RESUMEN TOTAL'!U274</f>
        <v>0</v>
      </c>
      <c r="M271" t="str">
        <f>'RESUMEN TOTAL'!V274</f>
        <v>APAGADO</v>
      </c>
      <c r="N271" t="str">
        <f>'RESUMEN TOTAL'!W274</f>
        <v>APAGADO</v>
      </c>
      <c r="O271" t="str">
        <f>'RESUMEN TOTAL'!X274</f>
        <v>APAGADO</v>
      </c>
      <c r="P271" t="str">
        <f>'RESUMEN TOTAL'!Y274</f>
        <v>APAGADO</v>
      </c>
      <c r="Q271">
        <f>'RESUMEN TOTAL'!Z274</f>
        <v>0</v>
      </c>
      <c r="R271" t="str">
        <f>'RESUMEN TOTAL'!AA274</f>
        <v>APAGADO</v>
      </c>
      <c r="S271" t="str">
        <f>'RESUMEN TOTAL'!AB274</f>
        <v>APAGADO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 t="str">
        <f>'RESUMEN TOTAL'!P278</f>
        <v>APAGADO</v>
      </c>
      <c r="H275" t="str">
        <f>'RESUMEN TOTAL'!Q278</f>
        <v>APAGADO</v>
      </c>
      <c r="I275" t="str">
        <f>'RESUMEN TOTAL'!R278</f>
        <v>APAGADO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 t="str">
        <f>'RESUMEN TOTAL'!AG278</f>
        <v>APAGADO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 t="str">
        <f>'RESUMEN TOTAL'!P279</f>
        <v>APAGADO</v>
      </c>
      <c r="H276" t="str">
        <f>'RESUMEN TOTAL'!Q279</f>
        <v>APAGADO</v>
      </c>
      <c r="I276" t="str">
        <f>'RESUMEN TOTAL'!R279</f>
        <v>APAGADO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 t="str">
        <f>'RESUMEN TOTAL'!AL279</f>
        <v>APAGADO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>
        <f>'RESUMEN TOTAL'!AP279</f>
        <v>0</v>
      </c>
    </row>
    <row r="277" spans="1:33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 t="str">
        <f>'RESUMEN TOTAL'!AN280</f>
        <v>APAGADO</v>
      </c>
      <c r="AF277">
        <f>'RESUMEN TOTAL'!AO280</f>
        <v>0</v>
      </c>
      <c r="AG277">
        <f>'RESUMEN TOTAL'!AP280</f>
        <v>0</v>
      </c>
    </row>
    <row r="278" spans="1:33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 t="str">
        <f>'RESUMEN TOTAL'!Y281</f>
        <v>APAGADO</v>
      </c>
      <c r="Q278" t="str">
        <f>'RESUMEN TOTAL'!Z281</f>
        <v>APAGADO</v>
      </c>
      <c r="R278" t="str">
        <f>'RESUMEN TOTAL'!AA281</f>
        <v>APAGADO</v>
      </c>
      <c r="S278" t="str">
        <f>'RESUMEN TOTAL'!AB281</f>
        <v>APAGADO</v>
      </c>
      <c r="T278" t="str">
        <f>'RESUMEN TOTAL'!AC281</f>
        <v>APAGADO</v>
      </c>
      <c r="U278" t="str">
        <f>'RESUMEN TOTAL'!AD281</f>
        <v>APAGADO</v>
      </c>
      <c r="V278" t="str">
        <f>'RESUMEN TOTAL'!AE281</f>
        <v>APAGADO</v>
      </c>
      <c r="W278" t="str">
        <f>'RESUMEN TOTAL'!AF281</f>
        <v>APAGADO</v>
      </c>
      <c r="X278" t="str">
        <f>'RESUMEN TOTAL'!AG281</f>
        <v>APAGADO</v>
      </c>
      <c r="Y278" t="str">
        <f>'RESUMEN TOTAL'!AH281</f>
        <v>APAGADO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 t="str">
        <f>'RESUMEN TOTAL'!AN281</f>
        <v>APAGADO</v>
      </c>
      <c r="AF278" t="str">
        <f>'RESUMEN TOTAL'!AO281</f>
        <v>APAGADO</v>
      </c>
      <c r="AG278" t="str">
        <f>'RESUMEN TOTAL'!AP281</f>
        <v>APAGADO</v>
      </c>
    </row>
    <row r="279" spans="1:33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 t="str">
        <f>'RESUMEN TOTAL'!O282</f>
        <v>APAGADO</v>
      </c>
      <c r="G279" t="str">
        <f>'RESUMEN TOTAL'!P282</f>
        <v>APAGADO</v>
      </c>
      <c r="H279" t="str">
        <f>'RESUMEN TOTAL'!Q282</f>
        <v>APAGADO</v>
      </c>
      <c r="I279" t="str">
        <f>'RESUMEN TOTAL'!R282</f>
        <v>APAGADO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 t="str">
        <f>'RESUMEN TOTAL'!Y282</f>
        <v>APAGADO</v>
      </c>
      <c r="Q279" t="str">
        <f>'RESUMEN TOTAL'!Z282</f>
        <v>APAGADO</v>
      </c>
      <c r="R279" t="str">
        <f>'RESUMEN TOTAL'!AA282</f>
        <v>APAGADO</v>
      </c>
      <c r="S279" t="str">
        <f>'RESUMEN TOTAL'!AB282</f>
        <v>APAGADO</v>
      </c>
      <c r="T279" t="str">
        <f>'RESUMEN TOTAL'!AC282</f>
        <v>APAGADO</v>
      </c>
      <c r="U279" t="str">
        <f>'RESUMEN TOTAL'!AD282</f>
        <v>APAGADO</v>
      </c>
      <c r="V279" t="str">
        <f>'RESUMEN TOTAL'!AE282</f>
        <v>APAGADO</v>
      </c>
      <c r="W279" t="str">
        <f>'RESUMEN TOTAL'!AF282</f>
        <v>APAGADO</v>
      </c>
      <c r="X279" t="str">
        <f>'RESUMEN TOTAL'!AG282</f>
        <v>APAGADO</v>
      </c>
      <c r="Y279" t="str">
        <f>'RESUMEN TOTAL'!AH282</f>
        <v>APAGADO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 t="str">
        <f>'RESUMEN TOTAL'!AL282</f>
        <v>APAGADO</v>
      </c>
      <c r="AD279" t="str">
        <f>'RESUMEN TOTAL'!AM282</f>
        <v>APAGADO</v>
      </c>
      <c r="AE279" t="str">
        <f>'RESUMEN TOTAL'!AN282</f>
        <v>APAGADO</v>
      </c>
      <c r="AF279" t="str">
        <f>'RESUMEN TOTAL'!AO282</f>
        <v>APAGADO</v>
      </c>
      <c r="AG279" t="str">
        <f>'RESUMEN TOTAL'!AP282</f>
        <v>APAGADO</v>
      </c>
    </row>
    <row r="280" spans="1:33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 t="str">
        <f>'RESUMEN TOTAL'!AF284</f>
        <v>APAGADO</v>
      </c>
      <c r="X281" t="str">
        <f>'RESUMEN TOTAL'!AG284</f>
        <v>APAGADO</v>
      </c>
      <c r="Y281" t="str">
        <f>'RESUMEN TOTAL'!AH284</f>
        <v>APAGADO</v>
      </c>
      <c r="Z281" t="str">
        <f>'RESUMEN TOTAL'!AI284</f>
        <v>APAGADO</v>
      </c>
      <c r="AA281" t="str">
        <f>'RESUMEN TOTAL'!AJ284</f>
        <v>APAGADO</v>
      </c>
      <c r="AB281">
        <f>'RESUMEN TOTAL'!AK284</f>
        <v>0</v>
      </c>
      <c r="AC281" t="str">
        <f>'RESUMEN TOTAL'!AL284</f>
        <v>APAGADO</v>
      </c>
      <c r="AD281" t="str">
        <f>'RESUMEN TOTAL'!AM284</f>
        <v>APAGADO</v>
      </c>
      <c r="AE281" t="str">
        <f>'RESUMEN TOTAL'!AN284</f>
        <v>APAGADO</v>
      </c>
      <c r="AF281" t="str">
        <f>'RESUMEN TOTAL'!AO284</f>
        <v>APAGADO</v>
      </c>
      <c r="AG281" t="str">
        <f>'RESUMEN TOTAL'!AP284</f>
        <v>APAGADO</v>
      </c>
    </row>
    <row r="282" spans="1:33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 t="str">
        <f>'RESUMEN TOTAL'!AF285</f>
        <v>APAGADO</v>
      </c>
      <c r="X282" t="str">
        <f>'RESUMEN TOTAL'!AG285</f>
        <v>APAGADO</v>
      </c>
      <c r="Y282" t="str">
        <f>'RESUMEN TOTAL'!AH285</f>
        <v>APAGADO</v>
      </c>
      <c r="Z282" t="str">
        <f>'RESUMEN TOTAL'!AI285</f>
        <v>APAGADO</v>
      </c>
      <c r="AA282" t="str">
        <f>'RESUMEN TOTAL'!AJ285</f>
        <v>APAGADO</v>
      </c>
      <c r="AB282">
        <f>'RESUMEN TOTAL'!AK285</f>
        <v>0</v>
      </c>
      <c r="AC282" t="str">
        <f>'RESUMEN TOTAL'!AL285</f>
        <v>APAGADO</v>
      </c>
      <c r="AD282" t="str">
        <f>'RESUMEN TOTAL'!AM285</f>
        <v>APAGADO</v>
      </c>
      <c r="AE282" t="str">
        <f>'RESUMEN TOTAL'!AN285</f>
        <v>APAGADO</v>
      </c>
      <c r="AF282" t="str">
        <f>'RESUMEN TOTAL'!AO285</f>
        <v>APAGADO</v>
      </c>
      <c r="AG282" t="str">
        <f>'RESUMEN TOTAL'!AP285</f>
        <v>APAGADO</v>
      </c>
    </row>
    <row r="283" spans="1:33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 t="str">
        <f>'RESUMEN TOTAL'!AP286</f>
        <v>APAGADO</v>
      </c>
    </row>
    <row r="284" spans="1:33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 t="str">
        <f>'RESUMEN TOTAL'!AP287</f>
        <v>APAGADO</v>
      </c>
    </row>
    <row r="285" spans="1:33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 t="str">
        <f>'RESUMEN TOTAL'!Y288</f>
        <v>APAGADO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 t="str">
        <f>'RESUMEN TOTAL'!AL288</f>
        <v>APAGADO</v>
      </c>
      <c r="AD285">
        <f>'RESUMEN TOTAL'!AM288</f>
        <v>0</v>
      </c>
      <c r="AE285">
        <f>'RESUMEN TOTAL'!AN288</f>
        <v>0</v>
      </c>
      <c r="AF285" t="str">
        <f>'RESUMEN TOTAL'!AO288</f>
        <v>APAGADO</v>
      </c>
      <c r="AG285">
        <f>'RESUMEN TOTAL'!AP288</f>
        <v>0</v>
      </c>
    </row>
    <row r="286" spans="1:33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 t="str">
        <f>'RESUMEN TOTAL'!AM290</f>
        <v>APAGADO</v>
      </c>
      <c r="AE287">
        <f>'RESUMEN TOTAL'!AN290</f>
        <v>0</v>
      </c>
      <c r="AF287">
        <f>'RESUMEN TOTAL'!AO290</f>
        <v>0</v>
      </c>
      <c r="AG287" t="str">
        <f>'RESUMEN TOTAL'!AP290</f>
        <v>APAGADO</v>
      </c>
    </row>
    <row r="288" spans="1:33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 t="str">
        <f>'RESUMEN TOTAL'!AL291</f>
        <v>APAGADO</v>
      </c>
      <c r="AD288" t="str">
        <f>'RESUMEN TOTAL'!AM291</f>
        <v>APAGADO</v>
      </c>
      <c r="AE288">
        <f>'RESUMEN TOTAL'!AN291</f>
        <v>0</v>
      </c>
      <c r="AF288" t="str">
        <f>'RESUMEN TOTAL'!AO291</f>
        <v>APAGADO</v>
      </c>
      <c r="AG288" t="str">
        <f>'RESUMEN TOTAL'!AP291</f>
        <v>APAGADO</v>
      </c>
    </row>
    <row r="289" spans="1:33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 t="str">
        <f>'RESUMEN TOTAL'!AL292</f>
        <v>APAGADO</v>
      </c>
      <c r="AD289" t="str">
        <f>'RESUMEN TOTAL'!AM292</f>
        <v>APAGADO</v>
      </c>
      <c r="AE289" t="str">
        <f>'RESUMEN TOTAL'!AN292</f>
        <v>APAGADO</v>
      </c>
      <c r="AF289" t="str">
        <f>'RESUMEN TOTAL'!AO292</f>
        <v>APAGADO</v>
      </c>
      <c r="AG289" t="str">
        <f>'RESUMEN TOTAL'!AP292</f>
        <v>APAGADO</v>
      </c>
    </row>
    <row r="290" spans="1:33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 t="str">
        <f>'RESUMEN TOTAL'!AL293</f>
        <v>APAGADO</v>
      </c>
      <c r="AD290" t="str">
        <f>'RESUMEN TOTAL'!AM293</f>
        <v>APAGADO</v>
      </c>
      <c r="AE290" t="str">
        <f>'RESUMEN TOTAL'!AN293</f>
        <v>APAGADO</v>
      </c>
      <c r="AF290" t="str">
        <f>'RESUMEN TOTAL'!AO293</f>
        <v>APAGADO</v>
      </c>
      <c r="AG290" t="str">
        <f>'RESUMEN TOTAL'!AP293</f>
        <v>APAGADO</v>
      </c>
    </row>
    <row r="291" spans="1:33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 t="str">
        <f>'RESUMEN TOTAL'!AL294</f>
        <v>APAGADO</v>
      </c>
      <c r="AD291" t="str">
        <f>'RESUMEN TOTAL'!AM294</f>
        <v>APAGADO</v>
      </c>
      <c r="AE291" t="str">
        <f>'RESUMEN TOTAL'!AN294</f>
        <v>APAGADO</v>
      </c>
      <c r="AF291" t="str">
        <f>'RESUMEN TOTAL'!AO294</f>
        <v>APAGADO</v>
      </c>
      <c r="AG291" t="str">
        <f>'RESUMEN TOTAL'!AP294</f>
        <v>APAGADO</v>
      </c>
    </row>
    <row r="292" spans="1:33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 t="str">
        <f>'RESUMEN TOTAL'!AL295</f>
        <v>APAGADO</v>
      </c>
      <c r="AD292" t="str">
        <f>'RESUMEN TOTAL'!AM295</f>
        <v>APAGADO</v>
      </c>
      <c r="AE292" t="str">
        <f>'RESUMEN TOTAL'!AN295</f>
        <v>APAGADO</v>
      </c>
      <c r="AF292" t="str">
        <f>'RESUMEN TOTAL'!AO295</f>
        <v>APAGADO</v>
      </c>
      <c r="AG292" t="str">
        <f>'RESUMEN TOTAL'!AP295</f>
        <v>APAGADO</v>
      </c>
    </row>
    <row r="293" spans="1:33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 t="str">
        <f>'RESUMEN TOTAL'!Y296</f>
        <v>APAGADO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 t="str">
        <f>'RESUMEN TOTAL'!T297</f>
        <v>APAGADO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 t="str">
        <f>'RESUMEN TOTAL'!AM297</f>
        <v>APAGADO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>
        <f>'RESUMEN TOTAL'!AP303</f>
        <v>0</v>
      </c>
    </row>
    <row r="301" spans="1:33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 t="str">
        <f>'RESUMEN TOTAL'!AB304</f>
        <v>APAGADO</v>
      </c>
      <c r="T301" t="str">
        <f>'RESUMEN TOTAL'!AC304</f>
        <v>APAGADO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 t="str">
        <f>'RESUMEN TOTAL'!AH304</f>
        <v>APAGADO</v>
      </c>
      <c r="Z301" t="str">
        <f>'RESUMEN TOTAL'!AI304</f>
        <v>APAGADO</v>
      </c>
      <c r="AA301" t="str">
        <f>'RESUMEN TOTAL'!AJ304</f>
        <v>APAGADO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 t="str">
        <f>'RESUMEN TOTAL'!AB305</f>
        <v>APAGADO</v>
      </c>
      <c r="T302" t="str">
        <f>'RESUMEN TOTAL'!AC305</f>
        <v>APAGADO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 t="str">
        <f>'RESUMEN TOTAL'!AH305</f>
        <v>APAGADO</v>
      </c>
      <c r="Z302" t="str">
        <f>'RESUMEN TOTAL'!AI305</f>
        <v>APAGADO</v>
      </c>
      <c r="AA302" t="str">
        <f>'RESUMEN TOTAL'!AJ305</f>
        <v>APAGADO</v>
      </c>
      <c r="AB302">
        <f>'RESUMEN TOTAL'!AK305</f>
        <v>0</v>
      </c>
      <c r="AC302" t="str">
        <f>'RESUMEN TOTAL'!AL305</f>
        <v>APAGADO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 t="str">
        <f>'RESUMEN TOTAL'!Y306</f>
        <v>APAGADO</v>
      </c>
      <c r="Q303" t="str">
        <f>'RESUMEN TOTAL'!Z306</f>
        <v>APAGADO</v>
      </c>
      <c r="R303" t="str">
        <f>'RESUMEN TOTAL'!AA306</f>
        <v>APAGADO</v>
      </c>
      <c r="S303" t="str">
        <f>'RESUMEN TOTAL'!AB306</f>
        <v>APAGADO</v>
      </c>
      <c r="T303" t="str">
        <f>'RESUMEN TOTAL'!AC306</f>
        <v>APAGADO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 t="str">
        <f>'RESUMEN TOTAL'!AH306</f>
        <v>APAGADO</v>
      </c>
      <c r="Z303" t="str">
        <f>'RESUMEN TOTAL'!AI306</f>
        <v>APAGADO</v>
      </c>
      <c r="AA303" t="str">
        <f>'RESUMEN TOTAL'!AJ306</f>
        <v>APAGADO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 t="str">
        <f>'RESUMEN TOTAL'!Y307</f>
        <v>APAGADO</v>
      </c>
      <c r="Q304" t="str">
        <f>'RESUMEN TOTAL'!Z307</f>
        <v>APAGADO</v>
      </c>
      <c r="R304" t="str">
        <f>'RESUMEN TOTAL'!AA307</f>
        <v>APAGADO</v>
      </c>
      <c r="S304" t="str">
        <f>'RESUMEN TOTAL'!AB307</f>
        <v>APAGADO</v>
      </c>
      <c r="T304" t="str">
        <f>'RESUMEN TOTAL'!AC307</f>
        <v>APAGADO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 t="str">
        <f>'RESUMEN TOTAL'!AH307</f>
        <v>APAGADO</v>
      </c>
      <c r="Z304" t="str">
        <f>'RESUMEN TOTAL'!AI307</f>
        <v>APAGADO</v>
      </c>
      <c r="AA304" t="str">
        <f>'RESUMEN TOTAL'!AJ307</f>
        <v>APAGADO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 t="str">
        <f>'RESUMEN TOTAL'!AA308</f>
        <v>APAGADO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 t="str">
        <f>'RESUMEN TOTAL'!AD311</f>
        <v>APAGADO</v>
      </c>
      <c r="V308" t="str">
        <f>'RESUMEN TOTAL'!AE311</f>
        <v>APAGADO</v>
      </c>
      <c r="W308" t="str">
        <f>'RESUMEN TOTAL'!AF311</f>
        <v>APAGADO</v>
      </c>
      <c r="X308" t="str">
        <f>'RESUMEN TOTAL'!AG311</f>
        <v>APAGADO</v>
      </c>
      <c r="Y308" t="str">
        <f>'RESUMEN TOTAL'!AH311</f>
        <v>APAGADO</v>
      </c>
      <c r="Z308" t="str">
        <f>'RESUMEN TOTAL'!AI311</f>
        <v>APAGADO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 t="str">
        <f>'RESUMEN TOTAL'!AE312</f>
        <v>APAGADO</v>
      </c>
      <c r="W309" t="str">
        <f>'RESUMEN TOTAL'!AF312</f>
        <v>APAGADO</v>
      </c>
      <c r="X309" t="str">
        <f>'RESUMEN TOTAL'!AG312</f>
        <v>APAGADO</v>
      </c>
      <c r="Y309" t="str">
        <f>'RESUMEN TOTAL'!AH312</f>
        <v>APAGADO</v>
      </c>
      <c r="Z309" t="str">
        <f>'RESUMEN TOTAL'!AI312</f>
        <v>APAGADO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 t="str">
        <f>'RESUMEN TOTAL'!AE313</f>
        <v>APAGADO</v>
      </c>
      <c r="W310" t="str">
        <f>'RESUMEN TOTAL'!AF313</f>
        <v>APAGADO</v>
      </c>
      <c r="X310" t="str">
        <f>'RESUMEN TOTAL'!AG313</f>
        <v>APAGADO</v>
      </c>
      <c r="Y310" t="str">
        <f>'RESUMEN TOTAL'!AH313</f>
        <v>APAGADO</v>
      </c>
      <c r="Z310" t="str">
        <f>'RESUMEN TOTAL'!AI313</f>
        <v>APAGADO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 t="str">
        <f>'RESUMEN TOTAL'!AL314</f>
        <v>APAGADO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 t="str">
        <f>'RESUMEN TOTAL'!AA315</f>
        <v>APAGADO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 t="str">
        <f>'RESUMEN TOTAL'!O321</f>
        <v>APAGADO</v>
      </c>
      <c r="G318" t="str">
        <f>'RESUMEN TOTAL'!P321</f>
        <v>APAGADO</v>
      </c>
      <c r="H318" t="str">
        <f>'RESUMEN TOTAL'!Q321</f>
        <v>APAGADO</v>
      </c>
      <c r="I318" t="str">
        <f>'RESUMEN TOTAL'!R321</f>
        <v>APAGADO</v>
      </c>
      <c r="J318" t="str">
        <f>'RESUMEN TOTAL'!S321</f>
        <v>APAGADO</v>
      </c>
      <c r="K318" t="str">
        <f>'RESUMEN TOTAL'!T321</f>
        <v>APAGADO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 t="str">
        <f>'RESUMEN TOTAL'!AD321</f>
        <v>APAGADO</v>
      </c>
      <c r="V318" t="str">
        <f>'RESUMEN TOTAL'!AE321</f>
        <v>APAGADO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 t="str">
        <f>'RESUMEN TOTAL'!AJ321</f>
        <v>APAGADO</v>
      </c>
      <c r="AB318" t="str">
        <f>'RESUMEN TOTAL'!AK321</f>
        <v>APAGADO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 t="str">
        <f>'RESUMEN TOTAL'!O322</f>
        <v>APAGADO</v>
      </c>
      <c r="G319" t="str">
        <f>'RESUMEN TOTAL'!P322</f>
        <v>APAGADO</v>
      </c>
      <c r="H319" t="str">
        <f>'RESUMEN TOTAL'!Q322</f>
        <v>APAGADO</v>
      </c>
      <c r="I319" t="str">
        <f>'RESUMEN TOTAL'!R322</f>
        <v>APAGADO</v>
      </c>
      <c r="J319" t="str">
        <f>'RESUMEN TOTAL'!S322</f>
        <v>APAGADO</v>
      </c>
      <c r="K319" t="str">
        <f>'RESUMEN TOTAL'!T322</f>
        <v>APAGADO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 t="str">
        <f>'RESUMEN TOTAL'!AC322</f>
        <v>APAGADO</v>
      </c>
      <c r="U319" t="str">
        <f>'RESUMEN TOTAL'!AD322</f>
        <v>APAGADO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 t="str">
        <f>'RESUMEN TOTAL'!AJ322</f>
        <v>APAGADO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 t="str">
        <f>'RESUMEN TOTAL'!AG323</f>
        <v>APAGADO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 t="str">
        <f>'RESUMEN TOTAL'!AD324</f>
        <v>APAGADO</v>
      </c>
      <c r="V321" t="str">
        <f>'RESUMEN TOTAL'!AE324</f>
        <v>APAGADO</v>
      </c>
      <c r="W321" t="str">
        <f>'RESUMEN TOTAL'!AF324</f>
        <v>APAGADO</v>
      </c>
      <c r="X321">
        <f>'RESUMEN TOTAL'!AG324</f>
        <v>0</v>
      </c>
      <c r="Y321">
        <f>'RESUMEN TOTAL'!AH324</f>
        <v>0</v>
      </c>
      <c r="Z321" t="str">
        <f>'RESUMEN TOTAL'!AI324</f>
        <v>APAGADO</v>
      </c>
      <c r="AA321" t="str">
        <f>'RESUMEN TOTAL'!AJ324</f>
        <v>APAGADO</v>
      </c>
      <c r="AB321" t="str">
        <f>'RESUMEN TOTAL'!AK324</f>
        <v>APAGADO</v>
      </c>
      <c r="AC321">
        <f>'RESUMEN TOTAL'!AL324</f>
        <v>0</v>
      </c>
      <c r="AD321" t="str">
        <f>'RESUMEN TOTAL'!AM324</f>
        <v>APAGADO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 t="str">
        <f>'RESUMEN TOTAL'!P330</f>
        <v>APAGADO</v>
      </c>
      <c r="H327" t="str">
        <f>'RESUMEN TOTAL'!Q330</f>
        <v>APAGADO</v>
      </c>
      <c r="I327" t="str">
        <f>'RESUMEN TOTAL'!R330</f>
        <v>APAGADO</v>
      </c>
      <c r="J327" t="str">
        <f>'RESUMEN TOTAL'!S330</f>
        <v>APAGADO</v>
      </c>
      <c r="K327" t="str">
        <f>'RESUMEN TOTAL'!T330</f>
        <v>APAGADO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 t="str">
        <f>'RESUMEN TOTAL'!AB330</f>
        <v>APAGADO</v>
      </c>
      <c r="T327" t="str">
        <f>'RESUMEN TOTAL'!AC330</f>
        <v>APAGADO</v>
      </c>
      <c r="U327" t="str">
        <f>'RESUMEN TOTAL'!AD330</f>
        <v>APAGADO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 t="str">
        <f>'RESUMEN TOTAL'!AH330</f>
        <v>APAGADO</v>
      </c>
      <c r="Z327" t="str">
        <f>'RESUMEN TOTAL'!AI330</f>
        <v>APAGADO</v>
      </c>
      <c r="AA327" t="str">
        <f>'RESUMEN TOTAL'!AJ330</f>
        <v>APAGADO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 t="str">
        <f>'RESUMEN TOTAL'!AB331</f>
        <v>APAGADO</v>
      </c>
      <c r="T328" t="str">
        <f>'RESUMEN TOTAL'!AC331</f>
        <v>APAGADO</v>
      </c>
      <c r="U328" t="str">
        <f>'RESUMEN TOTAL'!AD331</f>
        <v>APAGADO</v>
      </c>
      <c r="V328">
        <f>'RESUMEN TOTAL'!AE331</f>
        <v>0</v>
      </c>
      <c r="W328">
        <f>'RESUMEN TOTAL'!AF331</f>
        <v>0</v>
      </c>
      <c r="X328" t="str">
        <f>'RESUMEN TOTAL'!AG331</f>
        <v>APAGADO</v>
      </c>
      <c r="Y328" t="str">
        <f>'RESUMEN TOTAL'!AH331</f>
        <v>APAGADO</v>
      </c>
      <c r="Z328" t="str">
        <f>'RESUMEN TOTAL'!AI331</f>
        <v>APAGADO</v>
      </c>
      <c r="AA328" t="str">
        <f>'RESUMEN TOTAL'!AJ331</f>
        <v>APAGADO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 t="str">
        <f>'RESUMEN TOTAL'!AL332</f>
        <v>APAGADO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 t="str">
        <f>'RESUMEN TOTAL'!O333</f>
        <v>APAGADO</v>
      </c>
      <c r="G330" t="str">
        <f>'RESUMEN TOTAL'!P333</f>
        <v>APAGADO</v>
      </c>
      <c r="H330" t="str">
        <f>'RESUMEN TOTAL'!Q333</f>
        <v>APAGADO</v>
      </c>
      <c r="I330" t="str">
        <f>'RESUMEN TOTAL'!R333</f>
        <v>APAGADO</v>
      </c>
      <c r="J330" t="str">
        <f>'RESUMEN TOTAL'!S333</f>
        <v>APAGADO</v>
      </c>
      <c r="K330" t="str">
        <f>'RESUMEN TOTAL'!T333</f>
        <v>APAGADO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 t="str">
        <f>'RESUMEN TOTAL'!AL337</f>
        <v>APAGADO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 t="str">
        <f>'RESUMEN TOTAL'!AL338</f>
        <v>APAGADO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 t="str">
        <f>'RESUMEN TOTAL'!AD339</f>
        <v>APAGADO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 t="str">
        <f>'RESUMEN TOTAL'!AL339</f>
        <v>APAGADO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 t="str">
        <f>'RESUMEN TOTAL'!AN342</f>
        <v>APAGADO</v>
      </c>
      <c r="AF339">
        <f>'RESUMEN TOTAL'!AO342</f>
        <v>0</v>
      </c>
      <c r="AG339">
        <f>'RESUMEN TOTAL'!AP342</f>
        <v>0</v>
      </c>
    </row>
    <row r="340" spans="1:33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 t="str">
        <f>'RESUMEN TOTAL'!AP345</f>
        <v>APAGADO</v>
      </c>
    </row>
    <row r="343" spans="1:33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 t="str">
        <f>'RESUMEN TOTAL'!AP346</f>
        <v>APAGADO</v>
      </c>
    </row>
    <row r="344" spans="1:33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 t="str">
        <f>'RESUMEN TOTAL'!AP347</f>
        <v>APAGADO</v>
      </c>
    </row>
    <row r="345" spans="1:33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 t="str">
        <f>'RESUMEN TOTAL'!S348</f>
        <v>APAGADO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 t="str">
        <f>'RESUMEN TOTAL'!X348</f>
        <v>APAGADO</v>
      </c>
      <c r="P345" t="str">
        <f>'RESUMEN TOTAL'!Y348</f>
        <v>APAGADO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 t="str">
        <f>'RESUMEN TOTAL'!AP348</f>
        <v>APAGADO</v>
      </c>
    </row>
    <row r="346" spans="1:33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 t="str">
        <f>'RESUMEN TOTAL'!AB349</f>
        <v>APAGADO</v>
      </c>
      <c r="T346" t="str">
        <f>'RESUMEN TOTAL'!AC349</f>
        <v>APAGADO</v>
      </c>
      <c r="U346" t="str">
        <f>'RESUMEN TOTAL'!AD349</f>
        <v>APAGADO</v>
      </c>
      <c r="V346" t="str">
        <f>'RESUMEN TOTAL'!AE349</f>
        <v>APAGADO</v>
      </c>
      <c r="W346" t="str">
        <f>'RESUMEN TOTAL'!AF349</f>
        <v>APAGADO</v>
      </c>
      <c r="X346" t="str">
        <f>'RESUMEN TOTAL'!AG349</f>
        <v>APAGADO</v>
      </c>
      <c r="Y346" t="str">
        <f>'RESUMEN TOTAL'!AH349</f>
        <v>APAGADO</v>
      </c>
      <c r="Z346" t="str">
        <f>'RESUMEN TOTAL'!AI349</f>
        <v>APAGADO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 t="str">
        <f>'RESUMEN TOTAL'!AP349</f>
        <v>APAGADO</v>
      </c>
    </row>
    <row r="347" spans="1:33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 t="str">
        <f>'RESUMEN TOTAL'!O350</f>
        <v>APAGADO</v>
      </c>
      <c r="G347" t="str">
        <f>'RESUMEN TOTAL'!P350</f>
        <v>APAGADO</v>
      </c>
      <c r="H347" t="str">
        <f>'RESUMEN TOTAL'!Q350</f>
        <v>APAGADO</v>
      </c>
      <c r="I347" t="str">
        <f>'RESUMEN TOTAL'!R350</f>
        <v>APAGADO</v>
      </c>
      <c r="J347">
        <f>'RESUMEN TOTAL'!S350</f>
        <v>0</v>
      </c>
      <c r="K347" t="str">
        <f>'RESUMEN TOTAL'!T350</f>
        <v>APAGADO</v>
      </c>
      <c r="L347" t="str">
        <f>'RESUMEN TOTAL'!U350</f>
        <v>APAGADO</v>
      </c>
      <c r="M347" t="str">
        <f>'RESUMEN TOTAL'!V350</f>
        <v>APAGADO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 t="str">
        <f>'RESUMEN TOTAL'!Z350</f>
        <v>APAGADO</v>
      </c>
      <c r="R347" t="str">
        <f>'RESUMEN TOTAL'!AA350</f>
        <v>APAGADO</v>
      </c>
      <c r="S347">
        <f>'RESUMEN TOTAL'!AB350</f>
        <v>0</v>
      </c>
      <c r="T347">
        <f>'RESUMEN TOTAL'!AC350</f>
        <v>0</v>
      </c>
      <c r="U347" t="str">
        <f>'RESUMEN TOTAL'!AD350</f>
        <v>APAGADO</v>
      </c>
      <c r="V347" t="str">
        <f>'RESUMEN TOTAL'!AE350</f>
        <v>APAGADO</v>
      </c>
      <c r="W347" t="str">
        <f>'RESUMEN TOTAL'!AF350</f>
        <v>APAGADO</v>
      </c>
      <c r="X347" t="str">
        <f>'RESUMEN TOTAL'!AG350</f>
        <v>APAGADO</v>
      </c>
      <c r="Y347" t="str">
        <f>'RESUMEN TOTAL'!AH350</f>
        <v>APAGADO</v>
      </c>
      <c r="Z347" t="str">
        <f>'RESUMEN TOTAL'!AI350</f>
        <v>APAGADO</v>
      </c>
      <c r="AA347" t="str">
        <f>'RESUMEN TOTAL'!AJ350</f>
        <v>APAGADO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 t="str">
        <f>'RESUMEN TOTAL'!O351</f>
        <v>APAGADO</v>
      </c>
      <c r="G348" t="str">
        <f>'RESUMEN TOTAL'!P351</f>
        <v>APAGADO</v>
      </c>
      <c r="H348" t="str">
        <f>'RESUMEN TOTAL'!Q351</f>
        <v>APAGADO</v>
      </c>
      <c r="I348" t="str">
        <f>'RESUMEN TOTAL'!R351</f>
        <v>APAGADO</v>
      </c>
      <c r="J348" t="str">
        <f>'RESUMEN TOTAL'!S351</f>
        <v>APAGADO</v>
      </c>
      <c r="K348" t="str">
        <f>'RESUMEN TOTAL'!T351</f>
        <v>APAGADO</v>
      </c>
      <c r="L348" t="str">
        <f>'RESUMEN TOTAL'!U351</f>
        <v>APAGADO</v>
      </c>
      <c r="M348" t="str">
        <f>'RESUMEN TOTAL'!V351</f>
        <v>APAGADO</v>
      </c>
      <c r="N348" t="str">
        <f>'RESUMEN TOTAL'!W351</f>
        <v>APAGADO</v>
      </c>
      <c r="O348" t="str">
        <f>'RESUMEN TOTAL'!X351</f>
        <v>APAGADO</v>
      </c>
      <c r="P348" t="str">
        <f>'RESUMEN TOTAL'!Y351</f>
        <v>APAGADO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 t="str">
        <f>'RESUMEN TOTAL'!AN352</f>
        <v>APAGADO</v>
      </c>
      <c r="AF349" t="str">
        <f>'RESUMEN TOTAL'!AO352</f>
        <v>APAGADO</v>
      </c>
      <c r="AG349" t="str">
        <f>'RESUMEN TOTAL'!AP352</f>
        <v>APAGADO</v>
      </c>
    </row>
    <row r="350" spans="1:33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 t="str">
        <f>'RESUMEN TOTAL'!S355</f>
        <v>APAGADO</v>
      </c>
      <c r="K352" t="str">
        <f>'RESUMEN TOTAL'!T355</f>
        <v>APAGADO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 t="str">
        <f>'RESUMEN TOTAL'!AA355</f>
        <v>APAGADO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 t="str">
        <f>'RESUMEN TOTAL'!AG355</f>
        <v>APAGADO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 t="str">
        <f>'RESUMEN TOTAL'!AN355</f>
        <v>APAGADO</v>
      </c>
      <c r="AF352" t="str">
        <f>'RESUMEN TOTAL'!AO355</f>
        <v>APAGADO</v>
      </c>
      <c r="AG352">
        <f>'RESUMEN TOTAL'!AP355</f>
        <v>0</v>
      </c>
    </row>
    <row r="353" spans="1:33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 t="str">
        <f>'RESUMEN TOTAL'!AM358</f>
        <v>APAGADO</v>
      </c>
      <c r="AE355" t="str">
        <f>'RESUMEN TOTAL'!AN358</f>
        <v>APAGADO</v>
      </c>
      <c r="AF355" t="str">
        <f>'RESUMEN TOTAL'!AO358</f>
        <v>APAGADO</v>
      </c>
      <c r="AG355" t="str">
        <f>'RESUMEN TOTAL'!AP358</f>
        <v>APAGADO</v>
      </c>
    </row>
    <row r="356" spans="1:33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 t="str">
        <f>'RESUMEN TOTAL'!AP363</f>
        <v>APAGADO</v>
      </c>
    </row>
    <row r="361" spans="1:33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 t="str">
        <f>'RESUMEN TOTAL'!U364</f>
        <v>APAGADO</v>
      </c>
      <c r="M361" t="str">
        <f>'RESUMEN TOTAL'!V364</f>
        <v>APAGADO</v>
      </c>
      <c r="N361" t="str">
        <f>'RESUMEN TOTAL'!W364</f>
        <v>APAGADO</v>
      </c>
      <c r="O361" t="str">
        <f>'RESUMEN TOTAL'!X364</f>
        <v>APAGADO</v>
      </c>
      <c r="P361" t="str">
        <f>'RESUMEN TOTAL'!Y364</f>
        <v>APAGADO</v>
      </c>
      <c r="Q361">
        <f>'RESUMEN TOTAL'!Z364</f>
        <v>0</v>
      </c>
      <c r="R361" t="str">
        <f>'RESUMEN TOTAL'!AA364</f>
        <v>APAGADO</v>
      </c>
      <c r="S361" t="str">
        <f>'RESUMEN TOTAL'!AB364</f>
        <v>APAGADO</v>
      </c>
      <c r="T361" t="str">
        <f>'RESUMEN TOTAL'!AC364</f>
        <v>APAGADO</v>
      </c>
      <c r="U361" t="str">
        <f>'RESUMEN TOTAL'!AD364</f>
        <v>APAGADO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 t="str">
        <f>'RESUMEN TOTAL'!O369</f>
        <v>APAGADO</v>
      </c>
      <c r="G366" t="str">
        <f>'RESUMEN TOTAL'!P369</f>
        <v>APAGADO</v>
      </c>
      <c r="H366" t="str">
        <f>'RESUMEN TOTAL'!Q369</f>
        <v>APAGADO</v>
      </c>
      <c r="I366" t="str">
        <f>'RESUMEN TOTAL'!R369</f>
        <v>APAGADO</v>
      </c>
      <c r="J366" t="str">
        <f>'RESUMEN TOTAL'!S369</f>
        <v>APAGADO</v>
      </c>
      <c r="K366" t="str">
        <f>'RESUMEN TOTAL'!T369</f>
        <v>APAGADO</v>
      </c>
      <c r="L366" t="str">
        <f>'RESUMEN TOTAL'!U369</f>
        <v>APAGADO</v>
      </c>
      <c r="M366" t="str">
        <f>'RESUMEN TOTAL'!V369</f>
        <v>APAGADO</v>
      </c>
      <c r="N366" t="str">
        <f>'RESUMEN TOTAL'!W369</f>
        <v>APAGADO</v>
      </c>
      <c r="O366" t="str">
        <f>'RESUMEN TOTAL'!X369</f>
        <v>APAGADO</v>
      </c>
      <c r="P366" t="str">
        <f>'RESUMEN TOTAL'!Y369</f>
        <v>APAGADO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 t="str">
        <f>'RESUMEN TOTAL'!AJ369</f>
        <v>APAGADO</v>
      </c>
      <c r="AB366" t="str">
        <f>'RESUMEN TOTAL'!AK369</f>
        <v>APAGADO</v>
      </c>
      <c r="AC366" t="str">
        <f>'RESUMEN TOTAL'!AL369</f>
        <v>APAGADO</v>
      </c>
      <c r="AD366" t="str">
        <f>'RESUMEN TOTAL'!AM369</f>
        <v>APAGADO</v>
      </c>
      <c r="AE366" t="str">
        <f>'RESUMEN TOTAL'!AN369</f>
        <v>APAGADO</v>
      </c>
      <c r="AF366" t="str">
        <f>'RESUMEN TOTAL'!AO369</f>
        <v>APAGADO</v>
      </c>
      <c r="AG366" t="str">
        <f>'RESUMEN TOTAL'!AP369</f>
        <v>APAGADO</v>
      </c>
    </row>
    <row r="367" spans="1:33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 t="str">
        <f>'RESUMEN TOTAL'!AD370</f>
        <v>APAGADO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  <row r="368" spans="1:33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 t="str">
        <f>'RESUMEN TOTAL'!AL371</f>
        <v>APAGADO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 t="str">
        <f>'RESUMEN TOTAL'!AP371</f>
        <v>APAGADO</v>
      </c>
    </row>
    <row r="369" spans="1:33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 t="str">
        <f>'RESUMEN TOTAL'!AL372</f>
        <v>APAGADO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 t="str">
        <f>'RESUMEN TOTAL'!AP372</f>
        <v>APAGADO</v>
      </c>
    </row>
    <row r="370" spans="1:33" x14ac:dyDescent="0.25">
      <c r="A370">
        <f>'RESUMEN TOTAL'!A373</f>
        <v>0</v>
      </c>
      <c r="B370">
        <f>'RESUMEN TOTAL'!C373</f>
        <v>0</v>
      </c>
      <c r="C370">
        <f>'RESUMEN TOTAL'!D373</f>
        <v>0</v>
      </c>
      <c r="D370">
        <f>'RESUMEN TOTAL'!E373</f>
        <v>0</v>
      </c>
      <c r="E370">
        <f>'RESUMEN TOTAL'!F373</f>
        <v>0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</row>
    <row r="371" spans="1:33" x14ac:dyDescent="0.25">
      <c r="A371">
        <f>'RESUMEN TOTAL'!A374</f>
        <v>0</v>
      </c>
      <c r="B371">
        <f>'RESUMEN TOTAL'!C374</f>
        <v>0</v>
      </c>
      <c r="C371">
        <f>'RESUMEN TOTAL'!D374</f>
        <v>0</v>
      </c>
      <c r="D371">
        <f>'RESUMEN TOTAL'!E374</f>
        <v>0</v>
      </c>
      <c r="E371">
        <f>'RESUMEN TOTAL'!F374</f>
        <v>0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</row>
    <row r="372" spans="1:33" x14ac:dyDescent="0.25">
      <c r="A372">
        <f>'RESUMEN TOTAL'!A375</f>
        <v>0</v>
      </c>
      <c r="B372">
        <f>'RESUMEN TOTAL'!C375</f>
        <v>0</v>
      </c>
      <c r="C372">
        <f>'RESUMEN TOTAL'!D375</f>
        <v>0</v>
      </c>
      <c r="D372">
        <f>'RESUMEN TOTAL'!E375</f>
        <v>0</v>
      </c>
      <c r="E372">
        <f>'RESUMEN TOTAL'!F375</f>
        <v>0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</row>
    <row r="373" spans="1:33" x14ac:dyDescent="0.25">
      <c r="A373">
        <f>'RESUMEN TOTAL'!A376</f>
        <v>0</v>
      </c>
      <c r="B373">
        <f>'RESUMEN TOTAL'!C376</f>
        <v>0</v>
      </c>
      <c r="C373">
        <f>'RESUMEN TOTAL'!D376</f>
        <v>0</v>
      </c>
      <c r="D373">
        <f>'RESUMEN TOTAL'!E376</f>
        <v>0</v>
      </c>
      <c r="E373">
        <f>'RESUMEN TOTAL'!F376</f>
        <v>0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</row>
    <row r="374" spans="1:33" x14ac:dyDescent="0.25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B368" sqref="B368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61</v>
      </c>
      <c r="G1" s="26">
        <f t="shared" si="0"/>
        <v>79</v>
      </c>
      <c r="H1" s="26">
        <f t="shared" si="0"/>
        <v>76</v>
      </c>
      <c r="I1" s="26">
        <f t="shared" si="0"/>
        <v>69</v>
      </c>
      <c r="J1" s="26">
        <f t="shared" si="0"/>
        <v>69</v>
      </c>
      <c r="K1" s="26">
        <f t="shared" si="0"/>
        <v>68</v>
      </c>
      <c r="L1" s="26">
        <f t="shared" si="0"/>
        <v>70</v>
      </c>
      <c r="M1" s="26">
        <f t="shared" si="0"/>
        <v>66</v>
      </c>
      <c r="N1" s="26">
        <f t="shared" si="0"/>
        <v>78</v>
      </c>
      <c r="O1" s="26">
        <f t="shared" si="0"/>
        <v>68</v>
      </c>
      <c r="P1" s="26">
        <f t="shared" si="0"/>
        <v>58</v>
      </c>
      <c r="Q1" s="26">
        <f t="shared" si="0"/>
        <v>48</v>
      </c>
      <c r="R1" s="26">
        <f t="shared" si="0"/>
        <v>53</v>
      </c>
      <c r="S1" s="26">
        <f t="shared" si="0"/>
        <v>58</v>
      </c>
      <c r="T1" s="26">
        <f t="shared" si="0"/>
        <v>48</v>
      </c>
      <c r="U1" s="26">
        <f t="shared" si="0"/>
        <v>64</v>
      </c>
      <c r="V1" s="26">
        <f t="shared" si="0"/>
        <v>43</v>
      </c>
      <c r="W1" s="26">
        <f>COUNTIF(W3:W447, "APAGADO")</f>
        <v>52</v>
      </c>
      <c r="X1" s="26">
        <f t="shared" si="0"/>
        <v>73</v>
      </c>
      <c r="Y1" s="26">
        <f t="shared" si="0"/>
        <v>52</v>
      </c>
      <c r="Z1" s="26">
        <f t="shared" si="0"/>
        <v>55</v>
      </c>
      <c r="AA1" s="26">
        <f t="shared" si="0"/>
        <v>68</v>
      </c>
      <c r="AB1" s="26">
        <f t="shared" si="0"/>
        <v>32</v>
      </c>
      <c r="AC1" s="26">
        <f t="shared" si="0"/>
        <v>85</v>
      </c>
      <c r="AD1" s="26">
        <f>COUNTIF(AD3:AD366, "APAGADO")</f>
        <v>52</v>
      </c>
      <c r="AE1" s="26">
        <f t="shared" ref="AE1:AG1" si="1">COUNTIF(AE3:AE366, "APAGADO")</f>
        <v>56</v>
      </c>
      <c r="AF1" s="26">
        <f t="shared" si="1"/>
        <v>57</v>
      </c>
      <c r="AG1" s="26">
        <f t="shared" si="1"/>
        <v>76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44621</v>
      </c>
      <c r="G2" s="25">
        <f>ESTADISTICA!G1</f>
        <v>44622</v>
      </c>
      <c r="H2" s="25">
        <f>ESTADISTICA!H1</f>
        <v>44623</v>
      </c>
      <c r="I2" s="25">
        <f>ESTADISTICA!I1</f>
        <v>44624</v>
      </c>
      <c r="J2" s="25">
        <f>ESTADISTICA!J1</f>
        <v>44625</v>
      </c>
      <c r="K2" s="25">
        <f>ESTADISTICA!K1</f>
        <v>44626</v>
      </c>
      <c r="L2" s="25">
        <f>ESTADISTICA!L1</f>
        <v>44627</v>
      </c>
      <c r="M2" s="25">
        <f>ESTADISTICA!M1</f>
        <v>44628</v>
      </c>
      <c r="N2" s="25">
        <f>ESTADISTICA!N1</f>
        <v>44629</v>
      </c>
      <c r="O2" s="25">
        <f>ESTADISTICA!O1</f>
        <v>44630</v>
      </c>
      <c r="P2" s="25">
        <f>ESTADISTICA!P1</f>
        <v>44631</v>
      </c>
      <c r="Q2" s="25">
        <f>ESTADISTICA!Q1</f>
        <v>44632</v>
      </c>
      <c r="R2" s="25">
        <f>ESTADISTICA!R1</f>
        <v>44633</v>
      </c>
      <c r="S2" s="25">
        <f>ESTADISTICA!S1</f>
        <v>44634</v>
      </c>
      <c r="T2" s="25">
        <f>ESTADISTICA!T1</f>
        <v>44635</v>
      </c>
      <c r="U2" s="25">
        <f>ESTADISTICA!U1</f>
        <v>44636</v>
      </c>
      <c r="V2" s="25">
        <f>ESTADISTICA!V1</f>
        <v>44637</v>
      </c>
      <c r="W2" s="25">
        <f>ESTADISTICA!W1</f>
        <v>44638</v>
      </c>
      <c r="X2" s="25">
        <f>ESTADISTICA!X1</f>
        <v>44639</v>
      </c>
      <c r="Y2" s="25">
        <f>ESTADISTICA!Y1</f>
        <v>44640</v>
      </c>
      <c r="Z2" s="25">
        <f>ESTADISTICA!Z1</f>
        <v>44641</v>
      </c>
      <c r="AA2" s="25">
        <f>ESTADISTICA!AA1</f>
        <v>44642</v>
      </c>
      <c r="AB2" s="25">
        <f>ESTADISTICA!AB1</f>
        <v>44643</v>
      </c>
      <c r="AC2" s="25">
        <f>ESTADISTICA!AC1</f>
        <v>44644</v>
      </c>
      <c r="AD2" s="25">
        <f>ESTADISTICA!AD1</f>
        <v>44645</v>
      </c>
      <c r="AE2" s="25">
        <f>ESTADISTICA!AE1</f>
        <v>44646</v>
      </c>
      <c r="AF2" s="25">
        <f>ESTADISTICA!AF1</f>
        <v>44647</v>
      </c>
      <c r="AG2" s="25">
        <f>ESTADISTICA!AG1</f>
        <v>44648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 t="str">
        <f>ESTADISTICA!AB2</f>
        <v>APAGADO</v>
      </c>
      <c r="AC3" t="str">
        <f>ESTADISTICA!AC2</f>
        <v>APAGADO</v>
      </c>
      <c r="AD3" t="str">
        <f>ESTADISTICA!AD2</f>
        <v>APAGADO</v>
      </c>
      <c r="AE3" t="str">
        <f>ESTADISTICA!AE2</f>
        <v>APAGADO</v>
      </c>
      <c r="AF3" t="str">
        <f>ESTADISTICA!AF2</f>
        <v>APAGADO</v>
      </c>
      <c r="AG3" t="str">
        <f>ESTADISTICA!AG2</f>
        <v>APAGADO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 t="str">
        <f>ESTADISTICA!AG7</f>
        <v>APAGADO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 t="str">
        <f>ESTADISTICA!AA10</f>
        <v>APAGADO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 t="str">
        <f>ESTADISTICA!AF11</f>
        <v>APAGADO</v>
      </c>
      <c r="AG12" t="str">
        <f>ESTADISTICA!AG11</f>
        <v>APAGADO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 t="str">
        <f>ESTADISTICA!AC14</f>
        <v>APAGADO</v>
      </c>
      <c r="AD15" t="str">
        <f>ESTADISTICA!AD14</f>
        <v>APAGADO</v>
      </c>
      <c r="AE15" t="str">
        <f>ESTADISTICA!AE14</f>
        <v>APAGADO</v>
      </c>
      <c r="AF15" t="str">
        <f>ESTADISTICA!AF14</f>
        <v>APAGADO</v>
      </c>
      <c r="AG15" t="str">
        <f>ESTADISTICA!AG14</f>
        <v>APAGADO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>
        <f>ESTADISTICA!AB15</f>
        <v>0</v>
      </c>
      <c r="AC16" t="str">
        <f>ESTADISTICA!AC15</f>
        <v>APAGADO</v>
      </c>
      <c r="AD16" t="str">
        <f>ESTADISTICA!AD15</f>
        <v>APAGADO</v>
      </c>
      <c r="AE16" t="str">
        <f>ESTADISTICA!AE15</f>
        <v>APAGADO</v>
      </c>
      <c r="AF16" t="str">
        <f>ESTADISTICA!AF15</f>
        <v>APAGADO</v>
      </c>
      <c r="AG16" t="str">
        <f>ESTADISTICA!AG15</f>
        <v>APAGADO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 t="str">
        <f>ESTADISTICA!AC33</f>
        <v>APAGADO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 t="str">
        <f>ESTADISTICA!X48</f>
        <v>APAGADO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 t="str">
        <f>ESTADISTICA!X49</f>
        <v>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 t="str">
        <f>ESTADISTICA!AE59</f>
        <v>APAGADO</v>
      </c>
      <c r="AF60" t="str">
        <f>ESTADISTICA!AF59</f>
        <v>APAGADO</v>
      </c>
      <c r="AG60" t="str">
        <f>ESTADISTICA!AG59</f>
        <v>APAGADO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 t="str">
        <f>ESTADISTICA!AE60</f>
        <v>APAGADO</v>
      </c>
      <c r="AF61" t="str">
        <f>ESTADISTICA!AF60</f>
        <v>APAGADO</v>
      </c>
      <c r="AG61" t="str">
        <f>ESTADISTICA!AG60</f>
        <v>APAGADO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 t="str">
        <f>ESTADISTICA!AE62</f>
        <v>APAGADO</v>
      </c>
      <c r="AF63" t="str">
        <f>ESTADISTICA!AF62</f>
        <v>APAGADO</v>
      </c>
      <c r="AG63" t="str">
        <f>ESTADISTICA!AG62</f>
        <v>APAGADO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 t="str">
        <f>ESTADISTICA!AE65</f>
        <v>APAGADO</v>
      </c>
      <c r="AF66" t="str">
        <f>ESTADISTICA!AF65</f>
        <v>APAGADO</v>
      </c>
      <c r="AG66" t="str">
        <f>ESTADISTICA!AG65</f>
        <v>APAGADO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 t="str">
        <f>ESTADISTICA!AG77</f>
        <v>APAGADO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 t="str">
        <f>ESTADISTICA!AC79</f>
        <v>APAGADO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 t="str">
        <f>ESTADISTICA!AB89</f>
        <v>APAGADO</v>
      </c>
      <c r="AC90" t="str">
        <f>ESTADISTICA!AC89</f>
        <v>APAGADO</v>
      </c>
      <c r="AD90" t="str">
        <f>ESTADISTICA!AD89</f>
        <v>APAGADO</v>
      </c>
      <c r="AE90" t="str">
        <f>ESTADISTICA!AE89</f>
        <v>APAGADO</v>
      </c>
      <c r="AF90" t="str">
        <f>ESTADISTICA!AF89</f>
        <v>APAGADO</v>
      </c>
      <c r="AG90" t="str">
        <f>ESTADISTICA!AG89</f>
        <v>APAGADO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 t="str">
        <f>ESTADISTICA!AC90</f>
        <v>APAGADO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 t="str">
        <f>ESTADISTICA!AC92</f>
        <v>APAGADO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>
        <f>ESTADISTICA!AB103</f>
        <v>0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 t="str">
        <f>ESTADISTICA!AF103</f>
        <v>APAGADO</v>
      </c>
      <c r="AG104" t="str">
        <f>ESTADISTICA!AG103</f>
        <v>APAGADO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 t="str">
        <f>ESTADISTICA!AA104</f>
        <v>APAGADO</v>
      </c>
      <c r="AB105">
        <f>ESTADISTICA!AB104</f>
        <v>0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 t="str">
        <f>ESTADISTICA!AA105</f>
        <v>APAGADO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 t="str">
        <f>ESTADISTICA!AG105</f>
        <v>APAGADO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 t="str">
        <f>ESTADISTICA!AA106</f>
        <v>APAGADO</v>
      </c>
      <c r="AB107">
        <f>ESTADISTICA!AB106</f>
        <v>0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 t="str">
        <f>ESTADISTICA!AF106</f>
        <v>APAGADO</v>
      </c>
      <c r="AG107" t="str">
        <f>ESTADISTICA!AG106</f>
        <v>APAGADO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 xml:space="preserve"> 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>
        <f>ESTADISTICA!AB119</f>
        <v>0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>
        <f>ESTADISTICA!AB120</f>
        <v>0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 t="str">
        <f>ESTADISTICA!AD133</f>
        <v>APAGADO</v>
      </c>
      <c r="AE134" t="str">
        <f>ESTADISTICA!AE133</f>
        <v>APAGADO</v>
      </c>
      <c r="AF134" t="str">
        <f>ESTADISTICA!AF133</f>
        <v>APAGADO</v>
      </c>
      <c r="AG134" t="str">
        <f>ESTADISTICA!AG133</f>
        <v>APAGADO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 t="str">
        <f>ESTADISTICA!AB150</f>
        <v>APAGADO</v>
      </c>
      <c r="AC151" t="str">
        <f>ESTADISTICA!AC150</f>
        <v>APAGADO</v>
      </c>
      <c r="AD151" t="str">
        <f>ESTADISTICA!AD150</f>
        <v>APAGADO</v>
      </c>
      <c r="AE151">
        <f>ESTADISTICA!AE150</f>
        <v>0</v>
      </c>
      <c r="AF151" t="str">
        <f>ESTADISTICA!AF150</f>
        <v>APAGADO</v>
      </c>
      <c r="AG151" t="str">
        <f>ESTADISTICA!AG150</f>
        <v>APAGADO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 t="str">
        <f>ESTADISTICA!X152</f>
        <v>APAGADO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 t="str">
        <f>ESTADISTICA!AG153</f>
        <v>APAGADO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 t="str">
        <f>ESTADISTICA!AC155</f>
        <v>APAGADO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 t="str">
        <f>ESTADISTICA!AC156</f>
        <v>APAGADO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 t="str">
        <f>ESTADISTICA!AC157</f>
        <v>APAGADO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 t="str">
        <f>ESTADISTICA!AG166</f>
        <v>APAGADO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 t="str">
        <f>ESTADISTICA!AC168</f>
        <v>APAGADO</v>
      </c>
      <c r="AD169" t="str">
        <f>ESTADISTICA!AD168</f>
        <v>APAGADO</v>
      </c>
      <c r="AE169" t="str">
        <f>ESTADISTICA!AE168</f>
        <v>APAGADO</v>
      </c>
      <c r="AF169" t="str">
        <f>ESTADISTICA!AF168</f>
        <v>APAGADO</v>
      </c>
      <c r="AG169" t="str">
        <f>ESTADISTICA!AG168</f>
        <v>APAGADO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 t="str">
        <f>ESTADISTICA!AA170</f>
        <v>APAGADO</v>
      </c>
      <c r="AB171" t="str">
        <f>ESTADISTICA!AB170</f>
        <v>APAGADO</v>
      </c>
      <c r="AC171" t="str">
        <f>ESTADISTICA!AC170</f>
        <v>APAGADO</v>
      </c>
      <c r="AD171" t="str">
        <f>ESTADISTICA!AD170</f>
        <v>APAGADO</v>
      </c>
      <c r="AE171" t="str">
        <f>ESTADISTICA!AE170</f>
        <v>APAGADO</v>
      </c>
      <c r="AF171" t="str">
        <f>ESTADISTICA!AF170</f>
        <v>APAGADO</v>
      </c>
      <c r="AG171" t="str">
        <f>ESTADISTICA!AG170</f>
        <v>APAGADO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 t="str">
        <f>ESTADISTICA!AA171</f>
        <v>APAGADO</v>
      </c>
      <c r="AB172" t="str">
        <f>ESTADISTICA!AB171</f>
        <v>APAGADO</v>
      </c>
      <c r="AC172" t="str">
        <f>ESTADISTICA!AC171</f>
        <v>APAGADO</v>
      </c>
      <c r="AD172" t="str">
        <f>ESTADISTICA!AD171</f>
        <v>APAGADO</v>
      </c>
      <c r="AE172" t="str">
        <f>ESTADISTICA!AE171</f>
        <v>APAGADO</v>
      </c>
      <c r="AF172" t="str">
        <f>ESTADISTICA!AF171</f>
        <v>APAGADO</v>
      </c>
      <c r="AG172" t="str">
        <f>ESTADISTICA!AG171</f>
        <v>APAGADO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 t="str">
        <f>ESTADISTICA!AG177</f>
        <v>APAGADO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 t="str">
        <f>ESTADISTICA!AG189</f>
        <v>APAGADO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 t="str">
        <f>ESTADISTICA!AA190</f>
        <v>APAGADO</v>
      </c>
      <c r="AB191" t="str">
        <f>ESTADISTICA!AB190</f>
        <v>APAGADO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 t="str">
        <f>ESTADISTICA!AG190</f>
        <v>APAGADO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 t="str">
        <f>ESTADISTICA!AG191</f>
        <v>APAGADO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 t="str">
        <f>ESTADISTICA!AG194</f>
        <v>APAGADO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 t="str">
        <f>ESTADISTICA!AA195</f>
        <v>APAGADO</v>
      </c>
      <c r="AB196">
        <f>ESTADISTICA!AB195</f>
        <v>0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 t="str">
        <f>ESTADISTICA!AG195</f>
        <v>APAGADO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 t="str">
        <f>ESTADISTICA!AC197</f>
        <v>APAGADO</v>
      </c>
      <c r="AD198" t="str">
        <f>ESTADISTICA!AD197</f>
        <v>APAGADO</v>
      </c>
      <c r="AE198" t="str">
        <f>ESTADISTICA!AE197</f>
        <v>APAGADO</v>
      </c>
      <c r="AF198" t="str">
        <f>ESTADISTICA!AF197</f>
        <v>APAGADO</v>
      </c>
      <c r="AG198" t="str">
        <f>ESTADISTICA!AG197</f>
        <v>APAGADO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 t="str">
        <f>ESTADISTICA!AC198</f>
        <v>APAGADO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 t="str">
        <f>ESTADISTICA!AC199</f>
        <v>APAGADO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 t="str">
        <f>ESTADISTICA!AG203</f>
        <v>APAGADO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>
        <f>ESTADISTICA!AD205</f>
        <v>0</v>
      </c>
      <c r="AE206" t="str">
        <f>ESTADISTICA!AE205</f>
        <v>APAGADO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>
        <f>ESTADISTICA!AB208</f>
        <v>0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 t="str">
        <f>ESTADISTICA!AG208</f>
        <v>APAGADO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>
        <f>ESTADISTICA!AB209</f>
        <v>0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 t="str">
        <f>ESTADISTICA!AF209</f>
        <v>APAGADO</v>
      </c>
      <c r="AG210" t="str">
        <f>ESTADISTICA!AG209</f>
        <v>APAGADO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 t="str">
        <f>ESTADISTICA!AG211</f>
        <v>APAGADO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 t="str">
        <f>ESTADISTICA!AG212</f>
        <v>APAGADO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 t="str">
        <f>ESTADISTICA!AG213</f>
        <v>APAGADO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 t="str">
        <f>ESTADISTICA!AG214</f>
        <v>APAGADO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 t="str">
        <f>ESTADISTICA!AG215</f>
        <v>APAGADO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 t="str">
        <f>ESTADISTICA!AG216</f>
        <v>APAGADO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 t="str">
        <f>ESTADISTICA!AG217</f>
        <v>APAGADO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 t="str">
        <f>ESTADISTICA!AG218</f>
        <v>APAGADO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 t="str">
        <f>ESTADISTICA!AG219</f>
        <v>APAGADO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 t="str">
        <f>ESTADISTICA!AG220</f>
        <v>APAGADO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 t="str">
        <f>ESTADISTICA!AF221</f>
        <v>APAGADO</v>
      </c>
      <c r="AG222" t="str">
        <f>ESTADISTICA!AG221</f>
        <v>APAGADO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 t="str">
        <f>ESTADISTICA!AC232</f>
        <v>APAGADO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 t="str">
        <f>ESTADISTICA!AC233</f>
        <v>APAGADO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 t="str">
        <f>ESTADISTICA!X247</f>
        <v>APAGADO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 t="str">
        <f>ESTADISTICA!AG255</f>
        <v>APAGADO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 t="str">
        <f>ESTADISTICA!AG256</f>
        <v>APAGADO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 t="str">
        <f>ESTADISTICA!K258</f>
        <v>APAGADO</v>
      </c>
      <c r="L259" t="str">
        <f>ESTADISTICA!L258</f>
        <v>APAGADO</v>
      </c>
      <c r="M259" t="str">
        <f>ESTADISTICA!M258</f>
        <v>APAGADO</v>
      </c>
      <c r="N259" t="str">
        <f>ESTADISTICA!N258</f>
        <v>APAGADO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 t="str">
        <f>ESTADISTICA!U259</f>
        <v>APAGADO</v>
      </c>
      <c r="V260" t="str">
        <f>ESTADISTICA!V259</f>
        <v>APAGADO</v>
      </c>
      <c r="W260" t="str">
        <f>ESTADISTICA!W259</f>
        <v>APAGADO</v>
      </c>
      <c r="X260" t="str">
        <f>ESTADISTICA!X259</f>
        <v>APAGADO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 t="str">
        <f>ESTADISTICA!R270</f>
        <v>APAGADO</v>
      </c>
      <c r="S271" t="str">
        <f>ESTADISTICA!S270</f>
        <v>APAGADO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 t="str">
        <f>ESTADISTICA!F271</f>
        <v>APAGADO</v>
      </c>
      <c r="G272" t="str">
        <f>ESTADISTICA!G271</f>
        <v>APAGADO</v>
      </c>
      <c r="H272" t="str">
        <f>ESTADISTICA!H271</f>
        <v>APAGADO</v>
      </c>
      <c r="I272" t="str">
        <f>ESTADISTICA!I271</f>
        <v>APAGADO</v>
      </c>
      <c r="J272" t="str">
        <f>ESTADISTICA!J271</f>
        <v>APAGADO</v>
      </c>
      <c r="K272" t="str">
        <f>ESTADISTICA!K271</f>
        <v>APAGADO</v>
      </c>
      <c r="L272">
        <f>ESTADISTICA!L271</f>
        <v>0</v>
      </c>
      <c r="M272" t="str">
        <f>ESTADISTICA!M271</f>
        <v>APAGADO</v>
      </c>
      <c r="N272" t="str">
        <f>ESTADISTICA!N271</f>
        <v>APAGADO</v>
      </c>
      <c r="O272" t="str">
        <f>ESTADISTICA!O271</f>
        <v>APAGADO</v>
      </c>
      <c r="P272" t="str">
        <f>ESTADISTICA!P271</f>
        <v>APAGADO</v>
      </c>
      <c r="Q272">
        <f>ESTADISTICA!Q271</f>
        <v>0</v>
      </c>
      <c r="R272" t="str">
        <f>ESTADISTICA!R271</f>
        <v>APAGADO</v>
      </c>
      <c r="S272" t="str">
        <f>ESTADISTICA!S271</f>
        <v>APAGADO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 t="str">
        <f>ESTADISTICA!G275</f>
        <v>APAGADO</v>
      </c>
      <c r="H276" t="str">
        <f>ESTADISTICA!H275</f>
        <v>APAGADO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 t="str">
        <f>ESTADISTICA!X275</f>
        <v>APAGADO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 t="str">
        <f>ESTADISTICA!AE277</f>
        <v>APAGADO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 t="str">
        <f>ESTADISTICA!U278</f>
        <v>APAGADO</v>
      </c>
      <c r="V279" t="str">
        <f>ESTADISTICA!V278</f>
        <v>APAGADO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 t="str">
        <f>ESTADISTICA!AE278</f>
        <v>APAGADO</v>
      </c>
      <c r="AF279" t="str">
        <f>ESTADISTICA!AF278</f>
        <v>APAGADO</v>
      </c>
      <c r="AG279" t="str">
        <f>ESTADISTICA!AG278</f>
        <v>APAGADO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 t="str">
        <f>ESTADISTICA!P279</f>
        <v>APAGADO</v>
      </c>
      <c r="Q280" t="str">
        <f>ESTADISTICA!Q279</f>
        <v>APAGADO</v>
      </c>
      <c r="R280" t="str">
        <f>ESTADISTICA!R279</f>
        <v>APAGADO</v>
      </c>
      <c r="S280" t="str">
        <f>ESTADISTICA!S279</f>
        <v>APAGADO</v>
      </c>
      <c r="T280" t="str">
        <f>ESTADISTICA!T279</f>
        <v>APAGADO</v>
      </c>
      <c r="U280" t="str">
        <f>ESTADISTICA!U279</f>
        <v>APAGADO</v>
      </c>
      <c r="V280" t="str">
        <f>ESTADISTICA!V279</f>
        <v>APAGADO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 t="str">
        <f>ESTADISTICA!AC279</f>
        <v>APAGADO</v>
      </c>
      <c r="AD280" t="str">
        <f>ESTADISTICA!AD279</f>
        <v>APAGADO</v>
      </c>
      <c r="AE280" t="str">
        <f>ESTADISTICA!AE279</f>
        <v>APAGADO</v>
      </c>
      <c r="AF280" t="str">
        <f>ESTADISTICA!AF279</f>
        <v>APAGADO</v>
      </c>
      <c r="AG280" t="str">
        <f>ESTADISTICA!AG279</f>
        <v>APAGADO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 t="str">
        <f>ESTADISTICA!AG283</f>
        <v>APAGADO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 t="str">
        <f>ESTADISTICA!AG284</f>
        <v>APAGADO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 t="str">
        <f>ESTADISTICA!AC285</f>
        <v>APAGADO</v>
      </c>
      <c r="AD286">
        <f>ESTADISTICA!AD285</f>
        <v>0</v>
      </c>
      <c r="AE286">
        <f>ESTADISTICA!AE285</f>
        <v>0</v>
      </c>
      <c r="AF286" t="str">
        <f>ESTADISTICA!AF285</f>
        <v>APAGADO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 t="str">
        <f>ESTADISTICA!AD287</f>
        <v>APAGADO</v>
      </c>
      <c r="AE288">
        <f>ESTADISTICA!AE287</f>
        <v>0</v>
      </c>
      <c r="AF288">
        <f>ESTADISTICA!AF287</f>
        <v>0</v>
      </c>
      <c r="AG288" t="str">
        <f>ESTADISTICA!AG287</f>
        <v>APAGADO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 t="str">
        <f>ESTADISTICA!AC288</f>
        <v>APAGADO</v>
      </c>
      <c r="AD289" t="str">
        <f>ESTADISTICA!AD288</f>
        <v>APAGADO</v>
      </c>
      <c r="AE289">
        <f>ESTADISTICA!AE288</f>
        <v>0</v>
      </c>
      <c r="AF289" t="str">
        <f>ESTADISTICA!AF288</f>
        <v>APAGADO</v>
      </c>
      <c r="AG289" t="str">
        <f>ESTADISTICA!AG288</f>
        <v>APAGADO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 t="str">
        <f>ESTADISTICA!AC290</f>
        <v>APAGADO</v>
      </c>
      <c r="AD291" t="str">
        <f>ESTADISTICA!AD290</f>
        <v>APAGADO</v>
      </c>
      <c r="AE291" t="str">
        <f>ESTADISTICA!AE290</f>
        <v>APAGADO</v>
      </c>
      <c r="AF291" t="str">
        <f>ESTADISTICA!AF290</f>
        <v>APAGADO</v>
      </c>
      <c r="AG291" t="str">
        <f>ESTADISTICA!AG290</f>
        <v>APAGADO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 t="str">
        <f>ESTADISTICA!AC291</f>
        <v>APAGADO</v>
      </c>
      <c r="AD292" t="str">
        <f>ESTADISTICA!AD291</f>
        <v>APAGADO</v>
      </c>
      <c r="AE292" t="str">
        <f>ESTADISTICA!AE291</f>
        <v>APAGADO</v>
      </c>
      <c r="AF292" t="str">
        <f>ESTADISTICA!AF291</f>
        <v>APAGADO</v>
      </c>
      <c r="AG292" t="str">
        <f>ESTADISTICA!AG291</f>
        <v>APAGADO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 t="str">
        <f>ESTADISTICA!AC292</f>
        <v>APAGADO</v>
      </c>
      <c r="AD293" t="str">
        <f>ESTADISTICA!AD292</f>
        <v>APAGADO</v>
      </c>
      <c r="AE293" t="str">
        <f>ESTADISTICA!AE292</f>
        <v>APAGADO</v>
      </c>
      <c r="AF293" t="str">
        <f>ESTADISTICA!AF292</f>
        <v>APAGADO</v>
      </c>
      <c r="AG293" t="str">
        <f>ESTADISTICA!AG292</f>
        <v>APAGADO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 t="str">
        <f>ESTADISTICA!K294</f>
        <v>APAGADO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 t="str">
        <f>ESTADISTICA!AD294</f>
        <v>APAGADO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 t="str">
        <f>ESTADISTICA!Y302</f>
        <v>APAGADO</v>
      </c>
      <c r="Z303" t="str">
        <f>ESTADISTICA!Z302</f>
        <v>APAGADO</v>
      </c>
      <c r="AA303" t="str">
        <f>ESTADISTICA!AA302</f>
        <v>APAGADO</v>
      </c>
      <c r="AB303">
        <f>ESTADISTICA!AB302</f>
        <v>0</v>
      </c>
      <c r="AC303" t="str">
        <f>ESTADISTICA!AC302</f>
        <v>APAGADO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 t="str">
        <f>ESTADISTICA!Z303</f>
        <v>APAGADO</v>
      </c>
      <c r="AA304" t="str">
        <f>ESTADISTICA!AA303</f>
        <v>APAGADO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 t="str">
        <f>ESTADISTICA!W308</f>
        <v>APAGADO</v>
      </c>
      <c r="X309" t="str">
        <f>ESTADISTICA!X308</f>
        <v>APAGADO</v>
      </c>
      <c r="Y309" t="str">
        <f>ESTADISTICA!Y308</f>
        <v>APAGADO</v>
      </c>
      <c r="Z309" t="str">
        <f>ESTADISTICA!Z308</f>
        <v>APAGADO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 t="str">
        <f>ESTADISTICA!W309</f>
        <v>APAGADO</v>
      </c>
      <c r="X310" t="str">
        <f>ESTADISTICA!X309</f>
        <v>APAGADO</v>
      </c>
      <c r="Y310" t="str">
        <f>ESTADISTICA!Y309</f>
        <v>APAGADO</v>
      </c>
      <c r="Z310" t="str">
        <f>ESTADISTICA!Z309</f>
        <v>APAGADO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 t="str">
        <f>ESTADISTICA!W310</f>
        <v>APAGADO</v>
      </c>
      <c r="X311" t="str">
        <f>ESTADISTICA!X310</f>
        <v>APAGADO</v>
      </c>
      <c r="Y311" t="str">
        <f>ESTADISTICA!Y310</f>
        <v>APAGADO</v>
      </c>
      <c r="Z311" t="str">
        <f>ESTADISTICA!Z310</f>
        <v>APAGADO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 t="str">
        <f>ESTADISTICA!AC311</f>
        <v>APAGADO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 t="str">
        <f>ESTADISTICA!F318</f>
        <v>APAGADO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 t="str">
        <f>ESTADISTICA!X320</f>
        <v>APAGADO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>
        <f>ESTADISTICA!AC321</f>
        <v>0</v>
      </c>
      <c r="AD322" t="str">
        <f>ESTADISTICA!AD321</f>
        <v>APAGADO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 t="str">
        <f>ESTADISTICA!K327</f>
        <v>APAGADO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 t="str">
        <f>ESTADISTICA!AC329</f>
        <v>APAGADO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 t="str">
        <f>ESTADISTICA!AC334</f>
        <v>APAGADO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 t="str">
        <f>ESTADISTICA!AG342</f>
        <v>APAGADO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 t="str">
        <f>ESTADISTICA!AG343</f>
        <v>APAGADO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 t="str">
        <f>ESTADISTICA!AG344</f>
        <v>APAGADO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 t="str">
        <f>ESTADISTICA!AG345</f>
        <v>APAGADO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 t="str">
        <f>ESTADISTICA!V346</f>
        <v>APAGADO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 t="str">
        <f>ESTADISTICA!AG346</f>
        <v>APAGADO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>
        <f>ESTADISTICA!J347</f>
        <v>0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 t="str">
        <f>ESTADISTICA!U347</f>
        <v>APAGADO</v>
      </c>
      <c r="V348" t="str">
        <f>ESTADISTICA!V347</f>
        <v>APAGADO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 t="str">
        <f>ESTADISTICA!AE352</f>
        <v>APAGADO</v>
      </c>
      <c r="AF353" t="str">
        <f>ESTADISTICA!AF352</f>
        <v>APAGADO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 t="str">
        <f>ESTADISTICA!AD355</f>
        <v>APAGADO</v>
      </c>
      <c r="AE356" t="str">
        <f>ESTADISTICA!AE355</f>
        <v>APAGADO</v>
      </c>
      <c r="AF356" t="str">
        <f>ESTADISTICA!AF355</f>
        <v>APAGADO</v>
      </c>
      <c r="AG356" t="str">
        <f>ESTADISTICA!AG355</f>
        <v>APAGADO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 t="str">
        <f>ESTADISTICA!AG360</f>
        <v>APAGADO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 t="str">
        <f>ESTADISTICA!AE366</f>
        <v>APAGADO</v>
      </c>
      <c r="AF367" t="str">
        <f>ESTADISTICA!AF366</f>
        <v>APAGADO</v>
      </c>
      <c r="AG367" t="str">
        <f>ESTADISTICA!AG366</f>
        <v>APAGADO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 t="str">
        <f>ESTADISTICA!U367</f>
        <v>APAGADO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 t="str">
        <f>ESTADISTICA!AG368</f>
        <v>APAGADO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 t="str">
        <f>ESTADISTICA!AC369</f>
        <v>APAGADO</v>
      </c>
      <c r="AD370">
        <f>ESTADISTICA!AD369</f>
        <v>0</v>
      </c>
      <c r="AE370">
        <f>ESTADISTICA!AE369</f>
        <v>0</v>
      </c>
      <c r="AF370">
        <f>ESTADISTICA!AF369</f>
        <v>0</v>
      </c>
      <c r="AG370" t="str">
        <f>ESTADISTICA!AG369</f>
        <v>APAGADO</v>
      </c>
    </row>
    <row r="371" spans="1:33" hidden="1" x14ac:dyDescent="0.25">
      <c r="A371">
        <f>ESTADISTICA!A370</f>
        <v>0</v>
      </c>
      <c r="B371">
        <f>ESTADISTICA!B370</f>
        <v>0</v>
      </c>
      <c r="C371">
        <f>ESTADISTICA!C370</f>
        <v>0</v>
      </c>
      <c r="D371">
        <f>ESTADISTICA!D370</f>
        <v>0</v>
      </c>
      <c r="E371">
        <f>ESTADISTICA!E370</f>
        <v>0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>
        <f>ESTADISTICA!A371</f>
        <v>0</v>
      </c>
      <c r="B372">
        <f>ESTADISTICA!B371</f>
        <v>0</v>
      </c>
      <c r="C372">
        <f>ESTADISTICA!C371</f>
        <v>0</v>
      </c>
      <c r="D372">
        <f>ESTADISTICA!D371</f>
        <v>0</v>
      </c>
      <c r="E372">
        <f>ESTADISTICA!E371</f>
        <v>0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>
        <f>ESTADISTICA!A372</f>
        <v>0</v>
      </c>
      <c r="B373">
        <f>ESTADISTICA!B372</f>
        <v>0</v>
      </c>
      <c r="C373">
        <f>ESTADISTICA!C372</f>
        <v>0</v>
      </c>
      <c r="D373">
        <f>ESTADISTICA!D372</f>
        <v>0</v>
      </c>
      <c r="E373">
        <f>ESTADISTICA!E372</f>
        <v>0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>
        <f>ESTADISTICA!A373</f>
        <v>0</v>
      </c>
      <c r="B374">
        <f>ESTADISTICA!B373</f>
        <v>0</v>
      </c>
      <c r="C374">
        <f>ESTADISTICA!C373</f>
        <v>0</v>
      </c>
      <c r="D374">
        <f>ESTADISTICA!D373</f>
        <v>0</v>
      </c>
      <c r="E374">
        <f>ESTADISTICA!E373</f>
        <v>0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AD3" sqref="AD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1323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52</v>
      </c>
      <c r="G2" s="26">
        <f>COUNTIFS(G4:G367, "=APAGADO",E4:E367,"=Fibra Optica")</f>
        <v>69</v>
      </c>
      <c r="H2" s="26">
        <f>COUNTIFS(H4:H367, "=APAGADO",E4:E367,"=Fibra Optica")</f>
        <v>66</v>
      </c>
      <c r="I2" s="26">
        <f>COUNTIFS(I4:I367, "=APAGADO",E4:E367,"=Fibra Optica")</f>
        <v>60</v>
      </c>
      <c r="J2" s="26">
        <f>COUNTIFS(J4:J367, "=APAGADO",E4:E367,"=Fibra Optica")</f>
        <v>56</v>
      </c>
      <c r="K2" s="26">
        <f>COUNTIFS(K4:K367, "=APAGADO",E4:E367,"=Fibra Optica")</f>
        <v>60</v>
      </c>
      <c r="L2" s="26">
        <f>COUNTIFS(L4:L367, "=APAGADO",E4:E367,"=Fibra Optica")</f>
        <v>61</v>
      </c>
      <c r="M2" s="26">
        <f>COUNTIFS(M4:M367, "=APAGADO",E4:E367,"=Fibra Optica")</f>
        <v>56</v>
      </c>
      <c r="N2" s="26">
        <f>COUNTIFS(N4:N367, "=APAGADO",E4:E367,"=Fibra Optica")</f>
        <v>63</v>
      </c>
      <c r="O2" s="26">
        <f>COUNTIFS(O4:O367, "=APAGADO",E4:E367,"=Fibra Optica")</f>
        <v>59</v>
      </c>
      <c r="P2" s="26">
        <f>COUNTIFS(P4:P367, "=APAGADO",E4:E367,"=Fibra Optica")</f>
        <v>42</v>
      </c>
      <c r="Q2" s="26">
        <f>COUNTIFS(Q4:Q367, "=APAGADO",E4:E367,"=Fibra Optica")</f>
        <v>35</v>
      </c>
      <c r="R2" s="26">
        <f>COUNTIFS(R4:R367, "=APAGADO",E4:E367,"=Fibra Optica")</f>
        <v>37</v>
      </c>
      <c r="S2" s="26">
        <f>COUNTIFS(S4:S367, "=APAGADO",E4:E367,"=Fibra Optica")</f>
        <v>46</v>
      </c>
      <c r="T2" s="26">
        <f>COUNTIFS(T4:T367, "=APAGADO",E4:E367,"=Fibra Optica")</f>
        <v>35</v>
      </c>
      <c r="U2" s="26">
        <f>COUNTIFS(U4:U367, "=APAGADO",E4:E367,"=Fibra Optica")</f>
        <v>49</v>
      </c>
      <c r="V2" s="26">
        <f>COUNTIFS(V4:V367, "=APAGADO",E4:E367,"=Fibra Optica")</f>
        <v>28</v>
      </c>
      <c r="W2" s="26">
        <f>COUNTIFS(W4:W367, "=APAGADO",E4:E367,"=Fibra Optica")</f>
        <v>37</v>
      </c>
      <c r="X2" s="26">
        <f>COUNTIFS(X4:X367, "=APAGADO",E4:E367,"=Fibra Optica")</f>
        <v>50</v>
      </c>
      <c r="Y2" s="26">
        <f>COUNTIFS(Y4:Y367, "=APAGADO",E4:E367,"=Fibra Optica")</f>
        <v>36</v>
      </c>
      <c r="Z2" s="26">
        <f>COUNTIFS(Z4:Z367, "=APAGADO",E4:E367,"=Fibra Optica")</f>
        <v>39</v>
      </c>
      <c r="AA2" s="26">
        <f>COUNTIFS(AA4:AA367, "=APAGADO",E4:E367,"=Fibra Optica")</f>
        <v>55</v>
      </c>
      <c r="AB2" s="26">
        <f>COUNTIFS(AB4:AB367, "=APAGADO",E4:E367,"=Fibra Optica")</f>
        <v>28</v>
      </c>
      <c r="AC2" s="26">
        <f>COUNTIFS(AC4:AC367, "=APAGADO",E4:E367,"=Fibra Optica")</f>
        <v>70</v>
      </c>
      <c r="AD2" s="26">
        <f>COUNTIFS(AD4:AD367, "=APAGADO",E4:E367,"=Fibra Optica")</f>
        <v>43</v>
      </c>
      <c r="AE2" s="26">
        <f t="shared" ref="AE2" si="0">COUNTIFS(AE4:AE367, "=APAGADO",AC4:AC367,"=Fibra Optica")</f>
        <v>0</v>
      </c>
      <c r="AF2" s="26">
        <f t="shared" ref="AF2" si="1">COUNTIFS(AF4:AF367, "=APAGADO",AC4:AC367,"=Fibra Optica")</f>
        <v>0</v>
      </c>
      <c r="AG2" s="26">
        <f t="shared" ref="AG2" si="2">COUNTIFS(AG4:AG367, "=APAGADO",AC4:AC367,"=Fibra Optica")</f>
        <v>0</v>
      </c>
      <c r="AH2" s="26">
        <f t="shared" ref="AH2" si="3">COUNTIFS(AH4:AH367, "=APAGADO",AD4:AD367,"=Fibra Optica")</f>
        <v>0</v>
      </c>
      <c r="AI2" s="26">
        <f t="shared" ref="AI2" si="4">COUNTIFS(AI4:AI367, "=APAGADO",AE4:AE367,"=Fibra Optica")</f>
        <v>0</v>
      </c>
      <c r="AJ2" s="26">
        <f t="shared" ref="AJ2" si="5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 t="str">
        <f>ESTADISTICA!AG2</f>
        <v>APAGADO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 t="str">
        <f>ESTADISTICA!AG11</f>
        <v>APAGADO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 t="str">
        <f>ESTADISTICA!AG14</f>
        <v>APAGADO</v>
      </c>
    </row>
    <row r="17" spans="1:33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 t="str">
        <f>ESTADISTICA!AG15</f>
        <v>APAGADO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 t="str">
        <f>ESTADISTICA!AG59</f>
        <v>APAGADO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 t="str">
        <f>ESTADISTICA!AG62</f>
        <v>APAGADO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 t="str">
        <f>ESTADISTICA!AG65</f>
        <v>APAGADO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</row>
    <row r="91" spans="1:33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 t="str">
        <f>ESTADISTICA!AG89</f>
        <v>APAGADO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</row>
    <row r="106" spans="1:33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</row>
    <row r="107" spans="1:33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</row>
    <row r="108" spans="1:33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 t="str">
        <f>ESTADISTICA!AG106</f>
        <v>APAGADO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 t="str">
        <f>ESTADISTICA!AG119</f>
        <v>APAGADO</v>
      </c>
    </row>
    <row r="122" spans="1:33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 t="str">
        <f>ESTADISTICA!AG120</f>
        <v>APAGADO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 t="str">
        <f>ESTADISTICA!AG133</f>
        <v>APAGADO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 t="str">
        <f>ESTADISTICA!AG170</f>
        <v>APAGADO</v>
      </c>
    </row>
    <row r="173" spans="1:33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 t="str">
        <f>ESTADISTICA!AG171</f>
        <v>APAGADO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</row>
    <row r="191" spans="1:33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 t="str">
        <f>ESTADISTICA!AG190</f>
        <v>APAGADO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 t="str">
        <f>ESTADISTICA!AG191</f>
        <v>APAGADO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</row>
    <row r="197" spans="1:33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</row>
    <row r="198" spans="1:33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</row>
    <row r="199" spans="1:33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 t="str">
        <f>ESTADISTICA!AG197</f>
        <v>APAGADO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</row>
    <row r="210" spans="1:33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</row>
    <row r="211" spans="1:33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 t="str">
        <f>ESTADISTICA!AG217</f>
        <v>APAGADO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 t="str">
        <f>ESTADISTICA!AG218</f>
        <v>APAGADO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 t="str">
        <f>ESTADISTICA!AG220</f>
        <v>APAGADO</v>
      </c>
    </row>
    <row r="223" spans="1:33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 t="str">
        <f>ESTADISTICA!AG221</f>
        <v>APAGADO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 t="str">
        <f>ESTADISTICA!AG255</f>
        <v>APAGADO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3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 t="str">
        <f>ESTADISTICA!AG278</f>
        <v>APAGADO</v>
      </c>
    </row>
    <row r="281" spans="1:33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 t="str">
        <f>ESTADISTICA!AG279</f>
        <v>APAGADO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 t="str">
        <f>ESTADISTICA!AG281</f>
        <v>APAGADO</v>
      </c>
    </row>
    <row r="284" spans="1:33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 t="str">
        <f>ESTADISTICA!AG282</f>
        <v>APAGADO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 t="str">
        <f>ESTADISTICA!AG283</f>
        <v>APAGADO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 t="str">
        <f>ESTADISTICA!AG284</f>
        <v>APAGADO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 t="str">
        <f>ESTADISTICA!AG287</f>
        <v>APAGADO</v>
      </c>
    </row>
    <row r="290" spans="1:33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 t="str">
        <f>ESTADISTICA!AG288</f>
        <v>APAGADO</v>
      </c>
    </row>
    <row r="291" spans="1:33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</row>
    <row r="292" spans="1:33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 t="str">
        <f>ESTADISTICA!AG290</f>
        <v>APAGADO</v>
      </c>
    </row>
    <row r="293" spans="1:33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 t="str">
        <f>ESTADISTICA!AG291</f>
        <v>APAGADO</v>
      </c>
    </row>
    <row r="294" spans="1:33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 t="str">
        <f>ESTADISTICA!AG292</f>
        <v>APAGADO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 t="str">
        <f>ESTADISTICA!AG342</f>
        <v>APAGADO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 t="str">
        <f>ESTADISTICA!AG343</f>
        <v>APAGADO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 t="str">
        <f>ESTADISTICA!AG344</f>
        <v>APAGADO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 t="str">
        <f>ESTADISTICA!AG345</f>
        <v>APAGADO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 t="str">
        <f>ESTADISTICA!AG346</f>
        <v>APAGADO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 t="str">
        <f>ESTADISTICA!AG360</f>
        <v>APAGADO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 t="str">
        <f>ESTADISTICA!AG366</f>
        <v>APAGADO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9">
      <filters>
        <filter val="APAGADO"/>
      </filters>
    </filterColumn>
  </autoFilter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1324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2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1</v>
      </c>
      <c r="J2" s="26">
        <f>COUNTIFS(J4:J367, "=APAGADO",E4:E367,"=PTP A FO")</f>
        <v>4</v>
      </c>
      <c r="K2" s="26">
        <f>COUNTIFS(K4:K367, "=APAGADO",E4:E367,"=PTP A FO")</f>
        <v>1</v>
      </c>
      <c r="L2" s="26">
        <f>COUNTIFS(L4:L367, "=APAGADO",E4:E367,"=PTP A FO")</f>
        <v>1</v>
      </c>
      <c r="M2" s="26">
        <f>COUNTIFS(M4:M367, "=APAGADO",E4:E367,"=PTP A FO")</f>
        <v>2</v>
      </c>
      <c r="N2" s="26">
        <f>COUNTIFS(N4:N367, "=APAGADO",E4:E367,"=PTP A FO")</f>
        <v>6</v>
      </c>
      <c r="O2" s="26">
        <f>COUNTIFS(O4:O367,"APAGADO", E4:E367,"=PTP A FO" )</f>
        <v>2</v>
      </c>
      <c r="P2" s="26">
        <f>COUNTIFS(P4:P367, "=APAGADO",E4:E367,"=PTP A FO")</f>
        <v>11</v>
      </c>
      <c r="Q2" s="26">
        <f>COUNTIFS(Q4:Q367, "=APAGADO",E4:E367,"=PTP A FO")</f>
        <v>8</v>
      </c>
      <c r="R2" s="26">
        <f>COUNTIFS(R4:R367, "=APAGADO",E4:E367,"=PTP A FO")</f>
        <v>10</v>
      </c>
      <c r="S2" s="26">
        <f>COUNTIFS(S4:S367, "=APAGADO",E4:E367,"=PTP A FO")</f>
        <v>8</v>
      </c>
      <c r="T2" s="26">
        <f>COUNTIFS(T4:T367, "=APAGADO",E4:E367,"=PTP A FO")</f>
        <v>9</v>
      </c>
      <c r="U2" s="26">
        <f>COUNTIFS(U4:U367, "=APAGADO",E4:E367,"=PTP A FO")</f>
        <v>11</v>
      </c>
      <c r="V2" s="26">
        <f>COUNTIFS(V4:V367, "=APAGADO",E4:E367,"=PTP A FO")</f>
        <v>12</v>
      </c>
      <c r="W2" s="26">
        <f>COUNTIFS(W4:W367, "=APAGADO",E4:E367,"=PTP A FO")</f>
        <v>12</v>
      </c>
      <c r="X2" s="26">
        <f>COUNTIFS(X4:X367, "=APAGADO",E4:E367,"=PTP A FO")</f>
        <v>16</v>
      </c>
      <c r="Y2" s="26">
        <f>COUNTIFS(Y4:Y367, "=APAGADO",E4:E367,"=PTP A FO")</f>
        <v>13</v>
      </c>
      <c r="Z2" s="26">
        <f>COUNTIFS(Z4:Z367, "=APAGADO",E4:E367,"=PTP A FO")</f>
        <v>13</v>
      </c>
      <c r="AA2" s="26">
        <f>COUNTIFS(AA4:AA367, "=APAGADO",E4:E367,"=PTP A FO")</f>
        <v>10</v>
      </c>
      <c r="AB2" s="26">
        <f>COUNTIFS(AB4:AB367, "=APAGADO",E4:E367,"=PTP A FO")</f>
        <v>2</v>
      </c>
      <c r="AC2" s="26">
        <f>COUNTIFS(AC4:AC367, "=APAGADO",E4:E367,"=PTP A FO")</f>
        <v>7</v>
      </c>
      <c r="AD2" s="26">
        <f>COUNTIFS(AD4:AD367, "=APAGADO",E4:E367,"=PTP A FO")</f>
        <v>4</v>
      </c>
      <c r="AE2" s="26">
        <f>COUNTIFS(AE4:AE367, "=APAGADO",E4:E367,"=PTP A FO")</f>
        <v>5</v>
      </c>
      <c r="AF2" s="26">
        <f>COUNTIFS(AF4:AF367, "=APAGADO",E4:E367,"=PTP A FO")</f>
        <v>5</v>
      </c>
      <c r="AG2" s="26">
        <f>COUNTIFS(AG4:AG367, "=APAGADO",E4:E367,"=PTP A FO")</f>
        <v>4</v>
      </c>
      <c r="AH2" s="26">
        <f t="shared" ref="AH2:AJ2" si="0">COUNTIFS(AH4:AH367, "=APAGADO",F4:F367,"=PTP A FO")</f>
        <v>0</v>
      </c>
      <c r="AI2" s="26">
        <f t="shared" si="0"/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 t="str">
        <f>ESTADISTICA!AG2</f>
        <v>APAGADO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 t="str">
        <f>ESTADISTICA!AG11</f>
        <v>APAGADO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 t="str">
        <f>ESTADISTICA!AG14</f>
        <v>APAGADO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 t="str">
        <f>ESTADISTICA!AG15</f>
        <v>APAGADO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 t="str">
        <f>ESTADISTICA!AG59</f>
        <v>APAGADO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 t="str">
        <f>ESTADISTICA!AG62</f>
        <v>APAGADO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 t="str">
        <f>ESTADISTICA!AG65</f>
        <v>APAGADO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 t="str">
        <f>ESTADISTICA!AG89</f>
        <v>APAGADO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 t="str">
        <f>ESTADISTICA!AG106</f>
        <v>APAGADO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 t="str">
        <f>ESTADISTICA!AG119</f>
        <v>APAGADO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 t="str">
        <f>ESTADISTICA!AG120</f>
        <v>APAGADO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 t="str">
        <f>ESTADISTICA!AG133</f>
        <v>APAGADO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 t="str">
        <f>ESTADISTICA!AG170</f>
        <v>APAGADO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 t="str">
        <f>ESTADISTICA!AG171</f>
        <v>APAGADO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 t="str">
        <f>ESTADISTICA!AG190</f>
        <v>APAGADO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 t="str">
        <f>ESTADISTICA!AG191</f>
        <v>APAGADO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 t="str">
        <f>ESTADISTICA!AG197</f>
        <v>APAGADO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</row>
    <row r="206" spans="1:33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 t="str">
        <f>ESTADISTICA!AG217</f>
        <v>APAGADO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 t="str">
        <f>ESTADISTICA!AG218</f>
        <v>APAGADO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 t="str">
        <f>ESTADISTICA!AG220</f>
        <v>APAGADO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 t="str">
        <f>ESTADISTICA!AG221</f>
        <v>APAGADO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 t="str">
        <f>ESTADISTICA!AG255</f>
        <v>APAGADO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3" hidden="1" x14ac:dyDescent="0.25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 t="str">
        <f>ESTADISTICA!AG278</f>
        <v>APAGADO</v>
      </c>
    </row>
    <row r="281" spans="1:33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 t="str">
        <f>ESTADISTICA!AG279</f>
        <v>APAGADO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 t="str">
        <f>ESTADISTICA!AG281</f>
        <v>APAGADO</v>
      </c>
    </row>
    <row r="284" spans="1:33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 t="str">
        <f>ESTADISTICA!AG282</f>
        <v>APAGADO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 t="str">
        <f>ESTADISTICA!AG283</f>
        <v>APAGADO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 t="str">
        <f>ESTADISTICA!AG284</f>
        <v>APAGADO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 t="str">
        <f>ESTADISTICA!AG287</f>
        <v>APAGADO</v>
      </c>
    </row>
    <row r="290" spans="1:33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 t="str">
        <f>ESTADISTICA!AG288</f>
        <v>APAGADO</v>
      </c>
    </row>
    <row r="291" spans="1:33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</row>
    <row r="292" spans="1:33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 t="str">
        <f>ESTADISTICA!AG290</f>
        <v>APAGADO</v>
      </c>
    </row>
    <row r="293" spans="1:33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 t="str">
        <f>ESTADISTICA!AG291</f>
        <v>APAGADO</v>
      </c>
    </row>
    <row r="294" spans="1:33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 t="str">
        <f>ESTADISTICA!AG292</f>
        <v>APAGADO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 t="str">
        <f>ESTADISTICA!AG342</f>
        <v>APAGADO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 t="str">
        <f>ESTADISTICA!AG343</f>
        <v>APAGADO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 t="str">
        <f>ESTADISTICA!AG344</f>
        <v>APAGADO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 t="str">
        <f>ESTADISTICA!AG345</f>
        <v>APAGADO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 t="str">
        <f>ESTADISTICA!AG346</f>
        <v>APAGADO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 t="str">
        <f>ESTADISTICA!AG360</f>
        <v>APAGADO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 t="str">
        <f>ESTADISTICA!AG366</f>
        <v>APAGADO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29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1325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7</v>
      </c>
      <c r="G2" s="26">
        <f>COUNTIFS(G4:G367, "=APAGADO",E4:E367,"=radio")</f>
        <v>6</v>
      </c>
      <c r="H2" s="26">
        <f>COUNTIFS(H4:H367, "=APAGADO",E4:E367,"=radio")</f>
        <v>7</v>
      </c>
      <c r="I2" s="26">
        <f>COUNTIFS(I4:I367, "=APAGADO",E4:E367,"=radio")</f>
        <v>8</v>
      </c>
      <c r="J2" s="26">
        <f>COUNTIFS(J4:J367, "=APAGADO",E4:E367,"=radio")</f>
        <v>8</v>
      </c>
      <c r="K2" s="26">
        <f>COUNTIFS(K4:K367, "=APAGADO",E4:E367,"=radio")</f>
        <v>6</v>
      </c>
      <c r="L2" s="26">
        <f>COUNTIFS(L4:L367, "=APAGADO",E4:E367,"=radio")</f>
        <v>8</v>
      </c>
      <c r="M2" s="26">
        <f>COUNTIFS(M4:M367, "=APAGADO",E4:E367,"=radio")</f>
        <v>8</v>
      </c>
      <c r="N2" s="26">
        <f>COUNTIFS(N4:N367, "=APAGADO",E4:E367,"=radio")</f>
        <v>9</v>
      </c>
      <c r="O2" s="26">
        <f>COUNTIFS(O4:O367, "=APAGADO",E4:E367,"=radio")</f>
        <v>7</v>
      </c>
      <c r="P2" s="26">
        <f>COUNTIFS(P4:P367, "=APAGADO",E4:E367,"=radio")</f>
        <v>5</v>
      </c>
      <c r="Q2" s="26">
        <f>COUNTIFS(Q4:Q367, "=APAGADO",E4:E367,"=radio")</f>
        <v>4</v>
      </c>
      <c r="R2" s="26">
        <f>COUNTIFS(R4:R367, "=APAGADO",E4:E367,"=radio")</f>
        <v>5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4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6</v>
      </c>
      <c r="Y2" s="26">
        <f>COUNTIFS(Y4:Y367, "=APAGADO",E4:E367,"=radio")</f>
        <v>3</v>
      </c>
      <c r="Z2" s="26">
        <f>COUNTIFS(Z4:Z367, "=APAGADO",E4:E367,"=radio")</f>
        <v>3</v>
      </c>
      <c r="AA2" s="26">
        <f>COUNTIFS(AA4:AA367, "=APAGADO",E4:E367,"=radio")</f>
        <v>3</v>
      </c>
      <c r="AB2" s="26">
        <f>COUNTIFS(AB4:AB367, "=APAGADO",E4:E367,"=radio")</f>
        <v>2</v>
      </c>
      <c r="AC2" s="26">
        <f>COUNTIFS(AC4:AC367, "=APAGADO",E4:E367,"=radio")</f>
        <v>7</v>
      </c>
      <c r="AD2" s="26">
        <f>COUNTIFS(AD4:AD367, "=APAGADO",E4:E367,"=radio")</f>
        <v>5</v>
      </c>
      <c r="AE2" s="26">
        <f>COUNTIFS(AE4:AE367, "=APAGADO",E4:E367,"=radio")</f>
        <v>6</v>
      </c>
      <c r="AF2" s="26">
        <f>COUNTIFS(AF4:AF367, "=APAGADO",E4:E367,"=radio")</f>
        <v>5</v>
      </c>
      <c r="AG2" s="26">
        <f>COUNTIFS(AG4:AG367, "=APAGADO",E4:E367,"=radio")</f>
        <v>4</v>
      </c>
      <c r="AH2" s="26">
        <f t="shared" ref="AH2:AJ2" si="0">COUNTIFS(AH4:AH367, "=APAGADO",F4:F367,"=radio")</f>
        <v>0</v>
      </c>
      <c r="AI2" s="26">
        <f t="shared" si="0"/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 t="str">
        <f>ESTADISTICA!AG2</f>
        <v>APAGADO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 t="str">
        <f>ESTADISTICA!AG11</f>
        <v>APAGADO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 t="str">
        <f>ESTADISTICA!AG14</f>
        <v>APAGADO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 t="str">
        <f>ESTADISTICA!AG15</f>
        <v>APAGADO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 t="str">
        <f>ESTADISTICA!AG59</f>
        <v>APAGADO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 t="str">
        <f>ESTADISTICA!AG62</f>
        <v>APAGADO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 t="str">
        <f>ESTADISTICA!AG65</f>
        <v>APAGADO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 t="str">
        <f>ESTADISTICA!AG89</f>
        <v>APAGADO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 t="str">
        <f>ESTADISTICA!AG106</f>
        <v>APAGADO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 t="str">
        <f>ESTADISTICA!AG119</f>
        <v>APAGADO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 t="str">
        <f>ESTADISTICA!AG120</f>
        <v>APAGADO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 t="str">
        <f>ESTADISTICA!AG133</f>
        <v>APAGADO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 t="str">
        <f>ESTADISTICA!AG170</f>
        <v>APAGADO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 t="str">
        <f>ESTADISTICA!AG171</f>
        <v>APAGADO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 t="str">
        <f>ESTADISTICA!AG190</f>
        <v>APAGADO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 t="str">
        <f>ESTADISTICA!AG191</f>
        <v>APAGADO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 t="str">
        <f>ESTADISTICA!AG197</f>
        <v>APAGADO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 t="str">
        <f>ESTADISTICA!AG217</f>
        <v>APAGADO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 t="str">
        <f>ESTADISTICA!AG218</f>
        <v>APAGADO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 t="str">
        <f>ESTADISTICA!AG220</f>
        <v>APAGADO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 t="str">
        <f>ESTADISTICA!AG221</f>
        <v>APAGADO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 t="str">
        <f>ESTADISTICA!AG255</f>
        <v>APAGADO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3" hidden="1" x14ac:dyDescent="0.25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</row>
    <row r="280" spans="1:33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 t="str">
        <f>ESTADISTICA!AG278</f>
        <v>APAGADO</v>
      </c>
    </row>
    <row r="281" spans="1:33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 t="str">
        <f>ESTADISTICA!AG279</f>
        <v>APAGADO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 t="str">
        <f>ESTADISTICA!AG281</f>
        <v>APAGADO</v>
      </c>
    </row>
    <row r="284" spans="1:33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 t="str">
        <f>ESTADISTICA!AG282</f>
        <v>APAGADO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 t="str">
        <f>ESTADISTICA!AG283</f>
        <v>APAGADO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 t="str">
        <f>ESTADISTICA!AG284</f>
        <v>APAGADO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 t="str">
        <f>ESTADISTICA!AG287</f>
        <v>APAGADO</v>
      </c>
    </row>
    <row r="290" spans="1:33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 t="str">
        <f>ESTADISTICA!AG288</f>
        <v>APAGADO</v>
      </c>
    </row>
    <row r="291" spans="1:33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</row>
    <row r="292" spans="1:33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 t="str">
        <f>ESTADISTICA!AG290</f>
        <v>APAGADO</v>
      </c>
    </row>
    <row r="293" spans="1:33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 t="str">
        <f>ESTADISTICA!AG291</f>
        <v>APAGADO</v>
      </c>
    </row>
    <row r="294" spans="1:33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 t="str">
        <f>ESTADISTICA!AG292</f>
        <v>APAGADO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 t="str">
        <f>ESTADISTICA!AG342</f>
        <v>APAGADO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 t="str">
        <f>ESTADISTICA!AG343</f>
        <v>APAGADO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 t="str">
        <f>ESTADISTICA!AG344</f>
        <v>APAGADO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 t="str">
        <f>ESTADISTICA!AG345</f>
        <v>APAGADO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 t="str">
        <f>ESTADISTICA!AG346</f>
        <v>APAGADO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 t="str">
        <f>ESTADISTICA!AG360</f>
        <v>APAGADO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 t="str">
        <f>ESTADISTICA!AG366</f>
        <v>APAGADO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29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opLeftCell="A3" zoomScaleNormal="100" workbookViewId="0">
      <selection activeCell="K32" sqref="K3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7" workbookViewId="0">
      <selection activeCell="D27" sqref="D27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25">
      <c r="A2" s="25">
        <f>'APAGADOS RADIO'!F3</f>
        <v>44621</v>
      </c>
      <c r="B2">
        <f>'APAGADOS RADIO'!F2+D2</f>
        <v>9</v>
      </c>
      <c r="C2">
        <f>'APAGADOS FIBRA'!F2</f>
        <v>52</v>
      </c>
      <c r="D2">
        <f>'APAGADOS ANTENA'!F2</f>
        <v>2</v>
      </c>
      <c r="E2">
        <f>B2+C2</f>
        <v>61</v>
      </c>
      <c r="F2">
        <f>'RESUMEN TOTAL'!C1</f>
        <v>368</v>
      </c>
    </row>
    <row r="3" spans="1:6" x14ac:dyDescent="0.25">
      <c r="A3" s="25">
        <f>'APAGADOS RADIO'!G3</f>
        <v>44622</v>
      </c>
      <c r="B3">
        <f>'APAGADOS RADIO'!G2+D3</f>
        <v>10</v>
      </c>
      <c r="C3" s="30">
        <f>'APAGADOS FIBRA'!G2</f>
        <v>69</v>
      </c>
      <c r="D3">
        <f>'APAGADOS ANTENA'!G2</f>
        <v>4</v>
      </c>
      <c r="E3">
        <f t="shared" ref="E3:E4" si="0">B3+C3</f>
        <v>79</v>
      </c>
      <c r="F3">
        <f>'RESUMEN TOTAL'!C1</f>
        <v>368</v>
      </c>
    </row>
    <row r="4" spans="1:6" x14ac:dyDescent="0.25">
      <c r="A4" s="25">
        <f>'APAGADOS RADIO'!H3</f>
        <v>44623</v>
      </c>
      <c r="B4">
        <f>'APAGADOS RADIO'!H2+D4</f>
        <v>10</v>
      </c>
      <c r="C4">
        <f>'APAGADOS FIBRA'!H2</f>
        <v>66</v>
      </c>
      <c r="D4">
        <f>'APAGADOS ANTENA'!H2</f>
        <v>3</v>
      </c>
      <c r="E4">
        <f t="shared" si="0"/>
        <v>76</v>
      </c>
      <c r="F4">
        <f>'RESUMEN TOTAL'!C1</f>
        <v>368</v>
      </c>
    </row>
    <row r="5" spans="1:6" x14ac:dyDescent="0.25">
      <c r="A5" s="25">
        <f>'APAGADOS RADIO'!I3</f>
        <v>44624</v>
      </c>
      <c r="B5">
        <f>'APAGADOS RADIO'!I2+D5</f>
        <v>9</v>
      </c>
      <c r="C5" s="30">
        <f>'APAGADOS FIBRA'!I2</f>
        <v>60</v>
      </c>
      <c r="D5">
        <f>'APAGADOS ANTENA'!I2</f>
        <v>1</v>
      </c>
      <c r="E5">
        <f t="shared" ref="E5:E9" si="1">B5+C5</f>
        <v>69</v>
      </c>
      <c r="F5">
        <f>'RESUMEN TOTAL'!C1</f>
        <v>368</v>
      </c>
    </row>
    <row r="6" spans="1:6" x14ac:dyDescent="0.25">
      <c r="A6" s="25">
        <f>'APAGADOS RADIO'!J3</f>
        <v>44625</v>
      </c>
      <c r="B6">
        <f>'APAGADOS RADIO'!J2+D6</f>
        <v>8</v>
      </c>
      <c r="C6">
        <f>'APAGADOS FIBRA'!J2</f>
        <v>56</v>
      </c>
      <c r="D6">
        <f>'APAGADOS ANTENA'!F52</f>
        <v>0</v>
      </c>
      <c r="E6">
        <f t="shared" si="1"/>
        <v>64</v>
      </c>
      <c r="F6">
        <f>'RESUMEN TOTAL'!C1</f>
        <v>368</v>
      </c>
    </row>
    <row r="7" spans="1:6" x14ac:dyDescent="0.25">
      <c r="A7" s="25">
        <f>'APAGADOS RADIO'!K3</f>
        <v>44626</v>
      </c>
      <c r="B7">
        <f>'APAGADOS RADIO'!K2+D7</f>
        <v>7</v>
      </c>
      <c r="C7" s="30">
        <f>'APAGADOS FIBRA'!K2</f>
        <v>60</v>
      </c>
      <c r="D7">
        <f>'APAGADOS ANTENA'!K2</f>
        <v>1</v>
      </c>
      <c r="E7">
        <f t="shared" si="1"/>
        <v>67</v>
      </c>
      <c r="F7">
        <f>'RESUMEN TOTAL'!C1</f>
        <v>368</v>
      </c>
    </row>
    <row r="8" spans="1:6" x14ac:dyDescent="0.25">
      <c r="A8" s="25">
        <f>'APAGADOS RADIO'!L3</f>
        <v>44627</v>
      </c>
      <c r="B8">
        <f>'APAGADOS RADIO'!L2+D8</f>
        <v>9</v>
      </c>
      <c r="C8">
        <f>'APAGADOS FIBRA'!L2</f>
        <v>61</v>
      </c>
      <c r="D8">
        <f>'APAGADOS ANTENA'!L2</f>
        <v>1</v>
      </c>
      <c r="E8">
        <f t="shared" si="1"/>
        <v>70</v>
      </c>
      <c r="F8">
        <f>'RESUMEN TOTAL'!C1</f>
        <v>368</v>
      </c>
    </row>
    <row r="9" spans="1:6" x14ac:dyDescent="0.25">
      <c r="A9" s="25">
        <f>'APAGADOS RADIO'!M3</f>
        <v>44628</v>
      </c>
      <c r="B9">
        <f>'APAGADOS RADIO'!M2+D9</f>
        <v>10</v>
      </c>
      <c r="C9" s="30">
        <f>'APAGADOS FIBRA'!M2</f>
        <v>56</v>
      </c>
      <c r="D9">
        <f>'APAGADOS ANTENA'!M2</f>
        <v>2</v>
      </c>
      <c r="E9">
        <f t="shared" si="1"/>
        <v>66</v>
      </c>
      <c r="F9">
        <f>'RESUMEN TOTAL'!C1</f>
        <v>368</v>
      </c>
    </row>
    <row r="10" spans="1:6" x14ac:dyDescent="0.25">
      <c r="A10" s="25">
        <f>'APAGADOS RADIO'!N3</f>
        <v>44629</v>
      </c>
      <c r="B10">
        <f>'APAGADOS RADIO'!N2+D10</f>
        <v>15</v>
      </c>
      <c r="C10" s="30">
        <f>'APAGADOS FIBRA'!N2</f>
        <v>63</v>
      </c>
      <c r="D10">
        <f>'APAGADOS ANTENA'!N2</f>
        <v>6</v>
      </c>
      <c r="E10">
        <f t="shared" ref="E10" si="2">B10+C10</f>
        <v>78</v>
      </c>
      <c r="F10">
        <f>'RESUMEN TOTAL'!C1</f>
        <v>368</v>
      </c>
    </row>
    <row r="11" spans="1:6" x14ac:dyDescent="0.25">
      <c r="A11" s="25">
        <f>'APAGADOS RADIO'!O3</f>
        <v>44630</v>
      </c>
      <c r="B11">
        <f>'APAGADOS RADIO'!O2+D11</f>
        <v>9</v>
      </c>
      <c r="C11" s="30">
        <f>'APAGADOS FIBRA'!O2</f>
        <v>59</v>
      </c>
      <c r="D11">
        <f>'APAGADOS ANTENA'!O2</f>
        <v>2</v>
      </c>
      <c r="E11">
        <f t="shared" ref="E11" si="3">B11+C11</f>
        <v>68</v>
      </c>
      <c r="F11">
        <f>'RESUMEN TOTAL'!C1</f>
        <v>368</v>
      </c>
    </row>
    <row r="12" spans="1:6" x14ac:dyDescent="0.25">
      <c r="A12" s="25">
        <f>'APAGADOS RADIO'!P3</f>
        <v>44631</v>
      </c>
      <c r="B12">
        <f>'APAGADOS RADIO'!P2+D12</f>
        <v>16</v>
      </c>
      <c r="C12" s="30">
        <f>'APAGADOS FIBRA'!P2</f>
        <v>42</v>
      </c>
      <c r="D12">
        <f>'APAGADOS ANTENA'!P2</f>
        <v>11</v>
      </c>
      <c r="E12">
        <f t="shared" ref="E12:E15" si="4">B12+C12</f>
        <v>58</v>
      </c>
      <c r="F12">
        <f>'RESUMEN TOTAL'!C1</f>
        <v>368</v>
      </c>
    </row>
    <row r="13" spans="1:6" x14ac:dyDescent="0.25">
      <c r="A13" s="25">
        <f>'APAGADOS RADIO'!Q3</f>
        <v>44632</v>
      </c>
      <c r="B13">
        <f>'APAGADOS RADIO'!Q2+D13</f>
        <v>12</v>
      </c>
      <c r="C13" s="30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25">
      <c r="A14" s="25">
        <f>'APAGADOS RADIO'!R3</f>
        <v>44633</v>
      </c>
      <c r="B14">
        <f>'APAGADOS RADIO'!R2+D14</f>
        <v>15</v>
      </c>
      <c r="C14" s="30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25">
      <c r="A15" s="25">
        <f>'APAGADOS RADIO'!S3</f>
        <v>44634</v>
      </c>
      <c r="B15">
        <f>'APAGADOS RADIO'!S2+D15</f>
        <v>12</v>
      </c>
      <c r="C15" s="30">
        <f>'APAGADOS FIBRA'!S2</f>
        <v>46</v>
      </c>
      <c r="D15">
        <f>'APAGADOS ANTENA'!S2</f>
        <v>8</v>
      </c>
      <c r="E15">
        <f t="shared" si="4"/>
        <v>58</v>
      </c>
      <c r="F15">
        <f>'RESUMEN TOTAL'!C1</f>
        <v>368</v>
      </c>
    </row>
    <row r="16" spans="1:6" x14ac:dyDescent="0.25">
      <c r="A16" s="25">
        <f>'APAGADOS RADIO'!T3</f>
        <v>44635</v>
      </c>
      <c r="B16">
        <f>'APAGADOS RADIO'!T2+D16</f>
        <v>13</v>
      </c>
      <c r="C16" s="30">
        <f>'APAGADOS FIBRA'!T2</f>
        <v>35</v>
      </c>
      <c r="D16">
        <f>'APAGADOS ANTENA'!T2</f>
        <v>9</v>
      </c>
      <c r="E16">
        <f t="shared" ref="E16" si="5">B16+C16</f>
        <v>48</v>
      </c>
      <c r="F16">
        <f>'RESUMEN TOTAL'!C1</f>
        <v>368</v>
      </c>
    </row>
    <row r="17" spans="1:6" x14ac:dyDescent="0.25">
      <c r="A17" s="25">
        <f>'APAGADOS RADIO'!U3</f>
        <v>44636</v>
      </c>
      <c r="B17">
        <f>'APAGADOS RADIO'!U2+D17</f>
        <v>15</v>
      </c>
      <c r="C17" s="30">
        <f>'APAGADOS FIBRA'!U2</f>
        <v>49</v>
      </c>
      <c r="D17">
        <f>'APAGADOS ANTENA'!U2</f>
        <v>11</v>
      </c>
      <c r="E17">
        <f t="shared" ref="E17:E18" si="6">B17+C17</f>
        <v>64</v>
      </c>
      <c r="F17">
        <f>'RESUMEN TOTAL'!C1</f>
        <v>368</v>
      </c>
    </row>
    <row r="18" spans="1:6" x14ac:dyDescent="0.25">
      <c r="A18" s="25">
        <f>'APAGADOS RADIO'!V3</f>
        <v>44637</v>
      </c>
      <c r="B18">
        <f>'APAGADOS RADIO'!V2+D18</f>
        <v>15</v>
      </c>
      <c r="C18" s="30">
        <f>'APAGADOS FIBRA'!V2</f>
        <v>28</v>
      </c>
      <c r="D18">
        <f>'APAGADOS ANTENA'!V2</f>
        <v>12</v>
      </c>
      <c r="E18">
        <f t="shared" si="6"/>
        <v>43</v>
      </c>
      <c r="F18">
        <f>'RESUMEN TOTAL'!C1</f>
        <v>368</v>
      </c>
    </row>
    <row r="19" spans="1:6" x14ac:dyDescent="0.25">
      <c r="A19" s="25">
        <f>'APAGADOS RADIO'!W3</f>
        <v>44638</v>
      </c>
      <c r="B19">
        <f>'APAGADOS RADIO'!W2+D19</f>
        <v>15</v>
      </c>
      <c r="C19" s="30">
        <f>'APAGADOS FIBRA'!W2</f>
        <v>37</v>
      </c>
      <c r="D19">
        <f>'APAGADOS ANTENA'!W2</f>
        <v>12</v>
      </c>
      <c r="E19">
        <f t="shared" ref="E19" si="7">B19+C19</f>
        <v>52</v>
      </c>
      <c r="F19">
        <f>'RESUMEN TOTAL'!C1</f>
        <v>368</v>
      </c>
    </row>
    <row r="20" spans="1:6" x14ac:dyDescent="0.25">
      <c r="A20" s="25">
        <f>'APAGADOS RADIO'!X3</f>
        <v>44639</v>
      </c>
      <c r="B20">
        <f>'APAGADOS RADIO'!X2+D20</f>
        <v>22</v>
      </c>
      <c r="C20" s="30">
        <f>'APAGADOS FIBRA'!X2</f>
        <v>50</v>
      </c>
      <c r="D20">
        <f>'APAGADOS ANTENA'!X2</f>
        <v>16</v>
      </c>
      <c r="E20">
        <f t="shared" ref="E20:E22" si="8">B20+C20</f>
        <v>72</v>
      </c>
      <c r="F20">
        <f>'RESUMEN TOTAL'!C1</f>
        <v>368</v>
      </c>
    </row>
    <row r="21" spans="1:6" x14ac:dyDescent="0.25">
      <c r="A21" s="25">
        <f>'APAGADOS RADIO'!Y3</f>
        <v>44640</v>
      </c>
      <c r="B21">
        <f>'APAGADOS RADIO'!Y2+D21</f>
        <v>16</v>
      </c>
      <c r="C21" s="30">
        <f>'APAGADOS FIBRA'!Y2</f>
        <v>36</v>
      </c>
      <c r="D21">
        <f>'APAGADOS ANTENA'!Y2</f>
        <v>13</v>
      </c>
      <c r="E21">
        <f t="shared" si="8"/>
        <v>52</v>
      </c>
      <c r="F21">
        <f>'RESUMEN TOTAL'!C1</f>
        <v>368</v>
      </c>
    </row>
    <row r="22" spans="1:6" x14ac:dyDescent="0.25">
      <c r="A22" s="25">
        <f>'APAGADOS RADIO'!Z3</f>
        <v>44641</v>
      </c>
      <c r="B22">
        <f>'APAGADOS RADIO'!Z2+D22</f>
        <v>16</v>
      </c>
      <c r="C22" s="30">
        <f>'APAGADOS FIBRA'!Z2</f>
        <v>39</v>
      </c>
      <c r="D22">
        <f>'APAGADOS ANTENA'!Z2</f>
        <v>13</v>
      </c>
      <c r="E22">
        <f t="shared" si="8"/>
        <v>55</v>
      </c>
      <c r="F22">
        <f>'RESUMEN TOTAL'!C1</f>
        <v>368</v>
      </c>
    </row>
    <row r="23" spans="1:6" x14ac:dyDescent="0.25">
      <c r="A23" s="25">
        <f>'APAGADOS RADIO'!AA3</f>
        <v>44642</v>
      </c>
      <c r="B23">
        <f>'APAGADOS RADIO'!AA2+D23</f>
        <v>13</v>
      </c>
      <c r="C23" s="30">
        <f>'APAGADOS FIBRA'!AA2</f>
        <v>55</v>
      </c>
      <c r="D23">
        <f>'APAGADOS ANTENA'!AA2</f>
        <v>10</v>
      </c>
      <c r="E23">
        <f t="shared" ref="E23" si="9">B23+C23</f>
        <v>68</v>
      </c>
      <c r="F23">
        <f>'RESUMEN TOTAL'!C1</f>
        <v>368</v>
      </c>
    </row>
    <row r="24" spans="1:6" x14ac:dyDescent="0.25">
      <c r="A24" s="25">
        <f>'APAGADOS RADIO'!AB3</f>
        <v>44643</v>
      </c>
      <c r="B24">
        <f>'APAGADOS RADIO'!AB2+D24</f>
        <v>4</v>
      </c>
      <c r="C24" s="30">
        <f>'APAGADOS FIBRA'!AB2</f>
        <v>28</v>
      </c>
      <c r="D24">
        <f>'APAGADOS ANTENA'!AB2</f>
        <v>2</v>
      </c>
      <c r="E24">
        <f t="shared" ref="E24" si="10">B24+C24</f>
        <v>32</v>
      </c>
      <c r="F24">
        <f>'RESUMEN TOTAL'!C1</f>
        <v>368</v>
      </c>
    </row>
    <row r="25" spans="1:6" x14ac:dyDescent="0.25">
      <c r="A25" s="25">
        <f>'APAGADOS RADIO'!AC3</f>
        <v>44644</v>
      </c>
      <c r="B25">
        <f>'APAGADOS RADIO'!AC2+D25</f>
        <v>14</v>
      </c>
      <c r="C25" s="30">
        <f>'APAGADOS FIBRA'!AC2</f>
        <v>70</v>
      </c>
      <c r="D25">
        <f>'APAGADOS ANTENA'!AC2</f>
        <v>7</v>
      </c>
      <c r="E25">
        <f t="shared" ref="E25" si="11">B25+C25</f>
        <v>84</v>
      </c>
      <c r="F25">
        <f>'RESUMEN TOTAL'!C1</f>
        <v>368</v>
      </c>
    </row>
    <row r="26" spans="1:6" x14ac:dyDescent="0.25">
      <c r="A26" s="25">
        <f>'APAGADOS RADIO'!AD3</f>
        <v>44645</v>
      </c>
      <c r="B26">
        <f>'APAGADOS RADIO'!AD2+D26</f>
        <v>9</v>
      </c>
      <c r="C26" s="30">
        <f>'APAGADOS FIBRA'!AD2</f>
        <v>43</v>
      </c>
      <c r="D26">
        <f>'APAGADOS ANTENA'!AD2</f>
        <v>4</v>
      </c>
      <c r="E26">
        <f t="shared" ref="E26" si="12">B26+C26</f>
        <v>52</v>
      </c>
      <c r="F26">
        <f>'RESUMEN TOTAL'!C1</f>
        <v>368</v>
      </c>
    </row>
    <row r="27" spans="1:6" x14ac:dyDescent="0.25">
      <c r="A27" s="25">
        <f>'APAGADOS RADIO'!AE3</f>
        <v>44646</v>
      </c>
      <c r="F27">
        <f>'RESUMEN TOTAL'!C1</f>
        <v>368</v>
      </c>
    </row>
    <row r="28" spans="1:6" x14ac:dyDescent="0.25">
      <c r="A28" s="25">
        <f>'APAGADOS RADIO'!AF3</f>
        <v>44647</v>
      </c>
      <c r="F28">
        <f>'RESUMEN TOTAL'!C1</f>
        <v>368</v>
      </c>
    </row>
    <row r="29" spans="1:6" x14ac:dyDescent="0.25">
      <c r="A29" s="25">
        <f>'APAGADOS RADIO'!AG3</f>
        <v>44648</v>
      </c>
      <c r="F29">
        <f>'RESUMEN TOTAL'!C1</f>
        <v>368</v>
      </c>
    </row>
    <row r="30" spans="1:6" x14ac:dyDescent="0.25">
      <c r="A30" s="25">
        <f>'APAGADOS RADIO'!AH3</f>
        <v>44649</v>
      </c>
      <c r="F30">
        <f>'RESUMEN TOTAL'!C1</f>
        <v>368</v>
      </c>
    </row>
    <row r="31" spans="1:6" x14ac:dyDescent="0.25">
      <c r="A31" s="25">
        <f>'APAGADOS RADIO'!AI3</f>
        <v>44650</v>
      </c>
      <c r="F31">
        <f>'RESUMEN TOTAL'!C1</f>
        <v>368</v>
      </c>
    </row>
    <row r="32" spans="1:6" x14ac:dyDescent="0.25">
      <c r="A32" s="25">
        <f>'APAGADOS RADIO'!AJ3</f>
        <v>44651</v>
      </c>
      <c r="F32">
        <f>'RESUMEN TOTAL'!C1</f>
        <v>368</v>
      </c>
    </row>
    <row r="34" spans="1:30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/>
    <row r="36" spans="1:30" s="30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2022-03-28T12:47:56Z</dcterms:modified>
</cp:coreProperties>
</file>