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53604085-92B3-4F38-8BC9-FEFF59DBB4F8}" xr6:coauthVersionLast="47" xr6:coauthVersionMax="47" xr10:uidLastSave="{00000000-0000-0000-0000-000000000000}"/>
  <bookViews>
    <workbookView xWindow="28680" yWindow="-120" windowWidth="29040" windowHeight="16440" activeTab="9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4" l="1"/>
  <c r="F13" i="14"/>
  <c r="F12" i="14"/>
  <c r="D14" i="14"/>
  <c r="B14" i="14" s="1"/>
  <c r="D13" i="14"/>
  <c r="D12" i="14"/>
  <c r="B12" i="14" s="1"/>
  <c r="C14" i="14"/>
  <c r="C13" i="14"/>
  <c r="C12" i="14"/>
  <c r="B13" i="14"/>
  <c r="D23" i="24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13" i="14" l="1"/>
  <c r="G13" i="14" s="1"/>
  <c r="E14" i="14"/>
  <c r="G14" i="14" s="1"/>
  <c r="E12" i="14"/>
  <c r="G12" i="14" s="1"/>
  <c r="D24" i="24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<sst xmlns="http://schemas.openxmlformats.org/spreadsheetml/2006/main" count="3643" uniqueCount="1366">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</sst>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AA353" activePane="bottomRight" state="frozen"/>
      <selection pane="topRight" activeCell="M1" sqref="M1"/>
      <selection pane="bottomLeft" activeCell="A5" sqref="A5"/>
      <selection pane="bottomRight" activeCell="AA364" sqref="AA36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17</v>
      </c>
      <c r="M7" s="17">
        <f t="shared" si="6"/>
        <v>13</v>
      </c>
      <c r="N7" s="18">
        <f t="shared" si="7"/>
        <v>0.56666666666666665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28</v>
      </c>
      <c r="M13" s="17">
        <f t="shared" si="6"/>
        <v>2</v>
      </c>
      <c r="N13" s="18">
        <f t="shared" si="7"/>
        <v>0.93333333333333335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25</v>
      </c>
      <c r="M70" s="17">
        <f t="shared" si="9"/>
        <v>5</v>
      </c>
      <c r="N70" s="18">
        <f t="shared" si="10"/>
        <v>0.83333333333333337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18</v>
      </c>
      <c r="M80" s="17">
        <f t="shared" si="9"/>
        <v>12</v>
      </c>
      <c r="N80" s="18">
        <f t="shared" si="10"/>
        <v>0.6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18</v>
      </c>
      <c r="M83" s="17">
        <f t="shared" si="9"/>
        <v>12</v>
      </c>
      <c r="N83" s="18">
        <f t="shared" si="10"/>
        <v>0.6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23</v>
      </c>
      <c r="M89" s="17">
        <f t="shared" si="9"/>
        <v>7</v>
      </c>
      <c r="N89" s="18">
        <f t="shared" si="10"/>
        <v>0.76666666666666672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21</v>
      </c>
      <c r="M90" s="17">
        <f t="shared" si="9"/>
        <v>9</v>
      </c>
      <c r="N90" s="18">
        <f t="shared" si="10"/>
        <v>0.7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17</v>
      </c>
      <c r="M115" s="17">
        <f t="shared" si="9"/>
        <v>13</v>
      </c>
      <c r="N115" s="18">
        <f t="shared" si="10"/>
        <v>0.56666666666666665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17</v>
      </c>
      <c r="M120" s="17">
        <f t="shared" si="9"/>
        <v>13</v>
      </c>
      <c r="N120" s="18">
        <f t="shared" si="10"/>
        <v>0.56666666666666665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17</v>
      </c>
      <c r="M121" s="17">
        <f t="shared" si="9"/>
        <v>13</v>
      </c>
      <c r="N121" s="18">
        <f t="shared" si="10"/>
        <v>0.56666666666666665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18</v>
      </c>
      <c r="M133" s="17">
        <f t="shared" ref="M133:M196" si="12">COUNTIF(O133:AP133,"APAGADO")</f>
        <v>12</v>
      </c>
      <c r="N133" s="18">
        <f t="shared" ref="N133:N196" si="13">(L133)/(M133+L133)</f>
        <v>0.6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22</v>
      </c>
      <c r="M156" s="17">
        <f t="shared" si="12"/>
        <v>8</v>
      </c>
      <c r="N156" s="18">
        <f t="shared" si="13"/>
        <v>0.73333333333333328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17</v>
      </c>
      <c r="M166" s="17">
        <f t="shared" si="12"/>
        <v>13</v>
      </c>
      <c r="N166" s="18">
        <f t="shared" si="13"/>
        <v>0.56666666666666665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17</v>
      </c>
      <c r="M177" s="17">
        <f t="shared" si="12"/>
        <v>13</v>
      </c>
      <c r="N177" s="18">
        <f t="shared" si="13"/>
        <v>0.56666666666666665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17</v>
      </c>
      <c r="M185" s="17">
        <f t="shared" si="12"/>
        <v>13</v>
      </c>
      <c r="N185" s="18">
        <f t="shared" si="13"/>
        <v>0.56666666666666665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26</v>
      </c>
      <c r="M191" s="17">
        <f t="shared" si="12"/>
        <v>4</v>
      </c>
      <c r="N191" s="18">
        <f t="shared" si="13"/>
        <v>0.8666666666666667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26</v>
      </c>
      <c r="M192" s="17">
        <f t="shared" si="12"/>
        <v>4</v>
      </c>
      <c r="N192" s="18">
        <f t="shared" si="13"/>
        <v>0.8666666666666667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19</v>
      </c>
      <c r="M194" s="17">
        <f t="shared" si="12"/>
        <v>11</v>
      </c>
      <c r="N194" s="18">
        <f t="shared" si="13"/>
        <v>0.6333333333333333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17</v>
      </c>
      <c r="M206" s="17">
        <f t="shared" si="15"/>
        <v>13</v>
      </c>
      <c r="N206" s="18">
        <f t="shared" si="16"/>
        <v>0.56666666666666665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17</v>
      </c>
      <c r="M207" s="17">
        <f t="shared" si="15"/>
        <v>13</v>
      </c>
      <c r="N207" s="18">
        <f t="shared" si="16"/>
        <v>0.56666666666666665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18</v>
      </c>
      <c r="M209" s="17">
        <f t="shared" si="15"/>
        <v>12</v>
      </c>
      <c r="N209" s="18">
        <f t="shared" si="16"/>
        <v>0.6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18</v>
      </c>
      <c r="M210" s="17">
        <f t="shared" si="15"/>
        <v>12</v>
      </c>
      <c r="N210" s="18">
        <f t="shared" si="16"/>
        <v>0.6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17</v>
      </c>
      <c r="M211" s="17">
        <f t="shared" si="15"/>
        <v>13</v>
      </c>
      <c r="N211" s="18">
        <f t="shared" si="16"/>
        <v>0.56666666666666665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17</v>
      </c>
      <c r="M212" s="17">
        <f t="shared" si="15"/>
        <v>13</v>
      </c>
      <c r="N212" s="18">
        <f t="shared" si="16"/>
        <v>0.56666666666666665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22</v>
      </c>
      <c r="M230" s="17">
        <f t="shared" si="15"/>
        <v>8</v>
      </c>
      <c r="N230" s="18">
        <f t="shared" si="16"/>
        <v>0.73333333333333328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17</v>
      </c>
      <c r="M231" s="17">
        <f t="shared" si="15"/>
        <v>13</v>
      </c>
      <c r="N231" s="18">
        <f t="shared" si="16"/>
        <v>0.56666666666666665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17</v>
      </c>
      <c r="M232" s="17">
        <f t="shared" si="15"/>
        <v>13</v>
      </c>
      <c r="N232" s="18">
        <f t="shared" si="16"/>
        <v>0.56666666666666665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28</v>
      </c>
      <c r="M299" s="17">
        <f t="shared" si="19"/>
        <v>2</v>
      </c>
      <c r="N299" s="18">
        <f t="shared" si="20"/>
        <v>0.93333333333333335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24</v>
      </c>
      <c r="M300" s="17">
        <f t="shared" si="19"/>
        <v>6</v>
      </c>
      <c r="N300" s="18">
        <f t="shared" si="20"/>
        <v>0.8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27</v>
      </c>
      <c r="M301" s="17">
        <f t="shared" si="19"/>
        <v>3</v>
      </c>
      <c r="N301" s="18">
        <f t="shared" si="20"/>
        <v>0.9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27</v>
      </c>
      <c r="M302" s="17">
        <f t="shared" si="19"/>
        <v>3</v>
      </c>
      <c r="N302" s="18">
        <f t="shared" si="20"/>
        <v>0.9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24</v>
      </c>
      <c r="M303" s="17">
        <f t="shared" si="19"/>
        <v>6</v>
      </c>
      <c r="N303" s="18">
        <f t="shared" si="20"/>
        <v>0.8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23</v>
      </c>
      <c r="M322" s="17">
        <f t="shared" si="19"/>
        <v>7</v>
      </c>
      <c r="N322" s="18">
        <f t="shared" si="20"/>
        <v>0.76666666666666672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24</v>
      </c>
      <c r="M330" s="17">
        <f t="shared" si="22"/>
        <v>6</v>
      </c>
      <c r="N330" s="18">
        <f t="shared" si="23"/>
        <v>0.8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24</v>
      </c>
      <c r="M331" s="17">
        <f t="shared" si="22"/>
        <v>6</v>
      </c>
      <c r="N331" s="18">
        <f t="shared" si="23"/>
        <v>0.8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27</v>
      </c>
      <c r="M335" s="17">
        <f t="shared" si="22"/>
        <v>3</v>
      </c>
      <c r="N335" s="18">
        <f t="shared" si="23"/>
        <v>0.9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27</v>
      </c>
      <c r="M336" s="17">
        <f t="shared" si="22"/>
        <v>3</v>
      </c>
      <c r="N336" s="18">
        <f t="shared" si="23"/>
        <v>0.9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17</v>
      </c>
      <c r="M352" s="17">
        <f t="shared" si="22"/>
        <v>13</v>
      </c>
      <c r="N352" s="18">
        <f t="shared" si="23"/>
        <v>0.56666666666666665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17</v>
      </c>
      <c r="M359" s="17">
        <f t="shared" si="22"/>
        <v>13</v>
      </c>
      <c r="N359" s="18">
        <f t="shared" si="23"/>
        <v>0.56666666666666665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17</v>
      </c>
      <c r="M360" s="17">
        <f t="shared" si="22"/>
        <v>13</v>
      </c>
      <c r="N360" s="18">
        <f t="shared" si="23"/>
        <v>0.56666666666666665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17</v>
      </c>
      <c r="M361" s="17">
        <f t="shared" si="22"/>
        <v>13</v>
      </c>
      <c r="N361" s="18">
        <f t="shared" si="23"/>
        <v>0.56666666666666665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17</v>
      </c>
      <c r="M362" s="17">
        <f t="shared" si="22"/>
        <v>13</v>
      </c>
      <c r="N362" s="18">
        <f t="shared" si="23"/>
        <v>0.56666666666666665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22</v>
      </c>
      <c r="M363" s="17">
        <f t="shared" si="22"/>
        <v>8</v>
      </c>
      <c r="N363" s="18">
        <f t="shared" si="23"/>
        <v>0.73333333333333328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1318</v>
      </c>
      <c r="D1" s="49">
        <f>COUNTIFS(E4:E369,"=Fibra Optica")</f>
        <v>238</v>
      </c>
    </row>
    <row r="2" spans="1:35" ht="21" x14ac:dyDescent="0.4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1319</v>
      </c>
      <c r="D1" s="50">
        <f>COUNTIFS(E4:E367,"=PTP A FO")</f>
        <v>38</v>
      </c>
    </row>
    <row r="2" spans="1:35" ht="21" x14ac:dyDescent="0.4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COUNTIFS(E4:E367,"=radio")</f>
        <v>88</v>
      </c>
    </row>
    <row r="2" spans="1:35" ht="21" x14ac:dyDescent="0.4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abSelected="1" workbookViewId="0">
      <selection activeCell="G24" sqref="G24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3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3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3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3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3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3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1350</v>
      </c>
      <c r="D1" s="69" t="s">
        <v>1351</v>
      </c>
    </row>
    <row r="2" spans="1:13" ht="15.6" thickTop="1" thickBot="1" x14ac:dyDescent="0.35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3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3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5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3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3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" thickTop="1" x14ac:dyDescent="0.3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" thickBot="1" x14ac:dyDescent="0.35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5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5.6" thickTop="1" thickBot="1" x14ac:dyDescent="0.35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" thickTop="1" x14ac:dyDescent="0.3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3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3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3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" thickBot="1" x14ac:dyDescent="0.35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" thickTop="1" x14ac:dyDescent="0.3">
      <c r="A22" s="66" t="s">
        <v>1347</v>
      </c>
      <c r="B22" s="77">
        <v>375</v>
      </c>
      <c r="C22" s="73"/>
      <c r="D22" s="70"/>
      <c r="E22" s="102">
        <v>44722</v>
      </c>
    </row>
    <row r="23" spans="1:13" ht="15" thickBot="1" x14ac:dyDescent="0.35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" thickTop="1" x14ac:dyDescent="0.3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3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" thickBot="1" x14ac:dyDescent="0.35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" thickTop="1" x14ac:dyDescent="0.3"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3"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" thickBot="1" x14ac:dyDescent="0.35"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" thickTop="1" x14ac:dyDescent="0.3"/>
    <row r="32" spans="1:13" x14ac:dyDescent="0.3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2" x14ac:dyDescent="0.3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2" x14ac:dyDescent="0.3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2" x14ac:dyDescent="0.3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2" x14ac:dyDescent="0.3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2" x14ac:dyDescent="0.3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2" x14ac:dyDescent="0.3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2022-06-13T13:26:22Z</dcterms:modified>
</cp:coreProperties>
</file>