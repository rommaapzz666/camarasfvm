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C8AC1A14-03BC-4C3B-ADC2-6DA7B0A0CE41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G8" i="14"/>
  <c r="G9" i="14"/>
  <c r="G10" i="14"/>
  <c r="G11" i="14"/>
  <c r="G12" i="14"/>
  <c r="G13" i="14"/>
  <c r="G2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N377" i="2" l="1"/>
  <c r="M377" i="2"/>
  <c r="L377" i="2"/>
  <c r="D13" i="14"/>
  <c r="B13" i="14" s="1"/>
  <c r="E13" i="14" s="1"/>
  <c r="C13" i="14"/>
  <c r="D11" i="14"/>
  <c r="B11" i="14" s="1"/>
  <c r="D10" i="14"/>
  <c r="B10" i="14" s="1"/>
  <c r="C11" i="14"/>
  <c r="C12" i="14"/>
  <c r="C10" i="14"/>
  <c r="D9" i="14"/>
  <c r="D12" i="14"/>
  <c r="C9" i="14"/>
  <c r="D8" i="14"/>
  <c r="B8" i="14" s="1"/>
  <c r="C8" i="14"/>
  <c r="B12" i="14"/>
  <c r="B9" i="14"/>
  <c r="D7" i="14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2" i="2"/>
  <c r="N323" i="2"/>
  <c r="N325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247" i="2" l="1"/>
  <c r="N343" i="2"/>
  <c r="N355" i="2"/>
  <c r="N289" i="2"/>
  <c r="N352" i="2"/>
  <c r="E11" i="14"/>
  <c r="E9" i="14"/>
  <c r="E10" i="14"/>
  <c r="E12" i="14"/>
  <c r="E8" i="14"/>
  <c r="N324" i="2"/>
  <c r="N262" i="2"/>
  <c r="N279" i="2"/>
  <c r="N296" i="2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<sst xmlns="http://schemas.openxmlformats.org/spreadsheetml/2006/main" count="3163" uniqueCount="1351">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</sst>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AE197" activePane="bottomRight" state="frozen"/>
      <selection pane="topRight" activeCell="M1" sqref="M1"/>
      <selection pane="bottomLeft" activeCell="A5" sqref="A5"/>
      <selection pane="bottomRight" activeCell="AE207" sqref="AE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15</v>
      </c>
      <c r="M7" s="17">
        <f t="shared" si="6"/>
        <v>13</v>
      </c>
      <c r="N7" s="18">
        <f t="shared" si="7"/>
        <v>0.5357142857142857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24</v>
      </c>
      <c r="M10" s="17">
        <f t="shared" si="6"/>
        <v>4</v>
      </c>
      <c r="N10" s="18">
        <f t="shared" si="7"/>
        <v>0.8571428571428571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27</v>
      </c>
      <c r="M12" s="17">
        <f t="shared" si="6"/>
        <v>1</v>
      </c>
      <c r="N12" s="18">
        <f t="shared" si="7"/>
        <v>0.9642857142857143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27</v>
      </c>
      <c r="M13" s="17">
        <f t="shared" si="6"/>
        <v>1</v>
      </c>
      <c r="N13" s="18">
        <f t="shared" si="7"/>
        <v>0.9642857142857143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27</v>
      </c>
      <c r="M14" s="17">
        <f t="shared" si="6"/>
        <v>1</v>
      </c>
      <c r="N14" s="18">
        <f t="shared" si="7"/>
        <v>0.9642857142857143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23</v>
      </c>
      <c r="M21" s="17">
        <f t="shared" si="6"/>
        <v>5</v>
      </c>
      <c r="N21" s="18">
        <f t="shared" si="7"/>
        <v>0.8214285714285714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25</v>
      </c>
      <c r="M24" s="17">
        <f t="shared" si="6"/>
        <v>3</v>
      </c>
      <c r="N24" s="18">
        <f t="shared" si="7"/>
        <v>0.8928571428571429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26</v>
      </c>
      <c r="M66" s="17">
        <f t="shared" si="6"/>
        <v>2</v>
      </c>
      <c r="N66" s="18">
        <f t="shared" si="7"/>
        <v>0.9285714285714286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13</v>
      </c>
      <c r="M80" s="17">
        <f t="shared" si="9"/>
        <v>15</v>
      </c>
      <c r="N80" s="18">
        <f t="shared" si="10"/>
        <v>0.4642857142857143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24</v>
      </c>
      <c r="M115" s="17">
        <f t="shared" si="9"/>
        <v>4</v>
      </c>
      <c r="N115" s="18">
        <f t="shared" si="10"/>
        <v>0.8571428571428571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27</v>
      </c>
      <c r="M116" s="17">
        <f t="shared" si="9"/>
        <v>1</v>
      </c>
      <c r="N116" s="18">
        <f t="shared" si="10"/>
        <v>0.9642857142857143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13</v>
      </c>
      <c r="M133" s="17">
        <f t="shared" ref="M133:M196" si="12">COUNTIF(O133:AP133,"APAGADO")</f>
        <v>15</v>
      </c>
      <c r="N133" s="18">
        <f t="shared" ref="N133:N196" si="13">(L133)/(M133+L133)</f>
        <v>0.4642857142857143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21</v>
      </c>
      <c r="M157" s="17">
        <f t="shared" si="12"/>
        <v>7</v>
      </c>
      <c r="N157" s="18">
        <f t="shared" si="13"/>
        <v>0.75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24</v>
      </c>
      <c r="M161" s="17">
        <f t="shared" si="12"/>
        <v>4</v>
      </c>
      <c r="N161" s="18">
        <f t="shared" si="13"/>
        <v>0.8571428571428571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25</v>
      </c>
      <c r="M168" s="17">
        <f t="shared" si="12"/>
        <v>3</v>
      </c>
      <c r="N168" s="18">
        <f t="shared" si="13"/>
        <v>0.8928571428571429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21</v>
      </c>
      <c r="M177" s="17">
        <f t="shared" si="12"/>
        <v>7</v>
      </c>
      <c r="N177" s="18">
        <f t="shared" si="13"/>
        <v>0.75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13</v>
      </c>
      <c r="M191" s="17">
        <f t="shared" si="12"/>
        <v>15</v>
      </c>
      <c r="N191" s="18">
        <f t="shared" si="13"/>
        <v>0.4642857142857143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13</v>
      </c>
      <c r="M192" s="17">
        <f t="shared" si="12"/>
        <v>15</v>
      </c>
      <c r="N192" s="18">
        <f t="shared" si="13"/>
        <v>0.4642857142857143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19</v>
      </c>
      <c r="M194" s="17">
        <f t="shared" si="12"/>
        <v>9</v>
      </c>
      <c r="N194" s="18">
        <f t="shared" si="13"/>
        <v>0.6785714285714286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23</v>
      </c>
      <c r="M200" s="17">
        <f t="shared" si="15"/>
        <v>5</v>
      </c>
      <c r="N200" s="18">
        <f t="shared" si="16"/>
        <v>0.8214285714285714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25</v>
      </c>
      <c r="M203" s="17">
        <f t="shared" si="15"/>
        <v>3</v>
      </c>
      <c r="N203" s="18">
        <f t="shared" si="16"/>
        <v>0.8928571428571429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13</v>
      </c>
      <c r="M206" s="17">
        <f t="shared" si="15"/>
        <v>15</v>
      </c>
      <c r="N206" s="18">
        <f t="shared" si="16"/>
        <v>0.4642857142857143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13</v>
      </c>
      <c r="M207" s="17">
        <f t="shared" si="15"/>
        <v>15</v>
      </c>
      <c r="N207" s="18">
        <f t="shared" si="16"/>
        <v>0.4642857142857143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25</v>
      </c>
      <c r="M213" s="17">
        <f t="shared" si="15"/>
        <v>3</v>
      </c>
      <c r="N213" s="18">
        <f t="shared" si="16"/>
        <v>0.8928571428571429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24</v>
      </c>
      <c r="M241" s="17">
        <f t="shared" si="15"/>
        <v>4</v>
      </c>
      <c r="N241" s="18">
        <f t="shared" si="16"/>
        <v>0.8571428571428571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25</v>
      </c>
      <c r="M242" s="17">
        <f t="shared" si="15"/>
        <v>3</v>
      </c>
      <c r="N242" s="18">
        <f t="shared" si="16"/>
        <v>0.8928571428571429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25</v>
      </c>
      <c r="M243" s="17">
        <f t="shared" si="15"/>
        <v>3</v>
      </c>
      <c r="N243" s="18">
        <f t="shared" si="16"/>
        <v>0.8928571428571429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24</v>
      </c>
      <c r="M244" s="17">
        <f t="shared" si="15"/>
        <v>4</v>
      </c>
      <c r="N244" s="18">
        <f t="shared" si="16"/>
        <v>0.8571428571428571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24</v>
      </c>
      <c r="M246" s="17">
        <f t="shared" si="15"/>
        <v>4</v>
      </c>
      <c r="N246" s="18">
        <f t="shared" si="16"/>
        <v>0.8571428571428571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23</v>
      </c>
      <c r="M289" s="17">
        <f t="shared" si="18"/>
        <v>5</v>
      </c>
      <c r="N289" s="18">
        <f t="shared" si="19"/>
        <v>0.8214285714285714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23</v>
      </c>
      <c r="M296" s="17">
        <f t="shared" si="18"/>
        <v>5</v>
      </c>
      <c r="N296" s="18">
        <f t="shared" si="19"/>
        <v>0.8214285714285714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13</v>
      </c>
      <c r="M303" s="17">
        <f t="shared" si="18"/>
        <v>15</v>
      </c>
      <c r="N303" s="18">
        <f t="shared" si="19"/>
        <v>0.4642857142857143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23</v>
      </c>
      <c r="M343" s="17">
        <f t="shared" si="21"/>
        <v>5</v>
      </c>
      <c r="N343" s="18">
        <f t="shared" si="22"/>
        <v>0.8214285714285714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13</v>
      </c>
      <c r="M352" s="17">
        <f t="shared" si="21"/>
        <v>15</v>
      </c>
      <c r="N352" s="18">
        <f t="shared" si="22"/>
        <v>0.4642857142857143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22</v>
      </c>
      <c r="M355" s="17">
        <f t="shared" si="21"/>
        <v>6</v>
      </c>
      <c r="N355" s="18">
        <f t="shared" si="22"/>
        <v>0.7857142857142857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.75" thickBot="1" x14ac:dyDescent="0.3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E33" sqref="E33"/>
    </sheetView>
  </sheetViews>
  <sheetFormatPr baseColWidth="10" defaultRowHeight="15" x14ac:dyDescent="0.25"/>
  <cols>
    <col min="5" max="5" width="15.7109375" bestFit="1" customWidth="1"/>
    <col min="7" max="7" width="11.5703125" style="77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13" si="0">E3/F3</f>
        <v>9.1152815013404831E-2</v>
      </c>
    </row>
    <row r="4" spans="1:7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25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25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25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25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25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25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25">
      <c r="A14" s="25">
        <f>'APAGADOS RADIO'!R3</f>
        <v>44664</v>
      </c>
      <c r="C14" s="30"/>
      <c r="F14">
        <f>'RESUMEN TOTAL'!C1</f>
        <v>373</v>
      </c>
    </row>
    <row r="15" spans="1:7" x14ac:dyDescent="0.25">
      <c r="A15" s="25">
        <f>'APAGADOS RADIO'!S3</f>
        <v>44665</v>
      </c>
      <c r="C15" s="30"/>
      <c r="F15">
        <f>'RESUMEN TOTAL'!C1</f>
        <v>373</v>
      </c>
    </row>
    <row r="16" spans="1:7" x14ac:dyDescent="0.25">
      <c r="A16" s="25">
        <f>'APAGADOS RADIO'!T3</f>
        <v>44666</v>
      </c>
      <c r="C16" s="30"/>
      <c r="F16">
        <f>'RESUMEN TOTAL'!C1</f>
        <v>373</v>
      </c>
    </row>
    <row r="17" spans="1:6" x14ac:dyDescent="0.25">
      <c r="A17" s="25">
        <f>'APAGADOS RADIO'!U3</f>
        <v>44667</v>
      </c>
      <c r="C17" s="30"/>
      <c r="F17">
        <f>'RESUMEN TOTAL'!C1</f>
        <v>373</v>
      </c>
    </row>
    <row r="18" spans="1:6" x14ac:dyDescent="0.25">
      <c r="A18" s="25">
        <f>'APAGADOS RADIO'!V3</f>
        <v>44668</v>
      </c>
      <c r="C18" s="30"/>
      <c r="F18">
        <f>'RESUMEN TOTAL'!C1</f>
        <v>373</v>
      </c>
    </row>
    <row r="19" spans="1:6" x14ac:dyDescent="0.25">
      <c r="A19" s="25">
        <f>'APAGADOS RADIO'!W3</f>
        <v>44669</v>
      </c>
      <c r="C19" s="30"/>
      <c r="F19">
        <f>'RESUMEN TOTAL'!C1</f>
        <v>373</v>
      </c>
    </row>
    <row r="20" spans="1:6" x14ac:dyDescent="0.25">
      <c r="A20" s="25">
        <f>'APAGADOS RADIO'!X3</f>
        <v>44670</v>
      </c>
      <c r="C20" s="30"/>
      <c r="F20">
        <f>'RESUMEN TOTAL'!C1</f>
        <v>373</v>
      </c>
    </row>
    <row r="21" spans="1:6" x14ac:dyDescent="0.25">
      <c r="A21" s="25">
        <f>'APAGADOS RADIO'!Y3</f>
        <v>44671</v>
      </c>
      <c r="C21" s="30"/>
      <c r="F21">
        <f>'RESUMEN TOTAL'!C1</f>
        <v>373</v>
      </c>
    </row>
    <row r="22" spans="1:6" x14ac:dyDescent="0.25">
      <c r="A22" s="25">
        <f>'APAGADOS RADIO'!Z3</f>
        <v>44672</v>
      </c>
      <c r="C22" s="30"/>
      <c r="F22">
        <f>'RESUMEN TOTAL'!C1</f>
        <v>373</v>
      </c>
    </row>
    <row r="23" spans="1:6" x14ac:dyDescent="0.25">
      <c r="A23" s="25">
        <f>'APAGADOS RADIO'!AA3</f>
        <v>44673</v>
      </c>
      <c r="C23" s="30"/>
      <c r="F23">
        <f>'RESUMEN TOTAL'!C1</f>
        <v>373</v>
      </c>
    </row>
    <row r="24" spans="1:6" x14ac:dyDescent="0.25">
      <c r="A24" s="25">
        <f>'APAGADOS RADIO'!AB3</f>
        <v>44674</v>
      </c>
      <c r="C24" s="30"/>
      <c r="F24">
        <f>'RESUMEN TOTAL'!C1</f>
        <v>373</v>
      </c>
    </row>
    <row r="25" spans="1:6" x14ac:dyDescent="0.25">
      <c r="A25" s="25">
        <f>'APAGADOS RADIO'!AC3</f>
        <v>44675</v>
      </c>
      <c r="C25" s="30"/>
      <c r="F25">
        <f>'RESUMEN TOTAL'!C1</f>
        <v>373</v>
      </c>
    </row>
    <row r="26" spans="1:6" x14ac:dyDescent="0.25">
      <c r="A26" s="25">
        <f>'APAGADOS RADIO'!AD3</f>
        <v>44676</v>
      </c>
      <c r="C26" s="30"/>
      <c r="F26">
        <f>'RESUMEN TOTAL'!C1</f>
        <v>373</v>
      </c>
    </row>
    <row r="27" spans="1:6" x14ac:dyDescent="0.25">
      <c r="A27" s="25">
        <f>'APAGADOS RADIO'!AE3</f>
        <v>44677</v>
      </c>
      <c r="C27" s="30"/>
      <c r="F27">
        <f>'RESUMEN TOTAL'!C1</f>
        <v>373</v>
      </c>
    </row>
    <row r="28" spans="1:6" x14ac:dyDescent="0.25">
      <c r="A28" s="25">
        <f>'APAGADOS RADIO'!AF3</f>
        <v>44678</v>
      </c>
      <c r="C28" s="30"/>
      <c r="F28">
        <f>'RESUMEN TOTAL'!C1</f>
        <v>373</v>
      </c>
    </row>
    <row r="29" spans="1:6" x14ac:dyDescent="0.25">
      <c r="A29" s="25">
        <f>'APAGADOS RADIO'!AG3</f>
        <v>44679</v>
      </c>
      <c r="C29" s="30"/>
      <c r="F29">
        <f>'RESUMEN TOTAL'!C1</f>
        <v>373</v>
      </c>
    </row>
    <row r="30" spans="1:6" x14ac:dyDescent="0.25">
      <c r="A30" s="25">
        <f>'APAGADOS RADIO'!AH3</f>
        <v>44680</v>
      </c>
      <c r="C30" s="30"/>
      <c r="F30">
        <f>'RESUMEN TOTAL'!C1</f>
        <v>373</v>
      </c>
    </row>
    <row r="31" spans="1:6" x14ac:dyDescent="0.25">
      <c r="A31" s="25">
        <f>'APAGADOS RADIO'!AI3</f>
        <v>44681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77"/>
    </row>
    <row r="36" spans="1:30" s="30" customFormat="1" x14ac:dyDescent="0.25">
      <c r="G36" s="77"/>
    </row>
    <row r="37" spans="1:30" s="20" customFormat="1" x14ac:dyDescent="0.25">
      <c r="G37" s="77"/>
    </row>
    <row r="40" spans="1:30" x14ac:dyDescent="0.25">
      <c r="A40" s="70" t="s">
        <v>938</v>
      </c>
      <c r="B40" s="70" t="s">
        <v>937</v>
      </c>
    </row>
    <row r="41" spans="1:30" x14ac:dyDescent="0.25">
      <c r="A41" s="70">
        <v>38</v>
      </c>
      <c r="B41" s="70">
        <v>373</v>
      </c>
      <c r="D41" s="25">
        <v>44652</v>
      </c>
      <c r="E41" s="77">
        <f t="shared" ref="E41:E60" si="6">A41/B41</f>
        <v>0.10187667560321716</v>
      </c>
    </row>
    <row r="42" spans="1:30" x14ac:dyDescent="0.25">
      <c r="A42" s="70">
        <v>34</v>
      </c>
      <c r="B42" s="70">
        <v>373</v>
      </c>
      <c r="D42" s="25">
        <v>44653</v>
      </c>
      <c r="E42" s="77">
        <f t="shared" si="6"/>
        <v>9.1152815013404831E-2</v>
      </c>
    </row>
    <row r="43" spans="1:30" x14ac:dyDescent="0.25">
      <c r="A43" s="70">
        <v>34</v>
      </c>
      <c r="B43" s="70">
        <v>373</v>
      </c>
      <c r="D43" s="25">
        <v>44654</v>
      </c>
      <c r="E43" s="77">
        <f t="shared" si="6"/>
        <v>9.1152815013404831E-2</v>
      </c>
    </row>
    <row r="44" spans="1:30" x14ac:dyDescent="0.25">
      <c r="A44" s="70">
        <v>36</v>
      </c>
      <c r="B44" s="70">
        <v>373</v>
      </c>
      <c r="D44" s="25">
        <v>44655</v>
      </c>
      <c r="E44" s="77">
        <f t="shared" si="6"/>
        <v>9.6514745308310987E-2</v>
      </c>
    </row>
    <row r="45" spans="1:30" x14ac:dyDescent="0.25">
      <c r="A45" s="70">
        <v>32</v>
      </c>
      <c r="B45" s="70">
        <v>373</v>
      </c>
      <c r="D45" s="25">
        <v>44656</v>
      </c>
      <c r="E45" s="77">
        <f t="shared" si="6"/>
        <v>8.5790884718498661E-2</v>
      </c>
    </row>
    <row r="46" spans="1:30" x14ac:dyDescent="0.25">
      <c r="A46" s="70">
        <v>25</v>
      </c>
      <c r="B46" s="70">
        <v>373</v>
      </c>
      <c r="D46" s="25">
        <v>44657</v>
      </c>
      <c r="E46" s="77">
        <f t="shared" si="6"/>
        <v>6.7024128686327081E-2</v>
      </c>
    </row>
    <row r="47" spans="1:30" x14ac:dyDescent="0.25">
      <c r="A47" s="70">
        <v>34</v>
      </c>
      <c r="B47" s="70">
        <v>373</v>
      </c>
      <c r="D47" s="25">
        <v>44658</v>
      </c>
      <c r="E47" s="77">
        <f t="shared" si="6"/>
        <v>9.1152815013404831E-2</v>
      </c>
    </row>
    <row r="48" spans="1:30" x14ac:dyDescent="0.25">
      <c r="A48" s="70">
        <v>25</v>
      </c>
      <c r="B48" s="70">
        <v>373</v>
      </c>
      <c r="D48" s="25">
        <v>44659</v>
      </c>
      <c r="E48" s="77">
        <f t="shared" si="6"/>
        <v>6.7024128686327081E-2</v>
      </c>
    </row>
    <row r="49" spans="1:5" x14ac:dyDescent="0.25">
      <c r="A49" s="70">
        <v>26</v>
      </c>
      <c r="B49" s="70">
        <v>373</v>
      </c>
      <c r="D49" s="25">
        <v>44660</v>
      </c>
      <c r="E49" s="77">
        <f t="shared" si="6"/>
        <v>6.9705093833780166E-2</v>
      </c>
    </row>
    <row r="50" spans="1:5" x14ac:dyDescent="0.25">
      <c r="A50" s="70">
        <v>26</v>
      </c>
      <c r="B50" s="70">
        <v>373</v>
      </c>
      <c r="D50" s="25">
        <v>44661</v>
      </c>
      <c r="E50" s="77">
        <f t="shared" si="6"/>
        <v>6.9705093833780166E-2</v>
      </c>
    </row>
    <row r="51" spans="1:5" x14ac:dyDescent="0.25">
      <c r="A51" s="70">
        <v>43</v>
      </c>
      <c r="B51" s="70">
        <v>373</v>
      </c>
      <c r="D51" s="25">
        <v>44662</v>
      </c>
      <c r="E51" s="77">
        <f t="shared" si="6"/>
        <v>0.11528150134048257</v>
      </c>
    </row>
    <row r="52" spans="1:5" x14ac:dyDescent="0.25">
      <c r="A52" s="70">
        <v>22</v>
      </c>
      <c r="B52" s="70">
        <v>373</v>
      </c>
      <c r="D52" s="25">
        <v>44663</v>
      </c>
      <c r="E52" s="77">
        <f t="shared" si="6"/>
        <v>5.8981233243967826E-2</v>
      </c>
    </row>
    <row r="53" spans="1:5" x14ac:dyDescent="0.25">
      <c r="A53" s="70"/>
      <c r="B53" s="70">
        <v>373</v>
      </c>
      <c r="D53" s="25">
        <v>44664</v>
      </c>
      <c r="E53" s="77">
        <f t="shared" si="6"/>
        <v>0</v>
      </c>
    </row>
    <row r="54" spans="1:5" x14ac:dyDescent="0.25">
      <c r="A54" s="70"/>
      <c r="B54" s="70">
        <v>373</v>
      </c>
      <c r="D54" s="25">
        <v>44665</v>
      </c>
      <c r="E54" s="77">
        <f t="shared" si="6"/>
        <v>0</v>
      </c>
    </row>
    <row r="55" spans="1:5" x14ac:dyDescent="0.25">
      <c r="A55" s="70"/>
      <c r="B55" s="70">
        <v>373</v>
      </c>
      <c r="D55" s="25">
        <v>44666</v>
      </c>
      <c r="E55" s="77">
        <f t="shared" si="6"/>
        <v>0</v>
      </c>
    </row>
    <row r="56" spans="1:5" x14ac:dyDescent="0.25">
      <c r="A56" s="70"/>
      <c r="B56" s="70">
        <v>373</v>
      </c>
      <c r="D56" s="25">
        <v>44667</v>
      </c>
      <c r="E56" s="77">
        <f t="shared" si="6"/>
        <v>0</v>
      </c>
    </row>
    <row r="57" spans="1:5" x14ac:dyDescent="0.25">
      <c r="A57" s="70"/>
      <c r="B57" s="70">
        <v>373</v>
      </c>
      <c r="D57" s="25">
        <v>44668</v>
      </c>
      <c r="E57" s="77">
        <f t="shared" si="6"/>
        <v>0</v>
      </c>
    </row>
    <row r="58" spans="1:5" x14ac:dyDescent="0.25">
      <c r="A58" s="70"/>
      <c r="B58" s="70">
        <v>373</v>
      </c>
      <c r="D58" s="25">
        <v>44669</v>
      </c>
      <c r="E58" s="77">
        <f t="shared" si="6"/>
        <v>0</v>
      </c>
    </row>
    <row r="59" spans="1:5" x14ac:dyDescent="0.25">
      <c r="A59" s="70"/>
      <c r="B59" s="70">
        <v>373</v>
      </c>
      <c r="D59" s="25">
        <v>44670</v>
      </c>
      <c r="E59" s="77">
        <f t="shared" si="6"/>
        <v>0</v>
      </c>
    </row>
    <row r="60" spans="1:5" x14ac:dyDescent="0.25">
      <c r="A60" s="70"/>
      <c r="B60" s="70">
        <v>373</v>
      </c>
      <c r="D60" s="25">
        <v>44671</v>
      </c>
      <c r="E60" s="77">
        <f t="shared" si="6"/>
        <v>0</v>
      </c>
    </row>
    <row r="61" spans="1:5" x14ac:dyDescent="0.25">
      <c r="A61" s="70"/>
      <c r="B61" s="70">
        <v>373</v>
      </c>
      <c r="D61" s="25">
        <v>44672</v>
      </c>
    </row>
    <row r="62" spans="1:5" x14ac:dyDescent="0.25">
      <c r="A62" s="70"/>
      <c r="B62" s="70">
        <v>373</v>
      </c>
      <c r="D62" s="25">
        <v>44673</v>
      </c>
    </row>
    <row r="63" spans="1:5" x14ac:dyDescent="0.25">
      <c r="A63" s="70"/>
      <c r="B63" s="70">
        <v>373</v>
      </c>
      <c r="D63" s="25">
        <v>44674</v>
      </c>
    </row>
    <row r="64" spans="1:5" x14ac:dyDescent="0.25">
      <c r="A64" s="70"/>
      <c r="B64" s="70">
        <v>373</v>
      </c>
      <c r="D64" s="25">
        <v>44675</v>
      </c>
    </row>
    <row r="65" spans="1:4" x14ac:dyDescent="0.25">
      <c r="A65" s="70"/>
      <c r="B65" s="70">
        <v>373</v>
      </c>
      <c r="D65" s="25">
        <v>44676</v>
      </c>
    </row>
    <row r="66" spans="1:4" x14ac:dyDescent="0.25">
      <c r="A66" s="70"/>
      <c r="B66" s="70">
        <v>373</v>
      </c>
      <c r="D66" s="25">
        <v>44677</v>
      </c>
    </row>
    <row r="67" spans="1:4" x14ac:dyDescent="0.25">
      <c r="A67" s="70"/>
      <c r="B67" s="70">
        <v>373</v>
      </c>
      <c r="D67" s="25">
        <v>44678</v>
      </c>
    </row>
    <row r="68" spans="1:4" x14ac:dyDescent="0.25">
      <c r="A68" s="70"/>
      <c r="B68" s="70">
        <v>373</v>
      </c>
      <c r="D68" s="25">
        <v>44679</v>
      </c>
    </row>
    <row r="69" spans="1:4" x14ac:dyDescent="0.25">
      <c r="A69" s="70"/>
      <c r="B69" s="70">
        <v>373</v>
      </c>
      <c r="D69" s="25">
        <v>44680</v>
      </c>
    </row>
    <row r="70" spans="1:4" x14ac:dyDescent="0.25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2022-04-18T10:38:52Z</dcterms:modified>
</cp:coreProperties>
</file>