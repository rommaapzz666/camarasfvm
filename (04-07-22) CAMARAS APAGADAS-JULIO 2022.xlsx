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63042098-E838-4F21-B1FB-EC0C75D0489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<sst xmlns="http://schemas.openxmlformats.org/spreadsheetml/2006/main" count="3076" uniqueCount="1371">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</sst>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6" fillId="0" borderId="0" xfId="0" applyFont="1"/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R197" activePane="bottomRight" state="frozen"/>
      <selection pane="topRight" activeCell="M1" sqref="M1"/>
      <selection pane="bottomLeft" activeCell="A5" sqref="A5"/>
      <selection pane="bottomRight" activeCell="R207" sqref="R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374</v>
      </c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26</v>
      </c>
      <c r="M7" s="17">
        <f t="shared" si="8"/>
        <v>4</v>
      </c>
      <c r="N7" s="18">
        <f t="shared" si="9"/>
        <v>0.8666666666666667</v>
      </c>
      <c r="O7" s="27" t="s">
        <v>1369</v>
      </c>
      <c r="P7" s="8" t="s">
        <v>1369</v>
      </c>
      <c r="Q7" s="8" t="s">
        <v>1369</v>
      </c>
      <c r="R7" s="8" t="s">
        <v>1369</v>
      </c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27</v>
      </c>
      <c r="M36" s="17">
        <f t="shared" si="8"/>
        <v>3</v>
      </c>
      <c r="N36" s="18">
        <f t="shared" si="9"/>
        <v>0.9</v>
      </c>
      <c r="O36" s="27"/>
      <c r="P36" s="8" t="s">
        <v>1369</v>
      </c>
      <c r="Q36" s="8" t="s">
        <v>1369</v>
      </c>
      <c r="R36" s="8" t="s">
        <v>1369</v>
      </c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26</v>
      </c>
      <c r="M74" s="17">
        <f t="shared" si="11"/>
        <v>4</v>
      </c>
      <c r="N74" s="18">
        <f t="shared" si="12"/>
        <v>0.8666666666666667</v>
      </c>
      <c r="O74" s="27" t="s">
        <v>1369</v>
      </c>
      <c r="P74" s="8" t="s">
        <v>1369</v>
      </c>
      <c r="Q74" s="8" t="s">
        <v>1369</v>
      </c>
      <c r="R74" s="8" t="s">
        <v>1369</v>
      </c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28</v>
      </c>
      <c r="M80" s="17">
        <f t="shared" si="11"/>
        <v>2</v>
      </c>
      <c r="N80" s="18">
        <f t="shared" si="12"/>
        <v>0.93333333333333335</v>
      </c>
      <c r="O80" s="27"/>
      <c r="P80" s="8"/>
      <c r="Q80" s="8" t="s">
        <v>1369</v>
      </c>
      <c r="R80" s="8" t="s">
        <v>1369</v>
      </c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28</v>
      </c>
      <c r="M83" s="17">
        <f t="shared" si="11"/>
        <v>2</v>
      </c>
      <c r="N83" s="18">
        <f t="shared" si="12"/>
        <v>0.93333333333333335</v>
      </c>
      <c r="O83" s="27"/>
      <c r="P83" s="8"/>
      <c r="Q83" s="8" t="s">
        <v>1369</v>
      </c>
      <c r="R83" s="8" t="s">
        <v>1369</v>
      </c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29</v>
      </c>
      <c r="M102" s="17">
        <f t="shared" si="11"/>
        <v>1</v>
      </c>
      <c r="N102" s="18">
        <f t="shared" si="12"/>
        <v>0.96666666666666667</v>
      </c>
      <c r="O102" s="27"/>
      <c r="P102" s="8"/>
      <c r="Q102" s="8"/>
      <c r="R102" s="8" t="s">
        <v>1369</v>
      </c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108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26</v>
      </c>
      <c r="M120" s="17">
        <f t="shared" si="11"/>
        <v>4</v>
      </c>
      <c r="N120" s="18">
        <f t="shared" si="12"/>
        <v>0.8666666666666667</v>
      </c>
      <c r="O120" s="27" t="s">
        <v>1369</v>
      </c>
      <c r="P120" s="8" t="s">
        <v>1369</v>
      </c>
      <c r="Q120" s="8" t="s">
        <v>1369</v>
      </c>
      <c r="R120" s="8" t="s">
        <v>1369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26</v>
      </c>
      <c r="M121" s="17">
        <f t="shared" si="11"/>
        <v>4</v>
      </c>
      <c r="N121" s="18">
        <f t="shared" si="12"/>
        <v>0.8666666666666667</v>
      </c>
      <c r="O121" s="27" t="s">
        <v>1369</v>
      </c>
      <c r="P121" s="8" t="s">
        <v>1369</v>
      </c>
      <c r="Q121" s="8" t="s">
        <v>1369</v>
      </c>
      <c r="R121" s="8" t="s">
        <v>1369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30</v>
      </c>
      <c r="M129" s="17">
        <f t="shared" si="11"/>
        <v>0</v>
      </c>
      <c r="N129" s="18">
        <f t="shared" si="12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26</v>
      </c>
      <c r="M133" s="17">
        <f t="shared" ref="M133:M196" si="14">COUNTIF(O133:AP133,"APAGADO")</f>
        <v>4</v>
      </c>
      <c r="N133" s="18">
        <f t="shared" ref="N133:N196" si="15">(L133)/(M133+L133)</f>
        <v>0.8666666666666667</v>
      </c>
      <c r="O133" s="27" t="s">
        <v>1369</v>
      </c>
      <c r="P133" s="8" t="s">
        <v>1369</v>
      </c>
      <c r="Q133" s="8" t="s">
        <v>1369</v>
      </c>
      <c r="R133" s="8" t="s">
        <v>1369</v>
      </c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26</v>
      </c>
      <c r="M136" s="17">
        <f t="shared" si="14"/>
        <v>4</v>
      </c>
      <c r="N136" s="18">
        <f t="shared" si="15"/>
        <v>0.8666666666666667</v>
      </c>
      <c r="O136" s="27" t="s">
        <v>1369</v>
      </c>
      <c r="P136" s="8" t="s">
        <v>1369</v>
      </c>
      <c r="Q136" s="8" t="s">
        <v>1369</v>
      </c>
      <c r="R136" s="8" t="s">
        <v>1369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26</v>
      </c>
      <c r="M177" s="17">
        <f t="shared" si="14"/>
        <v>4</v>
      </c>
      <c r="N177" s="18">
        <f t="shared" si="15"/>
        <v>0.8666666666666667</v>
      </c>
      <c r="O177" s="27" t="s">
        <v>1369</v>
      </c>
      <c r="P177" s="8" t="s">
        <v>1369</v>
      </c>
      <c r="Q177" s="8" t="s">
        <v>1369</v>
      </c>
      <c r="R177" s="8" t="s">
        <v>1369</v>
      </c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27</v>
      </c>
      <c r="M182" s="17">
        <f t="shared" si="14"/>
        <v>3</v>
      </c>
      <c r="N182" s="18">
        <f t="shared" si="15"/>
        <v>0.9</v>
      </c>
      <c r="O182" s="27"/>
      <c r="P182" s="8" t="s">
        <v>1369</v>
      </c>
      <c r="Q182" s="8" t="s">
        <v>1369</v>
      </c>
      <c r="R182" s="8" t="s">
        <v>1369</v>
      </c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28</v>
      </c>
      <c r="M185" s="17">
        <f t="shared" si="14"/>
        <v>2</v>
      </c>
      <c r="N185" s="18">
        <f t="shared" si="15"/>
        <v>0.93333333333333335</v>
      </c>
      <c r="O185" s="27"/>
      <c r="P185" s="8"/>
      <c r="Q185" s="8" t="s">
        <v>1369</v>
      </c>
      <c r="R185" s="8" t="s">
        <v>1369</v>
      </c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28</v>
      </c>
      <c r="M186" s="17">
        <f t="shared" si="14"/>
        <v>2</v>
      </c>
      <c r="N186" s="18">
        <f t="shared" si="15"/>
        <v>0.93333333333333335</v>
      </c>
      <c r="O186" s="27"/>
      <c r="P186" s="8"/>
      <c r="Q186" s="8" t="s">
        <v>1369</v>
      </c>
      <c r="R186" s="8" t="s">
        <v>1369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26</v>
      </c>
      <c r="M187" s="17">
        <f t="shared" si="14"/>
        <v>4</v>
      </c>
      <c r="N187" s="18">
        <f t="shared" si="15"/>
        <v>0.8666666666666667</v>
      </c>
      <c r="O187" s="27" t="s">
        <v>1369</v>
      </c>
      <c r="P187" s="8" t="s">
        <v>1369</v>
      </c>
      <c r="Q187" s="8" t="s">
        <v>1369</v>
      </c>
      <c r="R187" s="8" t="s">
        <v>1369</v>
      </c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26</v>
      </c>
      <c r="M191" s="17">
        <f t="shared" si="14"/>
        <v>4</v>
      </c>
      <c r="N191" s="18">
        <f t="shared" si="15"/>
        <v>0.8666666666666667</v>
      </c>
      <c r="O191" s="27" t="s">
        <v>1369</v>
      </c>
      <c r="P191" s="8" t="s">
        <v>1369</v>
      </c>
      <c r="Q191" s="8" t="s">
        <v>1369</v>
      </c>
      <c r="R191" s="8" t="s">
        <v>1369</v>
      </c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26</v>
      </c>
      <c r="M192" s="17">
        <f t="shared" si="14"/>
        <v>4</v>
      </c>
      <c r="N192" s="18">
        <f t="shared" si="15"/>
        <v>0.8666666666666667</v>
      </c>
      <c r="O192" s="27" t="s">
        <v>1369</v>
      </c>
      <c r="P192" s="8" t="s">
        <v>1369</v>
      </c>
      <c r="Q192" s="8" t="s">
        <v>1369</v>
      </c>
      <c r="R192" s="8" t="s">
        <v>1369</v>
      </c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29</v>
      </c>
      <c r="M201" s="17">
        <f t="shared" si="17"/>
        <v>1</v>
      </c>
      <c r="N201" s="18">
        <f t="shared" si="18"/>
        <v>0.96666666666666667</v>
      </c>
      <c r="O201" s="27"/>
      <c r="P201" s="8"/>
      <c r="Q201" s="8"/>
      <c r="R201" s="8" t="s">
        <v>1369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29</v>
      </c>
      <c r="M202" s="17">
        <f t="shared" si="17"/>
        <v>1</v>
      </c>
      <c r="N202" s="18">
        <f t="shared" si="18"/>
        <v>0.96666666666666667</v>
      </c>
      <c r="O202" s="27"/>
      <c r="P202" s="8"/>
      <c r="Q202" s="8"/>
      <c r="R202" s="8" t="s">
        <v>1369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26</v>
      </c>
      <c r="M206" s="17">
        <f t="shared" si="17"/>
        <v>4</v>
      </c>
      <c r="N206" s="18">
        <f t="shared" si="18"/>
        <v>0.8666666666666667</v>
      </c>
      <c r="O206" s="27" t="s">
        <v>1369</v>
      </c>
      <c r="P206" s="8" t="s">
        <v>1369</v>
      </c>
      <c r="Q206" s="8" t="s">
        <v>1369</v>
      </c>
      <c r="R206" s="8" t="s">
        <v>1369</v>
      </c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26</v>
      </c>
      <c r="M207" s="17">
        <f t="shared" si="17"/>
        <v>4</v>
      </c>
      <c r="N207" s="18">
        <f t="shared" si="18"/>
        <v>0.8666666666666667</v>
      </c>
      <c r="O207" s="27" t="s">
        <v>1369</v>
      </c>
      <c r="P207" s="8" t="s">
        <v>1369</v>
      </c>
      <c r="Q207" s="8" t="s">
        <v>1369</v>
      </c>
      <c r="R207" s="8" t="s">
        <v>1369</v>
      </c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26</v>
      </c>
      <c r="M211" s="17">
        <f t="shared" si="17"/>
        <v>4</v>
      </c>
      <c r="N211" s="18">
        <f t="shared" si="18"/>
        <v>0.8666666666666667</v>
      </c>
      <c r="O211" s="27" t="s">
        <v>1369</v>
      </c>
      <c r="P211" s="8" t="s">
        <v>1369</v>
      </c>
      <c r="Q211" s="8" t="s">
        <v>1369</v>
      </c>
      <c r="R211" s="8" t="s">
        <v>1369</v>
      </c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26</v>
      </c>
      <c r="M212" s="17">
        <f t="shared" si="17"/>
        <v>4</v>
      </c>
      <c r="N212" s="18">
        <f t="shared" si="18"/>
        <v>0.8666666666666667</v>
      </c>
      <c r="O212" s="27" t="s">
        <v>1369</v>
      </c>
      <c r="P212" s="8" t="s">
        <v>1369</v>
      </c>
      <c r="Q212" s="8" t="s">
        <v>1369</v>
      </c>
      <c r="R212" s="8" t="s">
        <v>1369</v>
      </c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26</v>
      </c>
      <c r="M231" s="17">
        <f t="shared" si="17"/>
        <v>4</v>
      </c>
      <c r="N231" s="18">
        <f t="shared" si="18"/>
        <v>0.8666666666666667</v>
      </c>
      <c r="O231" s="27" t="s">
        <v>1369</v>
      </c>
      <c r="P231" s="8" t="s">
        <v>1369</v>
      </c>
      <c r="Q231" s="8" t="s">
        <v>1369</v>
      </c>
      <c r="R231" s="8" t="s">
        <v>1369</v>
      </c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26</v>
      </c>
      <c r="M232" s="17">
        <f t="shared" si="17"/>
        <v>4</v>
      </c>
      <c r="N232" s="18">
        <f t="shared" si="18"/>
        <v>0.8666666666666667</v>
      </c>
      <c r="O232" s="27" t="s">
        <v>1369</v>
      </c>
      <c r="P232" s="8" t="s">
        <v>1369</v>
      </c>
      <c r="Q232" s="8" t="s">
        <v>1369</v>
      </c>
      <c r="R232" s="8" t="s">
        <v>1369</v>
      </c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1369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26</v>
      </c>
      <c r="M283" s="17">
        <f t="shared" si="21"/>
        <v>4</v>
      </c>
      <c r="N283" s="18">
        <f t="shared" si="22"/>
        <v>0.8666666666666667</v>
      </c>
      <c r="O283" s="27" t="s">
        <v>1369</v>
      </c>
      <c r="P283" s="8" t="s">
        <v>1369</v>
      </c>
      <c r="Q283" s="8" t="s">
        <v>1369</v>
      </c>
      <c r="R283" s="8" t="s">
        <v>1369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27</v>
      </c>
      <c r="M299" s="17">
        <f t="shared" si="21"/>
        <v>3</v>
      </c>
      <c r="N299" s="18">
        <f t="shared" si="22"/>
        <v>0.9</v>
      </c>
      <c r="O299" s="27"/>
      <c r="P299" s="8" t="s">
        <v>1369</v>
      </c>
      <c r="Q299" s="8" t="s">
        <v>1369</v>
      </c>
      <c r="R299" s="8" t="s">
        <v>1369</v>
      </c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27</v>
      </c>
      <c r="M300" s="17">
        <f t="shared" si="21"/>
        <v>3</v>
      </c>
      <c r="N300" s="18">
        <f t="shared" si="22"/>
        <v>0.9</v>
      </c>
      <c r="O300" s="27"/>
      <c r="P300" s="8" t="s">
        <v>1369</v>
      </c>
      <c r="Q300" s="8" t="s">
        <v>1369</v>
      </c>
      <c r="R300" s="8" t="s">
        <v>1369</v>
      </c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1369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1369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26</v>
      </c>
      <c r="M303" s="17">
        <f t="shared" si="21"/>
        <v>4</v>
      </c>
      <c r="N303" s="18">
        <f t="shared" si="22"/>
        <v>0.8666666666666667</v>
      </c>
      <c r="O303" s="27" t="s">
        <v>1369</v>
      </c>
      <c r="P303" s="8" t="s">
        <v>1369</v>
      </c>
      <c r="Q303" s="8" t="s">
        <v>1369</v>
      </c>
      <c r="R303" s="8" t="s">
        <v>1369</v>
      </c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26</v>
      </c>
      <c r="M308" s="17">
        <f t="shared" si="21"/>
        <v>4</v>
      </c>
      <c r="N308" s="18">
        <f t="shared" si="22"/>
        <v>0.8666666666666667</v>
      </c>
      <c r="O308" s="27" t="s">
        <v>1369</v>
      </c>
      <c r="P308" s="8" t="s">
        <v>1369</v>
      </c>
      <c r="Q308" s="8" t="s">
        <v>1369</v>
      </c>
      <c r="R308" s="8" t="s">
        <v>1369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26</v>
      </c>
      <c r="M335" s="17">
        <f t="shared" si="24"/>
        <v>4</v>
      </c>
      <c r="N335" s="18">
        <f t="shared" si="25"/>
        <v>0.8666666666666667</v>
      </c>
      <c r="O335" s="27" t="s">
        <v>1369</v>
      </c>
      <c r="P335" s="8" t="s">
        <v>1369</v>
      </c>
      <c r="Q335" s="8" t="s">
        <v>1369</v>
      </c>
      <c r="R335" s="8" t="s">
        <v>1369</v>
      </c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26</v>
      </c>
      <c r="M336" s="17">
        <f t="shared" si="24"/>
        <v>4</v>
      </c>
      <c r="N336" s="18">
        <f t="shared" si="25"/>
        <v>0.8666666666666667</v>
      </c>
      <c r="O336" s="27" t="s">
        <v>1369</v>
      </c>
      <c r="P336" s="8" t="s">
        <v>1369</v>
      </c>
      <c r="Q336" s="8" t="s">
        <v>1369</v>
      </c>
      <c r="R336" s="8" t="s">
        <v>1369</v>
      </c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26</v>
      </c>
      <c r="M352" s="17">
        <f t="shared" si="24"/>
        <v>4</v>
      </c>
      <c r="N352" s="18">
        <f t="shared" si="25"/>
        <v>0.8666666666666667</v>
      </c>
      <c r="O352" s="27" t="s">
        <v>1369</v>
      </c>
      <c r="P352" s="8" t="s">
        <v>1369</v>
      </c>
      <c r="Q352" s="8" t="s">
        <v>1369</v>
      </c>
      <c r="R352" s="8" t="s">
        <v>1369</v>
      </c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26</v>
      </c>
      <c r="M359" s="17">
        <f t="shared" si="24"/>
        <v>4</v>
      </c>
      <c r="N359" s="18">
        <f t="shared" si="25"/>
        <v>0.8666666666666667</v>
      </c>
      <c r="O359" s="27" t="s">
        <v>1369</v>
      </c>
      <c r="P359" s="8" t="s">
        <v>1369</v>
      </c>
      <c r="Q359" s="8" t="s">
        <v>1369</v>
      </c>
      <c r="R359" s="8" t="s">
        <v>1369</v>
      </c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26</v>
      </c>
      <c r="M360" s="17">
        <f t="shared" si="24"/>
        <v>4</v>
      </c>
      <c r="N360" s="18">
        <f t="shared" si="25"/>
        <v>0.8666666666666667</v>
      </c>
      <c r="O360" s="27" t="s">
        <v>1369</v>
      </c>
      <c r="P360" s="8" t="s">
        <v>1369</v>
      </c>
      <c r="Q360" s="8" t="s">
        <v>1369</v>
      </c>
      <c r="R360" s="8" t="s">
        <v>1369</v>
      </c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26</v>
      </c>
      <c r="M361" s="17">
        <f t="shared" si="24"/>
        <v>4</v>
      </c>
      <c r="N361" s="18">
        <f t="shared" si="25"/>
        <v>0.8666666666666667</v>
      </c>
      <c r="O361" s="27" t="s">
        <v>1369</v>
      </c>
      <c r="P361" s="8" t="s">
        <v>1369</v>
      </c>
      <c r="Q361" s="8" t="s">
        <v>1369</v>
      </c>
      <c r="R361" s="8" t="s">
        <v>1369</v>
      </c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26</v>
      </c>
      <c r="M362" s="17">
        <f t="shared" si="24"/>
        <v>4</v>
      </c>
      <c r="N362" s="18">
        <f t="shared" si="25"/>
        <v>0.8666666666666667</v>
      </c>
      <c r="O362" s="27" t="s">
        <v>1369</v>
      </c>
      <c r="P362" s="8" t="s">
        <v>1369</v>
      </c>
      <c r="Q362" s="8" t="s">
        <v>1369</v>
      </c>
      <c r="R362" s="8" t="s">
        <v>1369</v>
      </c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1369</v>
      </c>
      <c r="P363" s="8" t="s">
        <v>1369</v>
      </c>
      <c r="Q363" s="8" t="s">
        <v>1369</v>
      </c>
      <c r="R363" s="8" t="s">
        <v>1369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7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0</v>
      </c>
      <c r="C6" s="54">
        <f>'APAGADOS FIBRA'!J2</f>
        <v>0</v>
      </c>
      <c r="D6" s="54">
        <f>'APAGADOS ANTENA'!J2</f>
        <v>0</v>
      </c>
      <c r="E6" s="54">
        <f t="shared" si="5"/>
        <v>0</v>
      </c>
      <c r="F6" s="54">
        <f>'RESUMEN TOTAL'!C1</f>
        <v>375</v>
      </c>
      <c r="G6" s="59">
        <f t="shared" si="6"/>
        <v>0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0</v>
      </c>
      <c r="C8" s="54">
        <f>'APAGADOS FIBRA'!L2</f>
        <v>0</v>
      </c>
      <c r="D8" s="54">
        <f>'APAGADOS ANTENA'!L2</f>
        <v>0</v>
      </c>
      <c r="E8" s="54">
        <f t="shared" ref="E8" si="7">B8+C8</f>
        <v>0</v>
      </c>
      <c r="F8" s="54">
        <f>'RESUMEN TOTAL'!C1</f>
        <v>375</v>
      </c>
      <c r="G8" s="59">
        <f t="shared" ref="G8" si="8">E8/F8</f>
        <v>0</v>
      </c>
    </row>
    <row r="9" spans="1:7" x14ac:dyDescent="0.25">
      <c r="A9" s="25">
        <f>'APAGADOS RADIO'!M3</f>
        <v>44750</v>
      </c>
      <c r="B9" s="54">
        <f>'APAGADOS RADIO'!M2+D9</f>
        <v>0</v>
      </c>
      <c r="C9" s="54">
        <f>'APAGADOS FIBRA'!M2</f>
        <v>0</v>
      </c>
      <c r="D9" s="54">
        <f>'APAGADOS ANTENA'!M2</f>
        <v>0</v>
      </c>
      <c r="E9" s="54">
        <f t="shared" ref="E9" si="9">B9+C9</f>
        <v>0</v>
      </c>
      <c r="F9" s="54">
        <f>'RESUMEN TOTAL'!C1</f>
        <v>375</v>
      </c>
      <c r="G9" s="59">
        <f t="shared" ref="G9" si="10">E9/F9</f>
        <v>0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2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3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4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2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3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3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5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99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5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0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0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1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99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0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5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0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1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5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0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0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0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0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2022-07-04T11:34:42Z</dcterms:modified>
</cp:coreProperties>
</file>