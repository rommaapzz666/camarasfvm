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8_{B298CDE7-77FF-4674-9384-2F41B2639E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<sst xmlns="http://schemas.openxmlformats.org/spreadsheetml/2006/main" count="4686" uniqueCount="1310">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</sst>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T234" activePane="bottomRight" state="frozen"/>
      <selection pane="topRight" activeCell="M1" sqref="M1"/>
      <selection pane="bottomLeft" activeCell="A5" sqref="A5"/>
      <selection pane="bottomRight" activeCell="T244" sqref="T244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2" customWidth="1"/>
    <col min="6" max="6" width="17.42578125" style="126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9"/>
      <c r="F1" s="123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7"/>
      <c r="D2" s="7" t="s">
        <v>5</v>
      </c>
      <c r="E2" s="120"/>
      <c r="F2" s="124"/>
      <c r="G2" s="29"/>
      <c r="H2" s="30"/>
      <c r="I2" s="30"/>
      <c r="J2" s="34"/>
      <c r="K2" s="8">
        <f>B1-K3</f>
        <v>300</v>
      </c>
      <c r="L2" s="118">
        <f t="shared" ref="L2:AN2" si="1">CANTIDAD_DE_CAMARAS-L3</f>
        <v>322</v>
      </c>
      <c r="M2" s="118">
        <f t="shared" si="1"/>
        <v>338</v>
      </c>
      <c r="N2" s="118">
        <f t="shared" si="1"/>
        <v>340</v>
      </c>
      <c r="O2" s="118">
        <f t="shared" si="1"/>
        <v>337</v>
      </c>
      <c r="P2" s="118">
        <f t="shared" si="1"/>
        <v>354</v>
      </c>
      <c r="Q2" s="118">
        <f t="shared" si="1"/>
        <v>353</v>
      </c>
      <c r="R2" s="118">
        <f t="shared" si="1"/>
        <v>353</v>
      </c>
      <c r="S2" s="118">
        <f t="shared" si="1"/>
        <v>343</v>
      </c>
      <c r="T2" s="118">
        <f t="shared" si="1"/>
        <v>336</v>
      </c>
      <c r="U2" s="118">
        <f t="shared" si="1"/>
        <v>435</v>
      </c>
      <c r="V2" s="118">
        <f t="shared" si="1"/>
        <v>435</v>
      </c>
      <c r="W2" s="118">
        <f t="shared" si="1"/>
        <v>435</v>
      </c>
      <c r="X2" s="118">
        <f t="shared" si="1"/>
        <v>435</v>
      </c>
      <c r="Y2" s="118">
        <f t="shared" si="1"/>
        <v>435</v>
      </c>
      <c r="Z2" s="118">
        <f t="shared" si="1"/>
        <v>435</v>
      </c>
      <c r="AA2" s="118">
        <f t="shared" si="1"/>
        <v>435</v>
      </c>
      <c r="AB2" s="118">
        <f t="shared" si="1"/>
        <v>435</v>
      </c>
      <c r="AC2" s="118">
        <f t="shared" si="1"/>
        <v>435</v>
      </c>
      <c r="AD2" s="118">
        <f t="shared" si="1"/>
        <v>435</v>
      </c>
      <c r="AE2" s="118">
        <f t="shared" si="1"/>
        <v>435</v>
      </c>
      <c r="AF2" s="118">
        <f t="shared" si="1"/>
        <v>435</v>
      </c>
      <c r="AG2" s="118">
        <f t="shared" si="1"/>
        <v>435</v>
      </c>
      <c r="AH2" s="118">
        <f t="shared" si="1"/>
        <v>435</v>
      </c>
      <c r="AI2" s="118">
        <f t="shared" si="1"/>
        <v>435</v>
      </c>
      <c r="AJ2" s="118">
        <f t="shared" si="1"/>
        <v>435</v>
      </c>
      <c r="AK2" s="118">
        <f t="shared" si="1"/>
        <v>435</v>
      </c>
      <c r="AL2" s="118">
        <f t="shared" si="1"/>
        <v>435</v>
      </c>
      <c r="AM2" s="118">
        <f t="shared" si="1"/>
        <v>435</v>
      </c>
      <c r="AN2" s="118">
        <f t="shared" si="1"/>
        <v>435</v>
      </c>
      <c r="AO2" s="8"/>
    </row>
    <row r="3" spans="1:41" s="9" customFormat="1" ht="15.75" thickBot="1" x14ac:dyDescent="0.3">
      <c r="A3" s="10"/>
      <c r="B3" s="33"/>
      <c r="C3" s="117"/>
      <c r="D3" s="11" t="s">
        <v>6</v>
      </c>
      <c r="E3" s="121"/>
      <c r="F3" s="125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1158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1159</v>
      </c>
      <c r="D5" t="s">
        <v>30</v>
      </c>
      <c r="E5" s="39" t="s">
        <v>19</v>
      </c>
      <c r="F5" s="39" t="s">
        <v>28</v>
      </c>
      <c r="G5" t="s">
        <v>625</v>
      </c>
      <c r="H5" s="40">
        <f>COUNTIF(K5:AO5,"")</f>
        <v>21</v>
      </c>
      <c r="I5" s="40">
        <f>COUNTIF(K5:AL5,"APAGADO")</f>
        <v>10</v>
      </c>
      <c r="J5" s="41">
        <f>(H5)/(I5+H5)</f>
        <v>0.67741935483870963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 t="s">
        <v>1308</v>
      </c>
      <c r="S5" s="20" t="s">
        <v>1308</v>
      </c>
      <c r="T5" s="20" t="s">
        <v>1308</v>
      </c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1159</v>
      </c>
      <c r="D6" t="s">
        <v>32</v>
      </c>
      <c r="E6" s="39" t="s">
        <v>19</v>
      </c>
      <c r="F6" s="39" t="s">
        <v>1152</v>
      </c>
      <c r="G6" t="s">
        <v>626</v>
      </c>
      <c r="H6" s="40">
        <f t="shared" ref="H6:H69" si="3">COUNTIF(K6:AO6,"")</f>
        <v>21</v>
      </c>
      <c r="I6" s="40">
        <f>COUNTIF(K6:AL6,"APAGADO")</f>
        <v>10</v>
      </c>
      <c r="J6" s="41">
        <f>(H6)/(I6+H6)</f>
        <v>0.67741935483870963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 t="s">
        <v>1308</v>
      </c>
      <c r="S6" s="20" t="s">
        <v>1308</v>
      </c>
      <c r="T6" s="20" t="s">
        <v>1308</v>
      </c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1004</v>
      </c>
      <c r="C7" t="s">
        <v>1159</v>
      </c>
      <c r="D7" t="s">
        <v>33</v>
      </c>
      <c r="E7" s="39" t="s">
        <v>19</v>
      </c>
      <c r="F7" s="39" t="s">
        <v>1151</v>
      </c>
      <c r="G7" t="s">
        <v>627</v>
      </c>
      <c r="H7" s="40">
        <f t="shared" si="3"/>
        <v>21</v>
      </c>
      <c r="I7" s="40">
        <f t="shared" ref="I7:I76" si="4">COUNTIF(K7:AL7,"APAGADO")</f>
        <v>10</v>
      </c>
      <c r="J7" s="41">
        <f t="shared" ref="J7:J76" si="5">(H7)/(I7+H7)</f>
        <v>0.67741935483870963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 t="s">
        <v>1308</v>
      </c>
      <c r="S7" s="22" t="s">
        <v>1308</v>
      </c>
      <c r="T7" s="22" t="s">
        <v>1308</v>
      </c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1005</v>
      </c>
      <c r="C8" t="s">
        <v>1159</v>
      </c>
      <c r="D8" t="s">
        <v>34</v>
      </c>
      <c r="E8" s="39" t="s">
        <v>19</v>
      </c>
      <c r="F8" s="39" t="s">
        <v>1151</v>
      </c>
      <c r="G8" t="s">
        <v>628</v>
      </c>
      <c r="H8" s="40">
        <f t="shared" si="3"/>
        <v>21</v>
      </c>
      <c r="I8" s="40">
        <f t="shared" si="4"/>
        <v>10</v>
      </c>
      <c r="J8" s="41">
        <f t="shared" si="5"/>
        <v>0.67741935483870963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 t="s">
        <v>1308</v>
      </c>
      <c r="S8" s="20" t="s">
        <v>1308</v>
      </c>
      <c r="T8" s="20" t="s">
        <v>1308</v>
      </c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1159</v>
      </c>
      <c r="D9" t="s">
        <v>36</v>
      </c>
      <c r="E9" s="39" t="s">
        <v>19</v>
      </c>
      <c r="F9" s="39" t="s">
        <v>1152</v>
      </c>
      <c r="G9" t="s">
        <v>629</v>
      </c>
      <c r="H9" s="40">
        <f t="shared" si="3"/>
        <v>21</v>
      </c>
      <c r="I9" s="40">
        <f>COUNTIF(K9:AL9,"APAGADO")</f>
        <v>10</v>
      </c>
      <c r="J9" s="41">
        <f>(H9)/(I9+H9)</f>
        <v>0.67741935483870963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 t="s">
        <v>1308</v>
      </c>
      <c r="S9" s="20" t="s">
        <v>1308</v>
      </c>
      <c r="T9" s="20" t="s">
        <v>1308</v>
      </c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1006</v>
      </c>
      <c r="C10" t="s">
        <v>1159</v>
      </c>
      <c r="D10" t="s">
        <v>27</v>
      </c>
      <c r="E10" s="39" t="s">
        <v>19</v>
      </c>
      <c r="F10" s="39" t="s">
        <v>1152</v>
      </c>
      <c r="G10" t="s">
        <v>630</v>
      </c>
      <c r="H10" s="40">
        <f t="shared" si="3"/>
        <v>21</v>
      </c>
      <c r="I10" s="40">
        <f t="shared" si="4"/>
        <v>10</v>
      </c>
      <c r="J10" s="41">
        <f t="shared" si="5"/>
        <v>0.67741935483870963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 t="s">
        <v>1308</v>
      </c>
      <c r="S10" s="20" t="s">
        <v>1308</v>
      </c>
      <c r="T10" s="20" t="s">
        <v>1308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1159</v>
      </c>
      <c r="D11" t="s">
        <v>38</v>
      </c>
      <c r="E11" s="39" t="s">
        <v>15</v>
      </c>
      <c r="F11" s="39" t="s">
        <v>1152</v>
      </c>
      <c r="G11" t="s">
        <v>632</v>
      </c>
      <c r="H11" s="40">
        <f t="shared" si="3"/>
        <v>21</v>
      </c>
      <c r="I11" s="40">
        <f>COUNTIF(K11:AL11,"APAGADO")</f>
        <v>10</v>
      </c>
      <c r="J11" s="41">
        <f>(H11)/(I11+H11)</f>
        <v>0.67741935483870963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 t="s">
        <v>1308</v>
      </c>
      <c r="S11" s="20" t="s">
        <v>1308</v>
      </c>
      <c r="T11" s="20" t="s">
        <v>1308</v>
      </c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1007</v>
      </c>
      <c r="C12" t="s">
        <v>1159</v>
      </c>
      <c r="D12" t="s">
        <v>39</v>
      </c>
      <c r="E12" s="39" t="s">
        <v>15</v>
      </c>
      <c r="F12" s="39" t="s">
        <v>28</v>
      </c>
      <c r="G12" t="s">
        <v>633</v>
      </c>
      <c r="H12" s="40">
        <f t="shared" si="3"/>
        <v>21</v>
      </c>
      <c r="I12" s="40">
        <f t="shared" si="4"/>
        <v>10</v>
      </c>
      <c r="J12" s="41">
        <f t="shared" si="5"/>
        <v>0.67741935483870963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 t="s">
        <v>1308</v>
      </c>
      <c r="S12" s="20" t="s">
        <v>1308</v>
      </c>
      <c r="T12" s="20" t="s">
        <v>1308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1008</v>
      </c>
      <c r="C13" t="s">
        <v>1159</v>
      </c>
      <c r="D13" t="s">
        <v>40</v>
      </c>
      <c r="E13" s="39" t="s">
        <v>15</v>
      </c>
      <c r="F13" s="39" t="s">
        <v>28</v>
      </c>
      <c r="G13" t="s">
        <v>634</v>
      </c>
      <c r="H13" s="40">
        <f t="shared" si="3"/>
        <v>21</v>
      </c>
      <c r="I13" s="40">
        <f t="shared" si="4"/>
        <v>10</v>
      </c>
      <c r="J13" s="41">
        <f t="shared" si="5"/>
        <v>0.67741935483870963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 t="s">
        <v>1308</v>
      </c>
      <c r="S13" s="20" t="s">
        <v>1308</v>
      </c>
      <c r="T13" s="20" t="s">
        <v>1308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1009</v>
      </c>
      <c r="C14" t="s">
        <v>1159</v>
      </c>
      <c r="D14" t="s">
        <v>1010</v>
      </c>
      <c r="E14" s="39" t="s">
        <v>19</v>
      </c>
      <c r="F14" s="39" t="s">
        <v>20</v>
      </c>
      <c r="G14"/>
      <c r="H14" s="40">
        <f t="shared" si="3"/>
        <v>21</v>
      </c>
      <c r="I14" s="40">
        <f t="shared" si="4"/>
        <v>10</v>
      </c>
      <c r="J14" s="41">
        <f t="shared" si="5"/>
        <v>0.67741935483870963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 t="s">
        <v>1308</v>
      </c>
      <c r="S14" s="20" t="s">
        <v>1308</v>
      </c>
      <c r="T14" s="20" t="s">
        <v>1308</v>
      </c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1011</v>
      </c>
      <c r="C15" t="s">
        <v>1160</v>
      </c>
      <c r="D15" t="s">
        <v>42</v>
      </c>
      <c r="E15" s="39" t="s">
        <v>19</v>
      </c>
      <c r="F15" s="39" t="s">
        <v>1151</v>
      </c>
      <c r="G15" t="s">
        <v>635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1012</v>
      </c>
      <c r="C16" t="s">
        <v>1159</v>
      </c>
      <c r="D16" t="s">
        <v>44</v>
      </c>
      <c r="E16" s="39" t="s">
        <v>15</v>
      </c>
      <c r="F16" s="39" t="s">
        <v>1151</v>
      </c>
      <c r="G16" t="s">
        <v>636</v>
      </c>
      <c r="H16" s="40">
        <f t="shared" si="3"/>
        <v>22</v>
      </c>
      <c r="I16" s="40">
        <f t="shared" si="4"/>
        <v>9</v>
      </c>
      <c r="J16" s="41">
        <f t="shared" si="5"/>
        <v>0.70967741935483875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 t="s">
        <v>1308</v>
      </c>
      <c r="S16" s="20" t="s">
        <v>1308</v>
      </c>
      <c r="T16" s="20" t="s">
        <v>1308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1292</v>
      </c>
      <c r="B17" s="39" t="s">
        <v>1276</v>
      </c>
      <c r="C17" s="39" t="s">
        <v>1160</v>
      </c>
      <c r="D17" t="s">
        <v>1260</v>
      </c>
      <c r="E17" s="39" t="s">
        <v>73</v>
      </c>
      <c r="F17" s="39" t="s">
        <v>20</v>
      </c>
      <c r="G17" s="21" t="s">
        <v>1263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1292</v>
      </c>
      <c r="B18" s="39" t="s">
        <v>1277</v>
      </c>
      <c r="C18" s="39" t="s">
        <v>1160</v>
      </c>
      <c r="D18" t="s">
        <v>1260</v>
      </c>
      <c r="E18" s="39" t="s">
        <v>73</v>
      </c>
      <c r="F18" s="39" t="s">
        <v>20</v>
      </c>
      <c r="G18" s="21" t="s">
        <v>1264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1292</v>
      </c>
      <c r="B19" s="39" t="s">
        <v>1275</v>
      </c>
      <c r="C19" s="39" t="s">
        <v>1160</v>
      </c>
      <c r="D19" t="s">
        <v>1259</v>
      </c>
      <c r="E19" s="39" t="s">
        <v>73</v>
      </c>
      <c r="F19" s="39" t="s">
        <v>20</v>
      </c>
      <c r="G19" s="21" t="s">
        <v>1262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1292</v>
      </c>
      <c r="B20" s="39" t="s">
        <v>1274</v>
      </c>
      <c r="C20" s="39" t="s">
        <v>1160</v>
      </c>
      <c r="D20" t="s">
        <v>1259</v>
      </c>
      <c r="E20" s="39" t="s">
        <v>73</v>
      </c>
      <c r="F20" s="39" t="s">
        <v>20</v>
      </c>
      <c r="G20" s="21" t="s">
        <v>1269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1292</v>
      </c>
      <c r="B21" s="39" t="s">
        <v>1278</v>
      </c>
      <c r="C21" s="39" t="s">
        <v>1160</v>
      </c>
      <c r="D21" t="s">
        <v>1261</v>
      </c>
      <c r="E21" s="39" t="s">
        <v>73</v>
      </c>
      <c r="F21" s="39" t="s">
        <v>20</v>
      </c>
      <c r="G21" s="21" t="s">
        <v>1265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1292</v>
      </c>
      <c r="B22" s="39" t="s">
        <v>1279</v>
      </c>
      <c r="C22" s="39" t="s">
        <v>1160</v>
      </c>
      <c r="D22" t="s">
        <v>1261</v>
      </c>
      <c r="E22" s="39" t="s">
        <v>73</v>
      </c>
      <c r="F22" s="39" t="s">
        <v>20</v>
      </c>
      <c r="G22" s="21" t="s">
        <v>1266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1159</v>
      </c>
      <c r="D23" t="s">
        <v>72</v>
      </c>
      <c r="E23" s="39" t="s">
        <v>73</v>
      </c>
      <c r="F23" s="39" t="s">
        <v>28</v>
      </c>
      <c r="G23" t="s">
        <v>637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1159</v>
      </c>
      <c r="D24" t="s">
        <v>75</v>
      </c>
      <c r="E24" s="39" t="s">
        <v>73</v>
      </c>
      <c r="F24" s="39" t="s">
        <v>28</v>
      </c>
      <c r="G24" t="s">
        <v>631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1159</v>
      </c>
      <c r="D25" t="s">
        <v>77</v>
      </c>
      <c r="E25" s="39" t="s">
        <v>19</v>
      </c>
      <c r="F25" s="39" t="s">
        <v>28</v>
      </c>
      <c r="G25" t="s">
        <v>638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1159</v>
      </c>
      <c r="D26" t="s">
        <v>79</v>
      </c>
      <c r="E26" s="39" t="s">
        <v>19</v>
      </c>
      <c r="F26" s="39" t="s">
        <v>28</v>
      </c>
      <c r="G26" t="s">
        <v>639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1013</v>
      </c>
      <c r="C27" t="s">
        <v>1159</v>
      </c>
      <c r="D27" t="s">
        <v>1179</v>
      </c>
      <c r="E27" s="39" t="s">
        <v>15</v>
      </c>
      <c r="F27" s="39" t="s">
        <v>28</v>
      </c>
      <c r="G27" t="s">
        <v>640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1159</v>
      </c>
      <c r="D28" t="s">
        <v>81</v>
      </c>
      <c r="E28" s="39" t="s">
        <v>73</v>
      </c>
      <c r="F28" s="39" t="s">
        <v>28</v>
      </c>
      <c r="G28" t="s">
        <v>641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1159</v>
      </c>
      <c r="D29" t="s">
        <v>1175</v>
      </c>
      <c r="E29" s="39" t="s">
        <v>15</v>
      </c>
      <c r="F29" s="39" t="s">
        <v>28</v>
      </c>
      <c r="G29" t="s">
        <v>642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1159</v>
      </c>
      <c r="D30" t="s">
        <v>1174</v>
      </c>
      <c r="E30" s="39" t="s">
        <v>19</v>
      </c>
      <c r="F30" s="39" t="s">
        <v>28</v>
      </c>
      <c r="G30" t="s">
        <v>643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1159</v>
      </c>
      <c r="D31" t="s">
        <v>85</v>
      </c>
      <c r="E31" s="39" t="s">
        <v>19</v>
      </c>
      <c r="F31" s="39" t="s">
        <v>28</v>
      </c>
      <c r="G31" t="s">
        <v>644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1159</v>
      </c>
      <c r="D32" t="s">
        <v>1173</v>
      </c>
      <c r="E32" s="39" t="s">
        <v>19</v>
      </c>
      <c r="F32" s="39" t="s">
        <v>28</v>
      </c>
      <c r="G32" t="s">
        <v>645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1159</v>
      </c>
      <c r="D33" t="s">
        <v>88</v>
      </c>
      <c r="E33" s="39" t="s">
        <v>19</v>
      </c>
      <c r="F33" s="39" t="s">
        <v>28</v>
      </c>
      <c r="G33" t="s">
        <v>646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1014</v>
      </c>
      <c r="C34" t="s">
        <v>1159</v>
      </c>
      <c r="D34" t="s">
        <v>89</v>
      </c>
      <c r="E34" s="39" t="s">
        <v>19</v>
      </c>
      <c r="F34" s="39" t="s">
        <v>28</v>
      </c>
      <c r="G34" t="s">
        <v>647</v>
      </c>
      <c r="H34" s="40">
        <f t="shared" si="3"/>
        <v>21</v>
      </c>
      <c r="I34" s="40">
        <f>COUNTIF(K34:AL34,"APAGADO")</f>
        <v>10</v>
      </c>
      <c r="J34" s="41">
        <f>(H34)/(I34+H34)</f>
        <v>0.67741935483870963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 t="s">
        <v>1308</v>
      </c>
      <c r="S34" s="20" t="s">
        <v>1308</v>
      </c>
      <c r="T34" s="20" t="s">
        <v>1308</v>
      </c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1015</v>
      </c>
      <c r="C35" t="s">
        <v>1159</v>
      </c>
      <c r="D35" t="s">
        <v>90</v>
      </c>
      <c r="E35" s="39" t="s">
        <v>15</v>
      </c>
      <c r="F35" s="39" t="s">
        <v>28</v>
      </c>
      <c r="G35" t="s">
        <v>648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1159</v>
      </c>
      <c r="D36" t="s">
        <v>1177</v>
      </c>
      <c r="E36" s="39" t="s">
        <v>19</v>
      </c>
      <c r="F36" s="39" t="s">
        <v>28</v>
      </c>
      <c r="G36" t="s">
        <v>649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1159</v>
      </c>
      <c r="D37" t="s">
        <v>93</v>
      </c>
      <c r="E37" s="39" t="s">
        <v>19</v>
      </c>
      <c r="F37" s="39" t="s">
        <v>28</v>
      </c>
      <c r="G37" t="s">
        <v>650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1159</v>
      </c>
      <c r="D38" t="s">
        <v>95</v>
      </c>
      <c r="E38" s="39" t="s">
        <v>73</v>
      </c>
      <c r="F38" s="39" t="s">
        <v>28</v>
      </c>
      <c r="G38" t="s">
        <v>651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1159</v>
      </c>
      <c r="D39" t="s">
        <v>97</v>
      </c>
      <c r="E39" s="39" t="s">
        <v>19</v>
      </c>
      <c r="F39" s="39" t="s">
        <v>1152</v>
      </c>
      <c r="G39" t="s">
        <v>652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1159</v>
      </c>
      <c r="D40" t="s">
        <v>99</v>
      </c>
      <c r="E40" s="39" t="s">
        <v>73</v>
      </c>
      <c r="F40" s="39" t="s">
        <v>28</v>
      </c>
      <c r="G40" t="s">
        <v>653</v>
      </c>
      <c r="H40" s="40">
        <f t="shared" si="3"/>
        <v>21</v>
      </c>
      <c r="I40" s="40">
        <f t="shared" si="4"/>
        <v>10</v>
      </c>
      <c r="J40" s="41">
        <f t="shared" si="5"/>
        <v>0.67741935483870963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 t="s">
        <v>1308</v>
      </c>
      <c r="S40" s="20" t="s">
        <v>1308</v>
      </c>
      <c r="T40" s="20" t="s">
        <v>1308</v>
      </c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1159</v>
      </c>
      <c r="D41" t="s">
        <v>85</v>
      </c>
      <c r="E41" s="39" t="s">
        <v>73</v>
      </c>
      <c r="F41" s="39" t="s">
        <v>28</v>
      </c>
      <c r="G41" t="s">
        <v>654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1159</v>
      </c>
      <c r="D42" t="s">
        <v>103</v>
      </c>
      <c r="E42" s="39" t="s">
        <v>19</v>
      </c>
      <c r="F42" s="39" t="s">
        <v>28</v>
      </c>
      <c r="G42" t="s">
        <v>655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1159</v>
      </c>
      <c r="D43" t="s">
        <v>105</v>
      </c>
      <c r="E43" s="39" t="s">
        <v>73</v>
      </c>
      <c r="F43" s="39" t="s">
        <v>20</v>
      </c>
      <c r="G43" t="s">
        <v>656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1159</v>
      </c>
      <c r="D44" t="s">
        <v>107</v>
      </c>
      <c r="E44" s="39" t="s">
        <v>19</v>
      </c>
      <c r="F44" s="39" t="s">
        <v>20</v>
      </c>
      <c r="G44" t="s">
        <v>657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1159</v>
      </c>
      <c r="D45" t="s">
        <v>109</v>
      </c>
      <c r="E45" s="39" t="s">
        <v>19</v>
      </c>
      <c r="F45" s="39" t="s">
        <v>28</v>
      </c>
      <c r="G45" t="s">
        <v>658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1159</v>
      </c>
      <c r="D46" t="s">
        <v>1178</v>
      </c>
      <c r="E46" s="39" t="s">
        <v>19</v>
      </c>
      <c r="F46" s="39" t="s">
        <v>28</v>
      </c>
      <c r="G46" t="s">
        <v>659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1159</v>
      </c>
      <c r="D47" t="s">
        <v>112</v>
      </c>
      <c r="E47" s="39" t="s">
        <v>19</v>
      </c>
      <c r="F47" s="39" t="s">
        <v>28</v>
      </c>
      <c r="G47" t="s">
        <v>660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1159</v>
      </c>
      <c r="D48" t="s">
        <v>1180</v>
      </c>
      <c r="E48" s="39" t="s">
        <v>19</v>
      </c>
      <c r="F48" s="39" t="s">
        <v>28</v>
      </c>
      <c r="G48" t="s">
        <v>661</v>
      </c>
      <c r="H48" s="40">
        <f t="shared" si="3"/>
        <v>21</v>
      </c>
      <c r="I48" s="40">
        <f t="shared" si="4"/>
        <v>10</v>
      </c>
      <c r="J48" s="41">
        <f t="shared" si="5"/>
        <v>0.67741935483870963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 t="s">
        <v>1308</v>
      </c>
      <c r="S48" s="20" t="s">
        <v>1308</v>
      </c>
      <c r="T48" s="20" t="s">
        <v>1308</v>
      </c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1159</v>
      </c>
      <c r="D49" t="s">
        <v>1181</v>
      </c>
      <c r="E49" s="39" t="s">
        <v>19</v>
      </c>
      <c r="F49" s="39" t="s">
        <v>28</v>
      </c>
      <c r="G49" t="s">
        <v>662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1159</v>
      </c>
      <c r="D50" t="s">
        <v>116</v>
      </c>
      <c r="E50" s="39" t="s">
        <v>19</v>
      </c>
      <c r="F50" s="39" t="s">
        <v>28</v>
      </c>
      <c r="G50" t="s">
        <v>663</v>
      </c>
      <c r="H50" s="40">
        <f t="shared" si="3"/>
        <v>21</v>
      </c>
      <c r="I50" s="40">
        <f t="shared" si="4"/>
        <v>10</v>
      </c>
      <c r="J50" s="41">
        <f t="shared" si="5"/>
        <v>0.67741935483870963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 t="s">
        <v>1308</v>
      </c>
      <c r="S50" s="20" t="s">
        <v>1308</v>
      </c>
      <c r="T50" s="20" t="s">
        <v>1308</v>
      </c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1159</v>
      </c>
      <c r="D51" t="s">
        <v>118</v>
      </c>
      <c r="E51" s="39" t="s">
        <v>19</v>
      </c>
      <c r="F51" s="39" t="s">
        <v>28</v>
      </c>
      <c r="G51" t="s">
        <v>664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1159</v>
      </c>
      <c r="D52" t="s">
        <v>120</v>
      </c>
      <c r="E52" s="39" t="s">
        <v>19</v>
      </c>
      <c r="F52" s="39" t="s">
        <v>28</v>
      </c>
      <c r="G52" t="s">
        <v>665</v>
      </c>
      <c r="H52" s="40">
        <f t="shared" si="3"/>
        <v>21</v>
      </c>
      <c r="I52" s="40">
        <f t="shared" si="4"/>
        <v>10</v>
      </c>
      <c r="J52" s="41">
        <f t="shared" si="5"/>
        <v>0.67741935483870963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 t="s">
        <v>1308</v>
      </c>
      <c r="S52" s="20" t="s">
        <v>1308</v>
      </c>
      <c r="T52" s="20" t="s">
        <v>1308</v>
      </c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1159</v>
      </c>
      <c r="D53" t="s">
        <v>122</v>
      </c>
      <c r="E53" s="39" t="s">
        <v>19</v>
      </c>
      <c r="F53" s="39" t="s">
        <v>28</v>
      </c>
      <c r="G53" t="s">
        <v>666</v>
      </c>
      <c r="H53" s="40">
        <f t="shared" si="3"/>
        <v>21</v>
      </c>
      <c r="I53" s="40">
        <f t="shared" si="4"/>
        <v>10</v>
      </c>
      <c r="J53" s="41">
        <f t="shared" si="5"/>
        <v>0.67741935483870963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 t="s">
        <v>1308</v>
      </c>
      <c r="S53" s="20" t="s">
        <v>1308</v>
      </c>
      <c r="T53" s="20" t="s">
        <v>1308</v>
      </c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1159</v>
      </c>
      <c r="D54" t="s">
        <v>1182</v>
      </c>
      <c r="E54" s="39" t="s">
        <v>19</v>
      </c>
      <c r="F54" s="39" t="s">
        <v>28</v>
      </c>
      <c r="G54" t="s">
        <v>667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1159</v>
      </c>
      <c r="D55" t="s">
        <v>125</v>
      </c>
      <c r="E55" s="39" t="s">
        <v>19</v>
      </c>
      <c r="F55" s="39" t="s">
        <v>28</v>
      </c>
      <c r="G55" t="s">
        <v>668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1159</v>
      </c>
      <c r="D56" t="s">
        <v>1163</v>
      </c>
      <c r="E56" s="39" t="s">
        <v>19</v>
      </c>
      <c r="F56" s="39" t="s">
        <v>28</v>
      </c>
      <c r="G56" t="s">
        <v>669</v>
      </c>
      <c r="H56" s="40">
        <f t="shared" si="3"/>
        <v>21</v>
      </c>
      <c r="I56" s="40">
        <f t="shared" si="4"/>
        <v>10</v>
      </c>
      <c r="J56" s="41">
        <f t="shared" si="5"/>
        <v>0.67741935483870963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 t="s">
        <v>1308</v>
      </c>
      <c r="S56" s="20" t="s">
        <v>1308</v>
      </c>
      <c r="T56" s="20" t="s">
        <v>1308</v>
      </c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1159</v>
      </c>
      <c r="D57" t="s">
        <v>1164</v>
      </c>
      <c r="E57" s="39" t="s">
        <v>19</v>
      </c>
      <c r="F57" s="39" t="s">
        <v>28</v>
      </c>
      <c r="G57" t="s">
        <v>670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1159</v>
      </c>
      <c r="D58" t="s">
        <v>1165</v>
      </c>
      <c r="E58" s="39" t="s">
        <v>19</v>
      </c>
      <c r="F58" s="39" t="s">
        <v>28</v>
      </c>
      <c r="G58" t="s">
        <v>671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1016</v>
      </c>
      <c r="C59" t="s">
        <v>1159</v>
      </c>
      <c r="D59" t="s">
        <v>129</v>
      </c>
      <c r="E59" s="39" t="s">
        <v>19</v>
      </c>
      <c r="F59" s="39" t="s">
        <v>28</v>
      </c>
      <c r="G59" t="s">
        <v>672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1159</v>
      </c>
      <c r="D60" t="s">
        <v>131</v>
      </c>
      <c r="E60" s="39" t="s">
        <v>19</v>
      </c>
      <c r="F60" s="39" t="s">
        <v>28</v>
      </c>
      <c r="G60" t="s">
        <v>673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1308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1159</v>
      </c>
      <c r="D61" t="s">
        <v>133</v>
      </c>
      <c r="E61" s="39" t="s">
        <v>19</v>
      </c>
      <c r="F61" s="39" t="s">
        <v>28</v>
      </c>
      <c r="G61" t="s">
        <v>674</v>
      </c>
      <c r="H61" s="40">
        <f t="shared" si="3"/>
        <v>21</v>
      </c>
      <c r="I61" s="40">
        <f t="shared" si="4"/>
        <v>10</v>
      </c>
      <c r="J61" s="41">
        <f t="shared" si="5"/>
        <v>0.67741935483870963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 t="s">
        <v>1308</v>
      </c>
      <c r="S61" s="20" t="s">
        <v>1308</v>
      </c>
      <c r="T61" s="20" t="s">
        <v>1308</v>
      </c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1159</v>
      </c>
      <c r="D62" t="s">
        <v>135</v>
      </c>
      <c r="E62" s="39" t="s">
        <v>19</v>
      </c>
      <c r="F62" s="39" t="s">
        <v>28</v>
      </c>
      <c r="G62" t="s">
        <v>675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1308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1159</v>
      </c>
      <c r="D63" t="s">
        <v>137</v>
      </c>
      <c r="E63" s="39" t="s">
        <v>19</v>
      </c>
      <c r="F63" s="39" t="s">
        <v>28</v>
      </c>
      <c r="G63" t="s">
        <v>676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1159</v>
      </c>
      <c r="D64" t="s">
        <v>139</v>
      </c>
      <c r="E64" s="39" t="s">
        <v>19</v>
      </c>
      <c r="F64" s="39" t="s">
        <v>28</v>
      </c>
      <c r="G64" t="s">
        <v>677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1308</v>
      </c>
      <c r="T64" s="20" t="s">
        <v>1308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1159</v>
      </c>
      <c r="D65" t="s">
        <v>141</v>
      </c>
      <c r="E65" s="39" t="s">
        <v>19</v>
      </c>
      <c r="F65" s="39" t="s">
        <v>28</v>
      </c>
      <c r="G65" t="s">
        <v>678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1159</v>
      </c>
      <c r="D66" t="s">
        <v>143</v>
      </c>
      <c r="E66" s="39" t="s">
        <v>19</v>
      </c>
      <c r="F66" s="39" t="s">
        <v>28</v>
      </c>
      <c r="G66" t="s">
        <v>679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1159</v>
      </c>
      <c r="D67" t="s">
        <v>58</v>
      </c>
      <c r="E67" s="39" t="s">
        <v>73</v>
      </c>
      <c r="F67" s="39" t="s">
        <v>28</v>
      </c>
      <c r="G67" t="s">
        <v>680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1308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1159</v>
      </c>
      <c r="D68" t="s">
        <v>58</v>
      </c>
      <c r="E68" s="39" t="s">
        <v>73</v>
      </c>
      <c r="F68" s="39" t="s">
        <v>28</v>
      </c>
      <c r="G68" t="s">
        <v>681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1159</v>
      </c>
      <c r="D69" t="s">
        <v>147</v>
      </c>
      <c r="E69" s="39" t="s">
        <v>19</v>
      </c>
      <c r="F69" s="39" t="s">
        <v>28</v>
      </c>
      <c r="G69" t="s">
        <v>682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1159</v>
      </c>
      <c r="D70" t="s">
        <v>149</v>
      </c>
      <c r="E70" s="39" t="s">
        <v>19</v>
      </c>
      <c r="F70" s="39" t="s">
        <v>20</v>
      </c>
      <c r="G70" t="s">
        <v>683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1159</v>
      </c>
      <c r="D71" t="s">
        <v>151</v>
      </c>
      <c r="E71" s="39" t="s">
        <v>19</v>
      </c>
      <c r="F71" s="39" t="s">
        <v>20</v>
      </c>
      <c r="G71" t="s">
        <v>684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1017</v>
      </c>
      <c r="C72" t="s">
        <v>1159</v>
      </c>
      <c r="D72" t="s">
        <v>152</v>
      </c>
      <c r="E72" s="39" t="s">
        <v>19</v>
      </c>
      <c r="F72" s="39" t="s">
        <v>20</v>
      </c>
      <c r="G72" t="s">
        <v>685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1018</v>
      </c>
      <c r="C73" t="s">
        <v>1159</v>
      </c>
      <c r="D73" t="s">
        <v>45</v>
      </c>
      <c r="E73" s="39" t="s">
        <v>46</v>
      </c>
      <c r="F73" s="39" t="s">
        <v>28</v>
      </c>
      <c r="G73" t="s">
        <v>686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1159</v>
      </c>
      <c r="D74" t="s">
        <v>154</v>
      </c>
      <c r="E74" s="39" t="s">
        <v>15</v>
      </c>
      <c r="F74" s="39" t="s">
        <v>20</v>
      </c>
      <c r="G74" t="s">
        <v>687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1019</v>
      </c>
      <c r="C75" t="s">
        <v>1159</v>
      </c>
      <c r="D75" t="s">
        <v>47</v>
      </c>
      <c r="E75" s="39" t="s">
        <v>19</v>
      </c>
      <c r="F75" s="39" t="s">
        <v>20</v>
      </c>
      <c r="G75" t="s">
        <v>688</v>
      </c>
      <c r="H75" s="40">
        <f t="shared" si="8"/>
        <v>21</v>
      </c>
      <c r="I75" s="40">
        <f t="shared" si="4"/>
        <v>10</v>
      </c>
      <c r="J75" s="41">
        <f t="shared" si="5"/>
        <v>0.67741935483870963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 t="s">
        <v>1308</v>
      </c>
      <c r="S75" s="20" t="s">
        <v>1308</v>
      </c>
      <c r="T75" s="20" t="s">
        <v>1308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1159</v>
      </c>
      <c r="D76" t="s">
        <v>49</v>
      </c>
      <c r="E76" s="39" t="s">
        <v>19</v>
      </c>
      <c r="F76" s="39" t="s">
        <v>20</v>
      </c>
      <c r="G76" t="s">
        <v>689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1159</v>
      </c>
      <c r="D77" t="s">
        <v>51</v>
      </c>
      <c r="E77" s="39" t="s">
        <v>19</v>
      </c>
      <c r="F77" s="39" t="s">
        <v>20</v>
      </c>
      <c r="G77" t="s">
        <v>690</v>
      </c>
      <c r="H77" s="40">
        <f t="shared" si="8"/>
        <v>21</v>
      </c>
      <c r="I77" s="40">
        <f t="shared" ref="I77:I142" si="9">COUNTIF(K77:AL77,"APAGADO")</f>
        <v>10</v>
      </c>
      <c r="J77" s="41">
        <f t="shared" ref="J77:J142" si="10">(H77)/(I77+H77)</f>
        <v>0.67741935483870963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 t="s">
        <v>1308</v>
      </c>
      <c r="S77" s="20" t="s">
        <v>1308</v>
      </c>
      <c r="T77" s="20" t="s">
        <v>1308</v>
      </c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1159</v>
      </c>
      <c r="D78" t="s">
        <v>54</v>
      </c>
      <c r="E78" s="39" t="s">
        <v>15</v>
      </c>
      <c r="F78" s="39" t="s">
        <v>20</v>
      </c>
      <c r="G78" t="s">
        <v>691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1159</v>
      </c>
      <c r="D79" t="s">
        <v>56</v>
      </c>
      <c r="E79" s="39" t="s">
        <v>15</v>
      </c>
      <c r="F79" s="39" t="s">
        <v>20</v>
      </c>
      <c r="G79" t="s">
        <v>692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1159</v>
      </c>
      <c r="D80" t="s">
        <v>58</v>
      </c>
      <c r="E80" s="39" t="s">
        <v>15</v>
      </c>
      <c r="F80" s="39" t="s">
        <v>1151</v>
      </c>
      <c r="G80" t="s">
        <v>693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1024</v>
      </c>
      <c r="C81" t="s">
        <v>1159</v>
      </c>
      <c r="D81" t="s">
        <v>59</v>
      </c>
      <c r="E81" s="39" t="s">
        <v>15</v>
      </c>
      <c r="F81" s="39" t="s">
        <v>20</v>
      </c>
      <c r="G81" t="s">
        <v>694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1159</v>
      </c>
      <c r="D82" t="s">
        <v>61</v>
      </c>
      <c r="E82" s="39" t="s">
        <v>15</v>
      </c>
      <c r="F82" s="39" t="s">
        <v>1152</v>
      </c>
      <c r="G82" t="s">
        <v>695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1159</v>
      </c>
      <c r="D83" t="s">
        <v>63</v>
      </c>
      <c r="E83" s="39" t="s">
        <v>15</v>
      </c>
      <c r="F83" s="39" t="s">
        <v>20</v>
      </c>
      <c r="G83" t="s">
        <v>696</v>
      </c>
      <c r="H83" s="40">
        <f t="shared" si="8"/>
        <v>21</v>
      </c>
      <c r="I83" s="40">
        <f>COUNTIF(K83:AL83,"APAGADO")</f>
        <v>10</v>
      </c>
      <c r="J83" s="41">
        <f>(H83)/(I83+H83)</f>
        <v>0.67741935483870963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 t="s">
        <v>1308</v>
      </c>
      <c r="S83" s="20" t="s">
        <v>1308</v>
      </c>
      <c r="T83" s="20" t="s">
        <v>1308</v>
      </c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1025</v>
      </c>
      <c r="C84" t="s">
        <v>1159</v>
      </c>
      <c r="D84" t="s">
        <v>1183</v>
      </c>
      <c r="E84" s="39" t="s">
        <v>15</v>
      </c>
      <c r="F84" s="39" t="s">
        <v>1152</v>
      </c>
      <c r="G84" t="s">
        <v>697</v>
      </c>
      <c r="H84" s="40">
        <f t="shared" si="8"/>
        <v>21</v>
      </c>
      <c r="I84" s="40">
        <f t="shared" si="9"/>
        <v>10</v>
      </c>
      <c r="J84" s="41">
        <f t="shared" si="10"/>
        <v>0.67741935483870963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 t="s">
        <v>1308</v>
      </c>
      <c r="S84" s="20" t="s">
        <v>1308</v>
      </c>
      <c r="T84" s="20" t="s">
        <v>1308</v>
      </c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1026</v>
      </c>
      <c r="C85" t="s">
        <v>1159</v>
      </c>
      <c r="D85" t="s">
        <v>64</v>
      </c>
      <c r="E85" s="39" t="s">
        <v>15</v>
      </c>
      <c r="F85" s="39" t="s">
        <v>28</v>
      </c>
      <c r="G85" t="s">
        <v>698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1159</v>
      </c>
      <c r="D86" t="s">
        <v>156</v>
      </c>
      <c r="E86" s="39" t="s">
        <v>46</v>
      </c>
      <c r="F86" s="39" t="s">
        <v>28</v>
      </c>
      <c r="G86" t="s">
        <v>699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1020</v>
      </c>
      <c r="C87" t="s">
        <v>1159</v>
      </c>
      <c r="D87" t="s">
        <v>157</v>
      </c>
      <c r="E87" s="39" t="s">
        <v>46</v>
      </c>
      <c r="F87" s="39" t="s">
        <v>28</v>
      </c>
      <c r="G87" t="s">
        <v>1155</v>
      </c>
      <c r="H87" s="40">
        <f t="shared" si="8"/>
        <v>27</v>
      </c>
      <c r="I87" s="40">
        <f>COUNTIF(K87:AL87,"APAGADO")</f>
        <v>4</v>
      </c>
      <c r="J87" s="41">
        <f>(H87)/(I87+H87)</f>
        <v>0.87096774193548387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 t="s">
        <v>1308</v>
      </c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1159</v>
      </c>
      <c r="D88" t="s">
        <v>157</v>
      </c>
      <c r="E88" s="39" t="s">
        <v>46</v>
      </c>
      <c r="F88" s="39" t="s">
        <v>28</v>
      </c>
      <c r="G88" t="s">
        <v>700</v>
      </c>
      <c r="H88" s="40">
        <f t="shared" si="8"/>
        <v>29</v>
      </c>
      <c r="I88" s="40">
        <f t="shared" si="9"/>
        <v>2</v>
      </c>
      <c r="J88" s="41">
        <f t="shared" si="10"/>
        <v>0.93548387096774188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 t="s">
        <v>1308</v>
      </c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1159</v>
      </c>
      <c r="D89" t="s">
        <v>160</v>
      </c>
      <c r="E89" s="39" t="s">
        <v>73</v>
      </c>
      <c r="F89" s="39" t="s">
        <v>28</v>
      </c>
      <c r="G89" t="s">
        <v>704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1308</v>
      </c>
      <c r="T89" s="20" t="s">
        <v>1308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1159</v>
      </c>
      <c r="D90" t="s">
        <v>160</v>
      </c>
      <c r="E90" s="39" t="s">
        <v>73</v>
      </c>
      <c r="F90" s="39" t="s">
        <v>28</v>
      </c>
      <c r="G90" t="s">
        <v>705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1308</v>
      </c>
      <c r="T90" s="20" t="s">
        <v>1308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1159</v>
      </c>
      <c r="D91" t="s">
        <v>163</v>
      </c>
      <c r="E91" s="39" t="s">
        <v>15</v>
      </c>
      <c r="F91" s="39" t="s">
        <v>28</v>
      </c>
      <c r="G91" t="s">
        <v>706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1159</v>
      </c>
      <c r="D92" t="s">
        <v>66</v>
      </c>
      <c r="E92" s="39" t="s">
        <v>19</v>
      </c>
      <c r="F92" s="39" t="s">
        <v>28</v>
      </c>
      <c r="G92" t="s">
        <v>707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1159</v>
      </c>
      <c r="D93" t="s">
        <v>68</v>
      </c>
      <c r="E93" s="39" t="s">
        <v>19</v>
      </c>
      <c r="F93" s="39" t="s">
        <v>28</v>
      </c>
      <c r="G93" t="s">
        <v>708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1159</v>
      </c>
      <c r="D94" t="s">
        <v>70</v>
      </c>
      <c r="E94" s="39" t="s">
        <v>19</v>
      </c>
      <c r="F94" s="39" t="s">
        <v>28</v>
      </c>
      <c r="G94" t="s">
        <v>709</v>
      </c>
      <c r="H94" s="40">
        <f t="shared" si="8"/>
        <v>21</v>
      </c>
      <c r="I94" s="40">
        <f>COUNTIF(K94:AL94,"APAGADO")</f>
        <v>10</v>
      </c>
      <c r="J94" s="41">
        <f>(H94)/(I94+H94)</f>
        <v>0.67741935483870963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 t="s">
        <v>1308</v>
      </c>
      <c r="S94" s="20" t="s">
        <v>1308</v>
      </c>
      <c r="T94" s="20" t="s">
        <v>1308</v>
      </c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1159</v>
      </c>
      <c r="D95" t="s">
        <v>165</v>
      </c>
      <c r="E95" s="39" t="s">
        <v>15</v>
      </c>
      <c r="F95" s="39" t="s">
        <v>28</v>
      </c>
      <c r="G95" t="s">
        <v>710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1159</v>
      </c>
      <c r="D96" t="s">
        <v>167</v>
      </c>
      <c r="E96" s="39" t="s">
        <v>19</v>
      </c>
      <c r="F96" s="39" t="s">
        <v>1151</v>
      </c>
      <c r="G96" t="s">
        <v>711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1021</v>
      </c>
      <c r="C97" t="s">
        <v>1159</v>
      </c>
      <c r="D97" t="s">
        <v>1022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1023</v>
      </c>
      <c r="C98" t="s">
        <v>1159</v>
      </c>
      <c r="D98" t="s">
        <v>1176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1207</v>
      </c>
      <c r="C99" t="s">
        <v>1159</v>
      </c>
      <c r="D99" t="s">
        <v>1206</v>
      </c>
      <c r="E99" s="39" t="s">
        <v>73</v>
      </c>
      <c r="F99" s="39" t="s">
        <v>28</v>
      </c>
      <c r="G99" t="s">
        <v>1208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1216</v>
      </c>
      <c r="C100" s="39" t="s">
        <v>1159</v>
      </c>
      <c r="D100" t="s">
        <v>122</v>
      </c>
      <c r="E100" s="39" t="s">
        <v>73</v>
      </c>
      <c r="F100" s="39" t="s">
        <v>28</v>
      </c>
      <c r="G100" t="s">
        <v>1217</v>
      </c>
      <c r="H100" s="40">
        <f t="shared" si="8"/>
        <v>21</v>
      </c>
      <c r="I100" s="40">
        <f t="shared" si="9"/>
        <v>10</v>
      </c>
      <c r="J100" s="41">
        <f t="shared" si="10"/>
        <v>0.67741935483870963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 t="s">
        <v>1308</v>
      </c>
      <c r="S100" s="20" t="s">
        <v>1308</v>
      </c>
      <c r="T100" s="20" t="s">
        <v>1308</v>
      </c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1209</v>
      </c>
      <c r="C101" s="39" t="s">
        <v>1159</v>
      </c>
      <c r="D101" t="s">
        <v>1211</v>
      </c>
      <c r="E101" s="39" t="s">
        <v>73</v>
      </c>
      <c r="F101" s="39" t="s">
        <v>28</v>
      </c>
      <c r="G101" t="s">
        <v>1218</v>
      </c>
      <c r="H101" s="40">
        <f t="shared" si="8"/>
        <v>27</v>
      </c>
      <c r="I101" s="40">
        <f t="shared" si="9"/>
        <v>4</v>
      </c>
      <c r="J101" s="41">
        <f t="shared" si="10"/>
        <v>0.87096774193548387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 t="s">
        <v>1308</v>
      </c>
      <c r="T101" s="20" t="s">
        <v>1308</v>
      </c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1210</v>
      </c>
      <c r="C102" s="39" t="s">
        <v>1159</v>
      </c>
      <c r="D102" t="s">
        <v>1211</v>
      </c>
      <c r="E102" s="39" t="s">
        <v>73</v>
      </c>
      <c r="F102" s="39" t="s">
        <v>28</v>
      </c>
      <c r="G102" t="s">
        <v>1219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 t="s">
        <v>1308</v>
      </c>
      <c r="T102" s="20" t="s">
        <v>1308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1280</v>
      </c>
      <c r="C103" s="39" t="s">
        <v>1159</v>
      </c>
      <c r="D103" t="s">
        <v>93</v>
      </c>
      <c r="E103" s="39" t="s">
        <v>73</v>
      </c>
      <c r="F103" s="39" t="s">
        <v>28</v>
      </c>
      <c r="G103" t="s">
        <v>1281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1296</v>
      </c>
      <c r="C104" s="39" t="s">
        <v>1159</v>
      </c>
      <c r="D104" t="s">
        <v>1297</v>
      </c>
      <c r="E104" s="39" t="s">
        <v>19</v>
      </c>
      <c r="F104" s="39" t="s">
        <v>28</v>
      </c>
      <c r="G104" t="s">
        <v>1298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1293</v>
      </c>
      <c r="C105" s="39" t="s">
        <v>1159</v>
      </c>
      <c r="D105" t="s">
        <v>1294</v>
      </c>
      <c r="E105" s="39" t="s">
        <v>19</v>
      </c>
      <c r="F105" s="39" t="s">
        <v>20</v>
      </c>
      <c r="G105" t="s">
        <v>1295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1159</v>
      </c>
      <c r="D106" t="s">
        <v>170</v>
      </c>
      <c r="E106" s="39" t="s">
        <v>19</v>
      </c>
      <c r="F106" s="39" t="s">
        <v>20</v>
      </c>
      <c r="G106" t="s">
        <v>712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1159</v>
      </c>
      <c r="D107" t="s">
        <v>173</v>
      </c>
      <c r="E107" s="39" t="s">
        <v>19</v>
      </c>
      <c r="F107" s="39" t="s">
        <v>20</v>
      </c>
      <c r="G107" t="s">
        <v>713</v>
      </c>
      <c r="H107" s="40">
        <f t="shared" si="8"/>
        <v>25</v>
      </c>
      <c r="I107" s="40">
        <f t="shared" si="9"/>
        <v>6</v>
      </c>
      <c r="J107" s="41">
        <f t="shared" si="10"/>
        <v>0.80645161290322576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 t="s">
        <v>1308</v>
      </c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1159</v>
      </c>
      <c r="D108" t="s">
        <v>175</v>
      </c>
      <c r="E108" s="39" t="s">
        <v>15</v>
      </c>
      <c r="F108" s="39" t="s">
        <v>28</v>
      </c>
      <c r="G108" t="s">
        <v>714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1159</v>
      </c>
      <c r="D109" t="s">
        <v>177</v>
      </c>
      <c r="E109" s="39" t="s">
        <v>15</v>
      </c>
      <c r="F109" s="39" t="s">
        <v>28</v>
      </c>
      <c r="G109" t="s">
        <v>715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1027</v>
      </c>
      <c r="C110" t="s">
        <v>1160</v>
      </c>
      <c r="D110" t="s">
        <v>184</v>
      </c>
      <c r="E110" s="39" t="s">
        <v>15</v>
      </c>
      <c r="F110" s="39" t="s">
        <v>20</v>
      </c>
      <c r="G110" t="s">
        <v>718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1160</v>
      </c>
      <c r="D111" t="s">
        <v>180</v>
      </c>
      <c r="E111" s="39" t="s">
        <v>19</v>
      </c>
      <c r="F111" s="39" t="s">
        <v>20</v>
      </c>
      <c r="G111" t="s">
        <v>716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1160</v>
      </c>
      <c r="D112" t="s">
        <v>183</v>
      </c>
      <c r="E112" s="39" t="s">
        <v>19</v>
      </c>
      <c r="F112" s="39" t="s">
        <v>20</v>
      </c>
      <c r="G112" t="s">
        <v>717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1159</v>
      </c>
      <c r="D113" t="s">
        <v>186</v>
      </c>
      <c r="E113" s="39" t="s">
        <v>19</v>
      </c>
      <c r="F113" s="39" t="s">
        <v>16</v>
      </c>
      <c r="G113" t="s">
        <v>719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1028</v>
      </c>
      <c r="C114" t="s">
        <v>1159</v>
      </c>
      <c r="D114" t="s">
        <v>188</v>
      </c>
      <c r="E114" s="39" t="s">
        <v>73</v>
      </c>
      <c r="F114" s="39" t="s">
        <v>1152</v>
      </c>
      <c r="G114" t="s">
        <v>720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1029</v>
      </c>
      <c r="C115" t="s">
        <v>1159</v>
      </c>
      <c r="D115" t="s">
        <v>188</v>
      </c>
      <c r="E115" s="39" t="s">
        <v>73</v>
      </c>
      <c r="F115" s="39" t="s">
        <v>1152</v>
      </c>
      <c r="G115" t="s">
        <v>721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1030</v>
      </c>
      <c r="C116" t="s">
        <v>1159</v>
      </c>
      <c r="D116" t="s">
        <v>1031</v>
      </c>
      <c r="E116" s="39" t="s">
        <v>73</v>
      </c>
      <c r="F116" s="39" t="s">
        <v>20</v>
      </c>
      <c r="G116"/>
      <c r="H116" s="40">
        <f t="shared" si="8"/>
        <v>28</v>
      </c>
      <c r="I116" s="40">
        <f t="shared" si="9"/>
        <v>3</v>
      </c>
      <c r="J116" s="41">
        <f t="shared" si="10"/>
        <v>0.90322580645161288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 t="s">
        <v>1308</v>
      </c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1032</v>
      </c>
      <c r="C117" t="s">
        <v>1159</v>
      </c>
      <c r="D117" t="s">
        <v>1031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4</v>
      </c>
      <c r="J117" s="41">
        <f t="shared" si="10"/>
        <v>0.87096774193548387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 t="s">
        <v>1308</v>
      </c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1232</v>
      </c>
      <c r="C118" t="s">
        <v>1159</v>
      </c>
      <c r="D118" t="s">
        <v>1227</v>
      </c>
      <c r="E118" s="39" t="s">
        <v>73</v>
      </c>
      <c r="F118" s="39" t="s">
        <v>20</v>
      </c>
      <c r="G118" t="s">
        <v>1240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1233</v>
      </c>
      <c r="C119" t="s">
        <v>1159</v>
      </c>
      <c r="D119" t="s">
        <v>1227</v>
      </c>
      <c r="E119" s="39" t="s">
        <v>73</v>
      </c>
      <c r="F119" s="39" t="s">
        <v>20</v>
      </c>
      <c r="G119" t="s">
        <v>1241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1033</v>
      </c>
      <c r="C120" t="s">
        <v>1160</v>
      </c>
      <c r="D120" t="s">
        <v>190</v>
      </c>
      <c r="E120" s="39" t="s">
        <v>15</v>
      </c>
      <c r="F120" s="39" t="s">
        <v>28</v>
      </c>
      <c r="G120" t="s">
        <v>722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1034</v>
      </c>
      <c r="C121" t="s">
        <v>1160</v>
      </c>
      <c r="D121" t="s">
        <v>191</v>
      </c>
      <c r="E121" s="39" t="s">
        <v>15</v>
      </c>
      <c r="F121" s="39" t="s">
        <v>28</v>
      </c>
      <c r="G121" t="s">
        <v>723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1035</v>
      </c>
      <c r="C122" t="s">
        <v>1160</v>
      </c>
      <c r="D122" t="s">
        <v>192</v>
      </c>
      <c r="E122" s="39" t="s">
        <v>19</v>
      </c>
      <c r="F122" s="39" t="s">
        <v>28</v>
      </c>
      <c r="G122" t="s">
        <v>724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1036</v>
      </c>
      <c r="C123" t="s">
        <v>1160</v>
      </c>
      <c r="D123" t="s">
        <v>193</v>
      </c>
      <c r="E123" s="39" t="s">
        <v>15</v>
      </c>
      <c r="F123" s="39" t="s">
        <v>28</v>
      </c>
      <c r="G123" t="s">
        <v>725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1160</v>
      </c>
      <c r="D124" t="s">
        <v>198</v>
      </c>
      <c r="E124" s="39" t="s">
        <v>19</v>
      </c>
      <c r="F124" s="39" t="s">
        <v>20</v>
      </c>
      <c r="G124" t="s">
        <v>726</v>
      </c>
      <c r="H124" s="40">
        <f t="shared" si="8"/>
        <v>21</v>
      </c>
      <c r="I124" s="40">
        <f t="shared" si="9"/>
        <v>10</v>
      </c>
      <c r="J124" s="41">
        <f t="shared" si="10"/>
        <v>0.67741935483870963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 t="s">
        <v>1308</v>
      </c>
      <c r="S124" s="20" t="s">
        <v>1308</v>
      </c>
      <c r="T124" s="20" t="s">
        <v>1308</v>
      </c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1160</v>
      </c>
      <c r="D125" t="s">
        <v>201</v>
      </c>
      <c r="E125" s="39" t="s">
        <v>19</v>
      </c>
      <c r="F125" s="39" t="s">
        <v>1152</v>
      </c>
      <c r="G125" t="s">
        <v>727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1160</v>
      </c>
      <c r="D126" t="s">
        <v>204</v>
      </c>
      <c r="E126" s="39" t="s">
        <v>15</v>
      </c>
      <c r="F126" s="39" t="s">
        <v>1152</v>
      </c>
      <c r="G126" t="s">
        <v>728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1160</v>
      </c>
      <c r="D127" t="s">
        <v>206</v>
      </c>
      <c r="E127" s="39" t="s">
        <v>19</v>
      </c>
      <c r="F127" s="39" t="s">
        <v>1151</v>
      </c>
      <c r="G127" t="s">
        <v>729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1160</v>
      </c>
      <c r="D128" t="s">
        <v>208</v>
      </c>
      <c r="E128" s="39" t="s">
        <v>19</v>
      </c>
      <c r="F128" s="39" t="s">
        <v>1151</v>
      </c>
      <c r="G128" t="s">
        <v>730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1160</v>
      </c>
      <c r="D129" t="s">
        <v>210</v>
      </c>
      <c r="E129" s="39" t="s">
        <v>19</v>
      </c>
      <c r="F129" s="39" t="s">
        <v>20</v>
      </c>
      <c r="G129" t="s">
        <v>731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1038</v>
      </c>
      <c r="C130" t="s">
        <v>1160</v>
      </c>
      <c r="D130" t="s">
        <v>195</v>
      </c>
      <c r="E130" s="39" t="s">
        <v>15</v>
      </c>
      <c r="F130" s="39" t="s">
        <v>1152</v>
      </c>
      <c r="G130" t="s">
        <v>732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1160</v>
      </c>
      <c r="D131" t="s">
        <v>1037</v>
      </c>
      <c r="E131" s="39" t="s">
        <v>46</v>
      </c>
      <c r="F131" s="39" t="s">
        <v>20</v>
      </c>
      <c r="G131" t="s">
        <v>733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1160</v>
      </c>
      <c r="D132" t="s">
        <v>212</v>
      </c>
      <c r="E132" s="39" t="s">
        <v>73</v>
      </c>
      <c r="F132" s="39" t="s">
        <v>28</v>
      </c>
      <c r="G132" t="s">
        <v>734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1160</v>
      </c>
      <c r="D133" t="s">
        <v>212</v>
      </c>
      <c r="E133" s="39" t="s">
        <v>73</v>
      </c>
      <c r="F133" s="39" t="s">
        <v>28</v>
      </c>
      <c r="G133" t="s">
        <v>735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1160</v>
      </c>
      <c r="D134" t="s">
        <v>215</v>
      </c>
      <c r="E134" s="39" t="s">
        <v>73</v>
      </c>
      <c r="F134" s="39" t="s">
        <v>28</v>
      </c>
      <c r="G134" t="s">
        <v>702</v>
      </c>
      <c r="H134" s="40">
        <f t="shared" si="8"/>
        <v>28</v>
      </c>
      <c r="I134" s="40">
        <f t="shared" si="9"/>
        <v>3</v>
      </c>
      <c r="J134" s="41">
        <f t="shared" si="10"/>
        <v>0.90322580645161288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 t="s">
        <v>1308</v>
      </c>
      <c r="T134" s="20" t="s">
        <v>1308</v>
      </c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1160</v>
      </c>
      <c r="D135" t="s">
        <v>215</v>
      </c>
      <c r="E135" s="39" t="s">
        <v>73</v>
      </c>
      <c r="F135" s="39" t="s">
        <v>28</v>
      </c>
      <c r="G135" t="s">
        <v>703</v>
      </c>
      <c r="H135" s="40">
        <f t="shared" si="8"/>
        <v>28</v>
      </c>
      <c r="I135" s="40">
        <f t="shared" si="9"/>
        <v>3</v>
      </c>
      <c r="J135" s="41">
        <f t="shared" si="10"/>
        <v>0.90322580645161288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 t="s">
        <v>1308</v>
      </c>
      <c r="T135" s="44" t="s">
        <v>1308</v>
      </c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1268</v>
      </c>
      <c r="C136" s="39" t="s">
        <v>1160</v>
      </c>
      <c r="D136" t="s">
        <v>1251</v>
      </c>
      <c r="E136" s="39" t="s">
        <v>1212</v>
      </c>
      <c r="F136" s="39" t="s">
        <v>28</v>
      </c>
      <c r="G136" s="21" t="s">
        <v>1252</v>
      </c>
      <c r="H136" s="40">
        <f t="shared" ref="H136:H199" si="17">COUNTIF(K136:AO136,"")</f>
        <v>28</v>
      </c>
      <c r="I136" s="40">
        <f>COUNTIF(K136:AL136,"APAGADO")</f>
        <v>3</v>
      </c>
      <c r="J136" s="41">
        <f>(H136)/(I136+H136)</f>
        <v>0.90322580645161288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 t="s">
        <v>1308</v>
      </c>
      <c r="T136" s="20" t="s">
        <v>1308</v>
      </c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1267</v>
      </c>
      <c r="C137" s="39" t="s">
        <v>1160</v>
      </c>
      <c r="D137" t="s">
        <v>1251</v>
      </c>
      <c r="E137" s="39" t="s">
        <v>1212</v>
      </c>
      <c r="F137" s="39" t="s">
        <v>28</v>
      </c>
      <c r="G137" s="21" t="s">
        <v>1253</v>
      </c>
      <c r="H137" s="40">
        <f t="shared" si="17"/>
        <v>28</v>
      </c>
      <c r="I137" s="40">
        <f>COUNTIF(K137:AL137,"APAGADO")</f>
        <v>3</v>
      </c>
      <c r="J137" s="41">
        <f>(H137)/(I137+H137)</f>
        <v>0.90322580645161288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 t="s">
        <v>1308</v>
      </c>
      <c r="T137" s="20" t="s">
        <v>1308</v>
      </c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1270</v>
      </c>
      <c r="C138" s="39" t="s">
        <v>1160</v>
      </c>
      <c r="D138" t="s">
        <v>1248</v>
      </c>
      <c r="E138" s="39" t="s">
        <v>73</v>
      </c>
      <c r="F138" s="39" t="s">
        <v>28</v>
      </c>
      <c r="G138" s="21" t="s">
        <v>1249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1271</v>
      </c>
      <c r="C139" s="39" t="s">
        <v>1160</v>
      </c>
      <c r="D139" t="s">
        <v>1248</v>
      </c>
      <c r="E139" s="39" t="s">
        <v>73</v>
      </c>
      <c r="F139" s="39" t="s">
        <v>28</v>
      </c>
      <c r="G139" s="21" t="s">
        <v>1250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1039</v>
      </c>
      <c r="C140" t="s">
        <v>1160</v>
      </c>
      <c r="D140" t="s">
        <v>218</v>
      </c>
      <c r="E140" s="39" t="s">
        <v>15</v>
      </c>
      <c r="F140" s="39" t="s">
        <v>28</v>
      </c>
      <c r="G140" t="s">
        <v>737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1040</v>
      </c>
      <c r="C141" t="s">
        <v>1160</v>
      </c>
      <c r="D141" t="s">
        <v>219</v>
      </c>
      <c r="E141" s="39" t="s">
        <v>15</v>
      </c>
      <c r="F141" s="39" t="s">
        <v>28</v>
      </c>
      <c r="G141" t="s">
        <v>738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1041</v>
      </c>
      <c r="C142" t="s">
        <v>1160</v>
      </c>
      <c r="D142" t="s">
        <v>221</v>
      </c>
      <c r="E142" s="39"/>
      <c r="F142" s="39" t="s">
        <v>28</v>
      </c>
      <c r="G142" t="s">
        <v>739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1159</v>
      </c>
      <c r="D143" t="s">
        <v>234</v>
      </c>
      <c r="E143" s="39" t="s">
        <v>15</v>
      </c>
      <c r="F143" s="39" t="s">
        <v>20</v>
      </c>
      <c r="G143" t="s">
        <v>740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1159</v>
      </c>
      <c r="D144" t="s">
        <v>236</v>
      </c>
      <c r="E144" s="39" t="s">
        <v>19</v>
      </c>
      <c r="F144" s="39" t="s">
        <v>20</v>
      </c>
      <c r="G144" t="s">
        <v>741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1159</v>
      </c>
      <c r="D145" t="s">
        <v>238</v>
      </c>
      <c r="E145" s="39" t="s">
        <v>19</v>
      </c>
      <c r="F145" s="39" t="s">
        <v>20</v>
      </c>
      <c r="G145" t="s">
        <v>742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1159</v>
      </c>
      <c r="D146" t="s">
        <v>240</v>
      </c>
      <c r="E146" s="39" t="s">
        <v>19</v>
      </c>
      <c r="F146" s="39" t="s">
        <v>20</v>
      </c>
      <c r="G146" t="s">
        <v>743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1159</v>
      </c>
      <c r="D147" t="s">
        <v>242</v>
      </c>
      <c r="E147" s="39" t="s">
        <v>19</v>
      </c>
      <c r="F147" s="39" t="s">
        <v>20</v>
      </c>
      <c r="G147" t="s">
        <v>744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1159</v>
      </c>
      <c r="D148" t="s">
        <v>244</v>
      </c>
      <c r="E148" s="39" t="s">
        <v>15</v>
      </c>
      <c r="F148" s="39" t="s">
        <v>20</v>
      </c>
      <c r="G148" t="s">
        <v>745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1159</v>
      </c>
      <c r="D149" t="s">
        <v>224</v>
      </c>
      <c r="E149" s="39" t="s">
        <v>15</v>
      </c>
      <c r="F149" s="39" t="s">
        <v>20</v>
      </c>
      <c r="G149" t="s">
        <v>746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1046</v>
      </c>
      <c r="C150" t="s">
        <v>1159</v>
      </c>
      <c r="D150" t="s">
        <v>225</v>
      </c>
      <c r="E150" s="39" t="s">
        <v>15</v>
      </c>
      <c r="F150" s="39" t="s">
        <v>20</v>
      </c>
      <c r="G150" t="s">
        <v>747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1047</v>
      </c>
      <c r="C151" t="s">
        <v>1159</v>
      </c>
      <c r="D151" t="s">
        <v>226</v>
      </c>
      <c r="E151" s="39" t="s">
        <v>15</v>
      </c>
      <c r="F151" s="39" t="s">
        <v>20</v>
      </c>
      <c r="G151" t="s">
        <v>734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1159</v>
      </c>
      <c r="D152" t="s">
        <v>228</v>
      </c>
      <c r="E152" s="39" t="s">
        <v>15</v>
      </c>
      <c r="F152" s="39" t="s">
        <v>20</v>
      </c>
      <c r="G152" t="s">
        <v>748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1159</v>
      </c>
      <c r="D153" t="s">
        <v>246</v>
      </c>
      <c r="E153" s="39" t="s">
        <v>15</v>
      </c>
      <c r="F153" s="39" t="s">
        <v>28</v>
      </c>
      <c r="G153" t="s">
        <v>749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1159</v>
      </c>
      <c r="D154" t="s">
        <v>230</v>
      </c>
      <c r="E154" s="39" t="s">
        <v>73</v>
      </c>
      <c r="F154" s="39" t="s">
        <v>1152</v>
      </c>
      <c r="G154" t="s">
        <v>750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1159</v>
      </c>
      <c r="D155" t="s">
        <v>230</v>
      </c>
      <c r="E155" s="39" t="s">
        <v>73</v>
      </c>
      <c r="F155" s="39" t="s">
        <v>1152</v>
      </c>
      <c r="G155" t="s">
        <v>751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1042</v>
      </c>
      <c r="C156" t="s">
        <v>1159</v>
      </c>
      <c r="D156" t="s">
        <v>247</v>
      </c>
      <c r="E156" s="39" t="s">
        <v>73</v>
      </c>
      <c r="F156" s="39" t="s">
        <v>1152</v>
      </c>
      <c r="G156" t="s">
        <v>752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1043</v>
      </c>
      <c r="C157" t="s">
        <v>1159</v>
      </c>
      <c r="D157" t="s">
        <v>247</v>
      </c>
      <c r="E157" s="39" t="s">
        <v>73</v>
      </c>
      <c r="F157" s="39" t="s">
        <v>1152</v>
      </c>
      <c r="G157" t="s">
        <v>753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1044</v>
      </c>
      <c r="C158" t="s">
        <v>1159</v>
      </c>
      <c r="D158" t="s">
        <v>248</v>
      </c>
      <c r="E158" s="39" t="s">
        <v>73</v>
      </c>
      <c r="F158" s="39" t="s">
        <v>1152</v>
      </c>
      <c r="G158" t="s">
        <v>754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1045</v>
      </c>
      <c r="C159" t="s">
        <v>1159</v>
      </c>
      <c r="D159" t="s">
        <v>248</v>
      </c>
      <c r="E159" s="39" t="s">
        <v>73</v>
      </c>
      <c r="F159" s="39" t="s">
        <v>1152</v>
      </c>
      <c r="G159" t="s">
        <v>755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1159</v>
      </c>
      <c r="D160" t="s">
        <v>250</v>
      </c>
      <c r="E160" s="39" t="s">
        <v>15</v>
      </c>
      <c r="F160" s="39" t="s">
        <v>1152</v>
      </c>
      <c r="G160" t="s">
        <v>756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1159</v>
      </c>
      <c r="D161" t="s">
        <v>252</v>
      </c>
      <c r="E161" s="39" t="s">
        <v>15</v>
      </c>
      <c r="F161" s="39" t="s">
        <v>1152</v>
      </c>
      <c r="G161" t="s">
        <v>757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1159</v>
      </c>
      <c r="D162" t="s">
        <v>254</v>
      </c>
      <c r="E162" s="39" t="s">
        <v>15</v>
      </c>
      <c r="F162" s="39" t="s">
        <v>1152</v>
      </c>
      <c r="G162" t="s">
        <v>758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1282</v>
      </c>
      <c r="C163" t="s">
        <v>1160</v>
      </c>
      <c r="D163" t="s">
        <v>1283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1284</v>
      </c>
      <c r="C164" t="s">
        <v>1160</v>
      </c>
      <c r="D164" t="s">
        <v>1285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1048</v>
      </c>
      <c r="C165" t="s">
        <v>1159</v>
      </c>
      <c r="D165" t="s">
        <v>1184</v>
      </c>
      <c r="E165" s="39" t="s">
        <v>19</v>
      </c>
      <c r="F165" s="39" t="s">
        <v>20</v>
      </c>
      <c r="G165" t="s">
        <v>759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1308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1159</v>
      </c>
      <c r="D166" t="s">
        <v>256</v>
      </c>
      <c r="E166" s="39" t="s">
        <v>19</v>
      </c>
      <c r="F166" s="39" t="s">
        <v>20</v>
      </c>
      <c r="G166" t="s">
        <v>760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1159</v>
      </c>
      <c r="D167" t="s">
        <v>259</v>
      </c>
      <c r="E167" s="39" t="s">
        <v>73</v>
      </c>
      <c r="F167" s="39" t="s">
        <v>28</v>
      </c>
      <c r="G167" t="s">
        <v>761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1308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1159</v>
      </c>
      <c r="D168" t="s">
        <v>259</v>
      </c>
      <c r="E168" s="39" t="s">
        <v>46</v>
      </c>
      <c r="F168" s="39" t="s">
        <v>28</v>
      </c>
      <c r="G168" t="s">
        <v>736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1308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1049</v>
      </c>
      <c r="C169" t="s">
        <v>1160</v>
      </c>
      <c r="D169" t="s">
        <v>262</v>
      </c>
      <c r="E169" s="39" t="s">
        <v>15</v>
      </c>
      <c r="F169" s="39" t="s">
        <v>1151</v>
      </c>
      <c r="G169" t="s">
        <v>762</v>
      </c>
      <c r="H169" s="40">
        <f t="shared" si="17"/>
        <v>30</v>
      </c>
      <c r="I169" s="40">
        <f t="shared" si="18"/>
        <v>1</v>
      </c>
      <c r="J169" s="41">
        <f t="shared" si="19"/>
        <v>0.967741935483871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1308</v>
      </c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1160</v>
      </c>
      <c r="D170" t="s">
        <v>264</v>
      </c>
      <c r="E170" s="39" t="s">
        <v>73</v>
      </c>
      <c r="F170" s="39" t="s">
        <v>28</v>
      </c>
      <c r="G170" t="s">
        <v>763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1160</v>
      </c>
      <c r="D171" t="s">
        <v>264</v>
      </c>
      <c r="E171" s="39" t="s">
        <v>73</v>
      </c>
      <c r="F171" s="39" t="s">
        <v>28</v>
      </c>
      <c r="G171" t="s">
        <v>764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1050</v>
      </c>
      <c r="C172" t="s">
        <v>1159</v>
      </c>
      <c r="D172" t="s">
        <v>275</v>
      </c>
      <c r="E172" s="39" t="s">
        <v>73</v>
      </c>
      <c r="F172" s="39" t="s">
        <v>28</v>
      </c>
      <c r="G172" t="s">
        <v>769</v>
      </c>
      <c r="H172" s="40">
        <f t="shared" si="17"/>
        <v>21</v>
      </c>
      <c r="I172" s="40">
        <f t="shared" si="18"/>
        <v>10</v>
      </c>
      <c r="J172" s="41">
        <f t="shared" si="19"/>
        <v>0.67741935483870963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 t="s">
        <v>1308</v>
      </c>
      <c r="S172" s="20" t="s">
        <v>1308</v>
      </c>
      <c r="T172" s="20" t="s">
        <v>1308</v>
      </c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1051</v>
      </c>
      <c r="C173" t="s">
        <v>1159</v>
      </c>
      <c r="D173" t="s">
        <v>1185</v>
      </c>
      <c r="E173" s="39" t="s">
        <v>19</v>
      </c>
      <c r="F173" s="39" t="s">
        <v>28</v>
      </c>
      <c r="G173" t="s">
        <v>773</v>
      </c>
      <c r="H173" s="40">
        <f t="shared" si="17"/>
        <v>21</v>
      </c>
      <c r="I173" s="40">
        <f t="shared" si="18"/>
        <v>10</v>
      </c>
      <c r="J173" s="41">
        <f t="shared" si="19"/>
        <v>0.67741935483870963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 t="s">
        <v>1308</v>
      </c>
      <c r="S173" s="20" t="s">
        <v>1308</v>
      </c>
      <c r="T173" s="20" t="s">
        <v>1308</v>
      </c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1052</v>
      </c>
      <c r="C174" t="s">
        <v>1159</v>
      </c>
      <c r="D174" t="s">
        <v>282</v>
      </c>
      <c r="E174" s="39" t="s">
        <v>19</v>
      </c>
      <c r="F174" s="39" t="s">
        <v>28</v>
      </c>
      <c r="G174" t="s">
        <v>774</v>
      </c>
      <c r="H174" s="40">
        <f t="shared" si="17"/>
        <v>21</v>
      </c>
      <c r="I174" s="40">
        <f t="shared" si="18"/>
        <v>10</v>
      </c>
      <c r="J174" s="41">
        <f t="shared" si="19"/>
        <v>0.67741935483870963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 t="s">
        <v>1308</v>
      </c>
      <c r="S174" s="20" t="s">
        <v>1308</v>
      </c>
      <c r="T174" s="20" t="s">
        <v>1308</v>
      </c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1053</v>
      </c>
      <c r="C175" t="s">
        <v>1159</v>
      </c>
      <c r="D175" t="s">
        <v>285</v>
      </c>
      <c r="E175" s="39" t="s">
        <v>73</v>
      </c>
      <c r="F175" s="39" t="s">
        <v>28</v>
      </c>
      <c r="G175" t="s">
        <v>776</v>
      </c>
      <c r="H175" s="40">
        <f t="shared" si="17"/>
        <v>21</v>
      </c>
      <c r="I175" s="40">
        <f t="shared" si="18"/>
        <v>10</v>
      </c>
      <c r="J175" s="41">
        <f t="shared" si="19"/>
        <v>0.67741935483870963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 t="s">
        <v>1308</v>
      </c>
      <c r="S175" s="20" t="s">
        <v>1308</v>
      </c>
      <c r="T175" s="20" t="s">
        <v>1308</v>
      </c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1054</v>
      </c>
      <c r="C176" t="s">
        <v>1159</v>
      </c>
      <c r="D176" t="s">
        <v>285</v>
      </c>
      <c r="E176" s="39" t="s">
        <v>73</v>
      </c>
      <c r="F176" s="39" t="s">
        <v>28</v>
      </c>
      <c r="G176" t="s">
        <v>777</v>
      </c>
      <c r="H176" s="40">
        <f t="shared" si="17"/>
        <v>21</v>
      </c>
      <c r="I176" s="40">
        <f t="shared" si="18"/>
        <v>10</v>
      </c>
      <c r="J176" s="41">
        <f t="shared" si="19"/>
        <v>0.67741935483870963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 t="s">
        <v>1308</v>
      </c>
      <c r="S176" s="20" t="s">
        <v>1308</v>
      </c>
      <c r="T176" s="20" t="s">
        <v>1308</v>
      </c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1055</v>
      </c>
      <c r="C177" t="s">
        <v>1159</v>
      </c>
      <c r="D177" t="s">
        <v>266</v>
      </c>
      <c r="E177" s="39" t="s">
        <v>46</v>
      </c>
      <c r="F177" s="39" t="s">
        <v>1151</v>
      </c>
      <c r="G177" t="s">
        <v>765</v>
      </c>
      <c r="H177" s="40">
        <f t="shared" si="17"/>
        <v>22</v>
      </c>
      <c r="I177" s="40">
        <f t="shared" si="18"/>
        <v>9</v>
      </c>
      <c r="J177" s="41">
        <f t="shared" si="19"/>
        <v>0.70967741935483875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 t="s">
        <v>1308</v>
      </c>
      <c r="S177" s="20" t="s">
        <v>1308</v>
      </c>
      <c r="T177" s="20" t="s">
        <v>1308</v>
      </c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1159</v>
      </c>
      <c r="D178" t="s">
        <v>269</v>
      </c>
      <c r="E178" s="39" t="s">
        <v>19</v>
      </c>
      <c r="F178" s="39" t="s">
        <v>1151</v>
      </c>
      <c r="G178" t="s">
        <v>766</v>
      </c>
      <c r="H178" s="40">
        <f t="shared" si="17"/>
        <v>26</v>
      </c>
      <c r="I178" s="40">
        <f t="shared" si="18"/>
        <v>5</v>
      </c>
      <c r="J178" s="41">
        <f t="shared" si="19"/>
        <v>0.83870967741935487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 t="s">
        <v>1308</v>
      </c>
      <c r="S178" s="20" t="s">
        <v>1308</v>
      </c>
      <c r="T178" s="20" t="s">
        <v>1308</v>
      </c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1159</v>
      </c>
      <c r="D179" t="s">
        <v>272</v>
      </c>
      <c r="E179" s="39" t="s">
        <v>73</v>
      </c>
      <c r="F179" s="39" t="s">
        <v>28</v>
      </c>
      <c r="G179" t="s">
        <v>767</v>
      </c>
      <c r="H179" s="40">
        <f t="shared" si="17"/>
        <v>23</v>
      </c>
      <c r="I179" s="40">
        <f t="shared" si="18"/>
        <v>8</v>
      </c>
      <c r="J179" s="41">
        <f t="shared" si="19"/>
        <v>0.74193548387096775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 t="s">
        <v>1308</v>
      </c>
      <c r="S179" s="20" t="s">
        <v>1308</v>
      </c>
      <c r="T179" s="20" t="s">
        <v>1308</v>
      </c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1159</v>
      </c>
      <c r="D180" t="s">
        <v>274</v>
      </c>
      <c r="E180" s="39" t="s">
        <v>46</v>
      </c>
      <c r="F180" s="39" t="s">
        <v>28</v>
      </c>
      <c r="G180" t="s">
        <v>768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1308</v>
      </c>
      <c r="S180" s="20"/>
      <c r="T180" s="20" t="s">
        <v>1308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1159</v>
      </c>
      <c r="D181" t="s">
        <v>277</v>
      </c>
      <c r="E181" s="39" t="s">
        <v>19</v>
      </c>
      <c r="F181" s="39" t="s">
        <v>28</v>
      </c>
      <c r="G181" t="s">
        <v>770</v>
      </c>
      <c r="H181" s="40">
        <f t="shared" si="17"/>
        <v>21</v>
      </c>
      <c r="I181" s="40">
        <f t="shared" si="18"/>
        <v>10</v>
      </c>
      <c r="J181" s="41">
        <f t="shared" si="19"/>
        <v>0.67741935483870963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 t="s">
        <v>1308</v>
      </c>
      <c r="S181" s="20" t="s">
        <v>1308</v>
      </c>
      <c r="T181" s="20" t="s">
        <v>1308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1159</v>
      </c>
      <c r="D182" t="s">
        <v>279</v>
      </c>
      <c r="E182" s="39" t="s">
        <v>19</v>
      </c>
      <c r="F182" s="39" t="s">
        <v>28</v>
      </c>
      <c r="G182" t="s">
        <v>771</v>
      </c>
      <c r="H182" s="40">
        <f t="shared" si="17"/>
        <v>21</v>
      </c>
      <c r="I182" s="40">
        <f t="shared" si="18"/>
        <v>10</v>
      </c>
      <c r="J182" s="41">
        <f t="shared" si="19"/>
        <v>0.67741935483870963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 t="s">
        <v>1308</v>
      </c>
      <c r="S182" s="20" t="s">
        <v>1308</v>
      </c>
      <c r="T182" s="20" t="s">
        <v>1308</v>
      </c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1159</v>
      </c>
      <c r="D183" t="s">
        <v>281</v>
      </c>
      <c r="E183" s="39" t="s">
        <v>19</v>
      </c>
      <c r="F183" s="39" t="s">
        <v>28</v>
      </c>
      <c r="G183" t="s">
        <v>772</v>
      </c>
      <c r="H183" s="40">
        <f t="shared" si="17"/>
        <v>21</v>
      </c>
      <c r="I183" s="40">
        <f t="shared" si="18"/>
        <v>10</v>
      </c>
      <c r="J183" s="41">
        <f t="shared" si="19"/>
        <v>0.67741935483870963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 t="s">
        <v>1308</v>
      </c>
      <c r="S183" s="20" t="s">
        <v>1308</v>
      </c>
      <c r="T183" s="20" t="s">
        <v>1308</v>
      </c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1159</v>
      </c>
      <c r="D184" t="s">
        <v>284</v>
      </c>
      <c r="E184" s="39" t="s">
        <v>19</v>
      </c>
      <c r="F184" s="39" t="s">
        <v>1151</v>
      </c>
      <c r="G184" t="s">
        <v>775</v>
      </c>
      <c r="H184" s="40">
        <f t="shared" si="17"/>
        <v>21</v>
      </c>
      <c r="I184" s="40">
        <f t="shared" si="18"/>
        <v>10</v>
      </c>
      <c r="J184" s="41">
        <f t="shared" si="19"/>
        <v>0.67741935483870963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 t="s">
        <v>1308</v>
      </c>
      <c r="S184" s="20" t="s">
        <v>1308</v>
      </c>
      <c r="T184" s="20" t="s">
        <v>1308</v>
      </c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1159</v>
      </c>
      <c r="D185" t="s">
        <v>287</v>
      </c>
      <c r="E185" s="39" t="s">
        <v>15</v>
      </c>
      <c r="F185" s="39" t="s">
        <v>28</v>
      </c>
      <c r="G185" t="s">
        <v>778</v>
      </c>
      <c r="H185" s="40">
        <f t="shared" si="17"/>
        <v>22</v>
      </c>
      <c r="I185" s="40">
        <f t="shared" si="18"/>
        <v>9</v>
      </c>
      <c r="J185" s="41">
        <f t="shared" si="19"/>
        <v>0.70967741935483875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 t="s">
        <v>1308</v>
      </c>
      <c r="S185" s="20" t="s">
        <v>1308</v>
      </c>
      <c r="T185" s="20" t="s">
        <v>1308</v>
      </c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1056</v>
      </c>
      <c r="C186" t="s">
        <v>1159</v>
      </c>
      <c r="D186" t="s">
        <v>1186</v>
      </c>
      <c r="E186" s="39" t="s">
        <v>19</v>
      </c>
      <c r="F186" s="39" t="s">
        <v>20</v>
      </c>
      <c r="G186" t="s">
        <v>779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 t="s">
        <v>1308</v>
      </c>
      <c r="S186" s="20" t="s">
        <v>1308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1160</v>
      </c>
      <c r="D187" t="s">
        <v>289</v>
      </c>
      <c r="E187" s="39" t="s">
        <v>15</v>
      </c>
      <c r="F187" s="39" t="s">
        <v>28</v>
      </c>
      <c r="G187" t="s">
        <v>1162</v>
      </c>
      <c r="H187" s="40">
        <f t="shared" si="17"/>
        <v>21</v>
      </c>
      <c r="I187" s="40">
        <f t="shared" si="18"/>
        <v>10</v>
      </c>
      <c r="J187" s="41">
        <f t="shared" si="19"/>
        <v>0.67741935483870963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 t="s">
        <v>1308</v>
      </c>
      <c r="S187" s="20" t="s">
        <v>1308</v>
      </c>
      <c r="T187" s="20" t="s">
        <v>1308</v>
      </c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1160</v>
      </c>
      <c r="D188" t="s">
        <v>292</v>
      </c>
      <c r="E188" s="39" t="s">
        <v>15</v>
      </c>
      <c r="F188" s="39" t="s">
        <v>28</v>
      </c>
      <c r="G188" t="s">
        <v>780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1160</v>
      </c>
      <c r="D189" t="s">
        <v>14</v>
      </c>
      <c r="E189" s="39" t="s">
        <v>15</v>
      </c>
      <c r="F189" s="39" t="s">
        <v>1151</v>
      </c>
      <c r="G189" t="s">
        <v>781</v>
      </c>
      <c r="H189" s="40">
        <f t="shared" si="17"/>
        <v>21</v>
      </c>
      <c r="I189" s="40">
        <f t="shared" si="18"/>
        <v>10</v>
      </c>
      <c r="J189" s="41">
        <f t="shared" si="19"/>
        <v>0.67741935483870963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 t="s">
        <v>1308</v>
      </c>
      <c r="S189" s="20" t="s">
        <v>1308</v>
      </c>
      <c r="T189" s="20" t="s">
        <v>1308</v>
      </c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381</v>
      </c>
      <c r="B190" t="s">
        <v>1057</v>
      </c>
      <c r="C190" t="s">
        <v>1160</v>
      </c>
      <c r="D190" t="s">
        <v>1058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1059</v>
      </c>
      <c r="B191" t="s">
        <v>1060</v>
      </c>
      <c r="C191" t="s">
        <v>1160</v>
      </c>
      <c r="D191" t="s">
        <v>1058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1160</v>
      </c>
      <c r="D192" t="s">
        <v>1187</v>
      </c>
      <c r="E192" s="39" t="s">
        <v>19</v>
      </c>
      <c r="F192" s="39" t="s">
        <v>20</v>
      </c>
      <c r="G192" t="s">
        <v>782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1160</v>
      </c>
      <c r="D193" t="s">
        <v>22</v>
      </c>
      <c r="E193" s="39" t="s">
        <v>19</v>
      </c>
      <c r="F193" s="39" t="s">
        <v>20</v>
      </c>
      <c r="G193" t="s">
        <v>731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1160</v>
      </c>
      <c r="D194" t="s">
        <v>618</v>
      </c>
      <c r="E194" s="39" t="s">
        <v>15</v>
      </c>
      <c r="F194" s="39" t="s">
        <v>1152</v>
      </c>
      <c r="G194" t="s">
        <v>783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1160</v>
      </c>
      <c r="D195" t="s">
        <v>25</v>
      </c>
      <c r="E195" s="39" t="s">
        <v>15</v>
      </c>
      <c r="F195" s="39" t="s">
        <v>20</v>
      </c>
      <c r="G195" t="s">
        <v>784</v>
      </c>
      <c r="H195" s="40">
        <f t="shared" si="17"/>
        <v>21</v>
      </c>
      <c r="I195" s="40">
        <f t="shared" si="18"/>
        <v>10</v>
      </c>
      <c r="J195" s="41">
        <f t="shared" si="19"/>
        <v>0.67741935483870963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 t="s">
        <v>1308</v>
      </c>
      <c r="S195" s="20" t="s">
        <v>1308</v>
      </c>
      <c r="T195" s="20" t="s">
        <v>1308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1061</v>
      </c>
      <c r="C196" t="s">
        <v>1159</v>
      </c>
      <c r="D196" t="s">
        <v>294</v>
      </c>
      <c r="E196" s="39" t="s">
        <v>73</v>
      </c>
      <c r="F196" s="39" t="s">
        <v>28</v>
      </c>
      <c r="G196" t="s">
        <v>785</v>
      </c>
      <c r="H196" s="40">
        <f t="shared" si="17"/>
        <v>21</v>
      </c>
      <c r="I196" s="40">
        <f t="shared" si="18"/>
        <v>10</v>
      </c>
      <c r="J196" s="41">
        <f t="shared" si="19"/>
        <v>0.67741935483870963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 t="s">
        <v>1308</v>
      </c>
      <c r="S196" s="20" t="s">
        <v>1308</v>
      </c>
      <c r="T196" s="20" t="s">
        <v>1308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1159</v>
      </c>
      <c r="D197" t="s">
        <v>296</v>
      </c>
      <c r="E197" s="39" t="s">
        <v>73</v>
      </c>
      <c r="F197" s="39" t="s">
        <v>28</v>
      </c>
      <c r="G197" t="s">
        <v>1156</v>
      </c>
      <c r="H197" s="40">
        <f t="shared" si="17"/>
        <v>21</v>
      </c>
      <c r="I197" s="40">
        <f t="shared" si="18"/>
        <v>10</v>
      </c>
      <c r="J197" s="41">
        <f t="shared" si="19"/>
        <v>0.67741935483870963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 t="s">
        <v>1308</v>
      </c>
      <c r="S197" s="20" t="s">
        <v>1308</v>
      </c>
      <c r="T197" s="20" t="s">
        <v>1308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1062</v>
      </c>
      <c r="C198" t="s">
        <v>1159</v>
      </c>
      <c r="D198" t="s">
        <v>298</v>
      </c>
      <c r="E198" s="39" t="s">
        <v>19</v>
      </c>
      <c r="F198" s="39" t="s">
        <v>28</v>
      </c>
      <c r="G198" t="s">
        <v>786</v>
      </c>
      <c r="H198" s="40">
        <f t="shared" si="17"/>
        <v>21</v>
      </c>
      <c r="I198" s="40">
        <f>COUNTIF(K198:AL198,"APAGADO")</f>
        <v>10</v>
      </c>
      <c r="J198" s="41">
        <f>(H198)/(I198+H198)</f>
        <v>0.67741935483870963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 t="s">
        <v>1308</v>
      </c>
      <c r="S198" s="20" t="s">
        <v>1308</v>
      </c>
      <c r="T198" s="20" t="s">
        <v>1308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1159</v>
      </c>
      <c r="D199" t="s">
        <v>300</v>
      </c>
      <c r="E199" s="39" t="s">
        <v>19</v>
      </c>
      <c r="F199" s="39" t="s">
        <v>1151</v>
      </c>
      <c r="G199" t="s">
        <v>787</v>
      </c>
      <c r="H199" s="40">
        <f t="shared" si="17"/>
        <v>21</v>
      </c>
      <c r="I199" s="40">
        <f t="shared" si="18"/>
        <v>10</v>
      </c>
      <c r="J199" s="41">
        <f t="shared" si="19"/>
        <v>0.67741935483870963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 t="s">
        <v>1308</v>
      </c>
      <c r="S199" s="20" t="s">
        <v>1308</v>
      </c>
      <c r="T199" s="20" t="s">
        <v>1308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1063</v>
      </c>
      <c r="C200" t="s">
        <v>1159</v>
      </c>
      <c r="D200" t="s">
        <v>301</v>
      </c>
      <c r="E200" s="39" t="s">
        <v>19</v>
      </c>
      <c r="F200" s="39" t="s">
        <v>1151</v>
      </c>
      <c r="G200" t="s">
        <v>788</v>
      </c>
      <c r="H200" s="40">
        <f t="shared" ref="H200:H263" si="22">COUNTIF(K200:AO200,"")</f>
        <v>21</v>
      </c>
      <c r="I200" s="40">
        <f>COUNTIF(K200:AL200,"APAGADO")</f>
        <v>10</v>
      </c>
      <c r="J200" s="41">
        <f>(H200)/(I200+H200)</f>
        <v>0.67741935483870963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 t="s">
        <v>1308</v>
      </c>
      <c r="S200" s="20" t="s">
        <v>1308</v>
      </c>
      <c r="T200" s="20" t="s">
        <v>1308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1159</v>
      </c>
      <c r="D201" t="s">
        <v>303</v>
      </c>
      <c r="E201" s="39" t="s">
        <v>15</v>
      </c>
      <c r="F201" s="39" t="s">
        <v>1151</v>
      </c>
      <c r="G201" t="s">
        <v>789</v>
      </c>
      <c r="H201" s="40">
        <f t="shared" si="22"/>
        <v>21</v>
      </c>
      <c r="I201" s="40">
        <f t="shared" si="18"/>
        <v>10</v>
      </c>
      <c r="J201" s="41">
        <f t="shared" si="19"/>
        <v>0.67741935483870963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 t="s">
        <v>1308</v>
      </c>
      <c r="S201" s="20" t="s">
        <v>1308</v>
      </c>
      <c r="T201" s="20" t="s">
        <v>1308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1159</v>
      </c>
      <c r="D202" t="s">
        <v>306</v>
      </c>
      <c r="E202" s="39" t="s">
        <v>73</v>
      </c>
      <c r="F202" s="39" t="s">
        <v>28</v>
      </c>
      <c r="G202" t="s">
        <v>790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1159</v>
      </c>
      <c r="D203" t="s">
        <v>308</v>
      </c>
      <c r="E203" s="39" t="s">
        <v>19</v>
      </c>
      <c r="F203" s="39" t="s">
        <v>20</v>
      </c>
      <c r="G203" t="s">
        <v>791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1159</v>
      </c>
      <c r="D204" t="s">
        <v>310</v>
      </c>
      <c r="E204" s="39" t="s">
        <v>19</v>
      </c>
      <c r="F204" s="39" t="s">
        <v>20</v>
      </c>
      <c r="G204" t="s">
        <v>792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1159</v>
      </c>
      <c r="D205" t="s">
        <v>312</v>
      </c>
      <c r="E205" s="39" t="s">
        <v>19</v>
      </c>
      <c r="F205" s="39" t="s">
        <v>20</v>
      </c>
      <c r="G205" t="s">
        <v>793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1064</v>
      </c>
      <c r="C206" t="s">
        <v>1159</v>
      </c>
      <c r="D206" t="s">
        <v>316</v>
      </c>
      <c r="E206" s="39" t="s">
        <v>19</v>
      </c>
      <c r="F206" s="39" t="s">
        <v>28</v>
      </c>
      <c r="G206" t="s">
        <v>794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1159</v>
      </c>
      <c r="D207" t="s">
        <v>318</v>
      </c>
      <c r="E207" s="39" t="s">
        <v>19</v>
      </c>
      <c r="F207" s="39" t="s">
        <v>20</v>
      </c>
      <c r="G207" t="s">
        <v>795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1159</v>
      </c>
      <c r="D208" t="s">
        <v>320</v>
      </c>
      <c r="E208" s="39" t="s">
        <v>19</v>
      </c>
      <c r="F208" s="39" t="s">
        <v>1152</v>
      </c>
      <c r="G208" t="s">
        <v>796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1159</v>
      </c>
      <c r="D209" t="s">
        <v>322</v>
      </c>
      <c r="E209" s="39" t="s">
        <v>19</v>
      </c>
      <c r="F209" s="39" t="s">
        <v>20</v>
      </c>
      <c r="G209" t="s">
        <v>797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1159</v>
      </c>
      <c r="D210" t="s">
        <v>325</v>
      </c>
      <c r="E210" s="39" t="s">
        <v>19</v>
      </c>
      <c r="F210" s="39" t="s">
        <v>20</v>
      </c>
      <c r="G210" t="s">
        <v>1157</v>
      </c>
      <c r="H210" s="40">
        <f t="shared" si="22"/>
        <v>25</v>
      </c>
      <c r="I210" s="40">
        <f t="shared" si="18"/>
        <v>6</v>
      </c>
      <c r="J210" s="41">
        <f t="shared" si="19"/>
        <v>0.80645161290322576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 t="s">
        <v>1308</v>
      </c>
      <c r="S210" s="20"/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1159</v>
      </c>
      <c r="D211" t="s">
        <v>327</v>
      </c>
      <c r="E211" s="39" t="s">
        <v>19</v>
      </c>
      <c r="F211" s="39" t="s">
        <v>1151</v>
      </c>
      <c r="G211" t="s">
        <v>798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1159</v>
      </c>
      <c r="D212" t="s">
        <v>329</v>
      </c>
      <c r="E212" s="39" t="s">
        <v>19</v>
      </c>
      <c r="F212" s="39" t="s">
        <v>1151</v>
      </c>
      <c r="G212" t="s">
        <v>799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1159</v>
      </c>
      <c r="D213" t="s">
        <v>315</v>
      </c>
      <c r="E213" s="39" t="s">
        <v>15</v>
      </c>
      <c r="F213" s="39" t="s">
        <v>20</v>
      </c>
      <c r="G213" t="s">
        <v>800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1308</v>
      </c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1159</v>
      </c>
      <c r="D214" t="s">
        <v>331</v>
      </c>
      <c r="E214" s="39" t="s">
        <v>15</v>
      </c>
      <c r="F214" s="39" t="s">
        <v>28</v>
      </c>
      <c r="G214" t="s">
        <v>801</v>
      </c>
      <c r="H214" s="40">
        <f t="shared" si="22"/>
        <v>21</v>
      </c>
      <c r="I214" s="40">
        <f t="shared" si="18"/>
        <v>10</v>
      </c>
      <c r="J214" s="41">
        <f t="shared" si="19"/>
        <v>0.67741935483870963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 t="s">
        <v>1308</v>
      </c>
      <c r="S214" s="20" t="s">
        <v>1308</v>
      </c>
      <c r="T214" s="20" t="s">
        <v>1308</v>
      </c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1160</v>
      </c>
      <c r="D215" t="s">
        <v>333</v>
      </c>
      <c r="E215" s="39" t="s">
        <v>15</v>
      </c>
      <c r="F215" s="39" t="s">
        <v>28</v>
      </c>
      <c r="G215" t="s">
        <v>802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1160</v>
      </c>
      <c r="D216" t="s">
        <v>336</v>
      </c>
      <c r="E216" s="39" t="s">
        <v>73</v>
      </c>
      <c r="F216" s="39" t="s">
        <v>28</v>
      </c>
      <c r="G216" t="s">
        <v>803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1160</v>
      </c>
      <c r="D217" t="s">
        <v>336</v>
      </c>
      <c r="E217" s="39" t="s">
        <v>73</v>
      </c>
      <c r="F217" s="39" t="s">
        <v>28</v>
      </c>
      <c r="G217" t="s">
        <v>804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1160</v>
      </c>
      <c r="D218" t="s">
        <v>339</v>
      </c>
      <c r="E218" s="39" t="s">
        <v>73</v>
      </c>
      <c r="F218" s="39" t="s">
        <v>28</v>
      </c>
      <c r="G218" t="s">
        <v>805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1160</v>
      </c>
      <c r="D219" t="s">
        <v>339</v>
      </c>
      <c r="E219" s="39" t="s">
        <v>73</v>
      </c>
      <c r="F219" s="39" t="s">
        <v>28</v>
      </c>
      <c r="G219" t="s">
        <v>806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1160</v>
      </c>
      <c r="D220" t="s">
        <v>343</v>
      </c>
      <c r="E220" s="39" t="s">
        <v>15</v>
      </c>
      <c r="F220" s="39" t="s">
        <v>28</v>
      </c>
      <c r="G220" t="s">
        <v>809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1160</v>
      </c>
      <c r="D221" t="s">
        <v>343</v>
      </c>
      <c r="E221" s="39" t="s">
        <v>73</v>
      </c>
      <c r="F221" s="39" t="s">
        <v>28</v>
      </c>
      <c r="G221" t="s">
        <v>810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1160</v>
      </c>
      <c r="D222" t="s">
        <v>346</v>
      </c>
      <c r="E222" s="39" t="s">
        <v>15</v>
      </c>
      <c r="F222" s="39" t="s">
        <v>28</v>
      </c>
      <c r="G222" t="s">
        <v>811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1160</v>
      </c>
      <c r="D223" t="s">
        <v>346</v>
      </c>
      <c r="E223" s="39" t="s">
        <v>73</v>
      </c>
      <c r="F223" s="39" t="s">
        <v>28</v>
      </c>
      <c r="G223" t="s">
        <v>812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1160</v>
      </c>
      <c r="D224" t="s">
        <v>349</v>
      </c>
      <c r="E224" s="39" t="s">
        <v>15</v>
      </c>
      <c r="F224" s="39" t="s">
        <v>28</v>
      </c>
      <c r="G224" t="s">
        <v>813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1160</v>
      </c>
      <c r="D225" t="s">
        <v>349</v>
      </c>
      <c r="E225" s="39" t="s">
        <v>73</v>
      </c>
      <c r="F225" s="39" t="s">
        <v>28</v>
      </c>
      <c r="G225" t="s">
        <v>814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1065</v>
      </c>
      <c r="C226" t="s">
        <v>1160</v>
      </c>
      <c r="D226" t="s">
        <v>351</v>
      </c>
      <c r="E226" s="39" t="s">
        <v>19</v>
      </c>
      <c r="F226" s="39" t="s">
        <v>28</v>
      </c>
      <c r="G226" t="s">
        <v>824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1160</v>
      </c>
      <c r="D227" t="s">
        <v>351</v>
      </c>
      <c r="E227" s="39" t="s">
        <v>73</v>
      </c>
      <c r="F227" s="39" t="s">
        <v>28</v>
      </c>
      <c r="G227" t="s">
        <v>815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1159</v>
      </c>
      <c r="D228" t="s">
        <v>354</v>
      </c>
      <c r="E228" s="39" t="s">
        <v>73</v>
      </c>
      <c r="F228" s="39" t="s">
        <v>28</v>
      </c>
      <c r="G228" t="s">
        <v>816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1160</v>
      </c>
      <c r="D229" t="s">
        <v>357</v>
      </c>
      <c r="E229" s="39" t="s">
        <v>15</v>
      </c>
      <c r="F229" s="39" t="s">
        <v>28</v>
      </c>
      <c r="G229" t="s">
        <v>818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1160</v>
      </c>
      <c r="D230" t="s">
        <v>357</v>
      </c>
      <c r="E230" s="39" t="s">
        <v>73</v>
      </c>
      <c r="F230" s="39" t="s">
        <v>28</v>
      </c>
      <c r="G230" t="s">
        <v>819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1066</v>
      </c>
      <c r="C231" t="s">
        <v>1160</v>
      </c>
      <c r="D231" t="s">
        <v>360</v>
      </c>
      <c r="E231" s="39" t="s">
        <v>15</v>
      </c>
      <c r="F231" s="39" t="s">
        <v>28</v>
      </c>
      <c r="G231" t="s">
        <v>825</v>
      </c>
      <c r="H231" s="40">
        <f t="shared" si="22"/>
        <v>21</v>
      </c>
      <c r="I231" s="40">
        <f t="shared" si="18"/>
        <v>10</v>
      </c>
      <c r="J231" s="41">
        <f t="shared" si="19"/>
        <v>0.67741935483870963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 t="s">
        <v>1308</v>
      </c>
      <c r="S231" s="20" t="s">
        <v>1308</v>
      </c>
      <c r="T231" s="20" t="s">
        <v>1308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1160</v>
      </c>
      <c r="D232" t="s">
        <v>362</v>
      </c>
      <c r="E232" s="39" t="s">
        <v>15</v>
      </c>
      <c r="F232" s="39" t="s">
        <v>1152</v>
      </c>
      <c r="G232" t="s">
        <v>820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1160</v>
      </c>
      <c r="D233" t="s">
        <v>362</v>
      </c>
      <c r="E233" s="39" t="s">
        <v>73</v>
      </c>
      <c r="F233" s="39" t="s">
        <v>1152</v>
      </c>
      <c r="G233" t="s">
        <v>821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365</v>
      </c>
      <c r="C234" t="s">
        <v>1160</v>
      </c>
      <c r="D234" t="s">
        <v>1067</v>
      </c>
      <c r="E234" s="39" t="s">
        <v>15</v>
      </c>
      <c r="F234" s="39" t="s">
        <v>28</v>
      </c>
      <c r="G234" t="s">
        <v>826</v>
      </c>
      <c r="H234" s="40">
        <f t="shared" si="22"/>
        <v>28</v>
      </c>
      <c r="I234" s="40">
        <f t="shared" si="18"/>
        <v>3</v>
      </c>
      <c r="J234" s="41">
        <f t="shared" si="19"/>
        <v>0.90322580645161288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 t="s">
        <v>1308</v>
      </c>
      <c r="T234" s="20" t="s">
        <v>1308</v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366</v>
      </c>
      <c r="C235" t="s">
        <v>1160</v>
      </c>
      <c r="D235" t="s">
        <v>1067</v>
      </c>
      <c r="E235" s="39" t="s">
        <v>73</v>
      </c>
      <c r="F235" s="39" t="s">
        <v>28</v>
      </c>
      <c r="G235" t="s">
        <v>827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 t="s">
        <v>1308</v>
      </c>
      <c r="S235" s="20" t="s">
        <v>1308</v>
      </c>
      <c r="T235" s="20" t="s">
        <v>1308</v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367</v>
      </c>
      <c r="C236" t="s">
        <v>1160</v>
      </c>
      <c r="D236" t="s">
        <v>368</v>
      </c>
      <c r="E236" s="39" t="s">
        <v>15</v>
      </c>
      <c r="F236" s="39" t="s">
        <v>28</v>
      </c>
      <c r="G236" t="s">
        <v>823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369</v>
      </c>
      <c r="C237" t="s">
        <v>1160</v>
      </c>
      <c r="D237" t="s">
        <v>368</v>
      </c>
      <c r="E237" s="39" t="s">
        <v>73</v>
      </c>
      <c r="F237" s="39" t="s">
        <v>28</v>
      </c>
      <c r="G237" t="s">
        <v>822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1068</v>
      </c>
      <c r="C238" t="s">
        <v>1159</v>
      </c>
      <c r="D238" t="s">
        <v>1069</v>
      </c>
      <c r="E238" s="39" t="s">
        <v>73</v>
      </c>
      <c r="F238" s="39" t="s">
        <v>28</v>
      </c>
      <c r="G238"/>
      <c r="H238" s="40">
        <f t="shared" si="22"/>
        <v>21</v>
      </c>
      <c r="I238" s="40">
        <f t="shared" si="23"/>
        <v>10</v>
      </c>
      <c r="J238" s="41">
        <f t="shared" si="24"/>
        <v>0.67741935483870963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 t="s">
        <v>1308</v>
      </c>
      <c r="S238" s="20" t="s">
        <v>1308</v>
      </c>
      <c r="T238" s="20" t="s">
        <v>1308</v>
      </c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1070</v>
      </c>
      <c r="C239" t="s">
        <v>1160</v>
      </c>
      <c r="D239" t="s">
        <v>1071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1072</v>
      </c>
      <c r="C240" t="s">
        <v>1160</v>
      </c>
      <c r="D240" t="s">
        <v>1073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370</v>
      </c>
      <c r="C241" t="s">
        <v>1160</v>
      </c>
      <c r="D241" t="s">
        <v>354</v>
      </c>
      <c r="E241" s="39" t="s">
        <v>15</v>
      </c>
      <c r="F241" s="39" t="s">
        <v>28</v>
      </c>
      <c r="G241" t="s">
        <v>817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1074</v>
      </c>
      <c r="C242" t="s">
        <v>1160</v>
      </c>
      <c r="D242" t="s">
        <v>1075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1076</v>
      </c>
      <c r="C243" t="s">
        <v>1160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27</v>
      </c>
      <c r="I243" s="40">
        <f t="shared" si="23"/>
        <v>4</v>
      </c>
      <c r="J243" s="41">
        <f t="shared" si="24"/>
        <v>0.87096774193548387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 t="s">
        <v>1308</v>
      </c>
      <c r="S243" s="20"/>
      <c r="T243" s="20" t="s">
        <v>1308</v>
      </c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1077</v>
      </c>
      <c r="C244" t="s">
        <v>1160</v>
      </c>
      <c r="D244" t="s">
        <v>1078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1079</v>
      </c>
      <c r="C245" t="s">
        <v>1160</v>
      </c>
      <c r="D245" t="s">
        <v>1080</v>
      </c>
      <c r="E245" s="39" t="s">
        <v>19</v>
      </c>
      <c r="F245" s="39" t="s">
        <v>28</v>
      </c>
      <c r="G245"/>
      <c r="H245" s="40">
        <f t="shared" si="22"/>
        <v>28</v>
      </c>
      <c r="I245" s="40">
        <f t="shared" si="23"/>
        <v>3</v>
      </c>
      <c r="J245" s="41">
        <f t="shared" si="24"/>
        <v>0.90322580645161288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 t="s">
        <v>1308</v>
      </c>
      <c r="T245" s="20" t="s">
        <v>1308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1081</v>
      </c>
      <c r="C246" t="s">
        <v>1160</v>
      </c>
      <c r="D246" t="s">
        <v>1082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1083</v>
      </c>
      <c r="C247" t="s">
        <v>1160</v>
      </c>
      <c r="D247" t="s">
        <v>1084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371</v>
      </c>
      <c r="B248" t="s">
        <v>372</v>
      </c>
      <c r="C248" t="s">
        <v>1160</v>
      </c>
      <c r="D248" t="s">
        <v>373</v>
      </c>
      <c r="E248" s="39" t="s">
        <v>15</v>
      </c>
      <c r="F248" s="39" t="s">
        <v>28</v>
      </c>
      <c r="G248" t="s">
        <v>828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371</v>
      </c>
      <c r="B249" t="s">
        <v>1085</v>
      </c>
      <c r="C249" t="s">
        <v>1160</v>
      </c>
      <c r="D249" t="s">
        <v>374</v>
      </c>
      <c r="E249" s="39" t="s">
        <v>15</v>
      </c>
      <c r="F249" s="39" t="s">
        <v>28</v>
      </c>
      <c r="G249" t="s">
        <v>829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371</v>
      </c>
      <c r="B250" t="s">
        <v>375</v>
      </c>
      <c r="C250" t="s">
        <v>1160</v>
      </c>
      <c r="D250" t="s">
        <v>376</v>
      </c>
      <c r="E250" s="39" t="s">
        <v>73</v>
      </c>
      <c r="F250" s="39" t="s">
        <v>28</v>
      </c>
      <c r="G250" t="s">
        <v>830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371</v>
      </c>
      <c r="B251" t="s">
        <v>377</v>
      </c>
      <c r="C251" t="s">
        <v>1160</v>
      </c>
      <c r="D251" t="s">
        <v>376</v>
      </c>
      <c r="E251" s="39" t="s">
        <v>73</v>
      </c>
      <c r="F251" s="39" t="s">
        <v>28</v>
      </c>
      <c r="G251" t="s">
        <v>831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371</v>
      </c>
      <c r="B252" t="s">
        <v>378</v>
      </c>
      <c r="C252" t="s">
        <v>1160</v>
      </c>
      <c r="D252" t="s">
        <v>379</v>
      </c>
      <c r="E252" s="39" t="s">
        <v>73</v>
      </c>
      <c r="F252" s="39" t="s">
        <v>28</v>
      </c>
      <c r="G252" t="s">
        <v>832</v>
      </c>
      <c r="H252" s="40">
        <f t="shared" si="22"/>
        <v>30</v>
      </c>
      <c r="I252" s="40">
        <f t="shared" si="23"/>
        <v>1</v>
      </c>
      <c r="J252" s="41">
        <f t="shared" si="24"/>
        <v>0.967741935483871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1308</v>
      </c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371</v>
      </c>
      <c r="B253" t="s">
        <v>380</v>
      </c>
      <c r="C253" t="s">
        <v>1160</v>
      </c>
      <c r="D253" t="s">
        <v>379</v>
      </c>
      <c r="E253" s="39" t="s">
        <v>46</v>
      </c>
      <c r="F253" s="39" t="s">
        <v>28</v>
      </c>
      <c r="G253" t="s">
        <v>833</v>
      </c>
      <c r="H253" s="40">
        <f t="shared" si="22"/>
        <v>30</v>
      </c>
      <c r="I253" s="40">
        <f t="shared" si="23"/>
        <v>1</v>
      </c>
      <c r="J253" s="41">
        <f t="shared" si="24"/>
        <v>0.967741935483871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1308</v>
      </c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381</v>
      </c>
      <c r="B254" t="s">
        <v>1095</v>
      </c>
      <c r="C254" t="s">
        <v>1160</v>
      </c>
      <c r="D254" t="s">
        <v>382</v>
      </c>
      <c r="E254" s="39" t="s">
        <v>15</v>
      </c>
      <c r="F254" s="39" t="s">
        <v>28</v>
      </c>
      <c r="G254" t="s">
        <v>834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381</v>
      </c>
      <c r="B255" t="s">
        <v>1096</v>
      </c>
      <c r="C255" t="s">
        <v>1160</v>
      </c>
      <c r="D255" t="s">
        <v>383</v>
      </c>
      <c r="E255" s="39" t="s">
        <v>15</v>
      </c>
      <c r="F255" s="39" t="s">
        <v>28</v>
      </c>
      <c r="G255" t="s">
        <v>837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381</v>
      </c>
      <c r="B256" t="s">
        <v>384</v>
      </c>
      <c r="C256" t="s">
        <v>1160</v>
      </c>
      <c r="D256" t="s">
        <v>385</v>
      </c>
      <c r="E256" s="39" t="s">
        <v>73</v>
      </c>
      <c r="F256" s="39" t="s">
        <v>28</v>
      </c>
      <c r="G256" t="s">
        <v>835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381</v>
      </c>
      <c r="B257" t="s">
        <v>386</v>
      </c>
      <c r="C257" t="s">
        <v>1160</v>
      </c>
      <c r="D257" t="s">
        <v>385</v>
      </c>
      <c r="E257" s="39" t="s">
        <v>73</v>
      </c>
      <c r="F257" s="39" t="s">
        <v>28</v>
      </c>
      <c r="G257" t="s">
        <v>836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381</v>
      </c>
      <c r="B258" t="s">
        <v>1086</v>
      </c>
      <c r="C258" t="s">
        <v>1160</v>
      </c>
      <c r="D258" t="s">
        <v>387</v>
      </c>
      <c r="E258" s="39" t="s">
        <v>15</v>
      </c>
      <c r="F258" s="39" t="s">
        <v>28</v>
      </c>
      <c r="G258" t="s">
        <v>838</v>
      </c>
      <c r="H258" s="40">
        <f t="shared" si="22"/>
        <v>21</v>
      </c>
      <c r="I258" s="40">
        <f t="shared" si="23"/>
        <v>10</v>
      </c>
      <c r="J258" s="41">
        <f t="shared" si="24"/>
        <v>0.67741935483870963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 t="s">
        <v>1308</v>
      </c>
      <c r="S258" s="20" t="s">
        <v>1308</v>
      </c>
      <c r="T258" s="20" t="s">
        <v>1308</v>
      </c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381</v>
      </c>
      <c r="B259" t="s">
        <v>1087</v>
      </c>
      <c r="C259" t="s">
        <v>1160</v>
      </c>
      <c r="D259" t="s">
        <v>1088</v>
      </c>
      <c r="E259" s="39" t="s">
        <v>19</v>
      </c>
      <c r="F259" s="39" t="s">
        <v>28</v>
      </c>
      <c r="G259" t="s">
        <v>992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381</v>
      </c>
      <c r="B260" t="s">
        <v>1089</v>
      </c>
      <c r="C260" t="s">
        <v>1160</v>
      </c>
      <c r="D260" t="s">
        <v>1090</v>
      </c>
      <c r="E260" s="39" t="s">
        <v>19</v>
      </c>
      <c r="F260" s="39" t="s">
        <v>28</v>
      </c>
      <c r="G260" t="s">
        <v>993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381</v>
      </c>
      <c r="B261" t="s">
        <v>1091</v>
      </c>
      <c r="C261" t="s">
        <v>1160</v>
      </c>
      <c r="D261" t="s">
        <v>1092</v>
      </c>
      <c r="E261" s="39" t="s">
        <v>19</v>
      </c>
      <c r="F261" s="39" t="s">
        <v>28</v>
      </c>
      <c r="G261" t="s">
        <v>994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381</v>
      </c>
      <c r="B262" t="s">
        <v>1093</v>
      </c>
      <c r="C262" t="s">
        <v>1160</v>
      </c>
      <c r="D262" t="s">
        <v>1094</v>
      </c>
      <c r="E262" s="39" t="s">
        <v>19</v>
      </c>
      <c r="F262" s="39" t="s">
        <v>28</v>
      </c>
      <c r="G262" t="s">
        <v>995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381</v>
      </c>
      <c r="B263" t="s">
        <v>1272</v>
      </c>
      <c r="C263" t="s">
        <v>1160</v>
      </c>
      <c r="D263" t="s">
        <v>1255</v>
      </c>
      <c r="E263" s="39" t="s">
        <v>19</v>
      </c>
      <c r="F263" s="39" t="s">
        <v>28</v>
      </c>
      <c r="G263" t="s">
        <v>1257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381</v>
      </c>
      <c r="B264" t="s">
        <v>1273</v>
      </c>
      <c r="C264" t="s">
        <v>1160</v>
      </c>
      <c r="D264" t="s">
        <v>1255</v>
      </c>
      <c r="E264" s="39" t="s">
        <v>19</v>
      </c>
      <c r="F264" s="39" t="s">
        <v>28</v>
      </c>
      <c r="G264" t="s">
        <v>1258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381</v>
      </c>
      <c r="B265" t="s">
        <v>1291</v>
      </c>
      <c r="C265" t="s">
        <v>1160</v>
      </c>
      <c r="D265" t="s">
        <v>1254</v>
      </c>
      <c r="E265" s="39" t="s">
        <v>73</v>
      </c>
      <c r="F265" s="39" t="s">
        <v>28</v>
      </c>
      <c r="G265" t="s">
        <v>1256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983</v>
      </c>
      <c r="B266" t="s">
        <v>1097</v>
      </c>
      <c r="C266" t="s">
        <v>1160</v>
      </c>
      <c r="D266" t="s">
        <v>1098</v>
      </c>
      <c r="E266" s="39" t="s">
        <v>1153</v>
      </c>
      <c r="F266" s="39" t="s">
        <v>28</v>
      </c>
      <c r="G266" t="s">
        <v>985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983</v>
      </c>
      <c r="B267" t="s">
        <v>982</v>
      </c>
      <c r="C267" t="s">
        <v>1160</v>
      </c>
      <c r="D267" t="s">
        <v>1098</v>
      </c>
      <c r="E267" s="39" t="s">
        <v>1154</v>
      </c>
      <c r="F267" s="39" t="s">
        <v>28</v>
      </c>
      <c r="G267" t="s">
        <v>984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388</v>
      </c>
      <c r="C268" t="s">
        <v>1159</v>
      </c>
      <c r="D268" t="s">
        <v>389</v>
      </c>
      <c r="E268" s="39" t="s">
        <v>19</v>
      </c>
      <c r="F268" s="39" t="s">
        <v>28</v>
      </c>
      <c r="G268" t="s">
        <v>839</v>
      </c>
      <c r="H268" s="40">
        <f t="shared" si="25"/>
        <v>21</v>
      </c>
      <c r="I268" s="40">
        <f>COUNTIF(K268:AL268,"APAGADO")</f>
        <v>10</v>
      </c>
      <c r="J268" s="41">
        <f>(H268)/(I268+H268)</f>
        <v>0.67741935483870963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 t="s">
        <v>1308</v>
      </c>
      <c r="S268" s="20" t="s">
        <v>1308</v>
      </c>
      <c r="T268" s="20" t="s">
        <v>1308</v>
      </c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1099</v>
      </c>
      <c r="C269" t="s">
        <v>1159</v>
      </c>
      <c r="D269" t="s">
        <v>341</v>
      </c>
      <c r="E269" s="39" t="s">
        <v>73</v>
      </c>
      <c r="F269" s="39" t="s">
        <v>28</v>
      </c>
      <c r="G269" t="s">
        <v>807</v>
      </c>
      <c r="H269" s="40">
        <f t="shared" si="25"/>
        <v>21</v>
      </c>
      <c r="I269" s="40">
        <f t="shared" si="23"/>
        <v>10</v>
      </c>
      <c r="J269" s="41">
        <f t="shared" si="24"/>
        <v>0.67741935483870963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 t="s">
        <v>1308</v>
      </c>
      <c r="S269" s="20" t="s">
        <v>1308</v>
      </c>
      <c r="T269" s="20" t="s">
        <v>1308</v>
      </c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1100</v>
      </c>
      <c r="C270" t="s">
        <v>1159</v>
      </c>
      <c r="D270" t="s">
        <v>341</v>
      </c>
      <c r="E270" s="39" t="s">
        <v>73</v>
      </c>
      <c r="F270" s="39" t="s">
        <v>28</v>
      </c>
      <c r="G270" t="s">
        <v>808</v>
      </c>
      <c r="H270" s="40">
        <f t="shared" si="25"/>
        <v>21</v>
      </c>
      <c r="I270" s="40">
        <f t="shared" si="23"/>
        <v>10</v>
      </c>
      <c r="J270" s="41">
        <f t="shared" si="24"/>
        <v>0.67741935483870963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1101</v>
      </c>
      <c r="C271" t="s">
        <v>1159</v>
      </c>
      <c r="D271" t="s">
        <v>1102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1103</v>
      </c>
      <c r="C272" t="s">
        <v>1159</v>
      </c>
      <c r="D272" t="s">
        <v>1104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1228</v>
      </c>
      <c r="C273" t="s">
        <v>1159</v>
      </c>
      <c r="D273" t="s">
        <v>1225</v>
      </c>
      <c r="E273" s="39" t="s">
        <v>73</v>
      </c>
      <c r="F273" s="39" t="s">
        <v>28</v>
      </c>
      <c r="G273" t="s">
        <v>1234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1229</v>
      </c>
      <c r="C274" t="s">
        <v>1159</v>
      </c>
      <c r="D274" t="s">
        <v>1225</v>
      </c>
      <c r="E274" s="39" t="s">
        <v>73</v>
      </c>
      <c r="F274" s="39" t="s">
        <v>28</v>
      </c>
      <c r="G274" t="s">
        <v>1235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1230</v>
      </c>
      <c r="C275" t="s">
        <v>1159</v>
      </c>
      <c r="D275" t="s">
        <v>1226</v>
      </c>
      <c r="E275" s="39" t="s">
        <v>73</v>
      </c>
      <c r="F275" s="39" t="s">
        <v>28</v>
      </c>
      <c r="G275" t="s">
        <v>1236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1231</v>
      </c>
      <c r="C276" t="s">
        <v>1159</v>
      </c>
      <c r="D276" t="s">
        <v>1226</v>
      </c>
      <c r="E276" s="39" t="s">
        <v>73</v>
      </c>
      <c r="F276" s="39" t="s">
        <v>28</v>
      </c>
      <c r="G276" t="s">
        <v>1237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390</v>
      </c>
      <c r="B277" t="s">
        <v>391</v>
      </c>
      <c r="C277" t="s">
        <v>1159</v>
      </c>
      <c r="D277" t="s">
        <v>392</v>
      </c>
      <c r="E277" s="39" t="s">
        <v>19</v>
      </c>
      <c r="F277" s="39" t="s">
        <v>28</v>
      </c>
      <c r="G277" t="s">
        <v>840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390</v>
      </c>
      <c r="B278" t="s">
        <v>393</v>
      </c>
      <c r="C278" t="s">
        <v>1159</v>
      </c>
      <c r="D278" t="s">
        <v>394</v>
      </c>
      <c r="E278" s="39" t="s">
        <v>19</v>
      </c>
      <c r="F278" s="39" t="s">
        <v>28</v>
      </c>
      <c r="G278" t="s">
        <v>841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395</v>
      </c>
      <c r="B279" t="s">
        <v>396</v>
      </c>
      <c r="C279" t="s">
        <v>1159</v>
      </c>
      <c r="D279" t="s">
        <v>397</v>
      </c>
      <c r="E279" s="39" t="s">
        <v>19</v>
      </c>
      <c r="F279" s="39" t="s">
        <v>20</v>
      </c>
      <c r="G279" t="s">
        <v>842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398</v>
      </c>
      <c r="C280" t="s">
        <v>1159</v>
      </c>
      <c r="D280" t="s">
        <v>399</v>
      </c>
      <c r="E280" s="39" t="s">
        <v>19</v>
      </c>
      <c r="F280" s="39" t="s">
        <v>28</v>
      </c>
      <c r="G280" t="s">
        <v>845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1105</v>
      </c>
      <c r="C281" t="s">
        <v>1159</v>
      </c>
      <c r="D281" t="s">
        <v>400</v>
      </c>
      <c r="E281" s="39" t="s">
        <v>19</v>
      </c>
      <c r="F281" s="39" t="s">
        <v>1151</v>
      </c>
      <c r="G281" t="s">
        <v>846</v>
      </c>
      <c r="H281" s="40">
        <f t="shared" si="25"/>
        <v>22</v>
      </c>
      <c r="I281" s="40">
        <f>COUNTIF(K281:AL281,"APAGADO")</f>
        <v>9</v>
      </c>
      <c r="J281" s="41">
        <f>(H281)/(I281+H281)</f>
        <v>0.70967741935483875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 t="s">
        <v>1308</v>
      </c>
      <c r="S281" s="20" t="s">
        <v>1308</v>
      </c>
      <c r="T281" s="20" t="s">
        <v>1308</v>
      </c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401</v>
      </c>
      <c r="C282" t="s">
        <v>1159</v>
      </c>
      <c r="D282" t="s">
        <v>402</v>
      </c>
      <c r="E282" s="39" t="s">
        <v>73</v>
      </c>
      <c r="F282" s="39" t="s">
        <v>28</v>
      </c>
      <c r="G282" t="s">
        <v>843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403</v>
      </c>
      <c r="C283" t="s">
        <v>1159</v>
      </c>
      <c r="D283" t="s">
        <v>402</v>
      </c>
      <c r="E283" s="39" t="s">
        <v>73</v>
      </c>
      <c r="F283" s="39" t="s">
        <v>28</v>
      </c>
      <c r="G283" t="s">
        <v>844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408</v>
      </c>
      <c r="B284" t="s">
        <v>413</v>
      </c>
      <c r="C284" t="s">
        <v>1159</v>
      </c>
      <c r="D284" t="s">
        <v>414</v>
      </c>
      <c r="E284" s="39" t="s">
        <v>15</v>
      </c>
      <c r="F284" s="39" t="s">
        <v>20</v>
      </c>
      <c r="G284" t="s">
        <v>847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390</v>
      </c>
      <c r="B285" t="s">
        <v>404</v>
      </c>
      <c r="C285" t="s">
        <v>1159</v>
      </c>
      <c r="D285" t="s">
        <v>405</v>
      </c>
      <c r="E285" s="39" t="s">
        <v>19</v>
      </c>
      <c r="F285" s="39" t="s">
        <v>20</v>
      </c>
      <c r="G285" t="s">
        <v>848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390</v>
      </c>
      <c r="B286" t="s">
        <v>406</v>
      </c>
      <c r="C286" t="s">
        <v>1159</v>
      </c>
      <c r="D286" t="s">
        <v>407</v>
      </c>
      <c r="E286" s="39" t="s">
        <v>15</v>
      </c>
      <c r="F286" s="39" t="s">
        <v>20</v>
      </c>
      <c r="G286" t="s">
        <v>849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408</v>
      </c>
      <c r="B287" t="s">
        <v>409</v>
      </c>
      <c r="C287" t="s">
        <v>1159</v>
      </c>
      <c r="D287" t="s">
        <v>410</v>
      </c>
      <c r="E287" s="39" t="s">
        <v>19</v>
      </c>
      <c r="F287" s="39" t="s">
        <v>28</v>
      </c>
      <c r="G287" t="s">
        <v>850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408</v>
      </c>
      <c r="B288" t="s">
        <v>411</v>
      </c>
      <c r="C288" t="s">
        <v>1159</v>
      </c>
      <c r="D288" t="s">
        <v>410</v>
      </c>
      <c r="E288" s="39" t="s">
        <v>73</v>
      </c>
      <c r="F288" s="39" t="s">
        <v>28</v>
      </c>
      <c r="G288" t="s">
        <v>851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408</v>
      </c>
      <c r="B289" t="s">
        <v>412</v>
      </c>
      <c r="C289" t="s">
        <v>1159</v>
      </c>
      <c r="D289" t="s">
        <v>410</v>
      </c>
      <c r="E289" s="39" t="s">
        <v>73</v>
      </c>
      <c r="F289" s="39" t="s">
        <v>28</v>
      </c>
      <c r="G289" t="s">
        <v>852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415</v>
      </c>
      <c r="B290" t="s">
        <v>416</v>
      </c>
      <c r="C290" t="s">
        <v>1159</v>
      </c>
      <c r="D290" t="s">
        <v>417</v>
      </c>
      <c r="E290" s="39" t="s">
        <v>73</v>
      </c>
      <c r="F290" s="39" t="s">
        <v>28</v>
      </c>
      <c r="G290" t="s">
        <v>853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415</v>
      </c>
      <c r="B291" t="s">
        <v>418</v>
      </c>
      <c r="C291" t="s">
        <v>1159</v>
      </c>
      <c r="D291" t="s">
        <v>417</v>
      </c>
      <c r="E291" s="39" t="s">
        <v>73</v>
      </c>
      <c r="F291" s="39" t="s">
        <v>28</v>
      </c>
      <c r="G291" t="s">
        <v>854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408</v>
      </c>
      <c r="B292" t="s">
        <v>419</v>
      </c>
      <c r="C292" t="s">
        <v>1159</v>
      </c>
      <c r="D292" t="s">
        <v>420</v>
      </c>
      <c r="E292" s="39" t="s">
        <v>73</v>
      </c>
      <c r="F292" s="39" t="s">
        <v>28</v>
      </c>
      <c r="G292" t="s">
        <v>855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408</v>
      </c>
      <c r="B293" t="s">
        <v>421</v>
      </c>
      <c r="C293" t="s">
        <v>1159</v>
      </c>
      <c r="D293" t="s">
        <v>420</v>
      </c>
      <c r="E293" s="39" t="s">
        <v>73</v>
      </c>
      <c r="F293" s="39" t="s">
        <v>28</v>
      </c>
      <c r="G293" t="s">
        <v>856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408</v>
      </c>
      <c r="B294" t="s">
        <v>422</v>
      </c>
      <c r="C294" t="s">
        <v>1159</v>
      </c>
      <c r="D294" t="s">
        <v>423</v>
      </c>
      <c r="E294" s="39" t="s">
        <v>73</v>
      </c>
      <c r="F294" s="39" t="s">
        <v>28</v>
      </c>
      <c r="G294" t="s">
        <v>857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408</v>
      </c>
      <c r="B295" t="s">
        <v>424</v>
      </c>
      <c r="C295" t="s">
        <v>1159</v>
      </c>
      <c r="D295" t="s">
        <v>423</v>
      </c>
      <c r="E295" s="39" t="s">
        <v>73</v>
      </c>
      <c r="F295" s="39" t="s">
        <v>28</v>
      </c>
      <c r="G295" t="s">
        <v>858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415</v>
      </c>
      <c r="B296" t="s">
        <v>988</v>
      </c>
      <c r="C296" t="s">
        <v>1159</v>
      </c>
      <c r="D296" t="s">
        <v>989</v>
      </c>
      <c r="E296" s="39" t="s">
        <v>19</v>
      </c>
      <c r="F296" s="39" t="s">
        <v>28</v>
      </c>
      <c r="G296" t="s">
        <v>996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408</v>
      </c>
      <c r="B297" t="s">
        <v>990</v>
      </c>
      <c r="C297" t="s">
        <v>1159</v>
      </c>
      <c r="D297" t="s">
        <v>991</v>
      </c>
      <c r="E297" s="39" t="s">
        <v>19</v>
      </c>
      <c r="F297" s="39" t="s">
        <v>28</v>
      </c>
      <c r="G297" t="s">
        <v>997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408</v>
      </c>
      <c r="B298" t="s">
        <v>1106</v>
      </c>
      <c r="C298" t="s">
        <v>1159</v>
      </c>
      <c r="D298" t="s">
        <v>1107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425</v>
      </c>
      <c r="C299" t="s">
        <v>1160</v>
      </c>
      <c r="D299" t="s">
        <v>426</v>
      </c>
      <c r="E299" s="39" t="s">
        <v>15</v>
      </c>
      <c r="F299" s="39" t="s">
        <v>20</v>
      </c>
      <c r="G299" t="s">
        <v>861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427</v>
      </c>
      <c r="C300" t="s">
        <v>1160</v>
      </c>
      <c r="D300" t="s">
        <v>428</v>
      </c>
      <c r="E300" s="39" t="s">
        <v>15</v>
      </c>
      <c r="F300" s="39" t="s">
        <v>20</v>
      </c>
      <c r="G300" t="s">
        <v>863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1108</v>
      </c>
      <c r="C301" t="s">
        <v>1160</v>
      </c>
      <c r="D301" t="s">
        <v>1109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1110</v>
      </c>
      <c r="C302" t="s">
        <v>1160</v>
      </c>
      <c r="D302" t="s">
        <v>1109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429</v>
      </c>
      <c r="C303" t="s">
        <v>1160</v>
      </c>
      <c r="D303" t="s">
        <v>430</v>
      </c>
      <c r="E303" s="39" t="s">
        <v>19</v>
      </c>
      <c r="F303" s="39" t="s">
        <v>20</v>
      </c>
      <c r="G303" t="s">
        <v>859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431</v>
      </c>
      <c r="C304" t="s">
        <v>1160</v>
      </c>
      <c r="D304" t="s">
        <v>432</v>
      </c>
      <c r="E304" s="39" t="s">
        <v>19</v>
      </c>
      <c r="F304" s="39" t="s">
        <v>20</v>
      </c>
      <c r="G304" t="s">
        <v>860</v>
      </c>
      <c r="H304" s="40">
        <f t="shared" si="25"/>
        <v>29</v>
      </c>
      <c r="I304" s="40">
        <f t="shared" si="26"/>
        <v>2</v>
      </c>
      <c r="J304" s="41">
        <f t="shared" si="27"/>
        <v>0.93548387096774188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1308</v>
      </c>
      <c r="T304" s="20" t="s">
        <v>1308</v>
      </c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433</v>
      </c>
      <c r="C305" t="s">
        <v>1160</v>
      </c>
      <c r="D305" t="s">
        <v>434</v>
      </c>
      <c r="E305" s="39" t="s">
        <v>73</v>
      </c>
      <c r="F305" s="39" t="s">
        <v>28</v>
      </c>
      <c r="G305" t="s">
        <v>864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435</v>
      </c>
      <c r="C306" t="s">
        <v>1160</v>
      </c>
      <c r="D306" t="s">
        <v>434</v>
      </c>
      <c r="E306" s="39" t="s">
        <v>73</v>
      </c>
      <c r="F306" s="39" t="s">
        <v>28</v>
      </c>
      <c r="G306" t="s">
        <v>865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436</v>
      </c>
      <c r="C307" t="s">
        <v>1160</v>
      </c>
      <c r="D307" t="s">
        <v>437</v>
      </c>
      <c r="E307" s="39" t="s">
        <v>73</v>
      </c>
      <c r="F307" s="39" t="s">
        <v>28</v>
      </c>
      <c r="G307" t="s">
        <v>866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438</v>
      </c>
      <c r="C308" t="s">
        <v>1160</v>
      </c>
      <c r="D308" t="s">
        <v>437</v>
      </c>
      <c r="E308" s="39" t="s">
        <v>73</v>
      </c>
      <c r="F308" s="39" t="s">
        <v>28</v>
      </c>
      <c r="G308" t="s">
        <v>867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439</v>
      </c>
      <c r="B309" t="s">
        <v>440</v>
      </c>
      <c r="C309" t="s">
        <v>1160</v>
      </c>
      <c r="D309" t="s">
        <v>441</v>
      </c>
      <c r="E309" s="39" t="s">
        <v>19</v>
      </c>
      <c r="F309" s="39" t="s">
        <v>20</v>
      </c>
      <c r="G309" t="s">
        <v>868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1308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444</v>
      </c>
      <c r="B310" t="s">
        <v>451</v>
      </c>
      <c r="C310" t="s">
        <v>1160</v>
      </c>
      <c r="D310" t="s">
        <v>452</v>
      </c>
      <c r="E310" s="39" t="s">
        <v>15</v>
      </c>
      <c r="F310" s="39" t="s">
        <v>20</v>
      </c>
      <c r="G310" t="s">
        <v>869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444</v>
      </c>
      <c r="B311" t="s">
        <v>453</v>
      </c>
      <c r="C311" t="s">
        <v>1160</v>
      </c>
      <c r="D311" t="s">
        <v>454</v>
      </c>
      <c r="E311" s="39" t="s">
        <v>19</v>
      </c>
      <c r="F311" s="39" t="s">
        <v>20</v>
      </c>
      <c r="G311" t="s">
        <v>870</v>
      </c>
      <c r="H311" s="40">
        <f t="shared" si="25"/>
        <v>30</v>
      </c>
      <c r="I311" s="40">
        <f t="shared" si="26"/>
        <v>1</v>
      </c>
      <c r="J311" s="41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444</v>
      </c>
      <c r="B312" t="s">
        <v>442</v>
      </c>
      <c r="C312" t="s">
        <v>1160</v>
      </c>
      <c r="D312" t="s">
        <v>443</v>
      </c>
      <c r="E312" s="39" t="s">
        <v>19</v>
      </c>
      <c r="F312" s="39" t="s">
        <v>20</v>
      </c>
      <c r="G312" t="s">
        <v>871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444</v>
      </c>
      <c r="B313" t="s">
        <v>445</v>
      </c>
      <c r="C313" t="s">
        <v>1160</v>
      </c>
      <c r="D313" t="s">
        <v>446</v>
      </c>
      <c r="E313" s="39" t="s">
        <v>46</v>
      </c>
      <c r="F313" s="39" t="s">
        <v>20</v>
      </c>
      <c r="G313" t="s">
        <v>872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444</v>
      </c>
      <c r="B314" t="s">
        <v>455</v>
      </c>
      <c r="C314" t="s">
        <v>1160</v>
      </c>
      <c r="D314" t="s">
        <v>456</v>
      </c>
      <c r="E314" s="39" t="s">
        <v>15</v>
      </c>
      <c r="F314" s="39" t="s">
        <v>1152</v>
      </c>
      <c r="G314" t="s">
        <v>873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444</v>
      </c>
      <c r="B315" t="s">
        <v>447</v>
      </c>
      <c r="C315" t="s">
        <v>1160</v>
      </c>
      <c r="D315" t="s">
        <v>448</v>
      </c>
      <c r="E315" s="39" t="s">
        <v>15</v>
      </c>
      <c r="F315" s="39" t="s">
        <v>28</v>
      </c>
      <c r="G315" t="s">
        <v>874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444</v>
      </c>
      <c r="B316" t="s">
        <v>449</v>
      </c>
      <c r="C316" t="s">
        <v>1160</v>
      </c>
      <c r="D316" t="s">
        <v>450</v>
      </c>
      <c r="E316" s="39" t="s">
        <v>15</v>
      </c>
      <c r="F316" s="39" t="s">
        <v>28</v>
      </c>
      <c r="G316" t="s">
        <v>875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1222</v>
      </c>
      <c r="B317" t="s">
        <v>1223</v>
      </c>
      <c r="C317" t="s">
        <v>1160</v>
      </c>
      <c r="D317" t="s">
        <v>1224</v>
      </c>
      <c r="E317" s="39" t="s">
        <v>1212</v>
      </c>
      <c r="F317" s="39" t="s">
        <v>28</v>
      </c>
      <c r="G317" t="s">
        <v>1238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1222</v>
      </c>
      <c r="B318" t="s">
        <v>1242</v>
      </c>
      <c r="C318" t="s">
        <v>1160</v>
      </c>
      <c r="D318" t="s">
        <v>1224</v>
      </c>
      <c r="E318" s="39" t="s">
        <v>1212</v>
      </c>
      <c r="F318" s="39" t="s">
        <v>28</v>
      </c>
      <c r="G318" t="s">
        <v>1239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457</v>
      </c>
      <c r="C319" t="s">
        <v>1159</v>
      </c>
      <c r="D319" t="s">
        <v>458</v>
      </c>
      <c r="E319" s="39" t="s">
        <v>73</v>
      </c>
      <c r="F319" s="39" t="s">
        <v>28</v>
      </c>
      <c r="G319" t="s">
        <v>876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459</v>
      </c>
      <c r="C320" t="s">
        <v>1159</v>
      </c>
      <c r="D320" t="s">
        <v>458</v>
      </c>
      <c r="E320" s="39" t="s">
        <v>73</v>
      </c>
      <c r="F320" s="39" t="s">
        <v>28</v>
      </c>
      <c r="G320" t="s">
        <v>877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1111</v>
      </c>
      <c r="C321" t="s">
        <v>1159</v>
      </c>
      <c r="D321" t="s">
        <v>460</v>
      </c>
      <c r="E321" s="39" t="s">
        <v>73</v>
      </c>
      <c r="F321" s="39" t="s">
        <v>28</v>
      </c>
      <c r="G321" t="s">
        <v>878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1112</v>
      </c>
      <c r="C322" t="s">
        <v>1159</v>
      </c>
      <c r="D322" t="s">
        <v>460</v>
      </c>
      <c r="E322" s="39" t="s">
        <v>73</v>
      </c>
      <c r="F322" s="39" t="s">
        <v>28</v>
      </c>
      <c r="G322" t="s">
        <v>879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461</v>
      </c>
      <c r="B323" t="s">
        <v>1113</v>
      </c>
      <c r="C323" t="s">
        <v>1160</v>
      </c>
      <c r="D323" t="s">
        <v>475</v>
      </c>
      <c r="E323" s="39" t="s">
        <v>19</v>
      </c>
      <c r="F323" s="39" t="s">
        <v>20</v>
      </c>
      <c r="G323" t="s">
        <v>885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461</v>
      </c>
      <c r="B324" t="s">
        <v>465</v>
      </c>
      <c r="C324" t="s">
        <v>1160</v>
      </c>
      <c r="D324" t="s">
        <v>466</v>
      </c>
      <c r="E324" s="39" t="s">
        <v>19</v>
      </c>
      <c r="F324" s="39" t="s">
        <v>28</v>
      </c>
      <c r="G324" t="s">
        <v>889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461</v>
      </c>
      <c r="B325" t="s">
        <v>1114</v>
      </c>
      <c r="C325" t="s">
        <v>1160</v>
      </c>
      <c r="D325" t="s">
        <v>476</v>
      </c>
      <c r="E325" s="39" t="s">
        <v>15</v>
      </c>
      <c r="F325" s="39" t="s">
        <v>20</v>
      </c>
      <c r="G325" t="s">
        <v>880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1115</v>
      </c>
      <c r="C326" t="s">
        <v>1160</v>
      </c>
      <c r="D326" t="s">
        <v>479</v>
      </c>
      <c r="E326" s="39" t="s">
        <v>73</v>
      </c>
      <c r="F326" s="39" t="s">
        <v>16</v>
      </c>
      <c r="G326" t="s">
        <v>891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1116</v>
      </c>
      <c r="C327" t="s">
        <v>1160</v>
      </c>
      <c r="D327" t="s">
        <v>479</v>
      </c>
      <c r="E327" s="39" t="s">
        <v>73</v>
      </c>
      <c r="F327" s="39" t="s">
        <v>16</v>
      </c>
      <c r="G327" t="s">
        <v>892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461</v>
      </c>
      <c r="B328" t="s">
        <v>1117</v>
      </c>
      <c r="C328" t="s">
        <v>1160</v>
      </c>
      <c r="D328" t="s">
        <v>482</v>
      </c>
      <c r="E328" s="39" t="s">
        <v>73</v>
      </c>
      <c r="F328" s="39" t="s">
        <v>28</v>
      </c>
      <c r="G328" t="s">
        <v>896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461</v>
      </c>
      <c r="B329" t="s">
        <v>1118</v>
      </c>
      <c r="C329" t="s">
        <v>1160</v>
      </c>
      <c r="D329" t="s">
        <v>482</v>
      </c>
      <c r="E329" s="39" t="s">
        <v>73</v>
      </c>
      <c r="F329" s="39" t="s">
        <v>28</v>
      </c>
      <c r="G329" t="s">
        <v>897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461</v>
      </c>
      <c r="B330" t="s">
        <v>470</v>
      </c>
      <c r="C330" t="s">
        <v>1160</v>
      </c>
      <c r="D330" t="s">
        <v>1119</v>
      </c>
      <c r="E330" s="39" t="s">
        <v>19</v>
      </c>
      <c r="F330" s="39" t="s">
        <v>20</v>
      </c>
      <c r="G330" t="s">
        <v>882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471</v>
      </c>
      <c r="C331" t="s">
        <v>1160</v>
      </c>
      <c r="D331" t="s">
        <v>472</v>
      </c>
      <c r="E331" s="39" t="s">
        <v>19</v>
      </c>
      <c r="F331" s="39" t="s">
        <v>20</v>
      </c>
      <c r="G331" t="s">
        <v>883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461</v>
      </c>
      <c r="B332" t="s">
        <v>473</v>
      </c>
      <c r="C332" t="s">
        <v>1160</v>
      </c>
      <c r="D332" t="s">
        <v>474</v>
      </c>
      <c r="E332" s="39" t="s">
        <v>19</v>
      </c>
      <c r="F332" s="39" t="s">
        <v>20</v>
      </c>
      <c r="G332" t="s">
        <v>884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461</v>
      </c>
      <c r="B333" t="s">
        <v>1120</v>
      </c>
      <c r="C333" t="s">
        <v>1160</v>
      </c>
      <c r="D333" t="s">
        <v>462</v>
      </c>
      <c r="E333" s="39" t="s">
        <v>15</v>
      </c>
      <c r="F333" s="39" t="s">
        <v>20</v>
      </c>
      <c r="G333" t="s">
        <v>886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461</v>
      </c>
      <c r="B334" t="s">
        <v>1121</v>
      </c>
      <c r="C334" t="s">
        <v>1160</v>
      </c>
      <c r="D334" t="s">
        <v>463</v>
      </c>
      <c r="E334" s="39" t="s">
        <v>19</v>
      </c>
      <c r="F334" s="39" t="s">
        <v>28</v>
      </c>
      <c r="G334" t="s">
        <v>887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461</v>
      </c>
      <c r="B335" t="s">
        <v>1122</v>
      </c>
      <c r="C335" t="s">
        <v>1160</v>
      </c>
      <c r="D335" t="s">
        <v>464</v>
      </c>
      <c r="E335" s="39" t="s">
        <v>19</v>
      </c>
      <c r="F335" s="39" t="s">
        <v>28</v>
      </c>
      <c r="G335" t="s">
        <v>888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461</v>
      </c>
      <c r="B336" t="s">
        <v>1123</v>
      </c>
      <c r="C336" t="s">
        <v>1160</v>
      </c>
      <c r="D336" t="s">
        <v>467</v>
      </c>
      <c r="E336" s="39" t="s">
        <v>15</v>
      </c>
      <c r="F336" s="39" t="s">
        <v>20</v>
      </c>
      <c r="G336" t="s">
        <v>862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461</v>
      </c>
      <c r="B337" t="s">
        <v>1124</v>
      </c>
      <c r="C337" t="s">
        <v>1160</v>
      </c>
      <c r="D337" t="s">
        <v>468</v>
      </c>
      <c r="E337" s="39" t="s">
        <v>15</v>
      </c>
      <c r="F337" s="39" t="s">
        <v>20</v>
      </c>
      <c r="G337" t="s">
        <v>890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461</v>
      </c>
      <c r="B338" t="s">
        <v>477</v>
      </c>
      <c r="C338" t="s">
        <v>1160</v>
      </c>
      <c r="D338" t="s">
        <v>478</v>
      </c>
      <c r="E338" s="39" t="s">
        <v>15</v>
      </c>
      <c r="F338" s="39" t="s">
        <v>20</v>
      </c>
      <c r="G338" t="s">
        <v>881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461</v>
      </c>
      <c r="B339" t="s">
        <v>480</v>
      </c>
      <c r="C339" t="s">
        <v>1160</v>
      </c>
      <c r="D339" t="s">
        <v>481</v>
      </c>
      <c r="E339" s="39" t="s">
        <v>15</v>
      </c>
      <c r="F339" s="39" t="s">
        <v>28</v>
      </c>
      <c r="G339" t="s">
        <v>893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461</v>
      </c>
      <c r="B340" t="s">
        <v>1125</v>
      </c>
      <c r="C340" t="s">
        <v>1160</v>
      </c>
      <c r="D340" t="s">
        <v>469</v>
      </c>
      <c r="E340" s="39" t="s">
        <v>73</v>
      </c>
      <c r="F340" s="39" t="s">
        <v>28</v>
      </c>
      <c r="G340" t="s">
        <v>894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461</v>
      </c>
      <c r="B341" t="s">
        <v>1126</v>
      </c>
      <c r="C341" t="s">
        <v>1160</v>
      </c>
      <c r="D341" t="s">
        <v>469</v>
      </c>
      <c r="E341" s="39" t="s">
        <v>73</v>
      </c>
      <c r="F341" s="39" t="s">
        <v>28</v>
      </c>
      <c r="G341" t="s">
        <v>895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483</v>
      </c>
      <c r="C342" t="s">
        <v>1160</v>
      </c>
      <c r="D342" t="s">
        <v>484</v>
      </c>
      <c r="E342" s="39" t="s">
        <v>73</v>
      </c>
      <c r="F342" s="39" t="s">
        <v>28</v>
      </c>
      <c r="G342" t="s">
        <v>898</v>
      </c>
      <c r="H342" s="40">
        <f t="shared" si="28"/>
        <v>23</v>
      </c>
      <c r="I342" s="40">
        <f t="shared" si="26"/>
        <v>8</v>
      </c>
      <c r="J342" s="41">
        <f t="shared" si="27"/>
        <v>0.74193548387096775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 t="s">
        <v>1308</v>
      </c>
      <c r="S342" s="20" t="s">
        <v>1308</v>
      </c>
      <c r="T342" s="20" t="s">
        <v>1308</v>
      </c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485</v>
      </c>
      <c r="C343" t="s">
        <v>1160</v>
      </c>
      <c r="D343" t="s">
        <v>484</v>
      </c>
      <c r="E343" s="39" t="s">
        <v>73</v>
      </c>
      <c r="F343" s="39" t="s">
        <v>28</v>
      </c>
      <c r="G343" t="s">
        <v>899</v>
      </c>
      <c r="H343" s="40">
        <f t="shared" si="28"/>
        <v>23</v>
      </c>
      <c r="I343" s="40">
        <f t="shared" si="26"/>
        <v>8</v>
      </c>
      <c r="J343" s="41">
        <f t="shared" si="27"/>
        <v>0.74193548387096775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 t="s">
        <v>1308</v>
      </c>
      <c r="S343" s="20" t="s">
        <v>1308</v>
      </c>
      <c r="T343" s="20" t="s">
        <v>1308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1203</v>
      </c>
      <c r="C344" s="39" t="s">
        <v>1160</v>
      </c>
      <c r="D344" t="s">
        <v>1202</v>
      </c>
      <c r="E344" s="39" t="s">
        <v>15</v>
      </c>
      <c r="F344" s="39" t="s">
        <v>28</v>
      </c>
      <c r="G344" t="s">
        <v>1204</v>
      </c>
      <c r="H344" s="40">
        <f t="shared" si="28"/>
        <v>23</v>
      </c>
      <c r="I344" s="40">
        <f t="shared" si="26"/>
        <v>8</v>
      </c>
      <c r="J344" s="41">
        <f t="shared" si="27"/>
        <v>0.74193548387096775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 t="s">
        <v>1308</v>
      </c>
      <c r="S344" s="20" t="s">
        <v>1308</v>
      </c>
      <c r="T344" s="20" t="s">
        <v>1308</v>
      </c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1127</v>
      </c>
      <c r="C345" t="s">
        <v>1159</v>
      </c>
      <c r="D345" t="s">
        <v>504</v>
      </c>
      <c r="E345" s="39" t="s">
        <v>19</v>
      </c>
      <c r="F345" s="39" t="s">
        <v>1152</v>
      </c>
      <c r="G345" t="s">
        <v>908</v>
      </c>
      <c r="H345" s="40">
        <f t="shared" si="28"/>
        <v>22</v>
      </c>
      <c r="I345" s="40">
        <f t="shared" si="26"/>
        <v>9</v>
      </c>
      <c r="J345" s="41">
        <f t="shared" si="27"/>
        <v>0.70967741935483875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 t="s">
        <v>1308</v>
      </c>
      <c r="S345" s="20" t="s">
        <v>1308</v>
      </c>
      <c r="T345" s="20" t="s">
        <v>1308</v>
      </c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486</v>
      </c>
      <c r="B346" t="s">
        <v>487</v>
      </c>
      <c r="C346" t="s">
        <v>1159</v>
      </c>
      <c r="D346" t="s">
        <v>488</v>
      </c>
      <c r="E346" s="39" t="s">
        <v>19</v>
      </c>
      <c r="F346" s="39" t="s">
        <v>1152</v>
      </c>
      <c r="G346" t="s">
        <v>900</v>
      </c>
      <c r="H346" s="40">
        <f t="shared" si="28"/>
        <v>21</v>
      </c>
      <c r="I346" s="40">
        <f t="shared" si="26"/>
        <v>10</v>
      </c>
      <c r="J346" s="41">
        <f t="shared" si="27"/>
        <v>0.67741935483870963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 t="s">
        <v>1308</v>
      </c>
      <c r="S346" s="20" t="s">
        <v>1308</v>
      </c>
      <c r="T346" s="20" t="s">
        <v>1308</v>
      </c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486</v>
      </c>
      <c r="B347" t="s">
        <v>489</v>
      </c>
      <c r="C347" t="s">
        <v>1159</v>
      </c>
      <c r="D347" t="s">
        <v>490</v>
      </c>
      <c r="E347" s="39" t="s">
        <v>19</v>
      </c>
      <c r="F347" s="39" t="s">
        <v>28</v>
      </c>
      <c r="G347" t="s">
        <v>901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491</v>
      </c>
      <c r="B348" t="s">
        <v>492</v>
      </c>
      <c r="C348" t="s">
        <v>1159</v>
      </c>
      <c r="D348" t="s">
        <v>493</v>
      </c>
      <c r="E348" s="39" t="s">
        <v>19</v>
      </c>
      <c r="F348" s="39" t="s">
        <v>28</v>
      </c>
      <c r="G348" t="s">
        <v>902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486</v>
      </c>
      <c r="B349" t="s">
        <v>494</v>
      </c>
      <c r="C349" t="s">
        <v>1159</v>
      </c>
      <c r="D349" t="s">
        <v>495</v>
      </c>
      <c r="E349" s="39" t="s">
        <v>15</v>
      </c>
      <c r="F349" s="39" t="s">
        <v>28</v>
      </c>
      <c r="G349" t="s">
        <v>903</v>
      </c>
      <c r="H349" s="40">
        <f t="shared" si="28"/>
        <v>21</v>
      </c>
      <c r="I349" s="40">
        <f t="shared" si="26"/>
        <v>10</v>
      </c>
      <c r="J349" s="41">
        <f t="shared" si="27"/>
        <v>0.67741935483870963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 t="s">
        <v>1308</v>
      </c>
      <c r="S349" s="20" t="s">
        <v>1308</v>
      </c>
      <c r="T349" s="20" t="s">
        <v>1308</v>
      </c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486</v>
      </c>
      <c r="B350" t="s">
        <v>496</v>
      </c>
      <c r="C350" t="s">
        <v>1159</v>
      </c>
      <c r="D350" t="s">
        <v>497</v>
      </c>
      <c r="E350" s="39" t="s">
        <v>19</v>
      </c>
      <c r="F350" s="39" t="s">
        <v>28</v>
      </c>
      <c r="G350" t="s">
        <v>904</v>
      </c>
      <c r="H350" s="40">
        <f t="shared" si="28"/>
        <v>21</v>
      </c>
      <c r="I350" s="40">
        <f t="shared" si="26"/>
        <v>10</v>
      </c>
      <c r="J350" s="41">
        <f t="shared" si="27"/>
        <v>0.67741935483870963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 t="s">
        <v>1308</v>
      </c>
      <c r="S350" s="20" t="s">
        <v>1308</v>
      </c>
      <c r="T350" s="20" t="s">
        <v>1308</v>
      </c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486</v>
      </c>
      <c r="B351" t="s">
        <v>498</v>
      </c>
      <c r="C351" t="s">
        <v>1159</v>
      </c>
      <c r="D351" t="s">
        <v>499</v>
      </c>
      <c r="E351" s="39" t="s">
        <v>15</v>
      </c>
      <c r="F351" s="39" t="s">
        <v>28</v>
      </c>
      <c r="G351" t="s">
        <v>905</v>
      </c>
      <c r="H351" s="40">
        <f t="shared" si="28"/>
        <v>21</v>
      </c>
      <c r="I351" s="40">
        <f t="shared" si="26"/>
        <v>10</v>
      </c>
      <c r="J351" s="41">
        <f t="shared" si="27"/>
        <v>0.67741935483870963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 t="s">
        <v>1308</v>
      </c>
      <c r="S351" s="20" t="s">
        <v>1308</v>
      </c>
      <c r="T351" s="20" t="s">
        <v>1308</v>
      </c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486</v>
      </c>
      <c r="B352" t="s">
        <v>500</v>
      </c>
      <c r="C352" t="s">
        <v>1159</v>
      </c>
      <c r="D352" t="s">
        <v>501</v>
      </c>
      <c r="E352" s="39" t="s">
        <v>19</v>
      </c>
      <c r="F352" s="39" t="s">
        <v>28</v>
      </c>
      <c r="G352" t="s">
        <v>906</v>
      </c>
      <c r="H352" s="40">
        <f t="shared" si="28"/>
        <v>22</v>
      </c>
      <c r="I352" s="40">
        <f t="shared" si="26"/>
        <v>9</v>
      </c>
      <c r="J352" s="41">
        <f t="shared" si="27"/>
        <v>0.70967741935483875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 t="s">
        <v>1308</v>
      </c>
      <c r="S352" s="20" t="s">
        <v>1308</v>
      </c>
      <c r="T352" s="20" t="s">
        <v>1308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486</v>
      </c>
      <c r="B353" t="s">
        <v>502</v>
      </c>
      <c r="C353" t="s">
        <v>1159</v>
      </c>
      <c r="D353" t="s">
        <v>503</v>
      </c>
      <c r="E353" s="39" t="s">
        <v>19</v>
      </c>
      <c r="F353" s="39" t="s">
        <v>1152</v>
      </c>
      <c r="G353" t="s">
        <v>907</v>
      </c>
      <c r="H353" s="40">
        <f t="shared" si="28"/>
        <v>22</v>
      </c>
      <c r="I353" s="40">
        <f t="shared" si="26"/>
        <v>9</v>
      </c>
      <c r="J353" s="41">
        <f t="shared" si="27"/>
        <v>0.70967741935483875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 t="s">
        <v>1308</v>
      </c>
      <c r="S353" s="20" t="s">
        <v>1308</v>
      </c>
      <c r="T353" s="20" t="s">
        <v>1308</v>
      </c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486</v>
      </c>
      <c r="B354" t="s">
        <v>1286</v>
      </c>
      <c r="C354" t="s">
        <v>1159</v>
      </c>
      <c r="D354" t="s">
        <v>1287</v>
      </c>
      <c r="E354" s="39" t="s">
        <v>1212</v>
      </c>
      <c r="F354" s="39" t="s">
        <v>28</v>
      </c>
      <c r="G354" t="s">
        <v>1288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1308</v>
      </c>
      <c r="T354" s="20" t="s">
        <v>1308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486</v>
      </c>
      <c r="B355" t="s">
        <v>1289</v>
      </c>
      <c r="C355" t="s">
        <v>1159</v>
      </c>
      <c r="D355" t="s">
        <v>1287</v>
      </c>
      <c r="E355" s="39" t="s">
        <v>1212</v>
      </c>
      <c r="F355" s="39" t="s">
        <v>28</v>
      </c>
      <c r="G355" t="s">
        <v>1290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1308</v>
      </c>
      <c r="T355" s="20" t="s">
        <v>1308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505</v>
      </c>
      <c r="C356" t="s">
        <v>1160</v>
      </c>
      <c r="D356" t="s">
        <v>506</v>
      </c>
      <c r="E356" s="39" t="s">
        <v>19</v>
      </c>
      <c r="F356" s="39" t="s">
        <v>20</v>
      </c>
      <c r="G356" t="s">
        <v>909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507</v>
      </c>
      <c r="C357" t="s">
        <v>1160</v>
      </c>
      <c r="D357" t="s">
        <v>508</v>
      </c>
      <c r="E357" s="39" t="s">
        <v>15</v>
      </c>
      <c r="F357" s="39" t="s">
        <v>20</v>
      </c>
      <c r="G357" t="s">
        <v>910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509</v>
      </c>
      <c r="C358" t="s">
        <v>1160</v>
      </c>
      <c r="D358" t="s">
        <v>510</v>
      </c>
      <c r="E358" s="39" t="s">
        <v>73</v>
      </c>
      <c r="F358" s="39" t="s">
        <v>16</v>
      </c>
      <c r="G358" t="s">
        <v>911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511</v>
      </c>
      <c r="C359" t="s">
        <v>1160</v>
      </c>
      <c r="D359" t="s">
        <v>510</v>
      </c>
      <c r="E359" s="39" t="s">
        <v>73</v>
      </c>
      <c r="F359" s="39" t="s">
        <v>16</v>
      </c>
      <c r="G359" t="s">
        <v>912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512</v>
      </c>
      <c r="C360" t="s">
        <v>1160</v>
      </c>
      <c r="D360" t="s">
        <v>513</v>
      </c>
      <c r="E360" s="39" t="s">
        <v>73</v>
      </c>
      <c r="F360" s="39" t="s">
        <v>16</v>
      </c>
      <c r="G360" t="s">
        <v>913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514</v>
      </c>
      <c r="C361" t="s">
        <v>1160</v>
      </c>
      <c r="D361" t="s">
        <v>513</v>
      </c>
      <c r="E361" s="39" t="s">
        <v>73</v>
      </c>
      <c r="F361" s="39" t="s">
        <v>16</v>
      </c>
      <c r="G361" t="s">
        <v>914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1308</v>
      </c>
      <c r="S361" s="20" t="s">
        <v>1308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515</v>
      </c>
      <c r="C362" t="s">
        <v>1160</v>
      </c>
      <c r="D362" t="s">
        <v>516</v>
      </c>
      <c r="E362" s="39" t="s">
        <v>15</v>
      </c>
      <c r="F362" s="39" t="s">
        <v>28</v>
      </c>
      <c r="G362" t="s">
        <v>915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1128</v>
      </c>
      <c r="C363" t="s">
        <v>1160</v>
      </c>
      <c r="D363" t="s">
        <v>517</v>
      </c>
      <c r="E363" s="39" t="s">
        <v>73</v>
      </c>
      <c r="F363" s="39" t="s">
        <v>1151</v>
      </c>
      <c r="G363" t="s">
        <v>916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1129</v>
      </c>
      <c r="C364" t="s">
        <v>1160</v>
      </c>
      <c r="D364" t="s">
        <v>517</v>
      </c>
      <c r="E364" s="39" t="s">
        <v>73</v>
      </c>
      <c r="F364" s="39" t="s">
        <v>1151</v>
      </c>
      <c r="G364" t="s">
        <v>917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518</v>
      </c>
      <c r="C365" t="s">
        <v>1160</v>
      </c>
      <c r="D365" t="s">
        <v>519</v>
      </c>
      <c r="E365" s="39" t="s">
        <v>73</v>
      </c>
      <c r="F365" s="39" t="s">
        <v>1151</v>
      </c>
      <c r="G365" t="s">
        <v>918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520</v>
      </c>
      <c r="C366" t="s">
        <v>1160</v>
      </c>
      <c r="D366" t="s">
        <v>519</v>
      </c>
      <c r="E366" s="39" t="s">
        <v>73</v>
      </c>
      <c r="F366" s="39" t="s">
        <v>1151</v>
      </c>
      <c r="G366" t="s">
        <v>919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1193</v>
      </c>
      <c r="C367" s="39" t="s">
        <v>1160</v>
      </c>
      <c r="D367" t="s">
        <v>1194</v>
      </c>
      <c r="E367" s="39" t="s">
        <v>19</v>
      </c>
      <c r="F367" s="39" t="s">
        <v>28</v>
      </c>
      <c r="G367" t="s">
        <v>1195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1198</v>
      </c>
      <c r="C368" s="39" t="s">
        <v>1160</v>
      </c>
      <c r="D368" t="s">
        <v>1196</v>
      </c>
      <c r="E368" s="39" t="s">
        <v>19</v>
      </c>
      <c r="F368" s="39" t="s">
        <v>28</v>
      </c>
      <c r="G368" t="s">
        <v>1197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1199</v>
      </c>
      <c r="C369" s="39" t="s">
        <v>1160</v>
      </c>
      <c r="D369" t="s">
        <v>1200</v>
      </c>
      <c r="E369" s="39" t="s">
        <v>19</v>
      </c>
      <c r="F369" s="39" t="s">
        <v>28</v>
      </c>
      <c r="G369" t="s">
        <v>1201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526</v>
      </c>
      <c r="B370" t="s">
        <v>534</v>
      </c>
      <c r="C370" t="s">
        <v>1160</v>
      </c>
      <c r="D370" t="s">
        <v>1134</v>
      </c>
      <c r="E370" s="39" t="s">
        <v>19</v>
      </c>
      <c r="F370" s="39" t="s">
        <v>28</v>
      </c>
      <c r="G370" t="s">
        <v>920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522</v>
      </c>
      <c r="B371" t="s">
        <v>535</v>
      </c>
      <c r="C371" t="s">
        <v>1160</v>
      </c>
      <c r="D371" t="s">
        <v>1189</v>
      </c>
      <c r="E371" s="39" t="s">
        <v>19</v>
      </c>
      <c r="F371" s="39" t="s">
        <v>28</v>
      </c>
      <c r="G371" t="s">
        <v>921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522</v>
      </c>
      <c r="B372" t="s">
        <v>536</v>
      </c>
      <c r="C372" t="s">
        <v>1160</v>
      </c>
      <c r="D372" t="s">
        <v>537</v>
      </c>
      <c r="E372" s="39" t="s">
        <v>19</v>
      </c>
      <c r="F372" s="39" t="s">
        <v>28</v>
      </c>
      <c r="G372" t="s">
        <v>922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522</v>
      </c>
      <c r="B373" t="s">
        <v>538</v>
      </c>
      <c r="C373" t="s">
        <v>1160</v>
      </c>
      <c r="D373" t="s">
        <v>539</v>
      </c>
      <c r="E373" s="39" t="s">
        <v>19</v>
      </c>
      <c r="F373" s="39" t="s">
        <v>28</v>
      </c>
      <c r="G373" t="s">
        <v>923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522</v>
      </c>
      <c r="B374" t="s">
        <v>540</v>
      </c>
      <c r="C374" t="s">
        <v>1160</v>
      </c>
      <c r="D374" t="s">
        <v>541</v>
      </c>
      <c r="E374" s="39" t="s">
        <v>19</v>
      </c>
      <c r="F374" s="39" t="s">
        <v>20</v>
      </c>
      <c r="G374" t="s">
        <v>924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522</v>
      </c>
      <c r="B375" t="s">
        <v>542</v>
      </c>
      <c r="C375" t="s">
        <v>1160</v>
      </c>
      <c r="D375" t="s">
        <v>1167</v>
      </c>
      <c r="E375" s="39" t="s">
        <v>19</v>
      </c>
      <c r="F375" s="39" t="s">
        <v>28</v>
      </c>
      <c r="G375" t="s">
        <v>925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522</v>
      </c>
      <c r="B376" t="s">
        <v>543</v>
      </c>
      <c r="C376" t="s">
        <v>1159</v>
      </c>
      <c r="D376" t="s">
        <v>1166</v>
      </c>
      <c r="E376" s="39"/>
      <c r="F376" s="39" t="s">
        <v>1152</v>
      </c>
      <c r="G376" t="s">
        <v>926</v>
      </c>
      <c r="H376" s="40">
        <f t="shared" si="28"/>
        <v>24</v>
      </c>
      <c r="I376" s="40">
        <f t="shared" si="26"/>
        <v>7</v>
      </c>
      <c r="J376" s="41">
        <f t="shared" si="27"/>
        <v>0.77419354838709675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 t="s">
        <v>1308</v>
      </c>
      <c r="T376" s="20" t="s">
        <v>1308</v>
      </c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526</v>
      </c>
      <c r="B377" t="s">
        <v>544</v>
      </c>
      <c r="C377" t="s">
        <v>1160</v>
      </c>
      <c r="D377" t="s">
        <v>545</v>
      </c>
      <c r="E377" s="39" t="s">
        <v>19</v>
      </c>
      <c r="F377" s="39" t="s">
        <v>1151</v>
      </c>
      <c r="G377" t="s">
        <v>927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526</v>
      </c>
      <c r="B378" t="s">
        <v>546</v>
      </c>
      <c r="C378" t="s">
        <v>1160</v>
      </c>
      <c r="D378" t="s">
        <v>547</v>
      </c>
      <c r="E378" s="39" t="s">
        <v>19</v>
      </c>
      <c r="F378" s="39" t="s">
        <v>28</v>
      </c>
      <c r="G378" t="s">
        <v>928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522</v>
      </c>
      <c r="B379" t="s">
        <v>1130</v>
      </c>
      <c r="C379" t="s">
        <v>1160</v>
      </c>
      <c r="D379" t="s">
        <v>548</v>
      </c>
      <c r="E379" s="39" t="s">
        <v>19</v>
      </c>
      <c r="F379" s="39" t="s">
        <v>28</v>
      </c>
      <c r="G379" t="s">
        <v>929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526</v>
      </c>
      <c r="B380" t="s">
        <v>549</v>
      </c>
      <c r="C380" t="s">
        <v>1160</v>
      </c>
      <c r="D380" t="s">
        <v>550</v>
      </c>
      <c r="E380" s="39" t="s">
        <v>19</v>
      </c>
      <c r="F380" s="39" t="s">
        <v>28</v>
      </c>
      <c r="G380" t="s">
        <v>930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526</v>
      </c>
      <c r="B381" t="s">
        <v>1135</v>
      </c>
      <c r="C381" t="s">
        <v>1160</v>
      </c>
      <c r="D381" t="s">
        <v>521</v>
      </c>
      <c r="E381" s="39" t="s">
        <v>15</v>
      </c>
      <c r="F381" s="39" t="s">
        <v>1152</v>
      </c>
      <c r="G381" t="s">
        <v>931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522</v>
      </c>
      <c r="B382" t="s">
        <v>1136</v>
      </c>
      <c r="C382" t="s">
        <v>1160</v>
      </c>
      <c r="D382" t="s">
        <v>523</v>
      </c>
      <c r="E382" s="39" t="s">
        <v>19</v>
      </c>
      <c r="F382" s="39" t="s">
        <v>1152</v>
      </c>
      <c r="G382" t="s">
        <v>932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526</v>
      </c>
      <c r="B383" t="s">
        <v>1131</v>
      </c>
      <c r="C383" t="s">
        <v>1160</v>
      </c>
      <c r="D383" t="s">
        <v>551</v>
      </c>
      <c r="E383" s="39" t="s">
        <v>15</v>
      </c>
      <c r="F383" s="39" t="s">
        <v>1151</v>
      </c>
      <c r="G383" t="s">
        <v>933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526</v>
      </c>
      <c r="B384" t="s">
        <v>524</v>
      </c>
      <c r="C384" t="s">
        <v>1160</v>
      </c>
      <c r="D384" t="s">
        <v>525</v>
      </c>
      <c r="E384" s="39" t="s">
        <v>15</v>
      </c>
      <c r="F384" s="39" t="s">
        <v>1152</v>
      </c>
      <c r="G384" t="s">
        <v>934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526</v>
      </c>
      <c r="B385" t="s">
        <v>527</v>
      </c>
      <c r="C385" t="s">
        <v>1160</v>
      </c>
      <c r="D385" t="s">
        <v>528</v>
      </c>
      <c r="E385" s="39" t="s">
        <v>15</v>
      </c>
      <c r="F385" s="39" t="s">
        <v>1152</v>
      </c>
      <c r="G385" t="s">
        <v>935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526</v>
      </c>
      <c r="B386" t="s">
        <v>529</v>
      </c>
      <c r="C386" t="s">
        <v>1160</v>
      </c>
      <c r="D386" t="s">
        <v>1188</v>
      </c>
      <c r="E386" s="39" t="s">
        <v>15</v>
      </c>
      <c r="F386" s="39" t="s">
        <v>1152</v>
      </c>
      <c r="G386" t="s">
        <v>936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522</v>
      </c>
      <c r="B387" t="s">
        <v>1137</v>
      </c>
      <c r="C387" t="s">
        <v>1160</v>
      </c>
      <c r="D387" t="s">
        <v>530</v>
      </c>
      <c r="E387" s="39" t="s">
        <v>15</v>
      </c>
      <c r="F387" s="39" t="s">
        <v>1152</v>
      </c>
      <c r="G387" t="s">
        <v>937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522</v>
      </c>
      <c r="B388" t="s">
        <v>1138</v>
      </c>
      <c r="C388" t="s">
        <v>1160</v>
      </c>
      <c r="D388" t="s">
        <v>531</v>
      </c>
      <c r="E388" s="39" t="s">
        <v>15</v>
      </c>
      <c r="F388" s="39" t="s">
        <v>20</v>
      </c>
      <c r="G388" t="s">
        <v>938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526</v>
      </c>
      <c r="B389" t="s">
        <v>532</v>
      </c>
      <c r="C389" t="s">
        <v>1160</v>
      </c>
      <c r="D389" t="s">
        <v>533</v>
      </c>
      <c r="E389" s="39" t="s">
        <v>46</v>
      </c>
      <c r="F389" s="39" t="s">
        <v>20</v>
      </c>
      <c r="G389" t="s">
        <v>939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522</v>
      </c>
      <c r="B390" t="s">
        <v>1132</v>
      </c>
      <c r="C390" t="s">
        <v>1160</v>
      </c>
      <c r="D390" t="s">
        <v>552</v>
      </c>
      <c r="E390" s="39" t="s">
        <v>73</v>
      </c>
      <c r="F390" s="39" t="s">
        <v>28</v>
      </c>
      <c r="G390" t="s">
        <v>940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522</v>
      </c>
      <c r="B391" t="s">
        <v>1133</v>
      </c>
      <c r="C391" t="s">
        <v>1160</v>
      </c>
      <c r="D391" t="s">
        <v>552</v>
      </c>
      <c r="E391" s="39" t="s">
        <v>73</v>
      </c>
      <c r="F391" s="39" t="s">
        <v>28</v>
      </c>
      <c r="G391" t="s">
        <v>941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522</v>
      </c>
      <c r="B392" t="s">
        <v>553</v>
      </c>
      <c r="C392" t="s">
        <v>1159</v>
      </c>
      <c r="D392" t="s">
        <v>554</v>
      </c>
      <c r="E392" s="39" t="s">
        <v>73</v>
      </c>
      <c r="F392" s="39" t="s">
        <v>28</v>
      </c>
      <c r="G392" t="s">
        <v>701</v>
      </c>
      <c r="H392" s="40">
        <f t="shared" ref="H392:H438" si="33">COUNTIF(K392:AO392,"")</f>
        <v>26</v>
      </c>
      <c r="I392" s="40">
        <f t="shared" si="31"/>
        <v>5</v>
      </c>
      <c r="J392" s="41">
        <f t="shared" si="32"/>
        <v>0.83870967741935487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 t="s">
        <v>1308</v>
      </c>
      <c r="T392" s="20" t="s">
        <v>1308</v>
      </c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522</v>
      </c>
      <c r="B393" t="s">
        <v>555</v>
      </c>
      <c r="C393" t="s">
        <v>1159</v>
      </c>
      <c r="D393" t="s">
        <v>554</v>
      </c>
      <c r="E393" s="39" t="s">
        <v>73</v>
      </c>
      <c r="F393" s="39" t="s">
        <v>28</v>
      </c>
      <c r="G393" t="s">
        <v>942</v>
      </c>
      <c r="H393" s="40">
        <f t="shared" si="33"/>
        <v>26</v>
      </c>
      <c r="I393" s="40">
        <f t="shared" si="31"/>
        <v>5</v>
      </c>
      <c r="J393" s="41">
        <f t="shared" si="32"/>
        <v>0.83870967741935487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 t="s">
        <v>1308</v>
      </c>
      <c r="T393" s="20" t="s">
        <v>1308</v>
      </c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522</v>
      </c>
      <c r="B394" t="s">
        <v>1243</v>
      </c>
      <c r="C394" t="s">
        <v>1160</v>
      </c>
      <c r="D394" t="s">
        <v>1245</v>
      </c>
      <c r="E394" s="39" t="s">
        <v>73</v>
      </c>
      <c r="F394" s="39" t="s">
        <v>28</v>
      </c>
      <c r="G394" t="s">
        <v>1246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522</v>
      </c>
      <c r="B395" t="s">
        <v>1244</v>
      </c>
      <c r="C395" t="s">
        <v>1160</v>
      </c>
      <c r="D395" t="s">
        <v>1245</v>
      </c>
      <c r="E395" s="39" t="s">
        <v>1212</v>
      </c>
      <c r="F395" s="39" t="s">
        <v>28</v>
      </c>
      <c r="G395" t="s">
        <v>1247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526</v>
      </c>
      <c r="B396" s="39" t="s">
        <v>1307</v>
      </c>
      <c r="C396" s="39" t="s">
        <v>1160</v>
      </c>
      <c r="D396" t="s">
        <v>1302</v>
      </c>
      <c r="E396" s="39" t="s">
        <v>15</v>
      </c>
      <c r="F396" s="39" t="s">
        <v>28</v>
      </c>
      <c r="G396" s="21" t="s">
        <v>1303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415</v>
      </c>
      <c r="B397" t="s">
        <v>1139</v>
      </c>
      <c r="C397" t="s">
        <v>1159</v>
      </c>
      <c r="D397" t="s">
        <v>558</v>
      </c>
      <c r="E397" s="39" t="s">
        <v>19</v>
      </c>
      <c r="F397" s="39" t="s">
        <v>28</v>
      </c>
      <c r="G397" t="s">
        <v>945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1140</v>
      </c>
      <c r="C398" t="s">
        <v>1159</v>
      </c>
      <c r="D398" t="s">
        <v>559</v>
      </c>
      <c r="E398" s="39" t="s">
        <v>19</v>
      </c>
      <c r="F398" s="39" t="s">
        <v>28</v>
      </c>
      <c r="G398" t="s">
        <v>946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415</v>
      </c>
      <c r="B399" t="s">
        <v>560</v>
      </c>
      <c r="C399" t="s">
        <v>1159</v>
      </c>
      <c r="D399" t="s">
        <v>561</v>
      </c>
      <c r="E399" s="39" t="s">
        <v>73</v>
      </c>
      <c r="F399" s="39" t="s">
        <v>28</v>
      </c>
      <c r="G399" t="s">
        <v>943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415</v>
      </c>
      <c r="B400" t="s">
        <v>562</v>
      </c>
      <c r="C400" t="s">
        <v>1159</v>
      </c>
      <c r="D400" t="s">
        <v>561</v>
      </c>
      <c r="E400" s="39" t="s">
        <v>73</v>
      </c>
      <c r="F400" s="39" t="s">
        <v>28</v>
      </c>
      <c r="G400" t="s">
        <v>944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415</v>
      </c>
      <c r="B401" t="s">
        <v>563</v>
      </c>
      <c r="C401" t="s">
        <v>1159</v>
      </c>
      <c r="D401" t="s">
        <v>564</v>
      </c>
      <c r="E401" s="39" t="s">
        <v>73</v>
      </c>
      <c r="F401" s="39" t="s">
        <v>28</v>
      </c>
      <c r="G401" t="s">
        <v>947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415</v>
      </c>
      <c r="B402" t="s">
        <v>565</v>
      </c>
      <c r="C402" t="s">
        <v>1159</v>
      </c>
      <c r="D402" t="s">
        <v>564</v>
      </c>
      <c r="E402" s="39" t="s">
        <v>73</v>
      </c>
      <c r="F402" s="39" t="s">
        <v>28</v>
      </c>
      <c r="G402" t="s">
        <v>948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415</v>
      </c>
      <c r="B403" t="s">
        <v>556</v>
      </c>
      <c r="C403" t="s">
        <v>1159</v>
      </c>
      <c r="D403" t="s">
        <v>557</v>
      </c>
      <c r="E403" s="39" t="s">
        <v>19</v>
      </c>
      <c r="F403" s="39" t="s">
        <v>28</v>
      </c>
      <c r="G403" t="s">
        <v>949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415</v>
      </c>
      <c r="B404" t="s">
        <v>566</v>
      </c>
      <c r="C404" t="s">
        <v>1159</v>
      </c>
      <c r="D404" t="s">
        <v>567</v>
      </c>
      <c r="E404" s="39" t="s">
        <v>15</v>
      </c>
      <c r="F404" s="39" t="s">
        <v>28</v>
      </c>
      <c r="G404" t="s">
        <v>950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491</v>
      </c>
      <c r="B405" t="s">
        <v>568</v>
      </c>
      <c r="C405" t="s">
        <v>1159</v>
      </c>
      <c r="D405" t="s">
        <v>569</v>
      </c>
      <c r="E405" s="39" t="s">
        <v>19</v>
      </c>
      <c r="F405" s="39" t="s">
        <v>28</v>
      </c>
      <c r="G405" t="s">
        <v>951</v>
      </c>
      <c r="H405" s="40">
        <f t="shared" si="33"/>
        <v>25</v>
      </c>
      <c r="I405" s="40">
        <f t="shared" si="31"/>
        <v>6</v>
      </c>
      <c r="J405" s="41">
        <f t="shared" si="32"/>
        <v>0.80645161290322576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 t="s">
        <v>1308</v>
      </c>
      <c r="S405" s="20" t="s">
        <v>1308</v>
      </c>
      <c r="T405" s="20" t="s">
        <v>1308</v>
      </c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491</v>
      </c>
      <c r="B406" t="s">
        <v>570</v>
      </c>
      <c r="C406" t="s">
        <v>1159</v>
      </c>
      <c r="D406" t="s">
        <v>571</v>
      </c>
      <c r="E406" s="39" t="s">
        <v>19</v>
      </c>
      <c r="F406" s="39" t="s">
        <v>20</v>
      </c>
      <c r="G406" t="s">
        <v>952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491</v>
      </c>
      <c r="B407" t="s">
        <v>572</v>
      </c>
      <c r="C407" t="s">
        <v>1159</v>
      </c>
      <c r="D407" t="s">
        <v>573</v>
      </c>
      <c r="E407" s="39" t="s">
        <v>19</v>
      </c>
      <c r="F407" s="39" t="s">
        <v>20</v>
      </c>
      <c r="G407" t="s">
        <v>953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491</v>
      </c>
      <c r="B408" t="s">
        <v>574</v>
      </c>
      <c r="C408" t="s">
        <v>1159</v>
      </c>
      <c r="D408" t="s">
        <v>575</v>
      </c>
      <c r="E408" s="39" t="s">
        <v>19</v>
      </c>
      <c r="F408" s="39" t="s">
        <v>1152</v>
      </c>
      <c r="G408" t="s">
        <v>954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486</v>
      </c>
      <c r="B409" t="s">
        <v>576</v>
      </c>
      <c r="C409" t="s">
        <v>1159</v>
      </c>
      <c r="D409" t="s">
        <v>577</v>
      </c>
      <c r="E409" s="39" t="s">
        <v>19</v>
      </c>
      <c r="F409" s="39" t="s">
        <v>20</v>
      </c>
      <c r="G409" t="s">
        <v>955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578</v>
      </c>
      <c r="B410" t="s">
        <v>579</v>
      </c>
      <c r="C410" t="s">
        <v>1160</v>
      </c>
      <c r="D410" t="s">
        <v>580</v>
      </c>
      <c r="E410" s="39" t="s">
        <v>15</v>
      </c>
      <c r="F410" s="39" t="s">
        <v>28</v>
      </c>
      <c r="G410" t="s">
        <v>956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578</v>
      </c>
      <c r="B411" t="s">
        <v>581</v>
      </c>
      <c r="C411" t="s">
        <v>1160</v>
      </c>
      <c r="D411" t="s">
        <v>582</v>
      </c>
      <c r="E411" s="39" t="s">
        <v>15</v>
      </c>
      <c r="F411" s="39" t="s">
        <v>28</v>
      </c>
      <c r="G411" t="s">
        <v>957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578</v>
      </c>
      <c r="B412" t="s">
        <v>1141</v>
      </c>
      <c r="C412" t="s">
        <v>1160</v>
      </c>
      <c r="D412" t="s">
        <v>583</v>
      </c>
      <c r="E412" s="39" t="s">
        <v>73</v>
      </c>
      <c r="F412" s="39" t="s">
        <v>28</v>
      </c>
      <c r="G412" t="s">
        <v>958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578</v>
      </c>
      <c r="B413" t="s">
        <v>1142</v>
      </c>
      <c r="C413" t="s">
        <v>1160</v>
      </c>
      <c r="D413" t="s">
        <v>583</v>
      </c>
      <c r="E413" s="39" t="s">
        <v>73</v>
      </c>
      <c r="F413" s="39" t="s">
        <v>28</v>
      </c>
      <c r="G413" t="s">
        <v>959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584</v>
      </c>
      <c r="B414" t="s">
        <v>1143</v>
      </c>
      <c r="C414" t="s">
        <v>1160</v>
      </c>
      <c r="D414" t="s">
        <v>585</v>
      </c>
      <c r="E414" s="39" t="s">
        <v>73</v>
      </c>
      <c r="F414" s="39" t="s">
        <v>28</v>
      </c>
      <c r="G414" t="s">
        <v>960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584</v>
      </c>
      <c r="B415" t="s">
        <v>1144</v>
      </c>
      <c r="C415" t="s">
        <v>1160</v>
      </c>
      <c r="D415" t="s">
        <v>586</v>
      </c>
      <c r="E415" s="39" t="s">
        <v>15</v>
      </c>
      <c r="F415" s="39" t="s">
        <v>28</v>
      </c>
      <c r="G415" t="s">
        <v>961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584</v>
      </c>
      <c r="B416" t="s">
        <v>587</v>
      </c>
      <c r="C416" t="s">
        <v>1160</v>
      </c>
      <c r="D416" t="s">
        <v>588</v>
      </c>
      <c r="E416" s="39" t="s">
        <v>73</v>
      </c>
      <c r="F416" s="39" t="s">
        <v>28</v>
      </c>
      <c r="G416" t="s">
        <v>962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584</v>
      </c>
      <c r="B417" t="s">
        <v>589</v>
      </c>
      <c r="C417" t="s">
        <v>1160</v>
      </c>
      <c r="D417" t="s">
        <v>590</v>
      </c>
      <c r="E417" s="39" t="s">
        <v>15</v>
      </c>
      <c r="F417" s="39" t="s">
        <v>28</v>
      </c>
      <c r="G417" t="s">
        <v>963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584</v>
      </c>
      <c r="B418" t="s">
        <v>591</v>
      </c>
      <c r="C418" t="s">
        <v>1160</v>
      </c>
      <c r="D418" t="s">
        <v>592</v>
      </c>
      <c r="E418" s="39" t="s">
        <v>15</v>
      </c>
      <c r="F418" s="39" t="s">
        <v>28</v>
      </c>
      <c r="G418" t="s">
        <v>964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593</v>
      </c>
      <c r="C419" t="s">
        <v>1160</v>
      </c>
      <c r="D419" t="s">
        <v>1190</v>
      </c>
      <c r="E419" s="39" t="s">
        <v>19</v>
      </c>
      <c r="F419" s="39" t="s">
        <v>20</v>
      </c>
      <c r="G419" t="s">
        <v>965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1145</v>
      </c>
      <c r="C420" t="s">
        <v>1160</v>
      </c>
      <c r="D420" t="s">
        <v>1191</v>
      </c>
      <c r="E420" s="39" t="s">
        <v>73</v>
      </c>
      <c r="F420" s="39" t="s">
        <v>28</v>
      </c>
      <c r="G420" t="s">
        <v>966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1146</v>
      </c>
      <c r="C421" t="s">
        <v>1160</v>
      </c>
      <c r="D421" t="s">
        <v>1191</v>
      </c>
      <c r="E421" s="39" t="s">
        <v>73</v>
      </c>
      <c r="F421" s="39" t="s">
        <v>28</v>
      </c>
      <c r="G421" t="s">
        <v>967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1147</v>
      </c>
      <c r="C422" t="s">
        <v>1160</v>
      </c>
      <c r="D422" t="s">
        <v>1205</v>
      </c>
      <c r="E422" s="39" t="s">
        <v>15</v>
      </c>
      <c r="F422" s="39" t="s">
        <v>28</v>
      </c>
      <c r="G422" t="s">
        <v>968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594</v>
      </c>
      <c r="C423" t="s">
        <v>1160</v>
      </c>
      <c r="D423" t="s">
        <v>1192</v>
      </c>
      <c r="E423" s="39" t="s">
        <v>15</v>
      </c>
      <c r="F423" s="39" t="s">
        <v>28</v>
      </c>
      <c r="G423"/>
      <c r="H423" s="40">
        <f t="shared" si="33"/>
        <v>21</v>
      </c>
      <c r="I423" s="40">
        <f t="shared" si="31"/>
        <v>10</v>
      </c>
      <c r="J423" s="41">
        <f t="shared" si="32"/>
        <v>0.67741935483870963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 t="s">
        <v>1308</v>
      </c>
      <c r="S423" s="20" t="s">
        <v>1308</v>
      </c>
      <c r="T423" s="20" t="s">
        <v>1308</v>
      </c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595</v>
      </c>
      <c r="B424" t="s">
        <v>596</v>
      </c>
      <c r="C424" t="s">
        <v>1160</v>
      </c>
      <c r="D424" t="s">
        <v>597</v>
      </c>
      <c r="E424" s="39" t="s">
        <v>73</v>
      </c>
      <c r="F424" s="39" t="s">
        <v>28</v>
      </c>
      <c r="G424" t="s">
        <v>969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595</v>
      </c>
      <c r="B425" t="s">
        <v>1148</v>
      </c>
      <c r="C425" t="s">
        <v>1160</v>
      </c>
      <c r="D425" t="s">
        <v>597</v>
      </c>
      <c r="E425" s="39" t="s">
        <v>73</v>
      </c>
      <c r="F425" s="39" t="s">
        <v>28</v>
      </c>
      <c r="G425" t="s">
        <v>970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595</v>
      </c>
      <c r="B426" t="s">
        <v>1149</v>
      </c>
      <c r="C426" t="s">
        <v>1160</v>
      </c>
      <c r="D426" t="s">
        <v>598</v>
      </c>
      <c r="E426" s="39" t="s">
        <v>73</v>
      </c>
      <c r="F426" s="39" t="s">
        <v>28</v>
      </c>
      <c r="G426" t="s">
        <v>971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595</v>
      </c>
      <c r="B427" t="s">
        <v>599</v>
      </c>
      <c r="C427" t="s">
        <v>1160</v>
      </c>
      <c r="D427" t="s">
        <v>598</v>
      </c>
      <c r="E427" s="39" t="s">
        <v>73</v>
      </c>
      <c r="F427" s="39" t="s">
        <v>28</v>
      </c>
      <c r="G427" t="s">
        <v>972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600</v>
      </c>
      <c r="B428" t="s">
        <v>601</v>
      </c>
      <c r="C428" t="s">
        <v>1160</v>
      </c>
      <c r="D428" t="s">
        <v>602</v>
      </c>
      <c r="E428" s="39" t="s">
        <v>15</v>
      </c>
      <c r="F428" s="39" t="s">
        <v>28</v>
      </c>
      <c r="G428" t="s">
        <v>973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603</v>
      </c>
      <c r="B429" t="s">
        <v>1150</v>
      </c>
      <c r="C429" t="s">
        <v>1160</v>
      </c>
      <c r="D429" t="s">
        <v>604</v>
      </c>
      <c r="E429" s="39" t="s">
        <v>15</v>
      </c>
      <c r="F429" s="39" t="s">
        <v>20</v>
      </c>
      <c r="G429" t="s">
        <v>974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603</v>
      </c>
      <c r="B430" t="s">
        <v>605</v>
      </c>
      <c r="C430" t="s">
        <v>1160</v>
      </c>
      <c r="D430" t="s">
        <v>606</v>
      </c>
      <c r="E430" s="39" t="s">
        <v>15</v>
      </c>
      <c r="F430" s="39" t="s">
        <v>20</v>
      </c>
      <c r="G430" t="s">
        <v>975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603</v>
      </c>
      <c r="B431" t="s">
        <v>607</v>
      </c>
      <c r="C431" t="s">
        <v>1160</v>
      </c>
      <c r="D431" t="s">
        <v>608</v>
      </c>
      <c r="E431" s="39" t="s">
        <v>15</v>
      </c>
      <c r="F431" s="39" t="s">
        <v>20</v>
      </c>
      <c r="G431" t="s">
        <v>976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603</v>
      </c>
      <c r="B432" s="39" t="s">
        <v>1213</v>
      </c>
      <c r="C432" s="39" t="s">
        <v>1160</v>
      </c>
      <c r="D432" t="s">
        <v>1215</v>
      </c>
      <c r="E432" s="39" t="s">
        <v>1212</v>
      </c>
      <c r="F432" s="39" t="s">
        <v>28</v>
      </c>
      <c r="G432" t="s">
        <v>1220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603</v>
      </c>
      <c r="B433" s="39" t="s">
        <v>1214</v>
      </c>
      <c r="C433" s="39" t="s">
        <v>1160</v>
      </c>
      <c r="D433" t="s">
        <v>1215</v>
      </c>
      <c r="E433" s="39" t="s">
        <v>1212</v>
      </c>
      <c r="F433" s="39" t="s">
        <v>28</v>
      </c>
      <c r="G433" t="s">
        <v>1221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603</v>
      </c>
      <c r="B434" s="39" t="s">
        <v>1299</v>
      </c>
      <c r="C434" s="39" t="s">
        <v>1160</v>
      </c>
      <c r="D434" t="s">
        <v>1300</v>
      </c>
      <c r="E434" s="39" t="s">
        <v>15</v>
      </c>
      <c r="F434" s="39" t="s">
        <v>28</v>
      </c>
      <c r="G434" s="39" t="s">
        <v>1301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611</v>
      </c>
      <c r="B435" t="s">
        <v>612</v>
      </c>
      <c r="C435" t="s">
        <v>1160</v>
      </c>
      <c r="D435" t="s">
        <v>613</v>
      </c>
      <c r="E435" s="39" t="s">
        <v>19</v>
      </c>
      <c r="F435" s="39" t="s">
        <v>20</v>
      </c>
      <c r="G435" t="s">
        <v>977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614</v>
      </c>
      <c r="C436" t="s">
        <v>1160</v>
      </c>
      <c r="D436" t="s">
        <v>615</v>
      </c>
      <c r="E436" s="39" t="s">
        <v>19</v>
      </c>
      <c r="F436" s="39" t="s">
        <v>20</v>
      </c>
      <c r="G436" t="s">
        <v>978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611</v>
      </c>
      <c r="B437" t="s">
        <v>616</v>
      </c>
      <c r="C437" t="s">
        <v>1160</v>
      </c>
      <c r="D437" t="s">
        <v>617</v>
      </c>
      <c r="E437" s="39" t="s">
        <v>15</v>
      </c>
      <c r="F437" s="39" t="s">
        <v>20</v>
      </c>
      <c r="G437" t="s">
        <v>979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611</v>
      </c>
      <c r="B438" t="s">
        <v>609</v>
      </c>
      <c r="C438" t="s">
        <v>1160</v>
      </c>
      <c r="D438" t="s">
        <v>610</v>
      </c>
      <c r="E438" s="39" t="s">
        <v>19</v>
      </c>
      <c r="F438" s="39" t="s">
        <v>20</v>
      </c>
      <c r="G438" t="s">
        <v>980</v>
      </c>
      <c r="H438" s="40">
        <f t="shared" si="33"/>
        <v>24</v>
      </c>
      <c r="I438" s="40">
        <f>COUNTIF(K438:AL438,"APAGADO")</f>
        <v>7</v>
      </c>
      <c r="J438" s="41">
        <f>(H438)/(I438+H438)</f>
        <v>0.77419354838709675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 t="s">
        <v>1308</v>
      </c>
      <c r="S438" s="20" t="s">
        <v>1308</v>
      </c>
      <c r="T438" s="20" t="s">
        <v>1308</v>
      </c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7"/>
      <c r="B439" s="128" t="s">
        <v>1306</v>
      </c>
      <c r="C439" s="39" t="s">
        <v>1159</v>
      </c>
      <c r="D439" t="s">
        <v>1304</v>
      </c>
      <c r="E439" s="39" t="s">
        <v>15</v>
      </c>
      <c r="F439" s="39" t="s">
        <v>28</v>
      </c>
      <c r="G439" s="21" t="s">
        <v>1305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>
        <f>'RESUMEN TOTAL'!U34</f>
        <v>0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>
        <f>'RESUMEN TOTAL'!U40</f>
        <v>0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>
        <f>'RESUMEN TOTAL'!U48</f>
        <v>0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>
        <f>'RESUMEN TOTAL'!U50</f>
        <v>0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>
        <f>'RESUMEN TOTAL'!U52</f>
        <v>0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>
        <f>'RESUMEN TOTAL'!U53</f>
        <v>0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>
        <f>'RESUMEN TOTAL'!U56</f>
        <v>0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>
        <f>'RESUMEN TOTAL'!U61</f>
        <v>0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>
        <f>'RESUMEN TOTAL'!U75</f>
        <v>0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>
        <f>'RESUMEN TOTAL'!U77</f>
        <v>0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>
        <f>'RESUMEN TOTAL'!U83</f>
        <v>0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>
        <f>'RESUMEN TOTAL'!U84</f>
        <v>0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>
        <f>'RESUMEN TOTAL'!U87</f>
        <v>0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>
        <f>'RESUMEN TOTAL'!U88</f>
        <v>0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>
        <f>'RESUMEN TOTAL'!U94</f>
        <v>0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>
        <f>'RESUMEN TOTAL'!U100</f>
        <v>0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>
        <f>'RESUMEN TOTAL'!U101</f>
        <v>0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>
        <f>'RESUMEN TOTAL'!U107</f>
        <v>0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>
        <f>'RESUMEN TOTAL'!U116</f>
        <v>0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>
        <f>'RESUMEN TOTAL'!U117</f>
        <v>0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>
        <f>'RESUMEN TOTAL'!U134</f>
        <v>0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>
        <f>'RESUMEN TOTAL'!U135</f>
        <v>0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>
        <f>'RESUMEN TOTAL'!U136</f>
        <v>0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>
        <f>'RESUMEN TOTAL'!U137</f>
        <v>0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>
        <f>'RESUMEN TOTAL'!U169</f>
        <v>0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>
        <f>'RESUMEN TOTAL'!U172</f>
        <v>0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>
        <f>'RESUMEN TOTAL'!U173</f>
        <v>0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>
        <f>'RESUMEN TOTAL'!U174</f>
        <v>0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>
        <f>'RESUMEN TOTAL'!U175</f>
        <v>0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>
        <f>'RESUMEN TOTAL'!U176</f>
        <v>0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>
        <f>'RESUMEN TOTAL'!U177</f>
        <v>0</v>
      </c>
      <c r="Q173">
        <f>'RESUMEN TOTAL'!V177</f>
        <v>0</v>
      </c>
      <c r="R173">
        <f>'RESUMEN TOTAL'!W177</f>
        <v>0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>
        <f>'RESUMEN TOTAL'!U178</f>
        <v>0</v>
      </c>
      <c r="Q174">
        <f>'RESUMEN TOTAL'!V178</f>
        <v>0</v>
      </c>
      <c r="R174">
        <f>'RESUMEN TOTAL'!W178</f>
        <v>0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>
        <f>'RESUMEN TOTAL'!U179</f>
        <v>0</v>
      </c>
      <c r="Q175">
        <f>'RESUMEN TOTAL'!V179</f>
        <v>0</v>
      </c>
      <c r="R175">
        <f>'RESUMEN TOTAL'!W179</f>
        <v>0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>
        <f>'RESUMEN TOTAL'!U181</f>
        <v>0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>
        <f>'RESUMEN TOTAL'!U182</f>
        <v>0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>
        <f>'RESUMEN TOTAL'!U183</f>
        <v>0</v>
      </c>
      <c r="Q179">
        <f>'RESUMEN TOTAL'!V183</f>
        <v>0</v>
      </c>
      <c r="R179">
        <f>'RESUMEN TOTAL'!W183</f>
        <v>0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>
        <f>'RESUMEN TOTAL'!U184</f>
        <v>0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>
        <f>'RESUMEN TOTAL'!U185</f>
        <v>0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 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>
        <f>'RESUMEN TOTAL'!U268</f>
        <v>0</v>
      </c>
      <c r="Q263">
        <f>'RESUMEN TOTAL'!V268</f>
        <v>0</v>
      </c>
      <c r="R263">
        <f>'RESUMEN TOTAL'!W268</f>
        <v>0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>
        <f>'RESUMEN TOTAL'!U269</f>
        <v>0</v>
      </c>
      <c r="Q264">
        <f>'RESUMEN TOTAL'!V269</f>
        <v>0</v>
      </c>
      <c r="R264">
        <f>'RESUMEN TOTAL'!W269</f>
        <v>0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>
        <f>'RESUMEN TOTAL'!U270</f>
        <v>0</v>
      </c>
      <c r="Q265">
        <f>'RESUMEN TOTAL'!V270</f>
        <v>0</v>
      </c>
      <c r="R265">
        <f>'RESUMEN TOTAL'!W270</f>
        <v>0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>
        <f>'RESUMEN TOTAL'!U281</f>
        <v>0</v>
      </c>
      <c r="Q276">
        <f>'RESUMEN TOTAL'!V281</f>
        <v>0</v>
      </c>
      <c r="R276">
        <f>'RESUMEN TOTAL'!W281</f>
        <v>0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>
        <f>'RESUMEN TOTAL'!U304</f>
        <v>0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>
        <f>'RESUMEN TOTAL'!V311</f>
        <v>0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>
        <f>'RESUMEN TOTAL'!U342</f>
        <v>0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>
        <f>'RESUMEN TOTAL'!U343</f>
        <v>0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>
        <f>'RESUMEN TOTAL'!U344</f>
        <v>0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>
        <f>'RESUMEN TOTAL'!U345</f>
        <v>0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>
        <f>'RESUMEN TOTAL'!U346</f>
        <v>0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>
        <f>'RESUMEN TOTAL'!U349</f>
        <v>0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>
        <f>'RESUMEN TOTAL'!U350</f>
        <v>0</v>
      </c>
      <c r="Q345">
        <f>'RESUMEN TOTAL'!V350</f>
        <v>0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>
        <f>'RESUMEN TOTAL'!U351</f>
        <v>0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>
        <f>'RESUMEN TOTAL'!U352</f>
        <v>0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>
        <f>'RESUMEN TOTAL'!U353</f>
        <v>0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>
        <f>'RESUMEN TOTAL'!U376</f>
        <v>0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>
        <f>'RESUMEN TOTAL'!U392</f>
        <v>0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>
        <f>'RESUMEN TOTAL'!U393</f>
        <v>0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>
        <f>'RESUMEN TOTAL'!U405</f>
        <v>0</v>
      </c>
      <c r="Q399">
        <f>'RESUMEN TOTAL'!V405</f>
        <v>0</v>
      </c>
      <c r="R399">
        <f>'RESUMEN TOTAL'!W405</f>
        <v>0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>
        <f>'RESUMEN TOTAL'!V408</f>
        <v>0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>
        <f>'RESUMEN TOTAL'!U423</f>
        <v>0</v>
      </c>
      <c r="Q417">
        <f>'RESUMEN TOTAL'!V423</f>
        <v>0</v>
      </c>
      <c r="R417">
        <f>'RESUMEN TOTAL'!W423</f>
        <v>0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>
        <f>'RESUMEN TOTAL'!U438</f>
        <v>0</v>
      </c>
      <c r="Q431">
        <f>'RESUMEN TOTAL'!V438</f>
        <v>0</v>
      </c>
      <c r="R431">
        <f>'RESUMEN TOTAL'!W438</f>
        <v>0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986</v>
      </c>
      <c r="D1" s="37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1161</v>
      </c>
      <c r="D1" s="38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987</v>
      </c>
      <c r="D1" s="38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6"/>
    <col min="3" max="3" width="11.5703125" style="9"/>
    <col min="4" max="4" width="11.5703125" style="70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1002</v>
      </c>
      <c r="D1" s="70" t="s">
        <v>1003</v>
      </c>
    </row>
    <row r="2" spans="1:13" ht="16.5" thickTop="1" thickBot="1" x14ac:dyDescent="0.3">
      <c r="A2" s="71" t="s">
        <v>999</v>
      </c>
      <c r="B2" s="72">
        <v>435</v>
      </c>
      <c r="C2" s="73"/>
      <c r="D2" s="74"/>
      <c r="E2" s="133">
        <v>44896</v>
      </c>
      <c r="F2" s="130" t="s">
        <v>1309</v>
      </c>
    </row>
    <row r="3" spans="1:13" ht="15" customHeight="1" thickTop="1" x14ac:dyDescent="0.25">
      <c r="A3" s="75" t="s">
        <v>6</v>
      </c>
      <c r="B3" s="76">
        <v>135</v>
      </c>
      <c r="C3" s="77">
        <v>135</v>
      </c>
      <c r="D3" s="78">
        <f>C3/B2</f>
        <v>0.31034482758620691</v>
      </c>
      <c r="E3" s="134"/>
      <c r="F3" s="131"/>
      <c r="G3" s="79"/>
      <c r="H3" s="80"/>
      <c r="I3" s="80"/>
      <c r="J3" s="80"/>
      <c r="K3" s="81"/>
      <c r="L3" s="82"/>
      <c r="M3" s="138"/>
    </row>
    <row r="4" spans="1:13" x14ac:dyDescent="0.25">
      <c r="A4" s="75" t="s">
        <v>1001</v>
      </c>
      <c r="B4" s="76">
        <v>5</v>
      </c>
      <c r="C4" s="77">
        <f>C3-B4</f>
        <v>130</v>
      </c>
      <c r="D4" s="78">
        <f>C4/B2</f>
        <v>0.2988505747126437</v>
      </c>
      <c r="E4" s="134"/>
      <c r="F4" s="131"/>
      <c r="G4" s="83"/>
      <c r="H4" s="84"/>
      <c r="I4" s="84"/>
      <c r="J4" s="84"/>
      <c r="K4" s="85"/>
      <c r="L4" s="86"/>
      <c r="M4" s="139"/>
    </row>
    <row r="5" spans="1:13" x14ac:dyDescent="0.25">
      <c r="A5" s="75" t="s">
        <v>1000</v>
      </c>
      <c r="B5" s="76">
        <v>3</v>
      </c>
      <c r="C5" s="77">
        <f>C4-B5</f>
        <v>127</v>
      </c>
      <c r="D5" s="78">
        <f>C5/B2</f>
        <v>0.29195402298850576</v>
      </c>
      <c r="E5" s="134"/>
      <c r="F5" s="131"/>
      <c r="G5" s="83"/>
      <c r="H5" s="84"/>
      <c r="I5" s="84"/>
      <c r="J5" s="84"/>
      <c r="K5" s="85"/>
      <c r="L5" s="86"/>
      <c r="M5" s="139"/>
    </row>
    <row r="6" spans="1:13" ht="15.75" thickBot="1" x14ac:dyDescent="0.3">
      <c r="A6" s="87" t="s">
        <v>16</v>
      </c>
      <c r="B6" s="88">
        <v>24</v>
      </c>
      <c r="C6" s="89">
        <f>C5-B6</f>
        <v>103</v>
      </c>
      <c r="D6" s="78">
        <f>C6/B2</f>
        <v>0.23678160919540231</v>
      </c>
      <c r="E6" s="135"/>
      <c r="F6" s="132"/>
      <c r="G6" s="83"/>
      <c r="H6" s="84"/>
      <c r="I6" s="84"/>
      <c r="J6" s="84"/>
      <c r="K6" s="85"/>
      <c r="L6" s="86"/>
      <c r="M6" s="139"/>
    </row>
    <row r="7" spans="1:13" ht="15" customHeight="1" thickTop="1" x14ac:dyDescent="0.25">
      <c r="A7" s="71" t="s">
        <v>999</v>
      </c>
      <c r="B7" s="72">
        <v>435</v>
      </c>
      <c r="C7" s="73"/>
      <c r="D7" s="74"/>
      <c r="E7" s="133">
        <v>44897</v>
      </c>
      <c r="F7" s="47"/>
      <c r="G7" s="83"/>
      <c r="H7" s="84"/>
      <c r="I7" s="84"/>
      <c r="J7" s="84"/>
      <c r="K7" s="85"/>
      <c r="L7" s="86"/>
      <c r="M7" s="139"/>
    </row>
    <row r="8" spans="1:13" ht="15.75" thickBot="1" x14ac:dyDescent="0.3">
      <c r="A8" s="75" t="s">
        <v>6</v>
      </c>
      <c r="B8" s="76">
        <v>113</v>
      </c>
      <c r="C8" s="77">
        <v>113</v>
      </c>
      <c r="D8" s="78">
        <f>C8/B7</f>
        <v>0.25977011494252872</v>
      </c>
      <c r="E8" s="134"/>
      <c r="G8" s="91"/>
      <c r="H8" s="92"/>
      <c r="I8" s="92"/>
      <c r="J8" s="92"/>
      <c r="K8" s="93"/>
      <c r="L8" s="94"/>
      <c r="M8" s="141"/>
    </row>
    <row r="9" spans="1:13" ht="16.5" thickTop="1" thickBot="1" x14ac:dyDescent="0.3">
      <c r="A9" s="75" t="s">
        <v>1001</v>
      </c>
      <c r="B9" s="76">
        <v>4</v>
      </c>
      <c r="C9" s="77">
        <f>C8-B9</f>
        <v>109</v>
      </c>
      <c r="D9" s="78">
        <f>C9/B7</f>
        <v>0.25057471264367814</v>
      </c>
      <c r="E9" s="134"/>
      <c r="G9" s="39"/>
      <c r="K9" s="95"/>
      <c r="M9" s="96"/>
    </row>
    <row r="10" spans="1:13" ht="15.75" thickTop="1" x14ac:dyDescent="0.25">
      <c r="A10" s="75" t="s">
        <v>1000</v>
      </c>
      <c r="B10" s="76">
        <v>3</v>
      </c>
      <c r="C10" s="77">
        <f>C9-B10</f>
        <v>106</v>
      </c>
      <c r="D10" s="78">
        <f>C10/B7</f>
        <v>0.24367816091954023</v>
      </c>
      <c r="E10" s="134"/>
      <c r="G10" s="97"/>
      <c r="H10" s="98"/>
      <c r="I10" s="98"/>
      <c r="J10" s="98"/>
      <c r="K10" s="99"/>
      <c r="L10" s="100"/>
      <c r="M10" s="138"/>
    </row>
    <row r="11" spans="1:13" ht="15.75" thickBot="1" x14ac:dyDescent="0.3">
      <c r="A11" s="87" t="s">
        <v>16</v>
      </c>
      <c r="B11" s="88">
        <v>21</v>
      </c>
      <c r="C11" s="89">
        <f>C10-B11</f>
        <v>85</v>
      </c>
      <c r="D11" s="78">
        <f>C11/B7</f>
        <v>0.19540229885057472</v>
      </c>
      <c r="E11" s="135"/>
      <c r="G11" s="101"/>
      <c r="K11" s="95"/>
      <c r="L11" s="102"/>
      <c r="M11" s="139"/>
    </row>
    <row r="12" spans="1:13" ht="15.75" thickTop="1" x14ac:dyDescent="0.25">
      <c r="A12" s="71" t="s">
        <v>999</v>
      </c>
      <c r="B12" s="72">
        <v>435</v>
      </c>
      <c r="C12" s="73"/>
      <c r="D12" s="74"/>
      <c r="E12" s="133">
        <v>44900</v>
      </c>
      <c r="G12" s="101"/>
      <c r="K12" s="95"/>
      <c r="L12" s="102"/>
      <c r="M12" s="139"/>
    </row>
    <row r="13" spans="1:13" x14ac:dyDescent="0.25">
      <c r="A13" s="75" t="s">
        <v>6</v>
      </c>
      <c r="B13" s="76">
        <v>98</v>
      </c>
      <c r="C13" s="77">
        <v>98</v>
      </c>
      <c r="D13" s="78">
        <f>C13/B12</f>
        <v>0.22528735632183908</v>
      </c>
      <c r="E13" s="134"/>
      <c r="G13" s="101"/>
      <c r="K13" s="95"/>
      <c r="L13" s="102"/>
      <c r="M13" s="139"/>
    </row>
    <row r="14" spans="1:13" x14ac:dyDescent="0.25">
      <c r="A14" s="75" t="s">
        <v>1001</v>
      </c>
      <c r="B14" s="76">
        <v>2</v>
      </c>
      <c r="C14" s="77">
        <f>C13-B14</f>
        <v>96</v>
      </c>
      <c r="D14" s="78">
        <f>C14/B12</f>
        <v>0.22068965517241379</v>
      </c>
      <c r="E14" s="134"/>
      <c r="G14" s="101"/>
      <c r="K14" s="95"/>
      <c r="L14" s="102"/>
      <c r="M14" s="139"/>
    </row>
    <row r="15" spans="1:13" ht="15" customHeight="1" thickBot="1" x14ac:dyDescent="0.3">
      <c r="A15" s="75" t="s">
        <v>1000</v>
      </c>
      <c r="B15" s="76">
        <v>3</v>
      </c>
      <c r="C15" s="77">
        <f>C14-B15</f>
        <v>93</v>
      </c>
      <c r="D15" s="78">
        <f>C15/B12</f>
        <v>0.21379310344827587</v>
      </c>
      <c r="E15" s="134"/>
      <c r="G15" s="103"/>
      <c r="H15" s="104"/>
      <c r="I15" s="104"/>
      <c r="J15" s="104"/>
      <c r="K15" s="104"/>
      <c r="L15" s="105"/>
      <c r="M15" s="140"/>
    </row>
    <row r="16" spans="1:13" ht="16.5" thickTop="1" thickBot="1" x14ac:dyDescent="0.3">
      <c r="A16" s="87" t="s">
        <v>16</v>
      </c>
      <c r="B16" s="88">
        <v>16</v>
      </c>
      <c r="C16" s="89">
        <f>C15-B16</f>
        <v>77</v>
      </c>
      <c r="D16" s="78">
        <f>C16/B12</f>
        <v>0.17701149425287357</v>
      </c>
      <c r="E16" s="135"/>
      <c r="G16" s="106"/>
      <c r="H16" s="107"/>
      <c r="I16" s="107"/>
      <c r="J16" s="107"/>
      <c r="K16" s="108"/>
      <c r="L16" s="109"/>
      <c r="M16" s="138"/>
    </row>
    <row r="17" spans="1:14" ht="15.75" thickTop="1" x14ac:dyDescent="0.25">
      <c r="A17" s="71" t="s">
        <v>999</v>
      </c>
      <c r="B17" s="72">
        <v>435</v>
      </c>
      <c r="C17" s="73"/>
      <c r="D17" s="74"/>
      <c r="E17" s="133">
        <v>44901</v>
      </c>
      <c r="G17" s="110"/>
      <c r="K17" s="95"/>
      <c r="L17" s="111"/>
      <c r="M17" s="139"/>
    </row>
    <row r="18" spans="1:14" x14ac:dyDescent="0.25">
      <c r="A18" s="75" t="s">
        <v>6</v>
      </c>
      <c r="B18" s="76">
        <v>82</v>
      </c>
      <c r="C18" s="77">
        <v>82</v>
      </c>
      <c r="D18" s="78">
        <f>C18/B17</f>
        <v>0.18850574712643678</v>
      </c>
      <c r="E18" s="134"/>
      <c r="G18" s="110"/>
      <c r="K18" s="95"/>
      <c r="L18" s="111"/>
      <c r="M18" s="139"/>
    </row>
    <row r="19" spans="1:14" x14ac:dyDescent="0.25">
      <c r="A19" s="75" t="s">
        <v>1001</v>
      </c>
      <c r="B19" s="76">
        <v>3</v>
      </c>
      <c r="C19" s="77">
        <f>C18-B19</f>
        <v>79</v>
      </c>
      <c r="D19" s="78">
        <f>C19/B17</f>
        <v>0.18160919540229886</v>
      </c>
      <c r="E19" s="134"/>
      <c r="G19" s="110"/>
      <c r="K19" s="95"/>
      <c r="L19" s="111"/>
      <c r="M19" s="139"/>
    </row>
    <row r="20" spans="1:14" x14ac:dyDescent="0.25">
      <c r="A20" s="75" t="s">
        <v>1000</v>
      </c>
      <c r="B20" s="76">
        <v>3</v>
      </c>
      <c r="C20" s="77">
        <f>C19-B20</f>
        <v>76</v>
      </c>
      <c r="D20" s="78">
        <f>C20/B17</f>
        <v>0.17471264367816092</v>
      </c>
      <c r="E20" s="134"/>
      <c r="G20" s="110"/>
      <c r="K20" s="95"/>
      <c r="L20" s="111"/>
      <c r="M20" s="139"/>
    </row>
    <row r="21" spans="1:14" ht="15.75" thickBot="1" x14ac:dyDescent="0.3">
      <c r="A21" s="87" t="s">
        <v>16</v>
      </c>
      <c r="B21" s="88">
        <v>15</v>
      </c>
      <c r="C21" s="89">
        <f>C20-B21</f>
        <v>61</v>
      </c>
      <c r="D21" s="78">
        <f>C21/B17</f>
        <v>0.14022988505747128</v>
      </c>
      <c r="E21" s="135"/>
      <c r="G21" s="103"/>
      <c r="H21" s="104"/>
      <c r="I21" s="104"/>
      <c r="J21" s="104"/>
      <c r="K21" s="104"/>
      <c r="L21" s="105"/>
      <c r="M21" s="140"/>
    </row>
    <row r="22" spans="1:14" ht="15.75" thickTop="1" x14ac:dyDescent="0.25">
      <c r="A22" s="71" t="s">
        <v>999</v>
      </c>
      <c r="B22" s="72"/>
      <c r="C22" s="73"/>
      <c r="D22" s="74"/>
      <c r="E22" s="133"/>
    </row>
    <row r="23" spans="1:14" ht="15.75" thickBot="1" x14ac:dyDescent="0.3">
      <c r="A23" s="75" t="s">
        <v>6</v>
      </c>
      <c r="B23" s="76"/>
      <c r="C23" s="77"/>
      <c r="D23" s="78"/>
      <c r="E23" s="134"/>
    </row>
    <row r="24" spans="1:14" ht="15.75" thickTop="1" x14ac:dyDescent="0.25">
      <c r="A24" s="75" t="s">
        <v>1001</v>
      </c>
      <c r="B24" s="76"/>
      <c r="C24" s="77"/>
      <c r="D24" s="78"/>
      <c r="E24" s="134"/>
      <c r="G24" s="97"/>
      <c r="H24" s="98"/>
      <c r="I24" s="98"/>
      <c r="J24" s="98"/>
      <c r="K24" s="99"/>
      <c r="L24" s="100"/>
      <c r="M24" s="138"/>
    </row>
    <row r="25" spans="1:14" x14ac:dyDescent="0.25">
      <c r="A25" s="75" t="s">
        <v>1000</v>
      </c>
      <c r="B25" s="76"/>
      <c r="C25" s="77"/>
      <c r="D25" s="78"/>
      <c r="E25" s="134"/>
      <c r="G25" s="101"/>
      <c r="K25" s="95"/>
      <c r="L25" s="102"/>
      <c r="M25" s="139"/>
    </row>
    <row r="26" spans="1:14" ht="15.75" thickBot="1" x14ac:dyDescent="0.3">
      <c r="A26" s="87" t="s">
        <v>16</v>
      </c>
      <c r="B26" s="88"/>
      <c r="C26" s="89"/>
      <c r="D26" s="78"/>
      <c r="E26" s="135"/>
      <c r="G26" s="101"/>
      <c r="K26" s="95"/>
      <c r="L26" s="102"/>
      <c r="M26" s="139"/>
    </row>
    <row r="27" spans="1:14" ht="15.75" thickTop="1" x14ac:dyDescent="0.25">
      <c r="A27" s="71" t="s">
        <v>999</v>
      </c>
      <c r="B27" s="72"/>
      <c r="C27" s="73"/>
      <c r="D27" s="74"/>
      <c r="E27" s="133"/>
      <c r="G27" s="101"/>
      <c r="K27" s="95"/>
      <c r="L27" s="102"/>
      <c r="M27" s="139"/>
    </row>
    <row r="28" spans="1:14" x14ac:dyDescent="0.25">
      <c r="A28" s="75" t="s">
        <v>6</v>
      </c>
      <c r="B28" s="76"/>
      <c r="C28" s="77"/>
      <c r="D28" s="78"/>
      <c r="E28" s="134"/>
      <c r="G28" s="101"/>
      <c r="K28" s="95"/>
      <c r="L28" s="102"/>
      <c r="M28" s="139"/>
    </row>
    <row r="29" spans="1:14" ht="15.75" thickBot="1" x14ac:dyDescent="0.3">
      <c r="A29" s="75" t="s">
        <v>1001</v>
      </c>
      <c r="B29" s="76"/>
      <c r="C29" s="77"/>
      <c r="D29" s="78"/>
      <c r="E29" s="134"/>
      <c r="G29" s="103"/>
      <c r="H29" s="104"/>
      <c r="I29" s="104"/>
      <c r="J29" s="104"/>
      <c r="K29" s="104"/>
      <c r="L29" s="105"/>
      <c r="M29" s="140"/>
    </row>
    <row r="30" spans="1:14" ht="16.5" thickTop="1" thickBot="1" x14ac:dyDescent="0.3">
      <c r="A30" s="75" t="s">
        <v>1000</v>
      </c>
      <c r="B30" s="76"/>
      <c r="C30" s="77"/>
      <c r="D30" s="78"/>
      <c r="E30" s="134"/>
    </row>
    <row r="31" spans="1:14" ht="16.5" thickTop="1" thickBot="1" x14ac:dyDescent="0.3">
      <c r="A31" s="87" t="s">
        <v>16</v>
      </c>
      <c r="B31" s="88"/>
      <c r="C31" s="89"/>
      <c r="D31" s="78"/>
      <c r="E31" s="135"/>
      <c r="G31" s="106"/>
      <c r="H31" s="112"/>
      <c r="I31" s="107"/>
      <c r="J31" s="107"/>
      <c r="K31" s="107"/>
      <c r="L31" s="108"/>
      <c r="M31" s="109"/>
      <c r="N31" s="136"/>
    </row>
    <row r="32" spans="1:14" ht="15.75" thickTop="1" x14ac:dyDescent="0.25">
      <c r="A32" s="71" t="s">
        <v>999</v>
      </c>
      <c r="B32" s="72"/>
      <c r="C32" s="73"/>
      <c r="D32" s="74"/>
      <c r="E32" s="133"/>
      <c r="G32" s="110"/>
      <c r="H32" s="39"/>
      <c r="L32" s="95"/>
      <c r="M32" s="111"/>
      <c r="N32" s="137"/>
    </row>
    <row r="33" spans="1:14" ht="15.75" thickBot="1" x14ac:dyDescent="0.3">
      <c r="A33" s="75" t="s">
        <v>6</v>
      </c>
      <c r="B33" s="76"/>
      <c r="C33" s="77"/>
      <c r="D33" s="78"/>
      <c r="E33" s="134"/>
      <c r="G33" s="113"/>
      <c r="H33" s="114"/>
      <c r="I33" s="104"/>
      <c r="J33" s="104"/>
      <c r="K33" s="104"/>
      <c r="L33" s="115"/>
      <c r="M33" s="105"/>
      <c r="N33" s="137"/>
    </row>
    <row r="34" spans="1:14" ht="15.75" thickTop="1" x14ac:dyDescent="0.25">
      <c r="A34" s="75" t="s">
        <v>1001</v>
      </c>
      <c r="B34" s="76"/>
      <c r="C34" s="77"/>
      <c r="D34" s="78"/>
      <c r="E34" s="134"/>
      <c r="G34" s="39"/>
      <c r="K34" s="95"/>
    </row>
    <row r="35" spans="1:14" x14ac:dyDescent="0.25">
      <c r="A35" s="75" t="s">
        <v>1000</v>
      </c>
      <c r="B35" s="76"/>
      <c r="C35" s="77"/>
      <c r="D35" s="78"/>
      <c r="E35" s="134"/>
      <c r="G35" s="39"/>
      <c r="K35" s="95"/>
    </row>
    <row r="36" spans="1:14" ht="15.75" thickBot="1" x14ac:dyDescent="0.3">
      <c r="A36" s="87" t="s">
        <v>16</v>
      </c>
      <c r="B36" s="88"/>
      <c r="C36" s="89"/>
      <c r="D36" s="78"/>
      <c r="E36" s="135"/>
      <c r="G36" s="39"/>
      <c r="K36" s="95"/>
    </row>
    <row r="37" spans="1:14" ht="15.75" thickTop="1" x14ac:dyDescent="0.25">
      <c r="A37" s="71" t="s">
        <v>999</v>
      </c>
      <c r="B37" s="72"/>
      <c r="C37" s="73"/>
      <c r="D37" s="74"/>
      <c r="E37" s="133"/>
      <c r="G37" s="39"/>
      <c r="K37" s="95"/>
    </row>
    <row r="38" spans="1:14" x14ac:dyDescent="0.25">
      <c r="A38" s="75" t="s">
        <v>6</v>
      </c>
      <c r="B38" s="76"/>
      <c r="C38" s="77"/>
      <c r="D38" s="78"/>
      <c r="E38" s="134"/>
      <c r="G38" s="39"/>
      <c r="K38" s="95"/>
      <c r="L38" s="21"/>
    </row>
    <row r="39" spans="1:14" ht="15.75" thickBot="1" x14ac:dyDescent="0.3">
      <c r="A39" s="75" t="s">
        <v>1001</v>
      </c>
      <c r="B39" s="76"/>
      <c r="C39" s="77"/>
      <c r="D39" s="78"/>
      <c r="E39" s="134"/>
    </row>
    <row r="40" spans="1:14" ht="15.75" thickTop="1" x14ac:dyDescent="0.25">
      <c r="A40" s="75" t="s">
        <v>1000</v>
      </c>
      <c r="B40" s="76"/>
      <c r="C40" s="77"/>
      <c r="D40" s="78"/>
      <c r="E40" s="134"/>
      <c r="G40" s="97"/>
      <c r="H40" s="98"/>
      <c r="I40" s="98"/>
      <c r="J40" s="98"/>
      <c r="K40" s="99"/>
      <c r="L40" s="100"/>
      <c r="M40" s="138"/>
    </row>
    <row r="41" spans="1:14" ht="15.75" thickBot="1" x14ac:dyDescent="0.3">
      <c r="A41" s="87" t="s">
        <v>16</v>
      </c>
      <c r="B41" s="88"/>
      <c r="C41" s="89"/>
      <c r="D41" s="78"/>
      <c r="E41" s="135"/>
      <c r="G41" s="101"/>
      <c r="K41" s="95"/>
      <c r="L41" s="102"/>
      <c r="M41" s="139"/>
    </row>
    <row r="42" spans="1:14" ht="15" customHeight="1" thickTop="1" x14ac:dyDescent="0.25">
      <c r="A42" s="71" t="s">
        <v>999</v>
      </c>
      <c r="B42" s="72"/>
      <c r="C42" s="73"/>
      <c r="D42" s="74"/>
      <c r="E42" s="133"/>
      <c r="G42" s="101"/>
      <c r="K42" s="95"/>
      <c r="L42" s="102"/>
      <c r="M42" s="139"/>
    </row>
    <row r="43" spans="1:14" x14ac:dyDescent="0.25">
      <c r="A43" s="75" t="s">
        <v>6</v>
      </c>
      <c r="B43" s="76"/>
      <c r="C43" s="77"/>
      <c r="D43" s="78"/>
      <c r="E43" s="134"/>
      <c r="G43" s="101"/>
      <c r="K43" s="95"/>
      <c r="L43" s="102"/>
      <c r="M43" s="139"/>
    </row>
    <row r="44" spans="1:14" x14ac:dyDescent="0.25">
      <c r="A44" s="75" t="s">
        <v>1001</v>
      </c>
      <c r="B44" s="76"/>
      <c r="C44" s="77"/>
      <c r="D44" s="78"/>
      <c r="E44" s="134"/>
      <c r="G44" s="101"/>
      <c r="K44" s="95"/>
      <c r="L44" s="102"/>
      <c r="M44" s="139"/>
    </row>
    <row r="45" spans="1:14" ht="15.75" thickBot="1" x14ac:dyDescent="0.3">
      <c r="A45" s="75" t="s">
        <v>1000</v>
      </c>
      <c r="B45" s="76"/>
      <c r="C45" s="77"/>
      <c r="D45" s="78"/>
      <c r="E45" s="134"/>
      <c r="G45" s="103"/>
      <c r="H45" s="104"/>
      <c r="I45" s="104"/>
      <c r="J45" s="104"/>
      <c r="K45" s="104"/>
      <c r="L45" s="105"/>
      <c r="M45" s="140"/>
    </row>
    <row r="46" spans="1:14" ht="16.5" thickTop="1" thickBot="1" x14ac:dyDescent="0.3">
      <c r="A46" s="87" t="s">
        <v>16</v>
      </c>
      <c r="B46" s="88"/>
      <c r="C46" s="89"/>
      <c r="D46" s="78"/>
      <c r="E46" s="135"/>
    </row>
    <row r="47" spans="1:14" ht="15.75" thickTop="1" x14ac:dyDescent="0.25">
      <c r="A47" s="71" t="s">
        <v>999</v>
      </c>
      <c r="B47" s="72"/>
      <c r="C47" s="73"/>
      <c r="D47" s="74"/>
      <c r="E47" s="133"/>
      <c r="G47" s="39"/>
      <c r="K47" s="95"/>
    </row>
    <row r="48" spans="1:14" x14ac:dyDescent="0.25">
      <c r="A48" s="75" t="s">
        <v>6</v>
      </c>
      <c r="B48" s="76"/>
      <c r="C48" s="77"/>
      <c r="D48" s="78"/>
      <c r="E48" s="134"/>
      <c r="G48" s="39"/>
      <c r="K48" s="95"/>
    </row>
    <row r="49" spans="1:11" x14ac:dyDescent="0.25">
      <c r="A49" s="75" t="s">
        <v>1001</v>
      </c>
      <c r="B49" s="76"/>
      <c r="C49" s="77"/>
      <c r="D49" s="78"/>
      <c r="E49" s="134"/>
      <c r="G49" s="39"/>
      <c r="K49" s="95"/>
    </row>
    <row r="50" spans="1:11" x14ac:dyDescent="0.25">
      <c r="A50" s="75" t="s">
        <v>1000</v>
      </c>
      <c r="B50" s="76"/>
      <c r="C50" s="77"/>
      <c r="D50" s="78"/>
      <c r="E50" s="134"/>
      <c r="G50" s="39"/>
      <c r="K50" s="95"/>
    </row>
    <row r="51" spans="1:11" ht="15.75" thickBot="1" x14ac:dyDescent="0.3">
      <c r="A51" s="87" t="s">
        <v>16</v>
      </c>
      <c r="B51" s="88"/>
      <c r="C51" s="89"/>
      <c r="D51" s="78"/>
      <c r="E51" s="135"/>
      <c r="G51" s="39"/>
      <c r="K51" s="95"/>
    </row>
    <row r="52" spans="1:11" ht="15.75" thickTop="1" x14ac:dyDescent="0.25">
      <c r="A52" s="71" t="s">
        <v>999</v>
      </c>
      <c r="B52" s="72"/>
      <c r="C52" s="73"/>
      <c r="D52" s="74"/>
      <c r="E52" s="133"/>
      <c r="G52" s="39"/>
      <c r="K52" s="95"/>
    </row>
    <row r="53" spans="1:11" x14ac:dyDescent="0.25">
      <c r="A53" s="75" t="s">
        <v>6</v>
      </c>
      <c r="B53" s="76"/>
      <c r="C53" s="77"/>
      <c r="D53" s="78"/>
      <c r="E53" s="134"/>
      <c r="G53" s="39"/>
      <c r="K53" s="95"/>
    </row>
    <row r="54" spans="1:11" x14ac:dyDescent="0.25">
      <c r="A54" s="75" t="s">
        <v>1001</v>
      </c>
      <c r="B54" s="76"/>
      <c r="C54" s="77"/>
      <c r="D54" s="78"/>
      <c r="E54" s="134"/>
    </row>
    <row r="55" spans="1:11" x14ac:dyDescent="0.25">
      <c r="A55" s="75" t="s">
        <v>1000</v>
      </c>
      <c r="B55" s="76"/>
      <c r="C55" s="77"/>
      <c r="D55" s="78"/>
      <c r="E55" s="134"/>
    </row>
    <row r="56" spans="1:11" ht="15.75" thickBot="1" x14ac:dyDescent="0.3">
      <c r="A56" s="87" t="s">
        <v>16</v>
      </c>
      <c r="B56" s="88"/>
      <c r="C56" s="89"/>
      <c r="D56" s="90"/>
      <c r="E56" s="135"/>
    </row>
    <row r="57" spans="1:11" ht="15.75" thickTop="1" x14ac:dyDescent="0.25">
      <c r="A57" s="71" t="s">
        <v>999</v>
      </c>
      <c r="B57" s="72"/>
      <c r="C57" s="73"/>
      <c r="D57" s="74"/>
      <c r="E57" s="133"/>
    </row>
    <row r="58" spans="1:11" x14ac:dyDescent="0.25">
      <c r="A58" s="75" t="s">
        <v>6</v>
      </c>
      <c r="B58" s="76"/>
      <c r="C58" s="77"/>
      <c r="D58" s="78"/>
      <c r="E58" s="134"/>
    </row>
    <row r="59" spans="1:11" x14ac:dyDescent="0.25">
      <c r="A59" s="75" t="s">
        <v>1001</v>
      </c>
      <c r="B59" s="76"/>
      <c r="C59" s="77"/>
      <c r="D59" s="78"/>
      <c r="E59" s="134"/>
    </row>
    <row r="60" spans="1:11" x14ac:dyDescent="0.25">
      <c r="A60" s="75" t="s">
        <v>1000</v>
      </c>
      <c r="B60" s="76"/>
      <c r="C60" s="77"/>
      <c r="D60" s="78"/>
      <c r="E60" s="134"/>
    </row>
    <row r="61" spans="1:11" ht="15.75" thickBot="1" x14ac:dyDescent="0.3">
      <c r="A61" s="87" t="s">
        <v>16</v>
      </c>
      <c r="B61" s="88"/>
      <c r="C61" s="89"/>
      <c r="D61" s="90"/>
      <c r="E61" s="135"/>
    </row>
    <row r="62" spans="1:11" ht="15.75" thickTop="1" x14ac:dyDescent="0.25">
      <c r="A62" s="71" t="s">
        <v>999</v>
      </c>
      <c r="B62" s="72"/>
      <c r="C62" s="73"/>
      <c r="D62" s="74"/>
      <c r="E62" s="133"/>
    </row>
    <row r="63" spans="1:11" x14ac:dyDescent="0.25">
      <c r="A63" s="75" t="s">
        <v>6</v>
      </c>
      <c r="B63" s="76"/>
      <c r="C63" s="77"/>
      <c r="D63" s="78"/>
      <c r="E63" s="134"/>
    </row>
    <row r="64" spans="1:11" x14ac:dyDescent="0.25">
      <c r="A64" s="75" t="s">
        <v>1001</v>
      </c>
      <c r="B64" s="76"/>
      <c r="C64" s="77"/>
      <c r="D64" s="78"/>
      <c r="E64" s="134"/>
    </row>
    <row r="65" spans="1:5" x14ac:dyDescent="0.25">
      <c r="A65" s="75" t="s">
        <v>1000</v>
      </c>
      <c r="B65" s="76"/>
      <c r="C65" s="77"/>
      <c r="D65" s="78"/>
      <c r="E65" s="134"/>
    </row>
    <row r="66" spans="1:5" ht="15.75" thickBot="1" x14ac:dyDescent="0.3">
      <c r="A66" s="87" t="s">
        <v>16</v>
      </c>
      <c r="B66" s="88"/>
      <c r="C66" s="89"/>
      <c r="D66" s="90"/>
      <c r="E66" s="135"/>
    </row>
    <row r="67" spans="1:5" ht="15.75" thickTop="1" x14ac:dyDescent="0.25">
      <c r="A67" s="71" t="s">
        <v>999</v>
      </c>
      <c r="B67" s="72"/>
      <c r="C67" s="73"/>
      <c r="D67" s="74"/>
      <c r="E67" s="133"/>
    </row>
    <row r="68" spans="1:5" x14ac:dyDescent="0.25">
      <c r="A68" s="75" t="s">
        <v>6</v>
      </c>
      <c r="B68" s="76"/>
      <c r="C68" s="77"/>
      <c r="D68" s="78"/>
      <c r="E68" s="134"/>
    </row>
    <row r="69" spans="1:5" x14ac:dyDescent="0.25">
      <c r="A69" s="75" t="s">
        <v>1001</v>
      </c>
      <c r="B69" s="76"/>
      <c r="C69" s="77"/>
      <c r="D69" s="78"/>
      <c r="E69" s="134"/>
    </row>
    <row r="70" spans="1:5" x14ac:dyDescent="0.25">
      <c r="A70" s="75" t="s">
        <v>1000</v>
      </c>
      <c r="B70" s="76"/>
      <c r="C70" s="77"/>
      <c r="D70" s="78"/>
      <c r="E70" s="134"/>
    </row>
    <row r="71" spans="1:5" ht="15.75" thickBot="1" x14ac:dyDescent="0.3">
      <c r="A71" s="87" t="s">
        <v>16</v>
      </c>
      <c r="B71" s="88"/>
      <c r="C71" s="89"/>
      <c r="D71" s="90"/>
      <c r="E71" s="135"/>
    </row>
    <row r="72" spans="1:5" ht="15.75" thickTop="1" x14ac:dyDescent="0.25">
      <c r="A72" s="71" t="s">
        <v>999</v>
      </c>
      <c r="B72" s="72"/>
      <c r="C72" s="73"/>
      <c r="D72" s="74"/>
      <c r="E72" s="133"/>
    </row>
    <row r="73" spans="1:5" x14ac:dyDescent="0.25">
      <c r="A73" s="75" t="s">
        <v>6</v>
      </c>
      <c r="B73" s="76"/>
      <c r="C73" s="77"/>
      <c r="D73" s="78"/>
      <c r="E73" s="134"/>
    </row>
    <row r="74" spans="1:5" x14ac:dyDescent="0.25">
      <c r="A74" s="75" t="s">
        <v>1001</v>
      </c>
      <c r="B74" s="76"/>
      <c r="C74" s="77"/>
      <c r="D74" s="78"/>
      <c r="E74" s="134"/>
    </row>
    <row r="75" spans="1:5" x14ac:dyDescent="0.25">
      <c r="A75" s="75" t="s">
        <v>1000</v>
      </c>
      <c r="B75" s="76"/>
      <c r="C75" s="77"/>
      <c r="D75" s="78"/>
      <c r="E75" s="134"/>
    </row>
    <row r="76" spans="1:5" ht="15.75" thickBot="1" x14ac:dyDescent="0.3">
      <c r="A76" s="87" t="s">
        <v>16</v>
      </c>
      <c r="B76" s="88"/>
      <c r="C76" s="89"/>
      <c r="D76" s="90"/>
      <c r="E76" s="135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4"/>
      <c r="C3" s="58" t="s">
        <v>1168</v>
      </c>
      <c r="D3" s="49">
        <v>44883</v>
      </c>
    </row>
    <row r="4" spans="2:4" ht="15.75" thickTop="1" x14ac:dyDescent="0.25">
      <c r="B4" s="66" t="s">
        <v>1159</v>
      </c>
      <c r="C4" s="55">
        <f>COUNTIFS('RESUMEN TOTAL'!C5:C504,"=BONOMO")</f>
        <v>228</v>
      </c>
      <c r="D4" s="62">
        <v>31</v>
      </c>
    </row>
    <row r="5" spans="2:4" ht="15.75" thickBot="1" x14ac:dyDescent="0.3">
      <c r="B5" s="56"/>
      <c r="C5" s="57"/>
      <c r="D5" s="69">
        <v>0.13777777777777778</v>
      </c>
    </row>
    <row r="6" spans="2:4" ht="15.75" thickTop="1" x14ac:dyDescent="0.25">
      <c r="B6" s="65" t="s">
        <v>1160</v>
      </c>
      <c r="C6" s="55">
        <f>COUNTIFS('RESUMEN TOTAL'!C5:C504,"=COSEIDI")</f>
        <v>207</v>
      </c>
      <c r="D6" s="64">
        <v>16</v>
      </c>
    </row>
    <row r="7" spans="2:4" ht="15.75" thickBot="1" x14ac:dyDescent="0.3">
      <c r="B7" s="56"/>
      <c r="C7" s="57"/>
      <c r="D7" s="50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2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</row>
    <row r="9" spans="1:7" x14ac:dyDescent="0.25">
      <c r="A9" s="18">
        <f>'APAGADOS RADIO'!M3</f>
        <v>44903</v>
      </c>
    </row>
    <row r="10" spans="1:7" x14ac:dyDescent="0.25">
      <c r="A10" s="18">
        <f>'APAGADOS RADIO'!N3</f>
        <v>44904</v>
      </c>
    </row>
    <row r="11" spans="1:7" x14ac:dyDescent="0.25">
      <c r="A11" s="18">
        <f>'APAGADOS RADIO'!O3</f>
        <v>44905</v>
      </c>
    </row>
    <row r="12" spans="1:7" x14ac:dyDescent="0.25">
      <c r="A12" s="18">
        <f>'APAGADOS RADIO'!P3</f>
        <v>44906</v>
      </c>
    </row>
    <row r="13" spans="1:7" x14ac:dyDescent="0.25">
      <c r="A13" s="18">
        <f>'APAGADOS RADIO'!Q3</f>
        <v>44907</v>
      </c>
    </row>
    <row r="14" spans="1:7" x14ac:dyDescent="0.25">
      <c r="A14" s="18">
        <f>'APAGADOS RADIO'!R3</f>
        <v>44908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ht="16.5" thickTop="1" thickBot="1" x14ac:dyDescent="0.3">
      <c r="A1" s="54"/>
      <c r="B1" s="58" t="s">
        <v>1168</v>
      </c>
    </row>
    <row r="2" spans="1:35" ht="16.5" thickTop="1" thickBot="1" x14ac:dyDescent="0.3">
      <c r="A2" s="66" t="s">
        <v>1159</v>
      </c>
      <c r="B2" s="55">
        <f>COUNTIFS('RESUMEN TOTAL'!C5:C503,"=BONOMO")</f>
        <v>228</v>
      </c>
      <c r="F2" s="48">
        <v>44866</v>
      </c>
      <c r="G2" s="49">
        <v>44867</v>
      </c>
      <c r="H2" s="48">
        <v>44868</v>
      </c>
      <c r="I2" s="49">
        <v>44869</v>
      </c>
      <c r="J2" s="48">
        <v>44870</v>
      </c>
      <c r="K2" s="49">
        <v>44871</v>
      </c>
      <c r="L2" s="48">
        <v>44872</v>
      </c>
      <c r="M2" s="49">
        <v>44873</v>
      </c>
      <c r="N2" s="48">
        <v>44874</v>
      </c>
      <c r="O2" s="49">
        <v>44875</v>
      </c>
      <c r="P2" s="48">
        <v>44876</v>
      </c>
      <c r="Q2" s="49">
        <v>44877</v>
      </c>
      <c r="R2" s="48">
        <v>44878</v>
      </c>
      <c r="S2" s="49">
        <v>44879</v>
      </c>
      <c r="T2" s="48">
        <v>44880</v>
      </c>
      <c r="U2" s="49">
        <v>44881</v>
      </c>
      <c r="V2" s="48">
        <v>44882</v>
      </c>
      <c r="W2" s="49">
        <v>44883</v>
      </c>
      <c r="X2" s="48">
        <v>44884</v>
      </c>
      <c r="Y2" s="49">
        <v>44885</v>
      </c>
      <c r="Z2" s="48">
        <v>44886</v>
      </c>
      <c r="AA2" s="49">
        <v>44887</v>
      </c>
      <c r="AB2" s="48">
        <v>44888</v>
      </c>
      <c r="AC2" s="49">
        <v>44889</v>
      </c>
      <c r="AD2" s="48">
        <v>44890</v>
      </c>
      <c r="AE2" s="49">
        <v>44891</v>
      </c>
      <c r="AF2" s="48">
        <v>44892</v>
      </c>
      <c r="AG2" s="49">
        <v>44893</v>
      </c>
      <c r="AH2" s="48">
        <v>44894</v>
      </c>
      <c r="AI2" s="49">
        <v>44895</v>
      </c>
    </row>
    <row r="3" spans="1:35" ht="16.5" thickTop="1" thickBot="1" x14ac:dyDescent="0.3">
      <c r="A3" s="56"/>
      <c r="B3" s="57"/>
      <c r="D3" s="52" t="s">
        <v>1159</v>
      </c>
      <c r="E3" s="59" t="s">
        <v>1169</v>
      </c>
      <c r="F3" s="60">
        <f>COUNTIFS('RESUMEN TOTAL'!C7:C504, "=BONOMO",'RESUMEN TOTAL'!K7:K504,"=APAGADO")</f>
        <v>69</v>
      </c>
      <c r="G3" s="61">
        <f>COUNTIFS('RESUMEN TOTAL'!C7:C504, "=BONOMO",'RESUMEN TOTAL'!L7:L504,"=APAGADO")</f>
        <v>72</v>
      </c>
      <c r="H3" s="61">
        <f>COUNTIFS('RESUMEN TOTAL'!C7:C504, "=BONOMO",'RESUMEN TOTAL'!M7:M504,"=APAGADO")</f>
        <v>59</v>
      </c>
      <c r="I3" s="61">
        <f>COUNTIFS('RESUMEN TOTAL'!C7:C504, "=BONOMO",'RESUMEN TOTAL'!N7:N504,"=APAGADO")</f>
        <v>56</v>
      </c>
      <c r="J3" s="61">
        <f>COUNTIFS('RESUMEN TOTAL'!C7:C504, "=BONOMO",'RESUMEN TOTAL'!O7:O504,"=APAGADO")</f>
        <v>63</v>
      </c>
      <c r="K3" s="61">
        <f>COUNTIFS('RESUMEN TOTAL'!C7:C504, "=BONOMO",'RESUMEN TOTAL'!P7:P504,"=APAGADO")</f>
        <v>64</v>
      </c>
      <c r="L3" s="61">
        <f>COUNTIFS('RESUMEN TOTAL'!C7:C504, "=BONOMO",'RESUMEN TOTAL'!Q7:Q504,"=APAGADO")</f>
        <v>65</v>
      </c>
      <c r="M3" s="61">
        <f>COUNTIFS('RESUMEN TOTAL'!C7:C504, "=BONOMO",'RESUMEN TOTAL'!R7:R504,"=APAGADO")</f>
        <v>64</v>
      </c>
      <c r="N3" s="61">
        <f>COUNTIFS('RESUMEN TOTAL'!C7:C504, "=BONOMO",'RESUMEN TOTAL'!S7:S504,"=APAGADO")</f>
        <v>70</v>
      </c>
      <c r="O3" s="61">
        <f>COUNTIFS('RESUMEN TOTAL'!C7:C504, "=BONOMO",'RESUMEN TOTAL'!T7:T504,"=APAGADO")</f>
        <v>73</v>
      </c>
      <c r="P3" s="62">
        <f>COUNTIFS('RESUMEN TOTAL'!C7:C504, "=BONOMO",'RESUMEN TOTAL'!U7:U504,"=APAGADO")</f>
        <v>0</v>
      </c>
      <c r="Q3" s="62">
        <f>COUNTIFS('RESUMEN TOTAL'!C7:C504, "=BONOMO",'RESUMEN TOTAL'!V7:V504,"=APAGADO")</f>
        <v>0</v>
      </c>
      <c r="R3" s="62">
        <f>COUNTIFS('RESUMEN TOTAL'!C7:C504, "=BONOMO",'RESUMEN TOTAL'!W7:W504,"=APAGADO")</f>
        <v>0</v>
      </c>
      <c r="S3" s="62">
        <f>COUNTIFS('RESUMEN TOTAL'!C7:C504, "=BONOMO",'RESUMEN TOTAL'!X7:X504,"=APAGADO")</f>
        <v>0</v>
      </c>
      <c r="T3" s="62">
        <f>COUNTIFS('RESUMEN TOTAL'!C7:C504, "=BONOMO",'RESUMEN TOTAL'!Y7:Y504,"=APAGADO")</f>
        <v>0</v>
      </c>
      <c r="U3" s="62">
        <f>COUNTIFS('RESUMEN TOTAL'!C7:C504, "=BONOMO",'RESUMEN TOTAL'!Z7:Z504,"=APAGADO")</f>
        <v>0</v>
      </c>
      <c r="V3" s="62">
        <f>COUNTIFS('RESUMEN TOTAL'!C7:C504, "=BONOMO",'RESUMEN TOTAL'!AA7:AA504,"=APAGADO")</f>
        <v>0</v>
      </c>
      <c r="W3" s="62">
        <f>COUNTIFS('RESUMEN TOTAL'!C7:C504, "=BONOMO",'RESUMEN TOTAL'!AB7:AB504,"=APAGADO")</f>
        <v>0</v>
      </c>
      <c r="X3" s="62">
        <f>COUNTIFS('RESUMEN TOTAL'!C7:C504, "=BONOMO",'RESUMEN TOTAL'!AC7:AC504,"=APAGADO")</f>
        <v>0</v>
      </c>
      <c r="Y3" s="62">
        <f>COUNTIFS('RESUMEN TOTAL'!C7:C504, "=BONOMO",'RESUMEN TOTAL'!AD7:AD504,"=APAGADO")</f>
        <v>0</v>
      </c>
      <c r="Z3" s="62">
        <f>COUNTIFS('RESUMEN TOTAL'!C7:C504, "=BONOMO",'RESUMEN TOTAL'!AE7:AE504,"=APAGADO")</f>
        <v>0</v>
      </c>
      <c r="AA3" s="62">
        <f>COUNTIFS('RESUMEN TOTAL'!C7:C504, "=BONOMO",'RESUMEN TOTAL'!AF7:AF504,"=APAGADO")</f>
        <v>0</v>
      </c>
      <c r="AB3" s="62">
        <f>COUNTIFS('RESUMEN TOTAL'!C7:C504, "=BONOMO",'RESUMEN TOTAL'!AG7:AG504,"=APAGADO")</f>
        <v>0</v>
      </c>
      <c r="AC3" s="62">
        <f>COUNTIFS('RESUMEN TOTAL'!C7:C504, "=BONOMO",'RESUMEN TOTAL'!AH7:AH504,"=APAGADO")</f>
        <v>0</v>
      </c>
      <c r="AD3" s="62">
        <f>COUNTIFS('RESUMEN TOTAL'!C7:C504, "=BONOMO",'RESUMEN TOTAL'!AI7:AI504,"=APAGADO")</f>
        <v>0</v>
      </c>
      <c r="AE3" s="62">
        <f>COUNTIFS('RESUMEN TOTAL'!C7:C504, "=BONOMO",'RESUMEN TOTAL'!AJ7:AJ504,"=APAGADO")</f>
        <v>0</v>
      </c>
      <c r="AF3" s="62">
        <f>COUNTIFS('RESUMEN TOTAL'!C7:C504, "=BONOMO",'RESUMEN TOTAL'!AK7:AK504,"=APAGADO")</f>
        <v>0</v>
      </c>
      <c r="AG3" s="62">
        <f>COUNTIFS('RESUMEN TOTAL'!C7:C504, "=BONOMO",'RESUMEN TOTAL'!AL7:AL504,"=APAGADO")</f>
        <v>0</v>
      </c>
      <c r="AH3" s="62">
        <f>COUNTIFS('RESUMEN TOTAL'!C7:C504, "=BONOMO",'RESUMEN TOTAL'!AM7:AM504,"=APAGADO")</f>
        <v>0</v>
      </c>
      <c r="AI3" s="62">
        <f>COUNTIFS('RESUMEN TOTAL'!C7:C504, "=BONOMO",'RESUMEN TOTAL'!AN7:AN504,"=APAGADO")</f>
        <v>0</v>
      </c>
    </row>
    <row r="4" spans="1:35" ht="16.5" thickTop="1" thickBot="1" x14ac:dyDescent="0.3">
      <c r="A4" s="65" t="s">
        <v>1160</v>
      </c>
      <c r="B4" s="55">
        <f>COUNTIFS('RESUMEN TOTAL'!C5:C503,"=COSEIDI")</f>
        <v>207</v>
      </c>
      <c r="D4" s="53"/>
      <c r="E4" s="51" t="s">
        <v>1171</v>
      </c>
      <c r="F4" s="67">
        <f t="shared" ref="F4:AI4" si="0">F3/BONOMOcam</f>
        <v>0.30263157894736842</v>
      </c>
      <c r="G4" s="68">
        <f t="shared" si="0"/>
        <v>0.31578947368421051</v>
      </c>
      <c r="H4" s="68">
        <f t="shared" si="0"/>
        <v>0.25877192982456143</v>
      </c>
      <c r="I4" s="68">
        <f t="shared" si="0"/>
        <v>0.24561403508771928</v>
      </c>
      <c r="J4" s="68">
        <f t="shared" si="0"/>
        <v>0.27631578947368424</v>
      </c>
      <c r="K4" s="68">
        <f t="shared" ref="K4" si="1">K3/BONOMOcam</f>
        <v>0.2807017543859649</v>
      </c>
      <c r="L4" s="68">
        <f t="shared" si="0"/>
        <v>0.28508771929824561</v>
      </c>
      <c r="M4" s="68">
        <f t="shared" ref="M4" si="2">M3/BONOMOcam</f>
        <v>0.2807017543859649</v>
      </c>
      <c r="N4" s="68">
        <f t="shared" si="0"/>
        <v>0.30701754385964913</v>
      </c>
      <c r="O4" s="68">
        <f t="shared" si="0"/>
        <v>0.32017543859649122</v>
      </c>
      <c r="P4" s="69">
        <f t="shared" si="0"/>
        <v>0</v>
      </c>
      <c r="Q4" s="69">
        <f t="shared" ref="Q4" si="3">Q3/BONOMOcam</f>
        <v>0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ref="V4" si="4">V3/BONOMOcam</f>
        <v>0</v>
      </c>
      <c r="W4" s="69">
        <f t="shared" si="0"/>
        <v>0</v>
      </c>
      <c r="X4" s="69">
        <f t="shared" si="0"/>
        <v>0</v>
      </c>
      <c r="Y4" s="69">
        <f t="shared" si="0"/>
        <v>0</v>
      </c>
      <c r="Z4" s="69">
        <f t="shared" si="0"/>
        <v>0</v>
      </c>
      <c r="AA4" s="69">
        <f t="shared" si="0"/>
        <v>0</v>
      </c>
      <c r="AB4" s="69">
        <f t="shared" si="0"/>
        <v>0</v>
      </c>
      <c r="AC4" s="69">
        <f t="shared" si="0"/>
        <v>0</v>
      </c>
      <c r="AD4" s="69">
        <f t="shared" si="0"/>
        <v>0</v>
      </c>
      <c r="AE4" s="69">
        <f t="shared" si="0"/>
        <v>0</v>
      </c>
      <c r="AF4" s="69">
        <f t="shared" si="0"/>
        <v>0</v>
      </c>
      <c r="AG4" s="69">
        <f t="shared" si="0"/>
        <v>0</v>
      </c>
      <c r="AH4" s="69">
        <f t="shared" si="0"/>
        <v>0</v>
      </c>
      <c r="AI4" s="69">
        <f t="shared" si="0"/>
        <v>0</v>
      </c>
    </row>
    <row r="5" spans="1:35" ht="16.5" thickTop="1" thickBot="1" x14ac:dyDescent="0.3">
      <c r="A5" s="56"/>
      <c r="B5" s="57"/>
      <c r="D5" s="52" t="s">
        <v>1160</v>
      </c>
      <c r="E5" s="63" t="s">
        <v>1170</v>
      </c>
      <c r="F5" s="64">
        <f>COUNTIFS('RESUMEN TOTAL'!C10:C424, "=COSEIDI",'RESUMEN TOTAL'!K10:K424,"=APAGADO")</f>
        <v>64</v>
      </c>
      <c r="G5" s="64">
        <f>COUNTIFS('RESUMEN TOTAL'!C10:C424, "=COSEIDI",'RESUMEN TOTAL'!L10:L424,"=APAGADO")</f>
        <v>39</v>
      </c>
      <c r="H5" s="64">
        <f>COUNTIFS('RESUMEN TOTAL'!C10:C424, "=COSEIDI",'RESUMEN TOTAL'!M10:M424,"=APAGADO")</f>
        <v>35</v>
      </c>
      <c r="I5" s="64">
        <f>COUNTIFS('RESUMEN TOTAL'!C10:C424, "=COSEIDI",'RESUMEN TOTAL'!N10:N424,"=APAGADO")</f>
        <v>36</v>
      </c>
      <c r="J5" s="64">
        <f>COUNTIFS('RESUMEN TOTAL'!C10:C424, "=COSEIDI",'RESUMEN TOTAL'!O10:O424,"=APAGADO")</f>
        <v>33</v>
      </c>
      <c r="K5" s="64">
        <f>COUNTIFS('RESUMEN TOTAL'!C10:C424, "=COSEIDI",'RESUMEN TOTAL'!P10:P424,"=APAGADO")</f>
        <v>14</v>
      </c>
      <c r="L5" s="64">
        <f>COUNTIFS('RESUMEN TOTAL'!C10:C424, "=COSEIDI",'RESUMEN TOTAL'!Q10:Q424,"=APAGADO")</f>
        <v>13</v>
      </c>
      <c r="M5" s="64">
        <f>COUNTIFS('RESUMEN TOTAL'!C10:C424, "=COSEIDI",'RESUMEN TOTAL'!R10:R424,"=APAGADO")</f>
        <v>15</v>
      </c>
      <c r="N5" s="64">
        <f>COUNTIFS('RESUMEN TOTAL'!C10:C424, "=COSEIDI",'RESUMEN TOTAL'!S10:S424,"=APAGADO")</f>
        <v>19</v>
      </c>
      <c r="O5" s="64">
        <f>COUNTIFS('RESUMEN TOTAL'!C10:C424, "=COSEIDI",'RESUMEN TOTAL'!T10:T424,"=APAGADO")</f>
        <v>23</v>
      </c>
      <c r="P5" s="64">
        <f>COUNTIFS('RESUMEN TOTAL'!C10:C424, "=COSEIDI",'RESUMEN TOTAL'!U10:U424,"=APAGADO")</f>
        <v>0</v>
      </c>
      <c r="Q5" s="64">
        <f>COUNTIFS('RESUMEN TOTAL'!C10:C424, "=COSEIDI",'RESUMEN TOTAL'!V10:V424,"=APAGADO")</f>
        <v>0</v>
      </c>
      <c r="R5" s="64">
        <f>COUNTIFS('RESUMEN TOTAL'!C10:C424, "=COSEIDI",'RESUMEN TOTAL'!W10:W424,"=APAGADO")</f>
        <v>0</v>
      </c>
      <c r="S5" s="64">
        <f>COUNTIFS('RESUMEN TOTAL'!C10:C424, "=COSEIDI",'RESUMEN TOTAL'!X10:X424,"=APAGADO")</f>
        <v>0</v>
      </c>
      <c r="T5" s="64">
        <f>COUNTIFS('RESUMEN TOTAL'!C10:C424, "=COSEIDI",'RESUMEN TOTAL'!Y10:Y424,"=APAGADO")</f>
        <v>0</v>
      </c>
      <c r="U5" s="64">
        <f>COUNTIFS('RESUMEN TOTAL'!C10:C424, "=COSEIDI",'RESUMEN TOTAL'!Z10:Z424,"=APAGADO")</f>
        <v>0</v>
      </c>
      <c r="V5" s="64">
        <f>COUNTIFS('RESUMEN TOTAL'!C10:C424, "=COSEIDI",'RESUMEN TOTAL'!AA10:AA424,"=APAGADO")</f>
        <v>0</v>
      </c>
      <c r="W5" s="64">
        <f>COUNTIFS('RESUMEN TOTAL'!C10:C424, "=COSEIDI",'RESUMEN TOTAL'!AB10:AB424,"=APAGADO")</f>
        <v>0</v>
      </c>
      <c r="X5" s="64">
        <f>COUNTIFS('RESUMEN TOTAL'!C10:C424, "=COSEIDI",'RESUMEN TOTAL'!AC10:AC424,"=APAGADO")</f>
        <v>0</v>
      </c>
      <c r="Y5" s="64">
        <f>COUNTIFS('RESUMEN TOTAL'!C10:C424, "=COSEIDI",'RESUMEN TOTAL'!AD10:AD424,"=APAGADO")</f>
        <v>0</v>
      </c>
      <c r="Z5" s="64">
        <f>COUNTIFS('RESUMEN TOTAL'!C10:C424, "=COSEIDI",'RESUMEN TOTAL'!AE10:AE424,"=APAGADO")</f>
        <v>0</v>
      </c>
      <c r="AA5" s="64">
        <f>COUNTIFS('RESUMEN TOTAL'!C10:C424, "=COSEIDI",'RESUMEN TOTAL'!AF10:AF424,"=APAGADO")</f>
        <v>0</v>
      </c>
      <c r="AB5" s="64">
        <f>COUNTIFS('RESUMEN TOTAL'!C10:C424, "=COSEIDI",'RESUMEN TOTAL'!AG10:AG424,"=APAGADO")</f>
        <v>0</v>
      </c>
      <c r="AC5" s="64">
        <f>COUNTIFS('RESUMEN TOTAL'!C10:C424, "=COSEIDI",'RESUMEN TOTAL'!AH10:AH424,"=APAGADO")</f>
        <v>0</v>
      </c>
      <c r="AD5" s="64">
        <f>COUNTIFS('RESUMEN TOTAL'!C10:C424, "=COSEIDI",'RESUMEN TOTAL'!AI10:AI424,"=APAGADO")</f>
        <v>0</v>
      </c>
      <c r="AE5" s="64">
        <f>COUNTIFS('RESUMEN TOTAL'!C10:C424, "=COSEIDI",'RESUMEN TOTAL'!AJ10:AJ424,"=APAGADO")</f>
        <v>0</v>
      </c>
      <c r="AF5" s="64">
        <f>COUNTIFS('RESUMEN TOTAL'!C10:C424, "=COSEIDI",'RESUMEN TOTAL'!AK10:AK424,"=APAGADO")</f>
        <v>0</v>
      </c>
      <c r="AG5" s="64">
        <f>COUNTIFS('RESUMEN TOTAL'!C10:C424, "=COSEIDI",'RESUMEN TOTAL'!AL10:AL424,"=APAGADO")</f>
        <v>0</v>
      </c>
      <c r="AH5" s="64">
        <f>COUNTIFS('RESUMEN TOTAL'!C10:C424, "=COSEIDI",'RESUMEN TOTAL'!AM10:AM424,"=APAGADO")</f>
        <v>0</v>
      </c>
      <c r="AI5" s="64">
        <f>COUNTIFS('RESUMEN TOTAL'!C10:C424, "=COSEIDI",'RESUMEN TOTAL'!AN10:AN424,"=APAGADO")</f>
        <v>0</v>
      </c>
    </row>
    <row r="6" spans="1:35" ht="16.5" thickTop="1" thickBot="1" x14ac:dyDescent="0.3">
      <c r="D6" s="53"/>
      <c r="E6" s="51" t="s">
        <v>1172</v>
      </c>
      <c r="F6" s="68">
        <f t="shared" ref="F6:AI6" si="5">F5/COSEIDIcam</f>
        <v>0.30917874396135264</v>
      </c>
      <c r="G6" s="68">
        <f t="shared" si="5"/>
        <v>0.18840579710144928</v>
      </c>
      <c r="H6" s="68">
        <f t="shared" si="5"/>
        <v>0.16908212560386474</v>
      </c>
      <c r="I6" s="68">
        <f t="shared" si="5"/>
        <v>0.17391304347826086</v>
      </c>
      <c r="J6" s="68">
        <f t="shared" si="5"/>
        <v>0.15942028985507245</v>
      </c>
      <c r="K6" s="68">
        <f t="shared" ref="K6" si="6">K5/COSEIDIcam</f>
        <v>6.7632850241545889E-2</v>
      </c>
      <c r="L6" s="68">
        <f t="shared" si="5"/>
        <v>6.280193236714976E-2</v>
      </c>
      <c r="M6" s="68">
        <f t="shared" ref="M6" si="7">M5/COSEIDIcam</f>
        <v>7.2463768115942032E-2</v>
      </c>
      <c r="N6" s="68">
        <f t="shared" si="5"/>
        <v>9.1787439613526575E-2</v>
      </c>
      <c r="O6" s="68">
        <f t="shared" si="5"/>
        <v>0.1111111111111111</v>
      </c>
      <c r="P6" s="68">
        <f t="shared" si="5"/>
        <v>0</v>
      </c>
      <c r="Q6" s="68">
        <f t="shared" ref="Q6" si="8">Q5/COSEIDIcam</f>
        <v>0</v>
      </c>
      <c r="R6" s="68">
        <f t="shared" si="5"/>
        <v>0</v>
      </c>
      <c r="S6" s="68">
        <f t="shared" si="5"/>
        <v>0</v>
      </c>
      <c r="T6" s="68">
        <f t="shared" si="5"/>
        <v>0</v>
      </c>
      <c r="U6" s="68">
        <f t="shared" si="5"/>
        <v>0</v>
      </c>
      <c r="V6" s="68">
        <f t="shared" ref="V6" si="9">V5/COSEIDIcam</f>
        <v>0</v>
      </c>
      <c r="W6" s="68">
        <f t="shared" si="5"/>
        <v>0</v>
      </c>
      <c r="X6" s="68">
        <f t="shared" si="5"/>
        <v>0</v>
      </c>
      <c r="Y6" s="68">
        <f t="shared" si="5"/>
        <v>0</v>
      </c>
      <c r="Z6" s="68">
        <f t="shared" si="5"/>
        <v>0</v>
      </c>
      <c r="AA6" s="68">
        <f t="shared" si="5"/>
        <v>0</v>
      </c>
      <c r="AB6" s="68">
        <f t="shared" si="5"/>
        <v>0</v>
      </c>
      <c r="AC6" s="68">
        <f t="shared" si="5"/>
        <v>0</v>
      </c>
      <c r="AD6" s="68">
        <f t="shared" si="5"/>
        <v>0</v>
      </c>
      <c r="AE6" s="68">
        <f t="shared" si="5"/>
        <v>0</v>
      </c>
      <c r="AF6" s="50">
        <f t="shared" si="5"/>
        <v>0</v>
      </c>
      <c r="AG6" s="50">
        <f t="shared" si="5"/>
        <v>0</v>
      </c>
      <c r="AH6" s="50">
        <f t="shared" si="5"/>
        <v>0</v>
      </c>
      <c r="AI6" s="50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1158</v>
      </c>
      <c r="E3" t="s">
        <v>9</v>
      </c>
      <c r="F3" s="39" t="s">
        <v>10</v>
      </c>
      <c r="G3" s="39" t="s">
        <v>11</v>
      </c>
    </row>
    <row r="4" spans="1:8" x14ac:dyDescent="0.25">
      <c r="A4" s="129">
        <v>1</v>
      </c>
      <c r="B4" t="s">
        <v>26</v>
      </c>
      <c r="C4" t="s">
        <v>29</v>
      </c>
      <c r="D4" t="s">
        <v>1159</v>
      </c>
      <c r="E4" t="s">
        <v>30</v>
      </c>
      <c r="F4" s="39" t="s">
        <v>19</v>
      </c>
      <c r="G4" s="39" t="s">
        <v>28</v>
      </c>
      <c r="H4" t="s">
        <v>625</v>
      </c>
    </row>
    <row r="5" spans="1:8" x14ac:dyDescent="0.25">
      <c r="A5" s="129">
        <v>2</v>
      </c>
      <c r="B5" t="s">
        <v>26</v>
      </c>
      <c r="C5" t="s">
        <v>31</v>
      </c>
      <c r="D5" t="s">
        <v>1159</v>
      </c>
      <c r="E5" t="s">
        <v>32</v>
      </c>
      <c r="F5" s="39" t="s">
        <v>19</v>
      </c>
      <c r="G5" s="39" t="s">
        <v>1152</v>
      </c>
      <c r="H5" t="s">
        <v>626</v>
      </c>
    </row>
    <row r="6" spans="1:8" x14ac:dyDescent="0.25">
      <c r="A6" s="129">
        <v>3</v>
      </c>
      <c r="B6" t="s">
        <v>26</v>
      </c>
      <c r="C6" t="s">
        <v>1004</v>
      </c>
      <c r="D6" t="s">
        <v>1159</v>
      </c>
      <c r="E6" t="s">
        <v>33</v>
      </c>
      <c r="F6" s="39" t="s">
        <v>19</v>
      </c>
      <c r="G6" s="39" t="s">
        <v>1151</v>
      </c>
      <c r="H6" t="s">
        <v>627</v>
      </c>
    </row>
    <row r="7" spans="1:8" x14ac:dyDescent="0.25">
      <c r="A7" s="129">
        <v>4</v>
      </c>
      <c r="B7" t="s">
        <v>26</v>
      </c>
      <c r="C7" t="s">
        <v>1005</v>
      </c>
      <c r="D7" t="s">
        <v>1159</v>
      </c>
      <c r="E7" t="s">
        <v>34</v>
      </c>
      <c r="F7" s="39" t="s">
        <v>19</v>
      </c>
      <c r="G7" s="39" t="s">
        <v>1151</v>
      </c>
      <c r="H7" t="s">
        <v>628</v>
      </c>
    </row>
    <row r="8" spans="1:8" x14ac:dyDescent="0.25">
      <c r="A8" s="129">
        <v>5</v>
      </c>
      <c r="B8" t="s">
        <v>26</v>
      </c>
      <c r="C8" t="s">
        <v>35</v>
      </c>
      <c r="D8" t="s">
        <v>1159</v>
      </c>
      <c r="E8" t="s">
        <v>36</v>
      </c>
      <c r="F8" s="39" t="s">
        <v>19</v>
      </c>
      <c r="G8" s="39" t="s">
        <v>1152</v>
      </c>
      <c r="H8" t="s">
        <v>629</v>
      </c>
    </row>
    <row r="9" spans="1:8" x14ac:dyDescent="0.25">
      <c r="A9" s="129">
        <v>6</v>
      </c>
      <c r="B9" t="s">
        <v>26</v>
      </c>
      <c r="C9" t="s">
        <v>1006</v>
      </c>
      <c r="D9" t="s">
        <v>1159</v>
      </c>
      <c r="E9" t="s">
        <v>27</v>
      </c>
      <c r="F9" s="39" t="s">
        <v>19</v>
      </c>
      <c r="G9" s="39" t="s">
        <v>1152</v>
      </c>
      <c r="H9" t="s">
        <v>630</v>
      </c>
    </row>
    <row r="10" spans="1:8" x14ac:dyDescent="0.25">
      <c r="A10" s="129">
        <v>7</v>
      </c>
      <c r="B10" t="s">
        <v>26</v>
      </c>
      <c r="C10" t="s">
        <v>37</v>
      </c>
      <c r="D10" t="s">
        <v>1159</v>
      </c>
      <c r="E10" t="s">
        <v>38</v>
      </c>
      <c r="F10" s="39" t="s">
        <v>15</v>
      </c>
      <c r="G10" s="39" t="s">
        <v>1152</v>
      </c>
      <c r="H10" t="s">
        <v>632</v>
      </c>
    </row>
    <row r="11" spans="1:8" x14ac:dyDescent="0.25">
      <c r="A11" s="129">
        <v>8</v>
      </c>
      <c r="B11" t="s">
        <v>26</v>
      </c>
      <c r="C11" t="s">
        <v>1007</v>
      </c>
      <c r="D11" t="s">
        <v>1159</v>
      </c>
      <c r="E11" t="s">
        <v>39</v>
      </c>
      <c r="F11" s="39" t="s">
        <v>15</v>
      </c>
      <c r="G11" s="39" t="s">
        <v>28</v>
      </c>
      <c r="H11" t="s">
        <v>633</v>
      </c>
    </row>
    <row r="12" spans="1:8" x14ac:dyDescent="0.25">
      <c r="A12" s="129">
        <v>9</v>
      </c>
      <c r="B12" t="s">
        <v>26</v>
      </c>
      <c r="C12" t="s">
        <v>1008</v>
      </c>
      <c r="D12" t="s">
        <v>1159</v>
      </c>
      <c r="E12" t="s">
        <v>40</v>
      </c>
      <c r="F12" s="39" t="s">
        <v>15</v>
      </c>
      <c r="G12" s="39" t="s">
        <v>28</v>
      </c>
      <c r="H12" t="s">
        <v>634</v>
      </c>
    </row>
    <row r="13" spans="1:8" x14ac:dyDescent="0.25">
      <c r="A13" s="129">
        <v>10</v>
      </c>
      <c r="B13" t="s">
        <v>26</v>
      </c>
      <c r="C13" t="s">
        <v>1009</v>
      </c>
      <c r="D13" t="s">
        <v>1159</v>
      </c>
      <c r="E13" t="s">
        <v>1010</v>
      </c>
      <c r="F13" s="39" t="s">
        <v>19</v>
      </c>
      <c r="G13" s="39" t="s">
        <v>20</v>
      </c>
    </row>
    <row r="14" spans="1:8" x14ac:dyDescent="0.25">
      <c r="A14" s="129">
        <v>11</v>
      </c>
      <c r="B14" t="s">
        <v>43</v>
      </c>
      <c r="C14" t="s">
        <v>1012</v>
      </c>
      <c r="D14" t="s">
        <v>1159</v>
      </c>
      <c r="E14" t="s">
        <v>44</v>
      </c>
      <c r="F14" s="39" t="s">
        <v>15</v>
      </c>
      <c r="G14" s="39" t="s">
        <v>1151</v>
      </c>
      <c r="H14" t="s">
        <v>636</v>
      </c>
    </row>
    <row r="15" spans="1:8" x14ac:dyDescent="0.25">
      <c r="A15" s="129">
        <v>12</v>
      </c>
      <c r="B15" t="s">
        <v>52</v>
      </c>
      <c r="C15" t="s">
        <v>1014</v>
      </c>
      <c r="D15" t="s">
        <v>1159</v>
      </c>
      <c r="E15" t="s">
        <v>89</v>
      </c>
      <c r="F15" s="39" t="s">
        <v>19</v>
      </c>
      <c r="G15" s="39" t="s">
        <v>28</v>
      </c>
      <c r="H15" t="s">
        <v>647</v>
      </c>
    </row>
    <row r="16" spans="1:8" x14ac:dyDescent="0.25">
      <c r="A16" s="129">
        <v>13</v>
      </c>
      <c r="B16" t="s">
        <v>52</v>
      </c>
      <c r="C16" t="s">
        <v>98</v>
      </c>
      <c r="D16" t="s">
        <v>1159</v>
      </c>
      <c r="E16" t="s">
        <v>99</v>
      </c>
      <c r="F16" s="39" t="s">
        <v>73</v>
      </c>
      <c r="G16" s="39" t="s">
        <v>28</v>
      </c>
      <c r="H16" t="s">
        <v>653</v>
      </c>
    </row>
    <row r="17" spans="1:8" x14ac:dyDescent="0.25">
      <c r="A17" s="129">
        <v>14</v>
      </c>
      <c r="B17" t="s">
        <v>52</v>
      </c>
      <c r="C17" t="s">
        <v>113</v>
      </c>
      <c r="D17" t="s">
        <v>1159</v>
      </c>
      <c r="E17" t="s">
        <v>1180</v>
      </c>
      <c r="F17" s="39" t="s">
        <v>19</v>
      </c>
      <c r="G17" s="39" t="s">
        <v>28</v>
      </c>
      <c r="H17" t="s">
        <v>661</v>
      </c>
    </row>
    <row r="18" spans="1:8" x14ac:dyDescent="0.25">
      <c r="A18" s="129">
        <v>15</v>
      </c>
      <c r="B18" t="s">
        <v>52</v>
      </c>
      <c r="C18" t="s">
        <v>115</v>
      </c>
      <c r="D18" t="s">
        <v>1159</v>
      </c>
      <c r="E18" t="s">
        <v>116</v>
      </c>
      <c r="F18" s="39" t="s">
        <v>19</v>
      </c>
      <c r="G18" s="39" t="s">
        <v>28</v>
      </c>
      <c r="H18" t="s">
        <v>663</v>
      </c>
    </row>
    <row r="19" spans="1:8" x14ac:dyDescent="0.25">
      <c r="A19" s="129">
        <v>16</v>
      </c>
      <c r="B19" t="s">
        <v>52</v>
      </c>
      <c r="C19" t="s">
        <v>119</v>
      </c>
      <c r="D19" t="s">
        <v>1159</v>
      </c>
      <c r="E19" t="s">
        <v>120</v>
      </c>
      <c r="F19" s="39" t="s">
        <v>19</v>
      </c>
      <c r="G19" s="39" t="s">
        <v>28</v>
      </c>
      <c r="H19" t="s">
        <v>665</v>
      </c>
    </row>
    <row r="20" spans="1:8" x14ac:dyDescent="0.25">
      <c r="A20" s="129">
        <v>17</v>
      </c>
      <c r="B20" t="s">
        <v>52</v>
      </c>
      <c r="C20" t="s">
        <v>121</v>
      </c>
      <c r="D20" t="s">
        <v>1159</v>
      </c>
      <c r="E20" t="s">
        <v>122</v>
      </c>
      <c r="F20" s="39" t="s">
        <v>19</v>
      </c>
      <c r="G20" s="39" t="s">
        <v>28</v>
      </c>
      <c r="H20" t="s">
        <v>666</v>
      </c>
    </row>
    <row r="21" spans="1:8" x14ac:dyDescent="0.25">
      <c r="A21" s="129">
        <v>18</v>
      </c>
      <c r="B21" t="s">
        <v>52</v>
      </c>
      <c r="C21" t="s">
        <v>126</v>
      </c>
      <c r="D21" t="s">
        <v>1159</v>
      </c>
      <c r="E21" t="s">
        <v>1163</v>
      </c>
      <c r="F21" s="39" t="s">
        <v>19</v>
      </c>
      <c r="G21" s="39" t="s">
        <v>28</v>
      </c>
      <c r="H21" t="s">
        <v>669</v>
      </c>
    </row>
    <row r="22" spans="1:8" x14ac:dyDescent="0.25">
      <c r="A22" s="129">
        <v>19</v>
      </c>
      <c r="B22" t="s">
        <v>52</v>
      </c>
      <c r="C22" t="s">
        <v>132</v>
      </c>
      <c r="D22" t="s">
        <v>1159</v>
      </c>
      <c r="E22" t="s">
        <v>133</v>
      </c>
      <c r="F22" s="39" t="s">
        <v>19</v>
      </c>
      <c r="G22" s="39" t="s">
        <v>28</v>
      </c>
      <c r="H22" t="s">
        <v>674</v>
      </c>
    </row>
    <row r="23" spans="1:8" x14ac:dyDescent="0.25">
      <c r="A23" s="129">
        <v>20</v>
      </c>
      <c r="B23" t="s">
        <v>52</v>
      </c>
      <c r="C23" t="s">
        <v>1019</v>
      </c>
      <c r="D23" t="s">
        <v>1159</v>
      </c>
      <c r="E23" t="s">
        <v>47</v>
      </c>
      <c r="F23" s="39" t="s">
        <v>19</v>
      </c>
      <c r="G23" s="39" t="s">
        <v>20</v>
      </c>
      <c r="H23" t="s">
        <v>688</v>
      </c>
    </row>
    <row r="24" spans="1:8" x14ac:dyDescent="0.25">
      <c r="A24" s="129">
        <v>21</v>
      </c>
      <c r="B24" t="s">
        <v>52</v>
      </c>
      <c r="C24" t="s">
        <v>50</v>
      </c>
      <c r="D24" t="s">
        <v>1159</v>
      </c>
      <c r="E24" t="s">
        <v>51</v>
      </c>
      <c r="F24" s="39" t="s">
        <v>19</v>
      </c>
      <c r="G24" s="39" t="s">
        <v>20</v>
      </c>
      <c r="H24" t="s">
        <v>690</v>
      </c>
    </row>
    <row r="25" spans="1:8" x14ac:dyDescent="0.25">
      <c r="A25" s="129">
        <v>22</v>
      </c>
      <c r="B25" t="s">
        <v>52</v>
      </c>
      <c r="C25" t="s">
        <v>62</v>
      </c>
      <c r="D25" t="s">
        <v>1159</v>
      </c>
      <c r="E25" t="s">
        <v>63</v>
      </c>
      <c r="F25" s="39" t="s">
        <v>15</v>
      </c>
      <c r="G25" s="39" t="s">
        <v>20</v>
      </c>
      <c r="H25" t="s">
        <v>696</v>
      </c>
    </row>
    <row r="26" spans="1:8" x14ac:dyDescent="0.25">
      <c r="A26" s="129">
        <v>23</v>
      </c>
      <c r="B26" t="s">
        <v>52</v>
      </c>
      <c r="C26" t="s">
        <v>1025</v>
      </c>
      <c r="D26" t="s">
        <v>1159</v>
      </c>
      <c r="E26" t="s">
        <v>1183</v>
      </c>
      <c r="F26" s="39" t="s">
        <v>15</v>
      </c>
      <c r="G26" s="39" t="s">
        <v>1152</v>
      </c>
      <c r="H26" t="s">
        <v>697</v>
      </c>
    </row>
    <row r="27" spans="1:8" x14ac:dyDescent="0.25">
      <c r="A27" s="129">
        <v>24</v>
      </c>
      <c r="B27" t="s">
        <v>52</v>
      </c>
      <c r="C27" t="s">
        <v>155</v>
      </c>
      <c r="D27" t="s">
        <v>1159</v>
      </c>
      <c r="E27" t="s">
        <v>156</v>
      </c>
      <c r="F27" s="39" t="s">
        <v>46</v>
      </c>
      <c r="G27" s="39" t="s">
        <v>28</v>
      </c>
      <c r="H27" t="s">
        <v>699</v>
      </c>
    </row>
    <row r="28" spans="1:8" x14ac:dyDescent="0.25">
      <c r="A28" s="129">
        <v>25</v>
      </c>
      <c r="B28" t="s">
        <v>52</v>
      </c>
      <c r="C28" t="s">
        <v>1020</v>
      </c>
      <c r="D28" t="s">
        <v>1159</v>
      </c>
      <c r="E28" t="s">
        <v>157</v>
      </c>
      <c r="F28" s="39" t="s">
        <v>46</v>
      </c>
      <c r="G28" s="39" t="s">
        <v>28</v>
      </c>
      <c r="H28" t="s">
        <v>1155</v>
      </c>
    </row>
    <row r="29" spans="1:8" x14ac:dyDescent="0.25">
      <c r="A29" s="129">
        <v>26</v>
      </c>
      <c r="B29" t="s">
        <v>52</v>
      </c>
      <c r="C29" t="s">
        <v>69</v>
      </c>
      <c r="D29" t="s">
        <v>1159</v>
      </c>
      <c r="E29" t="s">
        <v>70</v>
      </c>
      <c r="F29" s="39" t="s">
        <v>19</v>
      </c>
      <c r="G29" s="39" t="s">
        <v>28</v>
      </c>
      <c r="H29" t="s">
        <v>709</v>
      </c>
    </row>
    <row r="30" spans="1:8" x14ac:dyDescent="0.25">
      <c r="A30" s="129">
        <v>27</v>
      </c>
      <c r="B30" t="s">
        <v>52</v>
      </c>
      <c r="C30" s="39" t="s">
        <v>1216</v>
      </c>
      <c r="D30" s="39" t="s">
        <v>1159</v>
      </c>
      <c r="E30" t="s">
        <v>122</v>
      </c>
      <c r="F30" s="39" t="s">
        <v>73</v>
      </c>
      <c r="G30" s="39" t="s">
        <v>28</v>
      </c>
      <c r="H30" t="s">
        <v>1217</v>
      </c>
    </row>
    <row r="31" spans="1:8" x14ac:dyDescent="0.25">
      <c r="A31" s="129">
        <v>28</v>
      </c>
      <c r="B31" t="s">
        <v>171</v>
      </c>
      <c r="C31" t="s">
        <v>172</v>
      </c>
      <c r="D31" t="s">
        <v>1159</v>
      </c>
      <c r="E31" t="s">
        <v>173</v>
      </c>
      <c r="F31" s="39" t="s">
        <v>19</v>
      </c>
      <c r="G31" s="39" t="s">
        <v>20</v>
      </c>
      <c r="H31" t="s">
        <v>713</v>
      </c>
    </row>
    <row r="32" spans="1:8" x14ac:dyDescent="0.25">
      <c r="A32" s="129">
        <v>29</v>
      </c>
      <c r="B32" t="s">
        <v>101</v>
      </c>
      <c r="C32" t="s">
        <v>251</v>
      </c>
      <c r="D32" t="s">
        <v>1159</v>
      </c>
      <c r="E32" t="s">
        <v>252</v>
      </c>
      <c r="F32" s="39" t="s">
        <v>15</v>
      </c>
      <c r="G32" s="39" t="s">
        <v>1152</v>
      </c>
      <c r="H32" t="s">
        <v>757</v>
      </c>
    </row>
    <row r="33" spans="1:8" x14ac:dyDescent="0.25">
      <c r="A33" s="129">
        <v>30</v>
      </c>
      <c r="B33" t="s">
        <v>270</v>
      </c>
      <c r="C33" t="s">
        <v>1050</v>
      </c>
      <c r="D33" t="s">
        <v>1159</v>
      </c>
      <c r="E33" t="s">
        <v>275</v>
      </c>
      <c r="F33" s="39" t="s">
        <v>73</v>
      </c>
      <c r="G33" s="39" t="s">
        <v>28</v>
      </c>
      <c r="H33" t="s">
        <v>769</v>
      </c>
    </row>
    <row r="34" spans="1:8" x14ac:dyDescent="0.25">
      <c r="A34" s="129">
        <v>31</v>
      </c>
      <c r="B34" t="s">
        <v>270</v>
      </c>
      <c r="C34" t="s">
        <v>1051</v>
      </c>
      <c r="D34" t="s">
        <v>1159</v>
      </c>
      <c r="E34" t="s">
        <v>1185</v>
      </c>
      <c r="F34" s="39" t="s">
        <v>19</v>
      </c>
      <c r="G34" s="39" t="s">
        <v>28</v>
      </c>
      <c r="H34" t="s">
        <v>773</v>
      </c>
    </row>
    <row r="35" spans="1:8" x14ac:dyDescent="0.25">
      <c r="A35" s="129">
        <v>32</v>
      </c>
      <c r="B35" t="s">
        <v>270</v>
      </c>
      <c r="C35" t="s">
        <v>1052</v>
      </c>
      <c r="D35" t="s">
        <v>1159</v>
      </c>
      <c r="E35" t="s">
        <v>282</v>
      </c>
      <c r="F35" s="39" t="s">
        <v>19</v>
      </c>
      <c r="G35" s="39" t="s">
        <v>28</v>
      </c>
      <c r="H35" t="s">
        <v>774</v>
      </c>
    </row>
    <row r="36" spans="1:8" x14ac:dyDescent="0.25">
      <c r="A36" s="129">
        <v>33</v>
      </c>
      <c r="B36" t="s">
        <v>270</v>
      </c>
      <c r="C36" t="s">
        <v>1053</v>
      </c>
      <c r="D36" t="s">
        <v>1159</v>
      </c>
      <c r="E36" t="s">
        <v>285</v>
      </c>
      <c r="F36" s="39" t="s">
        <v>73</v>
      </c>
      <c r="G36" s="39" t="s">
        <v>28</v>
      </c>
      <c r="H36" t="s">
        <v>776</v>
      </c>
    </row>
    <row r="37" spans="1:8" x14ac:dyDescent="0.25">
      <c r="A37" s="129">
        <v>34</v>
      </c>
      <c r="B37" t="s">
        <v>270</v>
      </c>
      <c r="C37" t="s">
        <v>1054</v>
      </c>
      <c r="D37" t="s">
        <v>1159</v>
      </c>
      <c r="E37" t="s">
        <v>285</v>
      </c>
      <c r="F37" s="39" t="s">
        <v>73</v>
      </c>
      <c r="G37" s="39" t="s">
        <v>28</v>
      </c>
      <c r="H37" t="s">
        <v>777</v>
      </c>
    </row>
    <row r="38" spans="1:8" x14ac:dyDescent="0.25">
      <c r="A38" s="129">
        <v>35</v>
      </c>
      <c r="B38" t="s">
        <v>270</v>
      </c>
      <c r="C38" t="s">
        <v>1055</v>
      </c>
      <c r="D38" t="s">
        <v>1159</v>
      </c>
      <c r="E38" t="s">
        <v>266</v>
      </c>
      <c r="F38" s="39" t="s">
        <v>46</v>
      </c>
      <c r="G38" s="39" t="s">
        <v>1151</v>
      </c>
      <c r="H38" t="s">
        <v>765</v>
      </c>
    </row>
    <row r="39" spans="1:8" x14ac:dyDescent="0.25">
      <c r="A39" s="129">
        <v>36</v>
      </c>
      <c r="B39" t="s">
        <v>270</v>
      </c>
      <c r="C39" t="s">
        <v>271</v>
      </c>
      <c r="D39" t="s">
        <v>1159</v>
      </c>
      <c r="E39" t="s">
        <v>272</v>
      </c>
      <c r="F39" s="39" t="s">
        <v>73</v>
      </c>
      <c r="G39" s="39" t="s">
        <v>28</v>
      </c>
      <c r="H39" t="s">
        <v>767</v>
      </c>
    </row>
    <row r="40" spans="1:8" x14ac:dyDescent="0.25">
      <c r="A40" s="129">
        <v>37</v>
      </c>
      <c r="B40" t="s">
        <v>267</v>
      </c>
      <c r="C40" t="s">
        <v>276</v>
      </c>
      <c r="D40" t="s">
        <v>1159</v>
      </c>
      <c r="E40" t="s">
        <v>277</v>
      </c>
      <c r="F40" s="39" t="s">
        <v>19</v>
      </c>
      <c r="G40" s="39" t="s">
        <v>28</v>
      </c>
      <c r="H40" t="s">
        <v>770</v>
      </c>
    </row>
    <row r="41" spans="1:8" x14ac:dyDescent="0.25">
      <c r="A41" s="129">
        <v>38</v>
      </c>
      <c r="B41" t="s">
        <v>270</v>
      </c>
      <c r="C41" t="s">
        <v>278</v>
      </c>
      <c r="D41" t="s">
        <v>1159</v>
      </c>
      <c r="E41" t="s">
        <v>279</v>
      </c>
      <c r="F41" s="39" t="s">
        <v>19</v>
      </c>
      <c r="G41" s="39" t="s">
        <v>28</v>
      </c>
      <c r="H41" t="s">
        <v>771</v>
      </c>
    </row>
    <row r="42" spans="1:8" x14ac:dyDescent="0.25">
      <c r="A42" s="129">
        <v>39</v>
      </c>
      <c r="B42" t="s">
        <v>270</v>
      </c>
      <c r="C42" t="s">
        <v>280</v>
      </c>
      <c r="D42" t="s">
        <v>1159</v>
      </c>
      <c r="E42" t="s">
        <v>281</v>
      </c>
      <c r="F42" s="39" t="s">
        <v>19</v>
      </c>
      <c r="G42" s="39" t="s">
        <v>28</v>
      </c>
      <c r="H42" t="s">
        <v>772</v>
      </c>
    </row>
    <row r="43" spans="1:8" x14ac:dyDescent="0.25">
      <c r="A43" s="129">
        <v>40</v>
      </c>
      <c r="B43" t="s">
        <v>270</v>
      </c>
      <c r="C43" t="s">
        <v>283</v>
      </c>
      <c r="D43" t="s">
        <v>1159</v>
      </c>
      <c r="E43" t="s">
        <v>284</v>
      </c>
      <c r="F43" s="39" t="s">
        <v>19</v>
      </c>
      <c r="G43" s="39" t="s">
        <v>1151</v>
      </c>
      <c r="H43" t="s">
        <v>775</v>
      </c>
    </row>
    <row r="44" spans="1:8" x14ac:dyDescent="0.25">
      <c r="A44" s="129">
        <v>41</v>
      </c>
      <c r="B44" t="s">
        <v>270</v>
      </c>
      <c r="C44" t="s">
        <v>286</v>
      </c>
      <c r="D44" t="s">
        <v>1159</v>
      </c>
      <c r="E44" t="s">
        <v>287</v>
      </c>
      <c r="F44" s="39" t="s">
        <v>15</v>
      </c>
      <c r="G44" s="39" t="s">
        <v>28</v>
      </c>
      <c r="H44" t="s">
        <v>778</v>
      </c>
    </row>
    <row r="45" spans="1:8" x14ac:dyDescent="0.25">
      <c r="A45" s="129">
        <v>42</v>
      </c>
      <c r="B45" t="s">
        <v>290</v>
      </c>
      <c r="C45" t="s">
        <v>1056</v>
      </c>
      <c r="D45" t="s">
        <v>1159</v>
      </c>
      <c r="E45" t="s">
        <v>1186</v>
      </c>
      <c r="F45" s="39" t="s">
        <v>19</v>
      </c>
      <c r="G45" s="39" t="s">
        <v>20</v>
      </c>
      <c r="H45" t="s">
        <v>779</v>
      </c>
    </row>
    <row r="46" spans="1:8" x14ac:dyDescent="0.25">
      <c r="A46" s="129">
        <v>43</v>
      </c>
      <c r="B46" t="s">
        <v>293</v>
      </c>
      <c r="C46" t="s">
        <v>1061</v>
      </c>
      <c r="D46" t="s">
        <v>1159</v>
      </c>
      <c r="E46" t="s">
        <v>294</v>
      </c>
      <c r="F46" s="39" t="s">
        <v>73</v>
      </c>
      <c r="G46" s="39" t="s">
        <v>28</v>
      </c>
      <c r="H46" t="s">
        <v>785</v>
      </c>
    </row>
    <row r="47" spans="1:8" x14ac:dyDescent="0.25">
      <c r="A47" s="129">
        <v>44</v>
      </c>
      <c r="B47" t="s">
        <v>270</v>
      </c>
      <c r="C47" t="s">
        <v>295</v>
      </c>
      <c r="D47" t="s">
        <v>1159</v>
      </c>
      <c r="E47" t="s">
        <v>296</v>
      </c>
      <c r="F47" s="39" t="s">
        <v>73</v>
      </c>
      <c r="G47" s="39" t="s">
        <v>28</v>
      </c>
      <c r="H47" t="s">
        <v>1156</v>
      </c>
    </row>
    <row r="48" spans="1:8" x14ac:dyDescent="0.25">
      <c r="A48" s="129">
        <v>45</v>
      </c>
      <c r="B48" t="s">
        <v>297</v>
      </c>
      <c r="C48" t="s">
        <v>1062</v>
      </c>
      <c r="D48" t="s">
        <v>1159</v>
      </c>
      <c r="E48" t="s">
        <v>298</v>
      </c>
      <c r="F48" s="39" t="s">
        <v>19</v>
      </c>
      <c r="G48" s="39" t="s">
        <v>28</v>
      </c>
      <c r="H48" t="s">
        <v>786</v>
      </c>
    </row>
    <row r="49" spans="1:8" x14ac:dyDescent="0.25">
      <c r="A49" s="129">
        <v>46</v>
      </c>
      <c r="B49" t="s">
        <v>293</v>
      </c>
      <c r="C49" t="s">
        <v>299</v>
      </c>
      <c r="D49" t="s">
        <v>1159</v>
      </c>
      <c r="E49" t="s">
        <v>300</v>
      </c>
      <c r="F49" s="39" t="s">
        <v>19</v>
      </c>
      <c r="G49" s="39" t="s">
        <v>1151</v>
      </c>
      <c r="H49" t="s">
        <v>787</v>
      </c>
    </row>
    <row r="50" spans="1:8" x14ac:dyDescent="0.25">
      <c r="A50" s="129">
        <v>47</v>
      </c>
      <c r="B50" t="s">
        <v>297</v>
      </c>
      <c r="C50" t="s">
        <v>1063</v>
      </c>
      <c r="D50" t="s">
        <v>1159</v>
      </c>
      <c r="E50" t="s">
        <v>301</v>
      </c>
      <c r="F50" s="39" t="s">
        <v>19</v>
      </c>
      <c r="G50" s="39" t="s">
        <v>1151</v>
      </c>
      <c r="H50" t="s">
        <v>788</v>
      </c>
    </row>
    <row r="51" spans="1:8" x14ac:dyDescent="0.25">
      <c r="A51" s="129">
        <v>48</v>
      </c>
      <c r="B51" t="s">
        <v>297</v>
      </c>
      <c r="C51" t="s">
        <v>302</v>
      </c>
      <c r="D51" t="s">
        <v>1159</v>
      </c>
      <c r="E51" t="s">
        <v>303</v>
      </c>
      <c r="F51" s="39" t="s">
        <v>15</v>
      </c>
      <c r="G51" s="39" t="s">
        <v>1151</v>
      </c>
      <c r="H51" t="s">
        <v>789</v>
      </c>
    </row>
    <row r="52" spans="1:8" x14ac:dyDescent="0.25">
      <c r="A52" s="129">
        <v>49</v>
      </c>
      <c r="B52" t="s">
        <v>304</v>
      </c>
      <c r="C52" t="s">
        <v>311</v>
      </c>
      <c r="D52" t="s">
        <v>1159</v>
      </c>
      <c r="E52" t="s">
        <v>312</v>
      </c>
      <c r="F52" s="39" t="s">
        <v>19</v>
      </c>
      <c r="G52" s="39" t="s">
        <v>20</v>
      </c>
      <c r="H52" t="s">
        <v>793</v>
      </c>
    </row>
    <row r="53" spans="1:8" x14ac:dyDescent="0.25">
      <c r="A53" s="129">
        <v>50</v>
      </c>
      <c r="B53" t="s">
        <v>323</v>
      </c>
      <c r="C53" t="s">
        <v>324</v>
      </c>
      <c r="D53" t="s">
        <v>1159</v>
      </c>
      <c r="E53" t="s">
        <v>325</v>
      </c>
      <c r="F53" s="39" t="s">
        <v>19</v>
      </c>
      <c r="G53" s="39" t="s">
        <v>20</v>
      </c>
      <c r="H53" t="s">
        <v>1157</v>
      </c>
    </row>
    <row r="54" spans="1:8" x14ac:dyDescent="0.25">
      <c r="A54" s="129">
        <v>51</v>
      </c>
      <c r="B54" t="s">
        <v>313</v>
      </c>
      <c r="C54" t="s">
        <v>330</v>
      </c>
      <c r="D54" t="s">
        <v>1159</v>
      </c>
      <c r="E54" t="s">
        <v>331</v>
      </c>
      <c r="F54" s="39" t="s">
        <v>15</v>
      </c>
      <c r="G54" s="39" t="s">
        <v>28</v>
      </c>
      <c r="H54" t="s">
        <v>801</v>
      </c>
    </row>
    <row r="55" spans="1:8" x14ac:dyDescent="0.25">
      <c r="A55" s="129">
        <v>52</v>
      </c>
      <c r="B55" t="s">
        <v>187</v>
      </c>
      <c r="C55" t="s">
        <v>1068</v>
      </c>
      <c r="D55" t="s">
        <v>1159</v>
      </c>
      <c r="E55" t="s">
        <v>1069</v>
      </c>
      <c r="F55" s="39" t="s">
        <v>73</v>
      </c>
      <c r="G55" s="39" t="s">
        <v>28</v>
      </c>
    </row>
    <row r="56" spans="1:8" x14ac:dyDescent="0.25">
      <c r="A56" s="129">
        <v>53</v>
      </c>
      <c r="B56" t="s">
        <v>267</v>
      </c>
      <c r="C56" t="s">
        <v>388</v>
      </c>
      <c r="D56" t="s">
        <v>1159</v>
      </c>
      <c r="E56" t="s">
        <v>389</v>
      </c>
      <c r="F56" s="39" t="s">
        <v>19</v>
      </c>
      <c r="G56" s="39" t="s">
        <v>28</v>
      </c>
      <c r="H56" t="s">
        <v>839</v>
      </c>
    </row>
    <row r="57" spans="1:8" x14ac:dyDescent="0.25">
      <c r="A57" s="129">
        <v>54</v>
      </c>
      <c r="B57" t="s">
        <v>267</v>
      </c>
      <c r="C57" t="s">
        <v>1099</v>
      </c>
      <c r="D57" t="s">
        <v>1159</v>
      </c>
      <c r="E57" t="s">
        <v>341</v>
      </c>
      <c r="F57" s="39" t="s">
        <v>73</v>
      </c>
      <c r="G57" s="39" t="s">
        <v>28</v>
      </c>
      <c r="H57" t="s">
        <v>807</v>
      </c>
    </row>
    <row r="58" spans="1:8" x14ac:dyDescent="0.25">
      <c r="A58" s="129">
        <v>55</v>
      </c>
      <c r="B58" t="s">
        <v>267</v>
      </c>
      <c r="C58" t="s">
        <v>1100</v>
      </c>
      <c r="D58" t="s">
        <v>1159</v>
      </c>
      <c r="E58" t="s">
        <v>341</v>
      </c>
      <c r="F58" s="39" t="s">
        <v>73</v>
      </c>
      <c r="G58" s="39" t="s">
        <v>28</v>
      </c>
      <c r="H58" t="s">
        <v>808</v>
      </c>
    </row>
    <row r="59" spans="1:8" x14ac:dyDescent="0.25">
      <c r="A59" s="129">
        <v>56</v>
      </c>
      <c r="B59" t="s">
        <v>390</v>
      </c>
      <c r="C59" t="s">
        <v>391</v>
      </c>
      <c r="D59" t="s">
        <v>1159</v>
      </c>
      <c r="E59" t="s">
        <v>392</v>
      </c>
      <c r="F59" s="39" t="s">
        <v>19</v>
      </c>
      <c r="G59" s="39" t="s">
        <v>28</v>
      </c>
      <c r="H59" t="s">
        <v>840</v>
      </c>
    </row>
    <row r="60" spans="1:8" x14ac:dyDescent="0.25">
      <c r="A60" s="129">
        <v>57</v>
      </c>
      <c r="B60" t="s">
        <v>297</v>
      </c>
      <c r="C60" t="s">
        <v>1105</v>
      </c>
      <c r="D60" t="s">
        <v>1159</v>
      </c>
      <c r="E60" t="s">
        <v>400</v>
      </c>
      <c r="F60" s="39" t="s">
        <v>19</v>
      </c>
      <c r="G60" s="39" t="s">
        <v>1151</v>
      </c>
      <c r="H60" t="s">
        <v>846</v>
      </c>
    </row>
    <row r="61" spans="1:8" x14ac:dyDescent="0.25">
      <c r="A61" s="129">
        <v>58</v>
      </c>
      <c r="B61" t="s">
        <v>267</v>
      </c>
      <c r="C61" t="s">
        <v>1127</v>
      </c>
      <c r="D61" t="s">
        <v>1159</v>
      </c>
      <c r="E61" t="s">
        <v>504</v>
      </c>
      <c r="F61" s="39" t="s">
        <v>19</v>
      </c>
      <c r="G61" s="39" t="s">
        <v>1152</v>
      </c>
      <c r="H61" t="s">
        <v>908</v>
      </c>
    </row>
    <row r="62" spans="1:8" x14ac:dyDescent="0.25">
      <c r="A62" s="129">
        <v>59</v>
      </c>
      <c r="B62" t="s">
        <v>486</v>
      </c>
      <c r="C62" t="s">
        <v>487</v>
      </c>
      <c r="D62" t="s">
        <v>1159</v>
      </c>
      <c r="E62" t="s">
        <v>488</v>
      </c>
      <c r="F62" s="39" t="s">
        <v>19</v>
      </c>
      <c r="G62" s="39" t="s">
        <v>1152</v>
      </c>
      <c r="H62" t="s">
        <v>900</v>
      </c>
    </row>
    <row r="63" spans="1:8" x14ac:dyDescent="0.25">
      <c r="A63" s="129">
        <v>60</v>
      </c>
      <c r="B63" t="s">
        <v>486</v>
      </c>
      <c r="C63" t="s">
        <v>494</v>
      </c>
      <c r="D63" t="s">
        <v>1159</v>
      </c>
      <c r="E63" t="s">
        <v>495</v>
      </c>
      <c r="F63" s="39" t="s">
        <v>15</v>
      </c>
      <c r="G63" s="39" t="s">
        <v>28</v>
      </c>
      <c r="H63" t="s">
        <v>903</v>
      </c>
    </row>
    <row r="64" spans="1:8" x14ac:dyDescent="0.25">
      <c r="A64" s="129">
        <v>61</v>
      </c>
      <c r="B64" t="s">
        <v>486</v>
      </c>
      <c r="C64" t="s">
        <v>496</v>
      </c>
      <c r="D64" t="s">
        <v>1159</v>
      </c>
      <c r="E64" t="s">
        <v>497</v>
      </c>
      <c r="F64" s="39" t="s">
        <v>19</v>
      </c>
      <c r="G64" s="39" t="s">
        <v>28</v>
      </c>
      <c r="H64" t="s">
        <v>904</v>
      </c>
    </row>
    <row r="65" spans="1:8" x14ac:dyDescent="0.25">
      <c r="A65" s="129">
        <v>62</v>
      </c>
      <c r="B65" t="s">
        <v>486</v>
      </c>
      <c r="C65" t="s">
        <v>498</v>
      </c>
      <c r="D65" t="s">
        <v>1159</v>
      </c>
      <c r="E65" t="s">
        <v>499</v>
      </c>
      <c r="F65" s="39" t="s">
        <v>15</v>
      </c>
      <c r="G65" s="39" t="s">
        <v>28</v>
      </c>
      <c r="H65" t="s">
        <v>905</v>
      </c>
    </row>
    <row r="66" spans="1:8" x14ac:dyDescent="0.25">
      <c r="A66" s="129">
        <v>63</v>
      </c>
      <c r="B66" t="s">
        <v>486</v>
      </c>
      <c r="C66" t="s">
        <v>500</v>
      </c>
      <c r="D66" t="s">
        <v>1159</v>
      </c>
      <c r="E66" t="s">
        <v>501</v>
      </c>
      <c r="F66" s="39" t="s">
        <v>19</v>
      </c>
      <c r="G66" s="39" t="s">
        <v>28</v>
      </c>
      <c r="H66" t="s">
        <v>906</v>
      </c>
    </row>
    <row r="67" spans="1:8" x14ac:dyDescent="0.25">
      <c r="A67" s="129">
        <v>64</v>
      </c>
      <c r="B67" t="s">
        <v>486</v>
      </c>
      <c r="C67" t="s">
        <v>502</v>
      </c>
      <c r="D67" t="s">
        <v>1159</v>
      </c>
      <c r="E67" t="s">
        <v>503</v>
      </c>
      <c r="F67" s="39" t="s">
        <v>19</v>
      </c>
      <c r="G67" s="39" t="s">
        <v>1152</v>
      </c>
      <c r="H67" t="s">
        <v>907</v>
      </c>
    </row>
    <row r="68" spans="1:8" x14ac:dyDescent="0.25">
      <c r="A68" s="129">
        <v>65</v>
      </c>
      <c r="B68" t="s">
        <v>522</v>
      </c>
      <c r="C68" t="s">
        <v>543</v>
      </c>
      <c r="D68" t="s">
        <v>1159</v>
      </c>
      <c r="E68" t="s">
        <v>1166</v>
      </c>
      <c r="F68" s="39"/>
      <c r="G68" s="39" t="s">
        <v>1152</v>
      </c>
      <c r="H68" t="s">
        <v>926</v>
      </c>
    </row>
    <row r="69" spans="1:8" x14ac:dyDescent="0.25">
      <c r="A69" s="129">
        <v>66</v>
      </c>
      <c r="B69" t="s">
        <v>522</v>
      </c>
      <c r="C69" t="s">
        <v>553</v>
      </c>
      <c r="D69" t="s">
        <v>1159</v>
      </c>
      <c r="E69" t="s">
        <v>554</v>
      </c>
      <c r="F69" s="39" t="s">
        <v>73</v>
      </c>
      <c r="G69" s="39" t="s">
        <v>28</v>
      </c>
      <c r="H69" t="s">
        <v>701</v>
      </c>
    </row>
    <row r="70" spans="1:8" x14ac:dyDescent="0.25">
      <c r="A70" s="129">
        <v>67</v>
      </c>
      <c r="B70" t="s">
        <v>522</v>
      </c>
      <c r="C70" t="s">
        <v>555</v>
      </c>
      <c r="D70" t="s">
        <v>1159</v>
      </c>
      <c r="E70" t="s">
        <v>554</v>
      </c>
      <c r="F70" s="39" t="s">
        <v>73</v>
      </c>
      <c r="G70" s="39" t="s">
        <v>28</v>
      </c>
      <c r="H70" t="s">
        <v>942</v>
      </c>
    </row>
    <row r="73" spans="1:8" ht="30" x14ac:dyDescent="0.25">
      <c r="B73" t="s">
        <v>7</v>
      </c>
      <c r="C73" s="39" t="s">
        <v>8</v>
      </c>
      <c r="D73" s="47" t="s">
        <v>1158</v>
      </c>
      <c r="E73" t="s">
        <v>9</v>
      </c>
      <c r="F73" s="39" t="s">
        <v>10</v>
      </c>
      <c r="G73" s="39" t="s">
        <v>11</v>
      </c>
    </row>
    <row r="74" spans="1:8" x14ac:dyDescent="0.25">
      <c r="A74" s="129">
        <v>1</v>
      </c>
      <c r="B74" t="s">
        <v>194</v>
      </c>
      <c r="C74" t="s">
        <v>197</v>
      </c>
      <c r="D74" t="s">
        <v>1160</v>
      </c>
      <c r="E74" t="s">
        <v>198</v>
      </c>
      <c r="F74" s="39" t="s">
        <v>19</v>
      </c>
      <c r="G74" s="39" t="s">
        <v>20</v>
      </c>
      <c r="H74" t="s">
        <v>726</v>
      </c>
    </row>
    <row r="75" spans="1:8" x14ac:dyDescent="0.25">
      <c r="A75" s="129">
        <v>2</v>
      </c>
      <c r="B75" t="s">
        <v>232</v>
      </c>
      <c r="C75" t="s">
        <v>288</v>
      </c>
      <c r="D75" t="s">
        <v>1160</v>
      </c>
      <c r="E75" t="s">
        <v>289</v>
      </c>
      <c r="F75" s="39" t="s">
        <v>15</v>
      </c>
      <c r="G75" s="39" t="s">
        <v>28</v>
      </c>
      <c r="H75" t="s">
        <v>1162</v>
      </c>
    </row>
    <row r="76" spans="1:8" x14ac:dyDescent="0.25">
      <c r="A76" s="129">
        <v>3</v>
      </c>
      <c r="B76" t="s">
        <v>12</v>
      </c>
      <c r="C76" s="45" t="s">
        <v>13</v>
      </c>
      <c r="D76" t="s">
        <v>1160</v>
      </c>
      <c r="E76" t="s">
        <v>14</v>
      </c>
      <c r="F76" s="39" t="s">
        <v>15</v>
      </c>
      <c r="G76" s="39" t="s">
        <v>1151</v>
      </c>
      <c r="H76" t="s">
        <v>781</v>
      </c>
    </row>
    <row r="77" spans="1:8" x14ac:dyDescent="0.25">
      <c r="A77" s="129">
        <v>4</v>
      </c>
      <c r="B77" t="s">
        <v>17</v>
      </c>
      <c r="C77" s="45" t="s">
        <v>24</v>
      </c>
      <c r="D77" t="s">
        <v>1160</v>
      </c>
      <c r="E77" t="s">
        <v>25</v>
      </c>
      <c r="F77" s="39" t="s">
        <v>15</v>
      </c>
      <c r="G77" s="39" t="s">
        <v>20</v>
      </c>
      <c r="H77" t="s">
        <v>784</v>
      </c>
    </row>
    <row r="78" spans="1:8" x14ac:dyDescent="0.25">
      <c r="A78" s="129">
        <v>5</v>
      </c>
      <c r="B78" t="s">
        <v>381</v>
      </c>
      <c r="C78" t="s">
        <v>1086</v>
      </c>
      <c r="D78" t="s">
        <v>1160</v>
      </c>
      <c r="E78" t="s">
        <v>387</v>
      </c>
      <c r="F78" s="39" t="s">
        <v>15</v>
      </c>
      <c r="G78" s="39" t="s">
        <v>28</v>
      </c>
      <c r="H78" t="s">
        <v>838</v>
      </c>
    </row>
    <row r="79" spans="1:8" x14ac:dyDescent="0.25">
      <c r="A79" s="129">
        <v>6</v>
      </c>
      <c r="B79" t="s">
        <v>444</v>
      </c>
      <c r="C79" t="s">
        <v>451</v>
      </c>
      <c r="D79" t="s">
        <v>1160</v>
      </c>
      <c r="E79" t="s">
        <v>452</v>
      </c>
      <c r="F79" s="39" t="s">
        <v>15</v>
      </c>
      <c r="G79" s="39" t="s">
        <v>20</v>
      </c>
      <c r="H79" t="s">
        <v>869</v>
      </c>
    </row>
    <row r="80" spans="1:8" x14ac:dyDescent="0.25">
      <c r="A80" s="129">
        <v>7</v>
      </c>
      <c r="B80" t="s">
        <v>444</v>
      </c>
      <c r="C80" t="s">
        <v>445</v>
      </c>
      <c r="D80" t="s">
        <v>1160</v>
      </c>
      <c r="E80" t="s">
        <v>446</v>
      </c>
      <c r="F80" s="39" t="s">
        <v>46</v>
      </c>
      <c r="G80" s="39" t="s">
        <v>20</v>
      </c>
      <c r="H80" t="s">
        <v>872</v>
      </c>
    </row>
    <row r="81" spans="1:8" x14ac:dyDescent="0.25">
      <c r="A81" s="129">
        <v>8</v>
      </c>
      <c r="B81" t="s">
        <v>444</v>
      </c>
      <c r="C81" t="s">
        <v>455</v>
      </c>
      <c r="D81" t="s">
        <v>1160</v>
      </c>
      <c r="E81" t="s">
        <v>456</v>
      </c>
      <c r="F81" s="39" t="s">
        <v>15</v>
      </c>
      <c r="G81" s="39" t="s">
        <v>1152</v>
      </c>
      <c r="H81" t="s">
        <v>873</v>
      </c>
    </row>
    <row r="82" spans="1:8" x14ac:dyDescent="0.25">
      <c r="A82" s="129">
        <v>9</v>
      </c>
      <c r="B82" t="s">
        <v>461</v>
      </c>
      <c r="C82" t="s">
        <v>1114</v>
      </c>
      <c r="D82" t="s">
        <v>1160</v>
      </c>
      <c r="E82" t="s">
        <v>476</v>
      </c>
      <c r="F82" s="39" t="s">
        <v>15</v>
      </c>
      <c r="G82" s="39" t="s">
        <v>20</v>
      </c>
      <c r="H82" t="s">
        <v>880</v>
      </c>
    </row>
    <row r="83" spans="1:8" x14ac:dyDescent="0.25">
      <c r="A83" s="129">
        <v>10</v>
      </c>
      <c r="B83" t="s">
        <v>461</v>
      </c>
      <c r="C83" t="s">
        <v>1123</v>
      </c>
      <c r="D83" t="s">
        <v>1160</v>
      </c>
      <c r="E83" t="s">
        <v>467</v>
      </c>
      <c r="F83" s="39" t="s">
        <v>15</v>
      </c>
      <c r="G83" s="39" t="s">
        <v>20</v>
      </c>
      <c r="H83" t="s">
        <v>862</v>
      </c>
    </row>
    <row r="84" spans="1:8" x14ac:dyDescent="0.25">
      <c r="A84" s="129">
        <v>11</v>
      </c>
      <c r="B84" t="s">
        <v>526</v>
      </c>
      <c r="C84" t="s">
        <v>546</v>
      </c>
      <c r="D84" t="s">
        <v>1160</v>
      </c>
      <c r="E84" t="s">
        <v>547</v>
      </c>
      <c r="F84" s="39" t="s">
        <v>19</v>
      </c>
      <c r="G84" s="39" t="s">
        <v>28</v>
      </c>
      <c r="H84" t="s">
        <v>928</v>
      </c>
    </row>
    <row r="85" spans="1:8" x14ac:dyDescent="0.25">
      <c r="A85" s="129">
        <v>12</v>
      </c>
      <c r="B85" t="s">
        <v>526</v>
      </c>
      <c r="C85" t="s">
        <v>527</v>
      </c>
      <c r="D85" t="s">
        <v>1160</v>
      </c>
      <c r="E85" t="s">
        <v>528</v>
      </c>
      <c r="F85" s="39" t="s">
        <v>15</v>
      </c>
      <c r="G85" s="39" t="s">
        <v>1152</v>
      </c>
      <c r="H85" t="s">
        <v>935</v>
      </c>
    </row>
    <row r="86" spans="1:8" x14ac:dyDescent="0.25">
      <c r="A86" s="129">
        <v>13</v>
      </c>
      <c r="B86" t="s">
        <v>178</v>
      </c>
      <c r="C86" t="s">
        <v>594</v>
      </c>
      <c r="D86" t="s">
        <v>1160</v>
      </c>
      <c r="E86" t="s">
        <v>1192</v>
      </c>
      <c r="F86" s="39" t="s">
        <v>15</v>
      </c>
      <c r="G86" s="39" t="s">
        <v>28</v>
      </c>
    </row>
    <row r="87" spans="1:8" x14ac:dyDescent="0.25">
      <c r="A87" s="129">
        <v>14</v>
      </c>
      <c r="B87" t="s">
        <v>611</v>
      </c>
      <c r="C87" t="s">
        <v>609</v>
      </c>
      <c r="D87" t="s">
        <v>1160</v>
      </c>
      <c r="E87" t="s">
        <v>610</v>
      </c>
      <c r="F87" s="39" t="s">
        <v>19</v>
      </c>
      <c r="G87" s="39" t="s">
        <v>20</v>
      </c>
      <c r="H87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2022-12-12T10:57:28Z</dcterms:modified>
</cp:coreProperties>
</file>