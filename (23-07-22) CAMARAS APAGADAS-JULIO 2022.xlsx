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CB6EF8BD-A507-43C8-A5DC-692D24E13313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F23" i="14"/>
  <c r="D23" i="14"/>
  <c r="C23" i="14"/>
  <c r="B23" i="14"/>
  <c r="D23" i="24"/>
  <c r="C24" i="24"/>
  <c r="C25" i="24" s="1"/>
  <c r="F22" i="14"/>
  <c r="A375" i="8"/>
  <c r="B375" i="8"/>
  <c r="C375" i="8"/>
  <c r="C377" i="10" s="1"/>
  <c r="D375" i="8"/>
  <c r="E375" i="8"/>
  <c r="F375" i="8"/>
  <c r="F377" i="21" s="1"/>
  <c r="G375" i="8"/>
  <c r="G377" i="10" s="1"/>
  <c r="H375" i="8"/>
  <c r="I375" i="8"/>
  <c r="J375" i="8"/>
  <c r="K375" i="8"/>
  <c r="L375" i="8"/>
  <c r="M375" i="8"/>
  <c r="N375" i="8"/>
  <c r="N377" i="21" s="1"/>
  <c r="O375" i="8"/>
  <c r="P375" i="8"/>
  <c r="Q375" i="8"/>
  <c r="R375" i="8"/>
  <c r="S375" i="8"/>
  <c r="A376" i="8"/>
  <c r="B376" i="8"/>
  <c r="C376" i="8"/>
  <c r="C378" i="10" s="1"/>
  <c r="D376" i="8"/>
  <c r="D378" i="21" s="1"/>
  <c r="E376" i="8"/>
  <c r="E378" i="21" s="1"/>
  <c r="F376" i="8"/>
  <c r="G376" i="8"/>
  <c r="H376" i="8"/>
  <c r="H378" i="10" s="1"/>
  <c r="I376" i="8"/>
  <c r="J376" i="8"/>
  <c r="K376" i="8"/>
  <c r="K378" i="21" s="1"/>
  <c r="L376" i="8"/>
  <c r="M376" i="8"/>
  <c r="M378" i="21" s="1"/>
  <c r="N376" i="8"/>
  <c r="O376" i="8"/>
  <c r="P376" i="8"/>
  <c r="Q376" i="8"/>
  <c r="R376" i="8"/>
  <c r="S376" i="8"/>
  <c r="A377" i="8"/>
  <c r="A379" i="11" s="1"/>
  <c r="B377" i="8"/>
  <c r="C377" i="8"/>
  <c r="D377" i="8"/>
  <c r="E377" i="8"/>
  <c r="F377" i="8"/>
  <c r="G377" i="8"/>
  <c r="H377" i="8"/>
  <c r="H379" i="21" s="1"/>
  <c r="I377" i="8"/>
  <c r="I379" i="11" s="1"/>
  <c r="J377" i="8"/>
  <c r="K377" i="8"/>
  <c r="L377" i="8"/>
  <c r="M377" i="8"/>
  <c r="M379" i="10" s="1"/>
  <c r="N377" i="8"/>
  <c r="O377" i="8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D378" i="8"/>
  <c r="E378" i="8"/>
  <c r="E380" i="10" s="1"/>
  <c r="F378" i="8"/>
  <c r="F380" i="11" s="1"/>
  <c r="G378" i="8"/>
  <c r="H378" i="8"/>
  <c r="I378" i="8"/>
  <c r="I380" i="21" s="1"/>
  <c r="J378" i="8"/>
  <c r="K378" i="8"/>
  <c r="L378" i="8"/>
  <c r="M378" i="8"/>
  <c r="M380" i="10" s="1"/>
  <c r="N378" i="8"/>
  <c r="N380" i="11" s="1"/>
  <c r="O378" i="8"/>
  <c r="P378" i="8"/>
  <c r="Q378" i="8"/>
  <c r="Q380" i="21" s="1"/>
  <c r="R378" i="8"/>
  <c r="R380" i="10" s="1"/>
  <c r="S378" i="8"/>
  <c r="A379" i="8"/>
  <c r="B379" i="8"/>
  <c r="B381" i="11" s="1"/>
  <c r="C379" i="8"/>
  <c r="D379" i="8"/>
  <c r="D381" i="11" s="1"/>
  <c r="E379" i="8"/>
  <c r="F379" i="8"/>
  <c r="G379" i="8"/>
  <c r="G381" i="10" s="1"/>
  <c r="H379" i="8"/>
  <c r="I379" i="8"/>
  <c r="J379" i="8"/>
  <c r="J380" i="9" s="1"/>
  <c r="K379" i="8"/>
  <c r="L379" i="8"/>
  <c r="L381" i="11" s="1"/>
  <c r="M379" i="8"/>
  <c r="N379" i="8"/>
  <c r="O379" i="8"/>
  <c r="P379" i="8"/>
  <c r="Q379" i="8"/>
  <c r="R379" i="8"/>
  <c r="R381" i="10" s="1"/>
  <c r="S379" i="8"/>
  <c r="A380" i="8"/>
  <c r="B380" i="8"/>
  <c r="C380" i="8"/>
  <c r="C382" i="10" s="1"/>
  <c r="D380" i="8"/>
  <c r="D382" i="21" s="1"/>
  <c r="E380" i="8"/>
  <c r="F380" i="8"/>
  <c r="G380" i="8"/>
  <c r="G381" i="9" s="1"/>
  <c r="H380" i="8"/>
  <c r="H382" i="10" s="1"/>
  <c r="I380" i="8"/>
  <c r="J380" i="8"/>
  <c r="K380" i="8"/>
  <c r="K382" i="10" s="1"/>
  <c r="L380" i="8"/>
  <c r="L382" i="10" s="1"/>
  <c r="M380" i="8"/>
  <c r="N380" i="8"/>
  <c r="O380" i="8"/>
  <c r="O381" i="9" s="1"/>
  <c r="P380" i="8"/>
  <c r="P382" i="10" s="1"/>
  <c r="Q380" i="8"/>
  <c r="R380" i="8"/>
  <c r="S380" i="8"/>
  <c r="A381" i="8"/>
  <c r="A383" i="21" s="1"/>
  <c r="B381" i="8"/>
  <c r="C381" i="8"/>
  <c r="D381" i="8"/>
  <c r="D383" i="21" s="1"/>
  <c r="E381" i="8"/>
  <c r="E383" i="21" s="1"/>
  <c r="F381" i="8"/>
  <c r="G381" i="8"/>
  <c r="H381" i="8"/>
  <c r="H383" i="21" s="1"/>
  <c r="I381" i="8"/>
  <c r="I382" i="9" s="1"/>
  <c r="J381" i="8"/>
  <c r="K381" i="8"/>
  <c r="L381" i="8"/>
  <c r="L383" i="21" s="1"/>
  <c r="M381" i="8"/>
  <c r="M383" i="21" s="1"/>
  <c r="N381" i="8"/>
  <c r="O381" i="8"/>
  <c r="P381" i="8"/>
  <c r="P383" i="21" s="1"/>
  <c r="Q381" i="8"/>
  <c r="Q383" i="21" s="1"/>
  <c r="R381" i="8"/>
  <c r="S381" i="8"/>
  <c r="A382" i="8"/>
  <c r="A384" i="10" s="1"/>
  <c r="B382" i="8"/>
  <c r="B384" i="21" s="1"/>
  <c r="C382" i="8"/>
  <c r="D382" i="8"/>
  <c r="E382" i="8"/>
  <c r="F382" i="8"/>
  <c r="F384" i="21" s="1"/>
  <c r="G382" i="8"/>
  <c r="H382" i="8"/>
  <c r="I382" i="8"/>
  <c r="I384" i="11" s="1"/>
  <c r="J382" i="8"/>
  <c r="J384" i="21" s="1"/>
  <c r="K382" i="8"/>
  <c r="L382" i="8"/>
  <c r="M382" i="8"/>
  <c r="N382" i="8"/>
  <c r="N384" i="10" s="1"/>
  <c r="O382" i="8"/>
  <c r="P382" i="8"/>
  <c r="Q382" i="8"/>
  <c r="Q384" i="10" s="1"/>
  <c r="R382" i="8"/>
  <c r="S382" i="8"/>
  <c r="S384" i="11" s="1"/>
  <c r="A383" i="8"/>
  <c r="B383" i="8"/>
  <c r="B384" i="9" s="1"/>
  <c r="C383" i="8"/>
  <c r="C385" i="10" s="1"/>
  <c r="D383" i="8"/>
  <c r="E383" i="8"/>
  <c r="F383" i="8"/>
  <c r="F385" i="10" s="1"/>
  <c r="G383" i="8"/>
  <c r="G385" i="10" s="1"/>
  <c r="H383" i="8"/>
  <c r="I383" i="8"/>
  <c r="J383" i="8"/>
  <c r="J384" i="9" s="1"/>
  <c r="K383" i="8"/>
  <c r="L383" i="8"/>
  <c r="M383" i="8"/>
  <c r="N383" i="8"/>
  <c r="N385" i="21" s="1"/>
  <c r="O383" i="8"/>
  <c r="O385" i="11" s="1"/>
  <c r="P383" i="8"/>
  <c r="Q383" i="8"/>
  <c r="R383" i="8"/>
  <c r="R384" i="9" s="1"/>
  <c r="S383" i="8"/>
  <c r="A384" i="8"/>
  <c r="B384" i="8"/>
  <c r="C384" i="8"/>
  <c r="C385" i="9" s="1"/>
  <c r="D384" i="8"/>
  <c r="D386" i="21" s="1"/>
  <c r="E384" i="8"/>
  <c r="F384" i="8"/>
  <c r="G384" i="8"/>
  <c r="H384" i="8"/>
  <c r="H386" i="10" s="1"/>
  <c r="I384" i="8"/>
  <c r="J384" i="8"/>
  <c r="K384" i="8"/>
  <c r="K386" i="11" s="1"/>
  <c r="L384" i="8"/>
  <c r="M384" i="8"/>
  <c r="N384" i="8"/>
  <c r="O384" i="8"/>
  <c r="O385" i="9" s="1"/>
  <c r="P384" i="8"/>
  <c r="P385" i="9" s="1"/>
  <c r="Q384" i="8"/>
  <c r="R384" i="8"/>
  <c r="S384" i="8"/>
  <c r="A385" i="8"/>
  <c r="A387" i="21" s="1"/>
  <c r="B385" i="8"/>
  <c r="C385" i="8"/>
  <c r="D385" i="8"/>
  <c r="E385" i="8"/>
  <c r="E386" i="9" s="1"/>
  <c r="F385" i="8"/>
  <c r="G385" i="8"/>
  <c r="H385" i="8"/>
  <c r="H387" i="10" s="1"/>
  <c r="I385" i="8"/>
  <c r="J385" i="8"/>
  <c r="K385" i="8"/>
  <c r="L385" i="8"/>
  <c r="M385" i="8"/>
  <c r="M387" i="21" s="1"/>
  <c r="N385" i="8"/>
  <c r="O385" i="8"/>
  <c r="P385" i="8"/>
  <c r="P387" i="11" s="1"/>
  <c r="Q385" i="8"/>
  <c r="Q387" i="21" s="1"/>
  <c r="R385" i="8"/>
  <c r="S385" i="8"/>
  <c r="A386" i="8"/>
  <c r="A388" i="10" s="1"/>
  <c r="B386" i="8"/>
  <c r="B388" i="10" s="1"/>
  <c r="C386" i="8"/>
  <c r="D386" i="8"/>
  <c r="E386" i="8"/>
  <c r="E387" i="9" s="1"/>
  <c r="F386" i="8"/>
  <c r="F388" i="21" s="1"/>
  <c r="G386" i="8"/>
  <c r="H386" i="8"/>
  <c r="I386" i="8"/>
  <c r="I388" i="10" s="1"/>
  <c r="J386" i="8"/>
  <c r="J388" i="10" s="1"/>
  <c r="K386" i="8"/>
  <c r="L386" i="8"/>
  <c r="M386" i="8"/>
  <c r="M388" i="11" s="1"/>
  <c r="N386" i="8"/>
  <c r="N388" i="21" s="1"/>
  <c r="O386" i="8"/>
  <c r="P386" i="8"/>
  <c r="Q386" i="8"/>
  <c r="Q388" i="10" s="1"/>
  <c r="R386" i="8"/>
  <c r="R388" i="10" s="1"/>
  <c r="S386" i="8"/>
  <c r="A387" i="8"/>
  <c r="B387" i="8"/>
  <c r="B389" i="21" s="1"/>
  <c r="C387" i="8"/>
  <c r="D387" i="8"/>
  <c r="E387" i="8"/>
  <c r="F387" i="8"/>
  <c r="G387" i="8"/>
  <c r="G389" i="21" s="1"/>
  <c r="H387" i="8"/>
  <c r="I387" i="8"/>
  <c r="J387" i="8"/>
  <c r="J389" i="21" s="1"/>
  <c r="K387" i="8"/>
  <c r="L387" i="8"/>
  <c r="L389" i="10" s="1"/>
  <c r="M387" i="8"/>
  <c r="N387" i="8"/>
  <c r="N389" i="21" s="1"/>
  <c r="O387" i="8"/>
  <c r="P387" i="8"/>
  <c r="Q387" i="8"/>
  <c r="R387" i="8"/>
  <c r="R389" i="10" s="1"/>
  <c r="S387" i="8"/>
  <c r="A388" i="8"/>
  <c r="B388" i="8"/>
  <c r="C388" i="8"/>
  <c r="C389" i="9" s="1"/>
  <c r="D388" i="8"/>
  <c r="E388" i="8"/>
  <c r="F388" i="8"/>
  <c r="G388" i="8"/>
  <c r="G390" i="10" s="1"/>
  <c r="H388" i="8"/>
  <c r="I388" i="8"/>
  <c r="J388" i="8"/>
  <c r="K388" i="8"/>
  <c r="K389" i="9" s="1"/>
  <c r="L388" i="8"/>
  <c r="L390" i="10" s="1"/>
  <c r="M388" i="8"/>
  <c r="N388" i="8"/>
  <c r="O388" i="8"/>
  <c r="O390" i="11" s="1"/>
  <c r="P388" i="8"/>
  <c r="P389" i="9" s="1"/>
  <c r="Q388" i="8"/>
  <c r="R388" i="8"/>
  <c r="S388" i="8"/>
  <c r="S390" i="11" s="1"/>
  <c r="A389" i="8"/>
  <c r="A391" i="10" s="1"/>
  <c r="B389" i="8"/>
  <c r="C389" i="8"/>
  <c r="D389" i="8"/>
  <c r="D391" i="10" s="1"/>
  <c r="E389" i="8"/>
  <c r="F389" i="8"/>
  <c r="G389" i="8"/>
  <c r="H389" i="8"/>
  <c r="H391" i="11" s="1"/>
  <c r="I389" i="8"/>
  <c r="I390" i="9" s="1"/>
  <c r="J389" i="8"/>
  <c r="K389" i="8"/>
  <c r="L389" i="8"/>
  <c r="L391" i="10" s="1"/>
  <c r="M389" i="8"/>
  <c r="M390" i="9" s="1"/>
  <c r="N389" i="8"/>
  <c r="O389" i="8"/>
  <c r="P389" i="8"/>
  <c r="P391" i="11" s="1"/>
  <c r="Q389" i="8"/>
  <c r="Q391" i="10" s="1"/>
  <c r="R389" i="8"/>
  <c r="S389" i="8"/>
  <c r="A390" i="8"/>
  <c r="A392" i="11" s="1"/>
  <c r="B390" i="8"/>
  <c r="C390" i="8"/>
  <c r="C391" i="9" s="1"/>
  <c r="D390" i="8"/>
  <c r="E390" i="8"/>
  <c r="E392" i="21" s="1"/>
  <c r="F390" i="8"/>
  <c r="F392" i="21" s="1"/>
  <c r="G390" i="8"/>
  <c r="H390" i="8"/>
  <c r="I390" i="8"/>
  <c r="I392" i="10" s="1"/>
  <c r="J390" i="8"/>
  <c r="K390" i="8"/>
  <c r="L390" i="8"/>
  <c r="M390" i="8"/>
  <c r="M392" i="21" s="1"/>
  <c r="N390" i="8"/>
  <c r="N392" i="10" s="1"/>
  <c r="O390" i="8"/>
  <c r="P390" i="8"/>
  <c r="Q390" i="8"/>
  <c r="Q391" i="9" s="1"/>
  <c r="R390" i="8"/>
  <c r="S390" i="8"/>
  <c r="S392" i="11" s="1"/>
  <c r="A391" i="8"/>
  <c r="B391" i="8"/>
  <c r="B393" i="21" s="1"/>
  <c r="C391" i="8"/>
  <c r="C392" i="9" s="1"/>
  <c r="D391" i="8"/>
  <c r="E391" i="8"/>
  <c r="F391" i="8"/>
  <c r="F393" i="21" s="1"/>
  <c r="G391" i="8"/>
  <c r="G393" i="11" s="1"/>
  <c r="H391" i="8"/>
  <c r="I391" i="8"/>
  <c r="J391" i="8"/>
  <c r="J393" i="10" s="1"/>
  <c r="K391" i="8"/>
  <c r="L391" i="8"/>
  <c r="M391" i="8"/>
  <c r="N391" i="8"/>
  <c r="N393" i="21" s="1"/>
  <c r="O391" i="8"/>
  <c r="O393" i="11" s="1"/>
  <c r="P391" i="8"/>
  <c r="Q391" i="8"/>
  <c r="R391" i="8"/>
  <c r="R393" i="10" s="1"/>
  <c r="S391" i="8"/>
  <c r="A392" i="8"/>
  <c r="B392" i="8"/>
  <c r="C392" i="8"/>
  <c r="C393" i="9" s="1"/>
  <c r="D392" i="8"/>
  <c r="D394" i="11" s="1"/>
  <c r="E392" i="8"/>
  <c r="E393" i="9" s="1"/>
  <c r="F392" i="8"/>
  <c r="G392" i="8"/>
  <c r="G393" i="9" s="1"/>
  <c r="H392" i="8"/>
  <c r="H394" i="10" s="1"/>
  <c r="I392" i="8"/>
  <c r="J392" i="8"/>
  <c r="K392" i="8"/>
  <c r="K394" i="11" s="1"/>
  <c r="L392" i="8"/>
  <c r="M392" i="8"/>
  <c r="M393" i="9" s="1"/>
  <c r="N392" i="8"/>
  <c r="O392" i="8"/>
  <c r="O393" i="9" s="1"/>
  <c r="P392" i="8"/>
  <c r="P393" i="9" s="1"/>
  <c r="Q392" i="8"/>
  <c r="R392" i="8"/>
  <c r="S392" i="8"/>
  <c r="A393" i="8"/>
  <c r="A395" i="11" s="1"/>
  <c r="B393" i="8"/>
  <c r="C393" i="8"/>
  <c r="D393" i="8"/>
  <c r="E393" i="8"/>
  <c r="E394" i="9" s="1"/>
  <c r="F393" i="8"/>
  <c r="G393" i="8"/>
  <c r="H393" i="8"/>
  <c r="H395" i="11" s="1"/>
  <c r="I393" i="8"/>
  <c r="I395" i="11" s="1"/>
  <c r="J393" i="8"/>
  <c r="K393" i="8"/>
  <c r="L393" i="8"/>
  <c r="L395" i="21" s="1"/>
  <c r="M393" i="8"/>
  <c r="M395" i="10" s="1"/>
  <c r="N393" i="8"/>
  <c r="O393" i="8"/>
  <c r="P393" i="8"/>
  <c r="P395" i="21" s="1"/>
  <c r="Q393" i="8"/>
  <c r="Q395" i="10" s="1"/>
  <c r="R393" i="8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D377" i="10"/>
  <c r="E377" i="10"/>
  <c r="I377" i="10"/>
  <c r="K377" i="10"/>
  <c r="L377" i="10"/>
  <c r="M377" i="10"/>
  <c r="N377" i="10"/>
  <c r="O377" i="10"/>
  <c r="Q377" i="10"/>
  <c r="A378" i="10"/>
  <c r="B378" i="10"/>
  <c r="F378" i="10"/>
  <c r="I378" i="10"/>
  <c r="J378" i="10"/>
  <c r="N378" i="10"/>
  <c r="P378" i="10"/>
  <c r="Q378" i="10"/>
  <c r="R378" i="10"/>
  <c r="C379" i="10"/>
  <c r="E379" i="10"/>
  <c r="F379" i="10"/>
  <c r="G379" i="10"/>
  <c r="K379" i="10"/>
  <c r="N379" i="10"/>
  <c r="O379" i="10"/>
  <c r="C380" i="10"/>
  <c r="D380" i="10"/>
  <c r="H380" i="10"/>
  <c r="J380" i="10"/>
  <c r="K380" i="10"/>
  <c r="L380" i="10"/>
  <c r="N380" i="10"/>
  <c r="P380" i="10"/>
  <c r="A381" i="10"/>
  <c r="B381" i="10"/>
  <c r="D381" i="10"/>
  <c r="E381" i="10"/>
  <c r="H381" i="10"/>
  <c r="I381" i="10"/>
  <c r="M381" i="10"/>
  <c r="O381" i="10"/>
  <c r="P381" i="10"/>
  <c r="Q381" i="10"/>
  <c r="B382" i="10"/>
  <c r="D382" i="10"/>
  <c r="E382" i="10"/>
  <c r="F382" i="10"/>
  <c r="G382" i="10"/>
  <c r="J382" i="10"/>
  <c r="M382" i="10"/>
  <c r="N382" i="10"/>
  <c r="R382" i="10"/>
  <c r="B383" i="10"/>
  <c r="C383" i="10"/>
  <c r="G383" i="10"/>
  <c r="I383" i="10"/>
  <c r="J383" i="10"/>
  <c r="K383" i="10"/>
  <c r="O383" i="10"/>
  <c r="Q383" i="10"/>
  <c r="R383" i="10"/>
  <c r="D384" i="10"/>
  <c r="F384" i="10"/>
  <c r="G384" i="10"/>
  <c r="H384" i="10"/>
  <c r="I384" i="10"/>
  <c r="L384" i="10"/>
  <c r="O384" i="10"/>
  <c r="P384" i="10"/>
  <c r="A385" i="10"/>
  <c r="D385" i="10"/>
  <c r="E385" i="10"/>
  <c r="I385" i="10"/>
  <c r="K385" i="10"/>
  <c r="L385" i="10"/>
  <c r="M385" i="10"/>
  <c r="N385" i="10"/>
  <c r="Q385" i="10"/>
  <c r="A386" i="10"/>
  <c r="B386" i="10"/>
  <c r="F386" i="10"/>
  <c r="I386" i="10"/>
  <c r="J386" i="10"/>
  <c r="M386" i="10"/>
  <c r="N386" i="10"/>
  <c r="P386" i="10"/>
  <c r="Q386" i="10"/>
  <c r="R386" i="10"/>
  <c r="C387" i="10"/>
  <c r="E387" i="10"/>
  <c r="F387" i="10"/>
  <c r="G387" i="10"/>
  <c r="K387" i="10"/>
  <c r="M387" i="10"/>
  <c r="N387" i="10"/>
  <c r="O387" i="10"/>
  <c r="P387" i="10"/>
  <c r="Q387" i="10"/>
  <c r="C388" i="10"/>
  <c r="D388" i="10"/>
  <c r="G388" i="10"/>
  <c r="H388" i="10"/>
  <c r="K388" i="10"/>
  <c r="L388" i="10"/>
  <c r="O388" i="10"/>
  <c r="P388" i="10"/>
  <c r="A389" i="10"/>
  <c r="E389" i="10"/>
  <c r="H389" i="10"/>
  <c r="I389" i="10"/>
  <c r="M389" i="10"/>
  <c r="O389" i="10"/>
  <c r="P389" i="10"/>
  <c r="Q389" i="10"/>
  <c r="B390" i="10"/>
  <c r="D390" i="10"/>
  <c r="E390" i="10"/>
  <c r="F390" i="10"/>
  <c r="J390" i="10"/>
  <c r="M390" i="10"/>
  <c r="N390" i="10"/>
  <c r="R390" i="10"/>
  <c r="B391" i="10"/>
  <c r="C391" i="10"/>
  <c r="G391" i="10"/>
  <c r="I391" i="10"/>
  <c r="J391" i="10"/>
  <c r="K391" i="10"/>
  <c r="O391" i="10"/>
  <c r="P391" i="10"/>
  <c r="R391" i="10"/>
  <c r="A392" i="10"/>
  <c r="D392" i="10"/>
  <c r="G392" i="10"/>
  <c r="H392" i="10"/>
  <c r="L392" i="10"/>
  <c r="O392" i="10"/>
  <c r="P392" i="10"/>
  <c r="A393" i="10"/>
  <c r="C393" i="10"/>
  <c r="D393" i="10"/>
  <c r="E393" i="10"/>
  <c r="I393" i="10"/>
  <c r="K393" i="10"/>
  <c r="L393" i="10"/>
  <c r="M393" i="10"/>
  <c r="Q393" i="10"/>
  <c r="A394" i="10"/>
  <c r="B394" i="10"/>
  <c r="C394" i="10"/>
  <c r="E394" i="10"/>
  <c r="F394" i="10"/>
  <c r="I394" i="10"/>
  <c r="J394" i="10"/>
  <c r="N394" i="10"/>
  <c r="P394" i="10"/>
  <c r="Q394" i="10"/>
  <c r="R394" i="10"/>
  <c r="C395" i="10"/>
  <c r="E395" i="10"/>
  <c r="F395" i="10"/>
  <c r="G395" i="10"/>
  <c r="I395" i="10"/>
  <c r="K395" i="10"/>
  <c r="N395" i="10"/>
  <c r="O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0" i="9"/>
  <c r="E380" i="9"/>
  <c r="G380" i="9"/>
  <c r="H380" i="9"/>
  <c r="I380" i="9"/>
  <c r="M380" i="9"/>
  <c r="O380" i="9"/>
  <c r="P380" i="9"/>
  <c r="Q380" i="9"/>
  <c r="R380" i="9"/>
  <c r="B381" i="9"/>
  <c r="E381" i="9"/>
  <c r="F381" i="9"/>
  <c r="J381" i="9"/>
  <c r="L381" i="9"/>
  <c r="M381" i="9"/>
  <c r="N381" i="9"/>
  <c r="P381" i="9"/>
  <c r="R381" i="9"/>
  <c r="B382" i="9"/>
  <c r="C382" i="9"/>
  <c r="G382" i="9"/>
  <c r="J382" i="9"/>
  <c r="K382" i="9"/>
  <c r="O382" i="9"/>
  <c r="Q382" i="9"/>
  <c r="R382" i="9"/>
  <c r="D383" i="9"/>
  <c r="F383" i="9"/>
  <c r="G383" i="9"/>
  <c r="H383" i="9"/>
  <c r="K383" i="9"/>
  <c r="L383" i="9"/>
  <c r="O383" i="9"/>
  <c r="P383" i="9"/>
  <c r="A384" i="9"/>
  <c r="D384" i="9"/>
  <c r="E384" i="9"/>
  <c r="I384" i="9"/>
  <c r="K384" i="9"/>
  <c r="L384" i="9"/>
  <c r="M384" i="9"/>
  <c r="Q384" i="9"/>
  <c r="A385" i="9"/>
  <c r="B385" i="9"/>
  <c r="F385" i="9"/>
  <c r="G385" i="9"/>
  <c r="I385" i="9"/>
  <c r="J385" i="9"/>
  <c r="N385" i="9"/>
  <c r="Q385" i="9"/>
  <c r="R385" i="9"/>
  <c r="C386" i="9"/>
  <c r="F386" i="9"/>
  <c r="G386" i="9"/>
  <c r="K386" i="9"/>
  <c r="M386" i="9"/>
  <c r="N386" i="9"/>
  <c r="O386" i="9"/>
  <c r="B387" i="9"/>
  <c r="C387" i="9"/>
  <c r="D387" i="9"/>
  <c r="H387" i="9"/>
  <c r="K387" i="9"/>
  <c r="L387" i="9"/>
  <c r="P387" i="9"/>
  <c r="A388" i="9"/>
  <c r="E388" i="9"/>
  <c r="H388" i="9"/>
  <c r="I388" i="9"/>
  <c r="M388" i="9"/>
  <c r="O388" i="9"/>
  <c r="P388" i="9"/>
  <c r="Q388" i="9"/>
  <c r="B389" i="9"/>
  <c r="D389" i="9"/>
  <c r="E389" i="9"/>
  <c r="F389" i="9"/>
  <c r="J389" i="9"/>
  <c r="M389" i="9"/>
  <c r="N389" i="9"/>
  <c r="R389" i="9"/>
  <c r="A390" i="9"/>
  <c r="B390" i="9"/>
  <c r="C390" i="9"/>
  <c r="E390" i="9"/>
  <c r="G390" i="9"/>
  <c r="J390" i="9"/>
  <c r="K390" i="9"/>
  <c r="O390" i="9"/>
  <c r="Q390" i="9"/>
  <c r="R390" i="9"/>
  <c r="D391" i="9"/>
  <c r="F391" i="9"/>
  <c r="G391" i="9"/>
  <c r="H391" i="9"/>
  <c r="L391" i="9"/>
  <c r="N391" i="9"/>
  <c r="O391" i="9"/>
  <c r="P391" i="9"/>
  <c r="A392" i="9"/>
  <c r="D392" i="9"/>
  <c r="E392" i="9"/>
  <c r="I392" i="9"/>
  <c r="K392" i="9"/>
  <c r="L392" i="9"/>
  <c r="M392" i="9"/>
  <c r="Q392" i="9"/>
  <c r="R392" i="9"/>
  <c r="A393" i="9"/>
  <c r="B393" i="9"/>
  <c r="F393" i="9"/>
  <c r="I393" i="9"/>
  <c r="J393" i="9"/>
  <c r="N393" i="9"/>
  <c r="Q393" i="9"/>
  <c r="R393" i="9"/>
  <c r="C394" i="9"/>
  <c r="F394" i="9"/>
  <c r="G394" i="9"/>
  <c r="K394" i="9"/>
  <c r="M394" i="9"/>
  <c r="N394" i="9"/>
  <c r="O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C377" i="21"/>
  <c r="D377" i="21"/>
  <c r="E377" i="21"/>
  <c r="I377" i="21"/>
  <c r="K377" i="21"/>
  <c r="L377" i="21"/>
  <c r="M377" i="21"/>
  <c r="O377" i="21"/>
  <c r="Q377" i="21"/>
  <c r="A378" i="21"/>
  <c r="B378" i="21"/>
  <c r="F378" i="21"/>
  <c r="H378" i="21"/>
  <c r="I378" i="21"/>
  <c r="J378" i="21"/>
  <c r="L378" i="21"/>
  <c r="N378" i="21"/>
  <c r="P378" i="21"/>
  <c r="Q378" i="21"/>
  <c r="R378" i="21"/>
  <c r="C379" i="21"/>
  <c r="E379" i="21"/>
  <c r="F379" i="21"/>
  <c r="G379" i="21"/>
  <c r="I379" i="21"/>
  <c r="K379" i="21"/>
  <c r="N379" i="21"/>
  <c r="O379" i="21"/>
  <c r="B380" i="21"/>
  <c r="C380" i="21"/>
  <c r="D380" i="21"/>
  <c r="F380" i="21"/>
  <c r="H380" i="21"/>
  <c r="J380" i="21"/>
  <c r="K380" i="21"/>
  <c r="L380" i="21"/>
  <c r="P380" i="21"/>
  <c r="R380" i="21"/>
  <c r="A381" i="21"/>
  <c r="E381" i="21"/>
  <c r="G381" i="21"/>
  <c r="H381" i="21"/>
  <c r="I381" i="21"/>
  <c r="M381" i="21"/>
  <c r="O381" i="21"/>
  <c r="P381" i="21"/>
  <c r="Q381" i="21"/>
  <c r="B382" i="21"/>
  <c r="E382" i="21"/>
  <c r="F382" i="21"/>
  <c r="J382" i="21"/>
  <c r="L382" i="21"/>
  <c r="M382" i="21"/>
  <c r="N382" i="21"/>
  <c r="P382" i="21"/>
  <c r="R382" i="21"/>
  <c r="B383" i="21"/>
  <c r="C383" i="21"/>
  <c r="G383" i="21"/>
  <c r="I383" i="21"/>
  <c r="J383" i="21"/>
  <c r="K383" i="21"/>
  <c r="O383" i="21"/>
  <c r="R383" i="21"/>
  <c r="D384" i="21"/>
  <c r="G384" i="21"/>
  <c r="H384" i="21"/>
  <c r="L384" i="21"/>
  <c r="N384" i="21"/>
  <c r="O384" i="21"/>
  <c r="P384" i="21"/>
  <c r="Q384" i="21"/>
  <c r="R384" i="21"/>
  <c r="A385" i="21"/>
  <c r="C385" i="21"/>
  <c r="D385" i="21"/>
  <c r="E385" i="21"/>
  <c r="F385" i="21"/>
  <c r="I385" i="21"/>
  <c r="K385" i="21"/>
  <c r="L385" i="21"/>
  <c r="M385" i="21"/>
  <c r="Q385" i="21"/>
  <c r="A386" i="21"/>
  <c r="B386" i="21"/>
  <c r="F386" i="21"/>
  <c r="H386" i="21"/>
  <c r="I386" i="21"/>
  <c r="J386" i="21"/>
  <c r="L386" i="21"/>
  <c r="N386" i="21"/>
  <c r="P386" i="21"/>
  <c r="Q386" i="21"/>
  <c r="R386" i="21"/>
  <c r="C387" i="21"/>
  <c r="E387" i="21"/>
  <c r="F387" i="21"/>
  <c r="G387" i="21"/>
  <c r="I387" i="21"/>
  <c r="K387" i="21"/>
  <c r="N387" i="21"/>
  <c r="O387" i="21"/>
  <c r="B388" i="21"/>
  <c r="C388" i="21"/>
  <c r="D388" i="21"/>
  <c r="E388" i="21"/>
  <c r="H388" i="21"/>
  <c r="J388" i="21"/>
  <c r="K388" i="21"/>
  <c r="L388" i="21"/>
  <c r="P388" i="21"/>
  <c r="X388" i="21"/>
  <c r="Y388" i="21"/>
  <c r="A389" i="21"/>
  <c r="E389" i="21"/>
  <c r="F389" i="21"/>
  <c r="H389" i="21"/>
  <c r="I389" i="21"/>
  <c r="M389" i="21"/>
  <c r="O389" i="21"/>
  <c r="P389" i="21"/>
  <c r="Q389" i="21"/>
  <c r="Z389" i="21"/>
  <c r="B390" i="21"/>
  <c r="D390" i="21"/>
  <c r="E390" i="21"/>
  <c r="F390" i="21"/>
  <c r="J390" i="21"/>
  <c r="M390" i="21"/>
  <c r="N390" i="21"/>
  <c r="R390" i="21"/>
  <c r="V390" i="21"/>
  <c r="B391" i="21"/>
  <c r="C391" i="21"/>
  <c r="G391" i="21"/>
  <c r="I391" i="21"/>
  <c r="J391" i="21"/>
  <c r="K391" i="21"/>
  <c r="O391" i="21"/>
  <c r="P391" i="21"/>
  <c r="Q391" i="21"/>
  <c r="R391" i="21"/>
  <c r="D392" i="21"/>
  <c r="G392" i="21"/>
  <c r="H392" i="21"/>
  <c r="L392" i="21"/>
  <c r="N392" i="21"/>
  <c r="O392" i="21"/>
  <c r="P392" i="21"/>
  <c r="AG392" i="21"/>
  <c r="A393" i="21"/>
  <c r="C393" i="21"/>
  <c r="D393" i="21"/>
  <c r="E393" i="21"/>
  <c r="I393" i="21"/>
  <c r="K393" i="21"/>
  <c r="L393" i="21"/>
  <c r="M393" i="21"/>
  <c r="Q393" i="21"/>
  <c r="A394" i="21"/>
  <c r="B394" i="21"/>
  <c r="F394" i="21"/>
  <c r="I394" i="21"/>
  <c r="J394" i="21"/>
  <c r="N394" i="21"/>
  <c r="P394" i="21"/>
  <c r="Q394" i="21"/>
  <c r="R394" i="21"/>
  <c r="C395" i="21"/>
  <c r="E395" i="21"/>
  <c r="F395" i="21"/>
  <c r="G395" i="21"/>
  <c r="K395" i="21"/>
  <c r="M395" i="21"/>
  <c r="N395" i="21"/>
  <c r="O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C377" i="11"/>
  <c r="D377" i="11"/>
  <c r="E377" i="11"/>
  <c r="I377" i="11"/>
  <c r="K377" i="11"/>
  <c r="L377" i="11"/>
  <c r="M377" i="11"/>
  <c r="O377" i="11"/>
  <c r="Q377" i="11"/>
  <c r="A378" i="11"/>
  <c r="B378" i="11"/>
  <c r="F378" i="11"/>
  <c r="H378" i="11"/>
  <c r="I378" i="11"/>
  <c r="J378" i="11"/>
  <c r="M378" i="11"/>
  <c r="N378" i="11"/>
  <c r="P378" i="11"/>
  <c r="Q378" i="11"/>
  <c r="R378" i="11"/>
  <c r="C379" i="11"/>
  <c r="E379" i="11"/>
  <c r="F379" i="11"/>
  <c r="G379" i="11"/>
  <c r="K379" i="11"/>
  <c r="M379" i="11"/>
  <c r="N379" i="11"/>
  <c r="O379" i="11"/>
  <c r="P379" i="11"/>
  <c r="B380" i="11"/>
  <c r="C380" i="11"/>
  <c r="D380" i="11"/>
  <c r="H380" i="11"/>
  <c r="J380" i="11"/>
  <c r="K380" i="11"/>
  <c r="L380" i="11"/>
  <c r="P380" i="11"/>
  <c r="Q380" i="11"/>
  <c r="R380" i="11"/>
  <c r="AA380" i="11"/>
  <c r="A381" i="11"/>
  <c r="E381" i="11"/>
  <c r="F381" i="11"/>
  <c r="G381" i="11"/>
  <c r="H381" i="11"/>
  <c r="I381" i="11"/>
  <c r="J381" i="11"/>
  <c r="M381" i="11"/>
  <c r="N381" i="11"/>
  <c r="O381" i="11"/>
  <c r="P381" i="11"/>
  <c r="Q381" i="11"/>
  <c r="T381" i="11"/>
  <c r="AB381" i="11"/>
  <c r="B382" i="11"/>
  <c r="D382" i="11"/>
  <c r="E382" i="11"/>
  <c r="F382" i="11"/>
  <c r="G382" i="11"/>
  <c r="H382" i="11"/>
  <c r="J382" i="11"/>
  <c r="L382" i="11"/>
  <c r="M382" i="11"/>
  <c r="N382" i="11"/>
  <c r="R382" i="11"/>
  <c r="AF382" i="11"/>
  <c r="A383" i="11"/>
  <c r="B383" i="11"/>
  <c r="C383" i="11"/>
  <c r="D383" i="11"/>
  <c r="G383" i="11"/>
  <c r="H383" i="11"/>
  <c r="I383" i="11"/>
  <c r="J383" i="11"/>
  <c r="K383" i="11"/>
  <c r="O383" i="11"/>
  <c r="Q383" i="11"/>
  <c r="R383" i="11"/>
  <c r="D384" i="11"/>
  <c r="F384" i="11"/>
  <c r="G384" i="11"/>
  <c r="H384" i="11"/>
  <c r="L384" i="11"/>
  <c r="N384" i="11"/>
  <c r="O384" i="11"/>
  <c r="P384" i="11"/>
  <c r="Q384" i="11"/>
  <c r="Y384" i="11"/>
  <c r="A385" i="11"/>
  <c r="C385" i="11"/>
  <c r="D385" i="11"/>
  <c r="E385" i="11"/>
  <c r="F385" i="11"/>
  <c r="G385" i="11"/>
  <c r="I385" i="11"/>
  <c r="K385" i="11"/>
  <c r="L385" i="11"/>
  <c r="M385" i="11"/>
  <c r="Q385" i="11"/>
  <c r="AD385" i="11"/>
  <c r="A386" i="11"/>
  <c r="B386" i="11"/>
  <c r="F386" i="11"/>
  <c r="H386" i="11"/>
  <c r="I386" i="11"/>
  <c r="J386" i="11"/>
  <c r="N386" i="11"/>
  <c r="P386" i="11"/>
  <c r="Q386" i="11"/>
  <c r="R386" i="11"/>
  <c r="AE386" i="11"/>
  <c r="C387" i="11"/>
  <c r="E387" i="11"/>
  <c r="F387" i="11"/>
  <c r="G387" i="11"/>
  <c r="H387" i="11"/>
  <c r="K387" i="11"/>
  <c r="M387" i="11"/>
  <c r="N387" i="11"/>
  <c r="O387" i="11"/>
  <c r="R387" i="11"/>
  <c r="AG387" i="11"/>
  <c r="B388" i="11"/>
  <c r="C388" i="11"/>
  <c r="D388" i="11"/>
  <c r="H388" i="11"/>
  <c r="J388" i="11"/>
  <c r="K388" i="11"/>
  <c r="L388" i="11"/>
  <c r="N388" i="11"/>
  <c r="P388" i="11"/>
  <c r="R388" i="11"/>
  <c r="U388" i="11"/>
  <c r="Y388" i="11"/>
  <c r="A389" i="11"/>
  <c r="E389" i="11"/>
  <c r="G389" i="11"/>
  <c r="H389" i="11"/>
  <c r="I389" i="11"/>
  <c r="M389" i="11"/>
  <c r="O389" i="11"/>
  <c r="P389" i="11"/>
  <c r="Q389" i="11"/>
  <c r="X389" i="11"/>
  <c r="Z389" i="11"/>
  <c r="B390" i="11"/>
  <c r="D390" i="11"/>
  <c r="E390" i="11"/>
  <c r="F390" i="11"/>
  <c r="J390" i="11"/>
  <c r="L390" i="11"/>
  <c r="M390" i="11"/>
  <c r="N390" i="11"/>
  <c r="R390" i="11"/>
  <c r="AF390" i="11"/>
  <c r="A391" i="11"/>
  <c r="B391" i="11"/>
  <c r="C391" i="11"/>
  <c r="G391" i="11"/>
  <c r="I391" i="11"/>
  <c r="J391" i="11"/>
  <c r="K391" i="11"/>
  <c r="N391" i="11"/>
  <c r="O391" i="11"/>
  <c r="Q391" i="11"/>
  <c r="R391" i="11"/>
  <c r="V391" i="11"/>
  <c r="Z391" i="11"/>
  <c r="D392" i="11"/>
  <c r="E392" i="11"/>
  <c r="F392" i="11"/>
  <c r="G392" i="11"/>
  <c r="H392" i="11"/>
  <c r="L392" i="11"/>
  <c r="M392" i="11"/>
  <c r="N392" i="11"/>
  <c r="O392" i="11"/>
  <c r="P392" i="11"/>
  <c r="Q392" i="11"/>
  <c r="V392" i="11"/>
  <c r="AG392" i="11"/>
  <c r="A393" i="11"/>
  <c r="C393" i="11"/>
  <c r="D393" i="11"/>
  <c r="E393" i="11"/>
  <c r="I393" i="11"/>
  <c r="J393" i="11"/>
  <c r="K393" i="11"/>
  <c r="L393" i="11"/>
  <c r="M393" i="11"/>
  <c r="N393" i="11"/>
  <c r="Q393" i="11"/>
  <c r="R393" i="11"/>
  <c r="T393" i="11"/>
  <c r="AC393" i="11"/>
  <c r="A394" i="11"/>
  <c r="B394" i="11"/>
  <c r="F394" i="11"/>
  <c r="H394" i="11"/>
  <c r="I394" i="11"/>
  <c r="J394" i="11"/>
  <c r="L394" i="11"/>
  <c r="N394" i="11"/>
  <c r="P394" i="11"/>
  <c r="Q394" i="11"/>
  <c r="R394" i="11"/>
  <c r="S394" i="11"/>
  <c r="AB394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R395" i="11"/>
  <c r="U395" i="11"/>
  <c r="V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H390" i="8"/>
  <c r="AI390" i="8"/>
  <c r="AI392" i="21" s="1"/>
  <c r="S393" i="11"/>
  <c r="T391" i="8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U379" i="8"/>
  <c r="V379" i="8"/>
  <c r="V381" i="21" s="1"/>
  <c r="W379" i="8"/>
  <c r="W381" i="21" s="1"/>
  <c r="X379" i="8"/>
  <c r="Y379" i="8"/>
  <c r="Z379" i="8"/>
  <c r="AA379" i="8"/>
  <c r="AB379" i="8"/>
  <c r="AC379" i="8"/>
  <c r="AD379" i="8"/>
  <c r="AE379" i="8"/>
  <c r="AF379" i="8"/>
  <c r="AF381" i="21" s="1"/>
  <c r="AG379" i="8"/>
  <c r="AG381" i="11" s="1"/>
  <c r="AH379" i="8"/>
  <c r="AH381" i="21" s="1"/>
  <c r="AI379" i="8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G380" i="8"/>
  <c r="AH380" i="8"/>
  <c r="AI380" i="8"/>
  <c r="AI382" i="21" s="1"/>
  <c r="S383" i="1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F384" i="8"/>
  <c r="AG384" i="8"/>
  <c r="AH384" i="8"/>
  <c r="AH386" i="21" s="1"/>
  <c r="AI384" i="8"/>
  <c r="AI386" i="21" s="1"/>
  <c r="S387" i="2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H385" i="8"/>
  <c r="AH387" i="21" s="1"/>
  <c r="AI385" i="8"/>
  <c r="T386" i="8"/>
  <c r="U386" i="8"/>
  <c r="V386" i="8"/>
  <c r="W386" i="8"/>
  <c r="X386" i="8"/>
  <c r="Y386" i="8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Y387" i="8"/>
  <c r="Z387" i="8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G388" i="8"/>
  <c r="AH388" i="8"/>
  <c r="AI388" i="8"/>
  <c r="AI390" i="21" s="1"/>
  <c r="T389" i="8"/>
  <c r="T391" i="11" s="1"/>
  <c r="U389" i="8"/>
  <c r="U391" i="11" s="1"/>
  <c r="V389" i="8"/>
  <c r="W389" i="8"/>
  <c r="X389" i="8"/>
  <c r="X391" i="21" s="1"/>
  <c r="Y389" i="8"/>
  <c r="Z389" i="8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D18" i="24"/>
  <c r="C19" i="24"/>
  <c r="C20" i="24" s="1"/>
  <c r="L380" i="2"/>
  <c r="M380" i="2"/>
  <c r="L381" i="2"/>
  <c r="N381" i="2" s="1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N389" i="2" s="1"/>
  <c r="M389" i="2"/>
  <c r="L390" i="2"/>
  <c r="M390" i="2"/>
  <c r="L391" i="2"/>
  <c r="M391" i="2"/>
  <c r="L392" i="2"/>
  <c r="M392" i="2"/>
  <c r="L393" i="2"/>
  <c r="N393" i="2" s="1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30" i="24" l="1"/>
  <c r="E23" i="14"/>
  <c r="G23" i="14" s="1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S367" i="9"/>
  <c r="AD373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8" i="10"/>
  <c r="AH1" i="8"/>
  <c r="AI1" i="8"/>
  <c r="AQ3" i="2"/>
  <c r="AR3" i="2"/>
  <c r="D30" i="24" l="1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AI1" i="9" s="1"/>
  <c r="N369" i="2"/>
  <c r="N353" i="2"/>
  <c r="H369" i="11"/>
  <c r="Y368" i="10"/>
  <c r="AH305" i="21"/>
  <c r="AH304" i="9"/>
  <c r="AH90" i="10"/>
  <c r="AH89" i="9"/>
  <c r="AH1" i="9" s="1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2" i="21" l="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7" i="14" l="1"/>
  <c r="F21" i="14"/>
  <c r="F20" i="14"/>
  <c r="F19" i="14"/>
  <c r="F18" i="14"/>
  <c r="F16" i="14"/>
  <c r="AC2" i="21"/>
  <c r="U2" i="21"/>
  <c r="D17" i="14" s="1"/>
  <c r="M2" i="21"/>
  <c r="D1" i="21"/>
  <c r="S2" i="21"/>
  <c r="AB2" i="21"/>
  <c r="T2" i="21"/>
  <c r="L2" i="21"/>
  <c r="D8" i="14" s="1"/>
  <c r="Z2" i="21"/>
  <c r="D22" i="14" s="1"/>
  <c r="R2" i="21"/>
  <c r="D14" i="14" s="1"/>
  <c r="J2" i="21"/>
  <c r="AA2" i="21"/>
  <c r="Y2" i="21"/>
  <c r="D21" i="14" s="1"/>
  <c r="Q2" i="21"/>
  <c r="I2" i="21"/>
  <c r="K2" i="21"/>
  <c r="X2" i="21"/>
  <c r="P2" i="21"/>
  <c r="D12" i="14" s="1"/>
  <c r="H2" i="21"/>
  <c r="W2" i="21"/>
  <c r="D19" i="14" s="1"/>
  <c r="O2" i="21"/>
  <c r="D11" i="14" s="1"/>
  <c r="G2" i="21"/>
  <c r="AD2" i="2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D20" i="14"/>
  <c r="D4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D3" i="14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P1" i="9" l="1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19" i="14"/>
  <c r="C18" i="14"/>
  <c r="R2" i="11"/>
  <c r="B14" i="14" s="1"/>
  <c r="C13" i="14"/>
  <c r="C12" i="14"/>
  <c r="P2" i="11"/>
  <c r="B12" i="14" s="1"/>
  <c r="AB2" i="11"/>
  <c r="V2" i="11"/>
  <c r="B18" i="14" s="1"/>
  <c r="G2" i="11"/>
  <c r="B3" i="14" s="1"/>
  <c r="Q2" i="11"/>
  <c r="B13" i="14" s="1"/>
  <c r="K2" i="11"/>
  <c r="AA2" i="11"/>
  <c r="L2" i="11"/>
  <c r="B8" i="14" s="1"/>
  <c r="AC2" i="11"/>
  <c r="F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22" i="14" l="1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<sst xmlns="http://schemas.openxmlformats.org/spreadsheetml/2006/main" count="3885" uniqueCount="1403">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</sst>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K207" activePane="bottomRight" state="frozen"/>
      <selection pane="topRight" activeCell="M1" sqref="M1"/>
      <selection pane="bottomLeft" activeCell="A5" sqref="A5"/>
      <selection pane="bottomRight" activeCell="AK211" sqref="AK211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s="51" t="s">
        <v>34</v>
      </c>
      <c r="B5" s="51" t="s">
        <v>1215</v>
      </c>
      <c r="C5" s="51" t="s">
        <v>1398</v>
      </c>
      <c r="D5" s="51" t="s">
        <v>44</v>
      </c>
      <c r="E5" s="51" t="s">
        <v>24</v>
      </c>
      <c r="F5" s="51" t="s">
        <v>1389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1210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1216</v>
      </c>
      <c r="C6" s="51" t="s">
        <v>1398</v>
      </c>
      <c r="D6" s="51" t="s">
        <v>46</v>
      </c>
      <c r="E6" s="51" t="s">
        <v>24</v>
      </c>
      <c r="F6" s="51" t="s">
        <v>1389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1217</v>
      </c>
      <c r="C7" s="51" t="s">
        <v>1398</v>
      </c>
      <c r="D7" s="51" t="s">
        <v>35</v>
      </c>
      <c r="E7" s="51" t="s">
        <v>24</v>
      </c>
      <c r="F7" s="51" t="s">
        <v>1390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1210</v>
      </c>
      <c r="P7" s="8" t="s">
        <v>1210</v>
      </c>
      <c r="Q7" s="8" t="s">
        <v>1210</v>
      </c>
      <c r="R7" s="8" t="s">
        <v>1210</v>
      </c>
      <c r="S7" s="27" t="s">
        <v>1210</v>
      </c>
      <c r="T7" s="27"/>
      <c r="U7" s="8" t="s">
        <v>1210</v>
      </c>
      <c r="V7" s="8" t="s">
        <v>1210</v>
      </c>
      <c r="W7" s="8" t="s">
        <v>1210</v>
      </c>
      <c r="X7" s="27" t="s">
        <v>1210</v>
      </c>
      <c r="Y7" s="27" t="s">
        <v>1210</v>
      </c>
      <c r="Z7" s="27" t="s">
        <v>1210</v>
      </c>
      <c r="AA7" s="27" t="s">
        <v>1210</v>
      </c>
      <c r="AB7" s="27" t="s">
        <v>1210</v>
      </c>
      <c r="AC7" s="27" t="s">
        <v>1210</v>
      </c>
      <c r="AD7" s="27" t="s">
        <v>1210</v>
      </c>
      <c r="AE7" s="27" t="s">
        <v>1210</v>
      </c>
      <c r="AF7" s="27" t="s">
        <v>1210</v>
      </c>
      <c r="AG7" s="27" t="s">
        <v>1210</v>
      </c>
      <c r="AH7" s="27" t="s">
        <v>1210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1218</v>
      </c>
      <c r="C8" s="51" t="s">
        <v>1398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1210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1219</v>
      </c>
      <c r="C9" s="51" t="s">
        <v>1398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1220</v>
      </c>
      <c r="C10" s="51" t="s">
        <v>1398</v>
      </c>
      <c r="D10" s="51" t="s">
        <v>1221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1210</v>
      </c>
      <c r="V10" s="8" t="s">
        <v>1210</v>
      </c>
      <c r="W10" s="8"/>
      <c r="X10" s="27"/>
      <c r="Y10" s="27"/>
      <c r="Z10" s="27" t="s">
        <v>1210</v>
      </c>
      <c r="AA10" s="27" t="s">
        <v>1210</v>
      </c>
      <c r="AB10" s="27" t="s">
        <v>1210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1398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1398</v>
      </c>
      <c r="D12" s="51" t="s">
        <v>42</v>
      </c>
      <c r="E12" s="51" t="s">
        <v>24</v>
      </c>
      <c r="F12" s="51" t="s">
        <v>1390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1398</v>
      </c>
      <c r="D13" s="51" t="s">
        <v>49</v>
      </c>
      <c r="E13" s="51" t="s">
        <v>24</v>
      </c>
      <c r="F13" s="51" t="s">
        <v>1390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1210</v>
      </c>
      <c r="V13" s="8" t="s">
        <v>1210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1398</v>
      </c>
      <c r="D14" s="51" t="s">
        <v>52</v>
      </c>
      <c r="E14" s="51" t="s">
        <v>19</v>
      </c>
      <c r="F14" s="51" t="s">
        <v>1390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1210</v>
      </c>
      <c r="V14" s="8" t="s">
        <v>1210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1222</v>
      </c>
      <c r="C15" s="51"/>
      <c r="D15" s="51" t="s">
        <v>59</v>
      </c>
      <c r="E15" s="51" t="s">
        <v>24</v>
      </c>
      <c r="F15" s="51" t="s">
        <v>1389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1223</v>
      </c>
      <c r="C16" s="51" t="s">
        <v>1398</v>
      </c>
      <c r="D16" s="51" t="s">
        <v>62</v>
      </c>
      <c r="E16" s="51" t="s">
        <v>19</v>
      </c>
      <c r="F16" s="51" t="s">
        <v>1389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1210</v>
      </c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1224</v>
      </c>
      <c r="C17" s="51"/>
      <c r="D17" s="51" t="s">
        <v>1225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1210</v>
      </c>
      <c r="V17" s="8" t="s">
        <v>1210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1226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1210</v>
      </c>
      <c r="V18" s="8" t="s">
        <v>1210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1227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1228</v>
      </c>
      <c r="C20" s="51" t="s">
        <v>1398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1229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1210</v>
      </c>
      <c r="X21" s="27" t="s">
        <v>1210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1230</v>
      </c>
      <c r="C22" s="51" t="s">
        <v>1398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29</v>
      </c>
      <c r="M22" s="17">
        <f t="shared" si="8"/>
        <v>1</v>
      </c>
      <c r="N22" s="18">
        <f t="shared" si="9"/>
        <v>0.96666666666666667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1210</v>
      </c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1231</v>
      </c>
      <c r="C23" s="51" t="s">
        <v>1398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1398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1398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1389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1398</v>
      </c>
      <c r="D29" s="51" t="s">
        <v>84</v>
      </c>
      <c r="E29" s="51" t="s">
        <v>19</v>
      </c>
      <c r="F29" s="51" t="s">
        <v>1390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29</v>
      </c>
      <c r="M29" s="17">
        <f t="shared" si="8"/>
        <v>1</v>
      </c>
      <c r="N29" s="18">
        <f t="shared" si="9"/>
        <v>0.96666666666666667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1210</v>
      </c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1232</v>
      </c>
      <c r="C31" s="51" t="s">
        <v>1398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1394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1398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1398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26</v>
      </c>
      <c r="M34" s="17">
        <f t="shared" si="8"/>
        <v>4</v>
      </c>
      <c r="N34" s="18">
        <f t="shared" si="9"/>
        <v>0.8666666666666667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1210</v>
      </c>
      <c r="AI34" s="27" t="s">
        <v>1210</v>
      </c>
      <c r="AJ34" s="27" t="s">
        <v>1210</v>
      </c>
      <c r="AK34" s="8" t="s">
        <v>1210</v>
      </c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1233</v>
      </c>
      <c r="C35" s="51" t="s">
        <v>1398</v>
      </c>
      <c r="D35" s="51" t="s">
        <v>1234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1235</v>
      </c>
      <c r="C36" s="51"/>
      <c r="D36" s="51" t="s">
        <v>1236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1210</v>
      </c>
      <c r="Q36" s="8" t="s">
        <v>1210</v>
      </c>
      <c r="R36" s="8" t="s">
        <v>1210</v>
      </c>
      <c r="S36" s="27" t="s">
        <v>1210</v>
      </c>
      <c r="T36" s="27"/>
      <c r="U36" s="8" t="s">
        <v>1210</v>
      </c>
      <c r="V36" s="8" t="s">
        <v>1210</v>
      </c>
      <c r="W36" s="8" t="s">
        <v>1210</v>
      </c>
      <c r="X36" s="27" t="s">
        <v>1210</v>
      </c>
      <c r="Y36" s="27" t="s">
        <v>1210</v>
      </c>
      <c r="Z36" s="27" t="s">
        <v>1210</v>
      </c>
      <c r="AA36" s="27" t="s">
        <v>1210</v>
      </c>
      <c r="AB36" s="27" t="s">
        <v>1210</v>
      </c>
      <c r="AC36" s="27" t="s">
        <v>1210</v>
      </c>
      <c r="AD36" s="27" t="s">
        <v>1210</v>
      </c>
      <c r="AE36" s="27" t="s">
        <v>1210</v>
      </c>
      <c r="AF36" s="27" t="s">
        <v>1210</v>
      </c>
      <c r="AG36" s="27" t="s">
        <v>1210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1398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1398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/>
      <c r="D42" s="51" t="s">
        <v>1237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/>
      <c r="D43" s="51" t="s">
        <v>1238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/>
      <c r="D45" s="51" t="s">
        <v>1239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/>
      <c r="D47" s="51" t="s">
        <v>1240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1398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1398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1390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1210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1398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1398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29</v>
      </c>
      <c r="M53" s="17">
        <f t="shared" si="8"/>
        <v>1</v>
      </c>
      <c r="N53" s="18">
        <f t="shared" si="9"/>
        <v>0.96666666666666667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1210</v>
      </c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/>
      <c r="D57" s="51" t="s">
        <v>1241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1398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/>
      <c r="D59" s="51" t="s">
        <v>1242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/>
      <c r="D60" s="51" t="s">
        <v>1243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/>
      <c r="D65" s="51" t="s">
        <v>1244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/>
      <c r="D67" s="51" t="s">
        <v>1245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1398</v>
      </c>
      <c r="D68" s="51" t="s">
        <v>1246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1398</v>
      </c>
      <c r="D69" s="51" t="s">
        <v>1247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1398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1210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1398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1398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1210</v>
      </c>
      <c r="P74" s="8" t="s">
        <v>1210</v>
      </c>
      <c r="Q74" s="8" t="s">
        <v>1210</v>
      </c>
      <c r="R74" s="8" t="s">
        <v>1210</v>
      </c>
      <c r="S74" s="27" t="s">
        <v>1210</v>
      </c>
      <c r="T74" s="27"/>
      <c r="U74" s="8" t="s">
        <v>1210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1398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1398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1210</v>
      </c>
      <c r="R80" s="8" t="s">
        <v>1210</v>
      </c>
      <c r="S80" s="27" t="s">
        <v>1210</v>
      </c>
      <c r="T80" s="27"/>
      <c r="U80" s="8"/>
      <c r="V80" s="8"/>
      <c r="W80" s="8"/>
      <c r="X80" s="27"/>
      <c r="Y80" s="27"/>
      <c r="Z80" s="27" t="s">
        <v>1210</v>
      </c>
      <c r="AA80" s="27" t="s">
        <v>1210</v>
      </c>
      <c r="AB80" s="27" t="s">
        <v>1210</v>
      </c>
      <c r="AC80" s="27" t="s">
        <v>1210</v>
      </c>
      <c r="AD80" s="27" t="s">
        <v>1210</v>
      </c>
      <c r="AE80" s="27" t="s">
        <v>1210</v>
      </c>
      <c r="AF80" s="27" t="s">
        <v>1210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1398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1248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1210</v>
      </c>
      <c r="R83" s="8" t="s">
        <v>1210</v>
      </c>
      <c r="S83" s="27" t="s">
        <v>1210</v>
      </c>
      <c r="T83" s="27"/>
      <c r="U83" s="8"/>
      <c r="V83" s="8"/>
      <c r="W83" s="8"/>
      <c r="X83" s="27"/>
      <c r="Y83" s="27"/>
      <c r="Z83" s="27" t="s">
        <v>1210</v>
      </c>
      <c r="AA83" s="27" t="s">
        <v>1210</v>
      </c>
      <c r="AB83" s="27" t="s">
        <v>1210</v>
      </c>
      <c r="AC83" s="27" t="s">
        <v>1210</v>
      </c>
      <c r="AD83" s="27" t="s">
        <v>1210</v>
      </c>
      <c r="AE83" s="27" t="s">
        <v>1210</v>
      </c>
      <c r="AF83" s="27" t="s">
        <v>1210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1249</v>
      </c>
      <c r="C84" s="51" t="s">
        <v>1398</v>
      </c>
      <c r="D84" s="51" t="s">
        <v>1250</v>
      </c>
      <c r="E84" s="51" t="s">
        <v>19</v>
      </c>
      <c r="F84" s="51" t="s">
        <v>1390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1251</v>
      </c>
      <c r="C85" s="51" t="s">
        <v>1398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1398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1398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1398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29</v>
      </c>
      <c r="M91" s="17">
        <f t="shared" si="11"/>
        <v>1</v>
      </c>
      <c r="N91" s="18">
        <f t="shared" si="12"/>
        <v>0.96666666666666667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1210</v>
      </c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1389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1398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1398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29</v>
      </c>
      <c r="M96" s="17">
        <f t="shared" si="11"/>
        <v>1</v>
      </c>
      <c r="N96" s="18">
        <f t="shared" si="12"/>
        <v>0.96666666666666667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1210</v>
      </c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1252</v>
      </c>
      <c r="C97" s="51" t="s">
        <v>1399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1399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1399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1253</v>
      </c>
      <c r="C100" s="51"/>
      <c r="D100" s="51" t="s">
        <v>265</v>
      </c>
      <c r="E100" s="51" t="s">
        <v>102</v>
      </c>
      <c r="F100" s="51" t="s">
        <v>1390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1254</v>
      </c>
      <c r="C101" s="51"/>
      <c r="D101" s="51" t="s">
        <v>265</v>
      </c>
      <c r="E101" s="51" t="s">
        <v>102</v>
      </c>
      <c r="F101" s="51" t="s">
        <v>1390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1255</v>
      </c>
      <c r="C102" s="51"/>
      <c r="D102" s="51" t="s">
        <v>1256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1210</v>
      </c>
      <c r="S102" s="27"/>
      <c r="T102" s="27"/>
      <c r="U102" s="8"/>
      <c r="V102" s="8" t="s">
        <v>1210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1257</v>
      </c>
      <c r="C103" s="51"/>
      <c r="D103" s="51" t="s">
        <v>1256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1210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1258</v>
      </c>
      <c r="C105" s="51" t="s">
        <v>1399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1210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1259</v>
      </c>
      <c r="C106" s="51" t="s">
        <v>1399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1210</v>
      </c>
      <c r="V106" s="8" t="s">
        <v>1210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1260</v>
      </c>
      <c r="C107" s="51" t="s">
        <v>1399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1210</v>
      </c>
      <c r="V107" s="8" t="s">
        <v>1210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1261</v>
      </c>
      <c r="C108" s="51" t="s">
        <v>1399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1210</v>
      </c>
      <c r="V108" s="8" t="s">
        <v>1210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/>
      <c r="D109" s="51" t="s">
        <v>1262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1210</v>
      </c>
      <c r="V109" s="8" t="s">
        <v>1210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1390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1210</v>
      </c>
      <c r="P111" s="8" t="s">
        <v>1210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1399</v>
      </c>
      <c r="D112" s="51" t="s">
        <v>288</v>
      </c>
      <c r="E112" s="51" t="s">
        <v>19</v>
      </c>
      <c r="F112" s="51" t="s">
        <v>1390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1399</v>
      </c>
      <c r="D113" s="51" t="s">
        <v>291</v>
      </c>
      <c r="E113" s="51" t="s">
        <v>24</v>
      </c>
      <c r="F113" s="51" t="s">
        <v>1389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1210</v>
      </c>
      <c r="P113" s="8" t="s">
        <v>1210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1210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1399</v>
      </c>
      <c r="D114" s="51" t="s">
        <v>293</v>
      </c>
      <c r="E114" s="51" t="s">
        <v>24</v>
      </c>
      <c r="F114" s="51" t="s">
        <v>1389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1210</v>
      </c>
      <c r="AA115" s="27" t="s">
        <v>1210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1263</v>
      </c>
      <c r="C116" s="51" t="s">
        <v>1399</v>
      </c>
      <c r="D116" s="51" t="s">
        <v>277</v>
      </c>
      <c r="E116" s="51" t="s">
        <v>19</v>
      </c>
      <c r="F116" s="51" t="s">
        <v>1390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1399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1399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1210</v>
      </c>
      <c r="P120" s="8" t="s">
        <v>1210</v>
      </c>
      <c r="Q120" s="8" t="s">
        <v>1210</v>
      </c>
      <c r="R120" s="8" t="s">
        <v>1210</v>
      </c>
      <c r="S120" s="27" t="s">
        <v>1210</v>
      </c>
      <c r="T120" s="27"/>
      <c r="U120" s="8" t="s">
        <v>1210</v>
      </c>
      <c r="V120" s="8" t="s">
        <v>1210</v>
      </c>
      <c r="W120" s="8" t="s">
        <v>1210</v>
      </c>
      <c r="X120" s="27" t="s">
        <v>1210</v>
      </c>
      <c r="Y120" s="27" t="s">
        <v>1210</v>
      </c>
      <c r="Z120" s="27" t="s">
        <v>1210</v>
      </c>
      <c r="AA120" s="27" t="s">
        <v>1210</v>
      </c>
      <c r="AB120" s="27" t="s">
        <v>1210</v>
      </c>
      <c r="AC120" s="27" t="s">
        <v>1210</v>
      </c>
      <c r="AD120" s="27" t="s">
        <v>1210</v>
      </c>
      <c r="AE120" s="27" t="s">
        <v>1210</v>
      </c>
      <c r="AF120" s="27" t="s">
        <v>1210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1264</v>
      </c>
      <c r="C121" s="51" t="s">
        <v>1399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1210</v>
      </c>
      <c r="P121" s="8" t="s">
        <v>1210</v>
      </c>
      <c r="Q121" s="8" t="s">
        <v>1210</v>
      </c>
      <c r="R121" s="8" t="s">
        <v>1210</v>
      </c>
      <c r="S121" s="27" t="s">
        <v>1210</v>
      </c>
      <c r="T121" s="27"/>
      <c r="U121" s="8" t="s">
        <v>1210</v>
      </c>
      <c r="V121" s="8" t="s">
        <v>1210</v>
      </c>
      <c r="W121" s="8" t="s">
        <v>1210</v>
      </c>
      <c r="X121" s="27" t="s">
        <v>1210</v>
      </c>
      <c r="Y121" s="27" t="s">
        <v>1210</v>
      </c>
      <c r="Z121" s="27" t="s">
        <v>1210</v>
      </c>
      <c r="AA121" s="27" t="s">
        <v>1210</v>
      </c>
      <c r="AB121" s="27" t="s">
        <v>1210</v>
      </c>
      <c r="AC121" s="27" t="s">
        <v>1210</v>
      </c>
      <c r="AD121" s="27" t="s">
        <v>1210</v>
      </c>
      <c r="AE121" s="27" t="s">
        <v>1210</v>
      </c>
      <c r="AF121" s="27" t="s">
        <v>1210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1265</v>
      </c>
      <c r="C122" s="51" t="s">
        <v>1399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1210</v>
      </c>
      <c r="V122" s="8" t="s">
        <v>1210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1266</v>
      </c>
      <c r="C123" s="51" t="s">
        <v>1399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1210</v>
      </c>
      <c r="V123" s="8" t="s">
        <v>1210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1398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1398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1390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1390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1267</v>
      </c>
      <c r="C128" s="51"/>
      <c r="D128" s="51" t="s">
        <v>346</v>
      </c>
      <c r="E128" s="51" t="s">
        <v>102</v>
      </c>
      <c r="F128" s="51" t="s">
        <v>1390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26</v>
      </c>
      <c r="M128" s="17">
        <f t="shared" si="11"/>
        <v>4</v>
      </c>
      <c r="N128" s="18">
        <f t="shared" si="12"/>
        <v>0.8666666666666667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1210</v>
      </c>
      <c r="AI128" s="27" t="s">
        <v>1210</v>
      </c>
      <c r="AJ128" s="27" t="s">
        <v>1210</v>
      </c>
      <c r="AK128" s="8" t="s">
        <v>1210</v>
      </c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1268</v>
      </c>
      <c r="C129" s="51"/>
      <c r="D129" s="51" t="s">
        <v>346</v>
      </c>
      <c r="E129" s="51" t="s">
        <v>102</v>
      </c>
      <c r="F129" s="51" t="s">
        <v>1390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25</v>
      </c>
      <c r="M129" s="17">
        <f t="shared" si="11"/>
        <v>5</v>
      </c>
      <c r="N129" s="18">
        <f t="shared" si="12"/>
        <v>0.83333333333333337</v>
      </c>
      <c r="O129" s="27"/>
      <c r="P129" s="8"/>
      <c r="Q129" s="8"/>
      <c r="R129" s="8"/>
      <c r="S129" s="27"/>
      <c r="T129" s="27"/>
      <c r="U129" s="8" t="s">
        <v>1210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1210</v>
      </c>
      <c r="AI129" s="27" t="s">
        <v>1210</v>
      </c>
      <c r="AJ129" s="27" t="s">
        <v>1210</v>
      </c>
      <c r="AK129" s="8" t="s">
        <v>1210</v>
      </c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1269</v>
      </c>
      <c r="C130" s="51"/>
      <c r="D130" s="51" t="s">
        <v>349</v>
      </c>
      <c r="E130" s="51" t="s">
        <v>102</v>
      </c>
      <c r="F130" s="51" t="s">
        <v>1390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1210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1270</v>
      </c>
      <c r="C131" s="51"/>
      <c r="D131" s="51" t="s">
        <v>349</v>
      </c>
      <c r="E131" s="51" t="s">
        <v>102</v>
      </c>
      <c r="F131" s="51" t="s">
        <v>1390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1398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1210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1398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1210</v>
      </c>
      <c r="P133" s="8" t="s">
        <v>1210</v>
      </c>
      <c r="Q133" s="8" t="s">
        <v>1210</v>
      </c>
      <c r="R133" s="8" t="s">
        <v>1210</v>
      </c>
      <c r="S133" s="27" t="s">
        <v>1210</v>
      </c>
      <c r="T133" s="27"/>
      <c r="U133" s="8" t="s">
        <v>1210</v>
      </c>
      <c r="V133" s="8" t="s">
        <v>1210</v>
      </c>
      <c r="W133" s="8" t="s">
        <v>1210</v>
      </c>
      <c r="X133" s="27" t="s">
        <v>1210</v>
      </c>
      <c r="Y133" s="27" t="s">
        <v>1210</v>
      </c>
      <c r="Z133" s="27" t="s">
        <v>1210</v>
      </c>
      <c r="AA133" s="27" t="s">
        <v>1210</v>
      </c>
      <c r="AB133" s="27" t="s">
        <v>1210</v>
      </c>
      <c r="AC133" s="27" t="s">
        <v>1210</v>
      </c>
      <c r="AD133" s="27" t="s">
        <v>1210</v>
      </c>
      <c r="AE133" s="27" t="s">
        <v>1210</v>
      </c>
      <c r="AF133" s="27" t="s">
        <v>1210</v>
      </c>
      <c r="AG133" s="27" t="s">
        <v>1210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1398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25</v>
      </c>
      <c r="M134" s="17">
        <f t="shared" si="14"/>
        <v>5</v>
      </c>
      <c r="N134" s="18">
        <f t="shared" si="15"/>
        <v>0.83333333333333337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1210</v>
      </c>
      <c r="AH134" s="27" t="s">
        <v>1210</v>
      </c>
      <c r="AI134" s="27" t="s">
        <v>1210</v>
      </c>
      <c r="AJ134" s="27" t="s">
        <v>1210</v>
      </c>
      <c r="AK134" s="8" t="s">
        <v>1210</v>
      </c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1398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1210</v>
      </c>
      <c r="P136" s="8" t="s">
        <v>1210</v>
      </c>
      <c r="Q136" s="8" t="s">
        <v>1210</v>
      </c>
      <c r="R136" s="8" t="s">
        <v>1210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1210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1398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28</v>
      </c>
      <c r="M137" s="17">
        <f t="shared" si="14"/>
        <v>2</v>
      </c>
      <c r="N137" s="18">
        <f t="shared" si="15"/>
        <v>0.93333333333333335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1210</v>
      </c>
      <c r="AK137" s="8" t="s">
        <v>1210</v>
      </c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1271</v>
      </c>
      <c r="C138" s="51" t="s">
        <v>1398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1210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1210</v>
      </c>
      <c r="AF138" s="27" t="s">
        <v>1210</v>
      </c>
      <c r="AG138" s="27" t="s">
        <v>1210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1272</v>
      </c>
      <c r="C139" s="51" t="s">
        <v>1398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1210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1210</v>
      </c>
      <c r="AF139" s="27" t="s">
        <v>1210</v>
      </c>
      <c r="AG139" s="27" t="s">
        <v>1210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1398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1210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1398</v>
      </c>
      <c r="D141" s="51" t="s">
        <v>352</v>
      </c>
      <c r="E141" s="51" t="s">
        <v>19</v>
      </c>
      <c r="F141" s="51" t="s">
        <v>1390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28</v>
      </c>
      <c r="M141" s="17">
        <f t="shared" si="14"/>
        <v>2</v>
      </c>
      <c r="N141" s="18">
        <f t="shared" si="15"/>
        <v>0.93333333333333335</v>
      </c>
      <c r="O141" s="27"/>
      <c r="P141" s="8"/>
      <c r="Q141" s="8"/>
      <c r="R141" s="8"/>
      <c r="S141" s="27"/>
      <c r="T141" s="27"/>
      <c r="U141" s="8" t="s">
        <v>1210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1210</v>
      </c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1398</v>
      </c>
      <c r="D142" s="51" t="s">
        <v>355</v>
      </c>
      <c r="E142" s="51" t="s">
        <v>19</v>
      </c>
      <c r="F142" s="51" t="s">
        <v>1390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29</v>
      </c>
      <c r="M142" s="17">
        <f t="shared" si="14"/>
        <v>1</v>
      </c>
      <c r="N142" s="18">
        <f t="shared" si="15"/>
        <v>0.96666666666666667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1210</v>
      </c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1398</v>
      </c>
      <c r="D143" s="51" t="s">
        <v>357</v>
      </c>
      <c r="E143" s="51" t="s">
        <v>19</v>
      </c>
      <c r="F143" s="51" t="s">
        <v>1390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27</v>
      </c>
      <c r="M143" s="17">
        <f t="shared" si="14"/>
        <v>3</v>
      </c>
      <c r="N143" s="18">
        <f t="shared" si="15"/>
        <v>0.9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1210</v>
      </c>
      <c r="AC143" s="27" t="s">
        <v>1210</v>
      </c>
      <c r="AD143" s="27"/>
      <c r="AE143" s="27"/>
      <c r="AF143" s="27"/>
      <c r="AG143" s="27"/>
      <c r="AH143" s="27"/>
      <c r="AI143" s="27"/>
      <c r="AJ143" s="27"/>
      <c r="AK143" s="8" t="s">
        <v>1210</v>
      </c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1273</v>
      </c>
      <c r="C144" s="51" t="s">
        <v>1398</v>
      </c>
      <c r="D144" s="51" t="s">
        <v>1274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1210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1398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1398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1210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1275</v>
      </c>
      <c r="C148" s="51" t="s">
        <v>1399</v>
      </c>
      <c r="D148" s="51" t="s">
        <v>367</v>
      </c>
      <c r="E148" s="51" t="s">
        <v>19</v>
      </c>
      <c r="F148" s="51" t="s">
        <v>1389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1210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1399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1276</v>
      </c>
      <c r="C151" s="51" t="s">
        <v>1398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1277</v>
      </c>
      <c r="C152" s="51" t="s">
        <v>1398</v>
      </c>
      <c r="D152" s="51" t="s">
        <v>1278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1210</v>
      </c>
      <c r="AA152" s="27" t="s">
        <v>1210</v>
      </c>
      <c r="AB152" s="27" t="s">
        <v>1210</v>
      </c>
      <c r="AC152" s="27" t="s">
        <v>1210</v>
      </c>
      <c r="AD152" s="27" t="s">
        <v>1210</v>
      </c>
      <c r="AE152" s="27" t="s">
        <v>1210</v>
      </c>
      <c r="AF152" s="27" t="s">
        <v>1210</v>
      </c>
      <c r="AG152" s="27" t="s">
        <v>1210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1279</v>
      </c>
      <c r="C153" s="51" t="s">
        <v>1398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1280</v>
      </c>
      <c r="C154" s="51" t="s">
        <v>1398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1281</v>
      </c>
      <c r="C155" s="51" t="s">
        <v>1398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1282</v>
      </c>
      <c r="C156" s="51" t="s">
        <v>1398</v>
      </c>
      <c r="D156" s="51" t="s">
        <v>372</v>
      </c>
      <c r="E156" s="51" t="s">
        <v>65</v>
      </c>
      <c r="F156" s="51" t="s">
        <v>1389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1398</v>
      </c>
      <c r="D157" s="51" t="s">
        <v>376</v>
      </c>
      <c r="E157" s="51" t="s">
        <v>24</v>
      </c>
      <c r="F157" s="51" t="s">
        <v>1389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1398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1398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1398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1398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1398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1398</v>
      </c>
      <c r="D163" s="51" t="s">
        <v>393</v>
      </c>
      <c r="E163" s="51" t="s">
        <v>24</v>
      </c>
      <c r="F163" s="51" t="s">
        <v>1389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1398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1283</v>
      </c>
      <c r="C165" s="51" t="s">
        <v>1398</v>
      </c>
      <c r="D165" s="51" t="s">
        <v>1284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1399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25</v>
      </c>
      <c r="M166" s="17">
        <f t="shared" si="14"/>
        <v>5</v>
      </c>
      <c r="N166" s="18">
        <f t="shared" si="15"/>
        <v>0.83333333333333337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1210</v>
      </c>
      <c r="AH166" s="27" t="s">
        <v>1210</v>
      </c>
      <c r="AI166" s="27" t="s">
        <v>1210</v>
      </c>
      <c r="AJ166" s="27" t="s">
        <v>1210</v>
      </c>
      <c r="AK166" s="8" t="s">
        <v>1210</v>
      </c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1399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1399</v>
      </c>
      <c r="D168" s="51" t="s">
        <v>18</v>
      </c>
      <c r="E168" s="51" t="s">
        <v>19</v>
      </c>
      <c r="F168" s="51" t="s">
        <v>1389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1210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1285</v>
      </c>
      <c r="C169" s="51" t="s">
        <v>1399</v>
      </c>
      <c r="D169" s="51" t="s">
        <v>1286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1210</v>
      </c>
      <c r="V169" s="8" t="s">
        <v>1210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1287</v>
      </c>
      <c r="B170" s="51" t="s">
        <v>1288</v>
      </c>
      <c r="C170" s="51" t="s">
        <v>1399</v>
      </c>
      <c r="D170" s="51" t="s">
        <v>1286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1399</v>
      </c>
      <c r="D171" s="51" t="s">
        <v>1289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1210</v>
      </c>
      <c r="V171" s="8" t="s">
        <v>1210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1399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1399</v>
      </c>
      <c r="D173" s="51" t="s">
        <v>1290</v>
      </c>
      <c r="E173" s="51" t="s">
        <v>19</v>
      </c>
      <c r="F173" s="51" t="s">
        <v>1390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1210</v>
      </c>
      <c r="V173" s="8" t="s">
        <v>1210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1399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1210</v>
      </c>
      <c r="V174" s="8" t="s">
        <v>1210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1291</v>
      </c>
      <c r="C175" s="51" t="s">
        <v>1398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1292</v>
      </c>
      <c r="C176" s="51" t="s">
        <v>1398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1293</v>
      </c>
      <c r="C177" s="51" t="s">
        <v>1398</v>
      </c>
      <c r="D177" s="51" t="s">
        <v>417</v>
      </c>
      <c r="E177" s="51" t="s">
        <v>24</v>
      </c>
      <c r="F177" s="51" t="s">
        <v>1389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1210</v>
      </c>
      <c r="P177" s="8" t="s">
        <v>1210</v>
      </c>
      <c r="Q177" s="8" t="s">
        <v>1210</v>
      </c>
      <c r="R177" s="8" t="s">
        <v>1210</v>
      </c>
      <c r="S177" s="27" t="s">
        <v>1210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1398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1395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1398</v>
      </c>
      <c r="D179" s="51" t="s">
        <v>415</v>
      </c>
      <c r="E179" s="51" t="s">
        <v>24</v>
      </c>
      <c r="F179" s="51" t="s">
        <v>1389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1398</v>
      </c>
      <c r="D180" s="51" t="s">
        <v>420</v>
      </c>
      <c r="E180" s="51" t="s">
        <v>19</v>
      </c>
      <c r="F180" s="51" t="s">
        <v>1389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1398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1398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1210</v>
      </c>
      <c r="Q182" s="8" t="s">
        <v>1210</v>
      </c>
      <c r="R182" s="8" t="s">
        <v>1210</v>
      </c>
      <c r="S182" s="27" t="s">
        <v>1210</v>
      </c>
      <c r="T182" s="27"/>
      <c r="U182" s="8" t="s">
        <v>1210</v>
      </c>
      <c r="V182" s="8" t="s">
        <v>1210</v>
      </c>
      <c r="W182" s="8" t="s">
        <v>1210</v>
      </c>
      <c r="X182" s="27" t="s">
        <v>1210</v>
      </c>
      <c r="Y182" s="27" t="s">
        <v>1210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1398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1398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1294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1210</v>
      </c>
      <c r="R185" s="8" t="s">
        <v>1210</v>
      </c>
      <c r="S185" s="27" t="s">
        <v>1210</v>
      </c>
      <c r="T185" s="27"/>
      <c r="U185" s="8"/>
      <c r="V185" s="8"/>
      <c r="W185" s="8"/>
      <c r="X185" s="27"/>
      <c r="Y185" s="27"/>
      <c r="Z185" s="27" t="s">
        <v>1210</v>
      </c>
      <c r="AA185" s="27" t="s">
        <v>1210</v>
      </c>
      <c r="AB185" s="27" t="s">
        <v>1210</v>
      </c>
      <c r="AC185" s="27" t="s">
        <v>1210</v>
      </c>
      <c r="AD185" s="27" t="s">
        <v>1210</v>
      </c>
      <c r="AE185" s="27" t="s">
        <v>1210</v>
      </c>
      <c r="AF185" s="27" t="s">
        <v>1210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1210</v>
      </c>
      <c r="R186" s="8" t="s">
        <v>1210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1210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1210</v>
      </c>
      <c r="P187" s="8" t="s">
        <v>1210</v>
      </c>
      <c r="Q187" s="8" t="s">
        <v>1210</v>
      </c>
      <c r="R187" s="8" t="s">
        <v>1210</v>
      </c>
      <c r="S187" s="27" t="s">
        <v>1210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1390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1396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1398</v>
      </c>
      <c r="D191" s="51" t="s">
        <v>451</v>
      </c>
      <c r="E191" s="51" t="s">
        <v>24</v>
      </c>
      <c r="F191" s="51" t="s">
        <v>1389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1210</v>
      </c>
      <c r="P191" s="8" t="s">
        <v>1210</v>
      </c>
      <c r="Q191" s="8" t="s">
        <v>1210</v>
      </c>
      <c r="R191" s="8" t="s">
        <v>1210</v>
      </c>
      <c r="S191" s="27" t="s">
        <v>1210</v>
      </c>
      <c r="T191" s="27"/>
      <c r="U191" s="8" t="s">
        <v>1210</v>
      </c>
      <c r="V191" s="8" t="s">
        <v>1210</v>
      </c>
      <c r="W191" s="8" t="s">
        <v>1210</v>
      </c>
      <c r="X191" s="27" t="s">
        <v>1210</v>
      </c>
      <c r="Y191" s="27" t="s">
        <v>1210</v>
      </c>
      <c r="Z191" s="27" t="s">
        <v>1210</v>
      </c>
      <c r="AA191" s="27" t="s">
        <v>1210</v>
      </c>
      <c r="AB191" s="27" t="s">
        <v>1210</v>
      </c>
      <c r="AC191" s="27" t="s">
        <v>1210</v>
      </c>
      <c r="AD191" s="27" t="s">
        <v>1210</v>
      </c>
      <c r="AE191" s="27" t="s">
        <v>1210</v>
      </c>
      <c r="AF191" s="27" t="s">
        <v>1210</v>
      </c>
      <c r="AG191" s="27" t="s">
        <v>1210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1389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1210</v>
      </c>
      <c r="P192" s="8" t="s">
        <v>1210</v>
      </c>
      <c r="Q192" s="8" t="s">
        <v>1210</v>
      </c>
      <c r="R192" s="8" t="s">
        <v>1210</v>
      </c>
      <c r="S192" s="27" t="s">
        <v>1210</v>
      </c>
      <c r="T192" s="27"/>
      <c r="U192" s="8" t="s">
        <v>1210</v>
      </c>
      <c r="V192" s="8" t="s">
        <v>1210</v>
      </c>
      <c r="W192" s="8" t="s">
        <v>1210</v>
      </c>
      <c r="X192" s="27" t="s">
        <v>1210</v>
      </c>
      <c r="Y192" s="27" t="s">
        <v>1210</v>
      </c>
      <c r="Z192" s="27" t="s">
        <v>1210</v>
      </c>
      <c r="AA192" s="27" t="s">
        <v>1210</v>
      </c>
      <c r="AB192" s="27" t="s">
        <v>1210</v>
      </c>
      <c r="AC192" s="27" t="s">
        <v>1210</v>
      </c>
      <c r="AD192" s="27" t="s">
        <v>1210</v>
      </c>
      <c r="AE192" s="27" t="s">
        <v>1210</v>
      </c>
      <c r="AF192" s="27" t="s">
        <v>1210</v>
      </c>
      <c r="AG192" s="27" t="s">
        <v>1210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1210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433</v>
      </c>
      <c r="B194" s="51" t="s">
        <v>458</v>
      </c>
      <c r="C194" s="51" t="s">
        <v>1399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1210</v>
      </c>
      <c r="X194" s="27" t="s">
        <v>1210</v>
      </c>
      <c r="Y194" s="27" t="s">
        <v>1210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1399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1399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24</v>
      </c>
      <c r="M197" s="17">
        <f t="shared" ref="M197:M262" si="17">COUNTIF(O197:AP197,"APAGADO")</f>
        <v>6</v>
      </c>
      <c r="N197" s="18">
        <f t="shared" ref="N197:N262" si="18">(L197)/(M197+L197)</f>
        <v>0.8</v>
      </c>
      <c r="O197" s="27"/>
      <c r="P197" s="8"/>
      <c r="Q197" s="8"/>
      <c r="R197" s="8"/>
      <c r="S197" s="27"/>
      <c r="T197" s="27"/>
      <c r="U197" s="8" t="s">
        <v>1210</v>
      </c>
      <c r="V197" s="8" t="s">
        <v>1210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1210</v>
      </c>
      <c r="AI197" s="27" t="s">
        <v>1210</v>
      </c>
      <c r="AJ197" s="27" t="s">
        <v>1210</v>
      </c>
      <c r="AK197" s="8" t="s">
        <v>1210</v>
      </c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1399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24</v>
      </c>
      <c r="M198" s="17">
        <f t="shared" si="17"/>
        <v>6</v>
      </c>
      <c r="N198" s="18">
        <f t="shared" si="18"/>
        <v>0.8</v>
      </c>
      <c r="O198" s="27"/>
      <c r="P198" s="8"/>
      <c r="Q198" s="8"/>
      <c r="R198" s="8"/>
      <c r="S198" s="27"/>
      <c r="T198" s="27"/>
      <c r="U198" s="8" t="s">
        <v>1210</v>
      </c>
      <c r="V198" s="8" t="s">
        <v>1210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1210</v>
      </c>
      <c r="AI198" s="27" t="s">
        <v>1210</v>
      </c>
      <c r="AJ198" s="27" t="s">
        <v>1210</v>
      </c>
      <c r="AK198" s="8" t="s">
        <v>1210</v>
      </c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1210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1210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1210</v>
      </c>
      <c r="S201" s="27"/>
      <c r="T201" s="27"/>
      <c r="U201" s="8"/>
      <c r="V201" s="8" t="s">
        <v>1210</v>
      </c>
      <c r="W201" s="8" t="s">
        <v>1210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1399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1210</v>
      </c>
      <c r="S202" s="27"/>
      <c r="T202" s="27"/>
      <c r="U202" s="8"/>
      <c r="V202" s="8"/>
      <c r="W202" s="8" t="s">
        <v>1210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1210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1399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1295</v>
      </c>
      <c r="C205" s="51" t="s">
        <v>1399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1399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1210</v>
      </c>
      <c r="P206" s="8" t="s">
        <v>1210</v>
      </c>
      <c r="Q206" s="8" t="s">
        <v>1210</v>
      </c>
      <c r="R206" s="8" t="s">
        <v>1210</v>
      </c>
      <c r="S206" s="27" t="s">
        <v>1210</v>
      </c>
      <c r="T206" s="27"/>
      <c r="U206" s="8" t="s">
        <v>1210</v>
      </c>
      <c r="V206" s="8" t="s">
        <v>1210</v>
      </c>
      <c r="W206" s="8" t="s">
        <v>1210</v>
      </c>
      <c r="X206" s="27" t="s">
        <v>1210</v>
      </c>
      <c r="Y206" s="27" t="s">
        <v>1210</v>
      </c>
      <c r="Z206" s="27" t="s">
        <v>1210</v>
      </c>
      <c r="AA206" s="27" t="s">
        <v>1210</v>
      </c>
      <c r="AB206" s="27" t="s">
        <v>1210</v>
      </c>
      <c r="AC206" s="27" t="s">
        <v>1210</v>
      </c>
      <c r="AD206" s="27" t="s">
        <v>1210</v>
      </c>
      <c r="AE206" s="27" t="s">
        <v>1210</v>
      </c>
      <c r="AF206" s="27" t="s">
        <v>1210</v>
      </c>
      <c r="AG206" s="27" t="s">
        <v>1210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1398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1210</v>
      </c>
      <c r="P207" s="8" t="s">
        <v>1210</v>
      </c>
      <c r="Q207" s="8" t="s">
        <v>1210</v>
      </c>
      <c r="R207" s="8" t="s">
        <v>1210</v>
      </c>
      <c r="S207" s="27" t="s">
        <v>1210</v>
      </c>
      <c r="T207" s="27"/>
      <c r="U207" s="8" t="s">
        <v>1210</v>
      </c>
      <c r="V207" s="8" t="s">
        <v>1210</v>
      </c>
      <c r="W207" s="8" t="s">
        <v>1210</v>
      </c>
      <c r="X207" s="27" t="s">
        <v>1210</v>
      </c>
      <c r="Y207" s="27" t="s">
        <v>1210</v>
      </c>
      <c r="Z207" s="27" t="s">
        <v>1210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1399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1210</v>
      </c>
      <c r="AB208" s="27" t="s">
        <v>1210</v>
      </c>
      <c r="AC208" s="27" t="s">
        <v>1210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1399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1296</v>
      </c>
      <c r="C210" s="51" t="s">
        <v>1399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26</v>
      </c>
      <c r="M210" s="17">
        <f t="shared" si="17"/>
        <v>4</v>
      </c>
      <c r="N210" s="18">
        <f t="shared" si="18"/>
        <v>0.8666666666666667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1210</v>
      </c>
      <c r="AI210" s="27" t="s">
        <v>1210</v>
      </c>
      <c r="AJ210" s="27" t="s">
        <v>1210</v>
      </c>
      <c r="AK210" s="8" t="s">
        <v>1210</v>
      </c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1399</v>
      </c>
      <c r="D211" s="51" t="s">
        <v>495</v>
      </c>
      <c r="E211" s="51" t="s">
        <v>19</v>
      </c>
      <c r="F211" s="51" t="s">
        <v>1390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1210</v>
      </c>
      <c r="P211" s="8" t="s">
        <v>1210</v>
      </c>
      <c r="Q211" s="8" t="s">
        <v>1210</v>
      </c>
      <c r="R211" s="8" t="s">
        <v>1210</v>
      </c>
      <c r="S211" s="27" t="s">
        <v>1210</v>
      </c>
      <c r="T211" s="27"/>
      <c r="U211" s="8" t="s">
        <v>1210</v>
      </c>
      <c r="V211" s="8" t="s">
        <v>1210</v>
      </c>
      <c r="W211" s="8" t="s">
        <v>1210</v>
      </c>
      <c r="X211" s="27" t="s">
        <v>1210</v>
      </c>
      <c r="Y211" s="27" t="s">
        <v>1210</v>
      </c>
      <c r="Z211" s="27" t="s">
        <v>1210</v>
      </c>
      <c r="AA211" s="27" t="s">
        <v>1210</v>
      </c>
      <c r="AB211" s="27" t="s">
        <v>1210</v>
      </c>
      <c r="AC211" s="27" t="s">
        <v>1210</v>
      </c>
      <c r="AD211" s="27" t="s">
        <v>1210</v>
      </c>
      <c r="AE211" s="27" t="s">
        <v>1210</v>
      </c>
      <c r="AF211" s="27" t="s">
        <v>1210</v>
      </c>
      <c r="AG211" s="27" t="s">
        <v>1210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1390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1210</v>
      </c>
      <c r="P212" s="8" t="s">
        <v>1210</v>
      </c>
      <c r="Q212" s="8" t="s">
        <v>1210</v>
      </c>
      <c r="R212" s="8" t="s">
        <v>1210</v>
      </c>
      <c r="S212" s="27" t="s">
        <v>1210</v>
      </c>
      <c r="T212" s="27"/>
      <c r="U212" s="8" t="s">
        <v>1210</v>
      </c>
      <c r="V212" s="8" t="s">
        <v>1210</v>
      </c>
      <c r="W212" s="8" t="s">
        <v>1210</v>
      </c>
      <c r="X212" s="27" t="s">
        <v>1210</v>
      </c>
      <c r="Y212" s="27" t="s">
        <v>1210</v>
      </c>
      <c r="Z212" s="27" t="s">
        <v>1210</v>
      </c>
      <c r="AA212" s="27" t="s">
        <v>1210</v>
      </c>
      <c r="AB212" s="27" t="s">
        <v>1210</v>
      </c>
      <c r="AC212" s="27" t="s">
        <v>1210</v>
      </c>
      <c r="AD212" s="27" t="s">
        <v>1210</v>
      </c>
      <c r="AE212" s="27" t="s">
        <v>1210</v>
      </c>
      <c r="AF212" s="27" t="s">
        <v>1210</v>
      </c>
      <c r="AG212" s="27" t="s">
        <v>1210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1399</v>
      </c>
      <c r="D213" s="51" t="s">
        <v>1297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1210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1399</v>
      </c>
      <c r="D214" s="51" t="s">
        <v>1297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1210</v>
      </c>
      <c r="X214" s="27" t="s">
        <v>1210</v>
      </c>
      <c r="Y214" s="27" t="s">
        <v>1210</v>
      </c>
      <c r="Z214" s="27" t="s">
        <v>1210</v>
      </c>
      <c r="AA214" s="27"/>
      <c r="AB214" s="27"/>
      <c r="AC214" s="27"/>
      <c r="AD214" s="27"/>
      <c r="AE214" s="27" t="s">
        <v>1210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1399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1210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1399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25</v>
      </c>
      <c r="M216" s="17">
        <f t="shared" si="17"/>
        <v>5</v>
      </c>
      <c r="N216" s="18">
        <f t="shared" si="18"/>
        <v>0.83333333333333337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1210</v>
      </c>
      <c r="AF216" s="27"/>
      <c r="AG216" s="27"/>
      <c r="AH216" s="27" t="s">
        <v>1210</v>
      </c>
      <c r="AI216" s="27" t="s">
        <v>1210</v>
      </c>
      <c r="AJ216" s="27" t="s">
        <v>1210</v>
      </c>
      <c r="AK216" s="8" t="s">
        <v>1210</v>
      </c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1298</v>
      </c>
      <c r="C217" s="51"/>
      <c r="D217" s="51" t="s">
        <v>1299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25</v>
      </c>
      <c r="M217" s="17">
        <f t="shared" si="17"/>
        <v>5</v>
      </c>
      <c r="N217" s="18">
        <f t="shared" si="18"/>
        <v>0.83333333333333337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1210</v>
      </c>
      <c r="AF217" s="27"/>
      <c r="AG217" s="27"/>
      <c r="AH217" s="27" t="s">
        <v>1210</v>
      </c>
      <c r="AI217" s="27" t="s">
        <v>1210</v>
      </c>
      <c r="AJ217" s="27" t="s">
        <v>1210</v>
      </c>
      <c r="AK217" s="8" t="s">
        <v>1210</v>
      </c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1300</v>
      </c>
      <c r="C218" s="51" t="s">
        <v>1399</v>
      </c>
      <c r="D218" s="51" t="s">
        <v>1301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1210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1302</v>
      </c>
      <c r="C219" s="51"/>
      <c r="D219" s="51" t="s">
        <v>1303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1210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1399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1210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1304</v>
      </c>
      <c r="C221" s="51" t="s">
        <v>1399</v>
      </c>
      <c r="D221" s="51" t="s">
        <v>1305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1210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1306</v>
      </c>
      <c r="C222" s="51" t="s">
        <v>1399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1210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1307</v>
      </c>
      <c r="C223" s="51"/>
      <c r="D223" s="51" t="s">
        <v>1308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1210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1309</v>
      </c>
      <c r="C224" s="51" t="s">
        <v>1399</v>
      </c>
      <c r="D224" s="51" t="s">
        <v>1310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1210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1311</v>
      </c>
      <c r="C225" s="51" t="s">
        <v>1399</v>
      </c>
      <c r="D225" s="51" t="s">
        <v>1312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1313</v>
      </c>
      <c r="C226" s="51" t="s">
        <v>1399</v>
      </c>
      <c r="D226" s="51" t="s">
        <v>1314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1399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1315</v>
      </c>
      <c r="C228" s="51" t="s">
        <v>1399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1399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1399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1210</v>
      </c>
      <c r="V230" s="8" t="s">
        <v>1210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1399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1210</v>
      </c>
      <c r="P231" s="8" t="s">
        <v>1210</v>
      </c>
      <c r="Q231" s="8" t="s">
        <v>1210</v>
      </c>
      <c r="R231" s="8" t="s">
        <v>1210</v>
      </c>
      <c r="S231" s="27" t="s">
        <v>1210</v>
      </c>
      <c r="T231" s="27"/>
      <c r="U231" s="8" t="s">
        <v>1210</v>
      </c>
      <c r="V231" s="8" t="s">
        <v>1210</v>
      </c>
      <c r="W231" s="8" t="s">
        <v>1210</v>
      </c>
      <c r="X231" s="27" t="s">
        <v>1210</v>
      </c>
      <c r="Y231" s="27" t="s">
        <v>1210</v>
      </c>
      <c r="Z231" s="27" t="s">
        <v>1210</v>
      </c>
      <c r="AA231" s="27" t="s">
        <v>1210</v>
      </c>
      <c r="AB231" s="27" t="s">
        <v>1210</v>
      </c>
      <c r="AC231" s="27" t="s">
        <v>1210</v>
      </c>
      <c r="AD231" s="27" t="s">
        <v>1210</v>
      </c>
      <c r="AE231" s="27" t="s">
        <v>1210</v>
      </c>
      <c r="AF231" s="27" t="s">
        <v>1210</v>
      </c>
      <c r="AG231" s="27" t="s">
        <v>1210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1399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1210</v>
      </c>
      <c r="P232" s="8" t="s">
        <v>1210</v>
      </c>
      <c r="Q232" s="8" t="s">
        <v>1210</v>
      </c>
      <c r="R232" s="8" t="s">
        <v>1210</v>
      </c>
      <c r="S232" s="27" t="s">
        <v>1210</v>
      </c>
      <c r="T232" s="27"/>
      <c r="U232" s="8" t="s">
        <v>1210</v>
      </c>
      <c r="V232" s="8" t="s">
        <v>1210</v>
      </c>
      <c r="W232" s="8" t="s">
        <v>1210</v>
      </c>
      <c r="X232" s="27" t="s">
        <v>1210</v>
      </c>
      <c r="Y232" s="27" t="s">
        <v>1210</v>
      </c>
      <c r="Z232" s="27" t="s">
        <v>1210</v>
      </c>
      <c r="AA232" s="27" t="s">
        <v>1210</v>
      </c>
      <c r="AB232" s="27" t="s">
        <v>1210</v>
      </c>
      <c r="AC232" s="27" t="s">
        <v>1210</v>
      </c>
      <c r="AD232" s="27" t="s">
        <v>1210</v>
      </c>
      <c r="AE232" s="27" t="s">
        <v>1210</v>
      </c>
      <c r="AF232" s="27" t="s">
        <v>1210</v>
      </c>
      <c r="AG232" s="27" t="s">
        <v>1210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1316</v>
      </c>
      <c r="C233" s="51" t="s">
        <v>1399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1317</v>
      </c>
      <c r="C234" s="51" t="s">
        <v>1399</v>
      </c>
      <c r="D234" s="51" t="s">
        <v>1318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1197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1319</v>
      </c>
      <c r="C235" s="51" t="s">
        <v>1399</v>
      </c>
      <c r="D235" s="51" t="s">
        <v>1320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1198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1321</v>
      </c>
      <c r="C236" s="51" t="s">
        <v>1399</v>
      </c>
      <c r="D236" s="51" t="s">
        <v>1322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1199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1323</v>
      </c>
      <c r="C237" s="51" t="s">
        <v>1399</v>
      </c>
      <c r="D237" s="51" t="s">
        <v>1324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1200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1325</v>
      </c>
      <c r="C238" s="51" t="s">
        <v>1399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1326</v>
      </c>
      <c r="C239" s="51" t="s">
        <v>1399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1399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1399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1188</v>
      </c>
      <c r="B242" s="51" t="s">
        <v>1327</v>
      </c>
      <c r="C242" s="51" t="s">
        <v>1399</v>
      </c>
      <c r="D242" s="51" t="s">
        <v>1328</v>
      </c>
      <c r="E242" s="51" t="s">
        <v>1391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1188</v>
      </c>
      <c r="B243" s="51" t="s">
        <v>1187</v>
      </c>
      <c r="C243" s="51" t="s">
        <v>1399</v>
      </c>
      <c r="D243" s="51" t="s">
        <v>1328</v>
      </c>
      <c r="E243" s="51" t="s">
        <v>1392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1329</v>
      </c>
      <c r="C244" s="51" t="s">
        <v>1398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1330</v>
      </c>
      <c r="C245" s="51" t="s">
        <v>1398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1331</v>
      </c>
      <c r="C246" s="51"/>
      <c r="D246" s="51" t="s">
        <v>1332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1333</v>
      </c>
      <c r="C247" s="51"/>
      <c r="D247" s="51" t="s">
        <v>1334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1210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1398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1210</v>
      </c>
      <c r="X248" s="27" t="s">
        <v>1210</v>
      </c>
      <c r="Y248" s="27" t="s">
        <v>1210</v>
      </c>
      <c r="Z248" s="27" t="s">
        <v>1210</v>
      </c>
      <c r="AA248" s="27" t="s">
        <v>1210</v>
      </c>
      <c r="AB248" s="27" t="s">
        <v>1210</v>
      </c>
      <c r="AC248" s="27" t="s">
        <v>1210</v>
      </c>
      <c r="AD248" s="27" t="s">
        <v>1210</v>
      </c>
      <c r="AE248" s="27" t="s">
        <v>1210</v>
      </c>
      <c r="AF248" s="27" t="s">
        <v>1210</v>
      </c>
      <c r="AG248" s="27" t="s">
        <v>1210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1398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1398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1210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1398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1335</v>
      </c>
      <c r="C252" s="51" t="s">
        <v>1398</v>
      </c>
      <c r="D252" s="51" t="s">
        <v>543</v>
      </c>
      <c r="E252" s="51" t="s">
        <v>24</v>
      </c>
      <c r="F252" s="51" t="s">
        <v>1389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1398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1398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26</v>
      </c>
      <c r="M254" s="17">
        <f t="shared" si="17"/>
        <v>4</v>
      </c>
      <c r="N254" s="18">
        <f t="shared" si="18"/>
        <v>0.8666666666666667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1210</v>
      </c>
      <c r="AI254" s="27" t="s">
        <v>1210</v>
      </c>
      <c r="AJ254" s="27" t="s">
        <v>1210</v>
      </c>
      <c r="AK254" s="8" t="s">
        <v>1210</v>
      </c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1398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26</v>
      </c>
      <c r="M255" s="17">
        <f t="shared" si="17"/>
        <v>4</v>
      </c>
      <c r="N255" s="18">
        <f t="shared" si="18"/>
        <v>0.8666666666666667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1210</v>
      </c>
      <c r="AI255" s="27" t="s">
        <v>1210</v>
      </c>
      <c r="AJ255" s="27" t="s">
        <v>1210</v>
      </c>
      <c r="AK255" s="8" t="s">
        <v>1210</v>
      </c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1398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1398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1398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1193</v>
      </c>
      <c r="C261" s="51" t="s">
        <v>1398</v>
      </c>
      <c r="D261" s="51" t="s">
        <v>1194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1201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1195</v>
      </c>
      <c r="C262" s="51" t="s">
        <v>1398</v>
      </c>
      <c r="D262" s="51" t="s">
        <v>1196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1202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1336</v>
      </c>
      <c r="C263" s="51"/>
      <c r="D263" s="51" t="s">
        <v>1337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1398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1398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1398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1398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1398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1398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1398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1399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27</v>
      </c>
      <c r="M272" s="17">
        <f t="shared" si="21"/>
        <v>3</v>
      </c>
      <c r="N272" s="18">
        <f t="shared" si="22"/>
        <v>0.9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1210</v>
      </c>
      <c r="AI272" s="27" t="s">
        <v>1210</v>
      </c>
      <c r="AJ272" s="27" t="s">
        <v>1210</v>
      </c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1338</v>
      </c>
      <c r="C273" s="51"/>
      <c r="D273" s="51" t="s">
        <v>1339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1340</v>
      </c>
      <c r="C274" s="51"/>
      <c r="D274" s="51" t="s">
        <v>1339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1210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27</v>
      </c>
      <c r="M281" s="17">
        <f t="shared" si="21"/>
        <v>3</v>
      </c>
      <c r="N281" s="18">
        <f t="shared" si="22"/>
        <v>0.9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1210</v>
      </c>
      <c r="AJ281" s="27" t="s">
        <v>1210</v>
      </c>
      <c r="AK281" s="8" t="s">
        <v>1210</v>
      </c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1399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1399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1210</v>
      </c>
      <c r="P283" s="8" t="s">
        <v>1210</v>
      </c>
      <c r="Q283" s="8" t="s">
        <v>1210</v>
      </c>
      <c r="R283" s="8" t="s">
        <v>1210</v>
      </c>
      <c r="S283" s="27" t="s">
        <v>1210</v>
      </c>
      <c r="T283" s="27"/>
      <c r="U283" s="8" t="s">
        <v>1210</v>
      </c>
      <c r="V283" s="8" t="s">
        <v>1210</v>
      </c>
      <c r="W283" s="8" t="s">
        <v>1210</v>
      </c>
      <c r="X283" s="27" t="s">
        <v>1210</v>
      </c>
      <c r="Y283" s="27" t="s">
        <v>1210</v>
      </c>
      <c r="Z283" s="27" t="s">
        <v>1210</v>
      </c>
      <c r="AA283" s="27" t="s">
        <v>1210</v>
      </c>
      <c r="AB283" s="27" t="s">
        <v>1210</v>
      </c>
      <c r="AC283" s="27" t="s">
        <v>1210</v>
      </c>
      <c r="AD283" s="27" t="s">
        <v>1210</v>
      </c>
      <c r="AE283" s="27" t="s">
        <v>1210</v>
      </c>
      <c r="AF283" s="27" t="s">
        <v>1210</v>
      </c>
      <c r="AG283" s="27" t="s">
        <v>1210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1399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1399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1399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1210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1399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1210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1390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1341</v>
      </c>
      <c r="C289" s="51" t="s">
        <v>1398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29</v>
      </c>
      <c r="M289" s="17">
        <f t="shared" si="21"/>
        <v>1</v>
      </c>
      <c r="N289" s="18">
        <f t="shared" si="22"/>
        <v>0.96666666666666667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1210</v>
      </c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1342</v>
      </c>
      <c r="C290" s="51" t="s">
        <v>1398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29</v>
      </c>
      <c r="M290" s="17">
        <f t="shared" si="21"/>
        <v>1</v>
      </c>
      <c r="N290" s="18">
        <f t="shared" si="22"/>
        <v>0.96666666666666667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1210</v>
      </c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1398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29</v>
      </c>
      <c r="M291" s="17">
        <f t="shared" si="21"/>
        <v>1</v>
      </c>
      <c r="N291" s="18">
        <f t="shared" si="22"/>
        <v>0.96666666666666667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1210</v>
      </c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1398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29</v>
      </c>
      <c r="M292" s="17">
        <f t="shared" si="21"/>
        <v>1</v>
      </c>
      <c r="N292" s="18">
        <f t="shared" si="22"/>
        <v>0.96666666666666667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1210</v>
      </c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1343</v>
      </c>
      <c r="C293" s="51" t="s">
        <v>1399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1399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1344</v>
      </c>
      <c r="C295" s="51" t="s">
        <v>1399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1345</v>
      </c>
      <c r="C296" s="51" t="s">
        <v>1399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1346</v>
      </c>
      <c r="C297" s="51" t="s">
        <v>1399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1347</v>
      </c>
      <c r="C298" s="51" t="s">
        <v>1399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1348</v>
      </c>
      <c r="C299" s="51" t="s">
        <v>1399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1210</v>
      </c>
      <c r="Q299" s="8" t="s">
        <v>1210</v>
      </c>
      <c r="R299" s="8" t="s">
        <v>1210</v>
      </c>
      <c r="S299" s="27" t="s">
        <v>1210</v>
      </c>
      <c r="T299" s="27"/>
      <c r="U299" s="8" t="s">
        <v>1210</v>
      </c>
      <c r="V299" s="8" t="s">
        <v>1210</v>
      </c>
      <c r="W299" s="8" t="s">
        <v>1210</v>
      </c>
      <c r="X299" s="27" t="s">
        <v>1210</v>
      </c>
      <c r="Y299" s="27" t="s">
        <v>1210</v>
      </c>
      <c r="Z299" s="27" t="s">
        <v>1210</v>
      </c>
      <c r="AA299" s="27" t="s">
        <v>1210</v>
      </c>
      <c r="AB299" s="27" t="s">
        <v>1210</v>
      </c>
      <c r="AC299" s="27" t="s">
        <v>1210</v>
      </c>
      <c r="AD299" s="27" t="s">
        <v>1210</v>
      </c>
      <c r="AE299" s="27" t="s">
        <v>1210</v>
      </c>
      <c r="AF299" s="27" t="s">
        <v>1210</v>
      </c>
      <c r="AG299" s="27" t="s">
        <v>1210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1399</v>
      </c>
      <c r="D300" s="51" t="s">
        <v>1349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1210</v>
      </c>
      <c r="Q300" s="8" t="s">
        <v>1210</v>
      </c>
      <c r="R300" s="8" t="s">
        <v>1210</v>
      </c>
      <c r="S300" s="27" t="s">
        <v>1210</v>
      </c>
      <c r="T300" s="27"/>
      <c r="U300" s="8" t="s">
        <v>1210</v>
      </c>
      <c r="V300" s="8" t="s">
        <v>1210</v>
      </c>
      <c r="W300" s="8" t="s">
        <v>1210</v>
      </c>
      <c r="X300" s="27" t="s">
        <v>1210</v>
      </c>
      <c r="Y300" s="27" t="s">
        <v>1210</v>
      </c>
      <c r="Z300" s="27" t="s">
        <v>1210</v>
      </c>
      <c r="AA300" s="27" t="s">
        <v>1210</v>
      </c>
      <c r="AB300" s="27" t="s">
        <v>1210</v>
      </c>
      <c r="AC300" s="27" t="s">
        <v>1210</v>
      </c>
      <c r="AD300" s="27" t="s">
        <v>1210</v>
      </c>
      <c r="AE300" s="27" t="s">
        <v>1210</v>
      </c>
      <c r="AF300" s="27" t="s">
        <v>1210</v>
      </c>
      <c r="AG300" s="27" t="s">
        <v>1210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1399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1210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1399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1210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1350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1210</v>
      </c>
      <c r="P303" s="8" t="s">
        <v>1210</v>
      </c>
      <c r="Q303" s="8" t="s">
        <v>1210</v>
      </c>
      <c r="R303" s="8" t="s">
        <v>1210</v>
      </c>
      <c r="S303" s="27" t="s">
        <v>1210</v>
      </c>
      <c r="T303" s="27"/>
      <c r="U303" s="8" t="s">
        <v>1210</v>
      </c>
      <c r="V303" s="8"/>
      <c r="W303" s="8" t="s">
        <v>1210</v>
      </c>
      <c r="X303" s="27"/>
      <c r="Y303" s="27"/>
      <c r="Z303" s="27"/>
      <c r="AA303" s="27" t="s">
        <v>1210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1351</v>
      </c>
      <c r="C304" s="51" t="s">
        <v>1399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1210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1352</v>
      </c>
      <c r="C305" s="51" t="s">
        <v>1399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1210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1353</v>
      </c>
      <c r="C306" s="51" t="s">
        <v>1399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1210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1354</v>
      </c>
      <c r="C307" s="51" t="s">
        <v>1399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1210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1399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1210</v>
      </c>
      <c r="P308" s="8" t="s">
        <v>1210</v>
      </c>
      <c r="Q308" s="8" t="s">
        <v>1210</v>
      </c>
      <c r="R308" s="8" t="s">
        <v>1210</v>
      </c>
      <c r="S308" s="27" t="s">
        <v>1210</v>
      </c>
      <c r="T308" s="27"/>
      <c r="U308" s="8" t="s">
        <v>1210</v>
      </c>
      <c r="V308" s="8" t="s">
        <v>1210</v>
      </c>
      <c r="W308" s="8" t="s">
        <v>1210</v>
      </c>
      <c r="X308" s="27"/>
      <c r="Y308" s="27" t="s">
        <v>1210</v>
      </c>
      <c r="Z308" s="27" t="s">
        <v>1210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1399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1210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1355</v>
      </c>
      <c r="C310" s="51" t="s">
        <v>1399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1356</v>
      </c>
      <c r="C311" s="51" t="s">
        <v>1399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1399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1357</v>
      </c>
      <c r="C314" s="51" t="s">
        <v>1398</v>
      </c>
      <c r="D314" s="51" t="s">
        <v>674</v>
      </c>
      <c r="E314" s="51" t="s">
        <v>24</v>
      </c>
      <c r="F314" s="51" t="s">
        <v>1390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1398</v>
      </c>
      <c r="D315" s="51" t="s">
        <v>654</v>
      </c>
      <c r="E315" s="51" t="s">
        <v>24</v>
      </c>
      <c r="F315" s="51" t="s">
        <v>1390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1390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1399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1358</v>
      </c>
      <c r="C325" s="51"/>
      <c r="D325" s="51" t="s">
        <v>688</v>
      </c>
      <c r="E325" s="51" t="s">
        <v>102</v>
      </c>
      <c r="F325" s="51" t="s">
        <v>1389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1359</v>
      </c>
      <c r="C326" s="51"/>
      <c r="D326" s="51" t="s">
        <v>688</v>
      </c>
      <c r="E326" s="51" t="s">
        <v>102</v>
      </c>
      <c r="F326" s="51" t="s">
        <v>1389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26</v>
      </c>
      <c r="M327" s="17">
        <f t="shared" ref="M327:M372" si="24">COUNTIF(O327:AP327,"APAGADO")</f>
        <v>4</v>
      </c>
      <c r="N327" s="18">
        <f t="shared" ref="N327:N372" si="25">(L327)/(M327+L327)</f>
        <v>0.8666666666666667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1210</v>
      </c>
      <c r="AI327" s="27" t="s">
        <v>1210</v>
      </c>
      <c r="AJ327" s="27" t="s">
        <v>1210</v>
      </c>
      <c r="AK327" s="8" t="s">
        <v>1210</v>
      </c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1399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26</v>
      </c>
      <c r="M328" s="17">
        <f t="shared" si="24"/>
        <v>4</v>
      </c>
      <c r="N328" s="18">
        <f t="shared" si="25"/>
        <v>0.8666666666666667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1210</v>
      </c>
      <c r="AI328" s="27" t="s">
        <v>1210</v>
      </c>
      <c r="AJ328" s="27" t="s">
        <v>1210</v>
      </c>
      <c r="AK328" s="8" t="s">
        <v>1210</v>
      </c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1399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1389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1389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1210</v>
      </c>
      <c r="AA333" s="27" t="s">
        <v>1210</v>
      </c>
      <c r="AB333" s="27" t="s">
        <v>1210</v>
      </c>
      <c r="AC333" s="27" t="s">
        <v>1210</v>
      </c>
      <c r="AD333" s="27" t="s">
        <v>1210</v>
      </c>
      <c r="AE333" s="27" t="s">
        <v>1210</v>
      </c>
      <c r="AF333" s="27" t="s">
        <v>1210</v>
      </c>
      <c r="AG333" s="27" t="s">
        <v>1210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1360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1361</v>
      </c>
      <c r="C335" s="51"/>
      <c r="D335" s="51" t="s">
        <v>735</v>
      </c>
      <c r="E335" s="51" t="s">
        <v>19</v>
      </c>
      <c r="F335" s="51" t="s">
        <v>1389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1210</v>
      </c>
      <c r="P335" s="8" t="s">
        <v>1210</v>
      </c>
      <c r="Q335" s="8" t="s">
        <v>1210</v>
      </c>
      <c r="R335" s="8" t="s">
        <v>1210</v>
      </c>
      <c r="S335" s="27" t="s">
        <v>1210</v>
      </c>
      <c r="T335" s="27"/>
      <c r="U335" s="8" t="s">
        <v>1210</v>
      </c>
      <c r="V335" s="8" t="s">
        <v>1210</v>
      </c>
      <c r="W335" s="8" t="s">
        <v>1210</v>
      </c>
      <c r="X335" s="27" t="s">
        <v>1210</v>
      </c>
      <c r="Y335" s="27" t="s">
        <v>1210</v>
      </c>
      <c r="Z335" s="27" t="s">
        <v>1210</v>
      </c>
      <c r="AA335" s="27" t="s">
        <v>1210</v>
      </c>
      <c r="AB335" s="27" t="s">
        <v>1210</v>
      </c>
      <c r="AC335" s="27" t="s">
        <v>1210</v>
      </c>
      <c r="AD335" s="27" t="s">
        <v>1210</v>
      </c>
      <c r="AE335" s="27" t="s">
        <v>1210</v>
      </c>
      <c r="AF335" s="27" t="s">
        <v>1210</v>
      </c>
      <c r="AG335" s="27" t="s">
        <v>1210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1390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1210</v>
      </c>
      <c r="P336" s="8" t="s">
        <v>1210</v>
      </c>
      <c r="Q336" s="8" t="s">
        <v>1210</v>
      </c>
      <c r="R336" s="8" t="s">
        <v>1210</v>
      </c>
      <c r="S336" s="27" t="s">
        <v>1210</v>
      </c>
      <c r="T336" s="27"/>
      <c r="U336" s="8" t="s">
        <v>1210</v>
      </c>
      <c r="V336" s="8" t="s">
        <v>1210</v>
      </c>
      <c r="W336" s="8" t="s">
        <v>1210</v>
      </c>
      <c r="X336" s="27" t="s">
        <v>1210</v>
      </c>
      <c r="Y336" s="27" t="s">
        <v>1210</v>
      </c>
      <c r="Z336" s="27" t="s">
        <v>1210</v>
      </c>
      <c r="AA336" s="27" t="s">
        <v>1210</v>
      </c>
      <c r="AB336" s="27" t="s">
        <v>1210</v>
      </c>
      <c r="AC336" s="27" t="s">
        <v>1210</v>
      </c>
      <c r="AD336" s="27" t="s">
        <v>1210</v>
      </c>
      <c r="AE336" s="27" t="s">
        <v>1210</v>
      </c>
      <c r="AF336" s="27" t="s">
        <v>1210</v>
      </c>
      <c r="AG336" s="27" t="s">
        <v>1210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1399</v>
      </c>
      <c r="D337" s="51" t="s">
        <v>705</v>
      </c>
      <c r="E337" s="51" t="s">
        <v>19</v>
      </c>
      <c r="F337" s="51" t="s">
        <v>1390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/>
      <c r="D338" s="51" t="s">
        <v>1362</v>
      </c>
      <c r="E338" s="51" t="s">
        <v>19</v>
      </c>
      <c r="F338" s="51" t="s">
        <v>1390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1399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1363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1364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/>
      <c r="D342" s="51" t="s">
        <v>1365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1399</v>
      </c>
      <c r="D343" s="51" t="s">
        <v>1366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1210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1210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/>
      <c r="D347" s="51" t="s">
        <v>1367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1210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1398</v>
      </c>
      <c r="D348" s="51" t="s">
        <v>1368</v>
      </c>
      <c r="E348" s="51" t="s">
        <v>1393</v>
      </c>
      <c r="F348" s="51" t="s">
        <v>1390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1210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1389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1369</v>
      </c>
      <c r="C352" s="51"/>
      <c r="D352" s="51" t="s">
        <v>695</v>
      </c>
      <c r="E352" s="51" t="s">
        <v>19</v>
      </c>
      <c r="F352" s="51" t="s">
        <v>1390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1210</v>
      </c>
      <c r="P352" s="8" t="s">
        <v>1210</v>
      </c>
      <c r="Q352" s="8" t="s">
        <v>1210</v>
      </c>
      <c r="R352" s="8" t="s">
        <v>1210</v>
      </c>
      <c r="S352" s="27" t="s">
        <v>1210</v>
      </c>
      <c r="T352" s="27"/>
      <c r="U352" s="8" t="s">
        <v>1210</v>
      </c>
      <c r="V352" s="8" t="s">
        <v>1210</v>
      </c>
      <c r="W352" s="8" t="s">
        <v>1210</v>
      </c>
      <c r="X352" s="27" t="s">
        <v>1210</v>
      </c>
      <c r="Y352" s="27" t="s">
        <v>1210</v>
      </c>
      <c r="Z352" s="27" t="s">
        <v>1210</v>
      </c>
      <c r="AA352" s="27" t="s">
        <v>1210</v>
      </c>
      <c r="AB352" s="27" t="s">
        <v>1210</v>
      </c>
      <c r="AC352" s="27" t="s">
        <v>1210</v>
      </c>
      <c r="AD352" s="27" t="s">
        <v>1210</v>
      </c>
      <c r="AE352" s="27" t="s">
        <v>1210</v>
      </c>
      <c r="AF352" s="27" t="s">
        <v>1210</v>
      </c>
      <c r="AG352" s="27" t="s">
        <v>1210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1370</v>
      </c>
      <c r="C353" s="51"/>
      <c r="D353" s="51" t="s">
        <v>698</v>
      </c>
      <c r="E353" s="51" t="s">
        <v>24</v>
      </c>
      <c r="F353" s="51" t="s">
        <v>1390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1371</v>
      </c>
      <c r="C354" s="51"/>
      <c r="D354" s="51" t="s">
        <v>708</v>
      </c>
      <c r="E354" s="51" t="s">
        <v>19</v>
      </c>
      <c r="F354" s="51" t="s">
        <v>1390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1372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1398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1398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1373</v>
      </c>
      <c r="C358" s="51" t="s">
        <v>1398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1374</v>
      </c>
      <c r="C359" s="51" t="s">
        <v>1398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1210</v>
      </c>
      <c r="P359" s="8" t="s">
        <v>1210</v>
      </c>
      <c r="Q359" s="8" t="s">
        <v>1210</v>
      </c>
      <c r="R359" s="8" t="s">
        <v>1210</v>
      </c>
      <c r="S359" s="27" t="s">
        <v>1210</v>
      </c>
      <c r="T359" s="27"/>
      <c r="U359" s="8" t="s">
        <v>1210</v>
      </c>
      <c r="V359" s="8" t="s">
        <v>1210</v>
      </c>
      <c r="W359" s="8" t="s">
        <v>1210</v>
      </c>
      <c r="X359" s="27" t="s">
        <v>1210</v>
      </c>
      <c r="Y359" s="27" t="s">
        <v>1210</v>
      </c>
      <c r="Z359" s="27" t="s">
        <v>1210</v>
      </c>
      <c r="AA359" s="27" t="s">
        <v>1210</v>
      </c>
      <c r="AB359" s="27" t="s">
        <v>1210</v>
      </c>
      <c r="AC359" s="27" t="s">
        <v>1210</v>
      </c>
      <c r="AD359" s="27" t="s">
        <v>1210</v>
      </c>
      <c r="AE359" s="27" t="s">
        <v>1210</v>
      </c>
      <c r="AF359" s="27" t="s">
        <v>1210</v>
      </c>
      <c r="AG359" s="27" t="s">
        <v>1210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1398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1210</v>
      </c>
      <c r="P360" s="8" t="s">
        <v>1210</v>
      </c>
      <c r="Q360" s="8" t="s">
        <v>1210</v>
      </c>
      <c r="R360" s="8" t="s">
        <v>1210</v>
      </c>
      <c r="S360" s="27" t="s">
        <v>1210</v>
      </c>
      <c r="T360" s="27"/>
      <c r="U360" s="8" t="s">
        <v>1210</v>
      </c>
      <c r="V360" s="8" t="s">
        <v>1210</v>
      </c>
      <c r="W360" s="8" t="s">
        <v>1210</v>
      </c>
      <c r="X360" s="27" t="s">
        <v>1210</v>
      </c>
      <c r="Y360" s="27" t="s">
        <v>1210</v>
      </c>
      <c r="Z360" s="27" t="s">
        <v>1210</v>
      </c>
      <c r="AA360" s="27" t="s">
        <v>1210</v>
      </c>
      <c r="AB360" s="27" t="s">
        <v>1210</v>
      </c>
      <c r="AC360" s="27" t="s">
        <v>1210</v>
      </c>
      <c r="AD360" s="27" t="s">
        <v>1210</v>
      </c>
      <c r="AE360" s="27" t="s">
        <v>1210</v>
      </c>
      <c r="AF360" s="27" t="s">
        <v>1210</v>
      </c>
      <c r="AG360" s="27" t="s">
        <v>1210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8</v>
      </c>
      <c r="M361" s="17">
        <f t="shared" si="24"/>
        <v>22</v>
      </c>
      <c r="N361" s="18">
        <f t="shared" si="25"/>
        <v>0.26666666666666666</v>
      </c>
      <c r="O361" s="27" t="s">
        <v>1210</v>
      </c>
      <c r="P361" s="8" t="s">
        <v>1210</v>
      </c>
      <c r="Q361" s="8" t="s">
        <v>1210</v>
      </c>
      <c r="R361" s="8" t="s">
        <v>1210</v>
      </c>
      <c r="S361" s="27" t="s">
        <v>1210</v>
      </c>
      <c r="T361" s="27"/>
      <c r="U361" s="8" t="s">
        <v>1210</v>
      </c>
      <c r="V361" s="8" t="s">
        <v>1210</v>
      </c>
      <c r="W361" s="8" t="s">
        <v>1210</v>
      </c>
      <c r="X361" s="27" t="s">
        <v>1210</v>
      </c>
      <c r="Y361" s="27" t="s">
        <v>1210</v>
      </c>
      <c r="Z361" s="27" t="s">
        <v>1210</v>
      </c>
      <c r="AA361" s="27" t="s">
        <v>1210</v>
      </c>
      <c r="AB361" s="27" t="s">
        <v>1210</v>
      </c>
      <c r="AC361" s="27" t="s">
        <v>1210</v>
      </c>
      <c r="AD361" s="27" t="s">
        <v>1210</v>
      </c>
      <c r="AE361" s="27" t="s">
        <v>1210</v>
      </c>
      <c r="AF361" s="27" t="s">
        <v>1210</v>
      </c>
      <c r="AG361" s="27" t="s">
        <v>1210</v>
      </c>
      <c r="AH361" s="27" t="s">
        <v>1210</v>
      </c>
      <c r="AI361" s="27" t="s">
        <v>1210</v>
      </c>
      <c r="AJ361" s="27" t="s">
        <v>1210</v>
      </c>
      <c r="AK361" s="8" t="s">
        <v>1210</v>
      </c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1398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8</v>
      </c>
      <c r="M362" s="17">
        <f t="shared" si="24"/>
        <v>22</v>
      </c>
      <c r="N362" s="18">
        <f t="shared" si="25"/>
        <v>0.26666666666666666</v>
      </c>
      <c r="O362" s="27" t="s">
        <v>1210</v>
      </c>
      <c r="P362" s="8" t="s">
        <v>1210</v>
      </c>
      <c r="Q362" s="8" t="s">
        <v>1210</v>
      </c>
      <c r="R362" s="8" t="s">
        <v>1210</v>
      </c>
      <c r="S362" s="27" t="s">
        <v>1210</v>
      </c>
      <c r="T362" s="27"/>
      <c r="U362" s="8" t="s">
        <v>1210</v>
      </c>
      <c r="V362" s="8" t="s">
        <v>1210</v>
      </c>
      <c r="W362" s="8" t="s">
        <v>1210</v>
      </c>
      <c r="X362" s="27" t="s">
        <v>1210</v>
      </c>
      <c r="Y362" s="27" t="s">
        <v>1210</v>
      </c>
      <c r="Z362" s="27" t="s">
        <v>1210</v>
      </c>
      <c r="AA362" s="27" t="s">
        <v>1210</v>
      </c>
      <c r="AB362" s="27" t="s">
        <v>1210</v>
      </c>
      <c r="AC362" s="27" t="s">
        <v>1210</v>
      </c>
      <c r="AD362" s="27" t="s">
        <v>1210</v>
      </c>
      <c r="AE362" s="27" t="s">
        <v>1210</v>
      </c>
      <c r="AF362" s="27" t="s">
        <v>1210</v>
      </c>
      <c r="AG362" s="27" t="s">
        <v>1210</v>
      </c>
      <c r="AH362" s="27" t="s">
        <v>1210</v>
      </c>
      <c r="AI362" s="27" t="s">
        <v>1210</v>
      </c>
      <c r="AJ362" s="27" t="s">
        <v>1210</v>
      </c>
      <c r="AK362" s="8" t="s">
        <v>1210</v>
      </c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1210</v>
      </c>
      <c r="P363" s="8" t="s">
        <v>1210</v>
      </c>
      <c r="Q363" s="8" t="s">
        <v>1210</v>
      </c>
      <c r="R363" s="8" t="s">
        <v>1210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1390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1399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1399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1375</v>
      </c>
      <c r="C373" s="51" t="s">
        <v>1399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1210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1376</v>
      </c>
      <c r="C374" s="51" t="s">
        <v>1399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1210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1210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1378</v>
      </c>
      <c r="C376" s="51" t="s">
        <v>1399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1210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1399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1399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1210</v>
      </c>
      <c r="AF378" s="27"/>
      <c r="AG378" s="27"/>
      <c r="AH378" s="27" t="s">
        <v>1210</v>
      </c>
      <c r="AI378" s="27" t="s">
        <v>1210</v>
      </c>
      <c r="AJ378" s="27" t="s">
        <v>1210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1399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1210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1399</v>
      </c>
      <c r="D380" s="51" t="s">
        <v>1379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1210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1380</v>
      </c>
      <c r="C381" s="51" t="s">
        <v>1399</v>
      </c>
      <c r="D381" s="51" t="s">
        <v>1381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1210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1382</v>
      </c>
      <c r="C382" s="51" t="s">
        <v>1399</v>
      </c>
      <c r="D382" s="51" t="s">
        <v>1381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1210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1383</v>
      </c>
      <c r="C383" s="51" t="s">
        <v>1399</v>
      </c>
      <c r="D383" s="51" t="s">
        <v>1384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1210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1399</v>
      </c>
      <c r="D384" s="51" t="s">
        <v>1385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1210</v>
      </c>
      <c r="AF384" s="27"/>
      <c r="AG384" s="27"/>
      <c r="AH384" s="27" t="s">
        <v>1210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1386</v>
      </c>
      <c r="C385" s="51" t="s">
        <v>1399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25</v>
      </c>
      <c r="M385" s="53">
        <f t="shared" si="29"/>
        <v>5</v>
      </c>
      <c r="N385" s="54">
        <f t="shared" si="30"/>
        <v>0.83333333333333337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1210</v>
      </c>
      <c r="AF385" s="27"/>
      <c r="AG385" s="27"/>
      <c r="AH385" s="27" t="s">
        <v>1210</v>
      </c>
      <c r="AI385" s="27" t="s">
        <v>1210</v>
      </c>
      <c r="AJ385" s="27" t="s">
        <v>1210</v>
      </c>
      <c r="AK385" s="27" t="s">
        <v>1210</v>
      </c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1387</v>
      </c>
      <c r="C386" s="51" t="s">
        <v>1399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25</v>
      </c>
      <c r="M386" s="53">
        <f t="shared" si="29"/>
        <v>5</v>
      </c>
      <c r="N386" s="54">
        <f t="shared" si="30"/>
        <v>0.83333333333333337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1210</v>
      </c>
      <c r="AF386" s="27"/>
      <c r="AG386" s="27"/>
      <c r="AH386" s="27" t="s">
        <v>1210</v>
      </c>
      <c r="AI386" s="27" t="s">
        <v>1210</v>
      </c>
      <c r="AJ386" s="27" t="s">
        <v>1210</v>
      </c>
      <c r="AK386" s="27" t="s">
        <v>1210</v>
      </c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1399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25</v>
      </c>
      <c r="M387" s="53">
        <f t="shared" si="29"/>
        <v>5</v>
      </c>
      <c r="N387" s="54">
        <f t="shared" si="30"/>
        <v>0.83333333333333337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1210</v>
      </c>
      <c r="AF387" s="27"/>
      <c r="AG387" s="27"/>
      <c r="AH387" s="27" t="s">
        <v>1210</v>
      </c>
      <c r="AI387" s="27" t="s">
        <v>1210</v>
      </c>
      <c r="AJ387" s="27" t="s">
        <v>1210</v>
      </c>
      <c r="AK387" s="27" t="s">
        <v>1210</v>
      </c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1399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26</v>
      </c>
      <c r="M388" s="53">
        <f t="shared" si="29"/>
        <v>4</v>
      </c>
      <c r="N388" s="54">
        <f t="shared" si="30"/>
        <v>0.8666666666666667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1210</v>
      </c>
      <c r="AF388" s="27"/>
      <c r="AG388" s="27"/>
      <c r="AH388" s="27"/>
      <c r="AI388" s="27" t="s">
        <v>1210</v>
      </c>
      <c r="AJ388" s="27" t="s">
        <v>1210</v>
      </c>
      <c r="AK388" s="27" t="s">
        <v>1210</v>
      </c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1399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1210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1210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1210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1388</v>
      </c>
      <c r="C392" s="51" t="s">
        <v>1399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1210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1210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1210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1210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1210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si="0"/>
        <v>0</v>
      </c>
      <c r="AI1" s="26">
        <f t="shared" si="0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</row>
    <row r="385" spans="1:33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</row>
    <row r="386" spans="1:33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</row>
    <row r="387" spans="1:33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1191</v>
      </c>
      <c r="D1" s="49">
        <f>COUNTIFS(E4:E400,"=Fibra Optica")</f>
        <v>260</v>
      </c>
    </row>
    <row r="2" spans="1:35" ht="21" x14ac:dyDescent="0.35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15</v>
      </c>
      <c r="Y2" s="26">
        <f>COUNTIFS(Y4:Y400, "=APAGADO",E4:E400,"=Fibra Optica")</f>
        <v>16</v>
      </c>
      <c r="Z2" s="26">
        <f>COUNTIFS(Z4:Z400, "=APAGADO",E4:E400,"=Fibra Optica")</f>
        <v>15</v>
      </c>
      <c r="AA2" s="26">
        <f>COUNTIFS(AA4:AA400, "=APAGADO",E4:E400,"=Fibra Optica")</f>
        <v>15</v>
      </c>
      <c r="AB2" s="26">
        <f>COUNTIFS(AB4:AB400, "=APAGADO",E4:E400,"=Fibra Optica")</f>
        <v>23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6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1400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26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1192</v>
      </c>
      <c r="D1" s="50">
        <f>COUNTIFS(E4:E400,"=radio")</f>
        <v>95</v>
      </c>
    </row>
    <row r="2" spans="1:35" ht="21" x14ac:dyDescent="0.35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7</v>
      </c>
      <c r="Y2" s="26">
        <f>COUNTIFS(Y4:Y367, "=APAGADO",E4:E367,"=radio")</f>
        <v>5</v>
      </c>
      <c r="Z2" s="26">
        <f>COUNTIFS(Z4:Z367, "=APAGADO",E4:E367,"=radio")</f>
        <v>6</v>
      </c>
      <c r="AA2" s="26">
        <f>COUNTIFS(AA4:AA367, "=APAGADO",E4:E367,"=radio")</f>
        <v>8</v>
      </c>
      <c r="AB2" s="26">
        <f>COUNTIFS(AB4:AB367, "=APAGADO",E4:E367,"=radio")</f>
        <v>6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F24" sqref="F24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1203</v>
      </c>
    </row>
    <row r="2" spans="1:7" x14ac:dyDescent="0.25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25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25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25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25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25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25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25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25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25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25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25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25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25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25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25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25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25">
      <c r="A20" s="25">
        <f>'APAGADOS RADIO'!X3</f>
        <v>44761</v>
      </c>
      <c r="B20" s="51">
        <f>'APAGADOS RADIO'!X2+D20</f>
        <v>12</v>
      </c>
      <c r="C20" s="51">
        <f>'APAGADOS FIBRA'!X2</f>
        <v>15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25">
      <c r="A21" s="25">
        <f>'APAGADOS RADIO'!Y3</f>
        <v>44762</v>
      </c>
      <c r="B21" s="51">
        <f>'APAGADOS RADIO'!Y2+D21</f>
        <v>8</v>
      </c>
      <c r="C21" s="51">
        <f>'APAGADOS FIBRA'!Y2</f>
        <v>16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25">
      <c r="A22" s="25">
        <f>'APAGADOS RADIO'!Z3</f>
        <v>44763</v>
      </c>
      <c r="B22" s="51">
        <f>'APAGADOS RADIO'!Z2+D22</f>
        <v>8</v>
      </c>
      <c r="C22" s="51">
        <f>'APAGADOS FIBRA'!Z2</f>
        <v>15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25">
      <c r="A23" s="25">
        <f>'APAGADOS RADIO'!AA3</f>
        <v>44764</v>
      </c>
      <c r="B23" s="51">
        <f>'APAGADOS RADIO'!AA2+D23</f>
        <v>10</v>
      </c>
      <c r="C23" s="51">
        <f>'APAGADOS FIBRA'!AA2</f>
        <v>15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25">
      <c r="A24" s="25">
        <f>'APAGADOS RADIO'!AB3</f>
        <v>44765</v>
      </c>
      <c r="B24" s="51"/>
      <c r="C24" s="51"/>
      <c r="D24" s="51"/>
      <c r="E24" s="51"/>
      <c r="F24" s="51"/>
    </row>
    <row r="25" spans="1:7" x14ac:dyDescent="0.25">
      <c r="A25" s="25">
        <f>'APAGADOS RADIO'!AC3</f>
        <v>44766</v>
      </c>
      <c r="B25" s="51"/>
      <c r="C25" s="51"/>
      <c r="D25" s="51"/>
      <c r="E25" s="51"/>
    </row>
    <row r="26" spans="1:7" x14ac:dyDescent="0.25">
      <c r="A26" s="25">
        <f>'APAGADOS RADIO'!AD3</f>
        <v>44767</v>
      </c>
      <c r="B26" s="51"/>
      <c r="C26" s="51"/>
      <c r="D26" s="51"/>
      <c r="E26" s="51"/>
    </row>
    <row r="27" spans="1:7" x14ac:dyDescent="0.25">
      <c r="A27" s="25">
        <f>'APAGADOS RADIO'!AE3</f>
        <v>44768</v>
      </c>
      <c r="B27" s="51"/>
      <c r="C27" s="51"/>
      <c r="D27" s="51"/>
      <c r="E27" s="51"/>
    </row>
    <row r="28" spans="1:7" x14ac:dyDescent="0.25">
      <c r="A28" s="25">
        <f>'APAGADOS RADIO'!AF3</f>
        <v>44769</v>
      </c>
      <c r="B28" s="51"/>
      <c r="C28" s="51"/>
      <c r="D28" s="51"/>
      <c r="E28" s="51"/>
    </row>
    <row r="29" spans="1:7" x14ac:dyDescent="0.25">
      <c r="A29" s="25">
        <f>'APAGADOS RADIO'!AG3</f>
        <v>44770</v>
      </c>
      <c r="B29" s="51"/>
      <c r="C29" s="51"/>
      <c r="D29" s="51"/>
      <c r="E29" s="51"/>
    </row>
    <row r="30" spans="1:7" x14ac:dyDescent="0.25">
      <c r="A30" s="25">
        <f>'APAGADOS RADIO'!AH3</f>
        <v>44771</v>
      </c>
      <c r="B30" s="51"/>
      <c r="C30" s="51"/>
      <c r="D30" s="51"/>
      <c r="E30" s="51"/>
    </row>
    <row r="31" spans="1:7" x14ac:dyDescent="0.25">
      <c r="A31" s="25">
        <f>'APAGADOS RADIO'!AI3</f>
        <v>44772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16" workbookViewId="0">
      <selection activeCell="A27" sqref="A27:E31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1207</v>
      </c>
      <c r="D1" s="61" t="s">
        <v>1208</v>
      </c>
    </row>
    <row r="2" spans="1:13" ht="16.5" thickTop="1" thickBot="1" x14ac:dyDescent="0.3">
      <c r="A2" s="58" t="s">
        <v>1204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1211</v>
      </c>
      <c r="M3" s="110">
        <v>44753</v>
      </c>
    </row>
    <row r="4" spans="1:13" x14ac:dyDescent="0.25">
      <c r="A4" s="59" t="s">
        <v>1206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1211</v>
      </c>
      <c r="M4" s="111"/>
    </row>
    <row r="5" spans="1:13" x14ac:dyDescent="0.25">
      <c r="A5" s="59" t="s">
        <v>1205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1212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1209</v>
      </c>
      <c r="M6" s="111"/>
    </row>
    <row r="7" spans="1:13" ht="15" customHeight="1" thickTop="1" x14ac:dyDescent="0.25">
      <c r="A7" s="58" t="s">
        <v>1204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1209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1209</v>
      </c>
      <c r="M8" s="116"/>
    </row>
    <row r="9" spans="1:13" ht="16.5" thickTop="1" thickBot="1" x14ac:dyDescent="0.3">
      <c r="A9" s="59" t="s">
        <v>1206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1205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1211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1213</v>
      </c>
      <c r="M11" s="111"/>
    </row>
    <row r="12" spans="1:13" ht="15.75" thickTop="1" x14ac:dyDescent="0.25">
      <c r="A12" s="58" t="s">
        <v>1204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1213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1214</v>
      </c>
      <c r="M13" s="111"/>
    </row>
    <row r="14" spans="1:13" x14ac:dyDescent="0.25">
      <c r="A14" s="59" t="s">
        <v>1206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1209</v>
      </c>
      <c r="M14" s="111"/>
    </row>
    <row r="15" spans="1:13" ht="15" customHeight="1" thickBot="1" x14ac:dyDescent="0.3">
      <c r="A15" s="59" t="s">
        <v>1205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1209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1401</v>
      </c>
      <c r="M16" s="110">
        <v>44763</v>
      </c>
    </row>
    <row r="17" spans="1:13" ht="15.75" thickTop="1" x14ac:dyDescent="0.25">
      <c r="A17" s="58" t="s">
        <v>1204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1213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1168</v>
      </c>
      <c r="L18" s="108" t="s">
        <v>1402</v>
      </c>
      <c r="M18" s="111"/>
    </row>
    <row r="19" spans="1:13" x14ac:dyDescent="0.25">
      <c r="A19" s="59" t="s">
        <v>1206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1027</v>
      </c>
      <c r="L19" s="108" t="s">
        <v>1209</v>
      </c>
      <c r="M19" s="111"/>
    </row>
    <row r="20" spans="1:13" x14ac:dyDescent="0.25">
      <c r="A20" s="59" t="s">
        <v>1205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1204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1206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1205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1204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1206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1205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/>
      <c r="B32" s="69"/>
      <c r="C32" s="65"/>
      <c r="D32" s="62"/>
      <c r="E32" s="113"/>
      <c r="G32" s="52"/>
      <c r="H32" s="51"/>
      <c r="I32" s="51"/>
      <c r="J32" s="51"/>
      <c r="K32" s="16"/>
      <c r="L32" s="83"/>
    </row>
    <row r="33" spans="1:13" x14ac:dyDescent="0.25">
      <c r="A33" s="59"/>
      <c r="B33" s="70"/>
      <c r="C33" s="66"/>
      <c r="D33" s="63"/>
      <c r="E33" s="114"/>
      <c r="G33" s="52"/>
      <c r="H33" s="51"/>
      <c r="I33" s="51"/>
      <c r="J33" s="51"/>
      <c r="K33" s="16"/>
      <c r="L33" s="83"/>
    </row>
    <row r="34" spans="1:13" x14ac:dyDescent="0.25">
      <c r="A34" s="59"/>
      <c r="B34" s="70"/>
      <c r="C34" s="66"/>
      <c r="D34" s="63"/>
      <c r="E34" s="114"/>
      <c r="G34" s="52"/>
      <c r="H34" s="51"/>
      <c r="I34" s="51"/>
      <c r="J34" s="51"/>
      <c r="K34" s="16"/>
      <c r="L34" s="83"/>
    </row>
    <row r="35" spans="1:13" x14ac:dyDescent="0.25">
      <c r="A35" s="59"/>
      <c r="B35" s="70"/>
      <c r="C35" s="66"/>
      <c r="D35" s="63"/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/>
      <c r="B36" s="71"/>
      <c r="C36" s="67"/>
      <c r="D36" s="64"/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/>
      <c r="B37" s="69"/>
      <c r="C37" s="65"/>
      <c r="D37" s="62"/>
      <c r="E37" s="113"/>
      <c r="G37" s="52"/>
      <c r="H37" s="51"/>
      <c r="I37" s="51"/>
      <c r="J37" s="51"/>
      <c r="K37" s="16"/>
      <c r="L37" s="83"/>
    </row>
    <row r="38" spans="1:13" x14ac:dyDescent="0.25">
      <c r="A38" s="59"/>
      <c r="B38" s="70"/>
      <c r="C38" s="66"/>
      <c r="D38" s="63"/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/>
      <c r="B39" s="70"/>
      <c r="C39" s="66"/>
      <c r="D39" s="63"/>
      <c r="E39" s="114"/>
    </row>
    <row r="40" spans="1:13" ht="15.75" thickTop="1" x14ac:dyDescent="0.25">
      <c r="A40" s="59"/>
      <c r="B40" s="70"/>
      <c r="C40" s="66"/>
      <c r="D40" s="63"/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/>
      <c r="B41" s="71"/>
      <c r="C41" s="67"/>
      <c r="D41" s="64"/>
      <c r="E41" s="115"/>
      <c r="G41" s="76"/>
      <c r="H41" s="77"/>
      <c r="I41" s="77"/>
      <c r="J41" s="77"/>
      <c r="K41" s="78"/>
      <c r="L41" s="79"/>
      <c r="M41" s="111"/>
    </row>
    <row r="42" spans="1:13" ht="15.75" thickTop="1" x14ac:dyDescent="0.25">
      <c r="G42" s="76"/>
      <c r="H42" s="77"/>
      <c r="I42" s="77"/>
      <c r="J42" s="77"/>
      <c r="K42" s="78"/>
      <c r="L42" s="79"/>
      <c r="M42" s="111"/>
    </row>
    <row r="43" spans="1:13" x14ac:dyDescent="0.25">
      <c r="G43" s="76"/>
      <c r="H43" s="77"/>
      <c r="I43" s="77"/>
      <c r="J43" s="77"/>
      <c r="K43" s="78"/>
      <c r="L43" s="79"/>
      <c r="M43" s="111"/>
    </row>
    <row r="44" spans="1:13" x14ac:dyDescent="0.25"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G45" s="80"/>
      <c r="H45" s="81"/>
      <c r="I45" s="81"/>
      <c r="J45" s="81"/>
      <c r="K45" s="81"/>
      <c r="L45" s="82"/>
      <c r="M45" s="112"/>
    </row>
    <row r="46" spans="1:13" ht="15.75" thickTop="1" x14ac:dyDescent="0.25"/>
    <row r="47" spans="1:13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2022-07-25T10:22:52Z</dcterms:modified>
</cp:coreProperties>
</file>