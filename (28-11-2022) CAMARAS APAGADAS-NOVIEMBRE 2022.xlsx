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8CE8F9F9-9821-4549-9159-74D0855152E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8" i="24" l="1"/>
  <c r="C49" i="24"/>
  <c r="D49" i="24" s="1"/>
  <c r="D43" i="24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24" i="14" l="1"/>
  <c r="F25" i="14"/>
  <c r="F26" i="14"/>
  <c r="F27" i="14"/>
  <c r="F28" i="14"/>
  <c r="F29" i="14"/>
  <c r="C50" i="24"/>
  <c r="F22" i="14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50" i="24" l="1"/>
  <c r="C51" i="24"/>
  <c r="D51" i="24" s="1"/>
  <c r="D45" i="24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C27" i="14" s="1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C26" i="14" l="1"/>
  <c r="C25" i="14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D29" i="14" s="1"/>
  <c r="AF2" i="21"/>
  <c r="D28" i="14" s="1"/>
  <c r="AE2" i="21"/>
  <c r="D27" i="14" s="1"/>
  <c r="B27" i="14" s="1"/>
  <c r="E27" i="14" s="1"/>
  <c r="G27" i="14" s="1"/>
  <c r="AE2" i="10"/>
  <c r="C28" i="14" s="1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B29" i="14" l="1"/>
  <c r="E29" i="14" s="1"/>
  <c r="G29" i="14" s="1"/>
  <c r="B28" i="14"/>
  <c r="E28" i="14" s="1"/>
  <c r="G28" i="14" s="1"/>
  <c r="B2" i="14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D24" i="14" s="1"/>
  <c r="B24" i="14" s="1"/>
  <c r="AB21" i="10"/>
  <c r="AB2" i="10" s="1"/>
  <c r="C24" i="14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E24" i="14" l="1"/>
  <c r="G24" i="14" s="1"/>
  <c r="X385" i="1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<sst xmlns="http://schemas.openxmlformats.org/spreadsheetml/2006/main" count="4425" uniqueCount="1294">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</sst>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  <c:pt idx="22">
                  <c:v>0.12325581395348838</c:v>
                </c:pt>
                <c:pt idx="23">
                  <c:v>9.5348837209302331E-2</c:v>
                </c:pt>
                <c:pt idx="24">
                  <c:v>9.0697674418604657E-2</c:v>
                </c:pt>
                <c:pt idx="25">
                  <c:v>0.1372093023255814</c:v>
                </c:pt>
                <c:pt idx="26">
                  <c:v>9.5348837209302331E-2</c:v>
                </c:pt>
                <c:pt idx="27">
                  <c:v>0.10465116279069768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  <c:pt idx="22">
                  <c:v>0.12325581395348838</c:v>
                </c:pt>
                <c:pt idx="23">
                  <c:v>9.5348837209302331E-2</c:v>
                </c:pt>
                <c:pt idx="24">
                  <c:v>9.0697674418604657E-2</c:v>
                </c:pt>
                <c:pt idx="25">
                  <c:v>0.1372093023255814</c:v>
                </c:pt>
                <c:pt idx="26">
                  <c:v>9.5348837209302331E-2</c:v>
                </c:pt>
                <c:pt idx="27">
                  <c:v>0.10465116279069768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  <c:pt idx="24">
                  <c:v>34</c:v>
                </c:pt>
                <c:pt idx="25">
                  <c:v>33</c:v>
                </c:pt>
                <c:pt idx="26">
                  <c:v>34</c:v>
                </c:pt>
                <c:pt idx="27">
                  <c:v>37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12</c:v>
                </c:pt>
                <c:pt idx="24">
                  <c:v>22</c:v>
                </c:pt>
                <c:pt idx="25">
                  <c:v>8</c:v>
                </c:pt>
                <c:pt idx="26">
                  <c:v>7</c:v>
                </c:pt>
                <c:pt idx="27">
                  <c:v>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0.12888888888888889</c:v>
                      </c:pt>
                      <c:pt idx="24">
                        <c:v>0.15111111111111111</c:v>
                      </c:pt>
                      <c:pt idx="25">
                        <c:v>0.14666666666666667</c:v>
                      </c:pt>
                      <c:pt idx="26">
                        <c:v>0.15111111111111111</c:v>
                      </c:pt>
                      <c:pt idx="27">
                        <c:v>0.16444444444444445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5.8536585365853662E-2</c:v>
                      </c:pt>
                      <c:pt idx="24">
                        <c:v>0.10731707317073171</c:v>
                      </c:pt>
                      <c:pt idx="25">
                        <c:v>3.9024390243902439E-2</c:v>
                      </c:pt>
                      <c:pt idx="26" formatCode="0.00%">
                        <c:v>3.4146341463414637E-2</c:v>
                      </c:pt>
                      <c:pt idx="27" formatCode="0.00%">
                        <c:v>3.9024390243902439E-2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0.12888888888888889</c:v>
                </c:pt>
                <c:pt idx="24">
                  <c:v>0.15111111111111111</c:v>
                </c:pt>
                <c:pt idx="25">
                  <c:v>0.14666666666666667</c:v>
                </c:pt>
                <c:pt idx="26">
                  <c:v>0.15111111111111111</c:v>
                </c:pt>
                <c:pt idx="27">
                  <c:v>0.16444444444444445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5.8536585365853662E-2</c:v>
                </c:pt>
                <c:pt idx="24">
                  <c:v>0.10731707317073171</c:v>
                </c:pt>
                <c:pt idx="25">
                  <c:v>3.9024390243902439E-2</c:v>
                </c:pt>
                <c:pt idx="26" formatCode="0.00%">
                  <c:v>3.4146341463414637E-2</c:v>
                </c:pt>
                <c:pt idx="27" formatCode="0.00%">
                  <c:v>3.9024390243902439E-2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34</c:v>
                      </c:pt>
                      <c:pt idx="25">
                        <c:v>33</c:v>
                      </c:pt>
                      <c:pt idx="26">
                        <c:v>34</c:v>
                      </c:pt>
                      <c:pt idx="27">
                        <c:v>37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8</c:v>
                      </c:pt>
                      <c:pt idx="26">
                        <c:v>7</c:v>
                      </c:pt>
                      <c:pt idx="27">
                        <c:v>8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L5" activePane="bottomRight" state="frozen"/>
      <selection pane="topRight" activeCell="M1" sqref="M1"/>
      <selection pane="bottomLeft" activeCell="A5" sqref="A5"/>
      <selection pane="bottomRight" activeCell="A4" sqref="A4:G405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9.5348837209302331E-2</v>
      </c>
      <c r="AI1" s="4">
        <f t="shared" si="0"/>
        <v>0.13023255813953488</v>
      </c>
      <c r="AJ1" s="4">
        <f t="shared" si="0"/>
        <v>9.5348837209302331E-2</v>
      </c>
      <c r="AK1" s="4">
        <f t="shared" si="0"/>
        <v>9.7674418604651161E-2</v>
      </c>
      <c r="AL1" s="4">
        <f t="shared" si="0"/>
        <v>0.10465116279069768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389</v>
      </c>
      <c r="AI2" s="127">
        <f t="shared" si="1"/>
        <v>374</v>
      </c>
      <c r="AJ2" s="127">
        <f t="shared" si="1"/>
        <v>389</v>
      </c>
      <c r="AK2" s="127">
        <f t="shared" si="1"/>
        <v>388</v>
      </c>
      <c r="AL2" s="127">
        <f t="shared" si="1"/>
        <v>385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41</v>
      </c>
      <c r="AI3" s="12">
        <f t="shared" si="2"/>
        <v>56</v>
      </c>
      <c r="AJ3" s="12">
        <f t="shared" si="2"/>
        <v>41</v>
      </c>
      <c r="AK3" s="12">
        <f t="shared" si="2"/>
        <v>42</v>
      </c>
      <c r="AL3" s="12">
        <f t="shared" si="2"/>
        <v>45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4</v>
      </c>
      <c r="I16" s="42">
        <f t="shared" si="3"/>
        <v>26</v>
      </c>
      <c r="J16" s="43">
        <f t="shared" si="4"/>
        <v>0.13333333333333333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 t="s">
        <v>1274</v>
      </c>
      <c r="AI16" s="20" t="s">
        <v>1274</v>
      </c>
      <c r="AJ16" s="20" t="s">
        <v>1274</v>
      </c>
      <c r="AK16" s="20" t="s">
        <v>1274</v>
      </c>
      <c r="AL16" s="20" t="s">
        <v>1274</v>
      </c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24</v>
      </c>
      <c r="I27" s="42">
        <f>COUNTIF(K27:AL27,"APAGADO")</f>
        <v>6</v>
      </c>
      <c r="J27" s="43">
        <f>(H27)/(I27+H27)</f>
        <v>0.8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 t="s">
        <v>1274</v>
      </c>
      <c r="AI27" s="20" t="s">
        <v>1274</v>
      </c>
      <c r="AJ27" s="20" t="s">
        <v>1274</v>
      </c>
      <c r="AK27" s="20" t="s">
        <v>1274</v>
      </c>
      <c r="AL27" s="20" t="s">
        <v>1274</v>
      </c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3</v>
      </c>
      <c r="I34" s="42">
        <f>COUNTIF(K34:AL34,"APAGADO")</f>
        <v>27</v>
      </c>
      <c r="J34" s="43">
        <f>(H34)/(I34+H34)</f>
        <v>0.1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 t="s">
        <v>1274</v>
      </c>
      <c r="AI34" s="20" t="s">
        <v>1274</v>
      </c>
      <c r="AJ34" s="20" t="s">
        <v>1274</v>
      </c>
      <c r="AK34" s="20" t="s">
        <v>1274</v>
      </c>
      <c r="AL34" s="20" t="s">
        <v>1274</v>
      </c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</v>
      </c>
      <c r="I40" s="42">
        <f t="shared" si="3"/>
        <v>28</v>
      </c>
      <c r="J40" s="43">
        <f t="shared" si="4"/>
        <v>6.6666666666666666E-2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 t="s">
        <v>1274</v>
      </c>
      <c r="AI40" s="20" t="s">
        <v>1274</v>
      </c>
      <c r="AJ40" s="20" t="s">
        <v>1274</v>
      </c>
      <c r="AK40" s="20" t="s">
        <v>1274</v>
      </c>
      <c r="AL40" s="20" t="s">
        <v>1274</v>
      </c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</v>
      </c>
      <c r="I48" s="42">
        <f t="shared" si="3"/>
        <v>28</v>
      </c>
      <c r="J48" s="43">
        <f t="shared" si="4"/>
        <v>6.6666666666666666E-2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 t="s">
        <v>1274</v>
      </c>
      <c r="AI48" s="20" t="s">
        <v>1274</v>
      </c>
      <c r="AJ48" s="20" t="s">
        <v>1274</v>
      </c>
      <c r="AK48" s="20" t="s">
        <v>1274</v>
      </c>
      <c r="AL48" s="20" t="s">
        <v>1274</v>
      </c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3</v>
      </c>
      <c r="I49" s="42">
        <f t="shared" si="3"/>
        <v>27</v>
      </c>
      <c r="J49" s="43">
        <f t="shared" si="4"/>
        <v>0.1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 t="s">
        <v>1274</v>
      </c>
      <c r="AI49" s="20" t="s">
        <v>1274</v>
      </c>
      <c r="AJ49" s="20" t="s">
        <v>1274</v>
      </c>
      <c r="AK49" s="20" t="s">
        <v>1274</v>
      </c>
      <c r="AL49" s="20" t="s">
        <v>1274</v>
      </c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</v>
      </c>
      <c r="I51" s="42">
        <f t="shared" si="3"/>
        <v>28</v>
      </c>
      <c r="J51" s="43">
        <f t="shared" si="4"/>
        <v>6.6666666666666666E-2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 t="s">
        <v>1274</v>
      </c>
      <c r="AI51" s="20" t="s">
        <v>1274</v>
      </c>
      <c r="AJ51" s="20" t="s">
        <v>1274</v>
      </c>
      <c r="AK51" s="20" t="s">
        <v>1274</v>
      </c>
      <c r="AL51" s="20" t="s">
        <v>1274</v>
      </c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</v>
      </c>
      <c r="I54" s="42">
        <f t="shared" si="3"/>
        <v>28</v>
      </c>
      <c r="J54" s="43">
        <f t="shared" si="4"/>
        <v>6.6666666666666666E-2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 t="s">
        <v>1274</v>
      </c>
      <c r="AI54" s="20" t="s">
        <v>1274</v>
      </c>
      <c r="AJ54" s="20" t="s">
        <v>1274</v>
      </c>
      <c r="AK54" s="20" t="s">
        <v>1274</v>
      </c>
      <c r="AL54" s="20" t="s">
        <v>1274</v>
      </c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</v>
      </c>
      <c r="I56" s="42">
        <f t="shared" si="3"/>
        <v>28</v>
      </c>
      <c r="J56" s="43">
        <f t="shared" si="4"/>
        <v>6.6666666666666666E-2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 t="s">
        <v>1274</v>
      </c>
      <c r="AI56" s="20" t="s">
        <v>1274</v>
      </c>
      <c r="AJ56" s="20" t="s">
        <v>1274</v>
      </c>
      <c r="AK56" s="20" t="s">
        <v>1274</v>
      </c>
      <c r="AL56" s="20" t="s">
        <v>1274</v>
      </c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29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 t="s">
        <v>624</v>
      </c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4</v>
      </c>
      <c r="I75" s="42">
        <f t="shared" si="3"/>
        <v>26</v>
      </c>
      <c r="J75" s="43">
        <f t="shared" si="4"/>
        <v>0.13333333333333333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 t="s">
        <v>1274</v>
      </c>
      <c r="AI75" s="20" t="s">
        <v>1274</v>
      </c>
      <c r="AJ75" s="20" t="s">
        <v>1274</v>
      </c>
      <c r="AK75" s="20" t="s">
        <v>1274</v>
      </c>
      <c r="AL75" s="20" t="s">
        <v>1274</v>
      </c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28</v>
      </c>
      <c r="I76" s="42">
        <f t="shared" si="3"/>
        <v>2</v>
      </c>
      <c r="J76" s="43">
        <f t="shared" si="4"/>
        <v>0.93333333333333335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 t="s">
        <v>1274</v>
      </c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22</v>
      </c>
      <c r="I77" s="42">
        <f t="shared" ref="I77:I140" si="10">COUNTIF(K77:AL77,"APAGADO")</f>
        <v>8</v>
      </c>
      <c r="J77" s="43">
        <f t="shared" ref="J77:J140" si="11">(H77)/(I77+H77)</f>
        <v>0.73333333333333328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 t="s">
        <v>1274</v>
      </c>
      <c r="AK77" s="20" t="s">
        <v>1274</v>
      </c>
      <c r="AL77" s="20" t="s">
        <v>1274</v>
      </c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15</v>
      </c>
      <c r="I87" s="42">
        <f>COUNTIF(K87:AL87,"APAGADO")</f>
        <v>15</v>
      </c>
      <c r="J87" s="43">
        <f>(H87)/(I87+H87)</f>
        <v>0.5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 t="s">
        <v>1274</v>
      </c>
      <c r="AI87" s="20"/>
      <c r="AJ87" s="20"/>
      <c r="AK87" s="20"/>
      <c r="AL87" s="20" t="s">
        <v>1274</v>
      </c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15</v>
      </c>
      <c r="I88" s="42">
        <f t="shared" si="10"/>
        <v>15</v>
      </c>
      <c r="J88" s="43">
        <f t="shared" si="11"/>
        <v>0.5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 t="s">
        <v>1274</v>
      </c>
      <c r="AI88" s="20"/>
      <c r="AJ88" s="20"/>
      <c r="AK88" s="20"/>
      <c r="AL88" s="20" t="s">
        <v>1274</v>
      </c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3</v>
      </c>
      <c r="I94" s="42">
        <f>COUNTIF(K94:AL94,"APAGADO")</f>
        <v>27</v>
      </c>
      <c r="J94" s="43">
        <f>(H94)/(I94+H94)</f>
        <v>0.1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 t="s">
        <v>1274</v>
      </c>
      <c r="AI94" s="20" t="s">
        <v>1274</v>
      </c>
      <c r="AJ94" s="20" t="s">
        <v>1274</v>
      </c>
      <c r="AK94" s="20" t="s">
        <v>1274</v>
      </c>
      <c r="AL94" s="20" t="s">
        <v>1274</v>
      </c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</v>
      </c>
      <c r="I98" s="42">
        <f>COUNTIF(K98:AL98,"APAGADO")</f>
        <v>28</v>
      </c>
      <c r="J98" s="43">
        <f>(H98)/(I98+H98)</f>
        <v>6.6666666666666666E-2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 t="s">
        <v>1274</v>
      </c>
      <c r="AI98" s="20" t="s">
        <v>1274</v>
      </c>
      <c r="AJ98" s="20" t="s">
        <v>1274</v>
      </c>
      <c r="AK98" s="20" t="s">
        <v>1274</v>
      </c>
      <c r="AL98" s="20" t="s">
        <v>1274</v>
      </c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3</v>
      </c>
      <c r="I101" s="42">
        <f t="shared" si="10"/>
        <v>27</v>
      </c>
      <c r="J101" s="43">
        <f t="shared" si="11"/>
        <v>0.1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 t="s">
        <v>1274</v>
      </c>
      <c r="AI101" s="20" t="s">
        <v>1274</v>
      </c>
      <c r="AJ101" s="20" t="s">
        <v>1274</v>
      </c>
      <c r="AK101" s="20" t="s">
        <v>1274</v>
      </c>
      <c r="AL101" s="20" t="s">
        <v>1274</v>
      </c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3</v>
      </c>
      <c r="I102" s="42">
        <f t="shared" si="10"/>
        <v>27</v>
      </c>
      <c r="J102" s="43">
        <f t="shared" si="11"/>
        <v>0.1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 t="s">
        <v>1274</v>
      </c>
      <c r="AI102" s="20" t="s">
        <v>1274</v>
      </c>
      <c r="AJ102" s="20" t="s">
        <v>1274</v>
      </c>
      <c r="AK102" s="20" t="s">
        <v>1274</v>
      </c>
      <c r="AL102" s="20" t="s">
        <v>1274</v>
      </c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29</v>
      </c>
      <c r="I118" s="42">
        <f t="shared" si="10"/>
        <v>1</v>
      </c>
      <c r="J118" s="43">
        <f t="shared" si="11"/>
        <v>0.96666666666666667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 t="s">
        <v>1274</v>
      </c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29</v>
      </c>
      <c r="I119" s="42">
        <f t="shared" si="10"/>
        <v>1</v>
      </c>
      <c r="J119" s="43">
        <f t="shared" si="11"/>
        <v>0.96666666666666667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 t="s">
        <v>1274</v>
      </c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29</v>
      </c>
      <c r="I120" s="42">
        <f t="shared" si="10"/>
        <v>1</v>
      </c>
      <c r="J120" s="43">
        <f t="shared" si="11"/>
        <v>0.96666666666666667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 t="s">
        <v>1274</v>
      </c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29</v>
      </c>
      <c r="I121" s="42">
        <f t="shared" si="10"/>
        <v>1</v>
      </c>
      <c r="J121" s="43">
        <f t="shared" si="11"/>
        <v>0.96666666666666667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 t="s">
        <v>1274</v>
      </c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15</v>
      </c>
      <c r="I122" s="42">
        <f t="shared" si="10"/>
        <v>15</v>
      </c>
      <c r="J122" s="43">
        <f t="shared" si="11"/>
        <v>0.5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 t="s">
        <v>1274</v>
      </c>
      <c r="AI122" s="20" t="s">
        <v>1274</v>
      </c>
      <c r="AJ122" s="20" t="s">
        <v>1274</v>
      </c>
      <c r="AK122" s="20" t="s">
        <v>1274</v>
      </c>
      <c r="AL122" s="20" t="s">
        <v>1274</v>
      </c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29</v>
      </c>
      <c r="I138" s="42">
        <f t="shared" si="10"/>
        <v>1</v>
      </c>
      <c r="J138" s="43">
        <f t="shared" si="11"/>
        <v>0.96666666666666667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 t="s">
        <v>1274</v>
      </c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28</v>
      </c>
      <c r="I139" s="42">
        <f t="shared" si="10"/>
        <v>2</v>
      </c>
      <c r="J139" s="43">
        <f t="shared" si="11"/>
        <v>0.93333333333333335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 t="s">
        <v>1274</v>
      </c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3</v>
      </c>
      <c r="I175" s="42">
        <f t="shared" si="12"/>
        <v>27</v>
      </c>
      <c r="J175" s="43">
        <f t="shared" si="13"/>
        <v>0.1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 t="s">
        <v>1274</v>
      </c>
      <c r="AJ175" s="20" t="s">
        <v>1274</v>
      </c>
      <c r="AK175" s="20" t="s">
        <v>1274</v>
      </c>
      <c r="AL175" s="20" t="s">
        <v>1274</v>
      </c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28</v>
      </c>
      <c r="I176" s="42">
        <f t="shared" si="12"/>
        <v>2</v>
      </c>
      <c r="J176" s="43">
        <f t="shared" si="13"/>
        <v>0.93333333333333335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 t="s">
        <v>1274</v>
      </c>
      <c r="AJ176" s="20"/>
      <c r="AK176" s="20"/>
      <c r="AL176" s="20" t="s">
        <v>1274</v>
      </c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3</v>
      </c>
      <c r="I177" s="42">
        <f t="shared" si="12"/>
        <v>27</v>
      </c>
      <c r="J177" s="43">
        <f t="shared" si="13"/>
        <v>0.1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 t="s">
        <v>1274</v>
      </c>
      <c r="AJ177" s="20" t="s">
        <v>1274</v>
      </c>
      <c r="AK177" s="20" t="s">
        <v>1274</v>
      </c>
      <c r="AL177" s="20" t="s">
        <v>1274</v>
      </c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3</v>
      </c>
      <c r="I182" s="42">
        <f t="shared" si="12"/>
        <v>27</v>
      </c>
      <c r="J182" s="43">
        <f t="shared" si="13"/>
        <v>0.1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 t="s">
        <v>1274</v>
      </c>
      <c r="AJ182" s="20" t="s">
        <v>1274</v>
      </c>
      <c r="AK182" s="20" t="s">
        <v>1274</v>
      </c>
      <c r="AL182" s="20" t="s">
        <v>1274</v>
      </c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22</v>
      </c>
      <c r="I184" s="42">
        <f t="shared" si="12"/>
        <v>8</v>
      </c>
      <c r="J184" s="43">
        <f t="shared" si="13"/>
        <v>0.73333333333333328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 t="s">
        <v>1274</v>
      </c>
      <c r="AK184" s="20" t="s">
        <v>1274</v>
      </c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</v>
      </c>
      <c r="I185" s="42">
        <f t="shared" si="12"/>
        <v>28</v>
      </c>
      <c r="J185" s="43">
        <f t="shared" si="13"/>
        <v>6.6666666666666666E-2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 t="s">
        <v>1274</v>
      </c>
      <c r="AI185" s="20" t="s">
        <v>1274</v>
      </c>
      <c r="AJ185" s="20" t="s">
        <v>1274</v>
      </c>
      <c r="AK185" s="20" t="s">
        <v>1274</v>
      </c>
      <c r="AL185" s="20" t="s">
        <v>1274</v>
      </c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</v>
      </c>
      <c r="I187" s="42">
        <f t="shared" si="12"/>
        <v>28</v>
      </c>
      <c r="J187" s="43">
        <f t="shared" si="13"/>
        <v>6.6666666666666666E-2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 t="s">
        <v>1274</v>
      </c>
      <c r="AI187" s="20" t="s">
        <v>1274</v>
      </c>
      <c r="AJ187" s="20" t="s">
        <v>1274</v>
      </c>
      <c r="AK187" s="20" t="s">
        <v>1274</v>
      </c>
      <c r="AL187" s="20" t="s">
        <v>1274</v>
      </c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</v>
      </c>
      <c r="I198" s="42">
        <f>COUNTIF(K198:AL198,"APAGADO")</f>
        <v>28</v>
      </c>
      <c r="J198" s="43">
        <f>(H198)/(I198+H198)</f>
        <v>6.6666666666666666E-2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 t="s">
        <v>1274</v>
      </c>
      <c r="AI198" s="20" t="s">
        <v>1274</v>
      </c>
      <c r="AJ198" s="20" t="s">
        <v>1274</v>
      </c>
      <c r="AK198" s="20" t="s">
        <v>1274</v>
      </c>
      <c r="AL198" s="20" t="s">
        <v>1274</v>
      </c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25</v>
      </c>
      <c r="I212" s="42">
        <f t="shared" si="12"/>
        <v>5</v>
      </c>
      <c r="J212" s="43">
        <f t="shared" si="13"/>
        <v>0.83333333333333337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 t="s">
        <v>1274</v>
      </c>
      <c r="AI212" s="20" t="s">
        <v>1274</v>
      </c>
      <c r="AJ212" s="20" t="s">
        <v>1274</v>
      </c>
      <c r="AK212" s="20" t="s">
        <v>1274</v>
      </c>
      <c r="AL212" s="20" t="s">
        <v>1274</v>
      </c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28</v>
      </c>
      <c r="I220" s="42">
        <f t="shared" si="12"/>
        <v>2</v>
      </c>
      <c r="J220" s="43">
        <f t="shared" si="13"/>
        <v>0.93333333333333335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 t="s">
        <v>1274</v>
      </c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29</v>
      </c>
      <c r="I221" s="42">
        <f t="shared" si="12"/>
        <v>1</v>
      </c>
      <c r="J221" s="43">
        <f t="shared" si="13"/>
        <v>0.96666666666666667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 t="s">
        <v>1274</v>
      </c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29</v>
      </c>
      <c r="I222" s="42">
        <f t="shared" si="12"/>
        <v>1</v>
      </c>
      <c r="J222" s="43">
        <f t="shared" si="13"/>
        <v>0.96666666666666667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 t="s">
        <v>1274</v>
      </c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29</v>
      </c>
      <c r="I223" s="42">
        <f t="shared" si="12"/>
        <v>1</v>
      </c>
      <c r="J223" s="43">
        <f t="shared" si="13"/>
        <v>0.96666666666666667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 t="s">
        <v>1274</v>
      </c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3</v>
      </c>
      <c r="I229" s="42">
        <f t="shared" si="12"/>
        <v>27</v>
      </c>
      <c r="J229" s="43">
        <f t="shared" si="13"/>
        <v>0.1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 t="s">
        <v>1274</v>
      </c>
      <c r="AI229" s="20" t="s">
        <v>1274</v>
      </c>
      <c r="AJ229" s="20" t="s">
        <v>1274</v>
      </c>
      <c r="AK229" s="20" t="s">
        <v>1274</v>
      </c>
      <c r="AL229" s="20" t="s">
        <v>1274</v>
      </c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4</v>
      </c>
      <c r="I236" s="42">
        <f t="shared" si="19"/>
        <v>26</v>
      </c>
      <c r="J236" s="43">
        <f t="shared" si="20"/>
        <v>0.13333333333333333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 t="s">
        <v>1274</v>
      </c>
      <c r="AI236" s="20" t="s">
        <v>1274</v>
      </c>
      <c r="AJ236" s="20" t="s">
        <v>1274</v>
      </c>
      <c r="AK236" s="20" t="s">
        <v>1274</v>
      </c>
      <c r="AL236" s="20" t="s">
        <v>1274</v>
      </c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29</v>
      </c>
      <c r="I237" s="42">
        <f t="shared" si="19"/>
        <v>1</v>
      </c>
      <c r="J237" s="43">
        <f t="shared" si="20"/>
        <v>0.96666666666666667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 t="s">
        <v>1274</v>
      </c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29</v>
      </c>
      <c r="I238" s="42">
        <f t="shared" si="19"/>
        <v>1</v>
      </c>
      <c r="J238" s="43">
        <f t="shared" si="20"/>
        <v>0.96666666666666667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 t="s">
        <v>1274</v>
      </c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26</v>
      </c>
      <c r="I241" s="42">
        <f t="shared" si="19"/>
        <v>4</v>
      </c>
      <c r="J241" s="43">
        <f t="shared" si="20"/>
        <v>0.8666666666666667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 t="s">
        <v>1274</v>
      </c>
      <c r="AI241" s="20" t="s">
        <v>1274</v>
      </c>
      <c r="AJ241" s="20"/>
      <c r="AK241" s="20"/>
      <c r="AL241" s="20" t="s">
        <v>1274</v>
      </c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</v>
      </c>
      <c r="I256" s="42">
        <f t="shared" si="19"/>
        <v>28</v>
      </c>
      <c r="J256" s="43">
        <f t="shared" si="20"/>
        <v>6.6666666666666666E-2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 t="s">
        <v>1274</v>
      </c>
      <c r="AI256" s="20" t="s">
        <v>1274</v>
      </c>
      <c r="AJ256" s="20" t="s">
        <v>1274</v>
      </c>
      <c r="AK256" s="20" t="s">
        <v>1274</v>
      </c>
      <c r="AL256" s="20" t="s">
        <v>1274</v>
      </c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26</v>
      </c>
      <c r="I267" s="42">
        <f t="shared" si="19"/>
        <v>4</v>
      </c>
      <c r="J267" s="43">
        <f t="shared" si="20"/>
        <v>0.8666666666666667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 t="s">
        <v>1274</v>
      </c>
      <c r="AJ267" s="20" t="s">
        <v>1274</v>
      </c>
      <c r="AK267" s="20" t="s">
        <v>1274</v>
      </c>
      <c r="AL267" s="20" t="s">
        <v>1274</v>
      </c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26</v>
      </c>
      <c r="I268" s="42">
        <f t="shared" si="19"/>
        <v>4</v>
      </c>
      <c r="J268" s="43">
        <f t="shared" si="20"/>
        <v>0.8666666666666667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 t="s">
        <v>1274</v>
      </c>
      <c r="AJ268" s="20" t="s">
        <v>1274</v>
      </c>
      <c r="AK268" s="20" t="s">
        <v>1274</v>
      </c>
      <c r="AL268" s="20" t="s">
        <v>1274</v>
      </c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25</v>
      </c>
      <c r="I275" s="42">
        <f t="shared" si="19"/>
        <v>5</v>
      </c>
      <c r="J275" s="43">
        <f t="shared" si="20"/>
        <v>0.83333333333333337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 t="s">
        <v>1274</v>
      </c>
      <c r="AJ275" s="20" t="s">
        <v>1274</v>
      </c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20</v>
      </c>
      <c r="I302" s="42">
        <f t="shared" si="22"/>
        <v>10</v>
      </c>
      <c r="J302" s="43">
        <f t="shared" si="23"/>
        <v>0.66666666666666663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 t="s">
        <v>1274</v>
      </c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20</v>
      </c>
      <c r="I315" s="42">
        <f t="shared" si="22"/>
        <v>10</v>
      </c>
      <c r="J315" s="43">
        <f t="shared" si="23"/>
        <v>0.66666666666666663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 t="s">
        <v>1274</v>
      </c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23</v>
      </c>
      <c r="I316" s="42">
        <f t="shared" si="22"/>
        <v>7</v>
      </c>
      <c r="J316" s="43">
        <f t="shared" si="23"/>
        <v>0.76666666666666672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 t="s">
        <v>1274</v>
      </c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28</v>
      </c>
      <c r="I323" s="42">
        <f t="shared" si="22"/>
        <v>2</v>
      </c>
      <c r="J323" s="43">
        <f t="shared" si="23"/>
        <v>0.93333333333333335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 t="s">
        <v>1274</v>
      </c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29</v>
      </c>
      <c r="I335" s="42">
        <f t="shared" si="22"/>
        <v>1</v>
      </c>
      <c r="J335" s="43">
        <f t="shared" si="23"/>
        <v>0.96666666666666667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 t="s">
        <v>1274</v>
      </c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21</v>
      </c>
      <c r="I345" s="42">
        <f t="shared" si="22"/>
        <v>9</v>
      </c>
      <c r="J345" s="43">
        <f t="shared" si="23"/>
        <v>0.7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 t="s">
        <v>1274</v>
      </c>
      <c r="AI345" s="20" t="s">
        <v>1274</v>
      </c>
      <c r="AJ345" s="20" t="s">
        <v>1274</v>
      </c>
      <c r="AK345" s="20" t="s">
        <v>1274</v>
      </c>
      <c r="AL345" s="20" t="s">
        <v>1274</v>
      </c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22</v>
      </c>
      <c r="I347" s="42">
        <f t="shared" si="22"/>
        <v>8</v>
      </c>
      <c r="J347" s="43">
        <f t="shared" si="23"/>
        <v>0.73333333333333328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 t="s">
        <v>1274</v>
      </c>
      <c r="AI347" s="20" t="s">
        <v>1274</v>
      </c>
      <c r="AJ347" s="20" t="s">
        <v>1274</v>
      </c>
      <c r="AK347" s="20" t="s">
        <v>1274</v>
      </c>
      <c r="AL347" s="20" t="s">
        <v>1274</v>
      </c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24</v>
      </c>
      <c r="I348" s="42">
        <f t="shared" si="22"/>
        <v>6</v>
      </c>
      <c r="J348" s="43">
        <f t="shared" si="23"/>
        <v>0.8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 t="s">
        <v>1274</v>
      </c>
      <c r="AI348" s="20" t="s">
        <v>1274</v>
      </c>
      <c r="AJ348" s="20" t="s">
        <v>1274</v>
      </c>
      <c r="AK348" s="20" t="s">
        <v>1274</v>
      </c>
      <c r="AL348" s="20" t="s">
        <v>1274</v>
      </c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24</v>
      </c>
      <c r="I349" s="42">
        <f t="shared" si="22"/>
        <v>6</v>
      </c>
      <c r="J349" s="43">
        <f t="shared" si="23"/>
        <v>0.8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 t="s">
        <v>1274</v>
      </c>
      <c r="AI349" s="20" t="s">
        <v>1274</v>
      </c>
      <c r="AJ349" s="20" t="s">
        <v>1274</v>
      </c>
      <c r="AK349" s="20" t="s">
        <v>1274</v>
      </c>
      <c r="AL349" s="20" t="s">
        <v>1274</v>
      </c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24</v>
      </c>
      <c r="I350" s="42">
        <f t="shared" si="22"/>
        <v>6</v>
      </c>
      <c r="J350" s="43">
        <f t="shared" si="23"/>
        <v>0.8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 t="s">
        <v>1274</v>
      </c>
      <c r="AI350" s="20" t="s">
        <v>1274</v>
      </c>
      <c r="AJ350" s="20" t="s">
        <v>1274</v>
      </c>
      <c r="AK350" s="20" t="s">
        <v>1274</v>
      </c>
      <c r="AL350" s="20" t="s">
        <v>1274</v>
      </c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24</v>
      </c>
      <c r="I351" s="42">
        <f t="shared" si="22"/>
        <v>6</v>
      </c>
      <c r="J351" s="43">
        <f t="shared" si="23"/>
        <v>0.8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 t="s">
        <v>1274</v>
      </c>
      <c r="AI351" s="20" t="s">
        <v>1274</v>
      </c>
      <c r="AJ351" s="20" t="s">
        <v>1274</v>
      </c>
      <c r="AK351" s="20" t="s">
        <v>1274</v>
      </c>
      <c r="AL351" s="20" t="s">
        <v>1274</v>
      </c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7</v>
      </c>
      <c r="I360" s="42">
        <f t="shared" si="22"/>
        <v>23</v>
      </c>
      <c r="J360" s="43">
        <f t="shared" si="23"/>
        <v>0.23333333333333334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 t="s">
        <v>1274</v>
      </c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16</v>
      </c>
      <c r="I371" s="42">
        <f t="shared" si="22"/>
        <v>14</v>
      </c>
      <c r="J371" s="43">
        <f t="shared" si="23"/>
        <v>0.53333333333333333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 t="s">
        <v>1274</v>
      </c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8</v>
      </c>
      <c r="I374" s="42">
        <f t="shared" si="22"/>
        <v>22</v>
      </c>
      <c r="J374" s="43">
        <f t="shared" si="23"/>
        <v>0.26666666666666666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 t="s">
        <v>1274</v>
      </c>
      <c r="AI374" s="20" t="s">
        <v>1274</v>
      </c>
      <c r="AJ374" s="20" t="s">
        <v>1274</v>
      </c>
      <c r="AK374" s="20" t="s">
        <v>1274</v>
      </c>
      <c r="AL374" s="20" t="s">
        <v>1274</v>
      </c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</v>
      </c>
      <c r="I379" s="42">
        <f t="shared" si="28"/>
        <v>28</v>
      </c>
      <c r="J379" s="43">
        <f t="shared" si="29"/>
        <v>6.6666666666666666E-2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 t="s">
        <v>1274</v>
      </c>
      <c r="AI379" s="20" t="s">
        <v>1274</v>
      </c>
      <c r="AJ379" s="20" t="s">
        <v>1274</v>
      </c>
      <c r="AK379" s="20" t="s">
        <v>1274</v>
      </c>
      <c r="AL379" s="20" t="s">
        <v>1274</v>
      </c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15</v>
      </c>
      <c r="I390" s="42">
        <f t="shared" si="28"/>
        <v>15</v>
      </c>
      <c r="J390" s="43">
        <f t="shared" si="29"/>
        <v>0.5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 t="s">
        <v>1274</v>
      </c>
      <c r="AI390" s="20" t="s">
        <v>1274</v>
      </c>
      <c r="AJ390" s="20"/>
      <c r="AK390" s="20" t="s">
        <v>1274</v>
      </c>
      <c r="AL390" s="20" t="s">
        <v>1274</v>
      </c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15</v>
      </c>
      <c r="I391" s="42">
        <f t="shared" si="28"/>
        <v>15</v>
      </c>
      <c r="J391" s="43">
        <f t="shared" si="29"/>
        <v>0.5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 t="s">
        <v>1274</v>
      </c>
      <c r="AI391" s="20" t="s">
        <v>1274</v>
      </c>
      <c r="AJ391" s="20"/>
      <c r="AK391" s="20" t="s">
        <v>1274</v>
      </c>
      <c r="AL391" s="20" t="s">
        <v>1274</v>
      </c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24</v>
      </c>
      <c r="I405" s="42">
        <f t="shared" si="28"/>
        <v>6</v>
      </c>
      <c r="J405" s="43">
        <f t="shared" si="29"/>
        <v>0.8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 t="s">
        <v>1274</v>
      </c>
      <c r="AI405" s="20" t="s">
        <v>1274</v>
      </c>
      <c r="AJ405" s="20" t="s">
        <v>1274</v>
      </c>
      <c r="AK405" s="20" t="s">
        <v>1274</v>
      </c>
      <c r="AL405" s="20" t="s">
        <v>1274</v>
      </c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</v>
      </c>
      <c r="I420" s="42">
        <f t="shared" si="28"/>
        <v>28</v>
      </c>
      <c r="J420" s="43">
        <f t="shared" si="29"/>
        <v>6.6666666666666666E-2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 t="s">
        <v>1274</v>
      </c>
      <c r="AI420" s="20" t="s">
        <v>1274</v>
      </c>
      <c r="AJ420" s="20" t="s">
        <v>1274</v>
      </c>
      <c r="AK420" s="20" t="s">
        <v>1274</v>
      </c>
      <c r="AL420" s="20" t="s">
        <v>1274</v>
      </c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26</v>
      </c>
      <c r="I432" s="42">
        <f t="shared" si="28"/>
        <v>4</v>
      </c>
      <c r="J432" s="43">
        <f t="shared" si="29"/>
        <v>0.8666666666666667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 t="s">
        <v>1274</v>
      </c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J104:J115 J308:K353 L409:AF434 J396:J434 J4:J22 AO264:AO405 J264:AN307 J261:AO263 L317:AN353 J354:AN377 R378:AN391 AG396:AN405 R205:AN260 J23:AO103 AO106:AO260 J116:AN204 K8:AO22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308:K353 L161:AN204 K161:K260 K435:AO1048576 AO264:AO434 K261:AO263 L317:AN353 K354:AN377 R378:AN391 R205:AN260 R394:AN408 K116:AN160 AO106:AO260 K8:AO103 K409:AN434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AG435:AO1048576 K5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 t="str">
        <f>'RESUMEN TOTAL'!AH16</f>
        <v>APAGADO</v>
      </c>
      <c r="AD13" s="23" t="str">
        <f>'RESUMEN TOTAL'!AI16</f>
        <v>APAGADO</v>
      </c>
      <c r="AE13" s="23" t="str">
        <f>'RESUMEN TOTAL'!AJ16</f>
        <v>APAGADO</v>
      </c>
      <c r="AF13" s="23" t="str">
        <f>'RESUMEN TOTAL'!AK16</f>
        <v>APAGADO</v>
      </c>
      <c r="AG13" s="23" t="str">
        <f>'RESUMEN TOTAL'!AL16</f>
        <v>APAGADO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 t="str">
        <f>'RESUMEN TOTAL'!AH27</f>
        <v>APAGADO</v>
      </c>
      <c r="AD25" s="23" t="str">
        <f>'RESUMEN TOTAL'!AI27</f>
        <v>APAGADO</v>
      </c>
      <c r="AE25" s="23" t="str">
        <f>'RESUMEN TOTAL'!AJ27</f>
        <v>APAGADO</v>
      </c>
      <c r="AF25" s="23" t="str">
        <f>'RESUMEN TOTAL'!AK27</f>
        <v>APAGADO</v>
      </c>
      <c r="AG25" s="23" t="str">
        <f>'RESUMEN TOTAL'!AL27</f>
        <v>APAGADO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 t="str">
        <f>'RESUMEN TOTAL'!AH34</f>
        <v>APAGADO</v>
      </c>
      <c r="AD32" s="23" t="str">
        <f>'RESUMEN TOTAL'!AI34</f>
        <v>APAGADO</v>
      </c>
      <c r="AE32" s="23" t="str">
        <f>'RESUMEN TOTAL'!AJ34</f>
        <v>APAGADO</v>
      </c>
      <c r="AF32" s="23" t="str">
        <f>'RESUMEN TOTAL'!AK34</f>
        <v>APAGADO</v>
      </c>
      <c r="AG32" s="23" t="str">
        <f>'RESUMEN TOTAL'!AL34</f>
        <v>APAGADO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 t="str">
        <f>'RESUMEN TOTAL'!AH40</f>
        <v>APAGADO</v>
      </c>
      <c r="AD38" s="23" t="str">
        <f>'RESUMEN TOTAL'!AI40</f>
        <v>APAGADO</v>
      </c>
      <c r="AE38" s="23" t="str">
        <f>'RESUMEN TOTAL'!AJ40</f>
        <v>APAGADO</v>
      </c>
      <c r="AF38" s="23" t="str">
        <f>'RESUMEN TOTAL'!AK40</f>
        <v>APAGADO</v>
      </c>
      <c r="AG38" s="23" t="str">
        <f>'RESUMEN TOTAL'!AL40</f>
        <v>APAGADO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 t="str">
        <f>'RESUMEN TOTAL'!AH48</f>
        <v>APAGADO</v>
      </c>
      <c r="AD46" s="23" t="str">
        <f>'RESUMEN TOTAL'!AI48</f>
        <v>APAGADO</v>
      </c>
      <c r="AE46" s="23" t="str">
        <f>'RESUMEN TOTAL'!AJ48</f>
        <v>APAGADO</v>
      </c>
      <c r="AF46" s="23" t="str">
        <f>'RESUMEN TOTAL'!AK48</f>
        <v>APAGADO</v>
      </c>
      <c r="AG46" s="23" t="str">
        <f>'RESUMEN TOTAL'!AL48</f>
        <v>APAGADO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 t="str">
        <f>'RESUMEN TOTAL'!AH49</f>
        <v>APAGADO</v>
      </c>
      <c r="AD47" s="23" t="str">
        <f>'RESUMEN TOTAL'!AI49</f>
        <v>APAGADO</v>
      </c>
      <c r="AE47" s="23" t="str">
        <f>'RESUMEN TOTAL'!AJ49</f>
        <v>APAGADO</v>
      </c>
      <c r="AF47" s="23" t="str">
        <f>'RESUMEN TOTAL'!AK49</f>
        <v>APAGADO</v>
      </c>
      <c r="AG47" s="23" t="str">
        <f>'RESUMEN TOTAL'!AL49</f>
        <v>APAGADO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 t="str">
        <f>'RESUMEN TOTAL'!AH51</f>
        <v>APAGADO</v>
      </c>
      <c r="AD49" s="23" t="str">
        <f>'RESUMEN TOTAL'!AI51</f>
        <v>APAGADO</v>
      </c>
      <c r="AE49" s="23" t="str">
        <f>'RESUMEN TOTAL'!AJ51</f>
        <v>APAGADO</v>
      </c>
      <c r="AF49" s="23" t="str">
        <f>'RESUMEN TOTAL'!AK51</f>
        <v>APAGADO</v>
      </c>
      <c r="AG49" s="23" t="str">
        <f>'RESUMEN TOTAL'!AL51</f>
        <v>APAGADO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 t="str">
        <f>'RESUMEN TOTAL'!AH54</f>
        <v>APAGADO</v>
      </c>
      <c r="AD52" s="23" t="str">
        <f>'RESUMEN TOTAL'!AI54</f>
        <v>APAGADO</v>
      </c>
      <c r="AE52" s="23" t="str">
        <f>'RESUMEN TOTAL'!AJ54</f>
        <v>APAGADO</v>
      </c>
      <c r="AF52" s="23" t="str">
        <f>'RESUMEN TOTAL'!AK54</f>
        <v>APAGADO</v>
      </c>
      <c r="AG52" s="23" t="str">
        <f>'RESUMEN TOTAL'!AL54</f>
        <v>APAGADO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 t="str">
        <f>'RESUMEN TOTAL'!AH56</f>
        <v>APAGADO</v>
      </c>
      <c r="AD54" s="23" t="str">
        <f>'RESUMEN TOTAL'!AI56</f>
        <v>APAGADO</v>
      </c>
      <c r="AE54" s="23" t="str">
        <f>'RESUMEN TOTAL'!AJ56</f>
        <v>APAGADO</v>
      </c>
      <c r="AF54" s="23" t="str">
        <f>'RESUMEN TOTAL'!AK56</f>
        <v>APAGADO</v>
      </c>
      <c r="AG54" s="23" t="str">
        <f>'RESUMEN TOTAL'!AL56</f>
        <v>APAGADO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 t="str">
        <f>'RESUMEN TOTAL'!AL57</f>
        <v xml:space="preserve"> 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 t="str">
        <f>'RESUMEN TOTAL'!AH75</f>
        <v>APAGADO</v>
      </c>
      <c r="AD73" s="23" t="str">
        <f>'RESUMEN TOTAL'!AI75</f>
        <v>APAGADO</v>
      </c>
      <c r="AE73" s="23" t="str">
        <f>'RESUMEN TOTAL'!AJ75</f>
        <v>APAGADO</v>
      </c>
      <c r="AF73" s="23" t="str">
        <f>'RESUMEN TOTAL'!AK75</f>
        <v>APAGADO</v>
      </c>
      <c r="AG73" s="23" t="str">
        <f>'RESUMEN TOTAL'!AL75</f>
        <v>APAGADO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 t="str">
        <f>'RESUMEN TOTAL'!AL76</f>
        <v>APAGADO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 t="str">
        <f>'RESUMEN TOTAL'!AJ77</f>
        <v>APAGADO</v>
      </c>
      <c r="AF75" s="23" t="str">
        <f>'RESUMEN TOTAL'!AK77</f>
        <v>APAGADO</v>
      </c>
      <c r="AG75" s="23" t="str">
        <f>'RESUMEN TOTAL'!AL77</f>
        <v>APAGADO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 t="str">
        <f>'RESUMEN TOTAL'!AH87</f>
        <v>APAGADO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 t="str">
        <f>'RESUMEN TOTAL'!AL87</f>
        <v>APAGADO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 t="str">
        <f>'RESUMEN TOTAL'!AH88</f>
        <v>APAGADO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 t="str">
        <f>'RESUMEN TOTAL'!AL88</f>
        <v>APAGADO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 t="str">
        <f>'RESUMEN TOTAL'!AH94</f>
        <v>APAGADO</v>
      </c>
      <c r="AD92" s="23" t="str">
        <f>'RESUMEN TOTAL'!AI94</f>
        <v>APAGADO</v>
      </c>
      <c r="AE92" s="23" t="str">
        <f>'RESUMEN TOTAL'!AJ94</f>
        <v>APAGADO</v>
      </c>
      <c r="AF92" s="23" t="str">
        <f>'RESUMEN TOTAL'!AK94</f>
        <v>APAGADO</v>
      </c>
      <c r="AG92" s="23" t="str">
        <f>'RESUMEN TOTAL'!AL94</f>
        <v>APAGADO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 t="str">
        <f>'RESUMEN TOTAL'!AH98</f>
        <v>APAGADO</v>
      </c>
      <c r="AD96" s="23" t="str">
        <f>'RESUMEN TOTAL'!AI98</f>
        <v>APAGADO</v>
      </c>
      <c r="AE96" s="23" t="str">
        <f>'RESUMEN TOTAL'!AJ98</f>
        <v>APAGADO</v>
      </c>
      <c r="AF96" s="23" t="str">
        <f>'RESUMEN TOTAL'!AK98</f>
        <v>APAGADO</v>
      </c>
      <c r="AG96" s="23" t="str">
        <f>'RESUMEN TOTAL'!AL98</f>
        <v>APAGADO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 t="str">
        <f>'RESUMEN TOTAL'!AH101</f>
        <v>APAGADO</v>
      </c>
      <c r="AD99" s="23" t="str">
        <f>'RESUMEN TOTAL'!AI101</f>
        <v>APAGADO</v>
      </c>
      <c r="AE99" s="23" t="str">
        <f>'RESUMEN TOTAL'!AJ101</f>
        <v>APAGADO</v>
      </c>
      <c r="AF99" s="23" t="str">
        <f>'RESUMEN TOTAL'!AK101</f>
        <v>APAGADO</v>
      </c>
      <c r="AG99" s="23" t="str">
        <f>'RESUMEN TOTAL'!AL101</f>
        <v>APAGADO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 t="str">
        <f>'RESUMEN TOTAL'!AH102</f>
        <v>APAGADO</v>
      </c>
      <c r="AD100" s="23" t="str">
        <f>'RESUMEN TOTAL'!AI102</f>
        <v>APAGADO</v>
      </c>
      <c r="AE100" s="23" t="str">
        <f>'RESUMEN TOTAL'!AJ102</f>
        <v>APAGADO</v>
      </c>
      <c r="AF100" s="23" t="str">
        <f>'RESUMEN TOTAL'!AK102</f>
        <v>APAGADO</v>
      </c>
      <c r="AG100" s="23" t="str">
        <f>'RESUMEN TOTAL'!AL102</f>
        <v>APAGADO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 t="str">
        <f>'RESUMEN TOTAL'!AI118</f>
        <v>APAGADO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 t="str">
        <f>'RESUMEN TOTAL'!AI119</f>
        <v>APAGADO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 t="str">
        <f>'RESUMEN TOTAL'!AI120</f>
        <v>APAGADO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 t="str">
        <f>'RESUMEN TOTAL'!AI121</f>
        <v>APAGADO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 t="str">
        <f>'RESUMEN TOTAL'!AH122</f>
        <v>APAGADO</v>
      </c>
      <c r="AD121" s="23" t="str">
        <f>'RESUMEN TOTAL'!AI122</f>
        <v>APAGADO</v>
      </c>
      <c r="AE121" s="23" t="str">
        <f>'RESUMEN TOTAL'!AJ122</f>
        <v>APAGADO</v>
      </c>
      <c r="AF121" s="23" t="str">
        <f>'RESUMEN TOTAL'!AK122</f>
        <v>APAGADO</v>
      </c>
      <c r="AG121" s="23" t="str">
        <f>'RESUMEN TOTAL'!AL122</f>
        <v>APAGADO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 t="str">
        <f>'RESUMEN TOTAL'!AI138</f>
        <v>APAGADO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 t="str">
        <f>'RESUMEN TOTAL'!AI139</f>
        <v>APAGADO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 t="str">
        <f>'RESUMEN TOTAL'!AI175</f>
        <v>APAGADO</v>
      </c>
      <c r="AE173" s="23" t="str">
        <f>'RESUMEN TOTAL'!AJ175</f>
        <v>APAGADO</v>
      </c>
      <c r="AF173" s="23" t="str">
        <f>'RESUMEN TOTAL'!AK175</f>
        <v>APAGADO</v>
      </c>
      <c r="AG173" s="23" t="str">
        <f>'RESUMEN TOTAL'!AL175</f>
        <v>APAGADO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 t="str">
        <f>'RESUMEN TOTAL'!AI176</f>
        <v>APAGADO</v>
      </c>
      <c r="AE174" s="23">
        <f>'RESUMEN TOTAL'!AJ176</f>
        <v>0</v>
      </c>
      <c r="AF174" s="23">
        <f>'RESUMEN TOTAL'!AK176</f>
        <v>0</v>
      </c>
      <c r="AG174" s="23" t="str">
        <f>'RESUMEN TOTAL'!AL176</f>
        <v>APAGADO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 t="str">
        <f>'RESUMEN TOTAL'!AI177</f>
        <v>APAGADO</v>
      </c>
      <c r="AE175" s="23" t="str">
        <f>'RESUMEN TOTAL'!AJ177</f>
        <v>APAGADO</v>
      </c>
      <c r="AF175" s="23" t="str">
        <f>'RESUMEN TOTAL'!AK177</f>
        <v>APAGADO</v>
      </c>
      <c r="AG175" s="23" t="str">
        <f>'RESUMEN TOTAL'!AL177</f>
        <v>APAGADO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 t="str">
        <f>'RESUMEN TOTAL'!AI182</f>
        <v>APAGADO</v>
      </c>
      <c r="AE180" s="23" t="str">
        <f>'RESUMEN TOTAL'!AJ182</f>
        <v>APAGADO</v>
      </c>
      <c r="AF180" s="23" t="str">
        <f>'RESUMEN TOTAL'!AK182</f>
        <v>APAGADO</v>
      </c>
      <c r="AG180" s="23" t="str">
        <f>'RESUMEN TOTAL'!AL182</f>
        <v>APAGADO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 t="str">
        <f>'RESUMEN TOTAL'!AJ184</f>
        <v>APAGADO</v>
      </c>
      <c r="AF182" s="23" t="str">
        <f>'RESUMEN TOTAL'!AK184</f>
        <v>APAGADO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 t="str">
        <f>'RESUMEN TOTAL'!AH185</f>
        <v>APAGADO</v>
      </c>
      <c r="AD183" s="23" t="str">
        <f>'RESUMEN TOTAL'!AI185</f>
        <v>APAGADO</v>
      </c>
      <c r="AE183" s="23" t="str">
        <f>'RESUMEN TOTAL'!AJ185</f>
        <v>APAGADO</v>
      </c>
      <c r="AF183" s="23" t="str">
        <f>'RESUMEN TOTAL'!AK185</f>
        <v>APAGADO</v>
      </c>
      <c r="AG183" s="23" t="str">
        <f>'RESUMEN TOTAL'!AL185</f>
        <v>APAGADO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 t="str">
        <f>'RESUMEN TOTAL'!AH187</f>
        <v>APAGADO</v>
      </c>
      <c r="AD185" s="23" t="str">
        <f>'RESUMEN TOTAL'!AI187</f>
        <v>APAGADO</v>
      </c>
      <c r="AE185" s="23" t="str">
        <f>'RESUMEN TOTAL'!AJ187</f>
        <v>APAGADO</v>
      </c>
      <c r="AF185" s="23" t="str">
        <f>'RESUMEN TOTAL'!AK187</f>
        <v>APAGADO</v>
      </c>
      <c r="AG185" s="23" t="str">
        <f>'RESUMEN TOTAL'!AL187</f>
        <v>APAGADO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 t="str">
        <f>'RESUMEN TOTAL'!AH198</f>
        <v>APAGADO</v>
      </c>
      <c r="AD196" s="23" t="str">
        <f>'RESUMEN TOTAL'!AI198</f>
        <v>APAGADO</v>
      </c>
      <c r="AE196" s="23" t="str">
        <f>'RESUMEN TOTAL'!AJ198</f>
        <v>APAGADO</v>
      </c>
      <c r="AF196" s="23" t="str">
        <f>'RESUMEN TOTAL'!AK198</f>
        <v>APAGADO</v>
      </c>
      <c r="AG196" s="23" t="str">
        <f>'RESUMEN TOTAL'!AL198</f>
        <v>APAGADO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 t="str">
        <f>'RESUMEN TOTAL'!AH212</f>
        <v>APAGADO</v>
      </c>
      <c r="AD210" s="23" t="str">
        <f>'RESUMEN TOTAL'!AI212</f>
        <v>APAGADO</v>
      </c>
      <c r="AE210" s="23" t="str">
        <f>'RESUMEN TOTAL'!AJ212</f>
        <v>APAGADO</v>
      </c>
      <c r="AF210" s="23" t="str">
        <f>'RESUMEN TOTAL'!AK212</f>
        <v>APAGADO</v>
      </c>
      <c r="AG210" s="23" t="str">
        <f>'RESUMEN TOTAL'!AL212</f>
        <v>APAGADO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 t="str">
        <f>'RESUMEN TOTAL'!AI220</f>
        <v>APAGADO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 t="str">
        <f>'RESUMEN TOTAL'!AI221</f>
        <v>APAGADO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 t="str">
        <f>'RESUMEN TOTAL'!AI222</f>
        <v>APAGADO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 t="str">
        <f>'RESUMEN TOTAL'!AI223</f>
        <v>APAGADO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 t="str">
        <f>'RESUMEN TOTAL'!AH229</f>
        <v>APAGADO</v>
      </c>
      <c r="AD227" s="23" t="str">
        <f>'RESUMEN TOTAL'!AI229</f>
        <v>APAGADO</v>
      </c>
      <c r="AE227" s="23" t="str">
        <f>'RESUMEN TOTAL'!AJ229</f>
        <v>APAGADO</v>
      </c>
      <c r="AF227" s="23" t="str">
        <f>'RESUMEN TOTAL'!AK229</f>
        <v>APAGADO</v>
      </c>
      <c r="AG227" s="23" t="str">
        <f>'RESUMEN TOTAL'!AL229</f>
        <v>APAGADO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 t="str">
        <f>'RESUMEN TOTAL'!AH236</f>
        <v>APAGADO</v>
      </c>
      <c r="AD234" s="23" t="str">
        <f>'RESUMEN TOTAL'!AI236</f>
        <v>APAGADO</v>
      </c>
      <c r="AE234" s="23" t="str">
        <f>'RESUMEN TOTAL'!AJ236</f>
        <v>APAGADO</v>
      </c>
      <c r="AF234" s="23" t="str">
        <f>'RESUMEN TOTAL'!AK236</f>
        <v>APAGADO</v>
      </c>
      <c r="AG234" s="23" t="str">
        <f>'RESUMEN TOTAL'!AL236</f>
        <v>APAGADO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 t="str">
        <f>'RESUMEN TOTAL'!AI237</f>
        <v>APAGADO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 t="str">
        <f>'RESUMEN TOTAL'!AI238</f>
        <v>APAGADO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 t="str">
        <f>'RESUMEN TOTAL'!AH241</f>
        <v>APAGADO</v>
      </c>
      <c r="AD239" s="23" t="str">
        <f>'RESUMEN TOTAL'!AI241</f>
        <v>APAGADO</v>
      </c>
      <c r="AE239" s="23">
        <f>'RESUMEN TOTAL'!AJ241</f>
        <v>0</v>
      </c>
      <c r="AF239" s="23">
        <f>'RESUMEN TOTAL'!AK241</f>
        <v>0</v>
      </c>
      <c r="AG239" s="23" t="str">
        <f>'RESUMEN TOTAL'!AL241</f>
        <v>APAGADO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 t="str">
        <f>'RESUMEN TOTAL'!AH256</f>
        <v>APAGADO</v>
      </c>
      <c r="AD254" s="23" t="str">
        <f>'RESUMEN TOTAL'!AI256</f>
        <v>APAGADO</v>
      </c>
      <c r="AE254" s="23" t="str">
        <f>'RESUMEN TOTAL'!AJ256</f>
        <v>APAGADO</v>
      </c>
      <c r="AF254" s="23" t="str">
        <f>'RESUMEN TOTAL'!AK256</f>
        <v>APAGADO</v>
      </c>
      <c r="AG254" s="23" t="str">
        <f>'RESUMEN TOTAL'!AL256</f>
        <v>APAGADO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 t="str">
        <f>'RESUMEN TOTAL'!AI267</f>
        <v>APAGADO</v>
      </c>
      <c r="AE264" s="23" t="str">
        <f>'RESUMEN TOTAL'!AJ267</f>
        <v>APAGADO</v>
      </c>
      <c r="AF264" s="23" t="str">
        <f>'RESUMEN TOTAL'!AK267</f>
        <v>APAGADO</v>
      </c>
      <c r="AG264" s="23" t="str">
        <f>'RESUMEN TOTAL'!AL267</f>
        <v>APAGADO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 t="str">
        <f>'RESUMEN TOTAL'!AI268</f>
        <v>APAGADO</v>
      </c>
      <c r="AE265" s="23" t="str">
        <f>'RESUMEN TOTAL'!AJ268</f>
        <v>APAGADO</v>
      </c>
      <c r="AF265" s="23" t="str">
        <f>'RESUMEN TOTAL'!AK268</f>
        <v>APAGADO</v>
      </c>
      <c r="AG265" s="23" t="str">
        <f>'RESUMEN TOTAL'!AL268</f>
        <v>APAGADO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 t="str">
        <f>'RESUMEN TOTAL'!AI275</f>
        <v>APAGADO</v>
      </c>
      <c r="AE272" s="23" t="str">
        <f>'RESUMEN TOTAL'!AJ275</f>
        <v>APAGADO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 t="str">
        <f>'RESUMEN TOTAL'!AJ302</f>
        <v>APAGADO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 t="str">
        <f>'RESUMEN TOTAL'!AI315</f>
        <v>APAGADO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 t="str">
        <f>'RESUMEN TOTAL'!AI316</f>
        <v>APAGADO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 t="str">
        <f>'RESUMEN TOTAL'!AH323</f>
        <v>APAGADO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 t="str">
        <f>'RESUMEN TOTAL'!AH335</f>
        <v>APAGADO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 t="str">
        <f>'RESUMEN TOTAL'!AH345</f>
        <v>APAGADO</v>
      </c>
      <c r="AD342" s="23" t="str">
        <f>'RESUMEN TOTAL'!AI345</f>
        <v>APAGADO</v>
      </c>
      <c r="AE342" s="23" t="str">
        <f>'RESUMEN TOTAL'!AJ345</f>
        <v>APAGADO</v>
      </c>
      <c r="AF342" s="23" t="str">
        <f>'RESUMEN TOTAL'!AK345</f>
        <v>APAGADO</v>
      </c>
      <c r="AG342" s="23" t="str">
        <f>'RESUMEN TOTAL'!AL345</f>
        <v>APAGADO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 t="str">
        <f>'RESUMEN TOTAL'!AH347</f>
        <v>APAGADO</v>
      </c>
      <c r="AD344" s="23" t="str">
        <f>'RESUMEN TOTAL'!AI347</f>
        <v>APAGADO</v>
      </c>
      <c r="AE344" s="23" t="str">
        <f>'RESUMEN TOTAL'!AJ347</f>
        <v>APAGADO</v>
      </c>
      <c r="AF344" s="23" t="str">
        <f>'RESUMEN TOTAL'!AK347</f>
        <v>APAGADO</v>
      </c>
      <c r="AG344" s="23" t="str">
        <f>'RESUMEN TOTAL'!AL347</f>
        <v>APAGADO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 t="str">
        <f>'RESUMEN TOTAL'!AH348</f>
        <v>APAGADO</v>
      </c>
      <c r="AD345" s="23" t="str">
        <f>'RESUMEN TOTAL'!AI348</f>
        <v>APAGADO</v>
      </c>
      <c r="AE345" s="23" t="str">
        <f>'RESUMEN TOTAL'!AJ348</f>
        <v>APAGADO</v>
      </c>
      <c r="AF345" s="23" t="str">
        <f>'RESUMEN TOTAL'!AK348</f>
        <v>APAGADO</v>
      </c>
      <c r="AG345" s="23" t="str">
        <f>'RESUMEN TOTAL'!AL348</f>
        <v>APAGADO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 t="str">
        <f>'RESUMEN TOTAL'!AH349</f>
        <v>APAGADO</v>
      </c>
      <c r="AD346" s="23" t="str">
        <f>'RESUMEN TOTAL'!AI349</f>
        <v>APAGADO</v>
      </c>
      <c r="AE346" s="23" t="str">
        <f>'RESUMEN TOTAL'!AJ349</f>
        <v>APAGADO</v>
      </c>
      <c r="AF346" s="23" t="str">
        <f>'RESUMEN TOTAL'!AK349</f>
        <v>APAGADO</v>
      </c>
      <c r="AG346" s="23" t="str">
        <f>'RESUMEN TOTAL'!AL349</f>
        <v>APAGADO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 t="str">
        <f>'RESUMEN TOTAL'!AH350</f>
        <v>APAGADO</v>
      </c>
      <c r="AD347" s="23" t="str">
        <f>'RESUMEN TOTAL'!AI350</f>
        <v>APAGADO</v>
      </c>
      <c r="AE347" s="23" t="str">
        <f>'RESUMEN TOTAL'!AJ350</f>
        <v>APAGADO</v>
      </c>
      <c r="AF347" s="23" t="str">
        <f>'RESUMEN TOTAL'!AK350</f>
        <v>APAGADO</v>
      </c>
      <c r="AG347" s="23" t="str">
        <f>'RESUMEN TOTAL'!AL350</f>
        <v>APAGADO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 t="str">
        <f>'RESUMEN TOTAL'!AH351</f>
        <v>APAGADO</v>
      </c>
      <c r="AD348" s="23" t="str">
        <f>'RESUMEN TOTAL'!AI351</f>
        <v>APAGADO</v>
      </c>
      <c r="AE348" s="23" t="str">
        <f>'RESUMEN TOTAL'!AJ351</f>
        <v>APAGADO</v>
      </c>
      <c r="AF348" s="23" t="str">
        <f>'RESUMEN TOTAL'!AK351</f>
        <v>APAGADO</v>
      </c>
      <c r="AG348" s="23" t="str">
        <f>'RESUMEN TOTAL'!AL351</f>
        <v>APAGADO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 t="str">
        <f>'RESUMEN TOTAL'!AH360</f>
        <v>APAGADO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 t="str">
        <f>'RESUMEN TOTAL'!AH371</f>
        <v>APAGADO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 t="str">
        <f>'RESUMEN TOTAL'!AH374</f>
        <v>APAGADO</v>
      </c>
      <c r="AD371" s="23" t="str">
        <f>'RESUMEN TOTAL'!AI374</f>
        <v>APAGADO</v>
      </c>
      <c r="AE371" s="23" t="str">
        <f>'RESUMEN TOTAL'!AJ374</f>
        <v>APAGADO</v>
      </c>
      <c r="AF371" s="23" t="str">
        <f>'RESUMEN TOTAL'!AK374</f>
        <v>APAGADO</v>
      </c>
      <c r="AG371" s="23" t="str">
        <f>'RESUMEN TOTAL'!AL374</f>
        <v>APAGADO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 t="str">
        <f>'RESUMEN TOTAL'!AH379</f>
        <v>APAGADO</v>
      </c>
      <c r="AD376" s="23" t="str">
        <f>'RESUMEN TOTAL'!AI379</f>
        <v>APAGADO</v>
      </c>
      <c r="AE376" s="23" t="str">
        <f>'RESUMEN TOTAL'!AJ379</f>
        <v>APAGADO</v>
      </c>
      <c r="AF376" s="23" t="str">
        <f>'RESUMEN TOTAL'!AK379</f>
        <v>APAGADO</v>
      </c>
      <c r="AG376" s="23" t="str">
        <f>'RESUMEN TOTAL'!AL379</f>
        <v>APAGADO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 t="str">
        <f>'RESUMEN TOTAL'!AH390</f>
        <v>APAGADO</v>
      </c>
      <c r="AD387" s="23" t="str">
        <f>'RESUMEN TOTAL'!AI390</f>
        <v>APAGADO</v>
      </c>
      <c r="AE387" s="23">
        <f>'RESUMEN TOTAL'!AJ390</f>
        <v>0</v>
      </c>
      <c r="AF387" s="23" t="str">
        <f>'RESUMEN TOTAL'!AK390</f>
        <v>APAGADO</v>
      </c>
      <c r="AG387" s="23" t="str">
        <f>'RESUMEN TOTAL'!AL390</f>
        <v>APAGADO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 t="str">
        <f>'RESUMEN TOTAL'!AH391</f>
        <v>APAGADO</v>
      </c>
      <c r="AD388" s="23" t="str">
        <f>'RESUMEN TOTAL'!AI391</f>
        <v>APAGADO</v>
      </c>
      <c r="AE388" s="23">
        <f>'RESUMEN TOTAL'!AJ391</f>
        <v>0</v>
      </c>
      <c r="AF388" s="23" t="str">
        <f>'RESUMEN TOTAL'!AK391</f>
        <v>APAGADO</v>
      </c>
      <c r="AG388" s="23" t="str">
        <f>'RESUMEN TOTAL'!AL391</f>
        <v>APAGADO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 t="str">
        <f>'RESUMEN TOTAL'!AH405</f>
        <v>APAGADO</v>
      </c>
      <c r="AD402" s="23" t="str">
        <f>'RESUMEN TOTAL'!AI405</f>
        <v>APAGADO</v>
      </c>
      <c r="AE402" s="23" t="str">
        <f>'RESUMEN TOTAL'!AJ405</f>
        <v>APAGADO</v>
      </c>
      <c r="AF402" s="23" t="str">
        <f>'RESUMEN TOTAL'!AK405</f>
        <v>APAGADO</v>
      </c>
      <c r="AG402" s="23" t="str">
        <f>'RESUMEN TOTAL'!AL405</f>
        <v>APAGADO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 t="str">
        <f>'RESUMEN TOTAL'!AH420</f>
        <v>APAGADO</v>
      </c>
      <c r="AD417" s="23" t="str">
        <f>'RESUMEN TOTAL'!AI420</f>
        <v>APAGADO</v>
      </c>
      <c r="AE417" s="23" t="str">
        <f>'RESUMEN TOTAL'!AJ420</f>
        <v>APAGADO</v>
      </c>
      <c r="AF417" s="23" t="str">
        <f>'RESUMEN TOTAL'!AK420</f>
        <v>APAGADO</v>
      </c>
      <c r="AG417" s="23" t="str">
        <f>'RESUMEN TOTAL'!AL420</f>
        <v>APAGADO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 t="str">
        <f>'RESUMEN TOTAL'!AK432</f>
        <v>APAGADO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39</v>
      </c>
      <c r="AD1" s="19">
        <f t="shared" si="0"/>
        <v>54</v>
      </c>
      <c r="AE1" s="19">
        <f t="shared" si="0"/>
        <v>39</v>
      </c>
      <c r="AF1" s="19">
        <f t="shared" si="0"/>
        <v>39</v>
      </c>
      <c r="AG1" s="19">
        <f t="shared" si="0"/>
        <v>43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 t="str">
        <f>ESTADISTICA!AG55</f>
        <v xml:space="preserve"> 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 t="str">
        <f>ESTADISTICA!AC73</f>
        <v>APAGADO</v>
      </c>
      <c r="AD74" t="str">
        <f>ESTADISTICA!AD73</f>
        <v>APAGADO</v>
      </c>
      <c r="AE74" t="str">
        <f>ESTADISTICA!AE73</f>
        <v>APAGADO</v>
      </c>
      <c r="AF74" t="str">
        <f>ESTADISTICA!AF73</f>
        <v>APAGADO</v>
      </c>
      <c r="AG74" t="str">
        <f>ESTADISTICA!AG73</f>
        <v>APAGADO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 t="str">
        <f>ESTADISTICA!AG74</f>
        <v>APAGADO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 t="str">
        <f>ESTADISTICA!AE75</f>
        <v>APAGADO</v>
      </c>
      <c r="AF76" t="str">
        <f>ESTADISTICA!AF75</f>
        <v>APAGADO</v>
      </c>
      <c r="AG76" t="str">
        <f>ESTADISTICA!AG75</f>
        <v>APAGADO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 t="str">
        <f>ESTADISTICA!AG174</f>
        <v>APAGADO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 t="str">
        <f>ESTADISTICA!AF210</f>
        <v>APAGADO</v>
      </c>
      <c r="AG211" t="str">
        <f>ESTADISTICA!AG210</f>
        <v>APAGADO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 t="str">
        <f>ESTADISTICA!AC254</f>
        <v>APAGADO</v>
      </c>
      <c r="AD255" t="str">
        <f>ESTADISTICA!AD254</f>
        <v>APAGADO</v>
      </c>
      <c r="AE255" t="str">
        <f>ESTADISTICA!AE254</f>
        <v>APAGADO</v>
      </c>
      <c r="AF255" t="str">
        <f>ESTADISTICA!AF254</f>
        <v>APAGADO</v>
      </c>
      <c r="AG255" t="str">
        <f>ESTADISTICA!AG254</f>
        <v>APAGADO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 t="str">
        <f>ESTADISTICA!AG264</f>
        <v>APAGADO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 t="str">
        <f>ESTADISTICA!AE265</f>
        <v>APAGADO</v>
      </c>
      <c r="AF266" t="str">
        <f>ESTADISTICA!AF265</f>
        <v>APAGADO</v>
      </c>
      <c r="AG266" t="str">
        <f>ESTADISTICA!AG265</f>
        <v>APAGADO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 t="str">
        <f>ESTADISTICA!AD272</f>
        <v>APAGADO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 t="str">
        <f>ESTADISTICA!AE299</f>
        <v>APAGADO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 t="str">
        <f>ESTADISTICA!AD313</f>
        <v>APAGADO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 t="str">
        <f>ESTADISTICA!AG342</f>
        <v>APAGADO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 t="str">
        <f>ESTADISTICA!AG345</f>
        <v>APAGADO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 t="str">
        <f>ESTADISTICA!AG346</f>
        <v>APAGADO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 t="str">
        <f>ESTADISTICA!AG347</f>
        <v>APAGADO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 t="str">
        <f>ESTADISTICA!AF371</f>
        <v>APAGADO</v>
      </c>
      <c r="AG372" t="str">
        <f>ESTADISTICA!AG371</f>
        <v>APAGADO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 t="str">
        <f>ESTADISTICA!AG376</f>
        <v>APAGADO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 t="str">
        <f>ESTADISTICA!AC387</f>
        <v>APAGADO</v>
      </c>
      <c r="AD388" s="40" t="str">
        <f>ESTADISTICA!AD387</f>
        <v>APAGADO</v>
      </c>
      <c r="AE388" s="40">
        <f>ESTADISTICA!AE387</f>
        <v>0</v>
      </c>
      <c r="AF388" s="40" t="str">
        <f>ESTADISTICA!AF387</f>
        <v>APAGADO</v>
      </c>
      <c r="AG388" s="40" t="str">
        <f>ESTADISTICA!AG387</f>
        <v>APAGADO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 t="str">
        <f>ESTADISTICA!AC388</f>
        <v>APAGADO</v>
      </c>
      <c r="AD389" s="40" t="str">
        <f>ESTADISTICA!AD388</f>
        <v>APAGADO</v>
      </c>
      <c r="AE389" s="40">
        <f>ESTADISTICA!AE388</f>
        <v>0</v>
      </c>
      <c r="AF389" s="40" t="str">
        <f>ESTADISTICA!AF388</f>
        <v>APAGADO</v>
      </c>
      <c r="AG389" s="40" t="str">
        <f>ESTADISTICA!AG388</f>
        <v>APAGADO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 t="str">
        <f>ESTADISTICA!AC402</f>
        <v>APAGADO</v>
      </c>
      <c r="AD403" s="40" t="str">
        <f>ESTADISTICA!AD402</f>
        <v>APAGADO</v>
      </c>
      <c r="AE403" s="40" t="str">
        <f>ESTADISTICA!AE402</f>
        <v>APAGADO</v>
      </c>
      <c r="AF403" s="40" t="str">
        <f>ESTADISTICA!AF402</f>
        <v>APAGADO</v>
      </c>
      <c r="AG403" s="40" t="str">
        <f>ESTADISTICA!AG402</f>
        <v>APAGADO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 t="str">
        <f>ESTADISTICA!AC417</f>
        <v>APAGADO</v>
      </c>
      <c r="AD418" s="40" t="str">
        <f>ESTADISTICA!AD417</f>
        <v>APAGADO</v>
      </c>
      <c r="AE418" s="40" t="str">
        <f>ESTADISTICA!AE417</f>
        <v>APAGADO</v>
      </c>
      <c r="AF418" s="40" t="str">
        <f>ESTADISTICA!AF417</f>
        <v>APAGADO</v>
      </c>
      <c r="AG418" s="40" t="str">
        <f>ESTADISTICA!AG417</f>
        <v>APAGADO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 t="str">
        <f>ESTADISTICA!AF429</f>
        <v>APAGADO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198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COUNTIFS(AB4:AB500, "=APAGADO",E4:E500,"=Fibra Optica")</f>
        <v>41</v>
      </c>
      <c r="AC2" s="19">
        <f>COUNTIFS(AC4:AC500, "=APAGADO",E4:E500,"=Fibra Optica")</f>
        <v>33</v>
      </c>
      <c r="AD2" s="19">
        <f>COUNTIFS(AD4:AD500, "=APAGADO",E4:E500,"=Fibra Optica")</f>
        <v>50</v>
      </c>
      <c r="AE2" s="19">
        <f>COUNTIFS(AE4:AE500, "=APAGADO",E4:E500,"=Fibra Optica")</f>
        <v>32</v>
      </c>
      <c r="AF2" s="19">
        <f>COUNTIFS(AF4:AF500, "=APAGADO",E4:E500,"=Fibra Optica")</f>
        <v>33</v>
      </c>
      <c r="AG2" s="19">
        <f>COUNTIFS(AG4:AG500, "=APAGADO",E4:E500,"=Fibra Optica")</f>
        <v>37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 t="str">
        <f>ESTADISTICA!AC13</f>
        <v>APAGADO</v>
      </c>
      <c r="AD15" s="40" t="str">
        <f>ESTADISTICA!AD13</f>
        <v>APAGADO</v>
      </c>
      <c r="AE15" s="40" t="str">
        <f>ESTADISTICA!AE13</f>
        <v>APAGADO</v>
      </c>
      <c r="AF15" s="40" t="str">
        <f>ESTADISTICA!AF13</f>
        <v>APAGADO</v>
      </c>
      <c r="AG15" s="40" t="str">
        <f>ESTADISTICA!AG13</f>
        <v>APAGADO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 t="str">
        <f>ESTADISTICA!AC25</f>
        <v>APAGADO</v>
      </c>
      <c r="AD27" s="40" t="str">
        <f>ESTADISTICA!AD25</f>
        <v>APAGADO</v>
      </c>
      <c r="AE27" s="40" t="str">
        <f>ESTADISTICA!AE25</f>
        <v>APAGADO</v>
      </c>
      <c r="AF27" s="40" t="str">
        <f>ESTADISTICA!AF25</f>
        <v>APAGADO</v>
      </c>
      <c r="AG27" s="40" t="str">
        <f>ESTADISTICA!AG25</f>
        <v>APAGADO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 t="str">
        <f>ESTADISTICA!AC32</f>
        <v>APAGADO</v>
      </c>
      <c r="AD34" s="40" t="str">
        <f>ESTADISTICA!AD32</f>
        <v>APAGADO</v>
      </c>
      <c r="AE34" s="40" t="str">
        <f>ESTADISTICA!AE32</f>
        <v>APAGADO</v>
      </c>
      <c r="AF34" s="40" t="str">
        <f>ESTADISTICA!AF32</f>
        <v>APAGADO</v>
      </c>
      <c r="AG34" s="40" t="str">
        <f>ESTADISTICA!AG32</f>
        <v>APAGADO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 t="str">
        <f>ESTADISTICA!AC38</f>
        <v>APAGADO</v>
      </c>
      <c r="AD40" s="40" t="str">
        <f>ESTADISTICA!AD38</f>
        <v>APAGADO</v>
      </c>
      <c r="AE40" s="40" t="str">
        <f>ESTADISTICA!AE38</f>
        <v>APAGADO</v>
      </c>
      <c r="AF40" s="40" t="str">
        <f>ESTADISTICA!AF38</f>
        <v>APAGADO</v>
      </c>
      <c r="AG40" s="40" t="str">
        <f>ESTADISTICA!AG38</f>
        <v>APAGADO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 t="str">
        <f>ESTADISTICA!AC46</f>
        <v>APAGADO</v>
      </c>
      <c r="AD48" s="40" t="str">
        <f>ESTADISTICA!AD46</f>
        <v>APAGADO</v>
      </c>
      <c r="AE48" s="40" t="str">
        <f>ESTADISTICA!AE46</f>
        <v>APAGADO</v>
      </c>
      <c r="AF48" s="40" t="str">
        <f>ESTADISTICA!AF46</f>
        <v>APAGADO</v>
      </c>
      <c r="AG48" s="40" t="str">
        <f>ESTADISTICA!AG46</f>
        <v>APAGADO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 t="str">
        <f>ESTADISTICA!AC47</f>
        <v>APAGADO</v>
      </c>
      <c r="AD49" s="40" t="str">
        <f>ESTADISTICA!AD47</f>
        <v>APAGADO</v>
      </c>
      <c r="AE49" s="40" t="str">
        <f>ESTADISTICA!AE47</f>
        <v>APAGADO</v>
      </c>
      <c r="AF49" s="40" t="str">
        <f>ESTADISTICA!AF47</f>
        <v>APAGADO</v>
      </c>
      <c r="AG49" s="40" t="str">
        <f>ESTADISTICA!AG47</f>
        <v>APAGADO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 t="str">
        <f>ESTADISTICA!AC49</f>
        <v>APAGADO</v>
      </c>
      <c r="AD51" s="40" t="str">
        <f>ESTADISTICA!AD49</f>
        <v>APAGADO</v>
      </c>
      <c r="AE51" s="40" t="str">
        <f>ESTADISTICA!AE49</f>
        <v>APAGADO</v>
      </c>
      <c r="AF51" s="40" t="str">
        <f>ESTADISTICA!AF49</f>
        <v>APAGADO</v>
      </c>
      <c r="AG51" s="40" t="str">
        <f>ESTADISTICA!AG49</f>
        <v>APAGADO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 t="str">
        <f>ESTADISTICA!AC52</f>
        <v>APAGADO</v>
      </c>
      <c r="AD54" s="40" t="str">
        <f>ESTADISTICA!AD52</f>
        <v>APAGADO</v>
      </c>
      <c r="AE54" s="40" t="str">
        <f>ESTADISTICA!AE52</f>
        <v>APAGADO</v>
      </c>
      <c r="AF54" s="40" t="str">
        <f>ESTADISTICA!AF52</f>
        <v>APAGADO</v>
      </c>
      <c r="AG54" s="40" t="str">
        <f>ESTADISTICA!AG52</f>
        <v>APAGADO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 t="str">
        <f>ESTADISTICA!AC54</f>
        <v>APAGADO</v>
      </c>
      <c r="AD56" s="40" t="str">
        <f>ESTADISTICA!AD54</f>
        <v>APAGADO</v>
      </c>
      <c r="AE56" s="40" t="str">
        <f>ESTADISTICA!AE54</f>
        <v>APAGADO</v>
      </c>
      <c r="AF56" s="40" t="str">
        <f>ESTADISTICA!AF54</f>
        <v>APAGADO</v>
      </c>
      <c r="AG56" s="40" t="str">
        <f>ESTADISTICA!AG54</f>
        <v>APAGADO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 t="str">
        <f>ESTADISTICA!AG55</f>
        <v xml:space="preserve"> 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 t="str">
        <f>ESTADISTICA!AC73</f>
        <v>APAGADO</v>
      </c>
      <c r="AD75" s="40" t="str">
        <f>ESTADISTICA!AD73</f>
        <v>APAGADO</v>
      </c>
      <c r="AE75" s="40" t="str">
        <f>ESTADISTICA!AE73</f>
        <v>APAGADO</v>
      </c>
      <c r="AF75" s="40" t="str">
        <f>ESTADISTICA!AF73</f>
        <v>APAGADO</v>
      </c>
      <c r="AG75" s="40" t="str">
        <f>ESTADISTICA!AG73</f>
        <v>APAGADO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 t="str">
        <f>ESTADISTICA!AG74</f>
        <v>APAGADO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 t="str">
        <f>ESTADISTICA!AE75</f>
        <v>APAGADO</v>
      </c>
      <c r="AF77" s="40" t="str">
        <f>ESTADISTICA!AF75</f>
        <v>APAGADO</v>
      </c>
      <c r="AG77" s="40" t="str">
        <f>ESTADISTICA!AG75</f>
        <v>APAGADO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 t="str">
        <f>ESTADISTICA!AC85</f>
        <v>APAGADO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 t="str">
        <f>ESTADISTICA!AG85</f>
        <v>APAGADO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 t="str">
        <f>ESTADISTICA!AC86</f>
        <v>APAGADO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 t="str">
        <f>ESTADISTICA!AG86</f>
        <v>APAGADO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 t="str">
        <f>ESTADISTICA!AC92</f>
        <v>APAGADO</v>
      </c>
      <c r="AD94" s="40" t="str">
        <f>ESTADISTICA!AD92</f>
        <v>APAGADO</v>
      </c>
      <c r="AE94" s="40" t="str">
        <f>ESTADISTICA!AE92</f>
        <v>APAGADO</v>
      </c>
      <c r="AF94" s="40" t="str">
        <f>ESTADISTICA!AF92</f>
        <v>APAGADO</v>
      </c>
      <c r="AG94" s="40" t="str">
        <f>ESTADISTICA!AG92</f>
        <v>APAGADO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 t="str">
        <f>ESTADISTICA!AC96</f>
        <v>APAGADO</v>
      </c>
      <c r="AD98" s="40" t="str">
        <f>ESTADISTICA!AD96</f>
        <v>APAGADO</v>
      </c>
      <c r="AE98" s="40" t="str">
        <f>ESTADISTICA!AE96</f>
        <v>APAGADO</v>
      </c>
      <c r="AF98" s="40" t="str">
        <f>ESTADISTICA!AF96</f>
        <v>APAGADO</v>
      </c>
      <c r="AG98" s="40" t="str">
        <f>ESTADISTICA!AG96</f>
        <v>APAGADO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 t="str">
        <f>ESTADISTICA!AC99</f>
        <v>APAGADO</v>
      </c>
      <c r="AD101" s="40" t="str">
        <f>ESTADISTICA!AD99</f>
        <v>APAGADO</v>
      </c>
      <c r="AE101" s="40" t="str">
        <f>ESTADISTICA!AE99</f>
        <v>APAGADO</v>
      </c>
      <c r="AF101" s="40" t="str">
        <f>ESTADISTICA!AF99</f>
        <v>APAGADO</v>
      </c>
      <c r="AG101" s="40" t="str">
        <f>ESTADISTICA!AG99</f>
        <v>APAGADO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 t="str">
        <f>ESTADISTICA!AC100</f>
        <v>APAGADO</v>
      </c>
      <c r="AD102" s="40" t="str">
        <f>ESTADISTICA!AD100</f>
        <v>APAGADO</v>
      </c>
      <c r="AE102" s="40" t="str">
        <f>ESTADISTICA!AE100</f>
        <v>APAGADO</v>
      </c>
      <c r="AF102" s="40" t="str">
        <f>ESTADISTICA!AF100</f>
        <v>APAGADO</v>
      </c>
      <c r="AG102" s="40" t="str">
        <f>ESTADISTICA!AG100</f>
        <v>APAGADO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 t="str">
        <f>ESTADISTICA!AD116</f>
        <v>APAGADO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 t="str">
        <f>ESTADISTICA!AD117</f>
        <v>APAGADO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 t="str">
        <f>ESTADISTICA!AD118</f>
        <v>APAGADO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 t="str">
        <f>ESTADISTICA!AD119</f>
        <v>APAGADO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 t="str">
        <f>ESTADISTICA!AC121</f>
        <v>APAGADO</v>
      </c>
      <c r="AD123" s="40" t="str">
        <f>ESTADISTICA!AD121</f>
        <v>APAGADO</v>
      </c>
      <c r="AE123" s="40" t="str">
        <f>ESTADISTICA!AE121</f>
        <v>APAGADO</v>
      </c>
      <c r="AF123" s="40" t="str">
        <f>ESTADISTICA!AF121</f>
        <v>APAGADO</v>
      </c>
      <c r="AG123" s="40" t="str">
        <f>ESTADISTICA!AG121</f>
        <v>APAGADO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 t="str">
        <f>ESTADISTICA!AD136</f>
        <v>APAGADO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 t="str">
        <f>ESTADISTICA!AD137</f>
        <v>APAGADO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 t="str">
        <f>ESTADISTICA!AD173</f>
        <v>APAGADO</v>
      </c>
      <c r="AE175" s="40" t="str">
        <f>ESTADISTICA!AE173</f>
        <v>APAGADO</v>
      </c>
      <c r="AF175" s="40" t="str">
        <f>ESTADISTICA!AF173</f>
        <v>APAGADO</v>
      </c>
      <c r="AG175" s="40" t="str">
        <f>ESTADISTICA!AG173</f>
        <v>APAGADO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 t="str">
        <f>ESTADISTICA!AD174</f>
        <v>APAGADO</v>
      </c>
      <c r="AE176" s="40">
        <f>ESTADISTICA!AE174</f>
        <v>0</v>
      </c>
      <c r="AF176" s="40">
        <f>ESTADISTICA!AF174</f>
        <v>0</v>
      </c>
      <c r="AG176" s="40" t="str">
        <f>ESTADISTICA!AG174</f>
        <v>APAGADO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 t="str">
        <f>ESTADISTICA!AD175</f>
        <v>APAGADO</v>
      </c>
      <c r="AE177" s="40" t="str">
        <f>ESTADISTICA!AE175</f>
        <v>APAGADO</v>
      </c>
      <c r="AF177" s="40" t="str">
        <f>ESTADISTICA!AF175</f>
        <v>APAGADO</v>
      </c>
      <c r="AG177" s="40" t="str">
        <f>ESTADISTICA!AG175</f>
        <v>APAGADO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 t="str">
        <f>ESTADISTICA!AD180</f>
        <v>APAGADO</v>
      </c>
      <c r="AE182" s="40" t="str">
        <f>ESTADISTICA!AE180</f>
        <v>APAGADO</v>
      </c>
      <c r="AF182" s="40" t="str">
        <f>ESTADISTICA!AF180</f>
        <v>APAGADO</v>
      </c>
      <c r="AG182" s="40" t="str">
        <f>ESTADISTICA!AG180</f>
        <v>APAGADO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 t="str">
        <f>ESTADISTICA!AE182</f>
        <v>APAGADO</v>
      </c>
      <c r="AF184" s="40" t="str">
        <f>ESTADISTICA!AF182</f>
        <v>APAGADO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 t="str">
        <f>ESTADISTICA!AC183</f>
        <v>APAGADO</v>
      </c>
      <c r="AD185" s="40" t="str">
        <f>ESTADISTICA!AD183</f>
        <v>APAGADO</v>
      </c>
      <c r="AE185" s="40" t="str">
        <f>ESTADISTICA!AE183</f>
        <v>APAGADO</v>
      </c>
      <c r="AF185" s="40" t="str">
        <f>ESTADISTICA!AF183</f>
        <v>APAGADO</v>
      </c>
      <c r="AG185" s="40" t="str">
        <f>ESTADISTICA!AG183</f>
        <v>APAGADO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 t="str">
        <f>ESTADISTICA!AC185</f>
        <v>APAGADO</v>
      </c>
      <c r="AD187" s="40" t="str">
        <f>ESTADISTICA!AD185</f>
        <v>APAGADO</v>
      </c>
      <c r="AE187" s="40" t="str">
        <f>ESTADISTICA!AE185</f>
        <v>APAGADO</v>
      </c>
      <c r="AF187" s="40" t="str">
        <f>ESTADISTICA!AF185</f>
        <v>APAGADO</v>
      </c>
      <c r="AG187" s="40" t="str">
        <f>ESTADISTICA!AG185</f>
        <v>APAGADO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 t="str">
        <f>ESTADISTICA!AC196</f>
        <v>APAGADO</v>
      </c>
      <c r="AD198" s="40" t="str">
        <f>ESTADISTICA!AD196</f>
        <v>APAGADO</v>
      </c>
      <c r="AE198" s="40" t="str">
        <f>ESTADISTICA!AE196</f>
        <v>APAGADO</v>
      </c>
      <c r="AF198" s="40" t="str">
        <f>ESTADISTICA!AF196</f>
        <v>APAGADO</v>
      </c>
      <c r="AG198" s="40" t="str">
        <f>ESTADISTICA!AG196</f>
        <v>APAGADO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 t="str">
        <f>ESTADISTICA!AC210</f>
        <v>APAGADO</v>
      </c>
      <c r="AD212" s="40" t="str">
        <f>ESTADISTICA!AD210</f>
        <v>APAGADO</v>
      </c>
      <c r="AE212" s="40" t="str">
        <f>ESTADISTICA!AE210</f>
        <v>APAGADO</v>
      </c>
      <c r="AF212" s="40" t="str">
        <f>ESTADISTICA!AF210</f>
        <v>APAGADO</v>
      </c>
      <c r="AG212" s="40" t="str">
        <f>ESTADISTICA!AG210</f>
        <v>APAGADO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 t="str">
        <f>ESTADISTICA!AD218</f>
        <v>APAGADO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 t="str">
        <f>ESTADISTICA!AD219</f>
        <v>APAGADO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 t="str">
        <f>ESTADISTICA!AD220</f>
        <v>APAGADO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 t="str">
        <f>ESTADISTICA!AD221</f>
        <v>APAGADO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 t="str">
        <f>ESTADISTICA!AC227</f>
        <v>APAGADO</v>
      </c>
      <c r="AD229" s="40" t="str">
        <f>ESTADISTICA!AD227</f>
        <v>APAGADO</v>
      </c>
      <c r="AE229" s="40" t="str">
        <f>ESTADISTICA!AE227</f>
        <v>APAGADO</v>
      </c>
      <c r="AF229" s="40" t="str">
        <f>ESTADISTICA!AF227</f>
        <v>APAGADO</v>
      </c>
      <c r="AG229" s="40" t="str">
        <f>ESTADISTICA!AG227</f>
        <v>APAGADO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 t="str">
        <f>ESTADISTICA!AC234</f>
        <v>APAGADO</v>
      </c>
      <c r="AD236" s="40" t="str">
        <f>ESTADISTICA!AD234</f>
        <v>APAGADO</v>
      </c>
      <c r="AE236" s="40" t="str">
        <f>ESTADISTICA!AE234</f>
        <v>APAGADO</v>
      </c>
      <c r="AF236" s="40" t="str">
        <f>ESTADISTICA!AF234</f>
        <v>APAGADO</v>
      </c>
      <c r="AG236" s="40" t="str">
        <f>ESTADISTICA!AG234</f>
        <v>APAGADO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 t="str">
        <f>ESTADISTICA!AD235</f>
        <v>APAGADO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 t="str">
        <f>ESTADISTICA!AD236</f>
        <v>APAGADO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 t="str">
        <f>ESTADISTICA!AC239</f>
        <v>APAGADO</v>
      </c>
      <c r="AD241" s="40" t="str">
        <f>ESTADISTICA!AD239</f>
        <v>APAGADO</v>
      </c>
      <c r="AE241" s="40">
        <f>ESTADISTICA!AE239</f>
        <v>0</v>
      </c>
      <c r="AF241" s="40">
        <f>ESTADISTICA!AF239</f>
        <v>0</v>
      </c>
      <c r="AG241" s="40" t="str">
        <f>ESTADISTICA!AG239</f>
        <v>APAGADO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 t="str">
        <f>ESTADISTICA!AC254</f>
        <v>APAGADO</v>
      </c>
      <c r="AD256" s="40" t="str">
        <f>ESTADISTICA!AD254</f>
        <v>APAGADO</v>
      </c>
      <c r="AE256" s="40" t="str">
        <f>ESTADISTICA!AE254</f>
        <v>APAGADO</v>
      </c>
      <c r="AF256" s="40" t="str">
        <f>ESTADISTICA!AF254</f>
        <v>APAGADO</v>
      </c>
      <c r="AG256" s="40" t="str">
        <f>ESTADISTICA!AG254</f>
        <v>APAGADO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 t="str">
        <f>ESTADISTICA!AD264</f>
        <v>APAGADO</v>
      </c>
      <c r="AE266" s="40" t="str">
        <f>ESTADISTICA!AE264</f>
        <v>APAGADO</v>
      </c>
      <c r="AF266" s="40" t="str">
        <f>ESTADISTICA!AF264</f>
        <v>APAGADO</v>
      </c>
      <c r="AG266" s="40" t="str">
        <f>ESTADISTICA!AG264</f>
        <v>APAGADO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 t="str">
        <f>ESTADISTICA!AD265</f>
        <v>APAGADO</v>
      </c>
      <c r="AE267" s="40" t="str">
        <f>ESTADISTICA!AE265</f>
        <v>APAGADO</v>
      </c>
      <c r="AF267" s="40" t="str">
        <f>ESTADISTICA!AF265</f>
        <v>APAGADO</v>
      </c>
      <c r="AG267" s="40" t="str">
        <f>ESTADISTICA!AG265</f>
        <v>APAGADO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 t="str">
        <f>ESTADISTICA!AD272</f>
        <v>APAGADO</v>
      </c>
      <c r="AE274" s="40" t="str">
        <f>ESTADISTICA!AE272</f>
        <v>APAGADO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 t="str">
        <f>ESTADISTICA!AE299</f>
        <v>APAGADO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 t="str">
        <f>ESTADISTICA!AD312</f>
        <v>APAGADO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 t="str">
        <f>ESTADISTICA!AD313</f>
        <v>APAGADO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 t="str">
        <f>ESTADISTICA!AC320</f>
        <v>APAGADO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 t="str">
        <f>ESTADISTICA!AC332</f>
        <v>APAGADO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 t="str">
        <f>ESTADISTICA!AC342</f>
        <v>APAGADO</v>
      </c>
      <c r="AD344" s="40" t="str">
        <f>ESTADISTICA!AD342</f>
        <v>APAGADO</v>
      </c>
      <c r="AE344" s="40" t="str">
        <f>ESTADISTICA!AE342</f>
        <v>APAGADO</v>
      </c>
      <c r="AF344" s="40" t="str">
        <f>ESTADISTICA!AF342</f>
        <v>APAGADO</v>
      </c>
      <c r="AG344" s="40" t="str">
        <f>ESTADISTICA!AG342</f>
        <v>APAGADO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 t="str">
        <f>ESTADISTICA!AC344</f>
        <v>APAGADO</v>
      </c>
      <c r="AD346" s="40" t="str">
        <f>ESTADISTICA!AD344</f>
        <v>APAGADO</v>
      </c>
      <c r="AE346" s="40" t="str">
        <f>ESTADISTICA!AE344</f>
        <v>APAGADO</v>
      </c>
      <c r="AF346" s="40" t="str">
        <f>ESTADISTICA!AF344</f>
        <v>APAGADO</v>
      </c>
      <c r="AG346" s="40" t="str">
        <f>ESTADISTICA!AG344</f>
        <v>APAGADO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 t="str">
        <f>ESTADISTICA!AC345</f>
        <v>APAGADO</v>
      </c>
      <c r="AD347" s="40" t="str">
        <f>ESTADISTICA!AD345</f>
        <v>APAGADO</v>
      </c>
      <c r="AE347" s="40" t="str">
        <f>ESTADISTICA!AE345</f>
        <v>APAGADO</v>
      </c>
      <c r="AF347" s="40" t="str">
        <f>ESTADISTICA!AF345</f>
        <v>APAGADO</v>
      </c>
      <c r="AG347" s="40" t="str">
        <f>ESTADISTICA!AG345</f>
        <v>APAGADO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 t="str">
        <f>ESTADISTICA!AC346</f>
        <v>APAGADO</v>
      </c>
      <c r="AD348" s="40" t="str">
        <f>ESTADISTICA!AD346</f>
        <v>APAGADO</v>
      </c>
      <c r="AE348" s="40" t="str">
        <f>ESTADISTICA!AE346</f>
        <v>APAGADO</v>
      </c>
      <c r="AF348" s="40" t="str">
        <f>ESTADISTICA!AF346</f>
        <v>APAGADO</v>
      </c>
      <c r="AG348" s="40" t="str">
        <f>ESTADISTICA!AG346</f>
        <v>APAGADO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 t="str">
        <f>ESTADISTICA!AC347</f>
        <v>APAGADO</v>
      </c>
      <c r="AD349" s="40" t="str">
        <f>ESTADISTICA!AD347</f>
        <v>APAGADO</v>
      </c>
      <c r="AE349" s="40" t="str">
        <f>ESTADISTICA!AE347</f>
        <v>APAGADO</v>
      </c>
      <c r="AF349" s="40" t="str">
        <f>ESTADISTICA!AF347</f>
        <v>APAGADO</v>
      </c>
      <c r="AG349" s="40" t="str">
        <f>ESTADISTICA!AG347</f>
        <v>APAGADO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 t="str">
        <f>ESTADISTICA!AC348</f>
        <v>APAGADO</v>
      </c>
      <c r="AD350" s="40" t="str">
        <f>ESTADISTICA!AD348</f>
        <v>APAGADO</v>
      </c>
      <c r="AE350" s="40" t="str">
        <f>ESTADISTICA!AE348</f>
        <v>APAGADO</v>
      </c>
      <c r="AF350" s="40" t="str">
        <f>ESTADISTICA!AF348</f>
        <v>APAGADO</v>
      </c>
      <c r="AG350" s="40" t="str">
        <f>ESTADISTICA!AG348</f>
        <v>APAGADO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 t="str">
        <f>ESTADISTICA!AC357</f>
        <v>APAGADO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COUNTIFS(AB4:AB500, "=APAGADO",E4:E500,"=PTO A FO")</f>
        <v>4</v>
      </c>
      <c r="AC2" s="19">
        <f>COUNTIFS(AC4:AC500, "=APAGADO",E4:E500,"=PTO A FO")</f>
        <v>4</v>
      </c>
      <c r="AD2" s="19">
        <f>COUNTIFS(AD4:AD500, "=APAGADO",E4:E500,"=PTO A FO")</f>
        <v>4</v>
      </c>
      <c r="AE2" s="19">
        <f>COUNTIFS(AE4:AE500, "=APAGADO",E4:E500,"=PTO A FO")</f>
        <v>4</v>
      </c>
      <c r="AF2" s="19">
        <f>COUNTIFS(AF4:AF500, "=APAGADO",E4:E500,"=PTO A FO")</f>
        <v>4</v>
      </c>
      <c r="AG2" s="19">
        <f>COUNTIFS(AG4:AG500, "=APAGADO",E4:E500,"=PTO A FO")</f>
        <v>4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 t="str">
        <f>ESTADISTICA!AG25</f>
        <v>APAGADO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 t="str">
        <f>ESTADISTICA!AG55</f>
        <v xml:space="preserve"> 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 t="str">
        <f>ESTADISTICA!AG74</f>
        <v>APAGADO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 t="str">
        <f>ESTADISTICA!AG75</f>
        <v>APAGADO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 t="str">
        <f>ESTADISTICA!AG121</f>
        <v>APAGADO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 t="str">
        <f>ESTADISTICA!AG185</f>
        <v>APAGADO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 t="str">
        <f>ESTADISTICA!AG210</f>
        <v>APAGADO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 t="str">
        <f>ESTADISTICA!AG239</f>
        <v>APAGADO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 t="str">
        <f>ESTADISTICA!AG254</f>
        <v>APAGADO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 t="str">
        <f>ESTADISTICA!AG264</f>
        <v>APAGADO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 t="str">
        <f>ESTADISTICA!AG265</f>
        <v>APAGADO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I2" sqref="AI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COUNTIFS(AB4:AB500, "=APAGADO",E4:E500,"=radio")</f>
        <v>8</v>
      </c>
      <c r="AC2" s="19">
        <f>COUNTIFS(AC4:AC500, "=APAGADO",E4:E500,"=radio")</f>
        <v>4</v>
      </c>
      <c r="AD2" s="19">
        <f>COUNTIFS(AD4:AD500, "=APAGADO",E4:E500,"=radio")</f>
        <v>2</v>
      </c>
      <c r="AE2" s="19">
        <f>COUNTIFS(AE4:AE500, "=APAGADO",E4:E500,"=radio")</f>
        <v>5</v>
      </c>
      <c r="AF2" s="19">
        <f>COUNTIFS(AF4:AF500, "=APAGADO",E4:E500,"=radio")</f>
        <v>5</v>
      </c>
      <c r="AG2" s="19">
        <f>COUNTIFS(AG4:AG500, "=APAGADO",E4:E500,"=radio")</f>
        <v>4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 t="str">
        <f>ESTADISTICA!AG25</f>
        <v>APAGADO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 t="str">
        <f>ESTADISTICA!AG55</f>
        <v xml:space="preserve"> 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 t="str">
        <f>ESTADISTICA!AG74</f>
        <v>APAGADO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 t="str">
        <f>ESTADISTICA!AG75</f>
        <v>APAGADO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 t="str">
        <f>ESTADISTICA!AG121</f>
        <v>APAGADO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 t="str">
        <f>ESTADISTICA!AG185</f>
        <v>APAGADO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 t="str">
        <f>ESTADISTICA!AG210</f>
        <v>APAGADO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 t="str">
        <f>ESTADISTICA!AG239</f>
        <v>APAGADO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 t="str">
        <f>ESTADISTICA!AG254</f>
        <v>APAGADO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 t="str">
        <f>ESTADISTICA!AG264</f>
        <v>APAGADO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 t="str">
        <f>ESTADISTICA!AG265</f>
        <v>APAGADO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A47" sqref="A47:E51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>
        <v>430</v>
      </c>
      <c r="C22" s="77"/>
      <c r="D22" s="78"/>
      <c r="E22" s="141">
        <v>44875</v>
      </c>
    </row>
    <row r="23" spans="1:14" ht="15" thickBot="1" x14ac:dyDescent="0.35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" thickTop="1" x14ac:dyDescent="0.3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5.6" thickTop="1" thickBot="1" x14ac:dyDescent="0.35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>
        <v>431</v>
      </c>
      <c r="C32" s="77"/>
      <c r="D32" s="78"/>
      <c r="E32" s="141">
        <v>44882</v>
      </c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42"/>
      <c r="G34" s="122"/>
      <c r="K34" s="123"/>
    </row>
    <row r="35" spans="1:14" x14ac:dyDescent="0.3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42"/>
      <c r="G35" s="122"/>
      <c r="K35" s="123"/>
    </row>
    <row r="36" spans="1:14" ht="15" thickBot="1" x14ac:dyDescent="0.35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43"/>
      <c r="G36" s="122"/>
      <c r="K36" s="123"/>
    </row>
    <row r="37" spans="1:14" ht="15" thickTop="1" x14ac:dyDescent="0.3">
      <c r="A37" s="75" t="s">
        <v>999</v>
      </c>
      <c r="B37" s="76">
        <v>433</v>
      </c>
      <c r="C37" s="77"/>
      <c r="D37" s="78"/>
      <c r="E37" s="141">
        <v>44610</v>
      </c>
      <c r="G37" s="122"/>
      <c r="K37" s="123"/>
    </row>
    <row r="38" spans="1:14" x14ac:dyDescent="0.3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42"/>
    </row>
    <row r="40" spans="1:14" ht="15" thickTop="1" x14ac:dyDescent="0.3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>
        <v>433</v>
      </c>
      <c r="C42" s="77"/>
      <c r="D42" s="78"/>
      <c r="E42" s="141">
        <v>44887</v>
      </c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43"/>
    </row>
    <row r="47" spans="1:14" ht="15" thickTop="1" x14ac:dyDescent="0.3">
      <c r="A47" s="75" t="s">
        <v>999</v>
      </c>
      <c r="B47" s="76">
        <v>433</v>
      </c>
      <c r="C47" s="77"/>
      <c r="D47" s="78"/>
      <c r="E47" s="141">
        <v>44893</v>
      </c>
      <c r="G47" s="122"/>
      <c r="K47" s="123"/>
    </row>
    <row r="48" spans="1:14" x14ac:dyDescent="0.3">
      <c r="A48" s="79" t="s">
        <v>6</v>
      </c>
      <c r="B48" s="80">
        <v>45</v>
      </c>
      <c r="C48" s="81">
        <v>45</v>
      </c>
      <c r="D48" s="82">
        <f>C48/B47</f>
        <v>0.10392609699769054</v>
      </c>
      <c r="E48" s="142"/>
      <c r="G48" s="122"/>
      <c r="K48" s="123"/>
    </row>
    <row r="49" spans="1:11" x14ac:dyDescent="0.3">
      <c r="A49" s="79" t="s">
        <v>1001</v>
      </c>
      <c r="B49" s="80">
        <v>0</v>
      </c>
      <c r="C49" s="81">
        <f>C48-B49</f>
        <v>45</v>
      </c>
      <c r="D49" s="82">
        <f>C49/B47</f>
        <v>0.10392609699769054</v>
      </c>
      <c r="E49" s="142"/>
      <c r="G49" s="122"/>
      <c r="K49" s="123"/>
    </row>
    <row r="50" spans="1:11" x14ac:dyDescent="0.3">
      <c r="A50" s="79" t="s">
        <v>1000</v>
      </c>
      <c r="B50" s="80">
        <v>2</v>
      </c>
      <c r="C50" s="81">
        <f>C49-B50</f>
        <v>43</v>
      </c>
      <c r="D50" s="82">
        <f>C50/B47</f>
        <v>9.9307159353348731E-2</v>
      </c>
      <c r="E50" s="142"/>
      <c r="G50" s="122"/>
      <c r="K50" s="123"/>
    </row>
    <row r="51" spans="1:11" ht="15" thickBot="1" x14ac:dyDescent="0.35">
      <c r="A51" s="91" t="s">
        <v>16</v>
      </c>
      <c r="B51" s="92">
        <v>4</v>
      </c>
      <c r="C51" s="93">
        <f>C50-B51</f>
        <v>39</v>
      </c>
      <c r="D51" s="82">
        <f>C51/B47</f>
        <v>9.0069284064665134E-2</v>
      </c>
      <c r="E51" s="143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2"/>
    </row>
    <row r="55" spans="1:11" x14ac:dyDescent="0.3">
      <c r="A55" s="79" t="s">
        <v>1000</v>
      </c>
      <c r="B55" s="80"/>
      <c r="C55" s="81"/>
      <c r="D55" s="82"/>
      <c r="E55" s="142"/>
    </row>
    <row r="56" spans="1:11" ht="15" thickBot="1" x14ac:dyDescent="0.35">
      <c r="A56" s="91" t="s">
        <v>16</v>
      </c>
      <c r="B56" s="92"/>
      <c r="C56" s="93"/>
      <c r="D56" s="94"/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0" sqref="F30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3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3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3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3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3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3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3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3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3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3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3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3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3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3">
      <c r="A24" s="18">
        <f>'APAGADOS RADIO'!AB3</f>
        <v>44888</v>
      </c>
      <c r="B24" s="40">
        <f>'APAGADOS RADIO'!AB2+D24</f>
        <v>12</v>
      </c>
      <c r="C24" s="40">
        <f>'APAGADOS FIBRA'!AB2</f>
        <v>41</v>
      </c>
      <c r="D24" s="40">
        <f>'APAGADOS ANTENA'!AB2</f>
        <v>4</v>
      </c>
      <c r="E24" s="40">
        <f t="shared" ref="E24:E29" si="18">B24+C24</f>
        <v>53</v>
      </c>
      <c r="F24" s="40">
        <f>'RESUMEN TOTAL'!B1</f>
        <v>430</v>
      </c>
      <c r="G24" s="44">
        <f t="shared" ref="G24:G29" si="19">E24/F24</f>
        <v>0.12325581395348838</v>
      </c>
    </row>
    <row r="25" spans="1:7" x14ac:dyDescent="0.3">
      <c r="A25" s="18">
        <f>'APAGADOS RADIO'!AC3</f>
        <v>44889</v>
      </c>
      <c r="B25" s="40">
        <f>'APAGADOS RADIO'!AC2+D25</f>
        <v>8</v>
      </c>
      <c r="C25" s="40">
        <f>'APAGADOS FIBRA'!AC2</f>
        <v>33</v>
      </c>
      <c r="D25" s="40">
        <f>'APAGADOS ANTENA'!AC2</f>
        <v>4</v>
      </c>
      <c r="E25" s="40">
        <f t="shared" si="18"/>
        <v>41</v>
      </c>
      <c r="F25" s="40">
        <f>'RESUMEN TOTAL'!B1</f>
        <v>430</v>
      </c>
      <c r="G25" s="44">
        <f t="shared" si="19"/>
        <v>9.5348837209302331E-2</v>
      </c>
    </row>
    <row r="26" spans="1:7" x14ac:dyDescent="0.3">
      <c r="A26" s="18">
        <f>'APAGADOS RADIO'!AD3</f>
        <v>44890</v>
      </c>
      <c r="B26" s="40">
        <f>'APAGADOS RADIO'!AD2+D26</f>
        <v>6</v>
      </c>
      <c r="C26" s="40">
        <f>'APAGADOS FIBRA'!AC2</f>
        <v>33</v>
      </c>
      <c r="D26" s="40">
        <f>'APAGADOS ANTENA'!AD2</f>
        <v>4</v>
      </c>
      <c r="E26" s="40">
        <f t="shared" si="18"/>
        <v>39</v>
      </c>
      <c r="F26" s="40">
        <f>'RESUMEN TOTAL'!B1</f>
        <v>430</v>
      </c>
      <c r="G26" s="44">
        <f t="shared" si="19"/>
        <v>9.0697674418604657E-2</v>
      </c>
    </row>
    <row r="27" spans="1:7" x14ac:dyDescent="0.3">
      <c r="A27" s="18">
        <f>'APAGADOS RADIO'!AE3</f>
        <v>44891</v>
      </c>
      <c r="B27" s="40">
        <f>'APAGADOS RADIO'!AE2+D27</f>
        <v>9</v>
      </c>
      <c r="C27" s="40">
        <f>'APAGADOS FIBRA'!AD2</f>
        <v>50</v>
      </c>
      <c r="D27" s="40">
        <f>'APAGADOS ANTENA'!AE2</f>
        <v>4</v>
      </c>
      <c r="E27" s="40">
        <f t="shared" si="18"/>
        <v>59</v>
      </c>
      <c r="F27" s="40">
        <f>'RESUMEN TOTAL'!B1</f>
        <v>430</v>
      </c>
      <c r="G27" s="44">
        <f t="shared" si="19"/>
        <v>0.1372093023255814</v>
      </c>
    </row>
    <row r="28" spans="1:7" x14ac:dyDescent="0.3">
      <c r="A28" s="18">
        <f>'APAGADOS RADIO'!AF3</f>
        <v>44892</v>
      </c>
      <c r="B28" s="40">
        <f>'APAGADOS RADIO'!AF2+D28</f>
        <v>9</v>
      </c>
      <c r="C28" s="40">
        <f>'APAGADOS FIBRA'!AE2</f>
        <v>32</v>
      </c>
      <c r="D28" s="40">
        <f>'APAGADOS ANTENA'!AF2</f>
        <v>4</v>
      </c>
      <c r="E28" s="40">
        <f t="shared" si="18"/>
        <v>41</v>
      </c>
      <c r="F28" s="40">
        <f>'RESUMEN TOTAL'!B1</f>
        <v>430</v>
      </c>
      <c r="G28" s="44">
        <f t="shared" si="19"/>
        <v>9.5348837209302331E-2</v>
      </c>
    </row>
    <row r="29" spans="1:7" x14ac:dyDescent="0.3">
      <c r="A29" s="18">
        <f>'APAGADOS RADIO'!AG3</f>
        <v>44893</v>
      </c>
      <c r="B29" s="40">
        <f>'APAGADOS RADIO'!AG2+D29</f>
        <v>8</v>
      </c>
      <c r="C29" s="40">
        <f>'APAGADOS FIBRA'!AG2</f>
        <v>37</v>
      </c>
      <c r="D29" s="40">
        <f>'APAGADOS ANTENA'!AG2</f>
        <v>4</v>
      </c>
      <c r="E29" s="40">
        <f t="shared" si="18"/>
        <v>45</v>
      </c>
      <c r="F29" s="40">
        <f>'RESUMEN TOTAL'!B1</f>
        <v>430</v>
      </c>
      <c r="G29" s="44">
        <f t="shared" si="19"/>
        <v>0.10465116279069768</v>
      </c>
    </row>
    <row r="30" spans="1:7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29</v>
      </c>
      <c r="AD3" s="64">
        <f>COUNTIFS('RESUMEN TOTAL'!C7:C501, "=BONOMO",'RESUMEN TOTAL'!AI7:AI501,"=APAGADO")</f>
        <v>34</v>
      </c>
      <c r="AE3" s="64">
        <f>COUNTIFS('RESUMEN TOTAL'!C7:C501, "=BONOMO",'RESUMEN TOTAL'!AJ7:AJ501,"=APAGADO")</f>
        <v>33</v>
      </c>
      <c r="AF3" s="64">
        <f>COUNTIFS('RESUMEN TOTAL'!C7:C501, "=BONOMO",'RESUMEN TOTAL'!AK7:AK501,"=APAGADO")</f>
        <v>34</v>
      </c>
      <c r="AG3" s="64">
        <f>COUNTIFS('RESUMEN TOTAL'!C7:C501, "=BONOMO",'RESUMEN TOTAL'!AL7:AL501,"=APAGADO")</f>
        <v>37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0.12888888888888889</v>
      </c>
      <c r="AD4" s="71">
        <f t="shared" si="0"/>
        <v>0.15111111111111111</v>
      </c>
      <c r="AE4" s="71">
        <f t="shared" si="0"/>
        <v>0.14666666666666667</v>
      </c>
      <c r="AF4" s="71">
        <f t="shared" si="0"/>
        <v>0.15111111111111111</v>
      </c>
      <c r="AG4" s="71">
        <f t="shared" si="0"/>
        <v>0.16444444444444445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12</v>
      </c>
      <c r="AD5" s="66">
        <f>COUNTIFS('RESUMEN TOTAL'!C10:C421, "=COSEIDI",'RESUMEN TOTAL'!AI10:AI421,"=APAGADO")</f>
        <v>22</v>
      </c>
      <c r="AE5" s="66">
        <f>COUNTIFS('RESUMEN TOTAL'!C10:C421, "=COSEIDI",'RESUMEN TOTAL'!AJ10:AJ421,"=APAGADO")</f>
        <v>8</v>
      </c>
      <c r="AF5" s="66">
        <f>COUNTIFS('RESUMEN TOTAL'!C10:C421, "=COSEIDI",'RESUMEN TOTAL'!AK10:AK421,"=APAGADO")</f>
        <v>7</v>
      </c>
      <c r="AG5" s="66">
        <f>COUNTIFS('RESUMEN TOTAL'!C10:C421, "=COSEIDI",'RESUMEN TOTAL'!AL10:AL421,"=APAGADO")</f>
        <v>8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5.8536585365853662E-2</v>
      </c>
      <c r="AD6" s="70">
        <f t="shared" si="5"/>
        <v>0.10731707317073171</v>
      </c>
      <c r="AE6" s="70">
        <f t="shared" si="5"/>
        <v>3.9024390243902439E-2</v>
      </c>
      <c r="AF6" s="52">
        <f t="shared" si="5"/>
        <v>3.4146341463414637E-2</v>
      </c>
      <c r="AG6" s="52">
        <f t="shared" si="5"/>
        <v>3.9024390243902439E-2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2022-11-28T12:11:43Z</dcterms:modified>
</cp:coreProperties>
</file>