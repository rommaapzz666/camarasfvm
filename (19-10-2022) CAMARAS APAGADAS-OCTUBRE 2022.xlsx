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8_{9C6A1B4A-9D89-41DB-A888-07344506BF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AO1" i="2" l="1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14" i="14" l="1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M2" i="21"/>
  <c r="S2" i="21"/>
  <c r="D15" i="14" s="1"/>
  <c r="AB2" i="21"/>
  <c r="T2" i="21"/>
  <c r="L2" i="21"/>
  <c r="D8" i="14" s="1"/>
  <c r="Z2" i="21"/>
  <c r="R2" i="21"/>
  <c r="D14" i="14" s="1"/>
  <c r="J2" i="21"/>
  <c r="D6" i="14" s="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C11" i="14" s="1"/>
  <c r="AB1" i="9"/>
  <c r="H2" i="10"/>
  <c r="C4" i="14" s="1"/>
  <c r="Y1" i="9"/>
  <c r="Z2" i="10"/>
  <c r="S2" i="10"/>
  <c r="C15" i="14" s="1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E13" i="14" s="1"/>
  <c r="G13" i="14" s="1"/>
  <c r="AC2" i="11"/>
  <c r="U2" i="11"/>
  <c r="AE2" i="11"/>
  <c r="AF2" i="11"/>
  <c r="X2" i="11"/>
  <c r="AD2" i="11"/>
  <c r="Y2" i="11"/>
  <c r="Z2" i="11"/>
  <c r="S2" i="11"/>
  <c r="B15" i="14" s="1"/>
  <c r="T2" i="11"/>
  <c r="W2" i="11"/>
  <c r="E14" i="14" l="1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<sst xmlns="http://schemas.openxmlformats.org/spreadsheetml/2006/main" count="3938" uniqueCount="1278">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</sst>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0</c:v>
                </c:pt>
                <c:pt idx="17">
                  <c:v>34</c:v>
                </c:pt>
                <c:pt idx="18">
                  <c:v>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</c:v>
                      </c:pt>
                      <c:pt idx="17">
                        <c:v>0.15178571428571427</c:v>
                      </c:pt>
                      <c:pt idx="18">
                        <c:v>0.18303571428571427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0</c:v>
                      </c:pt>
                      <c:pt idx="17">
                        <c:v>5.9113300492610835E-2</c:v>
                      </c:pt>
                      <c:pt idx="18">
                        <c:v>0.26600985221674878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</c:v>
                </c:pt>
                <c:pt idx="17">
                  <c:v>0.15178571428571427</c:v>
                </c:pt>
                <c:pt idx="18">
                  <c:v>0.18303571428571427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0</c:v>
                </c:pt>
                <c:pt idx="17">
                  <c:v>5.9113300492610835E-2</c:v>
                </c:pt>
                <c:pt idx="18">
                  <c:v>0.26600985221674878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41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tabSelected="1" zoomScale="80" zoomScaleNormal="80" workbookViewId="0">
      <pane xSplit="10" ySplit="4" topLeftCell="AB212" activePane="bottomRight" state="frozen"/>
      <selection pane="topRight" activeCell="M1" sqref="M1"/>
      <selection pane="bottomLeft" activeCell="A5" sqref="A5"/>
      <selection pane="bottomRight" activeCell="AB225" sqref="AB225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</v>
      </c>
      <c r="AB1" s="4">
        <f t="shared" si="0"/>
        <v>0.1108433734939759</v>
      </c>
      <c r="AC1" s="4">
        <f t="shared" si="0"/>
        <v>0.2289156626506024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415</v>
      </c>
      <c r="AB2" s="10">
        <f t="shared" si="2"/>
        <v>369</v>
      </c>
      <c r="AC2" s="10">
        <f t="shared" si="2"/>
        <v>320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0</v>
      </c>
      <c r="AB3" s="14">
        <f t="shared" si="5"/>
        <v>46</v>
      </c>
      <c r="AC3" s="14">
        <f t="shared" si="5"/>
        <v>95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14</v>
      </c>
      <c r="I9" s="16">
        <f>COUNTIF(K9:AL9,"APAGADO")</f>
        <v>16</v>
      </c>
      <c r="J9" s="17">
        <f>(H9)/(I9+H9)</f>
        <v>0.46666666666666667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/>
      <c r="AB9" s="26" t="s">
        <v>1277</v>
      </c>
      <c r="AC9" s="26" t="s">
        <v>1277</v>
      </c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14</v>
      </c>
      <c r="I14" s="16">
        <f t="shared" si="6"/>
        <v>16</v>
      </c>
      <c r="J14" s="17">
        <f t="shared" si="7"/>
        <v>0.46666666666666667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/>
      <c r="AB14" s="26" t="s">
        <v>1277</v>
      </c>
      <c r="AC14" s="26" t="s">
        <v>1277</v>
      </c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28</v>
      </c>
      <c r="I15" s="16">
        <f t="shared" si="6"/>
        <v>2</v>
      </c>
      <c r="J15" s="17">
        <f t="shared" si="7"/>
        <v>0.93333333333333335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 t="s">
        <v>1277</v>
      </c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15</v>
      </c>
      <c r="I16" s="16">
        <f t="shared" si="6"/>
        <v>15</v>
      </c>
      <c r="J16" s="17">
        <f t="shared" si="7"/>
        <v>0.5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/>
      <c r="AB16" s="26" t="s">
        <v>1277</v>
      </c>
      <c r="AC16" s="26" t="s">
        <v>1277</v>
      </c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22</v>
      </c>
      <c r="I28" s="16">
        <f>COUNTIF(K28:AL28,"APAGADO")</f>
        <v>8</v>
      </c>
      <c r="J28" s="17">
        <f>(H28)/(I28+H28)</f>
        <v>0.73333333333333328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/>
      <c r="AB28" s="26" t="s">
        <v>1277</v>
      </c>
      <c r="AC28" s="26" t="s">
        <v>1277</v>
      </c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15</v>
      </c>
      <c r="I31" s="16">
        <f t="shared" si="6"/>
        <v>15</v>
      </c>
      <c r="J31" s="17">
        <f t="shared" si="7"/>
        <v>0.5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/>
      <c r="AB31" s="26" t="s">
        <v>1277</v>
      </c>
      <c r="AC31" s="26" t="s">
        <v>1277</v>
      </c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14</v>
      </c>
      <c r="I34" s="16">
        <f t="shared" si="6"/>
        <v>16</v>
      </c>
      <c r="J34" s="17">
        <f t="shared" si="7"/>
        <v>0.46666666666666667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/>
      <c r="AB34" s="26" t="s">
        <v>1277</v>
      </c>
      <c r="AC34" s="26" t="s">
        <v>1277</v>
      </c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14</v>
      </c>
      <c r="I42" s="16">
        <f t="shared" si="6"/>
        <v>16</v>
      </c>
      <c r="J42" s="17">
        <f t="shared" si="7"/>
        <v>0.46666666666666667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/>
      <c r="AB42" s="26" t="s">
        <v>1277</v>
      </c>
      <c r="AC42" s="26" t="s">
        <v>1277</v>
      </c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28</v>
      </c>
      <c r="I43" s="16">
        <f t="shared" si="6"/>
        <v>2</v>
      </c>
      <c r="J43" s="17">
        <f t="shared" si="7"/>
        <v>0.93333333333333335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 t="s">
        <v>1277</v>
      </c>
      <c r="AC43" s="26" t="s">
        <v>1277</v>
      </c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27</v>
      </c>
      <c r="I45" s="16">
        <f t="shared" si="6"/>
        <v>3</v>
      </c>
      <c r="J45" s="17">
        <f t="shared" si="7"/>
        <v>0.9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 t="s">
        <v>1277</v>
      </c>
      <c r="AC45" s="26" t="s">
        <v>1277</v>
      </c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27</v>
      </c>
      <c r="I48" s="16">
        <f t="shared" si="6"/>
        <v>3</v>
      </c>
      <c r="J48" s="17">
        <f t="shared" si="7"/>
        <v>0.9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 t="s">
        <v>1277</v>
      </c>
      <c r="AC48" s="26" t="s">
        <v>1277</v>
      </c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16</v>
      </c>
      <c r="I50" s="16">
        <f t="shared" si="6"/>
        <v>14</v>
      </c>
      <c r="J50" s="17">
        <f t="shared" si="7"/>
        <v>0.53333333333333333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/>
      <c r="AB50" s="26" t="s">
        <v>1277</v>
      </c>
      <c r="AC50" s="26" t="s">
        <v>1277</v>
      </c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14</v>
      </c>
      <c r="I63" s="16">
        <f t="shared" si="9"/>
        <v>16</v>
      </c>
      <c r="J63" s="17">
        <f t="shared" si="10"/>
        <v>0.46666666666666667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/>
      <c r="AB63" s="26" t="s">
        <v>1277</v>
      </c>
      <c r="AC63" s="26" t="s">
        <v>1277</v>
      </c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27</v>
      </c>
      <c r="I71" s="16">
        <f t="shared" si="13"/>
        <v>3</v>
      </c>
      <c r="J71" s="17">
        <f t="shared" si="14"/>
        <v>0.9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26</v>
      </c>
      <c r="I81" s="16">
        <f>COUNTIF(K81:AL81,"APAGADO")</f>
        <v>4</v>
      </c>
      <c r="J81" s="17">
        <f>(H81)/(I81+H81)</f>
        <v>0.8666666666666667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26</v>
      </c>
      <c r="I82" s="16">
        <f t="shared" si="9"/>
        <v>4</v>
      </c>
      <c r="J82" s="17">
        <f t="shared" si="10"/>
        <v>0.8666666666666667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14</v>
      </c>
      <c r="I88" s="16">
        <f>COUNTIF(K88:AL88,"APAGADO")</f>
        <v>16</v>
      </c>
      <c r="J88" s="17">
        <f>(H88)/(I88+H88)</f>
        <v>0.46666666666666667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/>
      <c r="AB88" s="26" t="s">
        <v>1277</v>
      </c>
      <c r="AC88" s="26" t="s">
        <v>1277</v>
      </c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27</v>
      </c>
      <c r="I92" s="16">
        <f>COUNTIF(K92:AL92,"APAGADO")</f>
        <v>3</v>
      </c>
      <c r="J92" s="17">
        <f>(H92)/(I92+H92)</f>
        <v>0.9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 t="s">
        <v>1277</v>
      </c>
      <c r="AC92" s="26" t="s">
        <v>1277</v>
      </c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14</v>
      </c>
      <c r="I95" s="52">
        <f t="shared" si="16"/>
        <v>16</v>
      </c>
      <c r="J95" s="53">
        <f t="shared" si="17"/>
        <v>0.46666666666666667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/>
      <c r="AB95" s="26" t="s">
        <v>1277</v>
      </c>
      <c r="AC95" s="26" t="s">
        <v>1277</v>
      </c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14</v>
      </c>
      <c r="I96" s="52">
        <f t="shared" si="16"/>
        <v>16</v>
      </c>
      <c r="J96" s="53">
        <f t="shared" si="17"/>
        <v>0.46666666666666667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/>
      <c r="AB96" s="26" t="s">
        <v>1277</v>
      </c>
      <c r="AC96" s="26" t="s">
        <v>1277</v>
      </c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29</v>
      </c>
      <c r="I104" s="16">
        <f>COUNTIF(K104:AL104,"APAGADO")</f>
        <v>1</v>
      </c>
      <c r="J104" s="17">
        <f>(H104)/(I104+H104)</f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 t="s">
        <v>1277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28</v>
      </c>
      <c r="I115" s="16">
        <f t="shared" si="9"/>
        <v>2</v>
      </c>
      <c r="J115" s="17">
        <f t="shared" si="10"/>
        <v>0.93333333333333335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 t="s">
        <v>1277</v>
      </c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28</v>
      </c>
      <c r="I116" s="16">
        <f t="shared" si="9"/>
        <v>2</v>
      </c>
      <c r="J116" s="17">
        <f t="shared" si="10"/>
        <v>0.93333333333333335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29</v>
      </c>
      <c r="I119" s="16">
        <f t="shared" si="9"/>
        <v>1</v>
      </c>
      <c r="J119" s="17">
        <f t="shared" si="10"/>
        <v>0.96666666666666667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 t="s">
        <v>1277</v>
      </c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28</v>
      </c>
      <c r="I120" s="16">
        <f t="shared" si="9"/>
        <v>2</v>
      </c>
      <c r="J120" s="17">
        <f t="shared" si="10"/>
        <v>0.93333333333333335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 t="s">
        <v>1277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28</v>
      </c>
      <c r="I121" s="16">
        <f t="shared" si="9"/>
        <v>2</v>
      </c>
      <c r="J121" s="17">
        <f t="shared" si="10"/>
        <v>0.93333333333333335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 t="s">
        <v>1277</v>
      </c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29</v>
      </c>
      <c r="I123" s="16">
        <f t="shared" si="9"/>
        <v>1</v>
      </c>
      <c r="J123" s="17">
        <f t="shared" si="10"/>
        <v>0.96666666666666667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 t="s">
        <v>1277</v>
      </c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29</v>
      </c>
      <c r="I124" s="16">
        <f t="shared" si="9"/>
        <v>1</v>
      </c>
      <c r="J124" s="17">
        <f t="shared" si="10"/>
        <v>0.96666666666666667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 t="s">
        <v>1277</v>
      </c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29</v>
      </c>
      <c r="I129" s="52">
        <f>COUNTIF(K129:AL129,"APAGADO")</f>
        <v>1</v>
      </c>
      <c r="J129" s="53">
        <f>(H129)/(I129+H129)</f>
        <v>0.96666666666666667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 t="s">
        <v>1277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29</v>
      </c>
      <c r="I130" s="52">
        <f>COUNTIF(K130:AL130,"APAGADO")</f>
        <v>1</v>
      </c>
      <c r="J130" s="53">
        <f>(H130)/(I130+H130)</f>
        <v>0.96666666666666667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 t="s">
        <v>1277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29</v>
      </c>
      <c r="I131" s="16">
        <f t="shared" si="9"/>
        <v>1</v>
      </c>
      <c r="J131" s="17">
        <f t="shared" si="10"/>
        <v>0.96666666666666667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 t="s">
        <v>1277</v>
      </c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29</v>
      </c>
      <c r="I132" s="16">
        <f t="shared" si="9"/>
        <v>1</v>
      </c>
      <c r="J132" s="17">
        <f t="shared" si="10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 t="s">
        <v>1277</v>
      </c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29</v>
      </c>
      <c r="I136" s="16">
        <f t="shared" si="9"/>
        <v>1</v>
      </c>
      <c r="J136" s="17">
        <f t="shared" si="10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 t="s">
        <v>1277</v>
      </c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 t="s">
        <v>1277</v>
      </c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29</v>
      </c>
      <c r="I138" s="16">
        <f t="shared" si="9"/>
        <v>1</v>
      </c>
      <c r="J138" s="17">
        <f t="shared" si="10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 t="s">
        <v>1277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29</v>
      </c>
      <c r="I139" s="16">
        <f t="shared" si="9"/>
        <v>1</v>
      </c>
      <c r="J139" s="17">
        <f t="shared" si="10"/>
        <v>0.96666666666666667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 t="s">
        <v>1277</v>
      </c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29</v>
      </c>
      <c r="I140" s="16">
        <f t="shared" si="9"/>
        <v>1</v>
      </c>
      <c r="J140" s="17">
        <f t="shared" si="10"/>
        <v>0.96666666666666667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 t="s">
        <v>1277</v>
      </c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 t="s">
        <v>1277</v>
      </c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26</v>
      </c>
      <c r="I142" s="16">
        <f t="shared" si="9"/>
        <v>4</v>
      </c>
      <c r="J142" s="17">
        <f t="shared" si="10"/>
        <v>0.8666666666666667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 t="s">
        <v>1277</v>
      </c>
      <c r="AC142" s="26" t="s">
        <v>1277</v>
      </c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27</v>
      </c>
      <c r="I145" s="16">
        <f t="shared" si="21"/>
        <v>3</v>
      </c>
      <c r="J145" s="17">
        <f t="shared" si="22"/>
        <v>0.9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 t="s">
        <v>1277</v>
      </c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20</v>
      </c>
      <c r="I156" s="16">
        <f t="shared" si="21"/>
        <v>10</v>
      </c>
      <c r="J156" s="17">
        <f t="shared" si="22"/>
        <v>0.66666666666666663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/>
      <c r="AB156" s="26" t="s">
        <v>1277</v>
      </c>
      <c r="AC156" s="26" t="s">
        <v>1277</v>
      </c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20</v>
      </c>
      <c r="I157" s="16">
        <f t="shared" si="21"/>
        <v>10</v>
      </c>
      <c r="J157" s="17">
        <f t="shared" si="22"/>
        <v>0.66666666666666663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/>
      <c r="AB157" s="26" t="s">
        <v>1277</v>
      </c>
      <c r="AC157" s="26" t="s">
        <v>1277</v>
      </c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14</v>
      </c>
      <c r="I166" s="16">
        <f t="shared" si="21"/>
        <v>16</v>
      </c>
      <c r="J166" s="17">
        <f t="shared" si="22"/>
        <v>0.46666666666666667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/>
      <c r="AB166" s="26" t="s">
        <v>1277</v>
      </c>
      <c r="AC166" s="26" t="s">
        <v>1277</v>
      </c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15</v>
      </c>
      <c r="I168" s="16">
        <f t="shared" si="21"/>
        <v>15</v>
      </c>
      <c r="J168" s="17">
        <f t="shared" si="22"/>
        <v>0.5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/>
      <c r="AB168" s="26" t="s">
        <v>1277</v>
      </c>
      <c r="AC168" s="26" t="s">
        <v>1277</v>
      </c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17</v>
      </c>
      <c r="I173" s="16">
        <f t="shared" si="21"/>
        <v>13</v>
      </c>
      <c r="J173" s="17">
        <f t="shared" si="22"/>
        <v>0.56666666666666665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/>
      <c r="AB173" s="26" t="s">
        <v>1277</v>
      </c>
      <c r="AC173" s="26" t="s">
        <v>1277</v>
      </c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14</v>
      </c>
      <c r="I176" s="16">
        <f t="shared" si="21"/>
        <v>16</v>
      </c>
      <c r="J176" s="17">
        <f t="shared" si="22"/>
        <v>0.46666666666666667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/>
      <c r="AB176" s="26" t="s">
        <v>1277</v>
      </c>
      <c r="AC176" s="26" t="s">
        <v>1277</v>
      </c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29</v>
      </c>
      <c r="I177" s="16">
        <f t="shared" si="21"/>
        <v>1</v>
      </c>
      <c r="J177" s="17">
        <f t="shared" si="22"/>
        <v>0.96666666666666667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 t="s">
        <v>1277</v>
      </c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15</v>
      </c>
      <c r="I189" s="16">
        <f>COUNTIF(K189:AL189,"APAGADO")</f>
        <v>15</v>
      </c>
      <c r="J189" s="17">
        <f>(H189)/(I189+H189)</f>
        <v>0.5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/>
      <c r="AB189" s="26" t="s">
        <v>1277</v>
      </c>
      <c r="AC189" s="26" t="s">
        <v>1277</v>
      </c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26</v>
      </c>
      <c r="I200" s="16">
        <f t="shared" si="21"/>
        <v>4</v>
      </c>
      <c r="J200" s="17">
        <f t="shared" si="22"/>
        <v>0.8666666666666667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26</v>
      </c>
      <c r="I204" s="16">
        <f t="shared" si="21"/>
        <v>4</v>
      </c>
      <c r="J204" s="17">
        <f t="shared" si="22"/>
        <v>0.8666666666666667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/>
      <c r="AB204" s="26" t="s">
        <v>1277</v>
      </c>
      <c r="AC204" s="26" t="s">
        <v>1277</v>
      </c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28</v>
      </c>
      <c r="I205" s="16">
        <f t="shared" si="21"/>
        <v>2</v>
      </c>
      <c r="J205" s="17">
        <f t="shared" si="22"/>
        <v>0.93333333333333335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/>
      <c r="AB205" s="26" t="s">
        <v>1277</v>
      </c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28</v>
      </c>
      <c r="I206" s="16">
        <f t="shared" si="21"/>
        <v>2</v>
      </c>
      <c r="J206" s="17">
        <f t="shared" si="22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/>
      <c r="AB206" s="26" t="s">
        <v>1277</v>
      </c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28</v>
      </c>
      <c r="I207" s="16">
        <f t="shared" ref="I207:I271" si="24">COUNTIF(K207:AL207,"APAGADO")</f>
        <v>2</v>
      </c>
      <c r="J207" s="17">
        <f t="shared" ref="J207:J271" si="25">(H207)/(I207+H207)</f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/>
      <c r="AB207" s="26" t="s">
        <v>1277</v>
      </c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28</v>
      </c>
      <c r="I208" s="16">
        <f t="shared" si="24"/>
        <v>2</v>
      </c>
      <c r="J208" s="17">
        <f t="shared" si="25"/>
        <v>0.93333333333333335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/>
      <c r="AB208" s="26" t="s">
        <v>1277</v>
      </c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29</v>
      </c>
      <c r="I209" s="16">
        <f t="shared" si="24"/>
        <v>1</v>
      </c>
      <c r="J209" s="17">
        <f t="shared" si="25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 t="s">
        <v>1277</v>
      </c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28</v>
      </c>
      <c r="I210" s="16">
        <f t="shared" si="24"/>
        <v>2</v>
      </c>
      <c r="J210" s="17">
        <f t="shared" si="25"/>
        <v>0.93333333333333335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 t="s">
        <v>1277</v>
      </c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29</v>
      </c>
      <c r="I211" s="16">
        <f t="shared" si="24"/>
        <v>1</v>
      </c>
      <c r="J211" s="17">
        <f t="shared" si="25"/>
        <v>0.96666666666666667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 t="s">
        <v>1277</v>
      </c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29</v>
      </c>
      <c r="I212" s="16">
        <f t="shared" si="24"/>
        <v>1</v>
      </c>
      <c r="J212" s="17">
        <f t="shared" si="25"/>
        <v>0.96666666666666667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 t="s">
        <v>1277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29</v>
      </c>
      <c r="I213" s="16">
        <f t="shared" si="24"/>
        <v>1</v>
      </c>
      <c r="J213" s="17">
        <f t="shared" si="25"/>
        <v>0.96666666666666667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 t="s">
        <v>1277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29</v>
      </c>
      <c r="I214" s="16">
        <f t="shared" si="24"/>
        <v>1</v>
      </c>
      <c r="J214" s="17">
        <f t="shared" si="25"/>
        <v>0.96666666666666667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 t="s">
        <v>1277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29</v>
      </c>
      <c r="I215" s="16">
        <f t="shared" si="24"/>
        <v>1</v>
      </c>
      <c r="J215" s="17">
        <f t="shared" si="25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 t="s">
        <v>1277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29</v>
      </c>
      <c r="I216" s="16">
        <f t="shared" si="24"/>
        <v>1</v>
      </c>
      <c r="J216" s="17">
        <f t="shared" si="25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 t="s">
        <v>1277</v>
      </c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29</v>
      </c>
      <c r="I217" s="16">
        <f t="shared" si="24"/>
        <v>1</v>
      </c>
      <c r="J217" s="17">
        <f t="shared" si="25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 t="s">
        <v>1277</v>
      </c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28</v>
      </c>
      <c r="I218" s="16">
        <f t="shared" si="24"/>
        <v>2</v>
      </c>
      <c r="J218" s="17">
        <f t="shared" si="25"/>
        <v>0.93333333333333335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/>
      <c r="AB218" s="26"/>
      <c r="AC218" s="26" t="s">
        <v>1277</v>
      </c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28</v>
      </c>
      <c r="I219" s="16">
        <f t="shared" si="24"/>
        <v>2</v>
      </c>
      <c r="J219" s="17">
        <f t="shared" si="25"/>
        <v>0.93333333333333335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/>
      <c r="AB219" s="26"/>
      <c r="AC219" s="26" t="s">
        <v>1277</v>
      </c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14</v>
      </c>
      <c r="I220" s="16">
        <f t="shared" si="24"/>
        <v>16</v>
      </c>
      <c r="J220" s="17">
        <f t="shared" si="25"/>
        <v>0.46666666666666667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/>
      <c r="AB220" s="26" t="s">
        <v>1277</v>
      </c>
      <c r="AC220" s="26" t="s">
        <v>1277</v>
      </c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29</v>
      </c>
      <c r="I221" s="16">
        <f t="shared" si="24"/>
        <v>1</v>
      </c>
      <c r="J221" s="17">
        <f t="shared" si="25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 t="s">
        <v>1277</v>
      </c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29</v>
      </c>
      <c r="I222" s="16">
        <f t="shared" si="24"/>
        <v>1</v>
      </c>
      <c r="J222" s="17">
        <f t="shared" si="25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 t="s">
        <v>1277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27</v>
      </c>
      <c r="I223" s="16">
        <f t="shared" si="24"/>
        <v>3</v>
      </c>
      <c r="J223" s="17">
        <f t="shared" si="25"/>
        <v>0.9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/>
      <c r="AB223" s="26" t="s">
        <v>1277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26</v>
      </c>
      <c r="I224" s="16">
        <f t="shared" si="24"/>
        <v>4</v>
      </c>
      <c r="J224" s="17">
        <f t="shared" si="25"/>
        <v>0.8666666666666667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/>
      <c r="AB224" s="26" t="s">
        <v>1277</v>
      </c>
      <c r="AC224" s="26" t="s">
        <v>1277</v>
      </c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28</v>
      </c>
      <c r="I225" s="16">
        <f t="shared" si="24"/>
        <v>2</v>
      </c>
      <c r="J225" s="17">
        <f t="shared" si="25"/>
        <v>0.93333333333333335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/>
      <c r="AB225" s="26"/>
      <c r="AC225" s="26" t="s">
        <v>1277</v>
      </c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28</v>
      </c>
      <c r="I226" s="16">
        <f t="shared" si="24"/>
        <v>2</v>
      </c>
      <c r="J226" s="17">
        <f t="shared" si="25"/>
        <v>0.93333333333333335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/>
      <c r="AB226" s="26"/>
      <c r="AC226" s="26" t="s">
        <v>1277</v>
      </c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17</v>
      </c>
      <c r="I227" s="16">
        <f t="shared" si="24"/>
        <v>13</v>
      </c>
      <c r="J227" s="17">
        <f t="shared" si="25"/>
        <v>0.56666666666666665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/>
      <c r="AB227" s="26" t="s">
        <v>1277</v>
      </c>
      <c r="AC227" s="26" t="s">
        <v>1277</v>
      </c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29</v>
      </c>
      <c r="I228" s="16">
        <f t="shared" si="24"/>
        <v>1</v>
      </c>
      <c r="J228" s="17">
        <f t="shared" si="25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 t="s">
        <v>1277</v>
      </c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29</v>
      </c>
      <c r="I229" s="16">
        <f t="shared" si="24"/>
        <v>1</v>
      </c>
      <c r="J229" s="17">
        <f t="shared" si="25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 t="s">
        <v>1277</v>
      </c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28</v>
      </c>
      <c r="I230" s="16">
        <f t="shared" si="24"/>
        <v>2</v>
      </c>
      <c r="J230" s="17">
        <f t="shared" si="25"/>
        <v>0.93333333333333335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 t="s">
        <v>1277</v>
      </c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29</v>
      </c>
      <c r="I231" s="16">
        <f t="shared" si="24"/>
        <v>1</v>
      </c>
      <c r="J231" s="17">
        <f t="shared" si="25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 t="s">
        <v>1277</v>
      </c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27</v>
      </c>
      <c r="I232" s="16">
        <f t="shared" si="24"/>
        <v>3</v>
      </c>
      <c r="J232" s="17">
        <f t="shared" si="25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/>
      <c r="AB232" s="26"/>
      <c r="AC232" s="26" t="s">
        <v>1277</v>
      </c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29</v>
      </c>
      <c r="I233" s="16">
        <f t="shared" si="24"/>
        <v>1</v>
      </c>
      <c r="J233" s="17">
        <f t="shared" si="25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 t="s">
        <v>1277</v>
      </c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27</v>
      </c>
      <c r="I234" s="16">
        <f t="shared" si="24"/>
        <v>3</v>
      </c>
      <c r="J234" s="17">
        <f t="shared" si="25"/>
        <v>0.9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/>
      <c r="AB234" s="26" t="s">
        <v>1277</v>
      </c>
      <c r="AC234" s="26" t="s">
        <v>1277</v>
      </c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28</v>
      </c>
      <c r="I235" s="16">
        <f t="shared" si="24"/>
        <v>2</v>
      </c>
      <c r="J235" s="17">
        <f t="shared" si="25"/>
        <v>0.93333333333333335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/>
      <c r="AB235" s="26"/>
      <c r="AC235" s="26" t="s">
        <v>1277</v>
      </c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29</v>
      </c>
      <c r="I236" s="16">
        <f t="shared" si="24"/>
        <v>1</v>
      </c>
      <c r="J236" s="17">
        <f t="shared" si="25"/>
        <v>0.96666666666666667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 t="s">
        <v>1277</v>
      </c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29</v>
      </c>
      <c r="I293" s="16">
        <f t="shared" si="28"/>
        <v>1</v>
      </c>
      <c r="J293" s="17">
        <f t="shared" si="29"/>
        <v>0.96666666666666667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 t="s">
        <v>1277</v>
      </c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29</v>
      </c>
      <c r="I294" s="16">
        <f t="shared" si="28"/>
        <v>1</v>
      </c>
      <c r="J294" s="17">
        <f t="shared" si="29"/>
        <v>0.96666666666666667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 t="s">
        <v>1277</v>
      </c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29</v>
      </c>
      <c r="I295" s="16">
        <f t="shared" si="28"/>
        <v>1</v>
      </c>
      <c r="J295" s="17">
        <f t="shared" si="29"/>
        <v>0.96666666666666667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 t="s">
        <v>1277</v>
      </c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29</v>
      </c>
      <c r="I296" s="16">
        <f t="shared" si="28"/>
        <v>1</v>
      </c>
      <c r="J296" s="17">
        <f t="shared" si="29"/>
        <v>0.96666666666666667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 t="s">
        <v>1277</v>
      </c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28</v>
      </c>
      <c r="I316" s="16">
        <f t="shared" si="28"/>
        <v>2</v>
      </c>
      <c r="J316" s="17">
        <f t="shared" si="29"/>
        <v>0.93333333333333335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/>
      <c r="AB316" s="26"/>
      <c r="AC316" s="26" t="s">
        <v>1277</v>
      </c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28</v>
      </c>
      <c r="I317" s="16">
        <f t="shared" si="28"/>
        <v>2</v>
      </c>
      <c r="J317" s="17">
        <f t="shared" si="29"/>
        <v>0.93333333333333335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/>
      <c r="AB317" s="26"/>
      <c r="AC317" s="26" t="s">
        <v>1277</v>
      </c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14</v>
      </c>
      <c r="I335" s="16">
        <f t="shared" si="28"/>
        <v>16</v>
      </c>
      <c r="J335" s="17">
        <f t="shared" si="29"/>
        <v>0.46666666666666667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/>
      <c r="AB335" s="26" t="s">
        <v>1277</v>
      </c>
      <c r="AC335" s="26" t="s">
        <v>1277</v>
      </c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14</v>
      </c>
      <c r="I336" s="16">
        <f t="shared" si="28"/>
        <v>16</v>
      </c>
      <c r="J336" s="17">
        <f t="shared" si="29"/>
        <v>0.46666666666666667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/>
      <c r="AB336" s="26" t="s">
        <v>1277</v>
      </c>
      <c r="AC336" s="26" t="s">
        <v>1277</v>
      </c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14</v>
      </c>
      <c r="I337" s="16">
        <f t="shared" si="28"/>
        <v>16</v>
      </c>
      <c r="J337" s="17">
        <f t="shared" si="29"/>
        <v>0.46666666666666667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/>
      <c r="AB337" s="26" t="s">
        <v>1277</v>
      </c>
      <c r="AC337" s="26" t="s">
        <v>1277</v>
      </c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14</v>
      </c>
      <c r="I338" s="16">
        <f t="shared" si="28"/>
        <v>16</v>
      </c>
      <c r="J338" s="17">
        <f t="shared" si="29"/>
        <v>0.46666666666666667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/>
      <c r="AB338" s="26" t="s">
        <v>1277</v>
      </c>
      <c r="AC338" s="26" t="s">
        <v>1277</v>
      </c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14</v>
      </c>
      <c r="I339" s="16">
        <f t="shared" si="28"/>
        <v>16</v>
      </c>
      <c r="J339" s="17">
        <f t="shared" si="29"/>
        <v>0.46666666666666667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/>
      <c r="AB339" s="26" t="s">
        <v>1277</v>
      </c>
      <c r="AC339" s="26" t="s">
        <v>1277</v>
      </c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14</v>
      </c>
      <c r="I340" s="16">
        <f t="shared" si="28"/>
        <v>16</v>
      </c>
      <c r="J340" s="17">
        <f t="shared" si="29"/>
        <v>0.46666666666666667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/>
      <c r="AB340" s="26" t="s">
        <v>1277</v>
      </c>
      <c r="AC340" s="26" t="s">
        <v>1277</v>
      </c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14</v>
      </c>
      <c r="I341" s="16">
        <f t="shared" si="28"/>
        <v>16</v>
      </c>
      <c r="J341" s="17">
        <f t="shared" si="29"/>
        <v>0.46666666666666667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/>
      <c r="AB341" s="26" t="s">
        <v>1277</v>
      </c>
      <c r="AC341" s="26" t="s">
        <v>1277</v>
      </c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27</v>
      </c>
      <c r="I348" s="16">
        <f t="shared" si="37"/>
        <v>3</v>
      </c>
      <c r="J348" s="17">
        <f t="shared" si="38"/>
        <v>0.9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/>
      <c r="AB348" s="26" t="s">
        <v>1277</v>
      </c>
      <c r="AC348" s="26" t="s">
        <v>1277</v>
      </c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29</v>
      </c>
      <c r="I349" s="16">
        <f>COUNTIF(K349:AL349,"APAGADO")</f>
        <v>1</v>
      </c>
      <c r="J349" s="17">
        <f>(H349)/(I349+H349)</f>
        <v>0.96666666666666667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 t="s">
        <v>1277</v>
      </c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29</v>
      </c>
      <c r="I350" s="16">
        <f>COUNTIF(K350:AL350,"APAGADO")</f>
        <v>1</v>
      </c>
      <c r="J350" s="17">
        <f>(H350)/(I350+H350)</f>
        <v>0.96666666666666667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 t="s">
        <v>1277</v>
      </c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29</v>
      </c>
      <c r="I351" s="16">
        <f t="shared" si="37"/>
        <v>1</v>
      </c>
      <c r="J351" s="17">
        <f t="shared" si="38"/>
        <v>0.96666666666666667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 t="s">
        <v>1277</v>
      </c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29</v>
      </c>
      <c r="I352" s="16">
        <f t="shared" si="37"/>
        <v>1</v>
      </c>
      <c r="J352" s="17">
        <f t="shared" si="38"/>
        <v>0.96666666666666667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 t="s">
        <v>1277</v>
      </c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28</v>
      </c>
      <c r="I353" s="52">
        <f>COUNTIF(K353:AL353,"APAGADO")</f>
        <v>2</v>
      </c>
      <c r="J353" s="53">
        <f>(H353)/(I353+H353)</f>
        <v>0.93333333333333335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 t="s">
        <v>1277</v>
      </c>
      <c r="AC353" s="26" t="s">
        <v>1277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29</v>
      </c>
      <c r="I354" s="52">
        <f>COUNTIF(K354:AL354,"APAGADO")</f>
        <v>1</v>
      </c>
      <c r="J354" s="53">
        <f>(H354)/(I354+H354)</f>
        <v>0.96666666666666667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 t="s">
        <v>1277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29</v>
      </c>
      <c r="I355" s="52">
        <f t="shared" ref="I355" si="40">COUNTIF(K355:AL355,"APAGADO")</f>
        <v>1</v>
      </c>
      <c r="J355" s="53">
        <f t="shared" ref="J355" si="41">(H355)/(I355+H355)</f>
        <v>0.96666666666666667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 t="s">
        <v>1277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27</v>
      </c>
      <c r="I362" s="16">
        <f t="shared" si="37"/>
        <v>3</v>
      </c>
      <c r="J362" s="17">
        <f t="shared" si="38"/>
        <v>0.9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17</v>
      </c>
      <c r="I367" s="16">
        <f t="shared" si="37"/>
        <v>13</v>
      </c>
      <c r="J367" s="17">
        <f t="shared" si="38"/>
        <v>0.56666666666666665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/>
      <c r="AB367" s="26"/>
      <c r="AC367" s="26" t="s">
        <v>1277</v>
      </c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28</v>
      </c>
      <c r="I368" s="16">
        <f t="shared" si="37"/>
        <v>2</v>
      </c>
      <c r="J368" s="17">
        <f t="shared" si="38"/>
        <v>0.93333333333333335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27</v>
      </c>
      <c r="I378" s="16">
        <f t="shared" si="37"/>
        <v>3</v>
      </c>
      <c r="J378" s="17">
        <f t="shared" si="38"/>
        <v>0.9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27</v>
      </c>
      <c r="I379" s="16">
        <f t="shared" si="37"/>
        <v>3</v>
      </c>
      <c r="J379" s="17">
        <f t="shared" si="38"/>
        <v>0.9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15</v>
      </c>
      <c r="I390" s="16">
        <f t="shared" si="37"/>
        <v>15</v>
      </c>
      <c r="J390" s="17">
        <f t="shared" si="38"/>
        <v>0.5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/>
      <c r="AB390" s="26" t="s">
        <v>1277</v>
      </c>
      <c r="AC390" s="26" t="s">
        <v>1277</v>
      </c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14</v>
      </c>
      <c r="I393" s="16">
        <f t="shared" si="37"/>
        <v>16</v>
      </c>
      <c r="J393" s="17">
        <f t="shared" si="38"/>
        <v>0.46666666666666667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/>
      <c r="AB393" s="26" t="s">
        <v>1277</v>
      </c>
      <c r="AC393" s="26" t="s">
        <v>1277</v>
      </c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28</v>
      </c>
      <c r="I397" s="52">
        <f t="shared" ref="I397:I403" si="42">COUNTIF(K397:AL397,"APAGADO")</f>
        <v>2</v>
      </c>
      <c r="J397" s="53">
        <f t="shared" ref="J397:J403" si="43">(H397)/(I397+H397)</f>
        <v>0.93333333333333335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28</v>
      </c>
      <c r="I398" s="52">
        <f t="shared" si="42"/>
        <v>2</v>
      </c>
      <c r="J398" s="53">
        <f t="shared" si="43"/>
        <v>0.93333333333333335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>
        <f>'RESUMEN TOTAL'!AA9</f>
        <v>0</v>
      </c>
      <c r="W6" s="29" t="str">
        <f>'RESUMEN TOTAL'!AB9</f>
        <v>APAGADO</v>
      </c>
      <c r="X6" s="29" t="str">
        <f>'RESUMEN TOTAL'!AC9</f>
        <v>APAGADO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>
        <f>'RESUMEN TOTAL'!AA14</f>
        <v>0</v>
      </c>
      <c r="W11" s="29" t="str">
        <f>'RESUMEN TOTAL'!AB14</f>
        <v>APAGADO</v>
      </c>
      <c r="X11" s="29" t="str">
        <f>'RESUMEN TOTAL'!AC14</f>
        <v>APAGADO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 t="str">
        <f>'RESUMEN TOTAL'!AC15</f>
        <v>APAGADO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>
        <f>'RESUMEN TOTAL'!AA16</f>
        <v>0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>
        <f>'RESUMEN TOTAL'!AA28</f>
        <v>0</v>
      </c>
      <c r="W25" s="29" t="str">
        <f>'RESUMEN TOTAL'!AB28</f>
        <v>APAGADO</v>
      </c>
      <c r="X25" s="29" t="str">
        <f>'RESUMEN TOTAL'!AC28</f>
        <v>APAGADO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>
        <f>'RESUMEN TOTAL'!AA31</f>
        <v>0</v>
      </c>
      <c r="W28" s="29" t="str">
        <f>'RESUMEN TOTAL'!AB31</f>
        <v>APAGADO</v>
      </c>
      <c r="X28" s="29" t="str">
        <f>'RESUMEN TOTAL'!AC31</f>
        <v>APAGADO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>
        <f>'RESUMEN TOTAL'!AA34</f>
        <v>0</v>
      </c>
      <c r="W31" s="29" t="str">
        <f>'RESUMEN TOTAL'!AB34</f>
        <v>APAGADO</v>
      </c>
      <c r="X31" s="29" t="str">
        <f>'RESUMEN TOTAL'!AC34</f>
        <v>APAGADO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>
        <f>'RESUMEN TOTAL'!AA42</f>
        <v>0</v>
      </c>
      <c r="W39" s="29" t="str">
        <f>'RESUMEN TOTAL'!AB42</f>
        <v>APAGADO</v>
      </c>
      <c r="X39" s="29" t="str">
        <f>'RESUMEN TOTAL'!AC42</f>
        <v>APAGADO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 t="str">
        <f>'RESUMEN TOTAL'!AC43</f>
        <v>APAGADO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 t="str">
        <f>'RESUMEN TOTAL'!AB45</f>
        <v>APAGADO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 t="str">
        <f>'RESUMEN TOTAL'!AC45</f>
        <v>APAGADO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 t="str">
        <f>'RESUMEN TOTAL'!AB48</f>
        <v>APAGADO</v>
      </c>
      <c r="X45" s="29" t="str">
        <f>'RESUMEN TOTAL'!AC48</f>
        <v>APAGADO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>
        <f>'RESUMEN TOTAL'!AA50</f>
        <v>0</v>
      </c>
      <c r="W47" s="29" t="str">
        <f>'RESUMEN TOTAL'!AB50</f>
        <v>APAGADO</v>
      </c>
      <c r="X47" s="29" t="str">
        <f>'RESUMEN TOTAL'!AC50</f>
        <v>APAGADO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>
        <f>'RESUMEN TOTAL'!AA63</f>
        <v>0</v>
      </c>
      <c r="W60" s="29" t="str">
        <f>'RESUMEN TOTAL'!AB63</f>
        <v>APAGADO</v>
      </c>
      <c r="X60" s="29" t="str">
        <f>'RESUMEN TOTAL'!AC63</f>
        <v>APAGADO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>
        <f>'RESUMEN TOTAL'!AA88</f>
        <v>0</v>
      </c>
      <c r="W85" s="29" t="str">
        <f>'RESUMEN TOTAL'!AB88</f>
        <v>APAGADO</v>
      </c>
      <c r="X85" s="29" t="str">
        <f>'RESUMEN TOTAL'!AC88</f>
        <v>APAGADO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 t="str">
        <f>'RESUMEN TOTAL'!AB92</f>
        <v>APAGADO</v>
      </c>
      <c r="X89" s="29" t="str">
        <f>'RESUMEN TOTAL'!AC92</f>
        <v>APAGADO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>
        <f>'RESUMEN TOTAL'!AA95</f>
        <v>0</v>
      </c>
      <c r="W92" s="29" t="str">
        <f>'RESUMEN TOTAL'!AB95</f>
        <v>APAGADO</v>
      </c>
      <c r="X92" s="29" t="str">
        <f>'RESUMEN TOTAL'!AC95</f>
        <v>APAGADO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>
        <f>'RESUMEN TOTAL'!AA96</f>
        <v>0</v>
      </c>
      <c r="W93" s="29" t="str">
        <f>'RESUMEN TOTAL'!AB96</f>
        <v>APAGADO</v>
      </c>
      <c r="X93" s="29" t="str">
        <f>'RESUMEN TOTAL'!AC96</f>
        <v>APAGADO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 t="str">
        <f>'RESUMEN TOTAL'!AC115</f>
        <v>APAGADO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 t="str">
        <f>'RESUMEN TOTAL'!AC119</f>
        <v>APAGADO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 t="str">
        <f>'RESUMEN TOTAL'!AC120</f>
        <v>APAGADO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 t="str">
        <f>'RESUMEN TOTAL'!AC121</f>
        <v>APAGADO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 t="str">
        <f>'RESUMEN TOTAL'!AC123</f>
        <v>APAGADO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 t="str">
        <f>'RESUMEN TOTAL'!AC124</f>
        <v>APAGADO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 t="str">
        <f>'RESUMEN TOTAL'!AC131</f>
        <v>APAGADO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 t="str">
        <f>'RESUMEN TOTAL'!AC132</f>
        <v>APAGADO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 t="str">
        <f>'RESUMEN TOTAL'!AC136</f>
        <v>APAGADO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 t="str">
        <f>'RESUMEN TOTAL'!AC137</f>
        <v>APAGADO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 t="str">
        <f>'RESUMEN TOTAL'!AC138</f>
        <v>APAGADO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 t="str">
        <f>'RESUMEN TOTAL'!AC139</f>
        <v>APAGADO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 t="str">
        <f>'RESUMEN TOTAL'!AC140</f>
        <v>APAGADO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 t="str">
        <f>'RESUMEN TOTAL'!AC141</f>
        <v>APAGADO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 t="str">
        <f>'RESUMEN TOTAL'!AB142</f>
        <v>APAGADO</v>
      </c>
      <c r="X135" s="29" t="str">
        <f>'RESUMEN TOTAL'!AC142</f>
        <v>APAGADO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 t="str">
        <f>'RESUMEN TOTAL'!AB145</f>
        <v>APAGADO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>
        <f>'RESUMEN TOTAL'!AA156</f>
        <v>0</v>
      </c>
      <c r="W149" s="29" t="str">
        <f>'RESUMEN TOTAL'!AB156</f>
        <v>APAGADO</v>
      </c>
      <c r="X149" s="29" t="str">
        <f>'RESUMEN TOTAL'!AC156</f>
        <v>APAGADO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>
        <f>'RESUMEN TOTAL'!AA157</f>
        <v>0</v>
      </c>
      <c r="W150" s="29" t="str">
        <f>'RESUMEN TOTAL'!AB157</f>
        <v>APAGADO</v>
      </c>
      <c r="X150" s="29" t="str">
        <f>'RESUMEN TOTAL'!AC157</f>
        <v>APAGADO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>
        <f>'RESUMEN TOTAL'!AA166</f>
        <v>0</v>
      </c>
      <c r="W159" s="29" t="str">
        <f>'RESUMEN TOTAL'!AB166</f>
        <v>APAGADO</v>
      </c>
      <c r="X159" s="29" t="str">
        <f>'RESUMEN TOTAL'!AC166</f>
        <v>APAGADO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>
        <f>'RESUMEN TOTAL'!AA168</f>
        <v>0</v>
      </c>
      <c r="W161" s="29" t="str">
        <f>'RESUMEN TOTAL'!AB168</f>
        <v>APAGADO</v>
      </c>
      <c r="X161" s="29" t="str">
        <f>'RESUMEN TOTAL'!AC168</f>
        <v>APAGADO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>
        <f>'RESUMEN TOTAL'!AA173</f>
        <v>0</v>
      </c>
      <c r="W166" s="29" t="str">
        <f>'RESUMEN TOTAL'!AB173</f>
        <v>APAGADO</v>
      </c>
      <c r="X166" s="29" t="str">
        <f>'RESUMEN TOTAL'!AC173</f>
        <v>APAGADO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>
        <f>'RESUMEN TOTAL'!AA176</f>
        <v>0</v>
      </c>
      <c r="W169" s="29" t="str">
        <f>'RESUMEN TOTAL'!AB176</f>
        <v>APAGADO</v>
      </c>
      <c r="X169" s="29" t="str">
        <f>'RESUMEN TOTAL'!AC176</f>
        <v>APAGADO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 t="str">
        <f>'RESUMEN TOTAL'!AC177</f>
        <v>APAGADO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>
        <f>'RESUMEN TOTAL'!AA189</f>
        <v>0</v>
      </c>
      <c r="W182" s="29" t="str">
        <f>'RESUMEN TOTAL'!AB189</f>
        <v>APAGADO</v>
      </c>
      <c r="X182" s="29" t="str">
        <f>'RESUMEN TOTAL'!AC189</f>
        <v>APAGADO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>
        <f>'RESUMEN TOTAL'!AA204</f>
        <v>0</v>
      </c>
      <c r="W197" s="29" t="str">
        <f>'RESUMEN TOTAL'!AB204</f>
        <v>APAGADO</v>
      </c>
      <c r="X197" s="29" t="str">
        <f>'RESUMEN TOTAL'!AC204</f>
        <v>APAGADO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>
        <f>'RESUMEN TOTAL'!AA205</f>
        <v>0</v>
      </c>
      <c r="W198" s="29" t="str">
        <f>'RESUMEN TOTAL'!AB205</f>
        <v>APAGADO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>
        <f>'RESUMEN TOTAL'!AA206</f>
        <v>0</v>
      </c>
      <c r="W199" s="29" t="str">
        <f>'RESUMEN TOTAL'!AB206</f>
        <v>APAGADO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>
        <f>'RESUMEN TOTAL'!AA207</f>
        <v>0</v>
      </c>
      <c r="W200" s="29" t="str">
        <f>'RESUMEN TOTAL'!AB207</f>
        <v>APAGADO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>
        <f>'RESUMEN TOTAL'!AA208</f>
        <v>0</v>
      </c>
      <c r="W201" s="29" t="str">
        <f>'RESUMEN TOTAL'!AB208</f>
        <v>APAGADO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 t="str">
        <f>'RESUMEN TOTAL'!AC209</f>
        <v>APAGADO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 t="str">
        <f>'RESUMEN TOTAL'!AC210</f>
        <v>APAGADO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 t="str">
        <f>'RESUMEN TOTAL'!AC211</f>
        <v>APAGADO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 t="str">
        <f>'RESUMEN TOTAL'!AC212</f>
        <v>APAGADO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 t="str">
        <f>'RESUMEN TOTAL'!AC213</f>
        <v>APAGADO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 t="str">
        <f>'RESUMEN TOTAL'!AC214</f>
        <v>APAGADO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 t="str">
        <f>'RESUMEN TOTAL'!AC215</f>
        <v>APAGADO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 t="str">
        <f>'RESUMEN TOTAL'!AC216</f>
        <v>APAGADO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 t="str">
        <f>'RESUMEN TOTAL'!AC217</f>
        <v>APAGADO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>
        <f>'RESUMEN TOTAL'!AA218</f>
        <v>0</v>
      </c>
      <c r="W211" s="29">
        <f>'RESUMEN TOTAL'!AB218</f>
        <v>0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>
        <f>'RESUMEN TOTAL'!AA219</f>
        <v>0</v>
      </c>
      <c r="W212" s="29">
        <f>'RESUMEN TOTAL'!AB219</f>
        <v>0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>
        <f>'RESUMEN TOTAL'!AA220</f>
        <v>0</v>
      </c>
      <c r="W213" s="29" t="str">
        <f>'RESUMEN TOTAL'!AB220</f>
        <v>APAGADO</v>
      </c>
      <c r="X213" s="29" t="str">
        <f>'RESUMEN TOTAL'!AC220</f>
        <v>APAGADO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 t="str">
        <f>'RESUMEN TOTAL'!AC221</f>
        <v>APAGADO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 t="str">
        <f>'RESUMEN TOTAL'!AC222</f>
        <v>APAGADO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>
        <f>'RESUMEN TOTAL'!AA223</f>
        <v>0</v>
      </c>
      <c r="W216" s="29" t="str">
        <f>'RESUMEN TOTAL'!AB223</f>
        <v>APAGADO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>
        <f>'RESUMEN TOTAL'!AA224</f>
        <v>0</v>
      </c>
      <c r="W217" s="29" t="str">
        <f>'RESUMEN TOTAL'!AB224</f>
        <v>APAGADO</v>
      </c>
      <c r="X217" s="29" t="str">
        <f>'RESUMEN TOTAL'!AC224</f>
        <v>APAGADO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>
        <f>'RESUMEN TOTAL'!AA225</f>
        <v>0</v>
      </c>
      <c r="W218" s="29">
        <f>'RESUMEN TOTAL'!AB225</f>
        <v>0</v>
      </c>
      <c r="X218" s="29" t="str">
        <f>'RESUMEN TOTAL'!AC225</f>
        <v>APAGADO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>
        <f>'RESUMEN TOTAL'!AA226</f>
        <v>0</v>
      </c>
      <c r="W219" s="29">
        <f>'RESUMEN TOTAL'!AB226</f>
        <v>0</v>
      </c>
      <c r="X219" s="29" t="str">
        <f>'RESUMEN TOTAL'!AC226</f>
        <v>APAGADO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>
        <f>'RESUMEN TOTAL'!AA227</f>
        <v>0</v>
      </c>
      <c r="W220" s="29" t="str">
        <f>'RESUMEN TOTAL'!AB227</f>
        <v>APAGADO</v>
      </c>
      <c r="X220" s="29" t="str">
        <f>'RESUMEN TOTAL'!AC227</f>
        <v>APAGADO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 t="str">
        <f>'RESUMEN TOTAL'!AC228</f>
        <v>APAGADO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 t="str">
        <f>'RESUMEN TOTAL'!AC229</f>
        <v>APAGADO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 t="str">
        <f>'RESUMEN TOTAL'!AC230</f>
        <v>APAGADO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 t="str">
        <f>'RESUMEN TOTAL'!AC231</f>
        <v>APAGADO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>
        <f>'RESUMEN TOTAL'!AA232</f>
        <v>0</v>
      </c>
      <c r="W225" s="29">
        <f>'RESUMEN TOTAL'!AB232</f>
        <v>0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 t="str">
        <f>'RESUMEN TOTAL'!AC233</f>
        <v>APAGADO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>
        <f>'RESUMEN TOTAL'!AA234</f>
        <v>0</v>
      </c>
      <c r="W227" s="29" t="str">
        <f>'RESUMEN TOTAL'!AB234</f>
        <v>APAGADO</v>
      </c>
      <c r="X227" s="29" t="str">
        <f>'RESUMEN TOTAL'!AC234</f>
        <v>APAGADO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>
        <f>'RESUMEN TOTAL'!AA235</f>
        <v>0</v>
      </c>
      <c r="W228" s="29">
        <f>'RESUMEN TOTAL'!AB235</f>
        <v>0</v>
      </c>
      <c r="X228" s="29" t="str">
        <f>'RESUMEN TOTAL'!AC235</f>
        <v>APAGADO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 t="str">
        <f>'RESUMEN TOTAL'!AC236</f>
        <v>APAGADO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 t="str">
        <f>'RESUMEN TOTAL'!AC293</f>
        <v>APAGADO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 t="str">
        <f>'RESUMEN TOTAL'!AC294</f>
        <v>APAGADO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 t="str">
        <f>'RESUMEN TOTAL'!AC295</f>
        <v>APAGADO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 t="str">
        <f>'RESUMEN TOTAL'!AC296</f>
        <v>APAGADO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>
        <f>'RESUMEN TOTAL'!AA316</f>
        <v>0</v>
      </c>
      <c r="W307" s="29">
        <f>'RESUMEN TOTAL'!AB316</f>
        <v>0</v>
      </c>
      <c r="X307" s="29" t="str">
        <f>'RESUMEN TOTAL'!AC316</f>
        <v>APAGADO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>
        <f>'RESUMEN TOTAL'!AA317</f>
        <v>0</v>
      </c>
      <c r="W308" s="29">
        <f>'RESUMEN TOTAL'!AB317</f>
        <v>0</v>
      </c>
      <c r="X308" s="29" t="str">
        <f>'RESUMEN TOTAL'!AC317</f>
        <v>APAGADO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>
        <f>'RESUMEN TOTAL'!AA335</f>
        <v>0</v>
      </c>
      <c r="W326" s="29" t="str">
        <f>'RESUMEN TOTAL'!AB335</f>
        <v>APAGADO</v>
      </c>
      <c r="X326" s="29" t="str">
        <f>'RESUMEN TOTAL'!AC335</f>
        <v>APAGADO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>
        <f>'RESUMEN TOTAL'!AA336</f>
        <v>0</v>
      </c>
      <c r="W327" s="29" t="str">
        <f>'RESUMEN TOTAL'!AB336</f>
        <v>APAGADO</v>
      </c>
      <c r="X327" s="29" t="str">
        <f>'RESUMEN TOTAL'!AC336</f>
        <v>APAGADO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>
        <f>'RESUMEN TOTAL'!AA337</f>
        <v>0</v>
      </c>
      <c r="W328" s="29" t="str">
        <f>'RESUMEN TOTAL'!AB337</f>
        <v>APAGADO</v>
      </c>
      <c r="X328" s="29" t="str">
        <f>'RESUMEN TOTAL'!AC337</f>
        <v>APAGADO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>
        <f>'RESUMEN TOTAL'!AA338</f>
        <v>0</v>
      </c>
      <c r="W329" s="29" t="str">
        <f>'RESUMEN TOTAL'!AB338</f>
        <v>APAGADO</v>
      </c>
      <c r="X329" s="29" t="str">
        <f>'RESUMEN TOTAL'!AC338</f>
        <v>APAGADO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>
        <f>'RESUMEN TOTAL'!AA339</f>
        <v>0</v>
      </c>
      <c r="W330" s="29" t="str">
        <f>'RESUMEN TOTAL'!AB339</f>
        <v>APAGADO</v>
      </c>
      <c r="X330" s="29" t="str">
        <f>'RESUMEN TOTAL'!AC339</f>
        <v>APAGADO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>
        <f>'RESUMEN TOTAL'!AA340</f>
        <v>0</v>
      </c>
      <c r="W331" s="29" t="str">
        <f>'RESUMEN TOTAL'!AB340</f>
        <v>APAGADO</v>
      </c>
      <c r="X331" s="29" t="str">
        <f>'RESUMEN TOTAL'!AC340</f>
        <v>APAGADO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>
        <f>'RESUMEN TOTAL'!AA341</f>
        <v>0</v>
      </c>
      <c r="W332" s="29" t="str">
        <f>'RESUMEN TOTAL'!AB341</f>
        <v>APAGADO</v>
      </c>
      <c r="X332" s="29" t="str">
        <f>'RESUMEN TOTAL'!AC341</f>
        <v>APAGADO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>
        <f>'RESUMEN TOTAL'!AA348</f>
        <v>0</v>
      </c>
      <c r="W339" s="29" t="str">
        <f>'RESUMEN TOTAL'!AB348</f>
        <v>APAGADO</v>
      </c>
      <c r="X339" s="29" t="str">
        <f>'RESUMEN TOTAL'!AC348</f>
        <v>APAGADO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 t="str">
        <f>'RESUMEN TOTAL'!AC349</f>
        <v>APAGADO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 t="str">
        <f>'RESUMEN TOTAL'!AC350</f>
        <v>APAGADO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 t="str">
        <f>'RESUMEN TOTAL'!AC351</f>
        <v>APAGADO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 t="str">
        <f>'RESUMEN TOTAL'!AC352</f>
        <v>APAGADO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 t="str">
        <f>'RESUMEN TOTAL'!AB353</f>
        <v>APAGADO</v>
      </c>
      <c r="X344" s="29" t="str">
        <f>'RESUMEN TOTAL'!AC353</f>
        <v>APAGADO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 t="str">
        <f>'RESUMEN TOTAL'!AC354</f>
        <v>APAGADO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 t="str">
        <f>'RESUMEN TOTAL'!AC355</f>
        <v>APAGADO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>
        <f>'RESUMEN TOTAL'!AA367</f>
        <v>0</v>
      </c>
      <c r="W358" s="29">
        <f>'RESUMEN TOTAL'!AB367</f>
        <v>0</v>
      </c>
      <c r="X358" s="29" t="str">
        <f>'RESUMEN TOTAL'!AC367</f>
        <v>APAGADO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>
        <f>'RESUMEN TOTAL'!AA390</f>
        <v>0</v>
      </c>
      <c r="W379" s="29" t="str">
        <f>'RESUMEN TOTAL'!AB390</f>
        <v>APAGADO</v>
      </c>
      <c r="X379" s="29" t="str">
        <f>'RESUMEN TOTAL'!AC390</f>
        <v>APAGADO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>
        <f>'RESUMEN TOTAL'!AA393</f>
        <v>0</v>
      </c>
      <c r="W382" s="29" t="str">
        <f>'RESUMEN TOTAL'!AB393</f>
        <v>APAGADO</v>
      </c>
      <c r="X382" s="29" t="str">
        <f>'RESUMEN TOTAL'!AC393</f>
        <v>APAGADO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 t="str">
        <f>'RESUMEN TOTAL'!AC129</f>
        <v>APAGADO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 t="str">
        <f>'RESUMEN TOTAL'!AC130</f>
        <v>APAGADO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0</v>
      </c>
      <c r="W1" s="25">
        <f t="shared" si="0"/>
        <v>45</v>
      </c>
      <c r="X1" s="25">
        <f t="shared" si="0"/>
        <v>93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 t="str">
        <f>ESTADISTICA!W31</f>
        <v>APAGADO</v>
      </c>
      <c r="X32" t="str">
        <f>ESTADISTICA!X31</f>
        <v>APAGADO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>
        <f>ESTADISTICA!V39</f>
        <v>0</v>
      </c>
      <c r="W40" t="str">
        <f>ESTADISTICA!W39</f>
        <v>APAGADO</v>
      </c>
      <c r="X40" t="str">
        <f>ESTADISTICA!X39</f>
        <v>APAGADO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 t="str">
        <f>ESTADISTICA!X40</f>
        <v>APAGADO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 t="str">
        <f>ESTADISTICA!X42</f>
        <v>APAGADO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 t="str">
        <f>ESTADISTICA!W45</f>
        <v>APAGADO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 t="str">
        <f>ESTADISTICA!W60</f>
        <v>APAGADO</v>
      </c>
      <c r="X61" t="str">
        <f>ESTADISTICA!X60</f>
        <v>APAGADO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 t="str">
        <f>ESTADISTICA!W89</f>
        <v>APAGADO</v>
      </c>
      <c r="X90" t="str">
        <f>ESTADISTICA!X89</f>
        <v>APAGADO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 t="str">
        <f>ESTADISTICA!X93</f>
        <v>APAGADO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 t="str">
        <f>ESTADISTICA!W150</f>
        <v>APAGADO</v>
      </c>
      <c r="X151" t="str">
        <f>ESTADISTICA!X150</f>
        <v>APAGADO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 t="str">
        <f>ESTADISTICA!X170</f>
        <v>APAGADO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 t="str">
        <f>ESTADISTICA!W182</f>
        <v>APAGADO</v>
      </c>
      <c r="X183" t="str">
        <f>ESTADISTICA!X182</f>
        <v>APAGADO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>
        <f>ESTADISTICA!V197</f>
        <v>0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>
        <f>ESTADISTICA!V198</f>
        <v>0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>
        <f>ESTADISTICA!V199</f>
        <v>0</v>
      </c>
      <c r="W200" t="str">
        <f>ESTADISTICA!W199</f>
        <v>APAGADO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>
        <f>ESTADISTICA!V216</f>
        <v>0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>
        <f>ESTADISTICA!V217</f>
        <v>0</v>
      </c>
      <c r="W218" t="str">
        <f>ESTADISTICA!W217</f>
        <v>APAGADO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 t="str">
        <f>ESTADISTICA!W327</f>
        <v>APAGADO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 t="str">
        <f>ESTADISTICA!W328</f>
        <v>APAGADO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>
        <f>ESTADISTICA!V331</f>
        <v>0</v>
      </c>
      <c r="W332" t="str">
        <f>ESTADISTICA!W331</f>
        <v>APAGADO</v>
      </c>
      <c r="X332" t="str">
        <f>ESTADISTICA!X331</f>
        <v>APAGADO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 t="str">
        <f>ESTADISTICA!X343</f>
        <v>APAGADO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>
        <f>ESTADISTICA!V379</f>
        <v>0</v>
      </c>
      <c r="W380" s="50" t="str">
        <f>ESTADISTICA!W379</f>
        <v>APAGADO</v>
      </c>
      <c r="X380" s="50" t="str">
        <f>ESTADISTICA!X379</f>
        <v>APAGADO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>
        <f>ESTADISTICA!V382</f>
        <v>0</v>
      </c>
      <c r="W383" s="50" t="str">
        <f>ESTADISTICA!W382</f>
        <v>APAGADO</v>
      </c>
      <c r="X383" s="50" t="str">
        <f>ESTADISTICA!X382</f>
        <v>APAGADO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0</v>
      </c>
      <c r="W2" s="25">
        <f>COUNTIFS(W4:W400, "=APAGADO",E4:E400,"=Fibra Optica")</f>
        <v>39</v>
      </c>
      <c r="X2" s="25">
        <f>COUNTIFS(X4:X400, "=APAGADO",E4:E400,"=Fibra Optica")</f>
        <v>76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0</v>
      </c>
      <c r="W2" s="25">
        <f>COUNTIFS(W4:W400, "=APAGADO",E4:E400,"=PTO A FO")</f>
        <v>3</v>
      </c>
      <c r="X2" s="25">
        <f>COUNTIFS(X4:X400, "=APAGADO",E4:E400,"=PTO A FO")</f>
        <v>12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 t="str">
        <f>ESTADISTICA!X414</f>
        <v>APAGADO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 t="str">
        <f>ESTADISTICA!X415</f>
        <v>APAGADO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3</v>
      </c>
      <c r="X2" s="25">
        <f>COUNTIFS(X4:X367, "=APAGADO",E4:E367,"=radio")</f>
        <v>5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43"/>
    </row>
    <row r="3" spans="1:13" ht="15" customHeight="1" thickTop="1" x14ac:dyDescent="0.25">
      <c r="A3" s="90" t="s">
        <v>6</v>
      </c>
      <c r="B3" s="91"/>
      <c r="C3" s="92"/>
      <c r="D3" s="93"/>
      <c r="E3" s="144"/>
      <c r="G3" s="94"/>
      <c r="H3" s="95"/>
      <c r="I3" s="95"/>
      <c r="J3" s="95"/>
      <c r="K3" s="96"/>
      <c r="L3" s="97"/>
      <c r="M3" s="140"/>
    </row>
    <row r="4" spans="1:13" x14ac:dyDescent="0.25">
      <c r="A4" s="90" t="s">
        <v>1001</v>
      </c>
      <c r="B4" s="91"/>
      <c r="C4" s="92"/>
      <c r="D4" s="93"/>
      <c r="E4" s="144"/>
      <c r="G4" s="98"/>
      <c r="H4" s="99"/>
      <c r="I4" s="99"/>
      <c r="J4" s="99"/>
      <c r="K4" s="100"/>
      <c r="L4" s="101"/>
      <c r="M4" s="141"/>
    </row>
    <row r="5" spans="1:13" x14ac:dyDescent="0.25">
      <c r="A5" s="90" t="s">
        <v>1000</v>
      </c>
      <c r="B5" s="91"/>
      <c r="C5" s="92"/>
      <c r="D5" s="93"/>
      <c r="E5" s="144"/>
      <c r="G5" s="98"/>
      <c r="H5" s="99"/>
      <c r="I5" s="99"/>
      <c r="J5" s="99"/>
      <c r="K5" s="100"/>
      <c r="L5" s="101"/>
      <c r="M5" s="141"/>
    </row>
    <row r="6" spans="1:13" ht="15.75" thickBot="1" x14ac:dyDescent="0.3">
      <c r="A6" s="102" t="s">
        <v>16</v>
      </c>
      <c r="B6" s="103"/>
      <c r="C6" s="104"/>
      <c r="D6" s="105"/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25">
      <c r="A7" s="86" t="s">
        <v>999</v>
      </c>
      <c r="B7" s="87"/>
      <c r="C7" s="88"/>
      <c r="D7" s="89"/>
      <c r="E7" s="143"/>
      <c r="G7" s="98"/>
      <c r="H7" s="99"/>
      <c r="I7" s="99"/>
      <c r="J7" s="99"/>
      <c r="K7" s="100"/>
      <c r="L7" s="101"/>
      <c r="M7" s="141"/>
    </row>
    <row r="8" spans="1:13" ht="15.75" thickBot="1" x14ac:dyDescent="0.3">
      <c r="A8" s="90" t="s">
        <v>6</v>
      </c>
      <c r="B8" s="91"/>
      <c r="C8" s="92"/>
      <c r="D8" s="93"/>
      <c r="E8" s="144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44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44"/>
      <c r="G10" s="114"/>
      <c r="H10" s="115"/>
      <c r="I10" s="115"/>
      <c r="J10" s="115"/>
      <c r="K10" s="116"/>
      <c r="L10" s="117"/>
      <c r="M10" s="140"/>
    </row>
    <row r="11" spans="1:13" ht="15.75" thickBot="1" x14ac:dyDescent="0.3">
      <c r="A11" s="102" t="s">
        <v>16</v>
      </c>
      <c r="B11" s="103"/>
      <c r="C11" s="104"/>
      <c r="D11" s="105"/>
      <c r="E11" s="145"/>
      <c r="G11" s="118"/>
      <c r="H11" s="111"/>
      <c r="I11" s="111"/>
      <c r="J11" s="111"/>
      <c r="K11" s="112"/>
      <c r="L11" s="119"/>
      <c r="M11" s="141"/>
    </row>
    <row r="12" spans="1:13" ht="15.75" thickTop="1" x14ac:dyDescent="0.25">
      <c r="A12" s="86" t="s">
        <v>999</v>
      </c>
      <c r="B12" s="87"/>
      <c r="C12" s="88"/>
      <c r="D12" s="89"/>
      <c r="E12" s="143"/>
      <c r="G12" s="118"/>
      <c r="H12" s="111"/>
      <c r="I12" s="111"/>
      <c r="J12" s="111"/>
      <c r="K12" s="112"/>
      <c r="L12" s="119"/>
      <c r="M12" s="141"/>
    </row>
    <row r="13" spans="1:13" x14ac:dyDescent="0.25">
      <c r="A13" s="90" t="s">
        <v>6</v>
      </c>
      <c r="B13" s="91"/>
      <c r="C13" s="92"/>
      <c r="D13" s="93"/>
      <c r="E13" s="144"/>
      <c r="G13" s="118"/>
      <c r="H13" s="111"/>
      <c r="I13" s="111"/>
      <c r="J13" s="111"/>
      <c r="K13" s="112"/>
      <c r="L13" s="119"/>
      <c r="M13" s="141"/>
    </row>
    <row r="14" spans="1:13" x14ac:dyDescent="0.25">
      <c r="A14" s="90" t="s">
        <v>1001</v>
      </c>
      <c r="B14" s="91"/>
      <c r="C14" s="92"/>
      <c r="D14" s="93"/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">
      <c r="A15" s="90" t="s">
        <v>1000</v>
      </c>
      <c r="B15" s="91"/>
      <c r="C15" s="92"/>
      <c r="D15" s="93"/>
      <c r="E15" s="144"/>
      <c r="G15" s="120"/>
      <c r="H15" s="121"/>
      <c r="I15" s="121"/>
      <c r="J15" s="121"/>
      <c r="K15" s="121"/>
      <c r="L15" s="122"/>
      <c r="M15" s="142"/>
    </row>
    <row r="16" spans="1:13" ht="16.5" thickTop="1" thickBot="1" x14ac:dyDescent="0.3">
      <c r="A16" s="102" t="s">
        <v>16</v>
      </c>
      <c r="B16" s="103"/>
      <c r="C16" s="104"/>
      <c r="D16" s="105"/>
      <c r="E16" s="145"/>
      <c r="G16" s="123"/>
      <c r="H16" s="124"/>
      <c r="I16" s="124"/>
      <c r="J16" s="124"/>
      <c r="K16" s="125"/>
      <c r="L16" s="126"/>
      <c r="M16" s="140"/>
    </row>
    <row r="17" spans="1:14" ht="15.75" thickTop="1" x14ac:dyDescent="0.25">
      <c r="A17" s="86" t="s">
        <v>999</v>
      </c>
      <c r="B17" s="87"/>
      <c r="C17" s="88"/>
      <c r="D17" s="89"/>
      <c r="E17" s="143"/>
      <c r="G17" s="127"/>
      <c r="H17" s="111"/>
      <c r="I17" s="111"/>
      <c r="J17" s="111"/>
      <c r="K17" s="112"/>
      <c r="L17" s="128"/>
      <c r="M17" s="141"/>
    </row>
    <row r="18" spans="1:14" x14ac:dyDescent="0.25">
      <c r="A18" s="90" t="s">
        <v>6</v>
      </c>
      <c r="B18" s="91"/>
      <c r="C18" s="92"/>
      <c r="D18" s="93"/>
      <c r="E18" s="144"/>
      <c r="G18" s="127"/>
      <c r="H18" s="111"/>
      <c r="I18" s="111"/>
      <c r="J18" s="111"/>
      <c r="K18" s="112"/>
      <c r="L18" s="128"/>
      <c r="M18" s="141"/>
    </row>
    <row r="19" spans="1:14" x14ac:dyDescent="0.25">
      <c r="A19" s="90" t="s">
        <v>1001</v>
      </c>
      <c r="B19" s="91"/>
      <c r="C19" s="92"/>
      <c r="D19" s="93"/>
      <c r="E19" s="144"/>
      <c r="G19" s="127"/>
      <c r="H19" s="111"/>
      <c r="I19" s="111"/>
      <c r="J19" s="111"/>
      <c r="K19" s="112"/>
      <c r="L19" s="128"/>
      <c r="M19" s="141"/>
    </row>
    <row r="20" spans="1:14" x14ac:dyDescent="0.25">
      <c r="A20" s="90" t="s">
        <v>1000</v>
      </c>
      <c r="B20" s="91"/>
      <c r="C20" s="92"/>
      <c r="D20" s="93"/>
      <c r="E20" s="144"/>
      <c r="G20" s="127"/>
      <c r="H20" s="111"/>
      <c r="I20" s="111"/>
      <c r="J20" s="111"/>
      <c r="K20" s="112"/>
      <c r="L20" s="128"/>
      <c r="M20" s="141"/>
    </row>
    <row r="21" spans="1:14" ht="15.75" thickBot="1" x14ac:dyDescent="0.3">
      <c r="A21" s="102" t="s">
        <v>16</v>
      </c>
      <c r="B21" s="103"/>
      <c r="C21" s="104"/>
      <c r="D21" s="105"/>
      <c r="E21" s="145"/>
      <c r="G21" s="120"/>
      <c r="H21" s="121"/>
      <c r="I21" s="121"/>
      <c r="J21" s="121"/>
      <c r="K21" s="121"/>
      <c r="L21" s="122"/>
      <c r="M21" s="142"/>
    </row>
    <row r="22" spans="1:14" ht="15.75" thickTop="1" x14ac:dyDescent="0.25">
      <c r="A22" s="86" t="s">
        <v>999</v>
      </c>
      <c r="B22" s="87"/>
      <c r="C22" s="88"/>
      <c r="D22" s="89"/>
      <c r="E22" s="143"/>
    </row>
    <row r="23" spans="1:14" ht="15.75" thickBot="1" x14ac:dyDescent="0.3">
      <c r="A23" s="90" t="s">
        <v>6</v>
      </c>
      <c r="B23" s="91"/>
      <c r="C23" s="92"/>
      <c r="D23" s="93"/>
      <c r="E23" s="144"/>
    </row>
    <row r="24" spans="1:14" ht="15.75" thickTop="1" x14ac:dyDescent="0.25">
      <c r="A24" s="90" t="s">
        <v>1001</v>
      </c>
      <c r="B24" s="91"/>
      <c r="C24" s="92"/>
      <c r="D24" s="93"/>
      <c r="E24" s="144"/>
      <c r="G24" s="114"/>
      <c r="H24" s="115"/>
      <c r="I24" s="115"/>
      <c r="J24" s="115"/>
      <c r="K24" s="116"/>
      <c r="L24" s="117"/>
      <c r="M24" s="140"/>
    </row>
    <row r="25" spans="1:14" x14ac:dyDescent="0.25">
      <c r="A25" s="90" t="s">
        <v>1000</v>
      </c>
      <c r="B25" s="91"/>
      <c r="C25" s="92"/>
      <c r="D25" s="93"/>
      <c r="E25" s="144"/>
      <c r="G25" s="118"/>
      <c r="H25" s="111"/>
      <c r="I25" s="111"/>
      <c r="J25" s="111"/>
      <c r="K25" s="112"/>
      <c r="L25" s="119"/>
      <c r="M25" s="141"/>
    </row>
    <row r="26" spans="1:14" ht="15.75" thickBot="1" x14ac:dyDescent="0.3">
      <c r="A26" s="102" t="s">
        <v>16</v>
      </c>
      <c r="B26" s="103"/>
      <c r="C26" s="104"/>
      <c r="D26" s="105"/>
      <c r="E26" s="145"/>
      <c r="G26" s="118"/>
      <c r="H26" s="111"/>
      <c r="I26" s="111"/>
      <c r="J26" s="111"/>
      <c r="K26" s="112"/>
      <c r="L26" s="119"/>
      <c r="M26" s="141"/>
    </row>
    <row r="27" spans="1:14" ht="15.75" thickTop="1" x14ac:dyDescent="0.25">
      <c r="A27" s="86" t="s">
        <v>999</v>
      </c>
      <c r="B27" s="87"/>
      <c r="C27" s="88"/>
      <c r="D27" s="89"/>
      <c r="E27" s="143"/>
      <c r="G27" s="118"/>
      <c r="H27" s="111"/>
      <c r="I27" s="111"/>
      <c r="J27" s="111"/>
      <c r="K27" s="112"/>
      <c r="L27" s="119"/>
      <c r="M27" s="141"/>
    </row>
    <row r="28" spans="1:14" x14ac:dyDescent="0.25">
      <c r="A28" s="90" t="s">
        <v>6</v>
      </c>
      <c r="B28" s="91"/>
      <c r="C28" s="92"/>
      <c r="D28" s="93"/>
      <c r="E28" s="144"/>
      <c r="G28" s="118"/>
      <c r="H28" s="111"/>
      <c r="I28" s="111"/>
      <c r="J28" s="111"/>
      <c r="K28" s="112"/>
      <c r="L28" s="119"/>
      <c r="M28" s="141"/>
    </row>
    <row r="29" spans="1:14" ht="15.75" thickBot="1" x14ac:dyDescent="0.3">
      <c r="A29" s="90" t="s">
        <v>1001</v>
      </c>
      <c r="B29" s="91"/>
      <c r="C29" s="92"/>
      <c r="D29" s="93"/>
      <c r="E29" s="144"/>
      <c r="G29" s="120"/>
      <c r="H29" s="121"/>
      <c r="I29" s="121"/>
      <c r="J29" s="121"/>
      <c r="K29" s="121"/>
      <c r="L29" s="122"/>
      <c r="M29" s="142"/>
    </row>
    <row r="30" spans="1:14" ht="16.5" thickTop="1" thickBot="1" x14ac:dyDescent="0.3">
      <c r="A30" s="90" t="s">
        <v>1000</v>
      </c>
      <c r="B30" s="91"/>
      <c r="C30" s="92"/>
      <c r="D30" s="93"/>
      <c r="E30" s="144"/>
    </row>
    <row r="31" spans="1:14" ht="16.5" thickTop="1" thickBot="1" x14ac:dyDescent="0.3">
      <c r="A31" s="102" t="s">
        <v>16</v>
      </c>
      <c r="B31" s="103"/>
      <c r="C31" s="104"/>
      <c r="D31" s="105"/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.75" thickTop="1" x14ac:dyDescent="0.25">
      <c r="A32" s="86" t="s">
        <v>999</v>
      </c>
      <c r="B32" s="87"/>
      <c r="C32" s="88"/>
      <c r="D32" s="89"/>
      <c r="E32" s="143"/>
      <c r="G32" s="127"/>
      <c r="H32" s="110"/>
      <c r="I32" s="111"/>
      <c r="J32" s="111"/>
      <c r="K32" s="111"/>
      <c r="L32" s="112"/>
      <c r="M32" s="128"/>
      <c r="N32" s="139"/>
    </row>
    <row r="33" spans="1:14" ht="15.75" thickBot="1" x14ac:dyDescent="0.3">
      <c r="A33" s="90" t="s">
        <v>6</v>
      </c>
      <c r="B33" s="91"/>
      <c r="C33" s="92"/>
      <c r="D33" s="93"/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.75" thickTop="1" x14ac:dyDescent="0.25">
      <c r="A34" s="90" t="s">
        <v>1001</v>
      </c>
      <c r="B34" s="91"/>
      <c r="C34" s="92"/>
      <c r="D34" s="93"/>
      <c r="E34" s="144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44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5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43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44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44"/>
    </row>
    <row r="40" spans="1:14" ht="15.75" thickTop="1" x14ac:dyDescent="0.25">
      <c r="A40" s="90" t="s">
        <v>1000</v>
      </c>
      <c r="B40" s="91"/>
      <c r="C40" s="92"/>
      <c r="D40" s="93"/>
      <c r="E40" s="144"/>
      <c r="G40" s="114"/>
      <c r="H40" s="115"/>
      <c r="I40" s="115"/>
      <c r="J40" s="115"/>
      <c r="K40" s="116"/>
      <c r="L40" s="117"/>
      <c r="M40" s="140"/>
    </row>
    <row r="41" spans="1:14" ht="15.75" thickBot="1" x14ac:dyDescent="0.3">
      <c r="A41" s="102" t="s">
        <v>16</v>
      </c>
      <c r="B41" s="103"/>
      <c r="C41" s="104"/>
      <c r="D41" s="105"/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25">
      <c r="A42" s="86" t="s">
        <v>999</v>
      </c>
      <c r="B42" s="87"/>
      <c r="C42" s="88"/>
      <c r="D42" s="89"/>
      <c r="E42" s="143"/>
      <c r="G42" s="118"/>
      <c r="H42" s="111"/>
      <c r="I42" s="111"/>
      <c r="J42" s="111"/>
      <c r="K42" s="112"/>
      <c r="L42" s="119"/>
      <c r="M42" s="141"/>
    </row>
    <row r="43" spans="1:14" x14ac:dyDescent="0.25">
      <c r="A43" s="90" t="s">
        <v>6</v>
      </c>
      <c r="B43" s="91"/>
      <c r="C43" s="92"/>
      <c r="D43" s="93"/>
      <c r="E43" s="144"/>
      <c r="G43" s="118"/>
      <c r="H43" s="111"/>
      <c r="I43" s="111"/>
      <c r="J43" s="111"/>
      <c r="K43" s="112"/>
      <c r="L43" s="119"/>
      <c r="M43" s="141"/>
    </row>
    <row r="44" spans="1:14" x14ac:dyDescent="0.25">
      <c r="A44" s="90" t="s">
        <v>1001</v>
      </c>
      <c r="B44" s="91"/>
      <c r="C44" s="92"/>
      <c r="D44" s="93"/>
      <c r="E44" s="144"/>
      <c r="G44" s="118"/>
      <c r="H44" s="111"/>
      <c r="I44" s="111"/>
      <c r="J44" s="111"/>
      <c r="K44" s="112"/>
      <c r="L44" s="119"/>
      <c r="M44" s="141"/>
    </row>
    <row r="45" spans="1:14" ht="15.75" thickBot="1" x14ac:dyDescent="0.3">
      <c r="A45" s="90" t="s">
        <v>1000</v>
      </c>
      <c r="B45" s="91"/>
      <c r="C45" s="92"/>
      <c r="D45" s="93"/>
      <c r="E45" s="144"/>
      <c r="G45" s="120"/>
      <c r="H45" s="121"/>
      <c r="I45" s="121"/>
      <c r="J45" s="121"/>
      <c r="K45" s="121"/>
      <c r="L45" s="122"/>
      <c r="M45" s="142"/>
    </row>
    <row r="46" spans="1:14" ht="16.5" thickTop="1" thickBot="1" x14ac:dyDescent="0.3">
      <c r="A46" s="102" t="s">
        <v>16</v>
      </c>
      <c r="B46" s="103"/>
      <c r="C46" s="104"/>
      <c r="D46" s="105"/>
      <c r="E46" s="145"/>
    </row>
    <row r="47" spans="1:14" ht="15.75" thickTop="1" x14ac:dyDescent="0.25">
      <c r="A47" s="86" t="s">
        <v>999</v>
      </c>
      <c r="B47" s="87"/>
      <c r="C47" s="88"/>
      <c r="D47" s="89"/>
      <c r="E47" s="143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44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44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44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5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43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44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44"/>
    </row>
    <row r="55" spans="1:11" x14ac:dyDescent="0.25">
      <c r="A55" s="90" t="s">
        <v>1000</v>
      </c>
      <c r="B55" s="91"/>
      <c r="C55" s="92"/>
      <c r="D55" s="93"/>
      <c r="E55" s="144"/>
    </row>
    <row r="56" spans="1:11" ht="15.75" thickBot="1" x14ac:dyDescent="0.3">
      <c r="A56" s="102" t="s">
        <v>16</v>
      </c>
      <c r="B56" s="103"/>
      <c r="C56" s="104"/>
      <c r="D56" s="105"/>
      <c r="E56" s="145"/>
    </row>
    <row r="57" spans="1:11" ht="15.75" thickTop="1" x14ac:dyDescent="0.25">
      <c r="A57" s="86" t="s">
        <v>999</v>
      </c>
      <c r="B57" s="87"/>
      <c r="C57" s="88"/>
      <c r="D57" s="89"/>
      <c r="E57" s="143"/>
    </row>
    <row r="58" spans="1:11" x14ac:dyDescent="0.25">
      <c r="A58" s="90" t="s">
        <v>6</v>
      </c>
      <c r="B58" s="91"/>
      <c r="C58" s="92"/>
      <c r="D58" s="93"/>
      <c r="E58" s="144"/>
    </row>
    <row r="59" spans="1:11" x14ac:dyDescent="0.25">
      <c r="A59" s="90" t="s">
        <v>1001</v>
      </c>
      <c r="B59" s="91"/>
      <c r="C59" s="92"/>
      <c r="D59" s="93"/>
      <c r="E59" s="144"/>
    </row>
    <row r="60" spans="1:11" x14ac:dyDescent="0.25">
      <c r="A60" s="90" t="s">
        <v>1000</v>
      </c>
      <c r="B60" s="91"/>
      <c r="C60" s="92"/>
      <c r="D60" s="93"/>
      <c r="E60" s="144"/>
    </row>
    <row r="61" spans="1:11" ht="15.75" thickBot="1" x14ac:dyDescent="0.3">
      <c r="A61" s="102" t="s">
        <v>16</v>
      </c>
      <c r="B61" s="103"/>
      <c r="C61" s="104"/>
      <c r="D61" s="105"/>
      <c r="E61" s="145"/>
    </row>
    <row r="62" spans="1:11" ht="15.75" thickTop="1" x14ac:dyDescent="0.25">
      <c r="A62" s="86" t="s">
        <v>999</v>
      </c>
      <c r="B62" s="87"/>
      <c r="C62" s="88"/>
      <c r="D62" s="89"/>
      <c r="E62" s="143"/>
    </row>
    <row r="63" spans="1:11" x14ac:dyDescent="0.25">
      <c r="A63" s="90" t="s">
        <v>6</v>
      </c>
      <c r="B63" s="91"/>
      <c r="C63" s="92"/>
      <c r="D63" s="93"/>
      <c r="E63" s="144"/>
    </row>
    <row r="64" spans="1:11" x14ac:dyDescent="0.25">
      <c r="A64" s="90" t="s">
        <v>1001</v>
      </c>
      <c r="B64" s="91"/>
      <c r="C64" s="92"/>
      <c r="D64" s="93"/>
      <c r="E64" s="144"/>
    </row>
    <row r="65" spans="1:5" x14ac:dyDescent="0.25">
      <c r="A65" s="90" t="s">
        <v>1000</v>
      </c>
      <c r="B65" s="91"/>
      <c r="C65" s="92"/>
      <c r="D65" s="93"/>
      <c r="E65" s="144"/>
    </row>
    <row r="66" spans="1:5" ht="15.75" thickBot="1" x14ac:dyDescent="0.3">
      <c r="A66" s="102" t="s">
        <v>16</v>
      </c>
      <c r="B66" s="103"/>
      <c r="C66" s="104"/>
      <c r="D66" s="105"/>
      <c r="E66" s="145"/>
    </row>
    <row r="67" spans="1:5" ht="15.75" thickTop="1" x14ac:dyDescent="0.25">
      <c r="A67" s="86" t="s">
        <v>999</v>
      </c>
      <c r="B67" s="87"/>
      <c r="C67" s="88"/>
      <c r="D67" s="89"/>
      <c r="E67" s="143"/>
    </row>
    <row r="68" spans="1:5" x14ac:dyDescent="0.25">
      <c r="A68" s="90" t="s">
        <v>6</v>
      </c>
      <c r="B68" s="91"/>
      <c r="C68" s="92"/>
      <c r="D68" s="93"/>
      <c r="E68" s="144"/>
    </row>
    <row r="69" spans="1:5" x14ac:dyDescent="0.25">
      <c r="A69" s="90" t="s">
        <v>1001</v>
      </c>
      <c r="B69" s="91"/>
      <c r="C69" s="92"/>
      <c r="D69" s="93"/>
      <c r="E69" s="144"/>
    </row>
    <row r="70" spans="1:5" x14ac:dyDescent="0.25">
      <c r="A70" s="90" t="s">
        <v>1000</v>
      </c>
      <c r="B70" s="91"/>
      <c r="C70" s="92"/>
      <c r="D70" s="93"/>
      <c r="E70" s="144"/>
    </row>
    <row r="71" spans="1:5" ht="15.75" thickBot="1" x14ac:dyDescent="0.3">
      <c r="A71" s="102" t="s">
        <v>16</v>
      </c>
      <c r="B71" s="103"/>
      <c r="C71" s="104"/>
      <c r="D71" s="105"/>
      <c r="E71" s="145"/>
    </row>
    <row r="72" spans="1:5" ht="15.75" thickTop="1" x14ac:dyDescent="0.25">
      <c r="A72" s="86" t="s">
        <v>999</v>
      </c>
      <c r="B72" s="87"/>
      <c r="C72" s="88"/>
      <c r="D72" s="89"/>
      <c r="E72" s="143"/>
    </row>
    <row r="73" spans="1:5" x14ac:dyDescent="0.25">
      <c r="A73" s="90" t="s">
        <v>6</v>
      </c>
      <c r="B73" s="91"/>
      <c r="C73" s="92"/>
      <c r="D73" s="93"/>
      <c r="E73" s="144"/>
    </row>
    <row r="74" spans="1:5" x14ac:dyDescent="0.25">
      <c r="A74" s="90" t="s">
        <v>1001</v>
      </c>
      <c r="B74" s="91"/>
      <c r="C74" s="92"/>
      <c r="D74" s="93"/>
      <c r="E74" s="144"/>
    </row>
    <row r="75" spans="1:5" x14ac:dyDescent="0.25">
      <c r="A75" s="90" t="s">
        <v>1000</v>
      </c>
      <c r="B75" s="91"/>
      <c r="C75" s="92"/>
      <c r="D75" s="93"/>
      <c r="E75" s="144"/>
    </row>
    <row r="76" spans="1:5" ht="15.75" thickBot="1" x14ac:dyDescent="0.3">
      <c r="A76" s="102" t="s">
        <v>16</v>
      </c>
      <c r="B76" s="103"/>
      <c r="C76" s="104"/>
      <c r="D76" s="105"/>
      <c r="E76" s="145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426</v>
      </c>
      <c r="G5" s="54">
        <f t="shared" si="3"/>
        <v>0.10093896713615023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25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426</v>
      </c>
      <c r="G8" s="54">
        <f t="shared" ref="G8" si="5">E8/F8</f>
        <v>8.2159624413145546E-2</v>
      </c>
    </row>
    <row r="9" spans="1:7" x14ac:dyDescent="0.25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426</v>
      </c>
      <c r="G10" s="54">
        <f t="shared" ref="G10" si="7">E10/F10</f>
        <v>0.11032863849765258</v>
      </c>
    </row>
    <row r="11" spans="1:7" x14ac:dyDescent="0.25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426</v>
      </c>
      <c r="G11" s="54">
        <f t="shared" ref="G11" si="9">E11/F11</f>
        <v>0.10093896713615023</v>
      </c>
    </row>
    <row r="12" spans="1:7" x14ac:dyDescent="0.25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426</v>
      </c>
      <c r="G12" s="54">
        <f t="shared" ref="G12" si="11">E12/F12</f>
        <v>0.10093896713615023</v>
      </c>
    </row>
    <row r="13" spans="1:7" x14ac:dyDescent="0.25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426</v>
      </c>
      <c r="G13" s="54">
        <f t="shared" ref="G13:G15" si="13">E13/F13</f>
        <v>8.6854460093896718E-2</v>
      </c>
    </row>
    <row r="14" spans="1:7" x14ac:dyDescent="0.25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426</v>
      </c>
      <c r="G14" s="54">
        <f t="shared" si="13"/>
        <v>0.12441314553990611</v>
      </c>
    </row>
    <row r="15" spans="1:7" x14ac:dyDescent="0.25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426</v>
      </c>
      <c r="G15" s="54">
        <f t="shared" si="13"/>
        <v>7.746478873239436E-2</v>
      </c>
    </row>
    <row r="16" spans="1:7" x14ac:dyDescent="0.25">
      <c r="A16" s="24">
        <f>'APAGADOS RADIO'!T3</f>
        <v>44849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44850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44851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44852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44853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44854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44855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44856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44857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44858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44859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44860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44861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44862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44863</v>
      </c>
      <c r="B30" s="50"/>
      <c r="C30" s="50"/>
      <c r="D30" s="50"/>
      <c r="E30" s="50"/>
      <c r="F30" s="50"/>
    </row>
    <row r="31" spans="1:6" x14ac:dyDescent="0.25">
      <c r="A31" s="24"/>
      <c r="B31" s="50"/>
      <c r="C31" s="50"/>
      <c r="D31" s="50"/>
      <c r="E31" s="50"/>
      <c r="F31" s="50"/>
    </row>
    <row r="32" spans="1:6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34</v>
      </c>
      <c r="X3" s="75">
        <f>COUNTIFS('RESUMEN TOTAL'!C7:C501, "=BONOMO",'RESUMEN TOTAL'!AC7:AC501,"=APAGADO")</f>
        <v>41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</v>
      </c>
      <c r="W4" s="82">
        <f t="shared" si="0"/>
        <v>0.15178571428571427</v>
      </c>
      <c r="X4" s="82">
        <f t="shared" si="0"/>
        <v>0.18303571428571427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12</v>
      </c>
      <c r="X5" s="77">
        <f>COUNTIFS('RESUMEN TOTAL'!C10:C421, "=COSEIDI",'RESUMEN TOTAL'!AC10:AC421,"=APAGADO")</f>
        <v>54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0</v>
      </c>
      <c r="W6" s="81">
        <f t="shared" si="2"/>
        <v>5.9113300492610835E-2</v>
      </c>
      <c r="X6" s="81">
        <f t="shared" si="2"/>
        <v>0.26600985221674878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2022-10-19T15:12:21Z</dcterms:modified>
</cp:coreProperties>
</file>