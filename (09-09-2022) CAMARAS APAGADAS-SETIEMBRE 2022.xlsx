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8_{C56886DE-7A11-4DA4-B4F5-165AF20E2E51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J314" i="2" l="1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20" i="24" l="1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0" i="14" l="1"/>
  <c r="F9" i="14"/>
  <c r="F8" i="14"/>
  <c r="F7" i="14"/>
  <c r="F6" i="14"/>
  <c r="F5" i="14"/>
  <c r="F4" i="14"/>
  <c r="F3" i="14"/>
  <c r="O2" i="2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9" i="14" l="1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<sst xmlns="http://schemas.openxmlformats.org/spreadsheetml/2006/main" count="3211" uniqueCount="1207">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</sst>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O317" activePane="bottomRight" state="frozen"/>
      <selection pane="topRight" activeCell="M1" sqref="M1"/>
      <selection pane="bottomLeft" activeCell="A5" sqref="A5"/>
      <selection pane="bottomRight" activeCell="A336" sqref="A336:XFD336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396</v>
      </c>
      <c r="U2" s="10">
        <f t="shared" si="1"/>
        <v>396</v>
      </c>
      <c r="V2" s="10">
        <f t="shared" si="1"/>
        <v>396</v>
      </c>
      <c r="W2" s="10">
        <f t="shared" si="1"/>
        <v>396</v>
      </c>
      <c r="X2" s="10">
        <f t="shared" si="1"/>
        <v>396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>COUNTIF(O4:O447, "apagado")</f>
        <v>38</v>
      </c>
      <c r="P3" s="14">
        <f>COUNTIF(P4:P447, "apagado")</f>
        <v>32</v>
      </c>
      <c r="Q3" s="14">
        <f>COUNTIF(Q4:Q447, "apagado")</f>
        <v>21</v>
      </c>
      <c r="R3" s="14">
        <f>COUNTIF(R4:R447, "apagado")</f>
        <v>21</v>
      </c>
      <c r="S3" s="14">
        <f>COUNTIF(S4:S447, "apagado")</f>
        <v>37</v>
      </c>
      <c r="T3" s="14">
        <f>COUNTIF(T4:T447, "apagado")</f>
        <v>0</v>
      </c>
      <c r="U3" s="14">
        <f>COUNTIF(U4:U447, "apagado")</f>
        <v>0</v>
      </c>
      <c r="V3" s="14">
        <f>COUNTIF(V4:V447, "apagado")</f>
        <v>0</v>
      </c>
      <c r="W3" s="14">
        <f>COUNTIF(W4:W447, "apagado")</f>
        <v>0</v>
      </c>
      <c r="X3" s="14">
        <f>COUNTIF(X4:X447, "apagado")</f>
        <v>0</v>
      </c>
      <c r="Y3" s="14">
        <f>COUNTIF(Y4:Y447, "apagado")</f>
        <v>0</v>
      </c>
      <c r="Z3" s="14">
        <f>COUNTIF(Z4:Z447, "apagado")</f>
        <v>0</v>
      </c>
      <c r="AA3" s="14">
        <f>COUNTIF(AA4:AA447, "apagado")</f>
        <v>0</v>
      </c>
      <c r="AB3" s="14">
        <f>COUNTIF(AB4:AB447, "apagado")</f>
        <v>0</v>
      </c>
      <c r="AC3" s="14">
        <f>COUNTIF(AC4:AC447, "apagado")</f>
        <v>0</v>
      </c>
      <c r="AD3" s="14">
        <f>COUNTIF(AD4:AD447, "apagado")</f>
        <v>0</v>
      </c>
      <c r="AE3" s="14">
        <f>COUNTIF(AE4:AE447, "apagado")</f>
        <v>0</v>
      </c>
      <c r="AF3" s="14">
        <f>COUNTIF(AF4:AF447, "apagado")</f>
        <v>0</v>
      </c>
      <c r="AG3" s="14">
        <f>COUNTIF(AG4:AG447, "apagado")</f>
        <v>0</v>
      </c>
      <c r="AH3" s="14">
        <f>COUNTIF(AH4:AH447, "apagado")</f>
        <v>0</v>
      </c>
      <c r="AI3" s="14">
        <f>COUNTIF(AI4:AI447, "apagado")</f>
        <v>0</v>
      </c>
      <c r="AJ3" s="14">
        <f>COUNTIF(AJ4:AJ447, "apagado")</f>
        <v>0</v>
      </c>
      <c r="AK3" s="14">
        <f>COUNTIF(AK4:AK447, "apagado")</f>
        <v>0</v>
      </c>
      <c r="AL3" s="14">
        <f>COUNTIF(AL4:AL447, "apagado")</f>
        <v>0</v>
      </c>
      <c r="AM3" s="14">
        <f>COUNTIF(AM4:AM447, "apagado")</f>
        <v>0</v>
      </c>
      <c r="AN3" s="14">
        <f>COUNTIF(AN4:AN447, "apagado")</f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2">COUNTIF(K5:AL5,"APAGADO")</f>
        <v>0</v>
      </c>
      <c r="J5" s="17">
        <f t="shared" ref="J5:J68" si="3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4">COUNTIF(K6:AN6,"")</f>
        <v>28</v>
      </c>
      <c r="I6" s="16">
        <f t="shared" si="2"/>
        <v>2</v>
      </c>
      <c r="J6" s="17">
        <f t="shared" si="3"/>
        <v>0.93333333333333335</v>
      </c>
      <c r="K6" s="26"/>
      <c r="L6" s="8"/>
      <c r="M6" s="8"/>
      <c r="N6" s="8"/>
      <c r="O6" s="26"/>
      <c r="P6" s="26"/>
      <c r="Q6" s="8"/>
      <c r="R6" s="8" t="s">
        <v>1200</v>
      </c>
      <c r="S6" s="8" t="s">
        <v>1200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4"/>
        <v>30</v>
      </c>
      <c r="I7" s="16">
        <f t="shared" si="2"/>
        <v>0</v>
      </c>
      <c r="J7" s="17">
        <f t="shared" si="3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4"/>
        <v>30</v>
      </c>
      <c r="I8" s="16">
        <f t="shared" si="2"/>
        <v>0</v>
      </c>
      <c r="J8" s="17">
        <f t="shared" si="3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4"/>
        <v>30</v>
      </c>
      <c r="I9" s="16">
        <f t="shared" si="2"/>
        <v>0</v>
      </c>
      <c r="J9" s="17">
        <f t="shared" si="3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4"/>
        <v>21</v>
      </c>
      <c r="I10" s="16">
        <f t="shared" si="2"/>
        <v>9</v>
      </c>
      <c r="J10" s="17">
        <f t="shared" si="3"/>
        <v>0.7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 t="s">
        <v>1200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4"/>
        <v>30</v>
      </c>
      <c r="I11" s="16">
        <f t="shared" si="2"/>
        <v>0</v>
      </c>
      <c r="J11" s="17">
        <f t="shared" si="3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4"/>
        <v>30</v>
      </c>
      <c r="I12" s="16">
        <f t="shared" si="2"/>
        <v>0</v>
      </c>
      <c r="J12" s="17">
        <f t="shared" si="3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4"/>
        <v>21</v>
      </c>
      <c r="I13" s="16">
        <f t="shared" si="2"/>
        <v>9</v>
      </c>
      <c r="J13" s="17">
        <f t="shared" si="3"/>
        <v>0.7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 t="s">
        <v>1200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4"/>
        <v>30</v>
      </c>
      <c r="I14" s="16">
        <f t="shared" si="2"/>
        <v>0</v>
      </c>
      <c r="J14" s="17">
        <f t="shared" si="3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4"/>
        <v>30</v>
      </c>
      <c r="I15" s="16">
        <f t="shared" si="2"/>
        <v>0</v>
      </c>
      <c r="J15" s="17">
        <f t="shared" si="3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4"/>
        <v>23</v>
      </c>
      <c r="I16" s="16">
        <f t="shared" si="2"/>
        <v>7</v>
      </c>
      <c r="J16" s="17">
        <f t="shared" si="3"/>
        <v>0.76666666666666672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 t="s">
        <v>1200</v>
      </c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4"/>
        <v>30</v>
      </c>
      <c r="I17" s="16">
        <f t="shared" si="2"/>
        <v>0</v>
      </c>
      <c r="J17" s="17">
        <f t="shared" si="3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4"/>
        <v>30</v>
      </c>
      <c r="I18" s="16">
        <f t="shared" si="2"/>
        <v>0</v>
      </c>
      <c r="J18" s="17">
        <f t="shared" si="3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4"/>
        <v>30</v>
      </c>
      <c r="I19" s="16">
        <f t="shared" si="2"/>
        <v>0</v>
      </c>
      <c r="J19" s="17">
        <f t="shared" si="3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4"/>
        <v>30</v>
      </c>
      <c r="I20" s="16">
        <f t="shared" si="2"/>
        <v>0</v>
      </c>
      <c r="J20" s="17">
        <f t="shared" si="3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4"/>
        <v>28</v>
      </c>
      <c r="I21" s="16">
        <f t="shared" si="2"/>
        <v>2</v>
      </c>
      <c r="J21" s="17">
        <f t="shared" si="3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4"/>
        <v>30</v>
      </c>
      <c r="I22" s="16">
        <f t="shared" si="2"/>
        <v>0</v>
      </c>
      <c r="J22" s="17">
        <f t="shared" si="3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4"/>
        <v>29</v>
      </c>
      <c r="I23" s="16">
        <f t="shared" si="2"/>
        <v>1</v>
      </c>
      <c r="J23" s="17">
        <f t="shared" si="3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1200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4"/>
        <v>29</v>
      </c>
      <c r="I24" s="16">
        <f t="shared" si="2"/>
        <v>1</v>
      </c>
      <c r="J24" s="17">
        <f t="shared" si="3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4"/>
        <v>28</v>
      </c>
      <c r="I25" s="16">
        <f t="shared" si="2"/>
        <v>2</v>
      </c>
      <c r="J25" s="17">
        <f t="shared" si="3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4"/>
        <v>30</v>
      </c>
      <c r="I26" s="16">
        <f t="shared" si="2"/>
        <v>0</v>
      </c>
      <c r="J26" s="17">
        <f t="shared" si="3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4"/>
        <v>30</v>
      </c>
      <c r="I27" s="16">
        <f t="shared" si="2"/>
        <v>0</v>
      </c>
      <c r="J27" s="17">
        <f t="shared" si="3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4"/>
        <v>30</v>
      </c>
      <c r="I28" s="16">
        <f t="shared" si="2"/>
        <v>0</v>
      </c>
      <c r="J28" s="17">
        <f t="shared" si="3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4"/>
        <v>30</v>
      </c>
      <c r="I29" s="16">
        <f t="shared" si="2"/>
        <v>0</v>
      </c>
      <c r="J29" s="17">
        <f t="shared" si="3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4"/>
        <v>30</v>
      </c>
      <c r="I30" s="16">
        <f t="shared" si="2"/>
        <v>0</v>
      </c>
      <c r="J30" s="17">
        <f t="shared" si="3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4"/>
        <v>27</v>
      </c>
      <c r="I31" s="16">
        <f t="shared" si="2"/>
        <v>3</v>
      </c>
      <c r="J31" s="17">
        <f t="shared" si="3"/>
        <v>0.9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 t="s">
        <v>1200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4"/>
        <v>30</v>
      </c>
      <c r="I32" s="16">
        <f t="shared" si="2"/>
        <v>0</v>
      </c>
      <c r="J32" s="17">
        <f t="shared" si="3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4"/>
        <v>30</v>
      </c>
      <c r="I33" s="16">
        <f t="shared" si="2"/>
        <v>0</v>
      </c>
      <c r="J33" s="17">
        <f t="shared" si="3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4"/>
        <v>21</v>
      </c>
      <c r="I34" s="16">
        <f t="shared" si="2"/>
        <v>9</v>
      </c>
      <c r="J34" s="17">
        <f t="shared" si="3"/>
        <v>0.7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 t="s">
        <v>1200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4"/>
        <v>30</v>
      </c>
      <c r="I35" s="16">
        <f t="shared" si="2"/>
        <v>0</v>
      </c>
      <c r="J35" s="17">
        <f t="shared" si="3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4"/>
        <v>30</v>
      </c>
      <c r="I36" s="16">
        <f t="shared" si="2"/>
        <v>0</v>
      </c>
      <c r="J36" s="17">
        <f t="shared" si="3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4"/>
        <v>28</v>
      </c>
      <c r="I37" s="16">
        <f t="shared" si="2"/>
        <v>2</v>
      </c>
      <c r="J37" s="17">
        <f t="shared" si="3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4"/>
        <v>28</v>
      </c>
      <c r="I38" s="16">
        <f t="shared" si="2"/>
        <v>2</v>
      </c>
      <c r="J38" s="17">
        <f t="shared" si="3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4"/>
        <v>30</v>
      </c>
      <c r="I39" s="16">
        <f t="shared" si="2"/>
        <v>0</v>
      </c>
      <c r="J39" s="17">
        <f t="shared" si="3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4"/>
        <v>30</v>
      </c>
      <c r="I40" s="16">
        <f t="shared" si="2"/>
        <v>0</v>
      </c>
      <c r="J40" s="17">
        <f t="shared" si="3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4"/>
        <v>30</v>
      </c>
      <c r="I41" s="16">
        <f t="shared" si="2"/>
        <v>0</v>
      </c>
      <c r="J41" s="17">
        <f t="shared" si="3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4"/>
        <v>27</v>
      </c>
      <c r="I42" s="16">
        <f t="shared" si="2"/>
        <v>3</v>
      </c>
      <c r="J42" s="17">
        <f t="shared" si="3"/>
        <v>0.9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 t="s">
        <v>1200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4"/>
        <v>30</v>
      </c>
      <c r="I43" s="16">
        <f t="shared" si="2"/>
        <v>0</v>
      </c>
      <c r="J43" s="17">
        <f t="shared" si="3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4"/>
        <v>30</v>
      </c>
      <c r="I44" s="16">
        <f t="shared" si="2"/>
        <v>0</v>
      </c>
      <c r="J44" s="17">
        <f t="shared" si="3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4"/>
        <v>30</v>
      </c>
      <c r="I45" s="16">
        <f t="shared" si="2"/>
        <v>0</v>
      </c>
      <c r="J45" s="17">
        <f t="shared" si="3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4"/>
        <v>30</v>
      </c>
      <c r="I46" s="16">
        <f t="shared" si="2"/>
        <v>0</v>
      </c>
      <c r="J46" s="17">
        <f t="shared" si="3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4"/>
        <v>30</v>
      </c>
      <c r="I47" s="16">
        <f t="shared" si="2"/>
        <v>0</v>
      </c>
      <c r="J47" s="17">
        <f t="shared" si="3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4"/>
        <v>30</v>
      </c>
      <c r="I48" s="16">
        <f t="shared" si="2"/>
        <v>0</v>
      </c>
      <c r="J48" s="17">
        <f t="shared" si="3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4"/>
        <v>30</v>
      </c>
      <c r="I49" s="16">
        <f t="shared" si="2"/>
        <v>0</v>
      </c>
      <c r="J49" s="17">
        <f t="shared" si="3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4"/>
        <v>28</v>
      </c>
      <c r="I50" s="16">
        <f t="shared" si="2"/>
        <v>2</v>
      </c>
      <c r="J50" s="17">
        <f t="shared" si="3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4"/>
        <v>30</v>
      </c>
      <c r="I51" s="16">
        <f t="shared" si="2"/>
        <v>0</v>
      </c>
      <c r="J51" s="17">
        <f t="shared" si="3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4"/>
        <v>30</v>
      </c>
      <c r="I52" s="16">
        <f t="shared" si="2"/>
        <v>0</v>
      </c>
      <c r="J52" s="17">
        <f t="shared" si="3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4"/>
        <v>30</v>
      </c>
      <c r="I53" s="16">
        <f t="shared" si="2"/>
        <v>0</v>
      </c>
      <c r="J53" s="17">
        <f t="shared" si="3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4"/>
        <v>29</v>
      </c>
      <c r="I54" s="16">
        <f t="shared" si="2"/>
        <v>1</v>
      </c>
      <c r="J54" s="17">
        <f t="shared" si="3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4"/>
        <v>30</v>
      </c>
      <c r="I55" s="16">
        <f t="shared" si="2"/>
        <v>0</v>
      </c>
      <c r="J55" s="17">
        <f t="shared" si="3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4"/>
        <v>30</v>
      </c>
      <c r="I56" s="16">
        <f t="shared" si="2"/>
        <v>0</v>
      </c>
      <c r="J56" s="17">
        <f t="shared" si="3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4"/>
        <v>29</v>
      </c>
      <c r="I57" s="16">
        <f t="shared" si="2"/>
        <v>1</v>
      </c>
      <c r="J57" s="17">
        <f t="shared" si="3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4"/>
        <v>28</v>
      </c>
      <c r="I58" s="16">
        <f t="shared" si="2"/>
        <v>2</v>
      </c>
      <c r="J58" s="17">
        <f t="shared" si="3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4"/>
        <v>23</v>
      </c>
      <c r="I59" s="16">
        <f t="shared" si="2"/>
        <v>7</v>
      </c>
      <c r="J59" s="17">
        <f t="shared" si="3"/>
        <v>0.76666666666666672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 t="s">
        <v>1200</v>
      </c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4"/>
        <v>30</v>
      </c>
      <c r="I60" s="16">
        <f t="shared" si="2"/>
        <v>0</v>
      </c>
      <c r="J60" s="17">
        <f t="shared" si="3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4"/>
        <v>30</v>
      </c>
      <c r="I61" s="16">
        <f t="shared" si="2"/>
        <v>0</v>
      </c>
      <c r="J61" s="17">
        <f t="shared" si="3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4"/>
        <v>28</v>
      </c>
      <c r="I62" s="16">
        <f t="shared" si="2"/>
        <v>2</v>
      </c>
      <c r="J62" s="17">
        <f t="shared" si="3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4"/>
        <v>28</v>
      </c>
      <c r="I63" s="16">
        <f t="shared" si="2"/>
        <v>2</v>
      </c>
      <c r="J63" s="17">
        <f t="shared" si="3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4"/>
        <v>30</v>
      </c>
      <c r="I64" s="16">
        <f t="shared" si="2"/>
        <v>0</v>
      </c>
      <c r="J64" s="17">
        <f t="shared" si="3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4"/>
        <v>28</v>
      </c>
      <c r="I65" s="16">
        <f t="shared" si="2"/>
        <v>2</v>
      </c>
      <c r="J65" s="17">
        <f t="shared" si="3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4"/>
        <v>30</v>
      </c>
      <c r="I66" s="16">
        <f t="shared" si="2"/>
        <v>0</v>
      </c>
      <c r="J66" s="17">
        <f t="shared" si="3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4"/>
        <v>23</v>
      </c>
      <c r="I67" s="16">
        <f t="shared" si="2"/>
        <v>7</v>
      </c>
      <c r="J67" s="17">
        <f t="shared" si="3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4"/>
        <v>30</v>
      </c>
      <c r="I68" s="16">
        <f t="shared" si="2"/>
        <v>0</v>
      </c>
      <c r="J68" s="17">
        <f t="shared" si="3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4"/>
        <v>30</v>
      </c>
      <c r="I69" s="16">
        <f t="shared" ref="I69:I132" si="5">COUNTIF(K69:AL69,"APAGADO")</f>
        <v>0</v>
      </c>
      <c r="J69" s="17">
        <f t="shared" ref="J69:J132" si="6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7">COUNTIF(K70:AN70,"")</f>
        <v>30</v>
      </c>
      <c r="I70" s="16">
        <f t="shared" si="5"/>
        <v>0</v>
      </c>
      <c r="J70" s="17">
        <f t="shared" si="6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7"/>
        <v>30</v>
      </c>
      <c r="I71" s="16">
        <f t="shared" si="5"/>
        <v>0</v>
      </c>
      <c r="J71" s="17">
        <f t="shared" si="6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7"/>
        <v>30</v>
      </c>
      <c r="I72" s="16">
        <f t="shared" si="5"/>
        <v>0</v>
      </c>
      <c r="J72" s="17">
        <f t="shared" si="6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7"/>
        <v>29</v>
      </c>
      <c r="I73" s="16">
        <f t="shared" si="5"/>
        <v>1</v>
      </c>
      <c r="J73" s="17">
        <f t="shared" si="6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7"/>
        <v>30</v>
      </c>
      <c r="I74" s="16">
        <f t="shared" si="5"/>
        <v>0</v>
      </c>
      <c r="J74" s="17">
        <f t="shared" si="6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7"/>
        <v>30</v>
      </c>
      <c r="I75" s="16">
        <f t="shared" si="5"/>
        <v>0</v>
      </c>
      <c r="J75" s="17">
        <f t="shared" si="6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7"/>
        <v>29</v>
      </c>
      <c r="I76" s="16">
        <f t="shared" si="5"/>
        <v>1</v>
      </c>
      <c r="J76" s="17">
        <f t="shared" si="6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7"/>
        <v>30</v>
      </c>
      <c r="I77" s="16">
        <f t="shared" si="5"/>
        <v>0</v>
      </c>
      <c r="J77" s="17">
        <f t="shared" si="6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7"/>
        <v>30</v>
      </c>
      <c r="I78" s="16">
        <f t="shared" si="5"/>
        <v>0</v>
      </c>
      <c r="J78" s="17">
        <f t="shared" si="6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7"/>
        <v>21</v>
      </c>
      <c r="I79" s="16">
        <f t="shared" si="5"/>
        <v>9</v>
      </c>
      <c r="J79" s="17">
        <f t="shared" si="6"/>
        <v>0.7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 t="s">
        <v>1200</v>
      </c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7"/>
        <v>30</v>
      </c>
      <c r="I80" s="16">
        <f t="shared" si="5"/>
        <v>0</v>
      </c>
      <c r="J80" s="17">
        <f t="shared" si="6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7"/>
        <v>30</v>
      </c>
      <c r="I81" s="16">
        <f t="shared" si="5"/>
        <v>0</v>
      </c>
      <c r="J81" s="17">
        <f t="shared" si="6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7"/>
        <v>30</v>
      </c>
      <c r="I82" s="16">
        <f t="shared" si="5"/>
        <v>0</v>
      </c>
      <c r="J82" s="17">
        <f t="shared" si="6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7"/>
        <v>30</v>
      </c>
      <c r="I83" s="16">
        <f t="shared" si="5"/>
        <v>0</v>
      </c>
      <c r="J83" s="17">
        <f t="shared" si="6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7"/>
        <v>30</v>
      </c>
      <c r="I84" s="16">
        <f t="shared" si="5"/>
        <v>0</v>
      </c>
      <c r="J84" s="17">
        <f t="shared" si="6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7"/>
        <v>30</v>
      </c>
      <c r="I85" s="16">
        <f t="shared" si="5"/>
        <v>0</v>
      </c>
      <c r="J85" s="17">
        <f t="shared" si="6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7"/>
        <v>30</v>
      </c>
      <c r="I86" s="16">
        <f t="shared" si="5"/>
        <v>0</v>
      </c>
      <c r="J86" s="17">
        <f t="shared" si="6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7"/>
        <v>27</v>
      </c>
      <c r="I87" s="16">
        <f t="shared" si="5"/>
        <v>3</v>
      </c>
      <c r="J87" s="17">
        <f t="shared" si="6"/>
        <v>0.9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 t="s">
        <v>1200</v>
      </c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7"/>
        <v>30</v>
      </c>
      <c r="I88" s="16">
        <f t="shared" si="5"/>
        <v>0</v>
      </c>
      <c r="J88" s="17">
        <f t="shared" si="6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7"/>
        <v>30</v>
      </c>
      <c r="I89" s="16">
        <f t="shared" si="5"/>
        <v>0</v>
      </c>
      <c r="J89" s="17">
        <f t="shared" si="6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7"/>
        <v>30</v>
      </c>
      <c r="I90" s="16">
        <f t="shared" si="5"/>
        <v>0</v>
      </c>
      <c r="J90" s="17">
        <f t="shared" si="6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7"/>
        <v>28</v>
      </c>
      <c r="I91" s="16">
        <f t="shared" si="5"/>
        <v>2</v>
      </c>
      <c r="J91" s="17">
        <f t="shared" si="6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7"/>
        <v>30</v>
      </c>
      <c r="I92" s="16">
        <f t="shared" si="5"/>
        <v>0</v>
      </c>
      <c r="J92" s="17">
        <f t="shared" si="6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7"/>
        <v>30</v>
      </c>
      <c r="I93" s="16">
        <f t="shared" si="5"/>
        <v>0</v>
      </c>
      <c r="J93" s="17">
        <f t="shared" si="6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7"/>
        <v>30</v>
      </c>
      <c r="I94" s="16">
        <f t="shared" si="5"/>
        <v>0</v>
      </c>
      <c r="J94" s="17">
        <f t="shared" si="6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7"/>
        <v>30</v>
      </c>
      <c r="I95" s="16">
        <f t="shared" si="5"/>
        <v>0</v>
      </c>
      <c r="J95" s="17">
        <f t="shared" si="6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7"/>
        <v>24</v>
      </c>
      <c r="I96" s="16">
        <f t="shared" si="5"/>
        <v>6</v>
      </c>
      <c r="J96" s="17">
        <f t="shared" si="6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7"/>
        <v>30</v>
      </c>
      <c r="I97" s="16">
        <f t="shared" si="5"/>
        <v>0</v>
      </c>
      <c r="J97" s="17">
        <f t="shared" si="6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7"/>
        <v>30</v>
      </c>
      <c r="I98" s="16">
        <f t="shared" si="5"/>
        <v>0</v>
      </c>
      <c r="J98" s="17">
        <f t="shared" si="6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7"/>
        <v>30</v>
      </c>
      <c r="I99" s="16">
        <f t="shared" si="5"/>
        <v>0</v>
      </c>
      <c r="J99" s="17">
        <f t="shared" si="6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7"/>
        <v>30</v>
      </c>
      <c r="I100" s="16">
        <f t="shared" si="5"/>
        <v>0</v>
      </c>
      <c r="J100" s="17">
        <f t="shared" si="6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7"/>
        <v>30</v>
      </c>
      <c r="I101" s="16">
        <f t="shared" si="5"/>
        <v>0</v>
      </c>
      <c r="J101" s="17">
        <f t="shared" si="6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7"/>
        <v>28</v>
      </c>
      <c r="I102" s="16">
        <f t="shared" si="5"/>
        <v>2</v>
      </c>
      <c r="J102" s="17">
        <f t="shared" si="6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7"/>
        <v>28</v>
      </c>
      <c r="I103" s="16">
        <f t="shared" si="5"/>
        <v>2</v>
      </c>
      <c r="J103" s="17">
        <f t="shared" si="6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7"/>
        <v>30</v>
      </c>
      <c r="I104" s="16">
        <f t="shared" si="5"/>
        <v>0</v>
      </c>
      <c r="J104" s="17">
        <f t="shared" si="6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7"/>
        <v>30</v>
      </c>
      <c r="I105" s="16">
        <f t="shared" si="5"/>
        <v>0</v>
      </c>
      <c r="J105" s="17">
        <f t="shared" si="6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7"/>
        <v>30</v>
      </c>
      <c r="I106" s="16">
        <f t="shared" si="5"/>
        <v>0</v>
      </c>
      <c r="J106" s="17">
        <f t="shared" si="6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7"/>
        <v>30</v>
      </c>
      <c r="I107" s="16">
        <f t="shared" si="5"/>
        <v>0</v>
      </c>
      <c r="J107" s="17">
        <f t="shared" si="6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7"/>
        <v>30</v>
      </c>
      <c r="I108" s="16">
        <f t="shared" si="5"/>
        <v>0</v>
      </c>
      <c r="J108" s="17">
        <f t="shared" si="6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7"/>
        <v>28</v>
      </c>
      <c r="I109" s="16">
        <f t="shared" si="5"/>
        <v>2</v>
      </c>
      <c r="J109" s="17">
        <f t="shared" si="6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7"/>
        <v>30</v>
      </c>
      <c r="I110" s="16">
        <f t="shared" si="5"/>
        <v>0</v>
      </c>
      <c r="J110" s="17">
        <f t="shared" si="6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7"/>
        <v>30</v>
      </c>
      <c r="I111" s="16">
        <f t="shared" si="5"/>
        <v>0</v>
      </c>
      <c r="J111" s="17">
        <f t="shared" si="6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7"/>
        <v>28</v>
      </c>
      <c r="I112" s="16">
        <f t="shared" si="5"/>
        <v>2</v>
      </c>
      <c r="J112" s="17">
        <f t="shared" si="6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7"/>
        <v>30</v>
      </c>
      <c r="I113" s="16">
        <f t="shared" si="5"/>
        <v>0</v>
      </c>
      <c r="J113" s="17">
        <f t="shared" si="6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7"/>
        <v>30</v>
      </c>
      <c r="I114" s="16">
        <f t="shared" si="5"/>
        <v>0</v>
      </c>
      <c r="J114" s="17">
        <f t="shared" si="6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7"/>
        <v>30</v>
      </c>
      <c r="I115" s="16">
        <f t="shared" si="5"/>
        <v>0</v>
      </c>
      <c r="J115" s="17">
        <f t="shared" si="6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7"/>
        <v>30</v>
      </c>
      <c r="I116" s="16">
        <f t="shared" si="5"/>
        <v>0</v>
      </c>
      <c r="J116" s="17">
        <f t="shared" si="6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7"/>
        <v>30</v>
      </c>
      <c r="I117" s="16">
        <f t="shared" si="5"/>
        <v>0</v>
      </c>
      <c r="J117" s="17">
        <f t="shared" si="6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7"/>
        <v>30</v>
      </c>
      <c r="I118" s="16">
        <f t="shared" si="5"/>
        <v>0</v>
      </c>
      <c r="J118" s="17">
        <f t="shared" si="6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7"/>
        <v>30</v>
      </c>
      <c r="I119" s="16">
        <f t="shared" si="5"/>
        <v>0</v>
      </c>
      <c r="J119" s="17">
        <f t="shared" si="6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7"/>
        <v>30</v>
      </c>
      <c r="I120" s="16">
        <f t="shared" si="5"/>
        <v>0</v>
      </c>
      <c r="J120" s="17">
        <f t="shared" si="6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7"/>
        <v>30</v>
      </c>
      <c r="I121" s="16">
        <f t="shared" si="5"/>
        <v>0</v>
      </c>
      <c r="J121" s="17">
        <f t="shared" si="6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7"/>
        <v>29</v>
      </c>
      <c r="I122" s="16">
        <f t="shared" si="5"/>
        <v>1</v>
      </c>
      <c r="J122" s="17">
        <f t="shared" si="6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7"/>
        <v>30</v>
      </c>
      <c r="I123" s="16">
        <f t="shared" si="5"/>
        <v>0</v>
      </c>
      <c r="J123" s="17">
        <f t="shared" si="6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7"/>
        <v>30</v>
      </c>
      <c r="I124" s="16">
        <f t="shared" si="5"/>
        <v>0</v>
      </c>
      <c r="J124" s="17">
        <f t="shared" si="6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7"/>
        <v>29</v>
      </c>
      <c r="I125" s="16">
        <f t="shared" si="5"/>
        <v>1</v>
      </c>
      <c r="J125" s="17">
        <f t="shared" si="6"/>
        <v>0.96666666666666667</v>
      </c>
      <c r="K125" s="26"/>
      <c r="L125" s="8"/>
      <c r="M125" s="8"/>
      <c r="N125" s="8"/>
      <c r="O125" s="26"/>
      <c r="P125" s="26"/>
      <c r="Q125" s="8"/>
      <c r="R125" s="8"/>
      <c r="S125" s="8" t="s">
        <v>1200</v>
      </c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7"/>
        <v>30</v>
      </c>
      <c r="I126" s="16">
        <f t="shared" si="5"/>
        <v>0</v>
      </c>
      <c r="J126" s="17">
        <f t="shared" si="6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7"/>
        <v>30</v>
      </c>
      <c r="I127" s="16">
        <f t="shared" si="5"/>
        <v>0</v>
      </c>
      <c r="J127" s="17">
        <f t="shared" si="6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7"/>
        <v>30</v>
      </c>
      <c r="I128" s="16">
        <f t="shared" si="5"/>
        <v>0</v>
      </c>
      <c r="J128" s="17">
        <f t="shared" si="6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7"/>
        <v>30</v>
      </c>
      <c r="I129" s="16">
        <f t="shared" si="5"/>
        <v>0</v>
      </c>
      <c r="J129" s="17">
        <f t="shared" si="6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7"/>
        <v>30</v>
      </c>
      <c r="I130" s="16">
        <f t="shared" si="5"/>
        <v>0</v>
      </c>
      <c r="J130" s="17">
        <f t="shared" si="6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7"/>
        <v>30</v>
      </c>
      <c r="I131" s="16">
        <f t="shared" si="5"/>
        <v>0</v>
      </c>
      <c r="J131" s="17">
        <f t="shared" si="6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7"/>
        <v>30</v>
      </c>
      <c r="I132" s="16">
        <f t="shared" si="5"/>
        <v>0</v>
      </c>
      <c r="J132" s="17">
        <f t="shared" si="6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7"/>
        <v>30</v>
      </c>
      <c r="I133" s="16">
        <f t="shared" ref="I133:I196" si="8">COUNTIF(K133:AL133,"APAGADO")</f>
        <v>0</v>
      </c>
      <c r="J133" s="17">
        <f t="shared" ref="J133:J196" si="9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0">COUNTIF(K134:AN134,"")</f>
        <v>21</v>
      </c>
      <c r="I134" s="16">
        <f t="shared" si="8"/>
        <v>9</v>
      </c>
      <c r="J134" s="17">
        <f t="shared" si="9"/>
        <v>0.7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 t="s">
        <v>1200</v>
      </c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0"/>
        <v>29</v>
      </c>
      <c r="I137" s="16">
        <f t="shared" si="8"/>
        <v>1</v>
      </c>
      <c r="J137" s="17">
        <f t="shared" si="9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1200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0"/>
        <v>30</v>
      </c>
      <c r="I138" s="16">
        <f t="shared" si="8"/>
        <v>0</v>
      </c>
      <c r="J138" s="17">
        <f t="shared" si="9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0"/>
        <v>30</v>
      </c>
      <c r="I139" s="16">
        <f t="shared" si="8"/>
        <v>0</v>
      </c>
      <c r="J139" s="17">
        <f t="shared" si="9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0"/>
        <v>30</v>
      </c>
      <c r="I140" s="16">
        <f t="shared" si="8"/>
        <v>0</v>
      </c>
      <c r="J140" s="17">
        <f t="shared" si="9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0"/>
        <v>28</v>
      </c>
      <c r="I141" s="16">
        <f t="shared" si="8"/>
        <v>2</v>
      </c>
      <c r="J141" s="17">
        <f t="shared" si="9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0"/>
        <v>28</v>
      </c>
      <c r="I142" s="16">
        <f t="shared" si="8"/>
        <v>2</v>
      </c>
      <c r="J142" s="17">
        <f t="shared" si="9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0"/>
        <v>28</v>
      </c>
      <c r="I143" s="16">
        <f t="shared" si="8"/>
        <v>2</v>
      </c>
      <c r="J143" s="17">
        <f t="shared" si="9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0"/>
        <v>30</v>
      </c>
      <c r="I144" s="16">
        <f t="shared" si="8"/>
        <v>0</v>
      </c>
      <c r="J144" s="17">
        <f t="shared" si="9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0"/>
        <v>30</v>
      </c>
      <c r="I145" s="16">
        <f t="shared" si="8"/>
        <v>0</v>
      </c>
      <c r="J145" s="17">
        <f t="shared" si="9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0"/>
        <v>30</v>
      </c>
      <c r="I146" s="16">
        <f t="shared" si="8"/>
        <v>0</v>
      </c>
      <c r="J146" s="17">
        <f t="shared" si="9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0"/>
        <v>30</v>
      </c>
      <c r="I147" s="16">
        <f t="shared" si="8"/>
        <v>0</v>
      </c>
      <c r="J147" s="17">
        <f t="shared" si="9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0"/>
        <v>30</v>
      </c>
      <c r="I148" s="16">
        <f t="shared" si="8"/>
        <v>0</v>
      </c>
      <c r="J148" s="17">
        <f t="shared" si="9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0"/>
        <v>30</v>
      </c>
      <c r="I149" s="16">
        <f t="shared" si="8"/>
        <v>0</v>
      </c>
      <c r="J149" s="17">
        <f t="shared" si="9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0"/>
        <v>30</v>
      </c>
      <c r="I150" s="16">
        <f t="shared" si="8"/>
        <v>0</v>
      </c>
      <c r="J150" s="17">
        <f t="shared" si="9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0"/>
        <v>30</v>
      </c>
      <c r="I151" s="16">
        <f t="shared" si="8"/>
        <v>0</v>
      </c>
      <c r="J151" s="17">
        <f t="shared" si="9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0"/>
        <v>30</v>
      </c>
      <c r="I152" s="16">
        <f t="shared" si="8"/>
        <v>0</v>
      </c>
      <c r="J152" s="17">
        <f t="shared" si="9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0"/>
        <v>30</v>
      </c>
      <c r="I153" s="16">
        <f t="shared" si="8"/>
        <v>0</v>
      </c>
      <c r="J153" s="17">
        <f t="shared" si="9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0"/>
        <v>28</v>
      </c>
      <c r="I154" s="16">
        <f t="shared" si="8"/>
        <v>2</v>
      </c>
      <c r="J154" s="17">
        <f t="shared" si="9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0"/>
        <v>28</v>
      </c>
      <c r="I155" s="16">
        <f t="shared" si="8"/>
        <v>2</v>
      </c>
      <c r="J155" s="17">
        <f t="shared" si="9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0"/>
        <v>21</v>
      </c>
      <c r="I156" s="16">
        <f t="shared" si="8"/>
        <v>9</v>
      </c>
      <c r="J156" s="17">
        <f t="shared" si="9"/>
        <v>0.7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 t="s">
        <v>1200</v>
      </c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0"/>
        <v>24</v>
      </c>
      <c r="I157" s="16">
        <f t="shared" si="8"/>
        <v>6</v>
      </c>
      <c r="J157" s="17">
        <f t="shared" si="9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0"/>
        <v>21</v>
      </c>
      <c r="I158" s="16">
        <f t="shared" si="8"/>
        <v>9</v>
      </c>
      <c r="J158" s="17">
        <f t="shared" si="9"/>
        <v>0.7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 t="s">
        <v>1200</v>
      </c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0"/>
        <v>28</v>
      </c>
      <c r="I159" s="16">
        <f t="shared" si="8"/>
        <v>2</v>
      </c>
      <c r="J159" s="17">
        <f t="shared" si="9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0"/>
        <v>30</v>
      </c>
      <c r="I160" s="16">
        <f t="shared" si="8"/>
        <v>0</v>
      </c>
      <c r="J160" s="17">
        <f t="shared" si="9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0"/>
        <v>30</v>
      </c>
      <c r="I161" s="16">
        <f t="shared" si="8"/>
        <v>0</v>
      </c>
      <c r="J161" s="17">
        <f t="shared" si="9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0"/>
        <v>25</v>
      </c>
      <c r="I162" s="16">
        <f t="shared" si="8"/>
        <v>5</v>
      </c>
      <c r="J162" s="17">
        <f t="shared" si="9"/>
        <v>0.83333333333333337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0"/>
        <v>21</v>
      </c>
      <c r="I163" s="16">
        <f t="shared" si="8"/>
        <v>9</v>
      </c>
      <c r="J163" s="17">
        <f t="shared" si="9"/>
        <v>0.7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 t="s">
        <v>1200</v>
      </c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0"/>
        <v>30</v>
      </c>
      <c r="I164" s="16">
        <f t="shared" si="8"/>
        <v>0</v>
      </c>
      <c r="J164" s="17">
        <f t="shared" si="9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0"/>
        <v>28</v>
      </c>
      <c r="I165" s="16">
        <f t="shared" si="8"/>
        <v>2</v>
      </c>
      <c r="J165" s="17">
        <f t="shared" si="9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0"/>
        <v>21</v>
      </c>
      <c r="I166" s="16">
        <f t="shared" si="8"/>
        <v>9</v>
      </c>
      <c r="J166" s="17">
        <f t="shared" si="9"/>
        <v>0.7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 t="s">
        <v>1200</v>
      </c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0"/>
        <v>30</v>
      </c>
      <c r="I167" s="16">
        <f t="shared" si="8"/>
        <v>0</v>
      </c>
      <c r="J167" s="17">
        <f t="shared" si="9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0"/>
        <v>30</v>
      </c>
      <c r="I168" s="16">
        <f t="shared" si="8"/>
        <v>0</v>
      </c>
      <c r="J168" s="17">
        <f t="shared" si="9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0"/>
        <v>30</v>
      </c>
      <c r="I169" s="16">
        <f t="shared" si="8"/>
        <v>0</v>
      </c>
      <c r="J169" s="17">
        <f t="shared" si="9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0"/>
        <v>30</v>
      </c>
      <c r="I170" s="16">
        <f t="shared" si="8"/>
        <v>0</v>
      </c>
      <c r="J170" s="17">
        <f t="shared" si="9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0"/>
        <v>30</v>
      </c>
      <c r="I171" s="16">
        <f t="shared" si="8"/>
        <v>0</v>
      </c>
      <c r="J171" s="17">
        <f t="shared" si="9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0"/>
        <v>30</v>
      </c>
      <c r="I172" s="16">
        <f t="shared" si="8"/>
        <v>0</v>
      </c>
      <c r="J172" s="17">
        <f t="shared" si="9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0"/>
        <v>30</v>
      </c>
      <c r="I173" s="16">
        <f t="shared" si="8"/>
        <v>0</v>
      </c>
      <c r="J173" s="17">
        <f t="shared" si="9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0"/>
        <v>28</v>
      </c>
      <c r="I174" s="16">
        <f t="shared" si="8"/>
        <v>2</v>
      </c>
      <c r="J174" s="17">
        <f t="shared" si="9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0"/>
        <v>28</v>
      </c>
      <c r="I175" s="16">
        <f t="shared" si="8"/>
        <v>2</v>
      </c>
      <c r="J175" s="17">
        <f t="shared" si="9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0"/>
        <v>30</v>
      </c>
      <c r="I176" s="16">
        <f t="shared" si="8"/>
        <v>0</v>
      </c>
      <c r="J176" s="17">
        <f t="shared" si="9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0"/>
        <v>29</v>
      </c>
      <c r="I177" s="16">
        <f t="shared" si="8"/>
        <v>1</v>
      </c>
      <c r="J177" s="17">
        <f t="shared" si="9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0"/>
        <v>30</v>
      </c>
      <c r="I178" s="16">
        <f t="shared" si="8"/>
        <v>0</v>
      </c>
      <c r="J178" s="17">
        <f t="shared" si="9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0"/>
        <v>28</v>
      </c>
      <c r="I179" s="16">
        <f t="shared" si="8"/>
        <v>2</v>
      </c>
      <c r="J179" s="17">
        <f t="shared" si="9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0"/>
        <v>30</v>
      </c>
      <c r="I180" s="16">
        <f t="shared" si="8"/>
        <v>0</v>
      </c>
      <c r="J180" s="17">
        <f t="shared" si="9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0"/>
        <v>30</v>
      </c>
      <c r="I181" s="16">
        <f t="shared" si="8"/>
        <v>0</v>
      </c>
      <c r="J181" s="17">
        <f t="shared" si="9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0"/>
        <v>28</v>
      </c>
      <c r="I182" s="16">
        <f t="shared" si="8"/>
        <v>2</v>
      </c>
      <c r="J182" s="17">
        <f t="shared" si="9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0"/>
        <v>28</v>
      </c>
      <c r="I183" s="16">
        <f t="shared" si="8"/>
        <v>2</v>
      </c>
      <c r="J183" s="17">
        <f t="shared" si="9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0"/>
        <v>30</v>
      </c>
      <c r="I184" s="16">
        <f t="shared" si="8"/>
        <v>0</v>
      </c>
      <c r="J184" s="17">
        <f t="shared" si="9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0"/>
        <v>28</v>
      </c>
      <c r="I185" s="16">
        <f t="shared" si="8"/>
        <v>2</v>
      </c>
      <c r="J185" s="17">
        <f t="shared" si="9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0"/>
        <v>28</v>
      </c>
      <c r="I186" s="16">
        <f t="shared" si="8"/>
        <v>2</v>
      </c>
      <c r="J186" s="17">
        <f t="shared" si="9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0"/>
        <v>28</v>
      </c>
      <c r="I187" s="16">
        <f t="shared" si="8"/>
        <v>2</v>
      </c>
      <c r="J187" s="17">
        <f t="shared" si="9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0"/>
        <v>28</v>
      </c>
      <c r="I188" s="16">
        <f t="shared" si="8"/>
        <v>2</v>
      </c>
      <c r="J188" s="17">
        <f t="shared" si="9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0"/>
        <v>30</v>
      </c>
      <c r="I189" s="16">
        <f t="shared" si="8"/>
        <v>0</v>
      </c>
      <c r="J189" s="17">
        <f t="shared" si="9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0"/>
        <v>30</v>
      </c>
      <c r="I190" s="16">
        <f t="shared" si="8"/>
        <v>0</v>
      </c>
      <c r="J190" s="17">
        <f t="shared" si="9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0"/>
        <v>29</v>
      </c>
      <c r="I191" s="16">
        <f t="shared" si="8"/>
        <v>1</v>
      </c>
      <c r="J191" s="17">
        <f t="shared" si="9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0"/>
        <v>30</v>
      </c>
      <c r="I192" s="16">
        <f t="shared" si="8"/>
        <v>0</v>
      </c>
      <c r="J192" s="17">
        <f t="shared" si="9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0"/>
        <v>30</v>
      </c>
      <c r="I193" s="16">
        <f t="shared" si="8"/>
        <v>0</v>
      </c>
      <c r="J193" s="17">
        <f t="shared" si="9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0"/>
        <v>30</v>
      </c>
      <c r="I194" s="16">
        <f t="shared" si="8"/>
        <v>0</v>
      </c>
      <c r="J194" s="17">
        <f t="shared" si="9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0"/>
        <v>30</v>
      </c>
      <c r="I195" s="16">
        <f t="shared" si="8"/>
        <v>0</v>
      </c>
      <c r="J195" s="17">
        <f t="shared" si="9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0"/>
        <v>30</v>
      </c>
      <c r="I196" s="16">
        <f t="shared" si="8"/>
        <v>0</v>
      </c>
      <c r="J196" s="17">
        <f t="shared" si="9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0"/>
        <v>30</v>
      </c>
      <c r="I197" s="16">
        <f t="shared" ref="I197:I262" si="11">COUNTIF(K197:AL197,"APAGADO")</f>
        <v>0</v>
      </c>
      <c r="J197" s="17">
        <f t="shared" ref="J197:J262" si="12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3">COUNTIF(K198:AN198,"")</f>
        <v>30</v>
      </c>
      <c r="I198" s="16">
        <f t="shared" si="11"/>
        <v>0</v>
      </c>
      <c r="J198" s="17">
        <f t="shared" si="12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3"/>
        <v>30</v>
      </c>
      <c r="I199" s="16">
        <f t="shared" si="11"/>
        <v>0</v>
      </c>
      <c r="J199" s="17">
        <f t="shared" si="12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3"/>
        <v>30</v>
      </c>
      <c r="I200" s="16">
        <f t="shared" si="11"/>
        <v>0</v>
      </c>
      <c r="J200" s="17">
        <f t="shared" si="12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3"/>
        <v>30</v>
      </c>
      <c r="I201" s="16">
        <f t="shared" si="11"/>
        <v>0</v>
      </c>
      <c r="J201" s="17">
        <f t="shared" si="12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3"/>
        <v>30</v>
      </c>
      <c r="I202" s="16">
        <f t="shared" si="11"/>
        <v>0</v>
      </c>
      <c r="J202" s="17">
        <f t="shared" si="12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3"/>
        <v>30</v>
      </c>
      <c r="I203" s="16">
        <f t="shared" si="11"/>
        <v>0</v>
      </c>
      <c r="J203" s="17">
        <f t="shared" si="1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3"/>
        <v>30</v>
      </c>
      <c r="I204" s="16">
        <f t="shared" si="11"/>
        <v>0</v>
      </c>
      <c r="J204" s="17">
        <f t="shared" si="1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3"/>
        <v>30</v>
      </c>
      <c r="I205" s="16">
        <f t="shared" si="11"/>
        <v>0</v>
      </c>
      <c r="J205" s="17">
        <f t="shared" si="1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3"/>
        <v>30</v>
      </c>
      <c r="I206" s="16">
        <f t="shared" si="11"/>
        <v>0</v>
      </c>
      <c r="J206" s="17">
        <f t="shared" si="1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3"/>
        <v>30</v>
      </c>
      <c r="I207" s="16">
        <f t="shared" si="11"/>
        <v>0</v>
      </c>
      <c r="J207" s="17">
        <f t="shared" si="12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3"/>
        <v>29</v>
      </c>
      <c r="I208" s="16">
        <f t="shared" si="11"/>
        <v>1</v>
      </c>
      <c r="J208" s="17">
        <f t="shared" si="12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1200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3"/>
        <v>29</v>
      </c>
      <c r="I209" s="16">
        <f t="shared" si="11"/>
        <v>1</v>
      </c>
      <c r="J209" s="17">
        <f t="shared" si="12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1200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3"/>
        <v>21</v>
      </c>
      <c r="I210" s="16">
        <f t="shared" si="11"/>
        <v>9</v>
      </c>
      <c r="J210" s="17">
        <f t="shared" si="12"/>
        <v>0.7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 t="s">
        <v>1200</v>
      </c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3"/>
        <v>30</v>
      </c>
      <c r="I211" s="16">
        <f t="shared" si="11"/>
        <v>0</v>
      </c>
      <c r="J211" s="17">
        <f t="shared" si="12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3"/>
        <v>30</v>
      </c>
      <c r="I212" s="16">
        <f t="shared" si="11"/>
        <v>0</v>
      </c>
      <c r="J212" s="17">
        <f t="shared" si="12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3"/>
        <v>28</v>
      </c>
      <c r="I213" s="16">
        <f t="shared" si="11"/>
        <v>2</v>
      </c>
      <c r="J213" s="17">
        <f t="shared" si="12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3"/>
        <v>30</v>
      </c>
      <c r="I214" s="16">
        <f t="shared" si="11"/>
        <v>0</v>
      </c>
      <c r="J214" s="17">
        <f t="shared" si="12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3"/>
        <v>29</v>
      </c>
      <c r="I215" s="16">
        <f t="shared" si="11"/>
        <v>1</v>
      </c>
      <c r="J215" s="17">
        <f t="shared" si="12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1200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3"/>
        <v>21</v>
      </c>
      <c r="I216" s="16">
        <f t="shared" si="11"/>
        <v>9</v>
      </c>
      <c r="J216" s="17">
        <f t="shared" si="12"/>
        <v>0.7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 t="s">
        <v>1200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3"/>
        <v>22</v>
      </c>
      <c r="I217" s="16">
        <f t="shared" si="11"/>
        <v>8</v>
      </c>
      <c r="J217" s="17">
        <f t="shared" si="12"/>
        <v>0.73333333333333328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 t="s">
        <v>1200</v>
      </c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3"/>
        <v>30</v>
      </c>
      <c r="I218" s="16">
        <f t="shared" si="11"/>
        <v>0</v>
      </c>
      <c r="J218" s="17">
        <f t="shared" si="12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3"/>
        <v>30</v>
      </c>
      <c r="I219" s="16">
        <f t="shared" si="11"/>
        <v>0</v>
      </c>
      <c r="J219" s="17">
        <f t="shared" si="12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3"/>
        <v>30</v>
      </c>
      <c r="I220" s="16">
        <f t="shared" si="11"/>
        <v>0</v>
      </c>
      <c r="J220" s="17">
        <f t="shared" si="12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3"/>
        <v>30</v>
      </c>
      <c r="I221" s="16">
        <f t="shared" si="11"/>
        <v>0</v>
      </c>
      <c r="J221" s="17">
        <f t="shared" si="12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3"/>
        <v>29</v>
      </c>
      <c r="I222" s="16">
        <f t="shared" si="11"/>
        <v>1</v>
      </c>
      <c r="J222" s="17">
        <f t="shared" si="12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 t="s">
        <v>1200</v>
      </c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3"/>
        <v>30</v>
      </c>
      <c r="I223" s="16">
        <f t="shared" si="11"/>
        <v>0</v>
      </c>
      <c r="J223" s="17">
        <f t="shared" si="12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3"/>
        <v>30</v>
      </c>
      <c r="I224" s="16">
        <f t="shared" si="11"/>
        <v>0</v>
      </c>
      <c r="J224" s="17">
        <f t="shared" si="12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3"/>
        <v>29</v>
      </c>
      <c r="I225" s="16">
        <f t="shared" si="11"/>
        <v>1</v>
      </c>
      <c r="J225" s="17">
        <f t="shared" si="12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1200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3"/>
        <v>30</v>
      </c>
      <c r="I226" s="16">
        <f t="shared" si="11"/>
        <v>0</v>
      </c>
      <c r="J226" s="17">
        <f t="shared" si="12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3"/>
        <v>30</v>
      </c>
      <c r="I227" s="16">
        <f t="shared" si="11"/>
        <v>0</v>
      </c>
      <c r="J227" s="17">
        <f t="shared" si="12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3"/>
        <v>30</v>
      </c>
      <c r="I228" s="16">
        <f t="shared" si="11"/>
        <v>0</v>
      </c>
      <c r="J228" s="17">
        <f t="shared" si="12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3"/>
        <v>30</v>
      </c>
      <c r="I229" s="16">
        <f t="shared" si="11"/>
        <v>0</v>
      </c>
      <c r="J229" s="17">
        <f t="shared" si="12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3"/>
        <v>30</v>
      </c>
      <c r="I230" s="16">
        <f t="shared" si="11"/>
        <v>0</v>
      </c>
      <c r="J230" s="17">
        <f t="shared" si="12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3"/>
        <v>30</v>
      </c>
      <c r="I231" s="16">
        <f t="shared" si="11"/>
        <v>0</v>
      </c>
      <c r="J231" s="17">
        <f t="shared" si="12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3"/>
        <v>28</v>
      </c>
      <c r="I232" s="16">
        <f t="shared" si="11"/>
        <v>2</v>
      </c>
      <c r="J232" s="17">
        <f t="shared" si="12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3"/>
        <v>30</v>
      </c>
      <c r="I233" s="16">
        <f t="shared" si="11"/>
        <v>0</v>
      </c>
      <c r="J233" s="17">
        <f t="shared" si="12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3"/>
        <v>30</v>
      </c>
      <c r="I234" s="16">
        <f t="shared" si="11"/>
        <v>0</v>
      </c>
      <c r="J234" s="17">
        <f t="shared" si="12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3"/>
        <v>30</v>
      </c>
      <c r="I235" s="16">
        <f t="shared" si="11"/>
        <v>0</v>
      </c>
      <c r="J235" s="17">
        <f t="shared" si="12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3"/>
        <v>30</v>
      </c>
      <c r="I236" s="16">
        <f t="shared" si="11"/>
        <v>0</v>
      </c>
      <c r="J236" s="17">
        <f t="shared" si="12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3"/>
        <v>30</v>
      </c>
      <c r="I237" s="16">
        <f t="shared" si="11"/>
        <v>0</v>
      </c>
      <c r="J237" s="17">
        <f t="shared" si="12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3"/>
        <v>30</v>
      </c>
      <c r="I238" s="16">
        <f t="shared" si="11"/>
        <v>0</v>
      </c>
      <c r="J238" s="17">
        <f t="shared" si="12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3"/>
        <v>30</v>
      </c>
      <c r="I239" s="16">
        <f t="shared" si="11"/>
        <v>0</v>
      </c>
      <c r="J239" s="17">
        <f t="shared" si="12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3"/>
        <v>30</v>
      </c>
      <c r="I240" s="16">
        <f t="shared" si="11"/>
        <v>0</v>
      </c>
      <c r="J240" s="17">
        <f t="shared" si="12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3"/>
        <v>28</v>
      </c>
      <c r="I241" s="16">
        <f t="shared" si="11"/>
        <v>2</v>
      </c>
      <c r="J241" s="17">
        <f t="shared" si="12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3"/>
        <v>30</v>
      </c>
      <c r="I242" s="16">
        <f t="shared" si="11"/>
        <v>0</v>
      </c>
      <c r="J242" s="17">
        <f t="shared" si="12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3"/>
        <v>30</v>
      </c>
      <c r="I243" s="16">
        <f t="shared" si="11"/>
        <v>0</v>
      </c>
      <c r="J243" s="17">
        <f t="shared" si="12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3"/>
        <v>24</v>
      </c>
      <c r="I244" s="16">
        <f t="shared" si="11"/>
        <v>6</v>
      </c>
      <c r="J244" s="17">
        <f t="shared" si="12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3"/>
        <v>24</v>
      </c>
      <c r="I245" s="16">
        <f t="shared" si="11"/>
        <v>6</v>
      </c>
      <c r="J245" s="17">
        <f t="shared" si="12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3"/>
        <v>30</v>
      </c>
      <c r="I246" s="16">
        <f t="shared" si="11"/>
        <v>0</v>
      </c>
      <c r="J246" s="17">
        <f t="shared" si="12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3"/>
        <v>30</v>
      </c>
      <c r="I247" s="16">
        <f t="shared" si="11"/>
        <v>0</v>
      </c>
      <c r="J247" s="17">
        <f t="shared" si="12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3"/>
        <v>30</v>
      </c>
      <c r="I248" s="16">
        <f t="shared" si="11"/>
        <v>0</v>
      </c>
      <c r="J248" s="17">
        <f t="shared" si="12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3"/>
        <v>27</v>
      </c>
      <c r="I249" s="16">
        <f t="shared" si="11"/>
        <v>3</v>
      </c>
      <c r="J249" s="17">
        <f t="shared" si="12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3"/>
        <v>30</v>
      </c>
      <c r="I250" s="16">
        <f t="shared" si="11"/>
        <v>0</v>
      </c>
      <c r="J250" s="17">
        <f t="shared" si="12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3"/>
        <v>30</v>
      </c>
      <c r="I251" s="16">
        <f t="shared" si="11"/>
        <v>0</v>
      </c>
      <c r="J251" s="17">
        <f t="shared" si="12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3"/>
        <v>28</v>
      </c>
      <c r="I252" s="16">
        <f t="shared" si="11"/>
        <v>2</v>
      </c>
      <c r="J252" s="17">
        <f t="shared" si="12"/>
        <v>0.93333333333333335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 t="s">
        <v>1200</v>
      </c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3"/>
        <v>27</v>
      </c>
      <c r="I253" s="16">
        <f t="shared" si="11"/>
        <v>3</v>
      </c>
      <c r="J253" s="17">
        <f t="shared" si="12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3"/>
        <v>23</v>
      </c>
      <c r="I254" s="16">
        <f t="shared" si="11"/>
        <v>7</v>
      </c>
      <c r="J254" s="17">
        <f t="shared" si="12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3"/>
        <v>23</v>
      </c>
      <c r="I255" s="16">
        <f t="shared" si="11"/>
        <v>7</v>
      </c>
      <c r="J255" s="17">
        <f t="shared" si="12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3"/>
        <v>30</v>
      </c>
      <c r="I256" s="16">
        <f t="shared" si="11"/>
        <v>0</v>
      </c>
      <c r="J256" s="17">
        <f t="shared" si="12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3"/>
        <v>30</v>
      </c>
      <c r="I257" s="16">
        <f t="shared" si="11"/>
        <v>0</v>
      </c>
      <c r="J257" s="17">
        <f t="shared" si="12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3"/>
        <v>29</v>
      </c>
      <c r="I258" s="16">
        <f t="shared" si="11"/>
        <v>1</v>
      </c>
      <c r="J258" s="17">
        <f t="shared" si="12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3"/>
        <v>29</v>
      </c>
      <c r="I259" s="16">
        <f t="shared" si="11"/>
        <v>1</v>
      </c>
      <c r="J259" s="17">
        <f t="shared" si="12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3"/>
        <v>29</v>
      </c>
      <c r="I260" s="16">
        <f t="shared" si="11"/>
        <v>1</v>
      </c>
      <c r="J260" s="17">
        <f t="shared" si="12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3"/>
        <v>29</v>
      </c>
      <c r="I261" s="16">
        <f t="shared" si="11"/>
        <v>1</v>
      </c>
      <c r="J261" s="17">
        <f t="shared" si="12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4">COUNTIF(K262:AN262,"")</f>
        <v>29</v>
      </c>
      <c r="I262" s="16">
        <f t="shared" si="11"/>
        <v>1</v>
      </c>
      <c r="J262" s="17">
        <f t="shared" si="12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4"/>
        <v>27</v>
      </c>
      <c r="I263" s="16">
        <f t="shared" ref="I263:I327" si="15">COUNTIF(K263:AL263,"APAGADO")</f>
        <v>3</v>
      </c>
      <c r="J263" s="17">
        <f t="shared" ref="J263:J327" si="16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4"/>
        <v>30</v>
      </c>
      <c r="I264" s="16">
        <f t="shared" si="15"/>
        <v>0</v>
      </c>
      <c r="J264" s="17">
        <f t="shared" si="16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4"/>
        <v>29</v>
      </c>
      <c r="I265" s="16">
        <f t="shared" si="15"/>
        <v>1</v>
      </c>
      <c r="J265" s="17">
        <f t="shared" si="16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4"/>
        <v>29</v>
      </c>
      <c r="I266" s="16">
        <f t="shared" si="15"/>
        <v>1</v>
      </c>
      <c r="J266" s="17">
        <f t="shared" si="16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4"/>
        <v>29</v>
      </c>
      <c r="I267" s="16">
        <f t="shared" si="15"/>
        <v>1</v>
      </c>
      <c r="J267" s="17">
        <f t="shared" si="16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4"/>
        <v>29</v>
      </c>
      <c r="I268" s="16">
        <f t="shared" si="15"/>
        <v>1</v>
      </c>
      <c r="J268" s="17">
        <f t="shared" si="16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4"/>
        <v>29</v>
      </c>
      <c r="I269" s="16">
        <f t="shared" si="15"/>
        <v>1</v>
      </c>
      <c r="J269" s="17">
        <f t="shared" si="16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4"/>
        <v>29</v>
      </c>
      <c r="I270" s="16">
        <f t="shared" si="15"/>
        <v>1</v>
      </c>
      <c r="J270" s="17">
        <f t="shared" si="16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4"/>
        <v>28</v>
      </c>
      <c r="I271" s="16">
        <f t="shared" si="15"/>
        <v>2</v>
      </c>
      <c r="J271" s="17">
        <f t="shared" si="16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4"/>
        <v>28</v>
      </c>
      <c r="I272" s="16">
        <f t="shared" si="15"/>
        <v>2</v>
      </c>
      <c r="J272" s="17">
        <f t="shared" si="16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4"/>
        <v>30</v>
      </c>
      <c r="I273" s="16">
        <f t="shared" si="15"/>
        <v>0</v>
      </c>
      <c r="J273" s="17">
        <f t="shared" si="16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4"/>
        <v>30</v>
      </c>
      <c r="I274" s="16">
        <f t="shared" si="15"/>
        <v>0</v>
      </c>
      <c r="J274" s="17">
        <f t="shared" si="16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4"/>
        <v>30</v>
      </c>
      <c r="I275" s="16">
        <f t="shared" si="15"/>
        <v>0</v>
      </c>
      <c r="J275" s="17">
        <f t="shared" si="16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4"/>
        <v>28</v>
      </c>
      <c r="I276" s="16">
        <f t="shared" si="15"/>
        <v>2</v>
      </c>
      <c r="J276" s="17">
        <f t="shared" si="16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4"/>
        <v>29</v>
      </c>
      <c r="I277" s="16">
        <f t="shared" si="15"/>
        <v>1</v>
      </c>
      <c r="J277" s="17">
        <f t="shared" si="16"/>
        <v>0.96666666666666667</v>
      </c>
      <c r="K277" s="26"/>
      <c r="L277" s="8"/>
      <c r="M277" s="8"/>
      <c r="N277" s="8"/>
      <c r="O277" s="26"/>
      <c r="P277" s="26"/>
      <c r="Q277" s="8"/>
      <c r="R277" s="8"/>
      <c r="S277" s="8" t="s">
        <v>1200</v>
      </c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4"/>
        <v>29</v>
      </c>
      <c r="I278" s="16">
        <f t="shared" si="15"/>
        <v>1</v>
      </c>
      <c r="J278" s="17">
        <f t="shared" si="16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 t="s">
        <v>1200</v>
      </c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4"/>
        <v>29</v>
      </c>
      <c r="I279" s="16">
        <f t="shared" si="15"/>
        <v>1</v>
      </c>
      <c r="J279" s="17">
        <f t="shared" si="16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 t="s">
        <v>1200</v>
      </c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4"/>
        <v>29</v>
      </c>
      <c r="I280" s="16">
        <f t="shared" si="15"/>
        <v>1</v>
      </c>
      <c r="J280" s="17">
        <f t="shared" si="16"/>
        <v>0.96666666666666667</v>
      </c>
      <c r="K280" s="26"/>
      <c r="L280" s="8"/>
      <c r="M280" s="8"/>
      <c r="N280" s="8"/>
      <c r="O280" s="26"/>
      <c r="P280" s="26"/>
      <c r="Q280" s="8"/>
      <c r="R280" s="8"/>
      <c r="S280" s="8" t="s">
        <v>1200</v>
      </c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4"/>
        <v>28</v>
      </c>
      <c r="I281" s="16">
        <f t="shared" si="15"/>
        <v>2</v>
      </c>
      <c r="J281" s="17">
        <f t="shared" si="16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4"/>
        <v>30</v>
      </c>
      <c r="I282" s="16">
        <f t="shared" si="15"/>
        <v>0</v>
      </c>
      <c r="J282" s="17">
        <f t="shared" si="16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4"/>
        <v>30</v>
      </c>
      <c r="I283" s="16">
        <f t="shared" si="15"/>
        <v>0</v>
      </c>
      <c r="J283" s="17">
        <f t="shared" si="16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4"/>
        <v>30</v>
      </c>
      <c r="I284" s="16">
        <f t="shared" si="15"/>
        <v>0</v>
      </c>
      <c r="J284" s="17">
        <f t="shared" si="16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4"/>
        <v>30</v>
      </c>
      <c r="I285" s="16">
        <f t="shared" si="15"/>
        <v>0</v>
      </c>
      <c r="J285" s="17">
        <f t="shared" si="16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4"/>
        <v>30</v>
      </c>
      <c r="I286" s="16">
        <f t="shared" si="15"/>
        <v>0</v>
      </c>
      <c r="J286" s="17">
        <f t="shared" si="16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4"/>
        <v>30</v>
      </c>
      <c r="I287" s="16">
        <f t="shared" si="15"/>
        <v>0</v>
      </c>
      <c r="J287" s="17">
        <f t="shared" si="16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4"/>
        <v>30</v>
      </c>
      <c r="I288" s="16">
        <f t="shared" si="15"/>
        <v>0</v>
      </c>
      <c r="J288" s="17">
        <f t="shared" si="16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4"/>
        <v>24</v>
      </c>
      <c r="I289" s="16">
        <f t="shared" si="15"/>
        <v>6</v>
      </c>
      <c r="J289" s="17">
        <f t="shared" si="16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4"/>
        <v>24</v>
      </c>
      <c r="I290" s="16">
        <f t="shared" si="15"/>
        <v>6</v>
      </c>
      <c r="J290" s="17">
        <f t="shared" si="16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4"/>
        <v>24</v>
      </c>
      <c r="I291" s="16">
        <f t="shared" si="15"/>
        <v>6</v>
      </c>
      <c r="J291" s="17">
        <f t="shared" si="16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4"/>
        <v>24</v>
      </c>
      <c r="I292" s="16">
        <f t="shared" si="15"/>
        <v>6</v>
      </c>
      <c r="J292" s="17">
        <f t="shared" si="16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4"/>
        <v>30</v>
      </c>
      <c r="I293" s="16">
        <f t="shared" si="15"/>
        <v>0</v>
      </c>
      <c r="J293" s="17">
        <f t="shared" si="16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4"/>
        <v>28</v>
      </c>
      <c r="I294" s="16">
        <f t="shared" si="15"/>
        <v>2</v>
      </c>
      <c r="J294" s="17">
        <f t="shared" si="16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4"/>
        <v>30</v>
      </c>
      <c r="I295" s="16">
        <f t="shared" si="15"/>
        <v>0</v>
      </c>
      <c r="J295" s="17">
        <f t="shared" si="16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4"/>
        <v>30</v>
      </c>
      <c r="I296" s="16">
        <f t="shared" si="15"/>
        <v>0</v>
      </c>
      <c r="J296" s="17">
        <f t="shared" si="16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4"/>
        <v>30</v>
      </c>
      <c r="I297" s="16">
        <f t="shared" si="15"/>
        <v>0</v>
      </c>
      <c r="J297" s="17">
        <f t="shared" si="16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4"/>
        <v>29</v>
      </c>
      <c r="I298" s="16">
        <f t="shared" si="15"/>
        <v>1</v>
      </c>
      <c r="J298" s="17">
        <f t="shared" si="16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1200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4"/>
        <v>29</v>
      </c>
      <c r="I299" s="16">
        <f t="shared" si="15"/>
        <v>1</v>
      </c>
      <c r="J299" s="17">
        <f t="shared" si="16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1200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4"/>
        <v>29</v>
      </c>
      <c r="I300" s="16">
        <f t="shared" si="15"/>
        <v>1</v>
      </c>
      <c r="J300" s="17">
        <f t="shared" si="16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4"/>
        <v>30</v>
      </c>
      <c r="I301" s="16">
        <f t="shared" si="15"/>
        <v>0</v>
      </c>
      <c r="J301" s="17">
        <f t="shared" si="16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4"/>
        <v>30</v>
      </c>
      <c r="I302" s="16">
        <f t="shared" si="15"/>
        <v>0</v>
      </c>
      <c r="J302" s="17">
        <f t="shared" si="16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4"/>
        <v>28</v>
      </c>
      <c r="I303" s="16">
        <f t="shared" si="15"/>
        <v>2</v>
      </c>
      <c r="J303" s="17">
        <f t="shared" si="16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4"/>
        <v>28</v>
      </c>
      <c r="I304" s="16">
        <f t="shared" si="15"/>
        <v>2</v>
      </c>
      <c r="J304" s="17">
        <f t="shared" si="16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4"/>
        <v>28</v>
      </c>
      <c r="I305" s="16">
        <f t="shared" si="15"/>
        <v>2</v>
      </c>
      <c r="J305" s="17">
        <f t="shared" si="16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4"/>
        <v>30</v>
      </c>
      <c r="I306" s="16">
        <f t="shared" si="15"/>
        <v>0</v>
      </c>
      <c r="J306" s="17">
        <f t="shared" si="16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4"/>
        <v>30</v>
      </c>
      <c r="I307" s="16">
        <f t="shared" si="15"/>
        <v>0</v>
      </c>
      <c r="J307" s="17">
        <f t="shared" si="16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4"/>
        <v>30</v>
      </c>
      <c r="I308" s="16">
        <f t="shared" si="15"/>
        <v>0</v>
      </c>
      <c r="J308" s="17">
        <f t="shared" si="16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4"/>
        <v>30</v>
      </c>
      <c r="I309" s="16">
        <f t="shared" si="15"/>
        <v>0</v>
      </c>
      <c r="J309" s="17">
        <f t="shared" si="16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4"/>
        <v>30</v>
      </c>
      <c r="I310" s="16">
        <f t="shared" si="15"/>
        <v>0</v>
      </c>
      <c r="J310" s="17">
        <f t="shared" si="16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4"/>
        <v>30</v>
      </c>
      <c r="I311" s="16">
        <f t="shared" si="15"/>
        <v>0</v>
      </c>
      <c r="J311" s="17">
        <f t="shared" si="16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4"/>
        <v>30</v>
      </c>
      <c r="I312" s="16">
        <f t="shared" si="15"/>
        <v>0</v>
      </c>
      <c r="J312" s="17">
        <f t="shared" si="16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4"/>
        <v>30</v>
      </c>
      <c r="I313" s="16">
        <f t="shared" si="15"/>
        <v>0</v>
      </c>
      <c r="J313" s="17">
        <f t="shared" si="16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t="s">
        <v>364</v>
      </c>
      <c r="B314" s="44" t="s">
        <v>1205</v>
      </c>
      <c r="C314" s="51" t="s">
        <v>1161</v>
      </c>
      <c r="D314" t="s">
        <v>1204</v>
      </c>
      <c r="E314" s="50" t="s">
        <v>15</v>
      </c>
      <c r="F314" s="50" t="s">
        <v>28</v>
      </c>
      <c r="G314" s="50" t="s">
        <v>1206</v>
      </c>
      <c r="H314" s="52">
        <f t="shared" ref="H314" si="17">COUNTIF(K314:AN314,"")</f>
        <v>30</v>
      </c>
      <c r="I314" s="52">
        <f t="shared" ref="I314" si="18">COUNTIF(K314:AL314,"APAGADO")</f>
        <v>0</v>
      </c>
      <c r="J314" s="53">
        <f t="shared" ref="J314" si="19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" thickBot="1" x14ac:dyDescent="0.35">
      <c r="A315" s="50" t="s">
        <v>267</v>
      </c>
      <c r="B315" s="50" t="s">
        <v>1127</v>
      </c>
      <c r="C315" s="50" t="s">
        <v>1160</v>
      </c>
      <c r="D315" s="50" t="s">
        <v>504</v>
      </c>
      <c r="E315" s="50" t="s">
        <v>19</v>
      </c>
      <c r="F315" s="50" t="s">
        <v>1153</v>
      </c>
      <c r="G315" s="50" t="s">
        <v>908</v>
      </c>
      <c r="H315" s="52">
        <f t="shared" si="14"/>
        <v>30</v>
      </c>
      <c r="I315" s="16">
        <f t="shared" si="15"/>
        <v>0</v>
      </c>
      <c r="J315" s="17">
        <f t="shared" si="16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487</v>
      </c>
      <c r="C316" s="50" t="s">
        <v>1160</v>
      </c>
      <c r="D316" s="50" t="s">
        <v>488</v>
      </c>
      <c r="E316" s="50" t="s">
        <v>19</v>
      </c>
      <c r="F316" s="50" t="s">
        <v>1153</v>
      </c>
      <c r="G316" s="50" t="s">
        <v>900</v>
      </c>
      <c r="H316" s="52">
        <f t="shared" si="14"/>
        <v>30</v>
      </c>
      <c r="I316" s="16">
        <f t="shared" si="15"/>
        <v>0</v>
      </c>
      <c r="J316" s="17">
        <f t="shared" si="16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486</v>
      </c>
      <c r="B317" s="50" t="s">
        <v>489</v>
      </c>
      <c r="C317" s="50" t="s">
        <v>1160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4"/>
        <v>28</v>
      </c>
      <c r="I317" s="16">
        <f t="shared" si="15"/>
        <v>2</v>
      </c>
      <c r="J317" s="17">
        <f t="shared" si="16"/>
        <v>0.93333333333333335</v>
      </c>
      <c r="K317" s="26"/>
      <c r="L317" s="8"/>
      <c r="M317" s="8" t="s">
        <v>1200</v>
      </c>
      <c r="N317" s="8" t="s">
        <v>1200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491</v>
      </c>
      <c r="B318" s="50" t="s">
        <v>492</v>
      </c>
      <c r="C318" s="50" t="s">
        <v>1160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4"/>
        <v>30</v>
      </c>
      <c r="I318" s="16">
        <f t="shared" si="15"/>
        <v>0</v>
      </c>
      <c r="J318" s="17">
        <f t="shared" si="16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494</v>
      </c>
      <c r="C319" s="50" t="s">
        <v>1160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4"/>
        <v>30</v>
      </c>
      <c r="I319" s="16">
        <f t="shared" si="15"/>
        <v>0</v>
      </c>
      <c r="J319" s="17">
        <f t="shared" si="16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496</v>
      </c>
      <c r="C320" s="50" t="s">
        <v>1160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4"/>
        <v>30</v>
      </c>
      <c r="I320" s="16">
        <f t="shared" si="15"/>
        <v>0</v>
      </c>
      <c r="J320" s="17">
        <f t="shared" si="16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498</v>
      </c>
      <c r="C321" s="50" t="s">
        <v>1160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4"/>
        <v>30</v>
      </c>
      <c r="I321" s="16">
        <f t="shared" si="15"/>
        <v>0</v>
      </c>
      <c r="J321" s="17">
        <f t="shared" si="16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500</v>
      </c>
      <c r="C322" s="50" t="s">
        <v>1160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4"/>
        <v>30</v>
      </c>
      <c r="I322" s="16">
        <f t="shared" si="15"/>
        <v>0</v>
      </c>
      <c r="J322" s="17">
        <f t="shared" si="16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502</v>
      </c>
      <c r="C323" s="50" t="s">
        <v>1160</v>
      </c>
      <c r="D323" s="50" t="s">
        <v>503</v>
      </c>
      <c r="E323" s="50" t="s">
        <v>19</v>
      </c>
      <c r="F323" s="50" t="s">
        <v>1153</v>
      </c>
      <c r="G323" s="50" t="s">
        <v>907</v>
      </c>
      <c r="H323" s="52">
        <f t="shared" si="14"/>
        <v>30</v>
      </c>
      <c r="I323" s="16">
        <f t="shared" si="15"/>
        <v>0</v>
      </c>
      <c r="J323" s="17">
        <f t="shared" si="16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505</v>
      </c>
      <c r="C324" s="50" t="s">
        <v>1161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4"/>
        <v>30</v>
      </c>
      <c r="I324" s="16">
        <f t="shared" si="15"/>
        <v>0</v>
      </c>
      <c r="J324" s="17">
        <f t="shared" si="16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507</v>
      </c>
      <c r="C325" s="50" t="s">
        <v>1161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4"/>
        <v>25</v>
      </c>
      <c r="I325" s="16">
        <f t="shared" si="15"/>
        <v>5</v>
      </c>
      <c r="J325" s="17">
        <f t="shared" si="16"/>
        <v>0.83333333333333337</v>
      </c>
      <c r="K325" s="26" t="s">
        <v>1200</v>
      </c>
      <c r="L325" s="8"/>
      <c r="M325" s="8" t="s">
        <v>1200</v>
      </c>
      <c r="N325" s="8" t="s">
        <v>1200</v>
      </c>
      <c r="O325" s="26" t="s">
        <v>1200</v>
      </c>
      <c r="P325" s="26"/>
      <c r="Q325" s="8" t="s">
        <v>1200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1128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916</v>
      </c>
      <c r="H326" s="52">
        <f t="shared" si="14"/>
        <v>30</v>
      </c>
      <c r="I326" s="16">
        <f t="shared" si="15"/>
        <v>0</v>
      </c>
      <c r="J326" s="17">
        <f t="shared" si="16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1129</v>
      </c>
      <c r="C327" s="50" t="s">
        <v>1161</v>
      </c>
      <c r="D327" s="50" t="s">
        <v>517</v>
      </c>
      <c r="E327" s="50" t="s">
        <v>73</v>
      </c>
      <c r="F327" s="50" t="s">
        <v>1152</v>
      </c>
      <c r="G327" s="50" t="s">
        <v>917</v>
      </c>
      <c r="H327" s="52">
        <f t="shared" ref="H327:H383" si="20">COUNTIF(K327:AN327,"")</f>
        <v>30</v>
      </c>
      <c r="I327" s="16">
        <f t="shared" si="15"/>
        <v>0</v>
      </c>
      <c r="J327" s="17">
        <f t="shared" si="16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509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0"/>
        <v>29</v>
      </c>
      <c r="I328" s="16">
        <f t="shared" ref="I328:I376" si="21">COUNTIF(K328:AL328,"APAGADO")</f>
        <v>1</v>
      </c>
      <c r="J328" s="17">
        <f t="shared" ref="J328:J376" si="22">(H328)/(I328+H328)</f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511</v>
      </c>
      <c r="C329" s="50" t="s">
        <v>1161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0"/>
        <v>29</v>
      </c>
      <c r="I329" s="16">
        <f t="shared" si="21"/>
        <v>1</v>
      </c>
      <c r="J329" s="17">
        <f t="shared" si="22"/>
        <v>0.96666666666666667</v>
      </c>
      <c r="K329" s="26" t="s">
        <v>1200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512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0"/>
        <v>30</v>
      </c>
      <c r="I330" s="16">
        <f t="shared" si="21"/>
        <v>0</v>
      </c>
      <c r="J330" s="17">
        <f t="shared" si="22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514</v>
      </c>
      <c r="C331" s="50" t="s">
        <v>1161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0"/>
        <v>30</v>
      </c>
      <c r="I331" s="16">
        <f t="shared" si="21"/>
        <v>0</v>
      </c>
      <c r="J331" s="17">
        <f t="shared" si="22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515</v>
      </c>
      <c r="C332" s="50" t="s">
        <v>1161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0"/>
        <v>30</v>
      </c>
      <c r="I332" s="16">
        <f t="shared" si="21"/>
        <v>0</v>
      </c>
      <c r="J332" s="17">
        <f t="shared" si="22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518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918</v>
      </c>
      <c r="H333" s="52">
        <f t="shared" si="20"/>
        <v>30</v>
      </c>
      <c r="I333" s="16">
        <f t="shared" si="21"/>
        <v>0</v>
      </c>
      <c r="J333" s="17">
        <f t="shared" si="22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232</v>
      </c>
      <c r="B334" s="50" t="s">
        <v>520</v>
      </c>
      <c r="C334" s="50" t="s">
        <v>1161</v>
      </c>
      <c r="D334" s="50" t="s">
        <v>519</v>
      </c>
      <c r="E334" s="50" t="s">
        <v>73</v>
      </c>
      <c r="F334" s="50" t="s">
        <v>1152</v>
      </c>
      <c r="G334" s="50" t="s">
        <v>919</v>
      </c>
      <c r="H334" s="52">
        <f t="shared" si="20"/>
        <v>30</v>
      </c>
      <c r="I334" s="16">
        <f t="shared" si="21"/>
        <v>0</v>
      </c>
      <c r="J334" s="17">
        <f t="shared" si="22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t="s">
        <v>232</v>
      </c>
      <c r="B335" s="44" t="s">
        <v>1194</v>
      </c>
      <c r="C335" s="51" t="s">
        <v>1161</v>
      </c>
      <c r="D335" t="s">
        <v>1195</v>
      </c>
      <c r="E335" s="9" t="s">
        <v>19</v>
      </c>
      <c r="F335" s="9" t="s">
        <v>28</v>
      </c>
      <c r="G335" s="50" t="s">
        <v>1196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t="s">
        <v>232</v>
      </c>
      <c r="B336" s="44" t="s">
        <v>1199</v>
      </c>
      <c r="C336" s="51" t="s">
        <v>1161</v>
      </c>
      <c r="D336" t="s">
        <v>1197</v>
      </c>
      <c r="E336" s="9" t="s">
        <v>19</v>
      </c>
      <c r="F336" s="9" t="s">
        <v>28</v>
      </c>
      <c r="G336" s="50" t="s">
        <v>1198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t="s">
        <v>232</v>
      </c>
      <c r="B337" s="44" t="s">
        <v>1201</v>
      </c>
      <c r="C337" s="51" t="s">
        <v>1161</v>
      </c>
      <c r="D337" t="s">
        <v>1202</v>
      </c>
      <c r="E337" s="9" t="s">
        <v>19</v>
      </c>
      <c r="F337" s="9" t="s">
        <v>28</v>
      </c>
      <c r="G337" s="50" t="s">
        <v>1203</v>
      </c>
      <c r="H337" s="52">
        <f t="shared" ref="H337" si="23">COUNTIF(K337:AN337,"")</f>
        <v>30</v>
      </c>
      <c r="I337" s="52">
        <f t="shared" ref="I337" si="24">COUNTIF(K337:AL337,"APAGADO")</f>
        <v>0</v>
      </c>
      <c r="J337" s="53">
        <f t="shared" ref="J337" si="25">(H337)/(I337+H337)</f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" thickBot="1" x14ac:dyDescent="0.35">
      <c r="A338" s="50" t="s">
        <v>522</v>
      </c>
      <c r="B338" s="50" t="s">
        <v>1130</v>
      </c>
      <c r="C338" s="50" t="s">
        <v>1161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0"/>
        <v>28</v>
      </c>
      <c r="I338" s="16">
        <f t="shared" si="21"/>
        <v>2</v>
      </c>
      <c r="J338" s="17">
        <f t="shared" si="22"/>
        <v>0.93333333333333335</v>
      </c>
      <c r="K338" s="26"/>
      <c r="L338" s="8"/>
      <c r="M338" s="8"/>
      <c r="N338" s="8" t="s">
        <v>1200</v>
      </c>
      <c r="O338" s="26" t="s">
        <v>1200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1131</v>
      </c>
      <c r="C339" s="50" t="s">
        <v>1161</v>
      </c>
      <c r="D339" s="50" t="s">
        <v>551</v>
      </c>
      <c r="E339" s="50" t="s">
        <v>15</v>
      </c>
      <c r="F339" s="50" t="s">
        <v>1152</v>
      </c>
      <c r="G339" s="50" t="s">
        <v>933</v>
      </c>
      <c r="H339" s="52">
        <f t="shared" si="20"/>
        <v>30</v>
      </c>
      <c r="I339" s="16">
        <f t="shared" si="21"/>
        <v>0</v>
      </c>
      <c r="J339" s="17">
        <f t="shared" si="22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524</v>
      </c>
      <c r="C340" s="50" t="s">
        <v>1161</v>
      </c>
      <c r="D340" s="50" t="s">
        <v>525</v>
      </c>
      <c r="E340" s="50" t="s">
        <v>15</v>
      </c>
      <c r="F340" s="50" t="s">
        <v>1153</v>
      </c>
      <c r="G340" s="50" t="s">
        <v>934</v>
      </c>
      <c r="H340" s="52">
        <f t="shared" si="20"/>
        <v>27</v>
      </c>
      <c r="I340" s="16">
        <f t="shared" si="21"/>
        <v>3</v>
      </c>
      <c r="J340" s="17">
        <f t="shared" si="22"/>
        <v>0.9</v>
      </c>
      <c r="K340" s="26"/>
      <c r="L340" s="8"/>
      <c r="M340" s="8" t="s">
        <v>1200</v>
      </c>
      <c r="N340" s="8" t="s">
        <v>1200</v>
      </c>
      <c r="O340" s="26" t="s">
        <v>1200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527</v>
      </c>
      <c r="C341" s="50" t="s">
        <v>1161</v>
      </c>
      <c r="D341" s="50" t="s">
        <v>528</v>
      </c>
      <c r="E341" s="50" t="s">
        <v>15</v>
      </c>
      <c r="F341" s="50" t="s">
        <v>1153</v>
      </c>
      <c r="G341" s="50" t="s">
        <v>935</v>
      </c>
      <c r="H341" s="52">
        <f t="shared" si="20"/>
        <v>28</v>
      </c>
      <c r="I341" s="16">
        <f t="shared" si="21"/>
        <v>2</v>
      </c>
      <c r="J341" s="17">
        <f t="shared" si="22"/>
        <v>0.93333333333333335</v>
      </c>
      <c r="K341" s="26"/>
      <c r="L341" s="8"/>
      <c r="M341" s="8" t="s">
        <v>1200</v>
      </c>
      <c r="N341" s="8" t="s">
        <v>1200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526</v>
      </c>
      <c r="B342" s="50" t="s">
        <v>529</v>
      </c>
      <c r="C342" s="50" t="s">
        <v>1161</v>
      </c>
      <c r="D342" s="50" t="s">
        <v>1189</v>
      </c>
      <c r="E342" s="50" t="s">
        <v>15</v>
      </c>
      <c r="F342" s="50" t="s">
        <v>1153</v>
      </c>
      <c r="G342" s="50" t="s">
        <v>936</v>
      </c>
      <c r="H342" s="52">
        <f t="shared" si="20"/>
        <v>30</v>
      </c>
      <c r="I342" s="16">
        <f t="shared" si="21"/>
        <v>0</v>
      </c>
      <c r="J342" s="17">
        <f t="shared" si="22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526</v>
      </c>
      <c r="B343" s="50" t="s">
        <v>532</v>
      </c>
      <c r="C343" s="50" t="s">
        <v>1161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0"/>
        <v>28</v>
      </c>
      <c r="I343" s="16">
        <f t="shared" si="21"/>
        <v>2</v>
      </c>
      <c r="J343" s="17">
        <f t="shared" si="22"/>
        <v>0.93333333333333335</v>
      </c>
      <c r="K343" s="26"/>
      <c r="L343" s="8"/>
      <c r="M343" s="8" t="s">
        <v>1200</v>
      </c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1132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0"/>
        <v>28</v>
      </c>
      <c r="I344" s="16">
        <f t="shared" si="21"/>
        <v>2</v>
      </c>
      <c r="J344" s="17">
        <f t="shared" si="22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522</v>
      </c>
      <c r="B345" s="50" t="s">
        <v>1133</v>
      </c>
      <c r="C345" s="50" t="s">
        <v>1161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0"/>
        <v>28</v>
      </c>
      <c r="I345" s="16">
        <f t="shared" si="21"/>
        <v>2</v>
      </c>
      <c r="J345" s="17">
        <f t="shared" si="22"/>
        <v>0.93333333333333335</v>
      </c>
      <c r="K345" s="26"/>
      <c r="L345" s="8"/>
      <c r="M345" s="8"/>
      <c r="N345" s="8" t="s">
        <v>1200</v>
      </c>
      <c r="O345" s="26" t="s">
        <v>1200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526</v>
      </c>
      <c r="B346" s="50" t="s">
        <v>534</v>
      </c>
      <c r="C346" s="50" t="s">
        <v>1161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0"/>
        <v>30</v>
      </c>
      <c r="I346" s="16">
        <f t="shared" si="21"/>
        <v>0</v>
      </c>
      <c r="J346" s="17">
        <f t="shared" si="22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535</v>
      </c>
      <c r="C347" s="50" t="s">
        <v>1161</v>
      </c>
      <c r="D347" s="50" t="s">
        <v>1190</v>
      </c>
      <c r="E347" s="50" t="s">
        <v>19</v>
      </c>
      <c r="F347" s="50" t="s">
        <v>28</v>
      </c>
      <c r="G347" s="50" t="s">
        <v>921</v>
      </c>
      <c r="H347" s="52">
        <f t="shared" si="20"/>
        <v>28</v>
      </c>
      <c r="I347" s="16">
        <f t="shared" si="21"/>
        <v>2</v>
      </c>
      <c r="J347" s="17">
        <f t="shared" si="22"/>
        <v>0.93333333333333335</v>
      </c>
      <c r="K347" s="26"/>
      <c r="L347" s="8"/>
      <c r="M347" s="8" t="s">
        <v>1200</v>
      </c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536</v>
      </c>
      <c r="C348" s="50" t="s">
        <v>1161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0"/>
        <v>28</v>
      </c>
      <c r="I348" s="16">
        <f t="shared" si="21"/>
        <v>2</v>
      </c>
      <c r="J348" s="17">
        <f t="shared" si="22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538</v>
      </c>
      <c r="C349" s="50" t="s">
        <v>1161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0"/>
        <v>28</v>
      </c>
      <c r="I349" s="16">
        <f t="shared" si="21"/>
        <v>2</v>
      </c>
      <c r="J349" s="17">
        <f t="shared" si="22"/>
        <v>0.93333333333333335</v>
      </c>
      <c r="K349" s="26"/>
      <c r="L349" s="8"/>
      <c r="M349" s="8"/>
      <c r="N349" s="8" t="s">
        <v>1200</v>
      </c>
      <c r="O349" s="26" t="s">
        <v>1200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540</v>
      </c>
      <c r="C350" s="50" t="s">
        <v>1161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0"/>
        <v>30</v>
      </c>
      <c r="I350" s="16">
        <f t="shared" si="21"/>
        <v>0</v>
      </c>
      <c r="J350" s="17">
        <f t="shared" si="22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542</v>
      </c>
      <c r="C351" s="50" t="s">
        <v>1161</v>
      </c>
      <c r="D351" s="50" t="s">
        <v>1168</v>
      </c>
      <c r="E351" s="50" t="s">
        <v>19</v>
      </c>
      <c r="F351" s="50" t="s">
        <v>28</v>
      </c>
      <c r="G351" s="50" t="s">
        <v>925</v>
      </c>
      <c r="H351" s="52">
        <f t="shared" si="20"/>
        <v>28</v>
      </c>
      <c r="I351" s="16">
        <f t="shared" si="21"/>
        <v>2</v>
      </c>
      <c r="J351" s="17">
        <f t="shared" si="22"/>
        <v>0.93333333333333335</v>
      </c>
      <c r="K351" s="26"/>
      <c r="L351" s="8"/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522</v>
      </c>
      <c r="B352" s="50" t="s">
        <v>543</v>
      </c>
      <c r="C352" s="50" t="s">
        <v>1160</v>
      </c>
      <c r="D352" s="50" t="s">
        <v>1167</v>
      </c>
      <c r="E352" s="50"/>
      <c r="F352" s="50" t="s">
        <v>1153</v>
      </c>
      <c r="G352" s="50" t="s">
        <v>926</v>
      </c>
      <c r="H352" s="52">
        <f t="shared" si="20"/>
        <v>26</v>
      </c>
      <c r="I352" s="16">
        <f t="shared" si="21"/>
        <v>4</v>
      </c>
      <c r="J352" s="17">
        <f t="shared" si="22"/>
        <v>0.8666666666666667</v>
      </c>
      <c r="K352" s="26"/>
      <c r="L352" s="8" t="s">
        <v>1200</v>
      </c>
      <c r="M352" s="8" t="s">
        <v>1200</v>
      </c>
      <c r="N352" s="8" t="s">
        <v>1200</v>
      </c>
      <c r="O352" s="26"/>
      <c r="P352" s="26"/>
      <c r="Q352" s="8"/>
      <c r="R352" s="8"/>
      <c r="S352" s="8" t="s">
        <v>1200</v>
      </c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544</v>
      </c>
      <c r="C353" s="50" t="s">
        <v>1161</v>
      </c>
      <c r="D353" s="50" t="s">
        <v>545</v>
      </c>
      <c r="E353" s="50" t="s">
        <v>19</v>
      </c>
      <c r="F353" s="50" t="s">
        <v>1152</v>
      </c>
      <c r="G353" s="50" t="s">
        <v>927</v>
      </c>
      <c r="H353" s="52">
        <f t="shared" si="20"/>
        <v>30</v>
      </c>
      <c r="I353" s="16">
        <f t="shared" si="21"/>
        <v>0</v>
      </c>
      <c r="J353" s="17">
        <f t="shared" si="22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546</v>
      </c>
      <c r="C354" s="50" t="s">
        <v>1161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0"/>
        <v>30</v>
      </c>
      <c r="I354" s="16">
        <f t="shared" si="21"/>
        <v>0</v>
      </c>
      <c r="J354" s="17">
        <f t="shared" si="22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549</v>
      </c>
      <c r="C355" s="50" t="s">
        <v>1161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0"/>
        <v>28</v>
      </c>
      <c r="I355" s="16">
        <f t="shared" si="21"/>
        <v>2</v>
      </c>
      <c r="J355" s="17">
        <f t="shared" si="22"/>
        <v>0.93333333333333335</v>
      </c>
      <c r="K355" s="26"/>
      <c r="L355" s="8"/>
      <c r="M355" s="8" t="s">
        <v>1200</v>
      </c>
      <c r="N355" s="8" t="s">
        <v>1200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526</v>
      </c>
      <c r="B356" s="50" t="s">
        <v>1135</v>
      </c>
      <c r="C356" s="50" t="s">
        <v>1161</v>
      </c>
      <c r="D356" s="50" t="s">
        <v>521</v>
      </c>
      <c r="E356" s="50" t="s">
        <v>15</v>
      </c>
      <c r="F356" s="50" t="s">
        <v>1153</v>
      </c>
      <c r="G356" s="50" t="s">
        <v>931</v>
      </c>
      <c r="H356" s="52">
        <f t="shared" si="20"/>
        <v>30</v>
      </c>
      <c r="I356" s="16">
        <f t="shared" si="21"/>
        <v>0</v>
      </c>
      <c r="J356" s="17">
        <f t="shared" si="22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1136</v>
      </c>
      <c r="C357" s="50" t="s">
        <v>1161</v>
      </c>
      <c r="D357" s="50" t="s">
        <v>523</v>
      </c>
      <c r="E357" s="50" t="s">
        <v>19</v>
      </c>
      <c r="F357" s="50" t="s">
        <v>1153</v>
      </c>
      <c r="G357" s="50" t="s">
        <v>932</v>
      </c>
      <c r="H357" s="52">
        <f t="shared" si="20"/>
        <v>30</v>
      </c>
      <c r="I357" s="16">
        <f t="shared" si="21"/>
        <v>0</v>
      </c>
      <c r="J357" s="17">
        <f t="shared" si="22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1137</v>
      </c>
      <c r="C358" s="50" t="s">
        <v>1161</v>
      </c>
      <c r="D358" s="50" t="s">
        <v>530</v>
      </c>
      <c r="E358" s="50" t="s">
        <v>15</v>
      </c>
      <c r="F358" s="50" t="s">
        <v>1153</v>
      </c>
      <c r="G358" s="50" t="s">
        <v>937</v>
      </c>
      <c r="H358" s="52">
        <f t="shared" si="20"/>
        <v>28</v>
      </c>
      <c r="I358" s="16">
        <f t="shared" si="21"/>
        <v>2</v>
      </c>
      <c r="J358" s="17">
        <f t="shared" si="22"/>
        <v>0.93333333333333335</v>
      </c>
      <c r="K358" s="26"/>
      <c r="L358" s="8"/>
      <c r="M358" s="8"/>
      <c r="N358" s="8" t="s">
        <v>1200</v>
      </c>
      <c r="O358" s="26" t="s">
        <v>1200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1138</v>
      </c>
      <c r="C359" s="50" t="s">
        <v>1161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0"/>
        <v>30</v>
      </c>
      <c r="I359" s="16">
        <f t="shared" si="21"/>
        <v>0</v>
      </c>
      <c r="J359" s="17">
        <f t="shared" si="22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553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0"/>
        <v>27</v>
      </c>
      <c r="I360" s="16">
        <f t="shared" si="21"/>
        <v>3</v>
      </c>
      <c r="J360" s="17">
        <f t="shared" si="22"/>
        <v>0.9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 t="s">
        <v>1200</v>
      </c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522</v>
      </c>
      <c r="B361" s="50" t="s">
        <v>555</v>
      </c>
      <c r="C361" s="50" t="s">
        <v>1160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0"/>
        <v>27</v>
      </c>
      <c r="I361" s="16">
        <f t="shared" si="21"/>
        <v>3</v>
      </c>
      <c r="J361" s="17">
        <f t="shared" si="22"/>
        <v>0.9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 t="s">
        <v>1200</v>
      </c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415</v>
      </c>
      <c r="B362" s="50" t="s">
        <v>1139</v>
      </c>
      <c r="C362" s="50" t="s">
        <v>1160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0"/>
        <v>27</v>
      </c>
      <c r="I362" s="16">
        <f t="shared" si="21"/>
        <v>3</v>
      </c>
      <c r="J362" s="17">
        <f t="shared" si="22"/>
        <v>0.9</v>
      </c>
      <c r="K362" s="26"/>
      <c r="L362" s="8" t="s">
        <v>1200</v>
      </c>
      <c r="M362" s="8" t="s">
        <v>1200</v>
      </c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297</v>
      </c>
      <c r="B363" s="50" t="s">
        <v>1140</v>
      </c>
      <c r="C363" s="50" t="s">
        <v>1160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0"/>
        <v>28</v>
      </c>
      <c r="I363" s="16">
        <f t="shared" si="21"/>
        <v>2</v>
      </c>
      <c r="J363" s="17">
        <f t="shared" si="22"/>
        <v>0.93333333333333335</v>
      </c>
      <c r="K363" s="26"/>
      <c r="L363" s="8" t="s">
        <v>1200</v>
      </c>
      <c r="M363" s="8"/>
      <c r="N363" s="8" t="s">
        <v>1200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556</v>
      </c>
      <c r="C364" s="50" t="s">
        <v>1160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0"/>
        <v>29</v>
      </c>
      <c r="I364" s="16">
        <f t="shared" si="21"/>
        <v>1</v>
      </c>
      <c r="J364" s="17">
        <f t="shared" si="22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560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0"/>
        <v>23</v>
      </c>
      <c r="I365" s="16">
        <f t="shared" si="21"/>
        <v>7</v>
      </c>
      <c r="J365" s="17">
        <f t="shared" si="22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562</v>
      </c>
      <c r="C366" s="50" t="s">
        <v>1160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0"/>
        <v>23</v>
      </c>
      <c r="I366" s="16">
        <f t="shared" si="21"/>
        <v>7</v>
      </c>
      <c r="J366" s="17">
        <f t="shared" si="22"/>
        <v>0.76666666666666672</v>
      </c>
      <c r="K366" s="26"/>
      <c r="L366" s="8" t="s">
        <v>1200</v>
      </c>
      <c r="M366" s="8" t="s">
        <v>1200</v>
      </c>
      <c r="N366" s="8" t="s">
        <v>1200</v>
      </c>
      <c r="O366" s="26" t="s">
        <v>1200</v>
      </c>
      <c r="P366" s="26" t="s">
        <v>1200</v>
      </c>
      <c r="Q366" s="8" t="s">
        <v>1200</v>
      </c>
      <c r="R366" s="8" t="s">
        <v>1200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563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0"/>
        <v>29</v>
      </c>
      <c r="I367" s="16">
        <f t="shared" si="21"/>
        <v>1</v>
      </c>
      <c r="J367" s="17">
        <f t="shared" si="22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565</v>
      </c>
      <c r="C368" s="50" t="s">
        <v>1160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0"/>
        <v>29</v>
      </c>
      <c r="I368" s="16">
        <f t="shared" si="21"/>
        <v>1</v>
      </c>
      <c r="J368" s="17">
        <f t="shared" si="22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415</v>
      </c>
      <c r="B369" s="50" t="s">
        <v>566</v>
      </c>
      <c r="C369" s="50" t="s">
        <v>1160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0"/>
        <v>29</v>
      </c>
      <c r="I369" s="16">
        <f t="shared" si="21"/>
        <v>1</v>
      </c>
      <c r="J369" s="17">
        <f t="shared" si="22"/>
        <v>0.96666666666666667</v>
      </c>
      <c r="K369" s="26"/>
      <c r="L369" s="8" t="s">
        <v>1200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568</v>
      </c>
      <c r="C370" s="50" t="s">
        <v>1160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0"/>
        <v>30</v>
      </c>
      <c r="I370" s="16">
        <f t="shared" si="21"/>
        <v>0</v>
      </c>
      <c r="J370" s="17">
        <f t="shared" si="22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570</v>
      </c>
      <c r="C371" s="50" t="s">
        <v>1160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0"/>
        <v>30</v>
      </c>
      <c r="I371" s="16">
        <f t="shared" si="21"/>
        <v>0</v>
      </c>
      <c r="J371" s="17">
        <f t="shared" si="22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572</v>
      </c>
      <c r="C372" s="50" t="s">
        <v>1160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0"/>
        <v>30</v>
      </c>
      <c r="I372" s="16">
        <f t="shared" si="21"/>
        <v>0</v>
      </c>
      <c r="J372" s="17">
        <f t="shared" si="22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491</v>
      </c>
      <c r="B373" s="50" t="s">
        <v>574</v>
      </c>
      <c r="C373" s="50" t="s">
        <v>1160</v>
      </c>
      <c r="D373" s="50" t="s">
        <v>575</v>
      </c>
      <c r="E373" s="50" t="s">
        <v>19</v>
      </c>
      <c r="F373" s="50" t="s">
        <v>1153</v>
      </c>
      <c r="G373" s="50" t="s">
        <v>954</v>
      </c>
      <c r="H373" s="52">
        <f t="shared" si="20"/>
        <v>30</v>
      </c>
      <c r="I373" s="16">
        <f t="shared" si="21"/>
        <v>0</v>
      </c>
      <c r="J373" s="17">
        <f t="shared" si="22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486</v>
      </c>
      <c r="B374" s="50" t="s">
        <v>576</v>
      </c>
      <c r="C374" s="50" t="s">
        <v>1160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0"/>
        <v>30</v>
      </c>
      <c r="I374" s="16">
        <f t="shared" si="21"/>
        <v>0</v>
      </c>
      <c r="J374" s="17">
        <f t="shared" si="22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thickBot="1" x14ac:dyDescent="0.35">
      <c r="A375" s="50" t="s">
        <v>578</v>
      </c>
      <c r="B375" s="50" t="s">
        <v>579</v>
      </c>
      <c r="C375" s="50" t="s">
        <v>1161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0"/>
        <v>30</v>
      </c>
      <c r="I375" s="16">
        <f t="shared" si="21"/>
        <v>0</v>
      </c>
      <c r="J375" s="17">
        <f t="shared" si="22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thickBot="1" x14ac:dyDescent="0.35">
      <c r="A376" s="50" t="s">
        <v>578</v>
      </c>
      <c r="B376" s="50" t="s">
        <v>581</v>
      </c>
      <c r="C376" s="50" t="s">
        <v>1161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0"/>
        <v>30</v>
      </c>
      <c r="I376" s="16">
        <f t="shared" si="21"/>
        <v>0</v>
      </c>
      <c r="J376" s="17">
        <f t="shared" si="22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578</v>
      </c>
      <c r="B377" s="50" t="s">
        <v>1141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0"/>
        <v>30</v>
      </c>
      <c r="I377" s="52">
        <f t="shared" ref="I377:I383" si="26">COUNTIF(K377:AL377,"APAGADO")</f>
        <v>0</v>
      </c>
      <c r="J377" s="53">
        <f t="shared" ref="J377:J383" si="27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578</v>
      </c>
      <c r="B378" s="50" t="s">
        <v>1142</v>
      </c>
      <c r="C378" s="50" t="s">
        <v>1161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0"/>
        <v>30</v>
      </c>
      <c r="I378" s="52">
        <f t="shared" si="26"/>
        <v>0</v>
      </c>
      <c r="J378" s="53">
        <f t="shared" si="27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1143</v>
      </c>
      <c r="C379" s="50" t="s">
        <v>1161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0"/>
        <v>30</v>
      </c>
      <c r="I379" s="52">
        <f t="shared" si="26"/>
        <v>0</v>
      </c>
      <c r="J379" s="53">
        <f t="shared" si="27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1144</v>
      </c>
      <c r="C380" s="50" t="s">
        <v>1161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0"/>
        <v>30</v>
      </c>
      <c r="I380" s="52">
        <f t="shared" si="26"/>
        <v>0</v>
      </c>
      <c r="J380" s="53">
        <f t="shared" si="27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587</v>
      </c>
      <c r="C381" s="50" t="s">
        <v>1161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0"/>
        <v>30</v>
      </c>
      <c r="I381" s="52">
        <f t="shared" si="26"/>
        <v>0</v>
      </c>
      <c r="J381" s="53">
        <f t="shared" si="27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589</v>
      </c>
      <c r="C382" s="50" t="s">
        <v>1161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0"/>
        <v>30</v>
      </c>
      <c r="I382" s="52">
        <f t="shared" si="26"/>
        <v>0</v>
      </c>
      <c r="J382" s="53">
        <f t="shared" si="27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thickBot="1" x14ac:dyDescent="0.35">
      <c r="A383" s="50" t="s">
        <v>584</v>
      </c>
      <c r="B383" s="50" t="s">
        <v>591</v>
      </c>
      <c r="C383" s="50" t="s">
        <v>1161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0"/>
        <v>30</v>
      </c>
      <c r="I383" s="52">
        <f t="shared" si="26"/>
        <v>0</v>
      </c>
      <c r="J383" s="53">
        <f t="shared" si="27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593</v>
      </c>
      <c r="C384" s="50" t="s">
        <v>1161</v>
      </c>
      <c r="D384" s="50" t="s">
        <v>1191</v>
      </c>
      <c r="E384" s="50" t="s">
        <v>19</v>
      </c>
      <c r="F384" s="50" t="s">
        <v>20</v>
      </c>
      <c r="G384" s="50" t="s">
        <v>965</v>
      </c>
      <c r="H384" s="52">
        <f t="shared" ref="H384:H400" si="28">COUNTIF(K384:AN384,"")</f>
        <v>30</v>
      </c>
      <c r="I384" s="52">
        <f t="shared" ref="I384:I400" si="29">COUNTIF(K384:AL384,"APAGADO")</f>
        <v>0</v>
      </c>
      <c r="J384" s="53">
        <f t="shared" ref="J384:J400" si="30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1145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966</v>
      </c>
      <c r="H385" s="52">
        <f t="shared" si="28"/>
        <v>30</v>
      </c>
      <c r="I385" s="52">
        <f t="shared" si="29"/>
        <v>0</v>
      </c>
      <c r="J385" s="53">
        <f t="shared" si="30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1146</v>
      </c>
      <c r="C386" s="50" t="s">
        <v>1161</v>
      </c>
      <c r="D386" s="50" t="s">
        <v>1192</v>
      </c>
      <c r="E386" s="50" t="s">
        <v>73</v>
      </c>
      <c r="F386" s="50" t="s">
        <v>28</v>
      </c>
      <c r="G386" s="50" t="s">
        <v>967</v>
      </c>
      <c r="H386" s="52">
        <f t="shared" si="28"/>
        <v>30</v>
      </c>
      <c r="I386" s="52">
        <f t="shared" si="29"/>
        <v>0</v>
      </c>
      <c r="J386" s="53">
        <f t="shared" si="30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1147</v>
      </c>
      <c r="C387" s="50" t="s">
        <v>1161</v>
      </c>
      <c r="D387" s="50" t="s">
        <v>1148</v>
      </c>
      <c r="E387" s="50" t="s">
        <v>15</v>
      </c>
      <c r="F387" s="50" t="s">
        <v>28</v>
      </c>
      <c r="G387" s="50" t="s">
        <v>968</v>
      </c>
      <c r="H387" s="52">
        <f t="shared" si="28"/>
        <v>29</v>
      </c>
      <c r="I387" s="52">
        <f t="shared" si="29"/>
        <v>1</v>
      </c>
      <c r="J387" s="53">
        <f t="shared" si="30"/>
        <v>0.96666666666666667</v>
      </c>
      <c r="K387" s="26"/>
      <c r="L387" s="26"/>
      <c r="M387" s="26"/>
      <c r="N387" s="26"/>
      <c r="O387" s="26"/>
      <c r="P387" s="26"/>
      <c r="Q387" s="26"/>
      <c r="R387" s="26"/>
      <c r="S387" s="26" t="s">
        <v>1200</v>
      </c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178</v>
      </c>
      <c r="B388" s="50" t="s">
        <v>594</v>
      </c>
      <c r="C388" s="50" t="s">
        <v>1161</v>
      </c>
      <c r="D388" s="50" t="s">
        <v>1193</v>
      </c>
      <c r="E388" s="50" t="s">
        <v>15</v>
      </c>
      <c r="F388" s="50" t="s">
        <v>28</v>
      </c>
      <c r="G388" s="50"/>
      <c r="H388" s="52">
        <f t="shared" si="28"/>
        <v>30</v>
      </c>
      <c r="I388" s="52">
        <f t="shared" si="29"/>
        <v>0</v>
      </c>
      <c r="J388" s="53">
        <f t="shared" si="30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1149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8"/>
        <v>30</v>
      </c>
      <c r="I389" s="52">
        <f t="shared" si="29"/>
        <v>0</v>
      </c>
      <c r="J389" s="53">
        <f t="shared" si="30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1150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8"/>
        <v>30</v>
      </c>
      <c r="I390" s="52">
        <f t="shared" si="29"/>
        <v>0</v>
      </c>
      <c r="J390" s="53">
        <f t="shared" si="30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596</v>
      </c>
      <c r="C391" s="50" t="s">
        <v>1161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8"/>
        <v>30</v>
      </c>
      <c r="I391" s="52">
        <f t="shared" si="29"/>
        <v>0</v>
      </c>
      <c r="J391" s="53">
        <f t="shared" si="30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595</v>
      </c>
      <c r="B392" s="50" t="s">
        <v>599</v>
      </c>
      <c r="C392" s="50" t="s">
        <v>1161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8"/>
        <v>30</v>
      </c>
      <c r="I392" s="52">
        <f t="shared" si="29"/>
        <v>0</v>
      </c>
      <c r="J392" s="53">
        <f t="shared" si="30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600</v>
      </c>
      <c r="B393" s="50" t="s">
        <v>601</v>
      </c>
      <c r="C393" s="50" t="s">
        <v>1161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8"/>
        <v>30</v>
      </c>
      <c r="I393" s="52">
        <f t="shared" si="29"/>
        <v>0</v>
      </c>
      <c r="J393" s="53">
        <f t="shared" si="30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605</v>
      </c>
      <c r="C394" s="50" t="s">
        <v>1161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8"/>
        <v>30</v>
      </c>
      <c r="I394" s="52">
        <f t="shared" si="29"/>
        <v>0</v>
      </c>
      <c r="J394" s="53">
        <f t="shared" si="30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607</v>
      </c>
      <c r="C395" s="50" t="s">
        <v>1161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8"/>
        <v>29</v>
      </c>
      <c r="I395" s="52">
        <f t="shared" si="29"/>
        <v>1</v>
      </c>
      <c r="J395" s="53">
        <f t="shared" si="30"/>
        <v>0.96666666666666667</v>
      </c>
      <c r="K395" s="26"/>
      <c r="L395" s="26"/>
      <c r="M395" s="26"/>
      <c r="N395" s="26" t="s">
        <v>1200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603</v>
      </c>
      <c r="B396" s="50" t="s">
        <v>1151</v>
      </c>
      <c r="C396" s="50" t="s">
        <v>1161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8"/>
        <v>30</v>
      </c>
      <c r="I396" s="52">
        <f t="shared" si="29"/>
        <v>0</v>
      </c>
      <c r="J396" s="53">
        <f t="shared" si="30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611</v>
      </c>
      <c r="B397" s="50" t="s">
        <v>609</v>
      </c>
      <c r="C397" s="50" t="s">
        <v>1161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8"/>
        <v>30</v>
      </c>
      <c r="I397" s="52">
        <f t="shared" si="29"/>
        <v>0</v>
      </c>
      <c r="J397" s="53">
        <f t="shared" si="30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611</v>
      </c>
      <c r="B398" s="50" t="s">
        <v>612</v>
      </c>
      <c r="C398" s="50" t="s">
        <v>1161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8"/>
        <v>28</v>
      </c>
      <c r="I398" s="52">
        <f t="shared" si="29"/>
        <v>2</v>
      </c>
      <c r="J398" s="53">
        <f t="shared" si="30"/>
        <v>0.93333333333333335</v>
      </c>
      <c r="K398" s="26"/>
      <c r="L398" s="26"/>
      <c r="M398" s="26" t="s">
        <v>1200</v>
      </c>
      <c r="N398" s="26" t="s">
        <v>1200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313</v>
      </c>
      <c r="B399" s="50" t="s">
        <v>614</v>
      </c>
      <c r="C399" s="50" t="s">
        <v>1161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8"/>
        <v>30</v>
      </c>
      <c r="I399" s="52">
        <f t="shared" si="29"/>
        <v>0</v>
      </c>
      <c r="J399" s="53">
        <f t="shared" si="30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thickBot="1" x14ac:dyDescent="0.35">
      <c r="A400" s="50" t="s">
        <v>611</v>
      </c>
      <c r="B400" s="50" t="s">
        <v>616</v>
      </c>
      <c r="C400" s="50" t="s">
        <v>1161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8"/>
        <v>30</v>
      </c>
      <c r="I400" s="52">
        <f t="shared" si="29"/>
        <v>0</v>
      </c>
      <c r="J400" s="53">
        <f t="shared" si="30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3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3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3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3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3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3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3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3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3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3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3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3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3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3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3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3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3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3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3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3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3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3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3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3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3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3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3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3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3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3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3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3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3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3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>
        <f>'RESUMEN TOTAL'!T352</f>
        <v>0</v>
      </c>
      <c r="P345">
        <f>'RESUMEN TOTAL'!U352</f>
        <v>0</v>
      </c>
      <c r="Q345">
        <f>'RESUMEN TOTAL'!V352</f>
        <v>0</v>
      </c>
      <c r="R345">
        <f>'RESUMEN TOTAL'!W352</f>
        <v>0</v>
      </c>
      <c r="S345">
        <f>'RESUMEN TOTAL'!X352</f>
        <v>0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3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3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3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3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3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3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3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3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>
        <f>'RESUMEN TOTAL'!T360</f>
        <v>0</v>
      </c>
      <c r="P353">
        <f>'RESUMEN TOTAL'!U360</f>
        <v>0</v>
      </c>
      <c r="Q353">
        <f>'RESUMEN TOTAL'!V360</f>
        <v>0</v>
      </c>
      <c r="R353">
        <f>'RESUMEN TOTAL'!W360</f>
        <v>0</v>
      </c>
      <c r="S353">
        <f>'RESUMEN TOTAL'!X360</f>
        <v>0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3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>
        <f>'RESUMEN TOTAL'!T361</f>
        <v>0</v>
      </c>
      <c r="P354">
        <f>'RESUMEN TOTAL'!U361</f>
        <v>0</v>
      </c>
      <c r="Q354">
        <f>'RESUMEN TOTAL'!V361</f>
        <v>0</v>
      </c>
      <c r="R354">
        <f>'RESUMEN TOTAL'!W361</f>
        <v>0</v>
      </c>
      <c r="S354">
        <f>'RESUMEN TOTAL'!X361</f>
        <v>0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3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3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3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3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3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3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3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3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3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3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3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3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3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3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3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3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3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3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3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3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3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3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3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3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3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3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OROÃ‘O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>
        <f>'RESUMEN TOTAL'!X387</f>
        <v>0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3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>
        <f>'RESUMEN TOTAL'!X388</f>
        <v>0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3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3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3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3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3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3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3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3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3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3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3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3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3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3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3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>
        <f>'RESUMEN TOTAL'!U337</f>
        <v>0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3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265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F10" sqref="F10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3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 t="s">
        <v>999</v>
      </c>
      <c r="B17" s="88">
        <v>396</v>
      </c>
      <c r="C17" s="89"/>
      <c r="D17" s="90"/>
      <c r="E17" s="138">
        <v>44813</v>
      </c>
      <c r="G17" s="128"/>
      <c r="H17" s="112"/>
      <c r="I17" s="112"/>
      <c r="J17" s="112"/>
      <c r="K17" s="113"/>
      <c r="L17" s="129"/>
      <c r="M17" s="144"/>
    </row>
    <row r="18" spans="1:14" x14ac:dyDescent="0.3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/>
      <c r="B22" s="88"/>
      <c r="C22" s="89"/>
      <c r="D22" s="90"/>
      <c r="E22" s="138"/>
    </row>
    <row r="23" spans="1:14" ht="15" thickBot="1" x14ac:dyDescent="0.35">
      <c r="A23" s="91"/>
      <c r="B23" s="92"/>
      <c r="C23" s="93"/>
      <c r="D23" s="94"/>
      <c r="E23" s="139"/>
    </row>
    <row r="24" spans="1:14" ht="15" thickTop="1" x14ac:dyDescent="0.3">
      <c r="A24" s="91"/>
      <c r="B24" s="92"/>
      <c r="C24" s="93"/>
      <c r="D24" s="94"/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/>
      <c r="B25" s="92"/>
      <c r="C25" s="93"/>
      <c r="D25" s="94"/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/>
      <c r="B26" s="104"/>
      <c r="C26" s="105"/>
      <c r="D26" s="106"/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3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/>
      <c r="B30" s="92"/>
      <c r="C30" s="93"/>
      <c r="D30" s="94"/>
      <c r="E30" s="139"/>
    </row>
    <row r="31" spans="1:14" ht="15.6" thickTop="1" thickBot="1" x14ac:dyDescent="0.35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/>
      <c r="B34" s="92"/>
      <c r="C34" s="93"/>
      <c r="D34" s="94"/>
      <c r="E34" s="139"/>
      <c r="G34" s="134"/>
      <c r="K34" s="135"/>
    </row>
    <row r="35" spans="1:14" x14ac:dyDescent="0.3">
      <c r="A35" s="91"/>
      <c r="B35" s="92"/>
      <c r="C35" s="93"/>
      <c r="D35" s="94"/>
      <c r="E35" s="139"/>
      <c r="G35" s="134"/>
      <c r="K35" s="135"/>
    </row>
    <row r="36" spans="1:14" ht="15" thickBot="1" x14ac:dyDescent="0.35">
      <c r="A36" s="103"/>
      <c r="B36" s="104"/>
      <c r="C36" s="105"/>
      <c r="D36" s="106"/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22" sqref="E22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3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3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3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0</v>
      </c>
      <c r="P3" s="76">
        <f>COUNTIFS('RESUMEN TOTAL'!C5:C400, "=BONOMO",'RESUMEN TOTAL'!U5:U400,"=APAGADO")</f>
        <v>0</v>
      </c>
      <c r="Q3" s="76">
        <f>COUNTIFS('RESUMEN TOTAL'!C5:C400, "=BONOMO",'RESUMEN TOTAL'!V5:V400,"=APAGADO")</f>
        <v>0</v>
      </c>
      <c r="R3" s="76">
        <f>COUNTIFS('RESUMEN TOTAL'!C5:C400, "=BONOMO",'RESUMEN TOTAL'!W5:W400,"=APAGADO")</f>
        <v>0</v>
      </c>
      <c r="S3" s="76">
        <f>COUNTIFS('RESUMEN TOTAL'!C5:C400, "=BONOMO",'RESUMEN TOTAL'!X5:X400,"=APAGADO")</f>
        <v>0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TOTAL'!C5:C400,"=COSEIDI")</f>
        <v>184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0</v>
      </c>
      <c r="P5" s="78">
        <f>COUNTIFS('RESUMEN TOTAL'!C7:C400, "=COSEIDI",'RESUMEN TOTAL'!U7:U400,"=APAGADO")</f>
        <v>0</v>
      </c>
      <c r="Q5" s="78">
        <f>COUNTIFS('RESUMEN TOTAL'!C7:C400, "=COSEIDI",'RESUMEN TOTAL'!V7:V400,"=APAGADO")</f>
        <v>0</v>
      </c>
      <c r="R5" s="78">
        <f>COUNTIFS('RESUMEN TOTAL'!C7:C400, "=COSEIDI",'RESUMEN TOTAL'!W7:W400,"=APAGADO")</f>
        <v>0</v>
      </c>
      <c r="S5" s="78">
        <f>COUNTIFS('RESUMEN TOTAL'!C7:C400, "=COSEIDI",'RESUMEN TOTAL'!X7:X400,"=APAGADO")</f>
        <v>0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2022-09-09T18:49:39Z</dcterms:modified>
</cp:coreProperties>
</file>