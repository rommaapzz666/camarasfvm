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8_{C072BD68-E94B-450B-AEC8-02E2CEF9CA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5" i="14" l="1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AJ2" i="2"/>
  <c r="AJ1" i="2" s="1"/>
  <c r="AA2" i="2"/>
  <c r="O2" i="2"/>
  <c r="O1" i="2" s="1"/>
  <c r="AI2" i="2"/>
  <c r="AI1" i="2" s="1"/>
  <c r="Z2" i="2"/>
  <c r="Z1" i="2" s="1"/>
  <c r="N2" i="2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U2" i="2"/>
  <c r="Q2" i="2"/>
  <c r="AK2" i="2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Q1" i="2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P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2" i="21" l="1"/>
  <c r="D5" i="14" s="1"/>
  <c r="H2" i="21"/>
  <c r="D4" i="14" s="1"/>
  <c r="G2" i="21"/>
  <c r="D3" i="14" s="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X6" i="25"/>
  <c r="X5" i="25"/>
  <c r="X385" i="11"/>
  <c r="J386" i="2"/>
  <c r="H386" i="2"/>
  <c r="AC1" i="2"/>
  <c r="AC3" i="2"/>
  <c r="AC2" i="2"/>
  <c r="X384" i="9"/>
  <c r="X1" i="9"/>
  <c r="X383" i="8"/>
  <c r="X385" i="21"/>
  <c r="X2" i="21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<sst xmlns="http://schemas.openxmlformats.org/spreadsheetml/2006/main" count="3282" uniqueCount="1294">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</sst>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O228" activePane="bottomRight" state="frozen"/>
      <selection pane="topRight" activeCell="M1" sqref="M1"/>
      <selection pane="bottomLeft" activeCell="A5" sqref="A5"/>
      <selection pane="bottomRight" activeCell="O237" sqref="O237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430</v>
      </c>
      <c r="Q2" s="127">
        <f t="shared" si="1"/>
        <v>430</v>
      </c>
      <c r="R2" s="127">
        <f t="shared" si="1"/>
        <v>430</v>
      </c>
      <c r="S2" s="127">
        <f t="shared" si="1"/>
        <v>430</v>
      </c>
      <c r="T2" s="127">
        <f t="shared" si="1"/>
        <v>430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30</v>
      </c>
      <c r="I15" s="42">
        <f t="shared" si="3"/>
        <v>0</v>
      </c>
      <c r="J15" s="43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26</v>
      </c>
      <c r="I16" s="42">
        <f t="shared" si="3"/>
        <v>4</v>
      </c>
      <c r="J16" s="43">
        <f t="shared" si="4"/>
        <v>0.8666666666666667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30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30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30</v>
      </c>
      <c r="I19" s="42">
        <f t="shared" ref="I19:I22" si="7">COUNTIF(K19:AL19,"APAGADO")</f>
        <v>0</v>
      </c>
      <c r="J19" s="43">
        <f t="shared" ref="J19:J22" si="8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25</v>
      </c>
      <c r="I34" s="42">
        <f>COUNTIF(K34:AL34,"APAGADO")</f>
        <v>5</v>
      </c>
      <c r="J34" s="43">
        <f>(H34)/(I34+H34)</f>
        <v>0.83333333333333337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27</v>
      </c>
      <c r="I38" s="42">
        <f t="shared" si="3"/>
        <v>3</v>
      </c>
      <c r="J38" s="43">
        <f t="shared" si="4"/>
        <v>0.9</v>
      </c>
      <c r="K38" s="20"/>
      <c r="L38" s="20"/>
      <c r="M38" s="20" t="s">
        <v>1274</v>
      </c>
      <c r="N38" s="20" t="s">
        <v>1274</v>
      </c>
      <c r="O38" s="20" t="s">
        <v>1274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25</v>
      </c>
      <c r="I40" s="42">
        <f t="shared" si="3"/>
        <v>5</v>
      </c>
      <c r="J40" s="43">
        <f t="shared" si="4"/>
        <v>0.83333333333333337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30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30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25</v>
      </c>
      <c r="I48" s="42">
        <f t="shared" si="3"/>
        <v>5</v>
      </c>
      <c r="J48" s="43">
        <f t="shared" si="4"/>
        <v>0.83333333333333337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25</v>
      </c>
      <c r="I49" s="42">
        <f t="shared" si="3"/>
        <v>5</v>
      </c>
      <c r="J49" s="43">
        <f t="shared" si="4"/>
        <v>0.83333333333333337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25</v>
      </c>
      <c r="I51" s="42">
        <f t="shared" si="3"/>
        <v>5</v>
      </c>
      <c r="J51" s="43">
        <f t="shared" si="4"/>
        <v>0.83333333333333337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30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25</v>
      </c>
      <c r="I54" s="42">
        <f t="shared" si="3"/>
        <v>5</v>
      </c>
      <c r="J54" s="43">
        <f t="shared" si="4"/>
        <v>0.83333333333333337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25</v>
      </c>
      <c r="I56" s="42">
        <f t="shared" si="3"/>
        <v>5</v>
      </c>
      <c r="J56" s="43">
        <f t="shared" si="4"/>
        <v>0.83333333333333337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26</v>
      </c>
      <c r="I69" s="42">
        <f t="shared" si="3"/>
        <v>4</v>
      </c>
      <c r="J69" s="43">
        <f t="shared" si="4"/>
        <v>0.8666666666666667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30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25</v>
      </c>
      <c r="I75" s="42">
        <f t="shared" si="3"/>
        <v>5</v>
      </c>
      <c r="J75" s="43">
        <f t="shared" si="4"/>
        <v>0.83333333333333337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30</v>
      </c>
      <c r="I85" s="42">
        <f t="shared" si="10"/>
        <v>0</v>
      </c>
      <c r="J85" s="43">
        <f t="shared" si="11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30</v>
      </c>
      <c r="I86" s="42">
        <f t="shared" si="10"/>
        <v>0</v>
      </c>
      <c r="J86" s="43">
        <f t="shared" si="11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28</v>
      </c>
      <c r="I87" s="42">
        <f>COUNTIF(K87:AL87,"APAGADO")</f>
        <v>2</v>
      </c>
      <c r="J87" s="43">
        <f>(H87)/(I87+H87)</f>
        <v>0.93333333333333335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28</v>
      </c>
      <c r="I88" s="42">
        <f t="shared" si="10"/>
        <v>2</v>
      </c>
      <c r="J88" s="43">
        <f t="shared" si="11"/>
        <v>0.93333333333333335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30</v>
      </c>
      <c r="I89" s="42">
        <f t="shared" si="10"/>
        <v>0</v>
      </c>
      <c r="J89" s="43">
        <f t="shared" si="11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25</v>
      </c>
      <c r="I94" s="42">
        <f>COUNTIF(K94:AL94,"APAGADO")</f>
        <v>5</v>
      </c>
      <c r="J94" s="43">
        <f>(H94)/(I94+H94)</f>
        <v>0.83333333333333337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30</v>
      </c>
      <c r="I95" s="42">
        <f t="shared" si="10"/>
        <v>0</v>
      </c>
      <c r="J95" s="43">
        <f t="shared" si="11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25</v>
      </c>
      <c r="I98" s="42">
        <f>COUNTIF(K98:AL98,"APAGADO")</f>
        <v>5</v>
      </c>
      <c r="J98" s="43">
        <f>(H98)/(I98+H98)</f>
        <v>0.83333333333333337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25</v>
      </c>
      <c r="I101" s="42">
        <f t="shared" si="10"/>
        <v>5</v>
      </c>
      <c r="J101" s="43">
        <f t="shared" si="11"/>
        <v>0.83333333333333337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25</v>
      </c>
      <c r="I102" s="42">
        <f t="shared" si="10"/>
        <v>5</v>
      </c>
      <c r="J102" s="43">
        <f t="shared" si="11"/>
        <v>0.83333333333333337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30</v>
      </c>
      <c r="I114" s="42">
        <f t="shared" si="10"/>
        <v>0</v>
      </c>
      <c r="J114" s="43">
        <f t="shared" si="11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30</v>
      </c>
      <c r="I115" s="42">
        <f t="shared" si="10"/>
        <v>0</v>
      </c>
      <c r="J115" s="43">
        <f t="shared" si="11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30</v>
      </c>
      <c r="I122" s="42">
        <f t="shared" si="10"/>
        <v>0</v>
      </c>
      <c r="J122" s="43">
        <f t="shared" si="11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30</v>
      </c>
      <c r="I124" s="42">
        <f t="shared" si="10"/>
        <v>0</v>
      </c>
      <c r="J124" s="43">
        <f t="shared" si="11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30</v>
      </c>
      <c r="I129" s="42">
        <f>COUNTIF(K129:AL129,"APAGADO")</f>
        <v>0</v>
      </c>
      <c r="J129" s="43">
        <f>(H129)/(I129+H129)</f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30</v>
      </c>
      <c r="I141" s="42">
        <f t="shared" ref="I141:I234" si="12">COUNTIF(K141:AL141,"APAGADO")</f>
        <v>0</v>
      </c>
      <c r="J141" s="43">
        <f t="shared" ref="J141:J234" si="13">(H141)/(I141+H141)</f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30</v>
      </c>
      <c r="I158" s="42">
        <f t="shared" si="12"/>
        <v>0</v>
      </c>
      <c r="J158" s="43">
        <f t="shared" si="1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30</v>
      </c>
      <c r="I159" s="42">
        <f t="shared" si="12"/>
        <v>0</v>
      </c>
      <c r="J159" s="43">
        <f t="shared" si="1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30</v>
      </c>
      <c r="I160" s="42">
        <f t="shared" si="12"/>
        <v>0</v>
      </c>
      <c r="J160" s="43">
        <f t="shared" si="13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25</v>
      </c>
      <c r="I165" s="42">
        <f t="shared" si="12"/>
        <v>5</v>
      </c>
      <c r="J165" s="43">
        <f t="shared" si="13"/>
        <v>0.83333333333333337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25</v>
      </c>
      <c r="I166" s="42">
        <f t="shared" si="12"/>
        <v>5</v>
      </c>
      <c r="J166" s="43">
        <f t="shared" si="13"/>
        <v>0.83333333333333337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25</v>
      </c>
      <c r="I175" s="42">
        <f t="shared" si="12"/>
        <v>5</v>
      </c>
      <c r="J175" s="43">
        <f t="shared" si="13"/>
        <v>0.83333333333333337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25</v>
      </c>
      <c r="I177" s="42">
        <f t="shared" si="12"/>
        <v>5</v>
      </c>
      <c r="J177" s="43">
        <f t="shared" si="13"/>
        <v>0.83333333333333337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25</v>
      </c>
      <c r="I182" s="42">
        <f t="shared" si="12"/>
        <v>5</v>
      </c>
      <c r="J182" s="43">
        <f t="shared" si="13"/>
        <v>0.83333333333333337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29</v>
      </c>
      <c r="I184" s="42">
        <f t="shared" si="12"/>
        <v>1</v>
      </c>
      <c r="J184" s="43">
        <f t="shared" si="13"/>
        <v>0.96666666666666667</v>
      </c>
      <c r="K184" s="20"/>
      <c r="L184" s="20"/>
      <c r="M184" s="20"/>
      <c r="N184" s="20"/>
      <c r="O184" s="20" t="s">
        <v>1274</v>
      </c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25</v>
      </c>
      <c r="I185" s="42">
        <f t="shared" si="12"/>
        <v>5</v>
      </c>
      <c r="J185" s="43">
        <f t="shared" si="13"/>
        <v>0.83333333333333337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25</v>
      </c>
      <c r="I187" s="42">
        <f t="shared" si="12"/>
        <v>5</v>
      </c>
      <c r="J187" s="43">
        <f t="shared" si="13"/>
        <v>0.83333333333333337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30</v>
      </c>
      <c r="I193" s="42">
        <f t="shared" si="12"/>
        <v>0</v>
      </c>
      <c r="J193" s="43">
        <f t="shared" si="13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30</v>
      </c>
      <c r="I194" s="42">
        <f t="shared" si="12"/>
        <v>0</v>
      </c>
      <c r="J194" s="43">
        <f t="shared" si="13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30</v>
      </c>
      <c r="I197" s="42">
        <f t="shared" si="12"/>
        <v>0</v>
      </c>
      <c r="J197" s="43">
        <f t="shared" si="13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25</v>
      </c>
      <c r="I198" s="42">
        <f>COUNTIF(K198:AL198,"APAGADO")</f>
        <v>5</v>
      </c>
      <c r="J198" s="43">
        <f>(H198)/(I198+H198)</f>
        <v>0.83333333333333337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30</v>
      </c>
      <c r="I200" s="42">
        <f t="shared" si="12"/>
        <v>0</v>
      </c>
      <c r="J200" s="43">
        <f t="shared" si="13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30</v>
      </c>
      <c r="I201" s="42">
        <f t="shared" si="12"/>
        <v>0</v>
      </c>
      <c r="J201" s="43">
        <f t="shared" si="13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30</v>
      </c>
      <c r="I202" s="42">
        <f t="shared" si="12"/>
        <v>0</v>
      </c>
      <c r="J202" s="43">
        <f t="shared" si="13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30</v>
      </c>
      <c r="I203" s="42">
        <f t="shared" si="12"/>
        <v>0</v>
      </c>
      <c r="J203" s="43">
        <f t="shared" si="13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30</v>
      </c>
      <c r="I204" s="42">
        <f t="shared" si="12"/>
        <v>0</v>
      </c>
      <c r="J204" s="43">
        <f t="shared" si="13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30</v>
      </c>
      <c r="I205" s="42">
        <f t="shared" si="12"/>
        <v>0</v>
      </c>
      <c r="J205" s="43">
        <f t="shared" si="13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30</v>
      </c>
      <c r="I206" s="42">
        <f t="shared" si="12"/>
        <v>0</v>
      </c>
      <c r="J206" s="43">
        <f t="shared" si="13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29</v>
      </c>
      <c r="I209" s="42">
        <f t="shared" si="12"/>
        <v>1</v>
      </c>
      <c r="J209" s="43">
        <f t="shared" si="13"/>
        <v>0.96666666666666667</v>
      </c>
      <c r="K209" s="20"/>
      <c r="L209" s="20"/>
      <c r="M209" s="20"/>
      <c r="N209" s="20"/>
      <c r="O209" s="20" t="s">
        <v>1274</v>
      </c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30</v>
      </c>
      <c r="I211" s="42">
        <f>COUNTIF(K211:AL211,"APAGADO")</f>
        <v>0</v>
      </c>
      <c r="J211" s="43">
        <f>(H211)/(I211+H211)</f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30</v>
      </c>
      <c r="I218" s="42">
        <f t="shared" si="12"/>
        <v>0</v>
      </c>
      <c r="J218" s="43">
        <f t="shared" si="13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30</v>
      </c>
      <c r="I219" s="42">
        <f t="shared" si="12"/>
        <v>0</v>
      </c>
      <c r="J219" s="43">
        <f t="shared" si="13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30</v>
      </c>
      <c r="I224" s="42">
        <f t="shared" si="12"/>
        <v>0</v>
      </c>
      <c r="J224" s="43">
        <f t="shared" si="13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30</v>
      </c>
      <c r="I225" s="42">
        <f t="shared" si="12"/>
        <v>0</v>
      </c>
      <c r="J225" s="43">
        <f t="shared" si="13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26</v>
      </c>
      <c r="I229" s="42">
        <f t="shared" si="12"/>
        <v>4</v>
      </c>
      <c r="J229" s="43">
        <f t="shared" si="13"/>
        <v>0.8666666666666667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30</v>
      </c>
      <c r="I232" s="42">
        <f t="shared" si="12"/>
        <v>0</v>
      </c>
      <c r="J232" s="43">
        <f t="shared" si="13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25</v>
      </c>
      <c r="I236" s="42">
        <f t="shared" si="19"/>
        <v>5</v>
      </c>
      <c r="J236" s="43">
        <f t="shared" si="20"/>
        <v>0.83333333333333337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30</v>
      </c>
      <c r="I245" s="42">
        <f t="shared" si="19"/>
        <v>0</v>
      </c>
      <c r="J245" s="43">
        <f t="shared" si="20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30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25</v>
      </c>
      <c r="I256" s="42">
        <f t="shared" si="19"/>
        <v>5</v>
      </c>
      <c r="J256" s="43">
        <f t="shared" si="20"/>
        <v>0.83333333333333337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30</v>
      </c>
      <c r="I275" s="42">
        <f t="shared" si="19"/>
        <v>0</v>
      </c>
      <c r="J275" s="43">
        <f t="shared" si="20"/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30</v>
      </c>
      <c r="I277" s="42">
        <f t="shared" si="19"/>
        <v>0</v>
      </c>
      <c r="J277" s="43">
        <f t="shared" si="20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30</v>
      </c>
      <c r="I278" s="42">
        <f t="shared" si="19"/>
        <v>0</v>
      </c>
      <c r="J278" s="43">
        <f t="shared" si="20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30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30</v>
      </c>
      <c r="I297" s="42">
        <f t="shared" si="19"/>
        <v>0</v>
      </c>
      <c r="J297" s="43">
        <f t="shared" si="20"/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30</v>
      </c>
      <c r="I298" s="42">
        <f t="shared" si="19"/>
        <v>0</v>
      </c>
      <c r="J298" s="43">
        <f t="shared" si="20"/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30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30</v>
      </c>
      <c r="I307" s="42">
        <f t="shared" si="22"/>
        <v>0</v>
      </c>
      <c r="J307" s="43">
        <f t="shared" si="23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29</v>
      </c>
      <c r="I315" s="42">
        <f t="shared" si="22"/>
        <v>1</v>
      </c>
      <c r="J315" s="43">
        <f t="shared" si="23"/>
        <v>0.96666666666666667</v>
      </c>
      <c r="K315" s="20"/>
      <c r="L315" s="20"/>
      <c r="M315" s="20"/>
      <c r="N315" s="20"/>
      <c r="O315" s="20" t="s">
        <v>1274</v>
      </c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29</v>
      </c>
      <c r="I316" s="42">
        <f t="shared" si="22"/>
        <v>1</v>
      </c>
      <c r="J316" s="43">
        <f t="shared" si="23"/>
        <v>0.96666666666666667</v>
      </c>
      <c r="K316" s="20"/>
      <c r="L316" s="20"/>
      <c r="M316" s="20"/>
      <c r="N316" s="20"/>
      <c r="O316" s="20" t="s">
        <v>1274</v>
      </c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30</v>
      </c>
      <c r="I322" s="42">
        <f t="shared" si="22"/>
        <v>0</v>
      </c>
      <c r="J322" s="43">
        <f t="shared" si="23"/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30</v>
      </c>
      <c r="I325" s="42">
        <f t="shared" si="22"/>
        <v>0</v>
      </c>
      <c r="J325" s="43">
        <f t="shared" si="23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30</v>
      </c>
      <c r="I328" s="42">
        <f t="shared" si="22"/>
        <v>0</v>
      </c>
      <c r="J328" s="43">
        <f t="shared" si="23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30</v>
      </c>
      <c r="I331" s="42">
        <f t="shared" si="22"/>
        <v>0</v>
      </c>
      <c r="J331" s="43">
        <f t="shared" si="23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30</v>
      </c>
      <c r="I332" s="42">
        <f t="shared" si="22"/>
        <v>0</v>
      </c>
      <c r="J332" s="43">
        <f t="shared" si="23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30</v>
      </c>
      <c r="I333" s="42">
        <f t="shared" si="22"/>
        <v>0</v>
      </c>
      <c r="J333" s="43">
        <f t="shared" si="23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30</v>
      </c>
      <c r="I345" s="42">
        <f t="shared" si="22"/>
        <v>0</v>
      </c>
      <c r="J345" s="43">
        <f t="shared" si="23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29</v>
      </c>
      <c r="I347" s="42">
        <f t="shared" si="22"/>
        <v>1</v>
      </c>
      <c r="J347" s="43">
        <f t="shared" si="23"/>
        <v>0.96666666666666667</v>
      </c>
      <c r="K347" s="20"/>
      <c r="L347" s="20"/>
      <c r="M347" s="20"/>
      <c r="N347" s="20"/>
      <c r="O347" s="20" t="s">
        <v>1274</v>
      </c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30</v>
      </c>
      <c r="I355" s="42">
        <f t="shared" si="22"/>
        <v>0</v>
      </c>
      <c r="J355" s="43">
        <f t="shared" si="23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25</v>
      </c>
      <c r="I360" s="42">
        <f t="shared" si="22"/>
        <v>5</v>
      </c>
      <c r="J360" s="43">
        <f t="shared" si="23"/>
        <v>0.83333333333333337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30</v>
      </c>
      <c r="I367" s="42">
        <f t="shared" ref="I367" si="26">COUNTIF(K367:AL367,"APAGADO")</f>
        <v>0</v>
      </c>
      <c r="J367" s="43">
        <f t="shared" ref="J367" si="27"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30</v>
      </c>
      <c r="I369" s="42">
        <f t="shared" si="22"/>
        <v>0</v>
      </c>
      <c r="J369" s="43">
        <f t="shared" si="23"/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30</v>
      </c>
      <c r="I372" s="42">
        <f t="shared" si="22"/>
        <v>0</v>
      </c>
      <c r="J372" s="43">
        <f t="shared" si="23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30</v>
      </c>
      <c r="I373" s="42">
        <f t="shared" si="22"/>
        <v>0</v>
      </c>
      <c r="J373" s="43">
        <f t="shared" si="23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28</v>
      </c>
      <c r="I374" s="42">
        <f t="shared" si="22"/>
        <v>2</v>
      </c>
      <c r="J374" s="43">
        <f t="shared" si="23"/>
        <v>0.93333333333333335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30</v>
      </c>
      <c r="I378" s="42">
        <f t="shared" si="28"/>
        <v>0</v>
      </c>
      <c r="J378" s="43">
        <f t="shared" si="29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25</v>
      </c>
      <c r="I379" s="42">
        <f t="shared" si="28"/>
        <v>5</v>
      </c>
      <c r="J379" s="43">
        <f t="shared" si="29"/>
        <v>0.83333333333333337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30</v>
      </c>
      <c r="I382" s="42">
        <f>COUNTIF(K382:AL382,"APAGADO")</f>
        <v>0</v>
      </c>
      <c r="J382" s="43">
        <f>(H382)/(I382+H382)</f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29</v>
      </c>
      <c r="I387" s="42">
        <f>COUNTIF(K387:AL387,"APAGADO")</f>
        <v>1</v>
      </c>
      <c r="J387" s="43">
        <f>(H387)/(I387+H387)</f>
        <v>0.96666666666666667</v>
      </c>
      <c r="K387" s="20"/>
      <c r="L387" s="20"/>
      <c r="M387" s="20"/>
      <c r="N387" s="20"/>
      <c r="O387" s="20" t="s">
        <v>1274</v>
      </c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30</v>
      </c>
      <c r="I394" s="42">
        <f t="shared" si="28"/>
        <v>0</v>
      </c>
      <c r="J394" s="43">
        <f t="shared" si="29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30</v>
      </c>
      <c r="I395" s="42">
        <f t="shared" si="28"/>
        <v>0</v>
      </c>
      <c r="J395" s="43">
        <f t="shared" si="29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30</v>
      </c>
      <c r="I398" s="42">
        <f t="shared" si="28"/>
        <v>0</v>
      </c>
      <c r="J398" s="43">
        <f t="shared" si="29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30</v>
      </c>
      <c r="I399" s="42">
        <f t="shared" si="28"/>
        <v>0</v>
      </c>
      <c r="J399" s="43">
        <f t="shared" si="29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26</v>
      </c>
      <c r="I407" s="42">
        <f t="shared" si="28"/>
        <v>4</v>
      </c>
      <c r="J407" s="43">
        <f t="shared" si="29"/>
        <v>0.8666666666666667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26</v>
      </c>
      <c r="I408" s="42">
        <f t="shared" si="28"/>
        <v>4</v>
      </c>
      <c r="J408" s="43">
        <f t="shared" si="29"/>
        <v>0.8666666666666667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29</v>
      </c>
      <c r="I409" s="42">
        <f t="shared" si="28"/>
        <v>1</v>
      </c>
      <c r="J409" s="43">
        <f t="shared" si="29"/>
        <v>0.96666666666666667</v>
      </c>
      <c r="K409" s="20"/>
      <c r="L409" s="20"/>
      <c r="M409" s="20"/>
      <c r="N409" s="20"/>
      <c r="O409" s="20" t="s">
        <v>1274</v>
      </c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29</v>
      </c>
      <c r="I410" s="42">
        <f t="shared" si="28"/>
        <v>1</v>
      </c>
      <c r="J410" s="43">
        <f t="shared" si="29"/>
        <v>0.96666666666666667</v>
      </c>
      <c r="K410" s="20"/>
      <c r="L410" s="20"/>
      <c r="M410" s="20"/>
      <c r="N410" s="20"/>
      <c r="O410" s="20" t="s">
        <v>1274</v>
      </c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30</v>
      </c>
      <c r="I412" s="42">
        <f t="shared" si="28"/>
        <v>0</v>
      </c>
      <c r="J412" s="43">
        <f t="shared" si="29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25</v>
      </c>
      <c r="I420" s="42">
        <f t="shared" si="28"/>
        <v>5</v>
      </c>
      <c r="J420" s="43">
        <f t="shared" si="29"/>
        <v>0.83333333333333337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30</v>
      </c>
      <c r="I429" s="42">
        <f t="shared" si="28"/>
        <v>0</v>
      </c>
      <c r="J429" s="43">
        <f t="shared" si="29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30</v>
      </c>
      <c r="I430" s="42">
        <f t="shared" si="28"/>
        <v>0</v>
      </c>
      <c r="J430" s="43">
        <f t="shared" si="29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30</v>
      </c>
      <c r="I431" s="42">
        <f t="shared" si="28"/>
        <v>0</v>
      </c>
      <c r="J431" s="43">
        <f t="shared" si="29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30</v>
      </c>
      <c r="I432" s="42">
        <f t="shared" si="28"/>
        <v>0</v>
      </c>
      <c r="J432" s="43">
        <f t="shared" si="29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>
        <f>'RESUMEN TOTAL'!T114</f>
        <v>0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>
        <f>'RESUMEN TOTAL'!T115</f>
        <v>0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>
        <f>'RESUMEN TOTAL'!T129</f>
        <v>0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>
        <f>'RESUMEN TOTAL'!P122</f>
        <v>0</v>
      </c>
      <c r="L121" s="23">
        <f>'RESUMEN TOTAL'!Q122</f>
        <v>0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>
        <f>'RESUMEN TOTAL'!T124</f>
        <v>0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>
        <f>'RESUMEN TOTAL'!T141</f>
        <v>0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>
        <f>'RESUMEN TOTAL'!T158</f>
        <v>0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>
        <f>'RESUMEN TOTAL'!T159</f>
        <v>0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>
        <f>'RESUMEN TOTAL'!T160</f>
        <v>0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>
        <f>'RESUMEN TOTAL'!P165</f>
        <v>0</v>
      </c>
      <c r="L163" s="23">
        <f>'RESUMEN TOTAL'!Q165</f>
        <v>0</v>
      </c>
      <c r="M163" s="23">
        <f>'RESUMEN TOTAL'!R165</f>
        <v>0</v>
      </c>
      <c r="N163" s="23">
        <f>'RESUMEN TOTAL'!S165</f>
        <v>0</v>
      </c>
      <c r="O163" s="23">
        <f>'RESUMEN TOTAL'!T165</f>
        <v>0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>
        <f>'RESUMEN TOTAL'!P166</f>
        <v>0</v>
      </c>
      <c r="L164" s="23">
        <f>'RESUMEN TOTAL'!Q166</f>
        <v>0</v>
      </c>
      <c r="M164" s="23">
        <f>'RESUMEN TOTAL'!R166</f>
        <v>0</v>
      </c>
      <c r="N164" s="23">
        <f>'RESUMEN TOTAL'!S166</f>
        <v>0</v>
      </c>
      <c r="O164" s="23">
        <f>'RESUMEN TOTAL'!T166</f>
        <v>0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>
        <f>'RESUMEN TOTAL'!P175</f>
        <v>0</v>
      </c>
      <c r="L173" s="23">
        <f>'RESUMEN TOTAL'!Q175</f>
        <v>0</v>
      </c>
      <c r="M173" s="23">
        <f>'RESUMEN TOTAL'!R175</f>
        <v>0</v>
      </c>
      <c r="N173" s="23">
        <f>'RESUMEN TOTAL'!S175</f>
        <v>0</v>
      </c>
      <c r="O173" s="23">
        <f>'RESUMEN TOTAL'!T175</f>
        <v>0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>
        <f>'RESUMEN TOTAL'!P177</f>
        <v>0</v>
      </c>
      <c r="L175" s="23">
        <f>'RESUMEN TOTAL'!Q177</f>
        <v>0</v>
      </c>
      <c r="M175" s="23">
        <f>'RESUMEN TOTAL'!R177</f>
        <v>0</v>
      </c>
      <c r="N175" s="23">
        <f>'RESUMEN TOTAL'!S177</f>
        <v>0</v>
      </c>
      <c r="O175" s="23">
        <f>'RESUMEN TOTAL'!T177</f>
        <v>0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>
        <f>'RESUMEN TOTAL'!P182</f>
        <v>0</v>
      </c>
      <c r="L180" s="23">
        <f>'RESUMEN TOTAL'!Q182</f>
        <v>0</v>
      </c>
      <c r="M180" s="23">
        <f>'RESUMEN TOTAL'!R182</f>
        <v>0</v>
      </c>
      <c r="N180" s="23">
        <f>'RESUMEN TOTAL'!S182</f>
        <v>0</v>
      </c>
      <c r="O180" s="23">
        <f>'RESUMEN TOTAL'!T182</f>
        <v>0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>
        <f>'RESUMEN TOTAL'!P184</f>
        <v>0</v>
      </c>
      <c r="L182" s="23">
        <f>'RESUMEN TOTAL'!Q184</f>
        <v>0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>
        <f>'RESUMEN TOTAL'!P185</f>
        <v>0</v>
      </c>
      <c r="L183" s="23">
        <f>'RESUMEN TOTAL'!Q185</f>
        <v>0</v>
      </c>
      <c r="M183" s="23">
        <f>'RESUMEN TOTAL'!R185</f>
        <v>0</v>
      </c>
      <c r="N183" s="23">
        <f>'RESUMEN TOTAL'!S185</f>
        <v>0</v>
      </c>
      <c r="O183" s="23">
        <f>'RESUMEN TOTAL'!T185</f>
        <v>0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>
        <f>'RESUMEN TOTAL'!P187</f>
        <v>0</v>
      </c>
      <c r="L185" s="23">
        <f>'RESUMEN TOTAL'!Q187</f>
        <v>0</v>
      </c>
      <c r="M185" s="23">
        <f>'RESUMEN TOTAL'!R187</f>
        <v>0</v>
      </c>
      <c r="N185" s="23">
        <f>'RESUMEN TOTAL'!S187</f>
        <v>0</v>
      </c>
      <c r="O185" s="23">
        <f>'RESUMEN TOTAL'!T187</f>
        <v>0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>
        <f>'RESUMEN TOTAL'!T193</f>
        <v>0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>
        <f>'RESUMEN TOTAL'!T194</f>
        <v>0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>
        <f>'RESUMEN TOTAL'!T197</f>
        <v>0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>
        <f>'RESUMEN TOTAL'!P198</f>
        <v>0</v>
      </c>
      <c r="L196" s="23">
        <f>'RESUMEN TOTAL'!Q198</f>
        <v>0</v>
      </c>
      <c r="M196" s="23">
        <f>'RESUMEN TOTAL'!R198</f>
        <v>0</v>
      </c>
      <c r="N196" s="23">
        <f>'RESUMEN TOTAL'!S198</f>
        <v>0</v>
      </c>
      <c r="O196" s="23">
        <f>'RESUMEN TOTAL'!T198</f>
        <v>0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>
        <f>'RESUMEN TOTAL'!T200</f>
        <v>0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>
        <f>'RESUMEN TOTAL'!T201</f>
        <v>0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>
        <f>'RESUMEN TOTAL'!T202</f>
        <v>0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>
        <f>'RESUMEN TOTAL'!T203</f>
        <v>0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>
        <f>'RESUMEN TOTAL'!T204</f>
        <v>0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>
        <f>'RESUMEN TOTAL'!T205</f>
        <v>0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>
        <f>'RESUMEN TOTAL'!T206</f>
        <v>0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>
        <f>'RESUMEN TOTAL'!P209</f>
        <v>0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>
        <f>'RESUMEN TOTAL'!T211</f>
        <v>0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>
        <f>'RESUMEN TOTAL'!S218</f>
        <v>0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>
        <f>'RESUMEN TOTAL'!S219</f>
        <v>0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>
        <f>'RESUMEN TOTAL'!T224</f>
        <v>0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>
        <f>'RESUMEN TOTAL'!T225</f>
        <v>0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>
        <f>'RESUMEN TOTAL'!P229</f>
        <v>0</v>
      </c>
      <c r="L227" s="23">
        <f>'RESUMEN TOTAL'!Q229</f>
        <v>0</v>
      </c>
      <c r="M227" s="23">
        <f>'RESUMEN TOTAL'!R229</f>
        <v>0</v>
      </c>
      <c r="N227" s="23">
        <f>'RESUMEN TOTAL'!S229</f>
        <v>0</v>
      </c>
      <c r="O227" s="23">
        <f>'RESUMEN TOTAL'!T229</f>
        <v>0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>
        <f>'RESUMEN TOTAL'!T232</f>
        <v>0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>
        <f>'RESUMEN TOTAL'!P236</f>
        <v>0</v>
      </c>
      <c r="L234" s="23">
        <f>'RESUMEN TOTAL'!Q236</f>
        <v>0</v>
      </c>
      <c r="M234" s="23">
        <f>'RESUMEN TOTAL'!R236</f>
        <v>0</v>
      </c>
      <c r="N234" s="23">
        <f>'RESUMEN TOTAL'!S236</f>
        <v>0</v>
      </c>
      <c r="O234" s="23">
        <f>'RESUMEN TOTAL'!T236</f>
        <v>0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>
        <f>'RESUMEN TOTAL'!T245</f>
        <v>0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>
        <f>'RESUMEN TOTAL'!T255</f>
        <v>0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>
        <f>'RESUMEN TOTAL'!P256</f>
        <v>0</v>
      </c>
      <c r="L254" s="23">
        <f>'RESUMEN TOTAL'!Q256</f>
        <v>0</v>
      </c>
      <c r="M254" s="23">
        <f>'RESUMEN TOTAL'!R256</f>
        <v>0</v>
      </c>
      <c r="N254" s="23">
        <f>'RESUMEN TOTAL'!S256</f>
        <v>0</v>
      </c>
      <c r="O254" s="23">
        <f>'RESUMEN TOTAL'!T256</f>
        <v>0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>
        <f>'RESUMEN TOTAL'!T275</f>
        <v>0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>
        <f>'RESUMEN TOTAL'!T277</f>
        <v>0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>
        <f>'RESUMEN TOTAL'!T278</f>
        <v>0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>
        <f>'RESUMEN TOTAL'!T296</f>
        <v>0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>
        <f>'RESUMEN TOTAL'!T297</f>
        <v>0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>
        <f>'RESUMEN TOTAL'!T298</f>
        <v>0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>
        <f>'RESUMEN TOTAL'!T302</f>
        <v>0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>
        <f>'RESUMEN TOTAL'!T307</f>
        <v>0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>
        <f>'RESUMEN TOTAL'!P315</f>
        <v>0</v>
      </c>
      <c r="L312" s="23">
        <f>'RESUMEN TOTAL'!Q315</f>
        <v>0</v>
      </c>
      <c r="M312" s="23">
        <f>'RESUMEN TOTAL'!R315</f>
        <v>0</v>
      </c>
      <c r="N312" s="23">
        <f>'RESUMEN TOTAL'!S315</f>
        <v>0</v>
      </c>
      <c r="O312" s="23">
        <f>'RESUMEN TOTAL'!T315</f>
        <v>0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>
        <f>'RESUMEN TOTAL'!P316</f>
        <v>0</v>
      </c>
      <c r="L313" s="23">
        <f>'RESUMEN TOTAL'!Q316</f>
        <v>0</v>
      </c>
      <c r="M313" s="23">
        <f>'RESUMEN TOTAL'!R316</f>
        <v>0</v>
      </c>
      <c r="N313" s="23">
        <f>'RESUMEN TOTAL'!S316</f>
        <v>0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>
        <f>'RESUMEN TOTAL'!T322</f>
        <v>0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>
        <f>'RESUMEN TOTAL'!Q325</f>
        <v>0</v>
      </c>
      <c r="M322" s="23">
        <f>'RESUMEN TOTAL'!R325</f>
        <v>0</v>
      </c>
      <c r="N322" s="23">
        <f>'RESUMEN TOTAL'!S325</f>
        <v>0</v>
      </c>
      <c r="O322" s="23">
        <f>'RESUMEN TOTAL'!T325</f>
        <v>0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>
        <f>'RESUMEN TOTAL'!T328</f>
        <v>0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>
        <f>'RESUMEN TOTAL'!T331</f>
        <v>0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>
        <f>'RESUMEN TOTAL'!T332</f>
        <v>0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>
        <f>'RESUMEN TOTAL'!T333</f>
        <v>0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>
        <f>'RESUMEN TOTAL'!T345</f>
        <v>0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>
        <f>'RESUMEN TOTAL'!P347</f>
        <v>0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>
        <f>'RESUMEN TOTAL'!T355</f>
        <v>0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>
        <f>'RESUMEN TOTAL'!P360</f>
        <v>0</v>
      </c>
      <c r="L357" s="23">
        <f>'RESUMEN TOTAL'!Q360</f>
        <v>0</v>
      </c>
      <c r="M357" s="23">
        <f>'RESUMEN TOTAL'!R360</f>
        <v>0</v>
      </c>
      <c r="N357" s="23">
        <f>'RESUMEN TOTAL'!S360</f>
        <v>0</v>
      </c>
      <c r="O357" s="23">
        <f>'RESUMEN TOTAL'!T360</f>
        <v>0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>
        <f>'RESUMEN TOTAL'!T367</f>
        <v>0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>
        <f>'RESUMEN TOTAL'!T369</f>
        <v>0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>
        <f>'RESUMEN TOTAL'!P372</f>
        <v>0</v>
      </c>
      <c r="L369" s="23">
        <f>'RESUMEN TOTAL'!Q372</f>
        <v>0</v>
      </c>
      <c r="M369" s="23">
        <f>'RESUMEN TOTAL'!R372</f>
        <v>0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>
        <f>'RESUMEN TOTAL'!T373</f>
        <v>0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>
        <f>'RESUMEN TOTAL'!S374</f>
        <v>0</v>
      </c>
      <c r="O371" s="23">
        <f>'RESUMEN TOTAL'!T374</f>
        <v>0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>
        <f>'RESUMEN TOTAL'!T378</f>
        <v>0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>
        <f>'RESUMEN TOTAL'!P379</f>
        <v>0</v>
      </c>
      <c r="L376" s="23">
        <f>'RESUMEN TOTAL'!Q379</f>
        <v>0</v>
      </c>
      <c r="M376" s="23">
        <f>'RESUMEN TOTAL'!R379</f>
        <v>0</v>
      </c>
      <c r="N376" s="23">
        <f>'RESUMEN TOTAL'!S379</f>
        <v>0</v>
      </c>
      <c r="O376" s="23">
        <f>'RESUMEN TOTAL'!T379</f>
        <v>0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>
        <f>'RESUMEN TOTAL'!T382</f>
        <v>0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>
        <f>'RESUMEN TOTAL'!P387</f>
        <v>0</v>
      </c>
      <c r="L384" s="23">
        <f>'RESUMEN TOTAL'!Q387</f>
        <v>0</v>
      </c>
      <c r="M384" s="23">
        <f>'RESUMEN TOTAL'!R387</f>
        <v>0</v>
      </c>
      <c r="N384" s="23">
        <f>'RESUMEN TOTAL'!S387</f>
        <v>0</v>
      </c>
      <c r="O384" s="23">
        <f>'RESUMEN TOTAL'!T387</f>
        <v>0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>
        <f>'RESUMEN TOTAL'!T394</f>
        <v>0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>
        <f>'RESUMEN TOTAL'!T395</f>
        <v>0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>
        <f>'RESUMEN TOTAL'!T398</f>
        <v>0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>
        <f>'RESUMEN TOTAL'!T399</f>
        <v>0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>
        <f>'RESUMEN TOTAL'!S407</f>
        <v>0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>
        <f>'RESUMEN TOTAL'!S408</f>
        <v>0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>
        <f>'RESUMEN TOTAL'!P409</f>
        <v>0</v>
      </c>
      <c r="L406" s="23">
        <f>'RESUMEN TOTAL'!Q409</f>
        <v>0</v>
      </c>
      <c r="M406" s="23">
        <f>'RESUMEN TOTAL'!R409</f>
        <v>0</v>
      </c>
      <c r="N406" s="23">
        <f>'RESUMEN TOTAL'!S409</f>
        <v>0</v>
      </c>
      <c r="O406" s="23">
        <f>'RESUMEN TOTAL'!T409</f>
        <v>0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>
        <f>'RESUMEN TOTAL'!P410</f>
        <v>0</v>
      </c>
      <c r="L407" s="23">
        <f>'RESUMEN TOTAL'!Q410</f>
        <v>0</v>
      </c>
      <c r="M407" s="23">
        <f>'RESUMEN TOTAL'!R410</f>
        <v>0</v>
      </c>
      <c r="N407" s="23">
        <f>'RESUMEN TOTAL'!S410</f>
        <v>0</v>
      </c>
      <c r="O407" s="23">
        <f>'RESUMEN TOTAL'!T410</f>
        <v>0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>
        <f>'RESUMEN TOTAL'!R412</f>
        <v>0</v>
      </c>
      <c r="N409" s="23">
        <f>'RESUMEN TOTAL'!S412</f>
        <v>0</v>
      </c>
      <c r="O409" s="23">
        <f>'RESUMEN TOTAL'!T412</f>
        <v>0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>
        <f>'RESUMEN TOTAL'!P420</f>
        <v>0</v>
      </c>
      <c r="L417" s="23">
        <f>'RESUMEN TOTAL'!Q420</f>
        <v>0</v>
      </c>
      <c r="M417" s="23">
        <f>'RESUMEN TOTAL'!R420</f>
        <v>0</v>
      </c>
      <c r="N417" s="23">
        <f>'RESUMEN TOTAL'!S420</f>
        <v>0</v>
      </c>
      <c r="O417" s="23">
        <f>'RESUMEN TOTAL'!T420</f>
        <v>0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>
        <f>'RESUMEN TOTAL'!T429</f>
        <v>0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>
        <f>'RESUMEN TOTAL'!T430</f>
        <v>0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>
        <f>'RESUMEN TOTAL'!T431</f>
        <v>0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>
        <f>'RESUMEN TOTAL'!T432</f>
        <v>0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J6" sqref="J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COUNTIFS(J4:J400, "=APAGADO",E4:E400,"=Fibra Optica")</f>
        <v>29</v>
      </c>
      <c r="K2" s="19">
        <f>COUNTIFS(K4:K400, "=APAGADO",E4:E400,"=Fibra Optica")</f>
        <v>0</v>
      </c>
      <c r="L2" s="19">
        <f>COUNTIFS(L4:L400, "=APAGADO",E4:E400,"=Fibra Optica")</f>
        <v>0</v>
      </c>
      <c r="M2" s="19">
        <f>COUNTIFS(M4:M400, "=APAGADO",E4:E400,"=Fibra Optica")</f>
        <v>0</v>
      </c>
      <c r="N2" s="19">
        <f>COUNTIFS(N4:N400, "=APAGADO",E4:E400,"=Fibra Optica")</f>
        <v>0</v>
      </c>
      <c r="O2" s="19">
        <f>COUNTIFS(O4:O400, "=APAGADO",E4:E400,"=Fibra Optica")</f>
        <v>0</v>
      </c>
      <c r="P2" s="19">
        <f>COUNTIFS(P4:P400, "=APAGADO",E4:E400,"=Fibra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COUNTIFS(J4:J400, "=APAGADO",E4:E400,"=PTO A FO")</f>
        <v>1</v>
      </c>
      <c r="K2" s="19">
        <f>COUNTIFS(K4:K400, "=APAGADO",E4:E400,"=PTO A FO")</f>
        <v>0</v>
      </c>
      <c r="L2" s="19">
        <f>COUNTIFS(L4:L400, "=APAGADO",E4:E400,"=PTO A FO")</f>
        <v>0</v>
      </c>
      <c r="M2" s="19">
        <f>COUNTIFS(M4:M400, "=APAGADO",E4:E400,"=PTO A FO")</f>
        <v>0</v>
      </c>
      <c r="N2" s="19">
        <f>COUNTIFS(N4:N400, "=APAGADO",E4:E400,"=PTO A FO")</f>
        <v>0</v>
      </c>
      <c r="O2" s="19">
        <f>COUNTIFS(O4:O500, "=APAGADO",E4:E500,"=PTO A FO")</f>
        <v>0</v>
      </c>
      <c r="P2" s="19">
        <f>COUNTIFS(P4:P400, "=APAGADO",E4:E400,"=PTO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2" sqref="A12:E1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/>
      <c r="B17" s="76"/>
      <c r="C17" s="77"/>
      <c r="D17" s="78"/>
      <c r="E17" s="141"/>
      <c r="G17" s="116"/>
      <c r="H17" s="100"/>
      <c r="I17" s="100"/>
      <c r="J17" s="100"/>
      <c r="K17" s="101"/>
      <c r="L17" s="117"/>
      <c r="M17" s="139"/>
    </row>
    <row r="18" spans="1:14" x14ac:dyDescent="0.25">
      <c r="A18" s="79"/>
      <c r="B18" s="80"/>
      <c r="C18" s="81"/>
      <c r="D18" s="82"/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/>
      <c r="B19" s="80"/>
      <c r="C19" s="81"/>
      <c r="D19" s="82"/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/>
      <c r="B20" s="80"/>
      <c r="C20" s="81"/>
      <c r="D20" s="82"/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/>
      <c r="B21" s="92"/>
      <c r="C21" s="93"/>
      <c r="D21" s="82"/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/>
      <c r="C22" s="77"/>
      <c r="D22" s="78"/>
      <c r="E22" s="141"/>
    </row>
    <row r="23" spans="1:14" ht="15.75" thickBot="1" x14ac:dyDescent="0.3">
      <c r="A23" s="79" t="s">
        <v>6</v>
      </c>
      <c r="B23" s="80"/>
      <c r="C23" s="81"/>
      <c r="D23" s="82"/>
      <c r="E23" s="142"/>
    </row>
    <row r="24" spans="1:14" ht="15.75" thickTop="1" x14ac:dyDescent="0.25">
      <c r="A24" s="79" t="s">
        <v>1001</v>
      </c>
      <c r="B24" s="80"/>
      <c r="C24" s="81"/>
      <c r="D24" s="82"/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/>
      <c r="C25" s="81"/>
      <c r="D25" s="82"/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/>
      <c r="C26" s="93"/>
      <c r="D26" s="94"/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/>
      <c r="C30" s="81"/>
      <c r="D30" s="82"/>
      <c r="E30" s="142"/>
    </row>
    <row r="31" spans="1:14" ht="16.5" thickTop="1" thickBot="1" x14ac:dyDescent="0.3">
      <c r="A31" s="91" t="s">
        <v>16</v>
      </c>
      <c r="B31" s="92"/>
      <c r="C31" s="93"/>
      <c r="D31" s="94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2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43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2"/>
    </row>
    <row r="40" spans="1:14" ht="15.75" thickTop="1" x14ac:dyDescent="0.25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/>
      <c r="C46" s="93"/>
      <c r="D46" s="94"/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5" sqref="E5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/>
      <c r="C6" s="40"/>
      <c r="D6" s="40"/>
      <c r="E6" s="40"/>
      <c r="F6" s="40"/>
    </row>
    <row r="7" spans="1:7" x14ac:dyDescent="0.25">
      <c r="A7" s="18">
        <f>'APAGADOS RADIO'!K3</f>
        <v>44871</v>
      </c>
      <c r="B7" s="40"/>
      <c r="C7" s="40"/>
      <c r="D7" s="40"/>
      <c r="E7" s="40"/>
      <c r="F7" s="40"/>
    </row>
    <row r="8" spans="1:7" x14ac:dyDescent="0.25">
      <c r="A8" s="18">
        <f>'APAGADOS RADIO'!L3</f>
        <v>44872</v>
      </c>
      <c r="B8" s="40"/>
      <c r="C8" s="40"/>
      <c r="D8" s="40"/>
      <c r="E8" s="40"/>
      <c r="F8" s="40"/>
    </row>
    <row r="9" spans="1:7" x14ac:dyDescent="0.25">
      <c r="A9" s="18">
        <f>'APAGADOS RADIO'!M3</f>
        <v>44873</v>
      </c>
      <c r="B9" s="40"/>
      <c r="C9" s="40"/>
      <c r="D9" s="40"/>
      <c r="E9" s="40"/>
      <c r="F9" s="40"/>
    </row>
    <row r="10" spans="1:7" x14ac:dyDescent="0.25">
      <c r="A10" s="18">
        <f>'APAGADOS RADIO'!N3</f>
        <v>44874</v>
      </c>
      <c r="B10" s="40"/>
      <c r="C10" s="40"/>
      <c r="D10" s="40"/>
      <c r="E10" s="40"/>
      <c r="F10" s="40"/>
    </row>
    <row r="11" spans="1:7" x14ac:dyDescent="0.25">
      <c r="A11" s="18">
        <f>'APAGADOS RADIO'!O3</f>
        <v>44875</v>
      </c>
      <c r="B11" s="40"/>
      <c r="C11" s="40"/>
      <c r="D11" s="40"/>
      <c r="E11" s="40"/>
      <c r="F11" s="40"/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I2" sqref="I2: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TOTAL'!D7:D501, "=BONOMO",'RESUMEN TOTAL'!P7:P501,"=APAGADO")</f>
        <v>0</v>
      </c>
      <c r="L3" s="63">
        <f>COUNTIFS('RESUMEN TOTAL'!C7:C501, "=BONOMO",'RESUMEN TOTAL'!Q7:Q501,"=APAGADO")</f>
        <v>0</v>
      </c>
      <c r="M3" s="63">
        <f>COUNTIFS('RESUMEN TOTAL'!D7:D501, "=BONOMO",'RESUMEN TOTAL'!R7:R501,"=APAGADO")</f>
        <v>0</v>
      </c>
      <c r="N3" s="63">
        <f>COUNTIFS('RESUMEN TOTAL'!C7:C501, "=BONOMO",'RESUMEN TOTAL'!S7:S501,"=APAGADO")</f>
        <v>0</v>
      </c>
      <c r="O3" s="63">
        <f>COUNTIFS('RESUMEN TOTAL'!C7:C501, "=BONOMO",'RESUMEN TOTAL'!T7:T501,"=APAGADO")</f>
        <v>0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TOTAL'!D10:D421, "=COSEIDI",'RESUMEN TOTAL'!P10:P421,"=APAGADO")</f>
        <v>0</v>
      </c>
      <c r="L5" s="66">
        <f>COUNTIFS('RESUMEN TOTAL'!C10:C421, "=COSEIDI",'RESUMEN TOTAL'!Q10:Q421,"=APAGADO")</f>
        <v>0</v>
      </c>
      <c r="M5" s="66">
        <f>COUNTIFS('RESUMEN TOTAL'!D10:D421, "=COSEIDI",'RESUMEN TOTAL'!R10:R421,"=APAGADO")</f>
        <v>0</v>
      </c>
      <c r="N5" s="66">
        <f>COUNTIFS('RESUMEN TOTAL'!C10:C421, "=COSEIDI",'RESUMEN TOTAL'!S10:S421,"=APAGADO")</f>
        <v>0</v>
      </c>
      <c r="O5" s="66">
        <f>COUNTIFS('RESUMEN TOTAL'!C10:C421, "=COSEIDI",'RESUMEN TOTAL'!T10:T421,"=APAGADO")</f>
        <v>0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2022-11-08T10:26:35Z</dcterms:modified>
</cp:coreProperties>
</file>