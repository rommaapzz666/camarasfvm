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9C328909-054A-4A1F-A407-79630C2A69C1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H395" i="9"/>
  <c r="AI395" i="9"/>
  <c r="AH396" i="9"/>
  <c r="AI396" i="9"/>
  <c r="AH397" i="9"/>
  <c r="AI397" i="9"/>
  <c r="AH398" i="9"/>
  <c r="AI398" i="9"/>
  <c r="AH399" i="9"/>
  <c r="AI399" i="9"/>
  <c r="AH400" i="9"/>
  <c r="AI400" i="9"/>
  <c r="AH401" i="9"/>
  <c r="AI401" i="9"/>
  <c r="D38" i="24"/>
  <c r="C39" i="24"/>
  <c r="D39" i="24" s="1"/>
  <c r="D33" i="24"/>
  <c r="C34" i="24"/>
  <c r="D34" i="24" s="1"/>
  <c r="D28" i="24"/>
  <c r="C29" i="24"/>
  <c r="D29" i="24" s="1"/>
  <c r="D23" i="24"/>
  <c r="C24" i="24"/>
  <c r="C25" i="24" s="1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F378" i="10"/>
  <c r="H380" i="10"/>
  <c r="G383" i="10"/>
  <c r="L384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D383" i="9"/>
  <c r="A384" i="9"/>
  <c r="N385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I377" i="21"/>
  <c r="F378" i="21"/>
  <c r="H380" i="21"/>
  <c r="O391" i="21"/>
  <c r="C393" i="21"/>
  <c r="N394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N378" i="11"/>
  <c r="C379" i="11"/>
  <c r="E381" i="11"/>
  <c r="B382" i="11"/>
  <c r="N386" i="11"/>
  <c r="P388" i="11"/>
  <c r="Q392" i="11"/>
  <c r="N394" i="11"/>
  <c r="K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V396" i="10" s="1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D18" i="24"/>
  <c r="C19" i="24"/>
  <c r="C20" i="24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F386" i="10" l="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C45" i="24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40" i="24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N393" i="2"/>
  <c r="N389" i="2"/>
  <c r="N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C35" i="24"/>
  <c r="C30" i="24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Q3" i="2"/>
  <c r="AR3" i="2"/>
  <c r="C46" i="24" l="1"/>
  <c r="D46" i="24" s="1"/>
  <c r="D45" i="24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AH1" i="9" s="1"/>
  <c r="S367" i="9"/>
  <c r="D40" i="24"/>
  <c r="C41" i="24"/>
  <c r="D41" i="24" s="1"/>
  <c r="A368" i="10"/>
  <c r="D35" i="24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N370" i="2"/>
  <c r="N346" i="2"/>
  <c r="N338" i="2"/>
  <c r="N314" i="2"/>
  <c r="N298" i="2"/>
  <c r="N290" i="2"/>
  <c r="N274" i="2"/>
  <c r="N258" i="2"/>
  <c r="N250" i="2"/>
  <c r="A368" i="9"/>
  <c r="AI283" i="10"/>
  <c r="AH191" i="10"/>
  <c r="AH128" i="21"/>
  <c r="AI88" i="10"/>
  <c r="N369" i="2"/>
  <c r="N353" i="2"/>
  <c r="H369" i="11"/>
  <c r="Y368" i="10"/>
  <c r="AH305" i="21"/>
  <c r="AH90" i="10"/>
  <c r="C367" i="9"/>
  <c r="AI304" i="10"/>
  <c r="AI91" i="10"/>
  <c r="J368" i="10"/>
  <c r="AG368" i="11"/>
  <c r="AH263" i="11"/>
  <c r="N372" i="2"/>
  <c r="N364" i="2"/>
  <c r="N348" i="2"/>
  <c r="N340" i="2"/>
  <c r="N332" i="2"/>
  <c r="N316" i="2"/>
  <c r="N308" i="2"/>
  <c r="B368" i="10"/>
  <c r="AH311" i="11"/>
  <c r="AH252" i="10"/>
  <c r="AI115" i="10"/>
  <c r="AI3" i="11"/>
  <c r="A31" i="14" s="1"/>
  <c r="AH3" i="11"/>
  <c r="A30" i="1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I1" i="9" l="1"/>
  <c r="AB3" i="2"/>
  <c r="P3" i="2"/>
  <c r="Q3" i="2"/>
  <c r="R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R1" i="2"/>
  <c r="X1" i="2"/>
  <c r="B1" i="2"/>
  <c r="F30" i="14" s="1"/>
  <c r="AI2" i="21" l="1"/>
  <c r="AH2" i="21"/>
  <c r="D30" i="14" s="1"/>
  <c r="F29" i="14"/>
  <c r="F28" i="14"/>
  <c r="F22" i="14"/>
  <c r="F27" i="14"/>
  <c r="F26" i="14"/>
  <c r="F23" i="14"/>
  <c r="F25" i="14"/>
  <c r="F24" i="14"/>
  <c r="F17" i="14"/>
  <c r="F21" i="14"/>
  <c r="F20" i="14"/>
  <c r="F19" i="14"/>
  <c r="F18" i="14"/>
  <c r="F16" i="14"/>
  <c r="AC2" i="21"/>
  <c r="D25" i="14" s="1"/>
  <c r="U2" i="21"/>
  <c r="D17" i="14" s="1"/>
  <c r="M2" i="21"/>
  <c r="D1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O2" i="21"/>
  <c r="D11" i="14" s="1"/>
  <c r="G2" i="21"/>
  <c r="D3" i="14" s="1"/>
  <c r="AD2" i="21"/>
  <c r="D26" i="14" s="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B30" i="14" s="1"/>
  <c r="O2" i="11"/>
  <c r="B11" i="14" s="1"/>
  <c r="AG2" i="11"/>
  <c r="R2" i="11"/>
  <c r="B14" i="14" s="1"/>
  <c r="P2" i="11"/>
  <c r="B12" i="14" s="1"/>
  <c r="AB2" i="11"/>
  <c r="B24" i="14" s="1"/>
  <c r="V2" i="11"/>
  <c r="B18" i="14" s="1"/>
  <c r="G2" i="11"/>
  <c r="B3" i="14" s="1"/>
  <c r="Q2" i="11"/>
  <c r="B13" i="14" s="1"/>
  <c r="K2" i="11"/>
  <c r="AA2" i="11"/>
  <c r="B23" i="14" s="1"/>
  <c r="L2" i="11"/>
  <c r="B8" i="14" s="1"/>
  <c r="AC2" i="11"/>
  <c r="B25" i="14" s="1"/>
  <c r="F2" i="1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E30" i="14" l="1"/>
  <c r="G30" i="14" s="1"/>
  <c r="E24" i="14"/>
  <c r="G24" i="14" s="1"/>
  <c r="B27" i="14"/>
  <c r="E27" i="14" s="1"/>
  <c r="G27" i="14" s="1"/>
  <c r="E26" i="14"/>
  <c r="G26" i="14" s="1"/>
  <c r="E25" i="14"/>
  <c r="G25" i="14" s="1"/>
  <c r="E23" i="14"/>
  <c r="G23" i="14" s="1"/>
  <c r="B28" i="14"/>
  <c r="E28" i="14" s="1"/>
  <c r="G28" i="14" s="1"/>
  <c r="B29" i="14"/>
  <c r="E29" i="14" s="1"/>
  <c r="G29" i="14" s="1"/>
  <c r="E22" i="14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<sst xmlns="http://schemas.openxmlformats.org/spreadsheetml/2006/main" count="3424" uniqueCount="1402">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</sst>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0</c:v>
                </c:pt>
                <c:pt idx="5">
                  <c:v>8.1632653061224483E-2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0</c:v>
                </c:pt>
                <c:pt idx="5">
                  <c:v>8.1632653061224483E-2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R206" activePane="bottomRight" state="frozen"/>
      <selection pane="topRight" activeCell="M1" sqref="M1"/>
      <selection pane="bottomLeft" activeCell="A5" sqref="A5"/>
      <selection pane="bottomRight" activeCell="R215" sqref="R215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14.140625" style="22" bestFit="1" customWidth="1"/>
    <col min="45" max="45" width="14.140625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0.10026385224274406</v>
      </c>
      <c r="P1" s="4">
        <f t="shared" si="0"/>
        <v>0.10817941952506596</v>
      </c>
      <c r="Q1" s="4">
        <f t="shared" si="0"/>
        <v>8.1794195250659632E-2</v>
      </c>
      <c r="R1" s="4">
        <f t="shared" si="0"/>
        <v>8.9709762532981532E-2</v>
      </c>
      <c r="S1" s="4"/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341</v>
      </c>
      <c r="P2" s="10">
        <f t="shared" si="3"/>
        <v>338</v>
      </c>
      <c r="Q2" s="10">
        <f t="shared" si="3"/>
        <v>348</v>
      </c>
      <c r="R2" s="10">
        <f t="shared" si="3"/>
        <v>345</v>
      </c>
      <c r="S2" s="10"/>
      <c r="T2" s="10">
        <f t="shared" si="3"/>
        <v>375</v>
      </c>
      <c r="U2" s="10">
        <f t="shared" si="3"/>
        <v>375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38</v>
      </c>
      <c r="P3" s="14">
        <f t="shared" ref="P3:AP3" si="5">COUNTIF(P4:P447, "apagado")</f>
        <v>41</v>
      </c>
      <c r="Q3" s="14">
        <f t="shared" si="5"/>
        <v>31</v>
      </c>
      <c r="R3" s="14">
        <f t="shared" si="5"/>
        <v>34</v>
      </c>
      <c r="S3" s="14"/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1390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44774</v>
      </c>
      <c r="P4" s="15">
        <v>44775</v>
      </c>
      <c r="Q4" s="15">
        <v>44776</v>
      </c>
      <c r="R4" s="15">
        <v>44777</v>
      </c>
      <c r="S4" s="15">
        <v>44778</v>
      </c>
      <c r="T4" s="15">
        <v>44779</v>
      </c>
      <c r="U4" s="15">
        <v>44780</v>
      </c>
      <c r="V4" s="15">
        <v>44781</v>
      </c>
      <c r="W4" s="15">
        <v>44782</v>
      </c>
      <c r="X4" s="15">
        <v>44783</v>
      </c>
      <c r="Y4" s="15">
        <v>44784</v>
      </c>
      <c r="Z4" s="15">
        <v>44785</v>
      </c>
      <c r="AA4" s="15">
        <v>44786</v>
      </c>
      <c r="AB4" s="15">
        <v>44787</v>
      </c>
      <c r="AC4" s="15">
        <v>44788</v>
      </c>
      <c r="AD4" s="15">
        <v>44789</v>
      </c>
      <c r="AE4" s="15">
        <v>44790</v>
      </c>
      <c r="AF4" s="15">
        <v>44791</v>
      </c>
      <c r="AG4" s="15">
        <v>44792</v>
      </c>
      <c r="AH4" s="15">
        <v>44793</v>
      </c>
      <c r="AI4" s="15">
        <v>44794</v>
      </c>
      <c r="AJ4" s="15">
        <v>44795</v>
      </c>
      <c r="AK4" s="15">
        <v>44796</v>
      </c>
      <c r="AL4" s="15">
        <v>44797</v>
      </c>
      <c r="AM4" s="15">
        <v>44798</v>
      </c>
      <c r="AN4" s="15">
        <v>44799</v>
      </c>
      <c r="AO4" s="15">
        <v>44800</v>
      </c>
      <c r="AP4" s="15">
        <v>44801</v>
      </c>
      <c r="AQ4" s="15">
        <v>44802</v>
      </c>
      <c r="AR4" s="15">
        <v>44803</v>
      </c>
      <c r="AS4" s="15">
        <v>44804</v>
      </c>
    </row>
    <row r="5" spans="1:45" ht="16.5" thickTop="1" thickBot="1" x14ac:dyDescent="0.3">
      <c r="A5" s="51" t="s">
        <v>34</v>
      </c>
      <c r="B5" s="51" t="s">
        <v>1214</v>
      </c>
      <c r="C5" s="51" t="s">
        <v>1391</v>
      </c>
      <c r="D5" s="51" t="s">
        <v>44</v>
      </c>
      <c r="E5" s="51" t="s">
        <v>24</v>
      </c>
      <c r="F5" s="51" t="s">
        <v>1383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1215</v>
      </c>
      <c r="C6" s="51" t="s">
        <v>1391</v>
      </c>
      <c r="D6" s="51" t="s">
        <v>46</v>
      </c>
      <c r="E6" s="51" t="s">
        <v>24</v>
      </c>
      <c r="F6" s="51" t="s">
        <v>1383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1216</v>
      </c>
      <c r="C7" s="51" t="s">
        <v>1391</v>
      </c>
      <c r="D7" s="51" t="s">
        <v>35</v>
      </c>
      <c r="E7" s="51" t="s">
        <v>24</v>
      </c>
      <c r="F7" s="51" t="s">
        <v>1384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30</v>
      </c>
      <c r="M7" s="17">
        <f t="shared" si="8"/>
        <v>0</v>
      </c>
      <c r="N7" s="18">
        <f t="shared" si="9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1217</v>
      </c>
      <c r="C8" s="51" t="s">
        <v>1391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1218</v>
      </c>
      <c r="C9" s="51" t="s">
        <v>1391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1219</v>
      </c>
      <c r="C10" s="51" t="s">
        <v>1391</v>
      </c>
      <c r="D10" s="51" t="s">
        <v>1220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1391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1391</v>
      </c>
      <c r="D12" s="51" t="s">
        <v>42</v>
      </c>
      <c r="E12" s="51" t="s">
        <v>24</v>
      </c>
      <c r="F12" s="51" t="s">
        <v>1384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1391</v>
      </c>
      <c r="D13" s="51" t="s">
        <v>49</v>
      </c>
      <c r="E13" s="51" t="s">
        <v>24</v>
      </c>
      <c r="F13" s="51" t="s">
        <v>1384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1391</v>
      </c>
      <c r="D14" s="51" t="s">
        <v>52</v>
      </c>
      <c r="E14" s="51" t="s">
        <v>19</v>
      </c>
      <c r="F14" s="51" t="s">
        <v>1384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1221</v>
      </c>
      <c r="C15" s="51" t="s">
        <v>1392</v>
      </c>
      <c r="D15" s="51" t="s">
        <v>59</v>
      </c>
      <c r="E15" s="51" t="s">
        <v>24</v>
      </c>
      <c r="F15" s="51" t="s">
        <v>1383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29</v>
      </c>
      <c r="M15" s="17">
        <f t="shared" si="8"/>
        <v>1</v>
      </c>
      <c r="N15" s="18">
        <f t="shared" si="9"/>
        <v>0.96666666666666667</v>
      </c>
      <c r="O15" s="27"/>
      <c r="P15" s="8" t="s">
        <v>1209</v>
      </c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s="51" t="s">
        <v>61</v>
      </c>
      <c r="B16" s="51" t="s">
        <v>1222</v>
      </c>
      <c r="C16" s="51" t="s">
        <v>1391</v>
      </c>
      <c r="D16" s="51" t="s">
        <v>62</v>
      </c>
      <c r="E16" s="51" t="s">
        <v>19</v>
      </c>
      <c r="F16" s="51" t="s">
        <v>1383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29</v>
      </c>
      <c r="M16" s="17">
        <f t="shared" si="8"/>
        <v>1</v>
      </c>
      <c r="N16" s="18">
        <f t="shared" si="9"/>
        <v>0.96666666666666667</v>
      </c>
      <c r="O16" s="27"/>
      <c r="P16" s="8" t="s">
        <v>1209</v>
      </c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1223</v>
      </c>
      <c r="C17" s="51" t="s">
        <v>1391</v>
      </c>
      <c r="D17" s="51" t="s">
        <v>1224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1225</v>
      </c>
      <c r="C18" s="51" t="s">
        <v>1391</v>
      </c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1226</v>
      </c>
      <c r="C19" s="51" t="s">
        <v>1391</v>
      </c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1227</v>
      </c>
      <c r="C20" s="51" t="s">
        <v>1391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1228</v>
      </c>
      <c r="C21" s="51" t="s">
        <v>1391</v>
      </c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A22" s="51" t="s">
        <v>72</v>
      </c>
      <c r="B22" s="51" t="s">
        <v>1229</v>
      </c>
      <c r="C22" s="51" t="s">
        <v>1391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A23" s="51" t="s">
        <v>72</v>
      </c>
      <c r="B23" s="51" t="s">
        <v>1230</v>
      </c>
      <c r="C23" s="51" t="s">
        <v>1391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1391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 t="s">
        <v>1391</v>
      </c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 t="s">
        <v>1391</v>
      </c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1391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 t="s">
        <v>1391</v>
      </c>
      <c r="D28" s="51" t="s">
        <v>79</v>
      </c>
      <c r="E28" s="51" t="s">
        <v>19</v>
      </c>
      <c r="F28" s="51" t="s">
        <v>1383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1391</v>
      </c>
      <c r="D29" s="51" t="s">
        <v>84</v>
      </c>
      <c r="E29" s="51" t="s">
        <v>19</v>
      </c>
      <c r="F29" s="51" t="s">
        <v>1384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 t="s">
        <v>1391</v>
      </c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1231</v>
      </c>
      <c r="C31" s="51" t="s">
        <v>1391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1387</v>
      </c>
      <c r="L31" s="53">
        <f t="shared" si="10"/>
        <v>26</v>
      </c>
      <c r="M31" s="17">
        <f t="shared" si="8"/>
        <v>4</v>
      </c>
      <c r="N31" s="18">
        <f t="shared" si="9"/>
        <v>0.8666666666666667</v>
      </c>
      <c r="O31" s="27" t="s">
        <v>1209</v>
      </c>
      <c r="P31" s="8" t="s">
        <v>1209</v>
      </c>
      <c r="Q31" s="8" t="s">
        <v>1209</v>
      </c>
      <c r="R31" s="8" t="s">
        <v>1209</v>
      </c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 t="s">
        <v>1391</v>
      </c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1391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1391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26</v>
      </c>
      <c r="M34" s="17">
        <f t="shared" si="8"/>
        <v>4</v>
      </c>
      <c r="N34" s="18">
        <f t="shared" si="9"/>
        <v>0.8666666666666667</v>
      </c>
      <c r="O34" s="27" t="s">
        <v>1209</v>
      </c>
      <c r="P34" s="8" t="s">
        <v>1209</v>
      </c>
      <c r="Q34" s="8" t="s">
        <v>1209</v>
      </c>
      <c r="R34" s="8" t="s">
        <v>1209</v>
      </c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s="51" t="s">
        <v>72</v>
      </c>
      <c r="B35" s="51" t="s">
        <v>1232</v>
      </c>
      <c r="C35" s="51" t="s">
        <v>1391</v>
      </c>
      <c r="D35" s="51" t="s">
        <v>1233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1234</v>
      </c>
      <c r="C36" s="51" t="s">
        <v>1391</v>
      </c>
      <c r="D36" s="51" t="s">
        <v>1235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30</v>
      </c>
      <c r="M36" s="17">
        <f t="shared" si="8"/>
        <v>0</v>
      </c>
      <c r="N36" s="18">
        <f t="shared" si="9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1391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1391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s="51" t="s">
        <v>72</v>
      </c>
      <c r="B39" s="51" t="s">
        <v>107</v>
      </c>
      <c r="C39" s="51" t="s">
        <v>1391</v>
      </c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 t="s">
        <v>1391</v>
      </c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 t="s">
        <v>1391</v>
      </c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 t="s">
        <v>1391</v>
      </c>
      <c r="D42" s="51" t="s">
        <v>1236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s="51" t="s">
        <v>72</v>
      </c>
      <c r="B43" s="51" t="s">
        <v>121</v>
      </c>
      <c r="C43" s="51" t="s">
        <v>1391</v>
      </c>
      <c r="D43" s="51" t="s">
        <v>1237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 t="s">
        <v>1391</v>
      </c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 t="s">
        <v>1391</v>
      </c>
      <c r="D45" s="51" t="s">
        <v>1238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 t="s">
        <v>1391</v>
      </c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 t="s">
        <v>1391</v>
      </c>
      <c r="D47" s="51" t="s">
        <v>1239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1391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1391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 t="s">
        <v>1391</v>
      </c>
      <c r="D50" s="51" t="s">
        <v>145</v>
      </c>
      <c r="E50" s="51" t="s">
        <v>24</v>
      </c>
      <c r="F50" s="51" t="s">
        <v>1384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1391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 t="s">
        <v>1391</v>
      </c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1391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 t="s">
        <v>1391</v>
      </c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s="51" t="s">
        <v>72</v>
      </c>
      <c r="B55" s="51" t="s">
        <v>158</v>
      </c>
      <c r="C55" s="51" t="s">
        <v>1391</v>
      </c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 t="s">
        <v>1391</v>
      </c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 t="s">
        <v>1391</v>
      </c>
      <c r="D57" s="51" t="s">
        <v>1240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1391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s="51" t="s">
        <v>72</v>
      </c>
      <c r="B59" s="51" t="s">
        <v>169</v>
      </c>
      <c r="C59" s="51" t="s">
        <v>1391</v>
      </c>
      <c r="D59" s="51" t="s">
        <v>1241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 t="s">
        <v>1391</v>
      </c>
      <c r="D60" s="51" t="s">
        <v>1242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 t="s">
        <v>1391</v>
      </c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 t="s">
        <v>1391</v>
      </c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s="51" t="s">
        <v>72</v>
      </c>
      <c r="B63" s="51" t="s">
        <v>176</v>
      </c>
      <c r="C63" s="51" t="s">
        <v>1391</v>
      </c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s="51" t="s">
        <v>72</v>
      </c>
      <c r="B64" s="51" t="s">
        <v>179</v>
      </c>
      <c r="C64" s="51" t="s">
        <v>1391</v>
      </c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 t="s">
        <v>1391</v>
      </c>
      <c r="D65" s="51" t="s">
        <v>1243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s="51" t="s">
        <v>72</v>
      </c>
      <c r="B66" s="51" t="s">
        <v>183</v>
      </c>
      <c r="C66" s="51" t="s">
        <v>1391</v>
      </c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 t="s">
        <v>1391</v>
      </c>
      <c r="D67" s="51" t="s">
        <v>1397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26</v>
      </c>
      <c r="M67" s="17">
        <f t="shared" si="8"/>
        <v>4</v>
      </c>
      <c r="N67" s="18">
        <f t="shared" si="9"/>
        <v>0.8666666666666667</v>
      </c>
      <c r="O67" s="27" t="s">
        <v>1209</v>
      </c>
      <c r="P67" s="8" t="s">
        <v>1209</v>
      </c>
      <c r="Q67" s="8" t="s">
        <v>1209</v>
      </c>
      <c r="R67" s="8" t="s">
        <v>1209</v>
      </c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1391</v>
      </c>
      <c r="D68" s="51" t="s">
        <v>1398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1391</v>
      </c>
      <c r="D69" s="51" t="s">
        <v>1399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1391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 t="s">
        <v>1391</v>
      </c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 t="s">
        <v>1391</v>
      </c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1391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1391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30</v>
      </c>
      <c r="M74" s="17">
        <f t="shared" si="11"/>
        <v>0</v>
      </c>
      <c r="N74" s="18">
        <f t="shared" si="12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 t="s">
        <v>1391</v>
      </c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1391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 t="s">
        <v>1391</v>
      </c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 t="s">
        <v>1391</v>
      </c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1391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 t="s">
        <v>1391</v>
      </c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30</v>
      </c>
      <c r="M80" s="17">
        <f t="shared" si="11"/>
        <v>0</v>
      </c>
      <c r="N80" s="18">
        <f t="shared" si="12"/>
        <v>1</v>
      </c>
      <c r="O80" s="27"/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 t="s">
        <v>1391</v>
      </c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1391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1244</v>
      </c>
      <c r="C83" s="51" t="s">
        <v>1391</v>
      </c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30</v>
      </c>
      <c r="M83" s="17">
        <f t="shared" si="11"/>
        <v>0</v>
      </c>
      <c r="N83" s="18">
        <f t="shared" si="12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1245</v>
      </c>
      <c r="C84" s="51" t="s">
        <v>1391</v>
      </c>
      <c r="D84" s="51" t="s">
        <v>1246</v>
      </c>
      <c r="E84" s="51" t="s">
        <v>19</v>
      </c>
      <c r="F84" s="51" t="s">
        <v>1384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1247</v>
      </c>
      <c r="C85" s="51" t="s">
        <v>1391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 t="s">
        <v>1391</v>
      </c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1391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26</v>
      </c>
      <c r="M87" s="17">
        <f t="shared" si="11"/>
        <v>4</v>
      </c>
      <c r="N87" s="18">
        <f t="shared" si="12"/>
        <v>0.8666666666666667</v>
      </c>
      <c r="O87" s="27" t="s">
        <v>1209</v>
      </c>
      <c r="P87" s="8" t="s">
        <v>1209</v>
      </c>
      <c r="Q87" s="8" t="s">
        <v>1209</v>
      </c>
      <c r="R87" s="8" t="s">
        <v>1209</v>
      </c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 t="s">
        <v>1391</v>
      </c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1391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 t="s">
        <v>1391</v>
      </c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1391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s="51" t="s">
        <v>72</v>
      </c>
      <c r="B92" s="51" t="s">
        <v>238</v>
      </c>
      <c r="C92" s="51" t="s">
        <v>1391</v>
      </c>
      <c r="D92" s="51" t="s">
        <v>239</v>
      </c>
      <c r="E92" s="51" t="s">
        <v>24</v>
      </c>
      <c r="F92" s="51" t="s">
        <v>1383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1391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s="51" t="s">
        <v>243</v>
      </c>
      <c r="B94" s="51" t="s">
        <v>244</v>
      </c>
      <c r="C94" s="51" t="s">
        <v>1391</v>
      </c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 t="s">
        <v>1391</v>
      </c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1391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s="51" t="s">
        <v>256</v>
      </c>
      <c r="B97" s="51" t="s">
        <v>1248</v>
      </c>
      <c r="C97" s="51" t="s">
        <v>1392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1392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1392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1249</v>
      </c>
      <c r="C100" s="51" t="s">
        <v>1391</v>
      </c>
      <c r="D100" s="51" t="s">
        <v>265</v>
      </c>
      <c r="E100" s="51" t="s">
        <v>102</v>
      </c>
      <c r="F100" s="51" t="s">
        <v>1384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1250</v>
      </c>
      <c r="C101" s="51" t="s">
        <v>1391</v>
      </c>
      <c r="D101" s="51" t="s">
        <v>265</v>
      </c>
      <c r="E101" s="51" t="s">
        <v>102</v>
      </c>
      <c r="F101" s="51" t="s">
        <v>1384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1251</v>
      </c>
      <c r="C102" s="51" t="s">
        <v>1391</v>
      </c>
      <c r="D102" s="51" t="s">
        <v>1252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30</v>
      </c>
      <c r="M102" s="17">
        <f t="shared" si="11"/>
        <v>0</v>
      </c>
      <c r="N102" s="18">
        <f t="shared" si="12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A103" s="51" t="s">
        <v>264</v>
      </c>
      <c r="B103" s="51" t="s">
        <v>1253</v>
      </c>
      <c r="C103" s="51" t="s">
        <v>1391</v>
      </c>
      <c r="D103" s="51" t="s">
        <v>1252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s="51" t="s">
        <v>264</v>
      </c>
      <c r="B104" s="51" t="s">
        <v>262</v>
      </c>
      <c r="C104" s="51" t="s">
        <v>1391</v>
      </c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1254</v>
      </c>
      <c r="C105" s="51" t="s">
        <v>1392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s="51" t="s">
        <v>268</v>
      </c>
      <c r="B106" s="51" t="s">
        <v>1255</v>
      </c>
      <c r="C106" s="51" t="s">
        <v>1392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s="51" t="s">
        <v>268</v>
      </c>
      <c r="B107" s="51" t="s">
        <v>1256</v>
      </c>
      <c r="C107" s="51" t="s">
        <v>1392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s="51" t="s">
        <v>268</v>
      </c>
      <c r="B108" s="51" t="s">
        <v>1257</v>
      </c>
      <c r="C108" s="51" t="s">
        <v>1392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 t="s">
        <v>1392</v>
      </c>
      <c r="D109" s="51" t="s">
        <v>1258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s="51" t="s">
        <v>276</v>
      </c>
      <c r="B110" s="51" t="s">
        <v>281</v>
      </c>
      <c r="C110" s="51" t="s">
        <v>1392</v>
      </c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 t="s">
        <v>1392</v>
      </c>
      <c r="D111" s="51" t="s">
        <v>285</v>
      </c>
      <c r="E111" s="51" t="s">
        <v>24</v>
      </c>
      <c r="F111" s="51" t="s">
        <v>1384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30</v>
      </c>
      <c r="M111" s="17">
        <f t="shared" si="11"/>
        <v>0</v>
      </c>
      <c r="N111" s="18">
        <f t="shared" si="12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1392</v>
      </c>
      <c r="D112" s="51" t="s">
        <v>288</v>
      </c>
      <c r="E112" s="51" t="s">
        <v>19</v>
      </c>
      <c r="F112" s="51" t="s">
        <v>1384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1392</v>
      </c>
      <c r="D113" s="51" t="s">
        <v>291</v>
      </c>
      <c r="E113" s="51" t="s">
        <v>24</v>
      </c>
      <c r="F113" s="51" t="s">
        <v>1383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30</v>
      </c>
      <c r="M113" s="17">
        <f t="shared" si="11"/>
        <v>0</v>
      </c>
      <c r="N113" s="18">
        <f t="shared" si="12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1392</v>
      </c>
      <c r="D114" s="51" t="s">
        <v>293</v>
      </c>
      <c r="E114" s="51" t="s">
        <v>24</v>
      </c>
      <c r="F114" s="51" t="s">
        <v>1383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 t="s">
        <v>1392</v>
      </c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1259</v>
      </c>
      <c r="C116" s="51" t="s">
        <v>1392</v>
      </c>
      <c r="D116" s="51" t="s">
        <v>277</v>
      </c>
      <c r="E116" s="51" t="s">
        <v>19</v>
      </c>
      <c r="F116" s="51" t="s">
        <v>1384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 t="s">
        <v>1392</v>
      </c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 t="s">
        <v>1392</v>
      </c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1392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1392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30</v>
      </c>
      <c r="M120" s="17">
        <f t="shared" si="11"/>
        <v>0</v>
      </c>
      <c r="N120" s="18">
        <f t="shared" si="12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5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1260</v>
      </c>
      <c r="C121" s="51" t="s">
        <v>1392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30</v>
      </c>
      <c r="M121" s="17">
        <f t="shared" si="11"/>
        <v>0</v>
      </c>
      <c r="N121" s="18">
        <f t="shared" si="12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s="51" t="s">
        <v>306</v>
      </c>
      <c r="B122" s="51" t="s">
        <v>1261</v>
      </c>
      <c r="C122" s="51" t="s">
        <v>1392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s="51" t="s">
        <v>309</v>
      </c>
      <c r="B123" s="51" t="s">
        <v>1262</v>
      </c>
      <c r="C123" s="51" t="s">
        <v>1392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1391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1391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 t="s">
        <v>1391</v>
      </c>
      <c r="D126" s="51" t="s">
        <v>324</v>
      </c>
      <c r="E126" s="51" t="s">
        <v>102</v>
      </c>
      <c r="F126" s="51" t="s">
        <v>1384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 t="s">
        <v>1391</v>
      </c>
      <c r="D127" s="51" t="s">
        <v>324</v>
      </c>
      <c r="E127" s="51" t="s">
        <v>102</v>
      </c>
      <c r="F127" s="51" t="s">
        <v>1384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1263</v>
      </c>
      <c r="C128" s="51" t="s">
        <v>1391</v>
      </c>
      <c r="D128" s="51" t="s">
        <v>346</v>
      </c>
      <c r="E128" s="51" t="s">
        <v>102</v>
      </c>
      <c r="F128" s="51" t="s">
        <v>1384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26</v>
      </c>
      <c r="M128" s="17">
        <f t="shared" si="11"/>
        <v>4</v>
      </c>
      <c r="N128" s="18">
        <f t="shared" si="12"/>
        <v>0.8666666666666667</v>
      </c>
      <c r="O128" s="27" t="s">
        <v>1209</v>
      </c>
      <c r="P128" s="8" t="s">
        <v>1209</v>
      </c>
      <c r="Q128" s="8" t="s">
        <v>1209</v>
      </c>
      <c r="R128" s="8" t="s">
        <v>1209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s="51" t="s">
        <v>312</v>
      </c>
      <c r="B129" s="51" t="s">
        <v>1264</v>
      </c>
      <c r="C129" s="51" t="s">
        <v>1391</v>
      </c>
      <c r="D129" s="51" t="s">
        <v>346</v>
      </c>
      <c r="E129" s="51" t="s">
        <v>102</v>
      </c>
      <c r="F129" s="51" t="s">
        <v>1384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26</v>
      </c>
      <c r="M129" s="17">
        <f t="shared" si="11"/>
        <v>4</v>
      </c>
      <c r="N129" s="18">
        <f t="shared" si="12"/>
        <v>0.8666666666666667</v>
      </c>
      <c r="O129" s="27" t="s">
        <v>1209</v>
      </c>
      <c r="P129" s="8" t="s">
        <v>1209</v>
      </c>
      <c r="Q129" s="8" t="s">
        <v>1209</v>
      </c>
      <c r="R129" s="8" t="s">
        <v>1209</v>
      </c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s="51" t="s">
        <v>312</v>
      </c>
      <c r="B130" s="51" t="s">
        <v>1265</v>
      </c>
      <c r="C130" s="51" t="s">
        <v>1391</v>
      </c>
      <c r="D130" s="51" t="s">
        <v>349</v>
      </c>
      <c r="E130" s="51" t="s">
        <v>102</v>
      </c>
      <c r="F130" s="51" t="s">
        <v>1384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1266</v>
      </c>
      <c r="C131" s="51" t="s">
        <v>1391</v>
      </c>
      <c r="D131" s="51" t="s">
        <v>349</v>
      </c>
      <c r="E131" s="51" t="s">
        <v>102</v>
      </c>
      <c r="F131" s="51" t="s">
        <v>1384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1391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1391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30</v>
      </c>
      <c r="M133" s="17">
        <f t="shared" ref="M133:M196" si="14">COUNTIF(O133:AP133,"APAGADO")</f>
        <v>0</v>
      </c>
      <c r="N133" s="18">
        <f t="shared" ref="N133:N196" si="15">(L133)/(M133+L133)</f>
        <v>1</v>
      </c>
      <c r="O133" s="27"/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1391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26</v>
      </c>
      <c r="M134" s="17">
        <f t="shared" si="14"/>
        <v>4</v>
      </c>
      <c r="N134" s="18">
        <f t="shared" si="15"/>
        <v>0.8666666666666667</v>
      </c>
      <c r="O134" s="27" t="s">
        <v>1209</v>
      </c>
      <c r="P134" s="8" t="s">
        <v>1209</v>
      </c>
      <c r="Q134" s="8" t="s">
        <v>1209</v>
      </c>
      <c r="R134" s="8" t="s">
        <v>1209</v>
      </c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s="51" t="s">
        <v>312</v>
      </c>
      <c r="B135" s="51" t="s">
        <v>336</v>
      </c>
      <c r="C135" s="51" t="s">
        <v>1391</v>
      </c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1391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30</v>
      </c>
      <c r="M136" s="17">
        <f t="shared" si="14"/>
        <v>0</v>
      </c>
      <c r="N136" s="18">
        <f t="shared" si="15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1391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1267</v>
      </c>
      <c r="C138" s="51" t="s">
        <v>1391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1268</v>
      </c>
      <c r="C139" s="51" t="s">
        <v>1391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1391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1391</v>
      </c>
      <c r="D141" s="51" t="s">
        <v>352</v>
      </c>
      <c r="E141" s="51" t="s">
        <v>19</v>
      </c>
      <c r="F141" s="51" t="s">
        <v>1384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1391</v>
      </c>
      <c r="D142" s="51" t="s">
        <v>355</v>
      </c>
      <c r="E142" s="51" t="s">
        <v>19</v>
      </c>
      <c r="F142" s="51" t="s">
        <v>1384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1391</v>
      </c>
      <c r="D143" s="51" t="s">
        <v>357</v>
      </c>
      <c r="E143" s="51" t="s">
        <v>19</v>
      </c>
      <c r="F143" s="51" t="s">
        <v>1384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s="51" t="s">
        <v>243</v>
      </c>
      <c r="B144" s="51" t="s">
        <v>1269</v>
      </c>
      <c r="C144" s="51" t="s">
        <v>1391</v>
      </c>
      <c r="D144" s="51" t="s">
        <v>1270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 t="s">
        <v>1391</v>
      </c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1391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1391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1271</v>
      </c>
      <c r="C148" s="51" t="s">
        <v>1392</v>
      </c>
      <c r="D148" s="51" t="s">
        <v>367</v>
      </c>
      <c r="E148" s="51" t="s">
        <v>19</v>
      </c>
      <c r="F148" s="51" t="s">
        <v>1383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 t="s">
        <v>1392</v>
      </c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1392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1272</v>
      </c>
      <c r="C151" s="51" t="s">
        <v>1391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1273</v>
      </c>
      <c r="C152" s="51" t="s">
        <v>1391</v>
      </c>
      <c r="D152" s="51" t="s">
        <v>1274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1275</v>
      </c>
      <c r="C153" s="51" t="s">
        <v>1391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1276</v>
      </c>
      <c r="C154" s="51" t="s">
        <v>1391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1277</v>
      </c>
      <c r="C155" s="51" t="s">
        <v>1391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1278</v>
      </c>
      <c r="C156" s="51" t="s">
        <v>1391</v>
      </c>
      <c r="D156" s="51" t="s">
        <v>372</v>
      </c>
      <c r="E156" s="51" t="s">
        <v>65</v>
      </c>
      <c r="F156" s="51" t="s">
        <v>1383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26</v>
      </c>
      <c r="M156" s="17">
        <f t="shared" si="14"/>
        <v>4</v>
      </c>
      <c r="N156" s="18">
        <f t="shared" si="15"/>
        <v>0.8666666666666667</v>
      </c>
      <c r="O156" s="27" t="s">
        <v>1209</v>
      </c>
      <c r="P156" s="8" t="s">
        <v>1209</v>
      </c>
      <c r="Q156" s="8" t="s">
        <v>1209</v>
      </c>
      <c r="R156" s="8" t="s">
        <v>1209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1391</v>
      </c>
      <c r="D157" s="51" t="s">
        <v>376</v>
      </c>
      <c r="E157" s="51" t="s">
        <v>24</v>
      </c>
      <c r="F157" s="51" t="s">
        <v>1383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26</v>
      </c>
      <c r="M157" s="17">
        <f t="shared" si="14"/>
        <v>4</v>
      </c>
      <c r="N157" s="18">
        <f t="shared" si="15"/>
        <v>0.8666666666666667</v>
      </c>
      <c r="O157" s="27" t="s">
        <v>1209</v>
      </c>
      <c r="P157" s="8" t="s">
        <v>1209</v>
      </c>
      <c r="Q157" s="8" t="s">
        <v>1209</v>
      </c>
      <c r="R157" s="8" t="s">
        <v>1209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1391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26</v>
      </c>
      <c r="M158" s="17">
        <f t="shared" si="14"/>
        <v>4</v>
      </c>
      <c r="N158" s="18">
        <f t="shared" si="15"/>
        <v>0.8666666666666667</v>
      </c>
      <c r="O158" s="27" t="s">
        <v>1209</v>
      </c>
      <c r="P158" s="8" t="s">
        <v>1209</v>
      </c>
      <c r="Q158" s="8" t="s">
        <v>1209</v>
      </c>
      <c r="R158" s="8" t="s">
        <v>1209</v>
      </c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1391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1391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1391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1391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29</v>
      </c>
      <c r="M162" s="17">
        <f t="shared" si="14"/>
        <v>1</v>
      </c>
      <c r="N162" s="18">
        <f t="shared" si="15"/>
        <v>0.96666666666666667</v>
      </c>
      <c r="O162" s="27" t="s">
        <v>1209</v>
      </c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1391</v>
      </c>
      <c r="D163" s="51" t="s">
        <v>393</v>
      </c>
      <c r="E163" s="51" t="s">
        <v>24</v>
      </c>
      <c r="F163" s="51" t="s">
        <v>1383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26</v>
      </c>
      <c r="M163" s="17">
        <f t="shared" si="14"/>
        <v>4</v>
      </c>
      <c r="N163" s="18">
        <f t="shared" si="15"/>
        <v>0.8666666666666667</v>
      </c>
      <c r="O163" s="27" t="s">
        <v>1209</v>
      </c>
      <c r="P163" s="8" t="s">
        <v>1209</v>
      </c>
      <c r="Q163" s="8" t="s">
        <v>1209</v>
      </c>
      <c r="R163" s="8" t="s">
        <v>1209</v>
      </c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1391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1279</v>
      </c>
      <c r="C165" s="51" t="s">
        <v>1391</v>
      </c>
      <c r="D165" s="51" t="s">
        <v>1280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1392</v>
      </c>
      <c r="D166" s="51" t="s">
        <v>400</v>
      </c>
      <c r="E166" s="51" t="s">
        <v>19</v>
      </c>
      <c r="F166" s="51" t="s">
        <v>36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1396</v>
      </c>
      <c r="L166" s="53">
        <f t="shared" si="16"/>
        <v>26</v>
      </c>
      <c r="M166" s="17">
        <f t="shared" si="14"/>
        <v>4</v>
      </c>
      <c r="N166" s="18">
        <f t="shared" si="15"/>
        <v>0.8666666666666667</v>
      </c>
      <c r="O166" s="27" t="s">
        <v>1209</v>
      </c>
      <c r="P166" s="8" t="s">
        <v>1209</v>
      </c>
      <c r="Q166" s="8" t="s">
        <v>1209</v>
      </c>
      <c r="R166" s="8" t="s">
        <v>1209</v>
      </c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1392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984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1392</v>
      </c>
      <c r="D168" s="51" t="s">
        <v>18</v>
      </c>
      <c r="E168" s="51" t="s">
        <v>19</v>
      </c>
      <c r="F168" s="51" t="s">
        <v>1383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985</v>
      </c>
      <c r="L168" s="53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1281</v>
      </c>
      <c r="C169" s="51" t="s">
        <v>1392</v>
      </c>
      <c r="D169" s="51" t="s">
        <v>1282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30</v>
      </c>
      <c r="M169" s="17">
        <f t="shared" si="14"/>
        <v>0</v>
      </c>
      <c r="N169" s="18">
        <f t="shared" si="15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1283</v>
      </c>
      <c r="B170" s="51" t="s">
        <v>1284</v>
      </c>
      <c r="C170" s="51" t="s">
        <v>1392</v>
      </c>
      <c r="D170" s="51" t="s">
        <v>1282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1392</v>
      </c>
      <c r="D171" s="51" t="s">
        <v>1285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986</v>
      </c>
      <c r="L171" s="53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1392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1392</v>
      </c>
      <c r="D173" s="51" t="s">
        <v>1286</v>
      </c>
      <c r="E173" s="51" t="s">
        <v>19</v>
      </c>
      <c r="F173" s="51" t="s">
        <v>1384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987</v>
      </c>
      <c r="L173" s="53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1392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988</v>
      </c>
      <c r="L174" s="53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s="51" t="s">
        <v>406</v>
      </c>
      <c r="B175" s="51" t="s">
        <v>1287</v>
      </c>
      <c r="C175" s="51" t="s">
        <v>1391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989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s="51" t="s">
        <v>411</v>
      </c>
      <c r="B176" s="51" t="s">
        <v>1288</v>
      </c>
      <c r="C176" s="51" t="s">
        <v>1391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990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1289</v>
      </c>
      <c r="C177" s="51" t="s">
        <v>1391</v>
      </c>
      <c r="D177" s="51" t="s">
        <v>417</v>
      </c>
      <c r="E177" s="51" t="s">
        <v>24</v>
      </c>
      <c r="F177" s="51" t="s">
        <v>1383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992</v>
      </c>
      <c r="L177" s="53">
        <f t="shared" si="16"/>
        <v>30</v>
      </c>
      <c r="M177" s="17">
        <f t="shared" si="14"/>
        <v>0</v>
      </c>
      <c r="N177" s="18">
        <f t="shared" si="15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1391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1388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1391</v>
      </c>
      <c r="D179" s="51" t="s">
        <v>415</v>
      </c>
      <c r="E179" s="51" t="s">
        <v>24</v>
      </c>
      <c r="F179" s="51" t="s">
        <v>1383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991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1391</v>
      </c>
      <c r="D180" s="51" t="s">
        <v>420</v>
      </c>
      <c r="E180" s="51" t="s">
        <v>19</v>
      </c>
      <c r="F180" s="51" t="s">
        <v>1383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993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1391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994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1391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995</v>
      </c>
      <c r="L182" s="53">
        <f t="shared" si="16"/>
        <v>30</v>
      </c>
      <c r="M182" s="17">
        <f t="shared" si="14"/>
        <v>0</v>
      </c>
      <c r="N182" s="18">
        <f t="shared" si="15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1391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996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1391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997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1290</v>
      </c>
      <c r="C185" s="51" t="s">
        <v>1391</v>
      </c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998</v>
      </c>
      <c r="L185" s="53">
        <f t="shared" si="16"/>
        <v>30</v>
      </c>
      <c r="M185" s="17">
        <f t="shared" si="14"/>
        <v>0</v>
      </c>
      <c r="N185" s="18">
        <f t="shared" si="15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s="51" t="s">
        <v>433</v>
      </c>
      <c r="B186" s="51" t="s">
        <v>434</v>
      </c>
      <c r="C186" s="51" t="s">
        <v>1391</v>
      </c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1004</v>
      </c>
      <c r="L186" s="53">
        <f t="shared" si="16"/>
        <v>30</v>
      </c>
      <c r="M186" s="17">
        <f t="shared" si="14"/>
        <v>0</v>
      </c>
      <c r="N186" s="18">
        <f t="shared" si="15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A187" s="51" t="s">
        <v>433</v>
      </c>
      <c r="B187" s="51" t="s">
        <v>438</v>
      </c>
      <c r="C187" s="51" t="s">
        <v>1391</v>
      </c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999</v>
      </c>
      <c r="L187" s="53">
        <f t="shared" si="16"/>
        <v>30</v>
      </c>
      <c r="M187" s="17">
        <f t="shared" si="14"/>
        <v>0</v>
      </c>
      <c r="N187" s="18">
        <f t="shared" si="15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A188" s="51" t="s">
        <v>433</v>
      </c>
      <c r="B188" s="51" t="s">
        <v>441</v>
      </c>
      <c r="C188" s="51" t="s">
        <v>1391</v>
      </c>
      <c r="D188" s="51" t="s">
        <v>442</v>
      </c>
      <c r="E188" s="51" t="s">
        <v>24</v>
      </c>
      <c r="F188" s="51" t="s">
        <v>1384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1000</v>
      </c>
      <c r="L188" s="53">
        <f t="shared" si="16"/>
        <v>30</v>
      </c>
      <c r="M188" s="17">
        <f t="shared" si="14"/>
        <v>0</v>
      </c>
      <c r="N188" s="18">
        <f t="shared" si="15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s="51" t="s">
        <v>433</v>
      </c>
      <c r="B189" s="51" t="s">
        <v>445</v>
      </c>
      <c r="C189" s="51" t="s">
        <v>1391</v>
      </c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1001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 t="s">
        <v>1391</v>
      </c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1389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1391</v>
      </c>
      <c r="D191" s="51" t="s">
        <v>451</v>
      </c>
      <c r="E191" s="51" t="s">
        <v>24</v>
      </c>
      <c r="F191" s="51" t="s">
        <v>1383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1002</v>
      </c>
      <c r="L191" s="53">
        <f t="shared" si="16"/>
        <v>28</v>
      </c>
      <c r="M191" s="17">
        <f t="shared" si="14"/>
        <v>2</v>
      </c>
      <c r="N191" s="18">
        <f t="shared" si="15"/>
        <v>0.93333333333333335</v>
      </c>
      <c r="O191" s="27" t="s">
        <v>1209</v>
      </c>
      <c r="P191" s="8" t="s">
        <v>1209</v>
      </c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s="51" t="s">
        <v>433</v>
      </c>
      <c r="B192" s="51" t="s">
        <v>452</v>
      </c>
      <c r="C192" s="51" t="s">
        <v>1391</v>
      </c>
      <c r="D192" s="51" t="s">
        <v>453</v>
      </c>
      <c r="E192" s="51" t="s">
        <v>24</v>
      </c>
      <c r="F192" s="51" t="s">
        <v>1383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1003</v>
      </c>
      <c r="L192" s="53">
        <f t="shared" si="16"/>
        <v>30</v>
      </c>
      <c r="M192" s="17">
        <f t="shared" si="14"/>
        <v>0</v>
      </c>
      <c r="N192" s="18">
        <f t="shared" si="15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 t="s">
        <v>1391</v>
      </c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1005</v>
      </c>
      <c r="L193" s="53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460</v>
      </c>
      <c r="B194" s="51" t="s">
        <v>458</v>
      </c>
      <c r="C194" s="51" t="s">
        <v>1392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1006</v>
      </c>
      <c r="L194" s="53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1392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1007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 t="s">
        <v>1392</v>
      </c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1008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1392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1009</v>
      </c>
      <c r="L197" s="53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1392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1010</v>
      </c>
      <c r="L198" s="53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 t="s">
        <v>1392</v>
      </c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1013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 t="s">
        <v>1209</v>
      </c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 t="s">
        <v>1392</v>
      </c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1014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 t="s">
        <v>1209</v>
      </c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 t="s">
        <v>1392</v>
      </c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1015</v>
      </c>
      <c r="L201" s="53">
        <f t="shared" si="19"/>
        <v>30</v>
      </c>
      <c r="M201" s="17">
        <f t="shared" si="17"/>
        <v>0</v>
      </c>
      <c r="N201" s="18">
        <f t="shared" si="18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1392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1016</v>
      </c>
      <c r="L202" s="53">
        <f t="shared" si="19"/>
        <v>30</v>
      </c>
      <c r="M202" s="17">
        <f t="shared" si="17"/>
        <v>0</v>
      </c>
      <c r="N202" s="18">
        <f t="shared" si="18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 t="s">
        <v>1392</v>
      </c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1017</v>
      </c>
      <c r="L203" s="53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1392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1018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1291</v>
      </c>
      <c r="C205" s="51" t="s">
        <v>1392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1028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1392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1019</v>
      </c>
      <c r="L206" s="53">
        <f t="shared" si="19"/>
        <v>30</v>
      </c>
      <c r="M206" s="17">
        <f t="shared" si="17"/>
        <v>0</v>
      </c>
      <c r="N206" s="18">
        <f t="shared" si="18"/>
        <v>1</v>
      </c>
      <c r="O206" s="27"/>
      <c r="P206" s="8"/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1391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1020</v>
      </c>
      <c r="L207" s="53">
        <f t="shared" si="19"/>
        <v>30</v>
      </c>
      <c r="M207" s="17">
        <f t="shared" si="17"/>
        <v>0</v>
      </c>
      <c r="N207" s="18">
        <f t="shared" si="18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1392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1022</v>
      </c>
      <c r="L208" s="53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1392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1023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1292</v>
      </c>
      <c r="C210" s="51" t="s">
        <v>1392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1029</v>
      </c>
      <c r="L210" s="53">
        <f t="shared" si="19"/>
        <v>26</v>
      </c>
      <c r="M210" s="17">
        <f t="shared" si="17"/>
        <v>4</v>
      </c>
      <c r="N210" s="18">
        <f t="shared" si="18"/>
        <v>0.8666666666666667</v>
      </c>
      <c r="O210" s="27" t="s">
        <v>1209</v>
      </c>
      <c r="P210" s="8" t="s">
        <v>1209</v>
      </c>
      <c r="Q210" s="8" t="s">
        <v>1209</v>
      </c>
      <c r="R210" s="8" t="s">
        <v>1209</v>
      </c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1392</v>
      </c>
      <c r="D211" s="51" t="s">
        <v>495</v>
      </c>
      <c r="E211" s="51" t="s">
        <v>19</v>
      </c>
      <c r="F211" s="51" t="s">
        <v>1384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1024</v>
      </c>
      <c r="L211" s="53">
        <f t="shared" si="19"/>
        <v>30</v>
      </c>
      <c r="M211" s="17">
        <f t="shared" si="17"/>
        <v>0</v>
      </c>
      <c r="N211" s="18">
        <f t="shared" si="18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 t="s">
        <v>1392</v>
      </c>
      <c r="D212" s="51" t="s">
        <v>495</v>
      </c>
      <c r="E212" s="51" t="s">
        <v>102</v>
      </c>
      <c r="F212" s="51" t="s">
        <v>1384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1025</v>
      </c>
      <c r="L212" s="53">
        <f t="shared" si="19"/>
        <v>30</v>
      </c>
      <c r="M212" s="17">
        <f t="shared" si="17"/>
        <v>0</v>
      </c>
      <c r="N212" s="18">
        <f t="shared" si="18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1392</v>
      </c>
      <c r="D213" s="51" t="s">
        <v>1293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1030</v>
      </c>
      <c r="L213" s="53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 t="s">
        <v>1209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1392</v>
      </c>
      <c r="D214" s="51" t="s">
        <v>1293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1031</v>
      </c>
      <c r="L214" s="53">
        <f t="shared" si="19"/>
        <v>29</v>
      </c>
      <c r="M214" s="17">
        <f t="shared" si="17"/>
        <v>1</v>
      </c>
      <c r="N214" s="18">
        <f t="shared" si="18"/>
        <v>0.96666666666666667</v>
      </c>
      <c r="O214" s="27"/>
      <c r="P214" s="8"/>
      <c r="Q214" s="8"/>
      <c r="R214" s="8" t="s">
        <v>1209</v>
      </c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1392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1027</v>
      </c>
      <c r="L215" s="53">
        <f t="shared" si="19"/>
        <v>26</v>
      </c>
      <c r="M215" s="17">
        <f t="shared" si="17"/>
        <v>4</v>
      </c>
      <c r="N215" s="18">
        <f t="shared" si="18"/>
        <v>0.8666666666666667</v>
      </c>
      <c r="O215" s="27" t="s">
        <v>1209</v>
      </c>
      <c r="P215" s="8" t="s">
        <v>1209</v>
      </c>
      <c r="Q215" s="8" t="s">
        <v>1209</v>
      </c>
      <c r="R215" s="8" t="s">
        <v>1209</v>
      </c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1392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1026</v>
      </c>
      <c r="L216" s="53">
        <f t="shared" si="19"/>
        <v>26</v>
      </c>
      <c r="M216" s="17">
        <f t="shared" si="17"/>
        <v>4</v>
      </c>
      <c r="N216" s="18">
        <f t="shared" si="18"/>
        <v>0.8666666666666667</v>
      </c>
      <c r="O216" s="27" t="s">
        <v>1209</v>
      </c>
      <c r="P216" s="8" t="s">
        <v>1209</v>
      </c>
      <c r="Q216" s="8" t="s">
        <v>1209</v>
      </c>
      <c r="R216" s="8" t="s">
        <v>1209</v>
      </c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s="51" t="s">
        <v>264</v>
      </c>
      <c r="B217" s="51" t="s">
        <v>1294</v>
      </c>
      <c r="C217" s="51" t="s">
        <v>1391</v>
      </c>
      <c r="D217" s="51" t="s">
        <v>1295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28</v>
      </c>
      <c r="M217" s="17">
        <f t="shared" si="17"/>
        <v>2</v>
      </c>
      <c r="N217" s="18">
        <f t="shared" si="18"/>
        <v>0.93333333333333335</v>
      </c>
      <c r="O217" s="27"/>
      <c r="P217" s="8" t="s">
        <v>1209</v>
      </c>
      <c r="Q217" s="8"/>
      <c r="R217" s="8" t="s">
        <v>1209</v>
      </c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s="51" t="s">
        <v>268</v>
      </c>
      <c r="B218" s="51" t="s">
        <v>1296</v>
      </c>
      <c r="C218" s="51" t="s">
        <v>1392</v>
      </c>
      <c r="D218" s="51" t="s">
        <v>1297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s="51" t="s">
        <v>306</v>
      </c>
      <c r="B219" s="51" t="s">
        <v>1298</v>
      </c>
      <c r="C219" s="51" t="s">
        <v>1392</v>
      </c>
      <c r="D219" s="51" t="s">
        <v>1299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1392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1021</v>
      </c>
      <c r="L220" s="53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1300</v>
      </c>
      <c r="C221" s="51" t="s">
        <v>1392</v>
      </c>
      <c r="D221" s="51" t="s">
        <v>1301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1302</v>
      </c>
      <c r="C222" s="51" t="s">
        <v>1392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1303</v>
      </c>
      <c r="C223" s="51" t="s">
        <v>1392</v>
      </c>
      <c r="D223" s="51" t="s">
        <v>1304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1305</v>
      </c>
      <c r="C224" s="51" t="s">
        <v>1392</v>
      </c>
      <c r="D224" s="51" t="s">
        <v>1306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 t="s">
        <v>1209</v>
      </c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1307</v>
      </c>
      <c r="C225" s="51" t="s">
        <v>1392</v>
      </c>
      <c r="D225" s="51" t="s">
        <v>1308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28</v>
      </c>
      <c r="M225" s="17">
        <f t="shared" si="17"/>
        <v>2</v>
      </c>
      <c r="N225" s="18">
        <f t="shared" si="18"/>
        <v>0.93333333333333335</v>
      </c>
      <c r="O225" s="27" t="s">
        <v>1209</v>
      </c>
      <c r="P225" s="8"/>
      <c r="Q225" s="8" t="s">
        <v>1209</v>
      </c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s="51" t="s">
        <v>326</v>
      </c>
      <c r="B226" s="51" t="s">
        <v>1309</v>
      </c>
      <c r="C226" s="51" t="s">
        <v>1392</v>
      </c>
      <c r="D226" s="51" t="s">
        <v>1310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1392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1032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1311</v>
      </c>
      <c r="C228" s="51" t="s">
        <v>1392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1033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1392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1034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1392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1035</v>
      </c>
      <c r="L230" s="53">
        <f t="shared" si="19"/>
        <v>30</v>
      </c>
      <c r="M230" s="17">
        <f t="shared" si="17"/>
        <v>0</v>
      </c>
      <c r="N230" s="18">
        <f t="shared" si="18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1392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1036</v>
      </c>
      <c r="L231" s="53">
        <f t="shared" si="19"/>
        <v>30</v>
      </c>
      <c r="M231" s="17">
        <f t="shared" si="17"/>
        <v>0</v>
      </c>
      <c r="N231" s="18">
        <f t="shared" si="18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1392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1037</v>
      </c>
      <c r="L232" s="53">
        <f t="shared" si="19"/>
        <v>30</v>
      </c>
      <c r="M232" s="17">
        <f t="shared" si="17"/>
        <v>0</v>
      </c>
      <c r="N232" s="18">
        <f t="shared" si="18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s="51" t="s">
        <v>518</v>
      </c>
      <c r="B233" s="51" t="s">
        <v>1312</v>
      </c>
      <c r="C233" s="51" t="s">
        <v>1392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1042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1313</v>
      </c>
      <c r="C234" s="51" t="s">
        <v>1392</v>
      </c>
      <c r="D234" s="51" t="s">
        <v>1314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1196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1315</v>
      </c>
      <c r="C235" s="51" t="s">
        <v>1392</v>
      </c>
      <c r="D235" s="51" t="s">
        <v>1316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1197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1317</v>
      </c>
      <c r="C236" s="51" t="s">
        <v>1392</v>
      </c>
      <c r="D236" s="51" t="s">
        <v>1318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1198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1319</v>
      </c>
      <c r="C237" s="51" t="s">
        <v>1392</v>
      </c>
      <c r="D237" s="51" t="s">
        <v>1320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1199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1321</v>
      </c>
      <c r="C238" s="51" t="s">
        <v>1392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1038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1322</v>
      </c>
      <c r="C239" s="51" t="s">
        <v>1392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1041</v>
      </c>
      <c r="L239" s="53">
        <f t="shared" si="19"/>
        <v>30</v>
      </c>
      <c r="M239" s="17">
        <f t="shared" si="17"/>
        <v>0</v>
      </c>
      <c r="N239" s="18">
        <f t="shared" si="18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1392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1039</v>
      </c>
      <c r="L240" s="53">
        <f t="shared" si="19"/>
        <v>30</v>
      </c>
      <c r="M240" s="17">
        <f t="shared" si="17"/>
        <v>0</v>
      </c>
      <c r="N240" s="18">
        <f t="shared" si="18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1392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1040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s="51" t="s">
        <v>1187</v>
      </c>
      <c r="B242" s="51" t="s">
        <v>1323</v>
      </c>
      <c r="C242" s="51" t="s">
        <v>1392</v>
      </c>
      <c r="D242" s="51" t="s">
        <v>1324</v>
      </c>
      <c r="E242" s="51" t="s">
        <v>1385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1189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1187</v>
      </c>
      <c r="B243" s="51" t="s">
        <v>1186</v>
      </c>
      <c r="C243" s="51" t="s">
        <v>1392</v>
      </c>
      <c r="D243" s="51" t="s">
        <v>1324</v>
      </c>
      <c r="E243" s="51" t="s">
        <v>1386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1188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1325</v>
      </c>
      <c r="C244" s="51" t="s">
        <v>1391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1011</v>
      </c>
      <c r="L244" s="53">
        <f t="shared" si="19"/>
        <v>26</v>
      </c>
      <c r="M244" s="17">
        <f t="shared" si="17"/>
        <v>4</v>
      </c>
      <c r="N244" s="18">
        <f t="shared" si="18"/>
        <v>0.8666666666666667</v>
      </c>
      <c r="O244" s="27" t="s">
        <v>1209</v>
      </c>
      <c r="P244" s="8" t="s">
        <v>1209</v>
      </c>
      <c r="Q244" s="8" t="s">
        <v>1209</v>
      </c>
      <c r="R244" s="8" t="s">
        <v>1209</v>
      </c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s="51" t="s">
        <v>374</v>
      </c>
      <c r="B245" s="51" t="s">
        <v>1326</v>
      </c>
      <c r="C245" s="51" t="s">
        <v>1391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1012</v>
      </c>
      <c r="L245" s="53">
        <f t="shared" si="19"/>
        <v>26</v>
      </c>
      <c r="M245" s="17">
        <f t="shared" si="17"/>
        <v>4</v>
      </c>
      <c r="N245" s="18">
        <f t="shared" si="18"/>
        <v>0.8666666666666667</v>
      </c>
      <c r="O245" s="27" t="s">
        <v>1209</v>
      </c>
      <c r="P245" s="27" t="s">
        <v>1209</v>
      </c>
      <c r="Q245" s="27" t="s">
        <v>1209</v>
      </c>
      <c r="R245" s="27" t="s">
        <v>1209</v>
      </c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s="51" t="s">
        <v>374</v>
      </c>
      <c r="B246" s="51" t="s">
        <v>1327</v>
      </c>
      <c r="C246" s="51" t="s">
        <v>1391</v>
      </c>
      <c r="D246" s="51" t="s">
        <v>1328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1329</v>
      </c>
      <c r="C247" s="51" t="s">
        <v>1391</v>
      </c>
      <c r="D247" s="51" t="s">
        <v>1330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1391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1043</v>
      </c>
      <c r="L248" s="53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1391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1044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1391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1045</v>
      </c>
      <c r="L250" s="53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1391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1046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1331</v>
      </c>
      <c r="C252" s="51" t="s">
        <v>1391</v>
      </c>
      <c r="D252" s="51" t="s">
        <v>543</v>
      </c>
      <c r="E252" s="51" t="s">
        <v>24</v>
      </c>
      <c r="F252" s="51" t="s">
        <v>1383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1050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1391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1049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1391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1047</v>
      </c>
      <c r="L254" s="53">
        <f t="shared" si="19"/>
        <v>26</v>
      </c>
      <c r="M254" s="17">
        <f t="shared" si="17"/>
        <v>4</v>
      </c>
      <c r="N254" s="18">
        <f t="shared" si="18"/>
        <v>0.8666666666666667</v>
      </c>
      <c r="O254" s="27" t="s">
        <v>1209</v>
      </c>
      <c r="P254" s="8" t="s">
        <v>1209</v>
      </c>
      <c r="Q254" s="8" t="s">
        <v>1209</v>
      </c>
      <c r="R254" s="8" t="s">
        <v>1209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1391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1048</v>
      </c>
      <c r="L255" s="53">
        <f t="shared" si="19"/>
        <v>26</v>
      </c>
      <c r="M255" s="17">
        <f t="shared" si="17"/>
        <v>4</v>
      </c>
      <c r="N255" s="18">
        <f t="shared" si="18"/>
        <v>0.8666666666666667</v>
      </c>
      <c r="O255" s="27" t="s">
        <v>1209</v>
      </c>
      <c r="P255" s="8" t="s">
        <v>1209</v>
      </c>
      <c r="Q255" s="8" t="s">
        <v>1209</v>
      </c>
      <c r="R255" s="8" t="s">
        <v>1209</v>
      </c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1391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1052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1391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1053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 t="s">
        <v>1391</v>
      </c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1054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 t="s">
        <v>1391</v>
      </c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1055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1391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1056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1192</v>
      </c>
      <c r="C261" s="51" t="s">
        <v>1391</v>
      </c>
      <c r="D261" s="51" t="s">
        <v>1193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1200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1194</v>
      </c>
      <c r="C262" s="51" t="s">
        <v>1391</v>
      </c>
      <c r="D262" s="51" t="s">
        <v>1195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1201</v>
      </c>
      <c r="L262" s="53">
        <f t="shared" ref="L262:L325" si="20">COUNTIF(O262:AR262,"")</f>
        <v>29</v>
      </c>
      <c r="M262" s="17">
        <f t="shared" si="17"/>
        <v>1</v>
      </c>
      <c r="N262" s="18">
        <f t="shared" si="18"/>
        <v>0.96666666666666667</v>
      </c>
      <c r="O262" s="27"/>
      <c r="P262" s="8" t="s">
        <v>1209</v>
      </c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1332</v>
      </c>
      <c r="C263" s="51" t="s">
        <v>1391</v>
      </c>
      <c r="D263" s="51" t="s">
        <v>1333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1391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1051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1391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1057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1391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1058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1391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1059</v>
      </c>
      <c r="L267" s="53">
        <f t="shared" si="20"/>
        <v>29</v>
      </c>
      <c r="M267" s="17">
        <f t="shared" si="21"/>
        <v>1</v>
      </c>
      <c r="N267" s="18">
        <f t="shared" si="22"/>
        <v>0.96666666666666667</v>
      </c>
      <c r="O267" s="27"/>
      <c r="P267" s="8" t="s">
        <v>1209</v>
      </c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1391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1060</v>
      </c>
      <c r="L268" s="53">
        <f t="shared" si="20"/>
        <v>29</v>
      </c>
      <c r="M268" s="17">
        <f t="shared" si="21"/>
        <v>1</v>
      </c>
      <c r="N268" s="18">
        <f t="shared" si="22"/>
        <v>0.96666666666666667</v>
      </c>
      <c r="O268" s="27"/>
      <c r="P268" s="8" t="s">
        <v>1209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1391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1061</v>
      </c>
      <c r="L269" s="53">
        <f t="shared" si="20"/>
        <v>29</v>
      </c>
      <c r="M269" s="17">
        <f t="shared" si="21"/>
        <v>1</v>
      </c>
      <c r="N269" s="18">
        <f t="shared" si="22"/>
        <v>0.96666666666666667</v>
      </c>
      <c r="O269" s="27"/>
      <c r="P269" s="8" t="s">
        <v>1209</v>
      </c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1391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1062</v>
      </c>
      <c r="L270" s="53">
        <f t="shared" si="20"/>
        <v>29</v>
      </c>
      <c r="M270" s="17">
        <f t="shared" si="21"/>
        <v>1</v>
      </c>
      <c r="N270" s="18">
        <f t="shared" si="22"/>
        <v>0.96666666666666667</v>
      </c>
      <c r="O270" s="27"/>
      <c r="P270" s="8" t="s">
        <v>1209</v>
      </c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1392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1065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s="51" t="s">
        <v>283</v>
      </c>
      <c r="B272" s="51" t="s">
        <v>577</v>
      </c>
      <c r="C272" s="51" t="s">
        <v>1392</v>
      </c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1067</v>
      </c>
      <c r="L272" s="53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s="51" t="s">
        <v>283</v>
      </c>
      <c r="B273" s="51" t="s">
        <v>1334</v>
      </c>
      <c r="C273" s="51" t="s">
        <v>1392</v>
      </c>
      <c r="D273" s="51" t="s">
        <v>1335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1336</v>
      </c>
      <c r="C274" s="51" t="s">
        <v>1392</v>
      </c>
      <c r="D274" s="51" t="s">
        <v>1335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 t="s">
        <v>1392</v>
      </c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1063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 t="s">
        <v>1392</v>
      </c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1064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s="51" t="s">
        <v>283</v>
      </c>
      <c r="B277" s="51" t="s">
        <v>584</v>
      </c>
      <c r="C277" s="51" t="s">
        <v>1392</v>
      </c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1068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 t="s">
        <v>1392</v>
      </c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1069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 t="s">
        <v>1392</v>
      </c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1070</v>
      </c>
      <c r="L279" s="53">
        <f t="shared" si="20"/>
        <v>30</v>
      </c>
      <c r="M279" s="17">
        <f t="shared" si="21"/>
        <v>0</v>
      </c>
      <c r="N279" s="18">
        <f t="shared" si="22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 t="s">
        <v>1392</v>
      </c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1071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 t="s">
        <v>1392</v>
      </c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1072</v>
      </c>
      <c r="L281" s="53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1392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1075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1392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1076</v>
      </c>
      <c r="L283" s="53">
        <f t="shared" si="20"/>
        <v>30</v>
      </c>
      <c r="M283" s="17">
        <f t="shared" si="21"/>
        <v>0</v>
      </c>
      <c r="N283" s="18">
        <f t="shared" si="22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1392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1078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1392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1079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1392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1073</v>
      </c>
      <c r="L286" s="53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1392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1074</v>
      </c>
      <c r="L287" s="53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 t="s">
        <v>1392</v>
      </c>
      <c r="D288" s="51" t="s">
        <v>611</v>
      </c>
      <c r="E288" s="51" t="s">
        <v>19</v>
      </c>
      <c r="F288" s="51" t="s">
        <v>1384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1077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1337</v>
      </c>
      <c r="C289" s="51" t="s">
        <v>1391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1082</v>
      </c>
      <c r="L289" s="53">
        <f t="shared" si="20"/>
        <v>28</v>
      </c>
      <c r="M289" s="17">
        <f t="shared" si="21"/>
        <v>2</v>
      </c>
      <c r="N289" s="18">
        <f t="shared" si="22"/>
        <v>0.93333333333333335</v>
      </c>
      <c r="O289" s="27" t="s">
        <v>1209</v>
      </c>
      <c r="P289" s="8" t="s">
        <v>1209</v>
      </c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s="51" t="s">
        <v>240</v>
      </c>
      <c r="B290" s="51" t="s">
        <v>1338</v>
      </c>
      <c r="C290" s="51" t="s">
        <v>1391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1083</v>
      </c>
      <c r="L290" s="53">
        <f t="shared" si="20"/>
        <v>28</v>
      </c>
      <c r="M290" s="17">
        <f t="shared" si="21"/>
        <v>2</v>
      </c>
      <c r="N290" s="18">
        <f t="shared" si="22"/>
        <v>0.93333333333333335</v>
      </c>
      <c r="O290" s="27" t="s">
        <v>1209</v>
      </c>
      <c r="P290" s="8" t="s">
        <v>1209</v>
      </c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1391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1080</v>
      </c>
      <c r="L291" s="53">
        <f t="shared" si="20"/>
        <v>28</v>
      </c>
      <c r="M291" s="17">
        <f t="shared" si="21"/>
        <v>2</v>
      </c>
      <c r="N291" s="18">
        <f t="shared" si="22"/>
        <v>0.93333333333333335</v>
      </c>
      <c r="O291" s="27" t="s">
        <v>1209</v>
      </c>
      <c r="P291" s="8" t="s">
        <v>1209</v>
      </c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1391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1081</v>
      </c>
      <c r="L292" s="53">
        <f t="shared" si="20"/>
        <v>28</v>
      </c>
      <c r="M292" s="17">
        <f t="shared" si="21"/>
        <v>2</v>
      </c>
      <c r="N292" s="18">
        <f t="shared" si="22"/>
        <v>0.93333333333333335</v>
      </c>
      <c r="O292" s="27" t="s">
        <v>1209</v>
      </c>
      <c r="P292" s="8" t="s">
        <v>1209</v>
      </c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s="51" t="s">
        <v>618</v>
      </c>
      <c r="B293" s="51" t="s">
        <v>1339</v>
      </c>
      <c r="C293" s="51" t="s">
        <v>1392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1089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1392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1093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s="51" t="s">
        <v>618</v>
      </c>
      <c r="B295" s="51" t="s">
        <v>1340</v>
      </c>
      <c r="C295" s="51" t="s">
        <v>1392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1084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1341</v>
      </c>
      <c r="C296" s="51" t="s">
        <v>1392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1095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1342</v>
      </c>
      <c r="C297" s="51" t="s">
        <v>1392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1096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1343</v>
      </c>
      <c r="C298" s="51" t="s">
        <v>1392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1100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s="51" t="s">
        <v>618</v>
      </c>
      <c r="B299" s="51" t="s">
        <v>1344</v>
      </c>
      <c r="C299" s="51" t="s">
        <v>1392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1101</v>
      </c>
      <c r="L299" s="53">
        <f t="shared" si="20"/>
        <v>30</v>
      </c>
      <c r="M299" s="17">
        <f t="shared" si="21"/>
        <v>0</v>
      </c>
      <c r="N299" s="18">
        <f t="shared" si="22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1392</v>
      </c>
      <c r="D300" s="51" t="s">
        <v>1345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1086</v>
      </c>
      <c r="L300" s="53">
        <f t="shared" si="20"/>
        <v>30</v>
      </c>
      <c r="M300" s="17">
        <f t="shared" si="21"/>
        <v>0</v>
      </c>
      <c r="N300" s="18">
        <f t="shared" si="22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1392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1087</v>
      </c>
      <c r="L301" s="53">
        <f t="shared" si="20"/>
        <v>30</v>
      </c>
      <c r="M301" s="17">
        <f t="shared" si="21"/>
        <v>0</v>
      </c>
      <c r="N301" s="18">
        <f t="shared" si="22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1392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1088</v>
      </c>
      <c r="L302" s="53">
        <f t="shared" si="20"/>
        <v>28</v>
      </c>
      <c r="M302" s="17">
        <f t="shared" si="21"/>
        <v>2</v>
      </c>
      <c r="N302" s="18">
        <f t="shared" si="22"/>
        <v>0.93333333333333335</v>
      </c>
      <c r="O302" s="27" t="s">
        <v>1209</v>
      </c>
      <c r="P302" s="8" t="s">
        <v>1209</v>
      </c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s="51" t="s">
        <v>618</v>
      </c>
      <c r="B303" s="51" t="s">
        <v>1346</v>
      </c>
      <c r="C303" s="51" t="s">
        <v>1392</v>
      </c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1090</v>
      </c>
      <c r="L303" s="53">
        <f t="shared" si="20"/>
        <v>30</v>
      </c>
      <c r="M303" s="17">
        <f t="shared" si="21"/>
        <v>0</v>
      </c>
      <c r="N303" s="18">
        <f t="shared" si="22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s="51" t="s">
        <v>618</v>
      </c>
      <c r="B304" s="51" t="s">
        <v>1347</v>
      </c>
      <c r="C304" s="51" t="s">
        <v>1392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1091</v>
      </c>
      <c r="L304" s="53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s="51" t="s">
        <v>618</v>
      </c>
      <c r="B305" s="51" t="s">
        <v>1348</v>
      </c>
      <c r="C305" s="51" t="s">
        <v>1392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1092</v>
      </c>
      <c r="L305" s="53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s="51" t="s">
        <v>618</v>
      </c>
      <c r="B306" s="51" t="s">
        <v>1349</v>
      </c>
      <c r="C306" s="51" t="s">
        <v>1392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1066</v>
      </c>
      <c r="L306" s="53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1350</v>
      </c>
      <c r="C307" s="51" t="s">
        <v>1392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1094</v>
      </c>
      <c r="L307" s="53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1392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1085</v>
      </c>
      <c r="L308" s="53">
        <f t="shared" si="20"/>
        <v>30</v>
      </c>
      <c r="M308" s="17">
        <f t="shared" si="21"/>
        <v>0</v>
      </c>
      <c r="N308" s="18">
        <f t="shared" si="22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1392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1097</v>
      </c>
      <c r="L309" s="53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1351</v>
      </c>
      <c r="C310" s="51" t="s">
        <v>1392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1098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1352</v>
      </c>
      <c r="C311" s="51" t="s">
        <v>1392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1099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 t="s">
        <v>1392</v>
      </c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1102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1392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1103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1353</v>
      </c>
      <c r="C314" s="51" t="s">
        <v>1391</v>
      </c>
      <c r="D314" s="51" t="s">
        <v>674</v>
      </c>
      <c r="E314" s="51" t="s">
        <v>24</v>
      </c>
      <c r="F314" s="51" t="s">
        <v>1384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1112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1391</v>
      </c>
      <c r="D315" s="51" t="s">
        <v>654</v>
      </c>
      <c r="E315" s="51" t="s">
        <v>24</v>
      </c>
      <c r="F315" s="51" t="s">
        <v>1384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1104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 t="s">
        <v>1391</v>
      </c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1105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 t="s">
        <v>1391</v>
      </c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1106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 t="s">
        <v>1391</v>
      </c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1107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 t="s">
        <v>1391</v>
      </c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1108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 t="s">
        <v>1391</v>
      </c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1109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 t="s">
        <v>1391</v>
      </c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1110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 t="s">
        <v>1391</v>
      </c>
      <c r="D322" s="51" t="s">
        <v>673</v>
      </c>
      <c r="E322" s="51" t="s">
        <v>24</v>
      </c>
      <c r="F322" s="51" t="s">
        <v>1384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1111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 t="s">
        <v>1392</v>
      </c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1113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1392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1114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s="51" t="s">
        <v>326</v>
      </c>
      <c r="B325" s="51" t="s">
        <v>1354</v>
      </c>
      <c r="C325" s="51" t="s">
        <v>1392</v>
      </c>
      <c r="D325" s="51" t="s">
        <v>688</v>
      </c>
      <c r="E325" s="51" t="s">
        <v>102</v>
      </c>
      <c r="F325" s="51" t="s">
        <v>1383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1120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1355</v>
      </c>
      <c r="C326" s="51" t="s">
        <v>1392</v>
      </c>
      <c r="D326" s="51" t="s">
        <v>688</v>
      </c>
      <c r="E326" s="51" t="s">
        <v>102</v>
      </c>
      <c r="F326" s="51" t="s">
        <v>1383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1121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 t="s">
        <v>1392</v>
      </c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1115</v>
      </c>
      <c r="L327" s="53">
        <f t="shared" si="23"/>
        <v>26</v>
      </c>
      <c r="M327" s="17">
        <f t="shared" ref="M327:M372" si="24">COUNTIF(O327:AP327,"APAGADO")</f>
        <v>4</v>
      </c>
      <c r="N327" s="18">
        <f t="shared" ref="N327:N372" si="25">(L327)/(M327+L327)</f>
        <v>0.8666666666666667</v>
      </c>
      <c r="O327" s="27" t="s">
        <v>1209</v>
      </c>
      <c r="P327" s="8" t="s">
        <v>1209</v>
      </c>
      <c r="Q327" s="8" t="s">
        <v>1209</v>
      </c>
      <c r="R327" s="8" t="s">
        <v>1209</v>
      </c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1392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1116</v>
      </c>
      <c r="L328" s="53">
        <f t="shared" si="23"/>
        <v>26</v>
      </c>
      <c r="M328" s="17">
        <f t="shared" si="24"/>
        <v>4</v>
      </c>
      <c r="N328" s="18">
        <f t="shared" si="25"/>
        <v>0.8666666666666667</v>
      </c>
      <c r="O328" s="27" t="s">
        <v>1209</v>
      </c>
      <c r="P328" s="8" t="s">
        <v>1209</v>
      </c>
      <c r="Q328" s="8" t="s">
        <v>1209</v>
      </c>
      <c r="R328" s="8" t="s">
        <v>1209</v>
      </c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s="51" t="s">
        <v>326</v>
      </c>
      <c r="B329" s="51" t="s">
        <v>683</v>
      </c>
      <c r="C329" s="51" t="s">
        <v>1392</v>
      </c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1117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 t="s">
        <v>1392</v>
      </c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1118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1392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1119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 t="s">
        <v>1392</v>
      </c>
      <c r="D332" s="51" t="s">
        <v>691</v>
      </c>
      <c r="E332" s="51" t="s">
        <v>102</v>
      </c>
      <c r="F332" s="51" t="s">
        <v>1383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1122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 t="s">
        <v>1392</v>
      </c>
      <c r="D333" s="51" t="s">
        <v>691</v>
      </c>
      <c r="E333" s="51" t="s">
        <v>102</v>
      </c>
      <c r="F333" s="51" t="s">
        <v>1383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1123</v>
      </c>
      <c r="L333" s="53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1356</v>
      </c>
      <c r="C334" s="51" t="s">
        <v>1392</v>
      </c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1133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1357</v>
      </c>
      <c r="C335" s="51" t="s">
        <v>1392</v>
      </c>
      <c r="D335" s="51" t="s">
        <v>735</v>
      </c>
      <c r="E335" s="51" t="s">
        <v>19</v>
      </c>
      <c r="F335" s="51" t="s">
        <v>1383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1137</v>
      </c>
      <c r="L335" s="53">
        <f t="shared" si="23"/>
        <v>30</v>
      </c>
      <c r="M335" s="17">
        <f t="shared" si="24"/>
        <v>0</v>
      </c>
      <c r="N335" s="18">
        <f t="shared" si="25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 t="s">
        <v>1392</v>
      </c>
      <c r="D336" s="51" t="s">
        <v>701</v>
      </c>
      <c r="E336" s="51" t="s">
        <v>19</v>
      </c>
      <c r="F336" s="51" t="s">
        <v>1384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1138</v>
      </c>
      <c r="L336" s="53">
        <f t="shared" si="23"/>
        <v>30</v>
      </c>
      <c r="M336" s="17">
        <f t="shared" si="24"/>
        <v>0</v>
      </c>
      <c r="N336" s="18">
        <f t="shared" si="25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1392</v>
      </c>
      <c r="D337" s="51" t="s">
        <v>705</v>
      </c>
      <c r="E337" s="51" t="s">
        <v>19</v>
      </c>
      <c r="F337" s="51" t="s">
        <v>1384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1139</v>
      </c>
      <c r="L337" s="53">
        <f t="shared" si="23"/>
        <v>30</v>
      </c>
      <c r="M337" s="17">
        <f t="shared" si="24"/>
        <v>0</v>
      </c>
      <c r="N337" s="18">
        <f t="shared" si="25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s="51" t="s">
        <v>703</v>
      </c>
      <c r="B338" s="51" t="s">
        <v>707</v>
      </c>
      <c r="C338" s="51" t="s">
        <v>1392</v>
      </c>
      <c r="D338" s="51" t="s">
        <v>1358</v>
      </c>
      <c r="E338" s="51" t="s">
        <v>19</v>
      </c>
      <c r="F338" s="51" t="s">
        <v>1384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1140</v>
      </c>
      <c r="L338" s="53">
        <f t="shared" si="23"/>
        <v>30</v>
      </c>
      <c r="M338" s="17">
        <f t="shared" si="24"/>
        <v>0</v>
      </c>
      <c r="N338" s="18">
        <f t="shared" si="25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1392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1143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s="51" t="s">
        <v>697</v>
      </c>
      <c r="B340" s="51" t="s">
        <v>1359</v>
      </c>
      <c r="C340" s="51" t="s">
        <v>1392</v>
      </c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1144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1360</v>
      </c>
      <c r="C341" s="51" t="s">
        <v>1392</v>
      </c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1145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 t="s">
        <v>1392</v>
      </c>
      <c r="D342" s="51" t="s">
        <v>1361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1124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1392</v>
      </c>
      <c r="D343" s="51" t="s">
        <v>1362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1125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s="51" t="s">
        <v>697</v>
      </c>
      <c r="B344" s="51" t="s">
        <v>715</v>
      </c>
      <c r="C344" s="51" t="s">
        <v>1392</v>
      </c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1126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 t="s">
        <v>1392</v>
      </c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1127</v>
      </c>
      <c r="L345" s="53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 t="s">
        <v>1392</v>
      </c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1128</v>
      </c>
      <c r="L346" s="53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 t="s">
        <v>1392</v>
      </c>
      <c r="D347" s="51" t="s">
        <v>1401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1129</v>
      </c>
      <c r="L347" s="53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1391</v>
      </c>
      <c r="D348" s="51" t="s">
        <v>1400</v>
      </c>
      <c r="E348" s="51"/>
      <c r="F348" s="51" t="s">
        <v>1384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1130</v>
      </c>
      <c r="L348" s="53">
        <f t="shared" si="23"/>
        <v>27</v>
      </c>
      <c r="M348" s="17">
        <f t="shared" si="24"/>
        <v>3</v>
      </c>
      <c r="N348" s="18">
        <f t="shared" si="25"/>
        <v>0.9</v>
      </c>
      <c r="O348" s="27" t="s">
        <v>1209</v>
      </c>
      <c r="P348" s="8"/>
      <c r="Q348" s="8" t="s">
        <v>1209</v>
      </c>
      <c r="R348" s="8" t="s">
        <v>1209</v>
      </c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s="51" t="s">
        <v>703</v>
      </c>
      <c r="B349" s="51" t="s">
        <v>727</v>
      </c>
      <c r="C349" s="51" t="s">
        <v>1392</v>
      </c>
      <c r="D349" s="51" t="s">
        <v>728</v>
      </c>
      <c r="E349" s="51" t="s">
        <v>24</v>
      </c>
      <c r="F349" s="51" t="s">
        <v>1383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1131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 t="s">
        <v>1392</v>
      </c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1132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 t="s">
        <v>1392</v>
      </c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1134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s="51" t="s">
        <v>703</v>
      </c>
      <c r="B352" s="51" t="s">
        <v>1363</v>
      </c>
      <c r="C352" s="51" t="s">
        <v>1392</v>
      </c>
      <c r="D352" s="51" t="s">
        <v>695</v>
      </c>
      <c r="E352" s="51" t="s">
        <v>19</v>
      </c>
      <c r="F352" s="51" t="s">
        <v>1384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1135</v>
      </c>
      <c r="L352" s="53">
        <f t="shared" si="23"/>
        <v>30</v>
      </c>
      <c r="M352" s="17">
        <f t="shared" si="24"/>
        <v>0</v>
      </c>
      <c r="N352" s="18">
        <f t="shared" si="25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s="51" t="s">
        <v>697</v>
      </c>
      <c r="B353" s="51" t="s">
        <v>1364</v>
      </c>
      <c r="C353" s="51" t="s">
        <v>1392</v>
      </c>
      <c r="D353" s="51" t="s">
        <v>698</v>
      </c>
      <c r="E353" s="51" t="s">
        <v>24</v>
      </c>
      <c r="F353" s="51" t="s">
        <v>1384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1136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1365</v>
      </c>
      <c r="C354" s="51" t="s">
        <v>1392</v>
      </c>
      <c r="D354" s="51" t="s">
        <v>708</v>
      </c>
      <c r="E354" s="51" t="s">
        <v>19</v>
      </c>
      <c r="F354" s="51" t="s">
        <v>1384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1141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1366</v>
      </c>
      <c r="C355" s="51" t="s">
        <v>1392</v>
      </c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1142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1391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27</v>
      </c>
      <c r="M356" s="17">
        <f t="shared" si="24"/>
        <v>3</v>
      </c>
      <c r="N356" s="18">
        <f t="shared" si="25"/>
        <v>0.9</v>
      </c>
      <c r="O356" s="27" t="s">
        <v>1209</v>
      </c>
      <c r="P356" s="8"/>
      <c r="Q356" s="8" t="s">
        <v>1209</v>
      </c>
      <c r="R356" s="8" t="s">
        <v>1209</v>
      </c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1391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1146</v>
      </c>
      <c r="L357" s="53">
        <f t="shared" si="23"/>
        <v>27</v>
      </c>
      <c r="M357" s="17">
        <f t="shared" si="24"/>
        <v>3</v>
      </c>
      <c r="N357" s="18">
        <f t="shared" si="25"/>
        <v>0.9</v>
      </c>
      <c r="O357" s="27" t="s">
        <v>1209</v>
      </c>
      <c r="P357" s="8"/>
      <c r="Q357" s="8" t="s">
        <v>1209</v>
      </c>
      <c r="R357" s="8" t="s">
        <v>1209</v>
      </c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1367</v>
      </c>
      <c r="C358" s="51" t="s">
        <v>1391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1149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s="51" t="s">
        <v>411</v>
      </c>
      <c r="B359" s="51" t="s">
        <v>1368</v>
      </c>
      <c r="C359" s="51" t="s">
        <v>1391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1150</v>
      </c>
      <c r="L359" s="53">
        <f t="shared" si="23"/>
        <v>30</v>
      </c>
      <c r="M359" s="17">
        <f t="shared" si="24"/>
        <v>0</v>
      </c>
      <c r="N359" s="18">
        <f t="shared" si="25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1391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1153</v>
      </c>
      <c r="L360" s="53">
        <f t="shared" si="23"/>
        <v>30</v>
      </c>
      <c r="M360" s="17">
        <f t="shared" si="24"/>
        <v>0</v>
      </c>
      <c r="N360" s="18">
        <f t="shared" si="25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 t="s">
        <v>1391</v>
      </c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1147</v>
      </c>
      <c r="L361" s="53">
        <f t="shared" si="23"/>
        <v>27</v>
      </c>
      <c r="M361" s="17">
        <f t="shared" si="24"/>
        <v>3</v>
      </c>
      <c r="N361" s="18">
        <f t="shared" si="25"/>
        <v>0.9</v>
      </c>
      <c r="O361" s="27" t="s">
        <v>1209</v>
      </c>
      <c r="P361" s="8"/>
      <c r="Q361" s="8" t="s">
        <v>1209</v>
      </c>
      <c r="R361" s="8" t="s">
        <v>1209</v>
      </c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1391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1148</v>
      </c>
      <c r="L362" s="53">
        <f t="shared" si="23"/>
        <v>27</v>
      </c>
      <c r="M362" s="17">
        <f t="shared" si="24"/>
        <v>3</v>
      </c>
      <c r="N362" s="18">
        <f t="shared" si="25"/>
        <v>0.9</v>
      </c>
      <c r="O362" s="27" t="s">
        <v>1209</v>
      </c>
      <c r="P362" s="8"/>
      <c r="Q362" s="8" t="s">
        <v>1209</v>
      </c>
      <c r="R362" s="8" t="s">
        <v>1209</v>
      </c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s="51" t="s">
        <v>562</v>
      </c>
      <c r="B363" s="51" t="s">
        <v>752</v>
      </c>
      <c r="C363" s="51" t="s">
        <v>1391</v>
      </c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1151</v>
      </c>
      <c r="L363" s="53">
        <f t="shared" si="23"/>
        <v>30</v>
      </c>
      <c r="M363" s="17">
        <f t="shared" si="24"/>
        <v>0</v>
      </c>
      <c r="N363" s="18">
        <f t="shared" si="25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 t="s">
        <v>1391</v>
      </c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1152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 t="s">
        <v>1391</v>
      </c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1154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 t="s">
        <v>1391</v>
      </c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1155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 t="s">
        <v>1391</v>
      </c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1156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 t="s">
        <v>1391</v>
      </c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1157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 t="s">
        <v>1391</v>
      </c>
      <c r="D369" s="51" t="s">
        <v>766</v>
      </c>
      <c r="E369" s="51" t="s">
        <v>24</v>
      </c>
      <c r="F369" s="51" t="s">
        <v>1384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1158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 t="s">
        <v>1391</v>
      </c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1159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1392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1160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1392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1161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1369</v>
      </c>
      <c r="C373" s="51" t="s">
        <v>1392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1162</v>
      </c>
      <c r="L373" s="53">
        <f t="shared" si="23"/>
        <v>30</v>
      </c>
      <c r="M373" s="53">
        <f t="shared" ref="M373:M379" si="26">COUNTIF(O373:AP373,"APAGADO")</f>
        <v>0</v>
      </c>
      <c r="N373" s="54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1370</v>
      </c>
      <c r="C374" s="51" t="s">
        <v>1392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1163</v>
      </c>
      <c r="L374" s="53">
        <f t="shared" si="23"/>
        <v>30</v>
      </c>
      <c r="M374" s="53">
        <f t="shared" si="26"/>
        <v>0</v>
      </c>
      <c r="N374" s="54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1371</v>
      </c>
      <c r="C375" s="51" t="s">
        <v>1392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1164</v>
      </c>
      <c r="L375" s="53">
        <f t="shared" si="23"/>
        <v>30</v>
      </c>
      <c r="M375" s="53">
        <f t="shared" si="26"/>
        <v>0</v>
      </c>
      <c r="N375" s="54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1372</v>
      </c>
      <c r="C376" s="51" t="s">
        <v>1392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1165</v>
      </c>
      <c r="L376" s="53">
        <f t="shared" si="23"/>
        <v>30</v>
      </c>
      <c r="M376" s="53">
        <f t="shared" si="26"/>
        <v>0</v>
      </c>
      <c r="N376" s="54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1392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1166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1392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1167</v>
      </c>
      <c r="L378" s="53">
        <f t="shared" si="23"/>
        <v>30</v>
      </c>
      <c r="M378" s="53">
        <f t="shared" si="26"/>
        <v>0</v>
      </c>
      <c r="N378" s="54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1392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1168</v>
      </c>
      <c r="L379" s="53">
        <f t="shared" si="23"/>
        <v>30</v>
      </c>
      <c r="M379" s="53">
        <f t="shared" si="26"/>
        <v>0</v>
      </c>
      <c r="N379" s="54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1392</v>
      </c>
      <c r="D380" s="51" t="s">
        <v>1373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1169</v>
      </c>
      <c r="L380" s="53">
        <f t="shared" ref="L380:L396" si="28">COUNTIF(O380:AR380,"")</f>
        <v>30</v>
      </c>
      <c r="M380" s="53">
        <f t="shared" ref="M380:M396" si="29">COUNTIF(O380:AP380,"APAGADO")</f>
        <v>0</v>
      </c>
      <c r="N380" s="54">
        <f t="shared" ref="N380:N396" si="30">(L380)/(M380+L380)</f>
        <v>1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1374</v>
      </c>
      <c r="C381" s="51" t="s">
        <v>1392</v>
      </c>
      <c r="D381" s="51" t="s">
        <v>1375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1170</v>
      </c>
      <c r="L381" s="53">
        <f t="shared" si="28"/>
        <v>30</v>
      </c>
      <c r="M381" s="53">
        <f t="shared" si="29"/>
        <v>0</v>
      </c>
      <c r="N381" s="54">
        <f t="shared" si="30"/>
        <v>1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1376</v>
      </c>
      <c r="C382" s="51" t="s">
        <v>1392</v>
      </c>
      <c r="D382" s="51" t="s">
        <v>1375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1171</v>
      </c>
      <c r="L382" s="53">
        <f t="shared" si="28"/>
        <v>30</v>
      </c>
      <c r="M382" s="53">
        <f t="shared" si="29"/>
        <v>0</v>
      </c>
      <c r="N382" s="54">
        <f t="shared" si="30"/>
        <v>1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1377</v>
      </c>
      <c r="C383" s="51" t="s">
        <v>1392</v>
      </c>
      <c r="D383" s="51" t="s">
        <v>1378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1172</v>
      </c>
      <c r="L383" s="53">
        <f t="shared" si="28"/>
        <v>30</v>
      </c>
      <c r="M383" s="53">
        <f t="shared" si="29"/>
        <v>0</v>
      </c>
      <c r="N383" s="54">
        <f t="shared" si="30"/>
        <v>1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1392</v>
      </c>
      <c r="D384" s="51" t="s">
        <v>1379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30</v>
      </c>
      <c r="M384" s="53">
        <f t="shared" si="29"/>
        <v>0</v>
      </c>
      <c r="N384" s="54">
        <f t="shared" si="30"/>
        <v>1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1380</v>
      </c>
      <c r="C385" s="51" t="s">
        <v>1392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1174</v>
      </c>
      <c r="L385" s="53">
        <f t="shared" si="28"/>
        <v>26</v>
      </c>
      <c r="M385" s="53">
        <f t="shared" si="29"/>
        <v>4</v>
      </c>
      <c r="N385" s="54">
        <f t="shared" si="30"/>
        <v>0.8666666666666667</v>
      </c>
      <c r="O385" s="27" t="s">
        <v>1209</v>
      </c>
      <c r="P385" s="27" t="s">
        <v>1209</v>
      </c>
      <c r="Q385" s="27" t="s">
        <v>1209</v>
      </c>
      <c r="R385" s="27" t="s">
        <v>1209</v>
      </c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.75" thickBot="1" x14ac:dyDescent="0.3">
      <c r="A386" s="51" t="s">
        <v>794</v>
      </c>
      <c r="B386" s="51" t="s">
        <v>1381</v>
      </c>
      <c r="C386" s="51" t="s">
        <v>1392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1175</v>
      </c>
      <c r="L386" s="53">
        <f t="shared" si="28"/>
        <v>26</v>
      </c>
      <c r="M386" s="53">
        <f t="shared" si="29"/>
        <v>4</v>
      </c>
      <c r="N386" s="54">
        <f t="shared" si="30"/>
        <v>0.8666666666666667</v>
      </c>
      <c r="O386" s="27" t="s">
        <v>1209</v>
      </c>
      <c r="P386" s="27" t="s">
        <v>1209</v>
      </c>
      <c r="Q386" s="27" t="s">
        <v>1209</v>
      </c>
      <c r="R386" s="27" t="s">
        <v>1209</v>
      </c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1392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1173</v>
      </c>
      <c r="L387" s="53">
        <f t="shared" si="28"/>
        <v>26</v>
      </c>
      <c r="M387" s="53">
        <f t="shared" si="29"/>
        <v>4</v>
      </c>
      <c r="N387" s="54">
        <f t="shared" si="30"/>
        <v>0.8666666666666667</v>
      </c>
      <c r="O387" s="27" t="s">
        <v>1209</v>
      </c>
      <c r="P387" s="27" t="s">
        <v>1209</v>
      </c>
      <c r="Q387" s="27" t="s">
        <v>1209</v>
      </c>
      <c r="R387" s="27" t="s">
        <v>1209</v>
      </c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1392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1176</v>
      </c>
      <c r="L388" s="53">
        <f t="shared" si="28"/>
        <v>26</v>
      </c>
      <c r="M388" s="53">
        <f t="shared" si="29"/>
        <v>4</v>
      </c>
      <c r="N388" s="54">
        <f t="shared" si="30"/>
        <v>0.8666666666666667</v>
      </c>
      <c r="O388" s="27" t="s">
        <v>1209</v>
      </c>
      <c r="P388" s="27" t="s">
        <v>1209</v>
      </c>
      <c r="Q388" s="27" t="s">
        <v>1209</v>
      </c>
      <c r="R388" s="27" t="s">
        <v>1209</v>
      </c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1392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1177</v>
      </c>
      <c r="L389" s="53">
        <f t="shared" si="28"/>
        <v>30</v>
      </c>
      <c r="M389" s="53">
        <f t="shared" si="29"/>
        <v>0</v>
      </c>
      <c r="N389" s="54">
        <f t="shared" si="30"/>
        <v>1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 t="s">
        <v>1392</v>
      </c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1179</v>
      </c>
      <c r="L390" s="53">
        <f t="shared" si="28"/>
        <v>30</v>
      </c>
      <c r="M390" s="53">
        <f t="shared" si="29"/>
        <v>0</v>
      </c>
      <c r="N390" s="54">
        <f t="shared" si="30"/>
        <v>1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 t="s">
        <v>1392</v>
      </c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1180</v>
      </c>
      <c r="L391" s="53">
        <f t="shared" si="28"/>
        <v>30</v>
      </c>
      <c r="M391" s="53">
        <f t="shared" si="29"/>
        <v>0</v>
      </c>
      <c r="N391" s="54">
        <f t="shared" si="30"/>
        <v>1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.75" thickBot="1" x14ac:dyDescent="0.3">
      <c r="A392" s="51" t="s">
        <v>803</v>
      </c>
      <c r="B392" s="51" t="s">
        <v>1382</v>
      </c>
      <c r="C392" s="51" t="s">
        <v>1392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1178</v>
      </c>
      <c r="L392" s="53">
        <f t="shared" si="28"/>
        <v>30</v>
      </c>
      <c r="M392" s="53">
        <f t="shared" si="29"/>
        <v>0</v>
      </c>
      <c r="N392" s="54">
        <f t="shared" si="30"/>
        <v>1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 t="s">
        <v>1392</v>
      </c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1184</v>
      </c>
      <c r="L393" s="53">
        <f t="shared" si="28"/>
        <v>30</v>
      </c>
      <c r="M393" s="53">
        <f t="shared" si="29"/>
        <v>0</v>
      </c>
      <c r="N393" s="54">
        <f t="shared" si="30"/>
        <v>1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 t="s">
        <v>1392</v>
      </c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1181</v>
      </c>
      <c r="L394" s="53">
        <f t="shared" si="28"/>
        <v>30</v>
      </c>
      <c r="M394" s="53">
        <f t="shared" si="29"/>
        <v>0</v>
      </c>
      <c r="N394" s="54">
        <f t="shared" si="30"/>
        <v>1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.75" thickBot="1" x14ac:dyDescent="0.3">
      <c r="A395" s="51" t="s">
        <v>433</v>
      </c>
      <c r="B395" s="51" t="s">
        <v>815</v>
      </c>
      <c r="C395" s="51" t="s">
        <v>1392</v>
      </c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1182</v>
      </c>
      <c r="L395" s="53">
        <f t="shared" si="28"/>
        <v>30</v>
      </c>
      <c r="M395" s="53">
        <f t="shared" si="29"/>
        <v>0</v>
      </c>
      <c r="N395" s="54">
        <f t="shared" si="30"/>
        <v>1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 t="s">
        <v>1392</v>
      </c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1183</v>
      </c>
      <c r="L396" s="53">
        <f t="shared" si="28"/>
        <v>30</v>
      </c>
      <c r="M396" s="53">
        <f t="shared" si="29"/>
        <v>0</v>
      </c>
      <c r="N396" s="54">
        <f t="shared" si="30"/>
        <v>1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44774</v>
      </c>
      <c r="G1" s="25">
        <f>'RESUMEN TOTAL'!P4</f>
        <v>44775</v>
      </c>
      <c r="H1" s="25">
        <f>'RESUMEN TOTAL'!Q4</f>
        <v>44776</v>
      </c>
      <c r="I1" s="25">
        <f>'RESUMEN TOTAL'!R4</f>
        <v>44777</v>
      </c>
      <c r="J1" s="25">
        <f>'RESUMEN TOTAL'!S4</f>
        <v>44778</v>
      </c>
      <c r="K1" s="25">
        <f>'RESUMEN TOTAL'!T4</f>
        <v>44779</v>
      </c>
      <c r="L1" s="25">
        <f>'RESUMEN TOTAL'!U4</f>
        <v>44780</v>
      </c>
      <c r="M1" s="25">
        <f>'RESUMEN TOTAL'!V4</f>
        <v>44781</v>
      </c>
      <c r="N1" s="25">
        <f>'RESUMEN TOTAL'!W4</f>
        <v>44782</v>
      </c>
      <c r="O1" s="25">
        <f>'RESUMEN TOTAL'!X4</f>
        <v>44783</v>
      </c>
      <c r="P1" s="25">
        <f>'RESUMEN TOTAL'!Y4</f>
        <v>44784</v>
      </c>
      <c r="Q1" s="25">
        <f>'RESUMEN TOTAL'!Z4</f>
        <v>44785</v>
      </c>
      <c r="R1" s="25">
        <f>'RESUMEN TOTAL'!AA4</f>
        <v>44786</v>
      </c>
      <c r="S1" s="25">
        <f>'RESUMEN TOTAL'!AB4</f>
        <v>44787</v>
      </c>
      <c r="T1" s="25">
        <f>'RESUMEN TOTAL'!AC4</f>
        <v>44788</v>
      </c>
      <c r="U1" s="25">
        <f>'RESUMEN TOTAL'!AD4</f>
        <v>44789</v>
      </c>
      <c r="V1" s="25">
        <f>'RESUMEN TOTAL'!AE4</f>
        <v>44790</v>
      </c>
      <c r="W1" s="25">
        <f>'RESUMEN TOTAL'!AF4</f>
        <v>44791</v>
      </c>
      <c r="X1" s="25">
        <f>'RESUMEN TOTAL'!AG4</f>
        <v>44792</v>
      </c>
      <c r="Y1" s="25">
        <f>'RESUMEN TOTAL'!AH4</f>
        <v>44793</v>
      </c>
      <c r="Z1" s="25">
        <f>'RESUMEN TOTAL'!AI4</f>
        <v>44794</v>
      </c>
      <c r="AA1" s="25">
        <f>'RESUMEN TOTAL'!AJ4</f>
        <v>44795</v>
      </c>
      <c r="AB1" s="25">
        <f>'RESUMEN TOTAL'!AK4</f>
        <v>44796</v>
      </c>
      <c r="AC1" s="25">
        <f>'RESUMEN TOTAL'!AL4</f>
        <v>44797</v>
      </c>
      <c r="AD1" s="25">
        <f>'RESUMEN TOTAL'!AM4</f>
        <v>44798</v>
      </c>
      <c r="AE1" s="25">
        <f>'RESUMEN TOTAL'!AN4</f>
        <v>44799</v>
      </c>
      <c r="AF1" s="25">
        <f>'RESUMEN TOTAL'!AO4</f>
        <v>44800</v>
      </c>
      <c r="AG1" s="25">
        <f>'RESUMEN TOTAL'!AP4</f>
        <v>44801</v>
      </c>
      <c r="AH1" s="25">
        <f>'RESUMEN TOTAL'!AQ4</f>
        <v>44802</v>
      </c>
      <c r="AI1" s="25">
        <f>'RESUMEN TOTAL'!AR4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 t="str">
        <f>'RESUMEN TOTAL'!P15</f>
        <v>APAGADO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 t="str">
        <f>'RESUMEN TOTAL'!P16</f>
        <v>APAGADO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TOTAL'!O31</f>
        <v>APAGADO</v>
      </c>
      <c r="G28" t="str">
        <f>'RESUMEN TOTAL'!P31</f>
        <v>APAGADO</v>
      </c>
      <c r="H28" t="str">
        <f>'RESUMEN TOTAL'!Q31</f>
        <v>APAGADO</v>
      </c>
      <c r="I28" t="str">
        <f>'RESUMEN TOTAL'!R31</f>
        <v>APAGADO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TOTAL'!O34</f>
        <v>APAGADO</v>
      </c>
      <c r="G31" t="str">
        <f>'RESUMEN TOTAL'!P34</f>
        <v>APAGADO</v>
      </c>
      <c r="H31" t="str">
        <f>'RESUMEN TOTAL'!Q34</f>
        <v>APAGADO</v>
      </c>
      <c r="I31" t="str">
        <f>'RESUMEN TOTAL'!R34</f>
        <v>APAGADO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TOTAL'!O67</f>
        <v>APAGADO</v>
      </c>
      <c r="G64" t="str">
        <f>'RESUMEN TOTAL'!P67</f>
        <v>APAGADO</v>
      </c>
      <c r="H64" t="str">
        <f>'RESUMEN TOTAL'!Q67</f>
        <v>APAGADO</v>
      </c>
      <c r="I64" t="str">
        <f>'RESUMEN TOTAL'!R67</f>
        <v>APAGADO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TOTAL'!O87</f>
        <v>APAGADO</v>
      </c>
      <c r="G84" t="str">
        <f>'RESUMEN TOTAL'!P87</f>
        <v>APAGADO</v>
      </c>
      <c r="H84" t="str">
        <f>'RESUMEN TOTAL'!Q87</f>
        <v>APAGADO</v>
      </c>
      <c r="I84" t="str">
        <f>'RESUMEN TOTAL'!R87</f>
        <v>APAGADO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TOTAL'!O128</f>
        <v>APAGADO</v>
      </c>
      <c r="G125" t="str">
        <f>'RESUMEN TOTAL'!P128</f>
        <v>APAGADO</v>
      </c>
      <c r="H125" t="str">
        <f>'RESUMEN TOTAL'!Q128</f>
        <v>APAGADO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TOTAL'!O129</f>
        <v>APAGADO</v>
      </c>
      <c r="G126" t="str">
        <f>'RESUMEN TOTAL'!P129</f>
        <v>APAGADO</v>
      </c>
      <c r="H126" t="str">
        <f>'RESUMEN TOTAL'!Q129</f>
        <v>APAGADO</v>
      </c>
      <c r="I126" t="str">
        <f>'RESUMEN TOTAL'!R129</f>
        <v>APAGADO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TOTAL'!O133</f>
        <v>0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TOTAL'!O134</f>
        <v>APAGADO</v>
      </c>
      <c r="G131" t="str">
        <f>'RESUMEN TOTAL'!P134</f>
        <v>APAGADO</v>
      </c>
      <c r="H131" t="str">
        <f>'RESUMEN TOTAL'!Q134</f>
        <v>APAGADO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TOTAL'!O157</f>
        <v>APAGADO</v>
      </c>
      <c r="G154" t="str">
        <f>'RESUMEN TOTAL'!P157</f>
        <v>APAGADO</v>
      </c>
      <c r="H154" t="str">
        <f>'RESUMEN TOTAL'!Q157</f>
        <v>APAGADO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TOTAL'!O158</f>
        <v>APAGADO</v>
      </c>
      <c r="G155" t="str">
        <f>'RESUMEN TOTAL'!P158</f>
        <v>APAGADO</v>
      </c>
      <c r="H155" t="str">
        <f>'RESUMEN TOTAL'!Q158</f>
        <v>APAGADO</v>
      </c>
      <c r="I155" t="str">
        <f>'RESUMEN TOTAL'!R158</f>
        <v>APAGADO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TOTAL'!O162</f>
        <v>APAGADO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TOTAL'!O163</f>
        <v>APAGADO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 t="str">
        <f>'RESUMEN TOTAL'!P199</f>
        <v>APAGADO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 t="str">
        <f>'RESUMEN TOTAL'!P200</f>
        <v>APAGADO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TOTAL'!O206</f>
        <v>0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TOTAL'!O210</f>
        <v>APAGADO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TOTAL'!O215</f>
        <v>APAGADO</v>
      </c>
      <c r="G212" t="str">
        <f>'RESUMEN TOTAL'!P215</f>
        <v>APAGADO</v>
      </c>
      <c r="H212" t="str">
        <f>'RESUMEN TOTAL'!Q215</f>
        <v>APAGADO</v>
      </c>
      <c r="I212" t="str">
        <f>'RESUMEN TOTAL'!R215</f>
        <v>APAGADO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TOTAL'!O216</f>
        <v>APAGADO</v>
      </c>
      <c r="G213" t="str">
        <f>'RESUMEN TOTAL'!P216</f>
        <v>APAGADO</v>
      </c>
      <c r="H213" t="str">
        <f>'RESUMEN TOTAL'!Q216</f>
        <v>APAGADO</v>
      </c>
      <c r="I213" t="str">
        <f>'RESUMEN TOTAL'!R216</f>
        <v>APAGADO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>
        <f>'RESUMEN TOTAL'!Q217</f>
        <v>0</v>
      </c>
      <c r="I214" t="str">
        <f>'RESUMEN TOTAL'!R217</f>
        <v>APAGADO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 t="str">
        <f>'RESUMEN TOTAL'!R224</f>
        <v>APAGADO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TOTAL'!O225</f>
        <v>APAGADO</v>
      </c>
      <c r="G222">
        <f>'RESUMEN TOTAL'!P225</f>
        <v>0</v>
      </c>
      <c r="H222" t="str">
        <f>'RESUMEN TOTAL'!Q225</f>
        <v>APAGADO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TOTAL'!O244</f>
        <v>APAGADO</v>
      </c>
      <c r="G241" t="str">
        <f>'RESUMEN TOTAL'!P244</f>
        <v>APAGADO</v>
      </c>
      <c r="H241" t="str">
        <f>'RESUMEN TOTAL'!Q244</f>
        <v>APAGADO</v>
      </c>
      <c r="I241" t="str">
        <f>'RESUMEN TOTAL'!R244</f>
        <v>APAGADO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 t="str">
        <f>'RESUMEN TOTAL'!P245</f>
        <v>APAGADO</v>
      </c>
      <c r="H242" t="str">
        <f>'RESUMEN TOTAL'!Q245</f>
        <v>APAGADO</v>
      </c>
      <c r="I242" t="str">
        <f>'RESUMEN TOTAL'!R245</f>
        <v>APAGADO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TOTAL'!O255</f>
        <v>APAGADO</v>
      </c>
      <c r="G252" t="str">
        <f>'RESUMEN TOTAL'!P255</f>
        <v>APAGADO</v>
      </c>
      <c r="H252" t="str">
        <f>'RESUMEN TOTAL'!Q255</f>
        <v>APAGADO</v>
      </c>
      <c r="I252" t="str">
        <f>'RESUMEN TOTAL'!R255</f>
        <v>APAGADO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 t="str">
        <f>'RESUMEN TOTAL'!P262</f>
        <v>APAGADO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 t="str">
        <f>'RESUMEN TOTAL'!P267</f>
        <v>APAGADO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 t="str">
        <f>'RESUMEN TOTAL'!P269</f>
        <v>APAGADO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 t="str">
        <f>'RESUMEN TOTAL'!P270</f>
        <v>APAGADO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TOTAL'!O290</f>
        <v>APAGADO</v>
      </c>
      <c r="G287" t="str">
        <f>'RESUMEN TOTAL'!P290</f>
        <v>APAGADO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TOTAL'!O291</f>
        <v>APAGADO</v>
      </c>
      <c r="G288" t="str">
        <f>'RESUMEN TOTAL'!P291</f>
        <v>APAGADO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TOTAL'!O292</f>
        <v>APAGADO</v>
      </c>
      <c r="G289" t="str">
        <f>'RESUMEN TOTAL'!P292</f>
        <v>APAGADO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TOTAL'!O302</f>
        <v>APAGADO</v>
      </c>
      <c r="G299" t="str">
        <f>'RESUMEN TOTAL'!P302</f>
        <v>APAGADO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TOTAL'!O348</f>
        <v>APAGADO</v>
      </c>
      <c r="G345">
        <f>'RESUMEN TOTAL'!P348</f>
        <v>0</v>
      </c>
      <c r="H345" t="str">
        <f>'RESUMEN TOTAL'!Q348</f>
        <v>APAGADO</v>
      </c>
      <c r="I345" t="str">
        <f>'RESUMEN TOTAL'!R348</f>
        <v>APAGADO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TOTAL'!O356</f>
        <v>APAGADO</v>
      </c>
      <c r="G353">
        <f>'RESUMEN TOTAL'!P356</f>
        <v>0</v>
      </c>
      <c r="H353" t="str">
        <f>'RESUMEN TOTAL'!Q356</f>
        <v>APAGADO</v>
      </c>
      <c r="I353" t="str">
        <f>'RESUMEN TOTAL'!R356</f>
        <v>APAGADO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TOTAL'!O357</f>
        <v>APAGADO</v>
      </c>
      <c r="G354">
        <f>'RESUMEN TOTAL'!P357</f>
        <v>0</v>
      </c>
      <c r="H354" t="str">
        <f>'RESUMEN TOTAL'!Q357</f>
        <v>APAGADO</v>
      </c>
      <c r="I354" t="str">
        <f>'RESUMEN TOTAL'!R357</f>
        <v>APAGADO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>
        <f>'RESUMEN TOTAL'!P361</f>
        <v>0</v>
      </c>
      <c r="H358" t="str">
        <f>'RESUMEN TOTAL'!Q361</f>
        <v>APAGADO</v>
      </c>
      <c r="I358" t="str">
        <f>'RESUMEN TOTAL'!R361</f>
        <v>APAGADO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>
        <f>'RESUMEN TOTAL'!P362</f>
        <v>0</v>
      </c>
      <c r="H359" t="str">
        <f>'RESUMEN TOTAL'!Q362</f>
        <v>APAGADO</v>
      </c>
      <c r="I359" t="str">
        <f>'RESUMEN TOTAL'!R362</f>
        <v>APAGADO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>
        <f>'RESUMEN TOTAL'!AE378</f>
        <v>0</v>
      </c>
      <c r="W375" s="51">
        <f>'RESUMEN TOTAL'!AF378</f>
        <v>0</v>
      </c>
      <c r="X375" s="51">
        <f>'RESUMEN TOTAL'!AG378</f>
        <v>0</v>
      </c>
      <c r="Y375" s="51">
        <f>'RESUMEN TOTAL'!AH378</f>
        <v>0</v>
      </c>
      <c r="Z375" s="51">
        <f>'RESUMEN TOTAL'!AI378</f>
        <v>0</v>
      </c>
      <c r="AA375" s="51">
        <f>'RESUMEN TOTAL'!AJ378</f>
        <v>0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>
        <f>'RESUMEN TOTAL'!AE379</f>
        <v>0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>
        <f>'RESUMEN TOTAL'!AE380</f>
        <v>0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>
        <f>'RESUMEN TOTAL'!AE381</f>
        <v>0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>
        <f>'RESUMEN TOTAL'!AE382</f>
        <v>0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>
        <f>'RESUMEN TOTAL'!AE383</f>
        <v>0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>
        <f>'RESUMEN TOTAL'!AE384</f>
        <v>0</v>
      </c>
      <c r="W381" s="51">
        <f>'RESUMEN TOTAL'!AF384</f>
        <v>0</v>
      </c>
      <c r="X381" s="51">
        <f>'RESUMEN TOTAL'!AG384</f>
        <v>0</v>
      </c>
      <c r="Y381" s="51">
        <f>'RESUMEN TOTAL'!AH384</f>
        <v>0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TOTAL'!O385</f>
        <v>APAGADO</v>
      </c>
      <c r="G382" s="51" t="str">
        <f>'RESUMEN TOTAL'!P385</f>
        <v>APAGADO</v>
      </c>
      <c r="H382" s="51" t="str">
        <f>'RESUMEN TOTAL'!Q385</f>
        <v>APAGADO</v>
      </c>
      <c r="I382" s="51" t="str">
        <f>'RESUMEN TOTAL'!R385</f>
        <v>APAGADO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>
        <f>'RESUMEN TOTAL'!AE385</f>
        <v>0</v>
      </c>
      <c r="W382" s="51">
        <f>'RESUMEN TOTAL'!AF385</f>
        <v>0</v>
      </c>
      <c r="X382" s="51">
        <f>'RESUMEN TOTAL'!AG385</f>
        <v>0</v>
      </c>
      <c r="Y382" s="51">
        <f>'RESUMEN TOTAL'!AH385</f>
        <v>0</v>
      </c>
      <c r="Z382" s="51">
        <f>'RESUMEN TOTAL'!AI385</f>
        <v>0</v>
      </c>
      <c r="AA382" s="51">
        <f>'RESUMEN TOTAL'!AJ385</f>
        <v>0</v>
      </c>
      <c r="AB382" s="51">
        <f>'RESUMEN TOTAL'!AK385</f>
        <v>0</v>
      </c>
      <c r="AC382" s="51">
        <f>'RESUMEN TOTAL'!AL385</f>
        <v>0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TOTAL'!O386</f>
        <v>APAGADO</v>
      </c>
      <c r="G383" s="51" t="str">
        <f>'RESUMEN TOTAL'!P386</f>
        <v>APAGADO</v>
      </c>
      <c r="H383" s="51" t="str">
        <f>'RESUMEN TOTAL'!Q386</f>
        <v>APAGADO</v>
      </c>
      <c r="I383" s="51" t="str">
        <f>'RESUMEN TOTAL'!R386</f>
        <v>APAGADO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>
        <f>'RESUMEN TOTAL'!AE386</f>
        <v>0</v>
      </c>
      <c r="W383" s="51">
        <f>'RESUMEN TOTAL'!AF386</f>
        <v>0</v>
      </c>
      <c r="X383" s="51">
        <f>'RESUMEN TOTAL'!AG386</f>
        <v>0</v>
      </c>
      <c r="Y383" s="51">
        <f>'RESUMEN TOTAL'!AH386</f>
        <v>0</v>
      </c>
      <c r="Z383" s="51">
        <f>'RESUMEN TOTAL'!AI386</f>
        <v>0</v>
      </c>
      <c r="AA383" s="51">
        <f>'RESUMEN TOTAL'!AJ386</f>
        <v>0</v>
      </c>
      <c r="AB383" s="51">
        <f>'RESUMEN TOTAL'!AK386</f>
        <v>0</v>
      </c>
      <c r="AC383" s="51">
        <f>'RESUMEN TOTAL'!AL386</f>
        <v>0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TOTAL'!O387</f>
        <v>APAGADO</v>
      </c>
      <c r="G384" s="51" t="str">
        <f>'RESUMEN TOTAL'!P387</f>
        <v>APAGADO</v>
      </c>
      <c r="H384" s="51" t="str">
        <f>'RESUMEN TOTAL'!Q387</f>
        <v>APAGADO</v>
      </c>
      <c r="I384" s="51" t="str">
        <f>'RESUMEN TOTAL'!R387</f>
        <v>APAGADO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>
        <f>'RESUMEN TOTAL'!AE387</f>
        <v>0</v>
      </c>
      <c r="W384" s="51">
        <f>'RESUMEN TOTAL'!AF387</f>
        <v>0</v>
      </c>
      <c r="X384" s="51">
        <f>'RESUMEN TOTAL'!AG387</f>
        <v>0</v>
      </c>
      <c r="Y384" s="51">
        <f>'RESUMEN TOTAL'!AH387</f>
        <v>0</v>
      </c>
      <c r="Z384" s="51">
        <f>'RESUMEN TOTAL'!AI387</f>
        <v>0</v>
      </c>
      <c r="AA384" s="51">
        <f>'RESUMEN TOTAL'!AJ387</f>
        <v>0</v>
      </c>
      <c r="AB384" s="51">
        <f>'RESUMEN TOTAL'!AK387</f>
        <v>0</v>
      </c>
      <c r="AC384" s="51">
        <f>'RESUMEN TOTAL'!AL387</f>
        <v>0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TOTAL'!O388</f>
        <v>APAGADO</v>
      </c>
      <c r="G385" s="51" t="str">
        <f>'RESUMEN TOTAL'!P388</f>
        <v>APAGADO</v>
      </c>
      <c r="H385" s="51" t="str">
        <f>'RESUMEN TOTAL'!Q388</f>
        <v>APAGADO</v>
      </c>
      <c r="I385" s="51" t="str">
        <f>'RESUMEN TOTAL'!R388</f>
        <v>APAGADO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>
        <f>'RESUMEN TOTAL'!AE388</f>
        <v>0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>
        <f>'RESUMEN TOTAL'!AI388</f>
        <v>0</v>
      </c>
      <c r="AA385" s="51">
        <f>'RESUMEN TOTAL'!AJ388</f>
        <v>0</v>
      </c>
      <c r="AB385" s="51">
        <f>'RESUMEN TOTAL'!AK388</f>
        <v>0</v>
      </c>
      <c r="AC385" s="51">
        <f>'RESUMEN TOTAL'!AL388</f>
        <v>0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>
        <f>'RESUMEN TOTAL'!AE389</f>
        <v>0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>
        <f>'RESUMEN TOTAL'!AE390</f>
        <v>0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>
        <f>'RESUMEN TOTAL'!AE391</f>
        <v>0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>
        <f>'RESUMEN TOTAL'!AE392</f>
        <v>0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>
        <f>'RESUMEN TOTAL'!AE393</f>
        <v>0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>
        <f>'RESUMEN TOTAL'!AE394</f>
        <v>0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>
        <f>'RESUMEN TOTAL'!AE395</f>
        <v>0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>
        <f>'RESUMEN TOTAL'!AE396</f>
        <v>0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K8" sqref="AK8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379" xr:uid="{2CD2C71F-307D-4E12-901F-A6B69A40CA8C}"/>
  <conditionalFormatting sqref="F3:AI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1190</v>
      </c>
      <c r="D1" s="49">
        <f>COUNTIFS(E4:E400,"=Fibra Optica")</f>
        <v>261</v>
      </c>
    </row>
    <row r="2" spans="1:35" ht="21" x14ac:dyDescent="0.35">
      <c r="E2" s="26" t="s">
        <v>821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0</v>
      </c>
      <c r="K2" s="26">
        <f>COUNTIFS(K4:K400, "=APAGADO",E4:E400,"=Fibra Optica")</f>
        <v>0</v>
      </c>
      <c r="L2" s="26">
        <f>COUNTIFS(L4:L400, "=APAGADO",E4:E400,"=Fibra Optica")</f>
        <v>0</v>
      </c>
      <c r="M2" s="26">
        <f>COUNTIFS(M4:M400, "=APAGADO",E4:E400,"=Fibra Optica")</f>
        <v>0</v>
      </c>
      <c r="N2" s="26">
        <f>COUNTIFS(N4:N400, "=APAGADO",E4:E400,"=Fibra Optica")</f>
        <v>0</v>
      </c>
      <c r="O2" s="26">
        <f>COUNTIFS(O4:O400, "=APAGADO",E4:E400,"=Fibra Optica")</f>
        <v>0</v>
      </c>
      <c r="P2" s="26">
        <f>COUNTIFS(P4:P400, "=APAGADO",E4:E400,"=Fibra Optica")</f>
        <v>0</v>
      </c>
      <c r="Q2" s="26">
        <f>COUNTIFS(Q4:Q400, "=APAGADO",E4:E400,"=Fibra Optica")</f>
        <v>0</v>
      </c>
      <c r="R2" s="26">
        <f>COUNTIFS(R4:R400, "=APAGADO",E4:E400,"=Fibra Optica")</f>
        <v>0</v>
      </c>
      <c r="S2" s="26">
        <f>COUNTIFS(S4:S400, "=APAGADO",E4:E400,"=Fibra Optica")</f>
        <v>0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33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H142" sqref="AH14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1393</v>
      </c>
      <c r="D1" s="50">
        <f>COUNTIFS(E4:E400,"=PTo A FO")</f>
        <v>37</v>
      </c>
    </row>
    <row r="2" spans="1:35" ht="21" x14ac:dyDescent="0.35">
      <c r="E2" s="26" t="s">
        <v>821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0</v>
      </c>
      <c r="K2" s="26">
        <f>COUNTIFS(K4:K400, "=APAGADO",E4:E400,"=PTO A FO")</f>
        <v>0</v>
      </c>
      <c r="L2" s="26">
        <f>COUNTIFS(L4:L400, "=APAGADO",E4:E400,"=PTO A FO")</f>
        <v>0</v>
      </c>
      <c r="M2" s="26">
        <f>COUNTIFS(M4:M400, "=APAGADO",E4:E400,"=PTO A FO")</f>
        <v>0</v>
      </c>
      <c r="N2" s="26">
        <f>COUNTIFS(N4:N400, "=APAGADO",E4:E400,"=PTO A FO")</f>
        <v>0</v>
      </c>
      <c r="O2" s="26">
        <f>COUNTIFS(O4:O400, "=APAGADO",E4:E400,"=PTO A FO")</f>
        <v>0</v>
      </c>
      <c r="P2" s="26">
        <f>COUNTIFS(P4:P400, "=APAGADO",E4:E400,"=PTO A FO")</f>
        <v>0</v>
      </c>
      <c r="Q2" s="26">
        <f>COUNTIFS(Q4:Q400, "=APAGADO",E4:E400,"=PTO A FO")</f>
        <v>0</v>
      </c>
      <c r="R2" s="26">
        <f>COUNTIFS(R4:R400, "=APAGADO",E4:E400,"=PTO A FO")</f>
        <v>0</v>
      </c>
      <c r="S2" s="26">
        <f>COUNTIFS(S4:S400, "=APAGADO",E4:E400,"=PTO A FO")</f>
        <v>0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33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1191</v>
      </c>
      <c r="D1" s="50">
        <f>COUNTIFS(E4:E400,"=radio")</f>
        <v>94</v>
      </c>
    </row>
    <row r="2" spans="1:35" ht="21" x14ac:dyDescent="0.35">
      <c r="E2" s="26" t="s">
        <v>821</v>
      </c>
      <c r="F2" s="26">
        <f>COUNTIFS(F4:F367, "=APAGADO",E4:E367,"=radio")</f>
        <v>4</v>
      </c>
      <c r="G2" s="26">
        <f>COUNTIFS(G4:G367, "=APAGADO",E4:E367,"=radio")</f>
        <v>4</v>
      </c>
      <c r="H2" s="26">
        <f>COUNTIFS(H4:H367, "=APAGADO",E4:E367,"=radio")</f>
        <v>3</v>
      </c>
      <c r="I2" s="26">
        <f>COUNTIFS(I4:I367, "=APAGADO",E4:E367,"=radio")</f>
        <v>3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33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4" sqref="R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1185</v>
      </c>
      <c r="E1" t="s">
        <v>825</v>
      </c>
      <c r="F1" t="s">
        <v>824</v>
      </c>
      <c r="G1" s="55" t="s">
        <v>1202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25">
      <c r="A6" s="25">
        <f>'APAGADOS RADIO'!J3</f>
        <v>44778</v>
      </c>
      <c r="B6" s="51">
        <f>'APAGADOS RADIO'!J2+D6</f>
        <v>0</v>
      </c>
      <c r="C6" s="51">
        <f>'APAGADOS FIBRA'!J2</f>
        <v>0</v>
      </c>
      <c r="D6" s="51">
        <f>'APAGADOS ANTENA'!J2</f>
        <v>0</v>
      </c>
      <c r="E6" s="51">
        <f t="shared" si="5"/>
        <v>0</v>
      </c>
      <c r="F6" s="51">
        <f>'RESUMEN TOTAL'!B1</f>
        <v>392</v>
      </c>
      <c r="G6" s="55">
        <f t="shared" si="6"/>
        <v>0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0</v>
      </c>
      <c r="C8" s="51">
        <f>'APAGADOS FIBRA'!L2</f>
        <v>0</v>
      </c>
      <c r="D8" s="51">
        <f>'APAGADOS ANTENA'!L2</f>
        <v>0</v>
      </c>
      <c r="E8" s="51">
        <f t="shared" ref="E8" si="7">B8+C8</f>
        <v>0</v>
      </c>
      <c r="F8" s="51">
        <f>'RESUMEN TOTAL'!B1</f>
        <v>392</v>
      </c>
      <c r="G8" s="55">
        <f t="shared" ref="G8" si="8">E8/F8</f>
        <v>0</v>
      </c>
    </row>
    <row r="9" spans="1:7" x14ac:dyDescent="0.25">
      <c r="A9" s="25">
        <f>'APAGADOS RADIO'!M3</f>
        <v>44781</v>
      </c>
      <c r="B9" s="51">
        <f>'APAGADOS RADIO'!M2+D9</f>
        <v>0</v>
      </c>
      <c r="C9" s="51">
        <f>'APAGADOS FIBRA'!M2</f>
        <v>0</v>
      </c>
      <c r="D9" s="51">
        <f>'APAGADOS ANTENA'!M2</f>
        <v>0</v>
      </c>
      <c r="E9" s="51">
        <f t="shared" ref="E9" si="9">B9+C9</f>
        <v>0</v>
      </c>
      <c r="F9" s="51">
        <f>'RESUMEN TOTAL'!B1</f>
        <v>392</v>
      </c>
      <c r="G9" s="55">
        <f t="shared" ref="G9" si="10">E9/F9</f>
        <v>0</v>
      </c>
    </row>
    <row r="10" spans="1:7" x14ac:dyDescent="0.25">
      <c r="A10" s="25">
        <f>'APAGADOS RADIO'!N3</f>
        <v>44782</v>
      </c>
      <c r="B10" s="51">
        <f>'APAGADOS RADIO'!N2+D10</f>
        <v>0</v>
      </c>
      <c r="C10" s="51">
        <f>'APAGADOS FIBRA'!N2</f>
        <v>0</v>
      </c>
      <c r="D10" s="51">
        <f>'APAGADOS ANTENA'!N2</f>
        <v>0</v>
      </c>
      <c r="E10" s="51">
        <f t="shared" ref="E10" si="11">B10+C10</f>
        <v>0</v>
      </c>
      <c r="F10" s="51">
        <f>'RESUMEN TOTAL'!B1</f>
        <v>392</v>
      </c>
      <c r="G10" s="55">
        <f t="shared" ref="G10" si="12">E10/F10</f>
        <v>0</v>
      </c>
    </row>
    <row r="11" spans="1:7" x14ac:dyDescent="0.25">
      <c r="A11" s="25">
        <f>'APAGADOS RADIO'!O3</f>
        <v>44783</v>
      </c>
      <c r="B11" s="51">
        <f>'APAGADOS RADIO'!O2+D11</f>
        <v>0</v>
      </c>
      <c r="C11" s="51">
        <f>'APAGADOS FIBRA'!O2</f>
        <v>0</v>
      </c>
      <c r="D11" s="51">
        <f>'APAGADOS ANTENA'!O2</f>
        <v>0</v>
      </c>
      <c r="E11" s="51">
        <f t="shared" ref="E11" si="13">B11+C11</f>
        <v>0</v>
      </c>
      <c r="F11" s="51">
        <f>'RESUMEN TOTAL'!B1</f>
        <v>392</v>
      </c>
      <c r="G11" s="55">
        <f t="shared" ref="G11" si="14">E11/F11</f>
        <v>0</v>
      </c>
    </row>
    <row r="12" spans="1:7" x14ac:dyDescent="0.25">
      <c r="A12" s="25">
        <f>'APAGADOS RADIO'!P3</f>
        <v>44784</v>
      </c>
      <c r="B12" s="51">
        <f>'APAGADOS RADIO'!P2+D12</f>
        <v>0</v>
      </c>
      <c r="C12" s="51">
        <f>'APAGADOS FIBRA'!P2</f>
        <v>0</v>
      </c>
      <c r="D12" s="51">
        <f>'APAGADOS ANTENA'!P2</f>
        <v>0</v>
      </c>
      <c r="E12" s="51">
        <f t="shared" ref="E12" si="15">B12+C12</f>
        <v>0</v>
      </c>
      <c r="F12" s="51">
        <f>'RESUMEN TOTAL'!B1</f>
        <v>392</v>
      </c>
      <c r="G12" s="55">
        <f t="shared" ref="G12" si="16">E12/F12</f>
        <v>0</v>
      </c>
    </row>
    <row r="13" spans="1:7" x14ac:dyDescent="0.25">
      <c r="A13" s="25">
        <f>'APAGADOS RADIO'!Q3</f>
        <v>44785</v>
      </c>
      <c r="B13" s="51">
        <f>'APAGADOS RADIO'!Q2+D13</f>
        <v>0</v>
      </c>
      <c r="C13" s="51">
        <f>'APAGADOS FIBRA'!Q2</f>
        <v>0</v>
      </c>
      <c r="D13" s="51">
        <f>'APAGADOS ANTENA'!Q2</f>
        <v>0</v>
      </c>
      <c r="E13" s="51">
        <f t="shared" ref="E13:E14" si="17">B13+C13</f>
        <v>0</v>
      </c>
      <c r="F13" s="51">
        <f>'RESUMEN TOTAL'!B1</f>
        <v>392</v>
      </c>
      <c r="G13" s="55">
        <f t="shared" ref="G13:G14" si="18">E13/F13</f>
        <v>0</v>
      </c>
    </row>
    <row r="14" spans="1:7" x14ac:dyDescent="0.25">
      <c r="A14" s="25">
        <f>'APAGADOS RADIO'!R3</f>
        <v>44786</v>
      </c>
      <c r="B14" s="51">
        <f>'APAGADOS RADIO'!R2+D14</f>
        <v>0</v>
      </c>
      <c r="C14" s="51">
        <f>'APAGADOS FIBRA'!R2</f>
        <v>0</v>
      </c>
      <c r="D14" s="51">
        <f>'APAGADOS ANTENA'!R2</f>
        <v>0</v>
      </c>
      <c r="E14" s="51">
        <f t="shared" si="17"/>
        <v>0</v>
      </c>
      <c r="F14" s="51">
        <f>'RESUMEN TOTAL'!B1</f>
        <v>392</v>
      </c>
      <c r="G14" s="55">
        <f t="shared" si="18"/>
        <v>0</v>
      </c>
    </row>
    <row r="15" spans="1:7" x14ac:dyDescent="0.25">
      <c r="A15" s="25">
        <f>'APAGADOS RADIO'!S3</f>
        <v>44787</v>
      </c>
      <c r="B15" s="51">
        <f>'APAGADOS RADIO'!S2+D15</f>
        <v>0</v>
      </c>
      <c r="C15" s="51">
        <f>'APAGADOS FIBRA'!S2</f>
        <v>0</v>
      </c>
      <c r="D15" s="51">
        <f>'APAGADOS ANTENA'!S2</f>
        <v>0</v>
      </c>
      <c r="E15" s="51">
        <f t="shared" ref="E15" si="19">B15+C15</f>
        <v>0</v>
      </c>
      <c r="F15" s="51">
        <f>'RESUMEN TOTAL'!B1</f>
        <v>392</v>
      </c>
      <c r="G15" s="55">
        <f t="shared" ref="G15" si="20">E15/F15</f>
        <v>0</v>
      </c>
    </row>
    <row r="16" spans="1:7" x14ac:dyDescent="0.25">
      <c r="A16" s="25">
        <f>'APAGADOS RADIO'!T3</f>
        <v>44788</v>
      </c>
      <c r="B16" s="51">
        <f>'APAGADOS RADIO'!T2+D16</f>
        <v>0</v>
      </c>
      <c r="C16" s="51">
        <f>'APAGADOS FIBRA'!T2</f>
        <v>0</v>
      </c>
      <c r="D16" s="51">
        <f>'APAGADOS ANTENA'!T2</f>
        <v>0</v>
      </c>
      <c r="E16" s="51">
        <f t="shared" ref="E16:E21" si="21">B16+C16</f>
        <v>0</v>
      </c>
      <c r="F16" s="51">
        <f>'RESUMEN TOTAL'!B1</f>
        <v>392</v>
      </c>
      <c r="G16" s="55">
        <f t="shared" ref="G16:G21" si="22">E16/F16</f>
        <v>0</v>
      </c>
    </row>
    <row r="17" spans="1:7" x14ac:dyDescent="0.25">
      <c r="A17" s="25">
        <f>'APAGADOS RADIO'!U3</f>
        <v>44789</v>
      </c>
      <c r="B17" s="51">
        <f>'APAGADOS RADIO'!U2+D17</f>
        <v>0</v>
      </c>
      <c r="C17" s="51">
        <f>'APAGADOS FIBRA'!U2</f>
        <v>0</v>
      </c>
      <c r="D17" s="51">
        <f>'APAGADOS ANTENA'!U2</f>
        <v>0</v>
      </c>
      <c r="E17" s="51">
        <f t="shared" si="21"/>
        <v>0</v>
      </c>
      <c r="F17" s="51">
        <f>'RESUMEN TOTAL'!B1</f>
        <v>392</v>
      </c>
      <c r="G17" s="55">
        <f t="shared" si="22"/>
        <v>0</v>
      </c>
    </row>
    <row r="18" spans="1:7" x14ac:dyDescent="0.25">
      <c r="A18" s="25">
        <f>'APAGADOS RADIO'!V3</f>
        <v>44790</v>
      </c>
      <c r="B18" s="51">
        <f>'APAGADOS RADIO'!V2+D18</f>
        <v>0</v>
      </c>
      <c r="C18" s="51">
        <f>'APAGADOS FIBRA'!V2</f>
        <v>0</v>
      </c>
      <c r="D18" s="51">
        <f>'APAGADOS ANTENA'!V2</f>
        <v>0</v>
      </c>
      <c r="E18" s="51">
        <f t="shared" si="21"/>
        <v>0</v>
      </c>
      <c r="F18" s="51">
        <f>'RESUMEN TOTAL'!B1</f>
        <v>392</v>
      </c>
      <c r="G18" s="55">
        <f t="shared" si="22"/>
        <v>0</v>
      </c>
    </row>
    <row r="19" spans="1:7" x14ac:dyDescent="0.25">
      <c r="A19" s="25">
        <f>'APAGADOS RADIO'!W3</f>
        <v>44791</v>
      </c>
      <c r="B19" s="51">
        <f>'APAGADOS RADIO'!W2+D19</f>
        <v>0</v>
      </c>
      <c r="C19" s="51">
        <f>'APAGADOS FIBRA'!W2</f>
        <v>0</v>
      </c>
      <c r="D19" s="51">
        <f>'APAGADOS ANTENA'!W2</f>
        <v>0</v>
      </c>
      <c r="E19" s="51">
        <f t="shared" si="21"/>
        <v>0</v>
      </c>
      <c r="F19" s="51">
        <f>'RESUMEN TOTAL'!B1</f>
        <v>392</v>
      </c>
      <c r="G19" s="55">
        <f t="shared" si="22"/>
        <v>0</v>
      </c>
    </row>
    <row r="20" spans="1:7" x14ac:dyDescent="0.25">
      <c r="A20" s="25">
        <f>'APAGADOS RADIO'!X3</f>
        <v>44792</v>
      </c>
      <c r="B20" s="51">
        <f>'APAGADOS RADIO'!X2+D20</f>
        <v>0</v>
      </c>
      <c r="C20" s="51">
        <f>'APAGADOS FIBRA'!X2</f>
        <v>0</v>
      </c>
      <c r="D20" s="51">
        <f>'APAGADOS ANTENA'!X2</f>
        <v>0</v>
      </c>
      <c r="E20" s="51">
        <f t="shared" si="21"/>
        <v>0</v>
      </c>
      <c r="F20" s="51">
        <f>'RESUMEN TOTAL'!B1</f>
        <v>392</v>
      </c>
      <c r="G20" s="55">
        <f t="shared" si="22"/>
        <v>0</v>
      </c>
    </row>
    <row r="21" spans="1:7" x14ac:dyDescent="0.25">
      <c r="A21" s="25">
        <f>'APAGADOS RADIO'!Y3</f>
        <v>44793</v>
      </c>
      <c r="B21" s="51">
        <f>'APAGADOS RADIO'!Y2+D21</f>
        <v>0</v>
      </c>
      <c r="C21" s="51">
        <f>'APAGADOS FIBRA'!Y2</f>
        <v>0</v>
      </c>
      <c r="D21" s="51">
        <f>'APAGADOS ANTENA'!Y2</f>
        <v>0</v>
      </c>
      <c r="E21" s="51">
        <f t="shared" si="21"/>
        <v>0</v>
      </c>
      <c r="F21" s="51">
        <f>'RESUMEN TOTAL'!B1</f>
        <v>392</v>
      </c>
      <c r="G21" s="55">
        <f t="shared" si="22"/>
        <v>0</v>
      </c>
    </row>
    <row r="22" spans="1:7" x14ac:dyDescent="0.25">
      <c r="A22" s="25">
        <f>'APAGADOS RADIO'!Z3</f>
        <v>44794</v>
      </c>
      <c r="B22" s="51">
        <f>'APAGADOS RADIO'!Z2+D22</f>
        <v>0</v>
      </c>
      <c r="C22" s="51">
        <f>'APAGADOS FIBRA'!Z2</f>
        <v>0</v>
      </c>
      <c r="D22" s="51">
        <f>'APAGADOS ANTENA'!Z2</f>
        <v>0</v>
      </c>
      <c r="E22" s="51">
        <f t="shared" ref="E22" si="23">B22+C22</f>
        <v>0</v>
      </c>
      <c r="F22" s="51">
        <f>'RESUMEN TOTAL'!B1</f>
        <v>392</v>
      </c>
      <c r="G22" s="55">
        <f t="shared" ref="G22" si="24">E22/F22</f>
        <v>0</v>
      </c>
    </row>
    <row r="23" spans="1:7" x14ac:dyDescent="0.25">
      <c r="A23" s="25">
        <f>'APAGADOS RADIO'!AA3</f>
        <v>44795</v>
      </c>
      <c r="B23" s="51">
        <f>'APAGADOS RADIO'!AA2+D23</f>
        <v>0</v>
      </c>
      <c r="C23" s="51">
        <f>'APAGADOS FIBRA'!AA2</f>
        <v>0</v>
      </c>
      <c r="D23" s="51">
        <f>'APAGADOS ANTENA'!AA2</f>
        <v>0</v>
      </c>
      <c r="E23" s="51">
        <f t="shared" ref="E23" si="25">B23+C23</f>
        <v>0</v>
      </c>
      <c r="F23" s="51">
        <f>'RESUMEN TOTAL'!B1</f>
        <v>392</v>
      </c>
      <c r="G23" s="55">
        <f t="shared" ref="G23" si="26">E23/F23</f>
        <v>0</v>
      </c>
    </row>
    <row r="24" spans="1:7" x14ac:dyDescent="0.25">
      <c r="A24" s="25">
        <f>'APAGADOS RADIO'!AB3</f>
        <v>44796</v>
      </c>
      <c r="B24" s="51">
        <f>'APAGADOS RADIO'!AB2+D24</f>
        <v>0</v>
      </c>
      <c r="C24" s="51">
        <f>'APAGADOS FIBRA'!AB2</f>
        <v>0</v>
      </c>
      <c r="D24" s="51">
        <f>'APAGADOS ANTENA'!AB2</f>
        <v>0</v>
      </c>
      <c r="E24" s="51">
        <f t="shared" ref="E24:E26" si="27">B24+C24</f>
        <v>0</v>
      </c>
      <c r="F24" s="51">
        <f>'RESUMEN TOTAL'!B1</f>
        <v>392</v>
      </c>
      <c r="G24" s="55">
        <f t="shared" ref="G24:G26" si="28">E24/F24</f>
        <v>0</v>
      </c>
    </row>
    <row r="25" spans="1:7" x14ac:dyDescent="0.25">
      <c r="A25" s="25">
        <f>'APAGADOS RADIO'!AC3</f>
        <v>44797</v>
      </c>
      <c r="B25" s="51">
        <f>'APAGADOS RADIO'!AC2+D25</f>
        <v>0</v>
      </c>
      <c r="C25" s="51">
        <f>'APAGADOS FIBRA'!AC2</f>
        <v>0</v>
      </c>
      <c r="D25" s="51">
        <f>'APAGADOS ANTENA'!AC2</f>
        <v>0</v>
      </c>
      <c r="E25" s="51">
        <f t="shared" si="27"/>
        <v>0</v>
      </c>
      <c r="F25" s="51">
        <f>'RESUMEN TOTAL'!B1</f>
        <v>392</v>
      </c>
      <c r="G25" s="55">
        <f t="shared" si="28"/>
        <v>0</v>
      </c>
    </row>
    <row r="26" spans="1:7" x14ac:dyDescent="0.25">
      <c r="A26" s="25">
        <f>'APAGADOS RADIO'!AD3</f>
        <v>44798</v>
      </c>
      <c r="B26" s="51">
        <f>'APAGADOS RADIO'!AD2+D26</f>
        <v>0</v>
      </c>
      <c r="C26" s="51">
        <f>'APAGADOS FIBRA'!AD2</f>
        <v>0</v>
      </c>
      <c r="D26" s="51">
        <f>'APAGADOS ANTENA'!AD2</f>
        <v>0</v>
      </c>
      <c r="E26" s="51">
        <f t="shared" si="27"/>
        <v>0</v>
      </c>
      <c r="F26" s="51">
        <f>'RESUMEN TOTAL'!B1</f>
        <v>392</v>
      </c>
      <c r="G26" s="55">
        <f t="shared" si="28"/>
        <v>0</v>
      </c>
    </row>
    <row r="27" spans="1:7" x14ac:dyDescent="0.25">
      <c r="A27" s="25">
        <f>'APAGADOS RADIO'!AE3</f>
        <v>44799</v>
      </c>
      <c r="B27" s="51">
        <f>'APAGADOS RADIO'!AE2+D27</f>
        <v>0</v>
      </c>
      <c r="C27" s="51">
        <f>'APAGADOS FIBRA'!AE2</f>
        <v>0</v>
      </c>
      <c r="D27" s="51">
        <f>'APAGADOS ANTENA'!AE2</f>
        <v>0</v>
      </c>
      <c r="E27" s="51">
        <f t="shared" ref="E27" si="29">B27+C27</f>
        <v>0</v>
      </c>
      <c r="F27" s="51">
        <f>'RESUMEN TOTAL'!B1</f>
        <v>392</v>
      </c>
      <c r="G27" s="55">
        <f t="shared" ref="G27" si="30">E27/F27</f>
        <v>0</v>
      </c>
    </row>
    <row r="28" spans="1:7" x14ac:dyDescent="0.25">
      <c r="A28" s="25">
        <f>'APAGADOS RADIO'!AF3</f>
        <v>44800</v>
      </c>
      <c r="B28" s="51">
        <f>'APAGADOS RADIO'!AF2+D28</f>
        <v>0</v>
      </c>
      <c r="C28" s="51">
        <f>'APAGADOS FIBRA'!AF2</f>
        <v>0</v>
      </c>
      <c r="D28" s="51">
        <f>'APAGADOS ANTENA'!AF2</f>
        <v>0</v>
      </c>
      <c r="E28" s="51">
        <f t="shared" ref="E28:E29" si="31">B28+C28</f>
        <v>0</v>
      </c>
      <c r="F28" s="51">
        <f>'RESUMEN TOTAL'!B1</f>
        <v>392</v>
      </c>
      <c r="G28" s="55">
        <f t="shared" ref="G28:G29" si="32">E28/F28</f>
        <v>0</v>
      </c>
    </row>
    <row r="29" spans="1:7" x14ac:dyDescent="0.25">
      <c r="A29" s="25">
        <f>'APAGADOS RADIO'!AG3</f>
        <v>44801</v>
      </c>
      <c r="B29" s="51">
        <f>'APAGADOS RADIO'!AG2+D29</f>
        <v>0</v>
      </c>
      <c r="C29" s="51">
        <f>'APAGADOS FIBRA'!AG2</f>
        <v>0</v>
      </c>
      <c r="D29" s="51">
        <f>'APAGADOS ANTENA'!AG2</f>
        <v>0</v>
      </c>
      <c r="E29" s="51">
        <f t="shared" si="31"/>
        <v>0</v>
      </c>
      <c r="F29" s="51">
        <f>'RESUMEN TOTAL'!B1</f>
        <v>392</v>
      </c>
      <c r="G29" s="55">
        <f t="shared" si="32"/>
        <v>0</v>
      </c>
    </row>
    <row r="30" spans="1:7" x14ac:dyDescent="0.25">
      <c r="A30" s="25">
        <f>'APAGADOS RADIO'!AH3</f>
        <v>44802</v>
      </c>
      <c r="B30" s="51">
        <f>'APAGADOS RADIO'!AH2+D30</f>
        <v>0</v>
      </c>
      <c r="C30" s="51">
        <f>'APAGADOS FIBRA'!AH2</f>
        <v>0</v>
      </c>
      <c r="D30" s="51">
        <f>'APAGADOS ANTENA'!AH2</f>
        <v>0</v>
      </c>
      <c r="E30" s="51">
        <f t="shared" ref="E30" si="33">B30+C30</f>
        <v>0</v>
      </c>
      <c r="F30" s="51">
        <f>'RESUMEN TOTAL'!B1</f>
        <v>392</v>
      </c>
      <c r="G30" s="55">
        <f t="shared" ref="G30" si="34">E30/F30</f>
        <v>0</v>
      </c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25" workbookViewId="0">
      <selection activeCell="A42" sqref="A42:E4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1206</v>
      </c>
      <c r="D1" s="61" t="s">
        <v>1207</v>
      </c>
    </row>
    <row r="2" spans="1:13" ht="16.5" thickTop="1" thickBot="1" x14ac:dyDescent="0.3">
      <c r="A2" s="58" t="s">
        <v>1203</v>
      </c>
      <c r="B2" s="69">
        <v>375</v>
      </c>
      <c r="C2" s="65"/>
      <c r="D2" s="62"/>
      <c r="E2" s="113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987</v>
      </c>
      <c r="L3" s="88" t="s">
        <v>1210</v>
      </c>
      <c r="M3" s="110">
        <v>44753</v>
      </c>
    </row>
    <row r="4" spans="1:13" x14ac:dyDescent="0.25">
      <c r="A4" s="59" t="s">
        <v>1205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1000</v>
      </c>
      <c r="L4" s="92" t="s">
        <v>1210</v>
      </c>
      <c r="M4" s="111"/>
    </row>
    <row r="5" spans="1:13" x14ac:dyDescent="0.25">
      <c r="A5" s="59" t="s">
        <v>1204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1135</v>
      </c>
      <c r="L5" s="92" t="s">
        <v>1211</v>
      </c>
      <c r="M5" s="111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1024</v>
      </c>
      <c r="L6" s="92" t="s">
        <v>1208</v>
      </c>
      <c r="M6" s="111"/>
    </row>
    <row r="7" spans="1:13" ht="15" customHeight="1" thickTop="1" x14ac:dyDescent="0.25">
      <c r="A7" s="58" t="s">
        <v>1203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1027</v>
      </c>
      <c r="L7" s="92" t="s">
        <v>1208</v>
      </c>
      <c r="M7" s="111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1026</v>
      </c>
      <c r="L8" s="96" t="s">
        <v>1208</v>
      </c>
      <c r="M8" s="116"/>
    </row>
    <row r="9" spans="1:13" ht="16.5" thickTop="1" thickBot="1" x14ac:dyDescent="0.3">
      <c r="A9" s="59" t="s">
        <v>1205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1204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1210</v>
      </c>
      <c r="M10" s="110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1212</v>
      </c>
      <c r="M11" s="111"/>
    </row>
    <row r="12" spans="1:13" ht="15.75" thickTop="1" x14ac:dyDescent="0.25">
      <c r="A12" s="58" t="s">
        <v>1203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1212</v>
      </c>
      <c r="M12" s="111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1149</v>
      </c>
      <c r="L13" s="79" t="s">
        <v>1213</v>
      </c>
      <c r="M13" s="111"/>
    </row>
    <row r="14" spans="1:13" x14ac:dyDescent="0.25">
      <c r="A14" s="59" t="s">
        <v>1205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1024</v>
      </c>
      <c r="L14" s="79" t="s">
        <v>1208</v>
      </c>
      <c r="M14" s="111"/>
    </row>
    <row r="15" spans="1:13" ht="15" customHeight="1" thickBot="1" x14ac:dyDescent="0.3">
      <c r="A15" s="59" t="s">
        <v>1204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1026</v>
      </c>
      <c r="L15" s="82" t="s">
        <v>1208</v>
      </c>
      <c r="M15" s="112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1394</v>
      </c>
      <c r="M16" s="110">
        <v>44763</v>
      </c>
    </row>
    <row r="17" spans="1:13" ht="15.75" thickTop="1" x14ac:dyDescent="0.25">
      <c r="A17" s="58" t="s">
        <v>1203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1212</v>
      </c>
      <c r="M17" s="111"/>
    </row>
    <row r="18" spans="1:13" x14ac:dyDescent="0.25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1167</v>
      </c>
      <c r="L18" s="108" t="s">
        <v>1395</v>
      </c>
      <c r="M18" s="111"/>
    </row>
    <row r="19" spans="1:13" x14ac:dyDescent="0.25">
      <c r="A19" s="59" t="s">
        <v>1205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1026</v>
      </c>
      <c r="L19" s="108" t="s">
        <v>1208</v>
      </c>
      <c r="M19" s="111"/>
    </row>
    <row r="20" spans="1:13" x14ac:dyDescent="0.25">
      <c r="A20" s="59" t="s">
        <v>1204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.75" thickBot="1" x14ac:dyDescent="0.3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.75" thickTop="1" x14ac:dyDescent="0.25">
      <c r="A22" s="58" t="s">
        <v>1203</v>
      </c>
      <c r="B22" s="69">
        <v>392</v>
      </c>
      <c r="C22" s="65"/>
      <c r="D22" s="62"/>
      <c r="E22" s="113">
        <v>44763</v>
      </c>
    </row>
    <row r="23" spans="1:13" ht="15.75" thickBot="1" x14ac:dyDescent="0.3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.75" thickTop="1" x14ac:dyDescent="0.25">
      <c r="A24" s="59" t="s">
        <v>1205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25">
      <c r="A25" s="59" t="s">
        <v>1204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.75" thickBot="1" x14ac:dyDescent="0.3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.75" thickTop="1" x14ac:dyDescent="0.25">
      <c r="A27" s="58" t="s">
        <v>1203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25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.75" thickBot="1" x14ac:dyDescent="0.3">
      <c r="A29" s="59" t="s">
        <v>1205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.75" thickTop="1" x14ac:dyDescent="0.25">
      <c r="A30" s="59" t="s">
        <v>1204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.75" thickBot="1" x14ac:dyDescent="0.3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.75" thickTop="1" x14ac:dyDescent="0.25">
      <c r="A32" s="58" t="s">
        <v>1203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25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25">
      <c r="A34" s="59" t="s">
        <v>1205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25">
      <c r="A35" s="59" t="s">
        <v>1204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.75" thickBot="1" x14ac:dyDescent="0.3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.75" thickTop="1" x14ac:dyDescent="0.25">
      <c r="A37" s="58" t="s">
        <v>1203</v>
      </c>
      <c r="B37" s="69">
        <v>392</v>
      </c>
      <c r="C37" s="65"/>
      <c r="D37" s="62"/>
      <c r="E37" s="113">
        <v>44770</v>
      </c>
      <c r="G37" s="52"/>
      <c r="H37" s="51"/>
      <c r="I37" s="51"/>
      <c r="J37" s="51"/>
      <c r="K37" s="16"/>
      <c r="L37" s="83"/>
    </row>
    <row r="38" spans="1:13" x14ac:dyDescent="0.25">
      <c r="A38" s="59" t="s">
        <v>6</v>
      </c>
      <c r="B38" s="70">
        <v>50</v>
      </c>
      <c r="C38" s="66">
        <v>50</v>
      </c>
      <c r="D38" s="63">
        <f>C38/B37</f>
        <v>0.12755102040816327</v>
      </c>
      <c r="E38" s="114"/>
      <c r="G38" s="52"/>
      <c r="H38" s="51"/>
      <c r="I38" s="51"/>
      <c r="J38" s="51"/>
      <c r="K38" s="16"/>
      <c r="L38" s="84"/>
    </row>
    <row r="39" spans="1:13" ht="15.75" thickBot="1" x14ac:dyDescent="0.3">
      <c r="A39" s="59" t="s">
        <v>1205</v>
      </c>
      <c r="B39" s="70">
        <v>2</v>
      </c>
      <c r="C39" s="66">
        <f>B38-B39</f>
        <v>48</v>
      </c>
      <c r="D39" s="63">
        <f>C39/B37</f>
        <v>0.12244897959183673</v>
      </c>
      <c r="E39" s="114"/>
    </row>
    <row r="40" spans="1:13" ht="15.75" thickTop="1" x14ac:dyDescent="0.25">
      <c r="A40" s="59" t="s">
        <v>1204</v>
      </c>
      <c r="B40" s="70">
        <v>2</v>
      </c>
      <c r="C40" s="66">
        <f>C39-B40</f>
        <v>46</v>
      </c>
      <c r="D40" s="63">
        <f>C40/B37</f>
        <v>0.11734693877551021</v>
      </c>
      <c r="E40" s="114"/>
      <c r="G40" s="72"/>
      <c r="H40" s="73"/>
      <c r="I40" s="73"/>
      <c r="J40" s="73"/>
      <c r="K40" s="74"/>
      <c r="L40" s="75"/>
      <c r="M40" s="110"/>
    </row>
    <row r="41" spans="1:13" ht="15.75" thickBot="1" x14ac:dyDescent="0.3">
      <c r="A41" s="60" t="s">
        <v>20</v>
      </c>
      <c r="B41" s="71">
        <v>9</v>
      </c>
      <c r="C41" s="67">
        <f>C40-B41</f>
        <v>37</v>
      </c>
      <c r="D41" s="64">
        <f>C41/B37</f>
        <v>9.438775510204081E-2</v>
      </c>
      <c r="E41" s="115"/>
      <c r="G41" s="76"/>
      <c r="H41" s="77"/>
      <c r="I41" s="77"/>
      <c r="J41" s="77"/>
      <c r="K41" s="78"/>
      <c r="L41" s="79"/>
      <c r="M41" s="111"/>
    </row>
    <row r="42" spans="1:13" ht="15" customHeight="1" thickTop="1" x14ac:dyDescent="0.25">
      <c r="A42" s="58" t="s">
        <v>1203</v>
      </c>
      <c r="B42" s="69">
        <v>392</v>
      </c>
      <c r="C42" s="65"/>
      <c r="D42" s="62"/>
      <c r="E42" s="113">
        <v>44771</v>
      </c>
      <c r="G42" s="76"/>
      <c r="H42" s="77"/>
      <c r="I42" s="77"/>
      <c r="J42" s="77"/>
      <c r="K42" s="78"/>
      <c r="L42" s="79"/>
      <c r="M42" s="111"/>
    </row>
    <row r="43" spans="1:13" x14ac:dyDescent="0.25">
      <c r="A43" s="59" t="s">
        <v>6</v>
      </c>
      <c r="B43" s="70">
        <v>45</v>
      </c>
      <c r="C43" s="66">
        <v>45</v>
      </c>
      <c r="D43" s="63">
        <f>C43/B42</f>
        <v>0.11479591836734694</v>
      </c>
      <c r="E43" s="114"/>
      <c r="G43" s="76"/>
      <c r="H43" s="77"/>
      <c r="I43" s="77"/>
      <c r="J43" s="77"/>
      <c r="K43" s="78"/>
      <c r="L43" s="79"/>
      <c r="M43" s="111"/>
    </row>
    <row r="44" spans="1:13" x14ac:dyDescent="0.25">
      <c r="A44" s="59" t="s">
        <v>1205</v>
      </c>
      <c r="B44" s="70">
        <v>2</v>
      </c>
      <c r="C44" s="66">
        <f>B43-B44</f>
        <v>43</v>
      </c>
      <c r="D44" s="63">
        <f>C44/B42</f>
        <v>0.10969387755102041</v>
      </c>
      <c r="E44" s="114"/>
      <c r="G44" s="76"/>
      <c r="H44" s="77"/>
      <c r="I44" s="77"/>
      <c r="J44" s="77"/>
      <c r="K44" s="78"/>
      <c r="L44" s="79"/>
      <c r="M44" s="111"/>
    </row>
    <row r="45" spans="1:13" ht="15.75" thickBot="1" x14ac:dyDescent="0.3">
      <c r="A45" s="59" t="s">
        <v>1204</v>
      </c>
      <c r="B45" s="70">
        <v>2</v>
      </c>
      <c r="C45" s="66">
        <f>C44-B45</f>
        <v>41</v>
      </c>
      <c r="D45" s="63">
        <f>C45/B42</f>
        <v>0.10459183673469388</v>
      </c>
      <c r="E45" s="114"/>
      <c r="G45" s="80"/>
      <c r="H45" s="81"/>
      <c r="I45" s="81"/>
      <c r="J45" s="81"/>
      <c r="K45" s="81"/>
      <c r="L45" s="82"/>
      <c r="M45" s="112"/>
    </row>
    <row r="46" spans="1:13" ht="16.5" thickTop="1" thickBot="1" x14ac:dyDescent="0.3">
      <c r="A46" s="60" t="s">
        <v>20</v>
      </c>
      <c r="B46" s="71">
        <v>7</v>
      </c>
      <c r="C46" s="67">
        <f>C45-B46</f>
        <v>34</v>
      </c>
      <c r="D46" s="64">
        <f>C46/B42</f>
        <v>8.673469387755102E-2</v>
      </c>
      <c r="E46" s="115"/>
    </row>
    <row r="47" spans="1:13" ht="15.75" thickTop="1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2022-08-04T11:28:34Z</dcterms:modified>
</cp:coreProperties>
</file>