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E0BB1ED8-95BD-4388-AF2F-A4C8E62E21F4}" xr6:coauthVersionLast="47" xr6:coauthVersionMax="47" xr10:uidLastSave="{00000000-0000-0000-0000-000000000000}"/>
  <bookViews>
    <workbookView xWindow="28680" yWindow="-120" windowWidth="29040" windowHeight="16440" firstSheet="3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F23" i="14"/>
  <c r="F22" i="14"/>
  <c r="F21" i="14"/>
  <c r="F20" i="14"/>
  <c r="D23" i="14"/>
  <c r="D22" i="14"/>
  <c r="D21" i="14"/>
  <c r="D20" i="14"/>
  <c r="C23" i="14"/>
  <c r="C22" i="14"/>
  <c r="C21" i="14"/>
  <c r="C20" i="14"/>
  <c r="B23" i="14"/>
  <c r="B22" i="14"/>
  <c r="B21" i="14"/>
  <c r="B20" i="14"/>
  <c r="A23" i="14"/>
  <c r="AA3" i="11"/>
  <c r="Z3" i="11"/>
  <c r="E23" i="14"/>
  <c r="AA2" i="11"/>
  <c r="Z2" i="11"/>
  <c r="Y2" i="11"/>
  <c r="X2" i="11"/>
  <c r="AA2" i="21"/>
  <c r="Z2" i="21"/>
  <c r="Y2" i="21"/>
  <c r="X2" i="21"/>
  <c r="AA2" i="10"/>
  <c r="Z2" i="10"/>
  <c r="Y2" i="10"/>
  <c r="X2" i="10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C45" i="24" l="1"/>
  <c r="G23" i="14"/>
  <c r="E22" i="14"/>
  <c r="G22" i="14" s="1"/>
  <c r="E21" i="14"/>
  <c r="G21" i="14" s="1"/>
  <c r="E20" i="14"/>
  <c r="G20" i="14" s="1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W2" i="21" l="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W2" i="11" l="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AC3" i="2"/>
  <c r="AC2" i="2" s="1"/>
  <c r="AC1" i="2" s="1"/>
  <c r="I386" i="2"/>
  <c r="X385" i="11" l="1"/>
  <c r="X384" i="9"/>
  <c r="X1" i="9" s="1"/>
  <c r="J386" i="2"/>
  <c r="X385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<sst xmlns="http://schemas.openxmlformats.org/spreadsheetml/2006/main" count="4146" uniqueCount="1294">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</sst>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79"/>
  <sheetViews>
    <sheetView zoomScale="80" zoomScaleNormal="80" workbookViewId="0">
      <pane xSplit="10" ySplit="4" topLeftCell="AF5" activePane="bottomRight" state="frozen"/>
      <selection pane="topRight" activeCell="M1" sqref="M1"/>
      <selection pane="bottomLeft" activeCell="A5" sqref="A5"/>
      <selection pane="bottomRight" activeCell="A4" sqref="A4:G420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hidden="1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hidden="1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10</v>
      </c>
      <c r="I16" s="42">
        <f t="shared" si="3"/>
        <v>20</v>
      </c>
      <c r="J16" s="43">
        <f t="shared" si="4"/>
        <v>0.33333333333333331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9</v>
      </c>
      <c r="I34" s="42">
        <f>COUNTIF(K34:AL34,"APAGADO")</f>
        <v>21</v>
      </c>
      <c r="J34" s="43">
        <f>(H34)/(I34+H34)</f>
        <v>0.3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26</v>
      </c>
      <c r="I37" s="42">
        <f t="shared" si="3"/>
        <v>4</v>
      </c>
      <c r="J37" s="43">
        <f t="shared" si="4"/>
        <v>0.8666666666666667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8</v>
      </c>
      <c r="I40" s="42">
        <f t="shared" si="3"/>
        <v>22</v>
      </c>
      <c r="J40" s="43">
        <f t="shared" si="4"/>
        <v>0.26666666666666666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8</v>
      </c>
      <c r="I48" s="42">
        <f t="shared" si="3"/>
        <v>22</v>
      </c>
      <c r="J48" s="43">
        <f t="shared" si="4"/>
        <v>0.26666666666666666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9</v>
      </c>
      <c r="I49" s="42">
        <f t="shared" si="3"/>
        <v>21</v>
      </c>
      <c r="J49" s="43">
        <f t="shared" si="4"/>
        <v>0.3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8</v>
      </c>
      <c r="I51" s="42">
        <f t="shared" si="3"/>
        <v>22</v>
      </c>
      <c r="J51" s="43">
        <f t="shared" si="4"/>
        <v>0.26666666666666666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8</v>
      </c>
      <c r="I54" s="42">
        <f t="shared" si="3"/>
        <v>22</v>
      </c>
      <c r="J54" s="43">
        <f t="shared" si="4"/>
        <v>0.26666666666666666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8</v>
      </c>
      <c r="I56" s="42">
        <f t="shared" si="3"/>
        <v>22</v>
      </c>
      <c r="J56" s="43">
        <f t="shared" si="4"/>
        <v>0.26666666666666666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hidden="1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10</v>
      </c>
      <c r="I75" s="42">
        <f t="shared" si="3"/>
        <v>20</v>
      </c>
      <c r="J75" s="43">
        <f t="shared" si="4"/>
        <v>0.33333333333333331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26</v>
      </c>
      <c r="I77" s="42">
        <f t="shared" ref="I77:I140" si="10">COUNTIF(K77:AL77,"APAGADO")</f>
        <v>4</v>
      </c>
      <c r="J77" s="43">
        <f t="shared" ref="J77:J140" si="11">(H77)/(I77+H77)</f>
        <v>0.8666666666666667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18</v>
      </c>
      <c r="I87" s="42">
        <f>COUNTIF(K87:AL87,"APAGADO")</f>
        <v>12</v>
      </c>
      <c r="J87" s="43">
        <f>(H87)/(I87+H87)</f>
        <v>0.6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18</v>
      </c>
      <c r="I88" s="42">
        <f t="shared" si="10"/>
        <v>12</v>
      </c>
      <c r="J88" s="43">
        <f t="shared" si="11"/>
        <v>0.6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9</v>
      </c>
      <c r="I94" s="42">
        <f>COUNTIF(K94:AL94,"APAGADO")</f>
        <v>21</v>
      </c>
      <c r="J94" s="43">
        <f>(H94)/(I94+H94)</f>
        <v>0.3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8</v>
      </c>
      <c r="I98" s="42">
        <f>COUNTIF(K98:AL98,"APAGADO")</f>
        <v>22</v>
      </c>
      <c r="J98" s="43">
        <f>(H98)/(I98+H98)</f>
        <v>0.26666666666666666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9</v>
      </c>
      <c r="I101" s="42">
        <f t="shared" si="10"/>
        <v>21</v>
      </c>
      <c r="J101" s="43">
        <f t="shared" si="11"/>
        <v>0.3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9</v>
      </c>
      <c r="I102" s="42">
        <f t="shared" si="10"/>
        <v>21</v>
      </c>
      <c r="J102" s="43">
        <f t="shared" si="11"/>
        <v>0.3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hidden="1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hidden="1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hidden="1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21</v>
      </c>
      <c r="I122" s="42">
        <f t="shared" si="10"/>
        <v>9</v>
      </c>
      <c r="J122" s="43">
        <f t="shared" si="11"/>
        <v>0.7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hidden="1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8</v>
      </c>
      <c r="I175" s="42">
        <f t="shared" si="12"/>
        <v>22</v>
      </c>
      <c r="J175" s="43">
        <f t="shared" si="13"/>
        <v>0.26666666666666666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8</v>
      </c>
      <c r="I177" s="42">
        <f t="shared" si="12"/>
        <v>22</v>
      </c>
      <c r="J177" s="43">
        <f t="shared" si="13"/>
        <v>0.26666666666666666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8</v>
      </c>
      <c r="I182" s="42">
        <f t="shared" si="12"/>
        <v>22</v>
      </c>
      <c r="J182" s="43">
        <f t="shared" si="13"/>
        <v>0.26666666666666666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24</v>
      </c>
      <c r="I184" s="42">
        <f t="shared" si="12"/>
        <v>6</v>
      </c>
      <c r="J184" s="43">
        <f t="shared" si="13"/>
        <v>0.8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8</v>
      </c>
      <c r="I185" s="42">
        <f t="shared" si="12"/>
        <v>22</v>
      </c>
      <c r="J185" s="43">
        <f t="shared" si="13"/>
        <v>0.26666666666666666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8</v>
      </c>
      <c r="I187" s="42">
        <f t="shared" si="12"/>
        <v>22</v>
      </c>
      <c r="J187" s="43">
        <f t="shared" si="13"/>
        <v>0.26666666666666666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hidden="1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8</v>
      </c>
      <c r="I198" s="42">
        <f>COUNTIF(K198:AL198,"APAGADO")</f>
        <v>22</v>
      </c>
      <c r="J198" s="43">
        <f>(H198)/(I198+H198)</f>
        <v>0.26666666666666666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hidden="1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9</v>
      </c>
      <c r="I229" s="42">
        <f t="shared" si="12"/>
        <v>21</v>
      </c>
      <c r="J229" s="43">
        <f t="shared" si="13"/>
        <v>0.3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hidden="1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10</v>
      </c>
      <c r="I236" s="42">
        <f t="shared" si="19"/>
        <v>20</v>
      </c>
      <c r="J236" s="43">
        <f t="shared" si="20"/>
        <v>0.33333333333333331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hidden="1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8</v>
      </c>
      <c r="I256" s="42">
        <f t="shared" si="19"/>
        <v>22</v>
      </c>
      <c r="J256" s="43">
        <f t="shared" si="20"/>
        <v>0.26666666666666666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22</v>
      </c>
      <c r="I302" s="42">
        <f t="shared" si="22"/>
        <v>8</v>
      </c>
      <c r="J302" s="43">
        <f t="shared" si="23"/>
        <v>0.73333333333333328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hidden="1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9</v>
      </c>
      <c r="I360" s="42">
        <f t="shared" si="22"/>
        <v>21</v>
      </c>
      <c r="J360" s="43">
        <f t="shared" si="23"/>
        <v>0.3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18</v>
      </c>
      <c r="I371" s="42">
        <f t="shared" si="22"/>
        <v>12</v>
      </c>
      <c r="J371" s="43">
        <f t="shared" si="23"/>
        <v>0.6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14</v>
      </c>
      <c r="I374" s="42">
        <f t="shared" si="22"/>
        <v>16</v>
      </c>
      <c r="J374" s="43">
        <f t="shared" si="23"/>
        <v>0.46666666666666667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8</v>
      </c>
      <c r="I379" s="42">
        <f t="shared" si="28"/>
        <v>22</v>
      </c>
      <c r="J379" s="43">
        <f t="shared" si="29"/>
        <v>0.26666666666666666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20</v>
      </c>
      <c r="I390" s="42">
        <f t="shared" si="28"/>
        <v>10</v>
      </c>
      <c r="J390" s="43">
        <f t="shared" si="29"/>
        <v>0.66666666666666663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20</v>
      </c>
      <c r="I391" s="42">
        <f t="shared" si="28"/>
        <v>10</v>
      </c>
      <c r="J391" s="43">
        <f t="shared" si="29"/>
        <v>0.66666666666666663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16</v>
      </c>
      <c r="I409" s="42">
        <f t="shared" si="28"/>
        <v>14</v>
      </c>
      <c r="J409" s="43">
        <f t="shared" si="29"/>
        <v>0.53333333333333333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16</v>
      </c>
      <c r="I410" s="42">
        <f t="shared" si="28"/>
        <v>14</v>
      </c>
      <c r="J410" s="43">
        <f t="shared" si="29"/>
        <v>0.53333333333333333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8</v>
      </c>
      <c r="I420" s="42">
        <f t="shared" si="28"/>
        <v>22</v>
      </c>
      <c r="J420" s="43">
        <f t="shared" si="29"/>
        <v>0.26666666666666666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>
    <filterColumn colId="2">
      <filters>
        <filter val="COSEIDI"/>
      </filters>
    </filterColumn>
    <filterColumn colId="31">
      <customFilters>
        <customFilter operator="notEqual" val=" "/>
      </customFilters>
    </filterColumn>
  </autoFilter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25" workbookViewId="0">
      <selection activeCell="B45" sqref="B45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3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" thickBot="1" x14ac:dyDescent="0.35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" thickTop="1" x14ac:dyDescent="0.3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3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" thickTop="1" x14ac:dyDescent="0.3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>
        <v>433</v>
      </c>
      <c r="C42" s="77"/>
      <c r="D42" s="78"/>
      <c r="E42" s="141">
        <v>44887</v>
      </c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3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3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3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3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3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3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3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2022-11-22T15:52:18Z</dcterms:modified>
</cp:coreProperties>
</file>