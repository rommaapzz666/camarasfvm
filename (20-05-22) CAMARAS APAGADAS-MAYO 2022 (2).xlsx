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0D3CBA77-CCFE-442D-A843-F5B3CFF6E053}" xr6:coauthVersionLast="47" xr6:coauthVersionMax="47" xr10:uidLastSave="{00000000-0000-0000-0000-000000000000}"/>
  <bookViews>
    <workbookView xWindow="-108" yWindow="-108" windowWidth="23256" windowHeight="13176" firstSheet="5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56" i="2" l="1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<sst xmlns="http://schemas.openxmlformats.org/spreadsheetml/2006/main" count="3812" uniqueCount="1356">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</sst>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</cellXfs>
  <cellStyles count="2">
    <cellStyle name="Normal" xfId="0" builtinId="0"/>
    <cellStyle name="Porcentaje" xfId="1" builtinId="5"/>
  </cellStyles>
  <dxfs count="6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G5" activePane="bottomRight" state="frozen"/>
      <selection pane="topRight" activeCell="M1" sqref="M1"/>
      <selection pane="bottomLeft" activeCell="A5" sqref="A5"/>
      <selection pane="bottomRight" activeCell="AH1" sqref="AH1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10</v>
      </c>
      <c r="M7" s="17">
        <f t="shared" si="6"/>
        <v>18</v>
      </c>
      <c r="N7" s="18">
        <f t="shared" si="7"/>
        <v>0.35714285714285715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15</v>
      </c>
      <c r="M11" s="17">
        <f t="shared" si="6"/>
        <v>13</v>
      </c>
      <c r="N11" s="18">
        <f t="shared" si="7"/>
        <v>0.5357142857142857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21</v>
      </c>
      <c r="M22" s="17">
        <f t="shared" si="6"/>
        <v>7</v>
      </c>
      <c r="N22" s="18">
        <f t="shared" si="7"/>
        <v>0.75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21</v>
      </c>
      <c r="M30" s="17">
        <f t="shared" si="6"/>
        <v>7</v>
      </c>
      <c r="N30" s="18">
        <f t="shared" si="7"/>
        <v>0.75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17</v>
      </c>
      <c r="M56" s="17">
        <f t="shared" si="6"/>
        <v>11</v>
      </c>
      <c r="N56" s="18">
        <f t="shared" si="7"/>
        <v>0.6071428571428571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10</v>
      </c>
      <c r="M80" s="17">
        <f t="shared" si="9"/>
        <v>18</v>
      </c>
      <c r="N80" s="18">
        <f t="shared" si="10"/>
        <v>0.35714285714285715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21</v>
      </c>
      <c r="M94" s="17">
        <f t="shared" si="9"/>
        <v>7</v>
      </c>
      <c r="N94" s="18">
        <f t="shared" si="10"/>
        <v>0.75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26</v>
      </c>
      <c r="M96" s="17">
        <f t="shared" si="9"/>
        <v>2</v>
      </c>
      <c r="N96" s="18">
        <f t="shared" si="10"/>
        <v>0.9285714285714286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21</v>
      </c>
      <c r="M99" s="17">
        <f t="shared" si="9"/>
        <v>7</v>
      </c>
      <c r="N99" s="18">
        <f t="shared" si="10"/>
        <v>0.75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13</v>
      </c>
      <c r="M115" s="17">
        <f t="shared" si="9"/>
        <v>15</v>
      </c>
      <c r="N115" s="18">
        <f t="shared" si="10"/>
        <v>0.4642857142857143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13</v>
      </c>
      <c r="M116" s="17">
        <f t="shared" si="9"/>
        <v>15</v>
      </c>
      <c r="N116" s="18">
        <f t="shared" si="10"/>
        <v>0.4642857142857143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24</v>
      </c>
      <c r="M120" s="17">
        <f t="shared" si="9"/>
        <v>4</v>
      </c>
      <c r="N120" s="18">
        <f t="shared" si="10"/>
        <v>0.8571428571428571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25</v>
      </c>
      <c r="M121" s="17">
        <f t="shared" si="9"/>
        <v>3</v>
      </c>
      <c r="N121" s="18">
        <f t="shared" si="10"/>
        <v>0.8928571428571429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10</v>
      </c>
      <c r="M133" s="17">
        <f t="shared" ref="M133:M196" si="12">COUNTIF(O133:AP133,"APAGADO")</f>
        <v>18</v>
      </c>
      <c r="N133" s="18">
        <f t="shared" ref="N133:N196" si="13">(L133)/(M133+L133)</f>
        <v>0.35714285714285715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11</v>
      </c>
      <c r="M135" s="17">
        <f t="shared" si="12"/>
        <v>17</v>
      </c>
      <c r="N135" s="18">
        <f t="shared" si="13"/>
        <v>0.39285714285714285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20</v>
      </c>
      <c r="M142" s="17">
        <f t="shared" si="12"/>
        <v>8</v>
      </c>
      <c r="N142" s="18">
        <f t="shared" si="13"/>
        <v>0.7142857142857143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21</v>
      </c>
      <c r="M143" s="17">
        <f t="shared" si="12"/>
        <v>7</v>
      </c>
      <c r="N143" s="18">
        <f t="shared" si="13"/>
        <v>0.75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15</v>
      </c>
      <c r="M144" s="17">
        <f t="shared" si="12"/>
        <v>13</v>
      </c>
      <c r="N144" s="18">
        <f t="shared" si="13"/>
        <v>0.5357142857142857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25</v>
      </c>
      <c r="M163" s="17">
        <f t="shared" si="12"/>
        <v>3</v>
      </c>
      <c r="N163" s="18">
        <f t="shared" si="13"/>
        <v>0.8928571428571429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25</v>
      </c>
      <c r="M164" s="17">
        <f t="shared" si="12"/>
        <v>3</v>
      </c>
      <c r="N164" s="18">
        <f t="shared" si="13"/>
        <v>0.8928571428571429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10</v>
      </c>
      <c r="M166" s="17">
        <f t="shared" si="12"/>
        <v>18</v>
      </c>
      <c r="N166" s="18">
        <f t="shared" si="13"/>
        <v>0.35714285714285715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10</v>
      </c>
      <c r="M177" s="17">
        <f t="shared" si="12"/>
        <v>18</v>
      </c>
      <c r="N177" s="18">
        <f t="shared" si="13"/>
        <v>0.35714285714285715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10</v>
      </c>
      <c r="M191" s="17">
        <f t="shared" si="12"/>
        <v>18</v>
      </c>
      <c r="N191" s="18">
        <f t="shared" si="13"/>
        <v>0.35714285714285715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10</v>
      </c>
      <c r="M192" s="17">
        <f t="shared" si="12"/>
        <v>18</v>
      </c>
      <c r="N192" s="18">
        <f t="shared" si="13"/>
        <v>0.35714285714285715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16</v>
      </c>
      <c r="M198" s="17">
        <f t="shared" si="15"/>
        <v>12</v>
      </c>
      <c r="N198" s="18">
        <f t="shared" si="16"/>
        <v>0.5714285714285714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10</v>
      </c>
      <c r="M206" s="17">
        <f t="shared" si="15"/>
        <v>18</v>
      </c>
      <c r="N206" s="18">
        <f t="shared" si="16"/>
        <v>0.35714285714285715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15</v>
      </c>
      <c r="M207" s="17">
        <f t="shared" si="15"/>
        <v>13</v>
      </c>
      <c r="N207" s="18">
        <f t="shared" si="16"/>
        <v>0.5357142857142857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11</v>
      </c>
      <c r="M211" s="17">
        <f t="shared" si="15"/>
        <v>17</v>
      </c>
      <c r="N211" s="18">
        <f t="shared" si="16"/>
        <v>0.39285714285714285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10</v>
      </c>
      <c r="M212" s="17">
        <f t="shared" si="15"/>
        <v>18</v>
      </c>
      <c r="N212" s="18">
        <f t="shared" si="16"/>
        <v>0.35714285714285715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13</v>
      </c>
      <c r="M216" s="17">
        <f t="shared" si="15"/>
        <v>15</v>
      </c>
      <c r="N216" s="18">
        <f t="shared" si="16"/>
        <v>0.4642857142857143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11</v>
      </c>
      <c r="M217" s="17">
        <f t="shared" si="15"/>
        <v>17</v>
      </c>
      <c r="N217" s="18">
        <f t="shared" si="16"/>
        <v>0.39285714285714285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12</v>
      </c>
      <c r="M218" s="17">
        <f t="shared" si="15"/>
        <v>16</v>
      </c>
      <c r="N218" s="18">
        <f t="shared" si="16"/>
        <v>0.42857142857142855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12</v>
      </c>
      <c r="M219" s="17">
        <f t="shared" si="15"/>
        <v>16</v>
      </c>
      <c r="N219" s="18">
        <f t="shared" si="16"/>
        <v>0.42857142857142855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24</v>
      </c>
      <c r="M260" s="17">
        <f t="shared" si="15"/>
        <v>4</v>
      </c>
      <c r="N260" s="18">
        <f t="shared" si="16"/>
        <v>0.8571428571428571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21</v>
      </c>
      <c r="M265" s="17">
        <f t="shared" si="18"/>
        <v>7</v>
      </c>
      <c r="N265" s="18">
        <f t="shared" si="19"/>
        <v>0.75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21</v>
      </c>
      <c r="M266" s="17">
        <f t="shared" si="18"/>
        <v>7</v>
      </c>
      <c r="N266" s="18">
        <f t="shared" si="19"/>
        <v>0.75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13</v>
      </c>
      <c r="M303" s="17">
        <f t="shared" si="18"/>
        <v>15</v>
      </c>
      <c r="N303" s="18">
        <f t="shared" si="19"/>
        <v>0.4642857142857143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10</v>
      </c>
      <c r="M352" s="17">
        <f t="shared" si="21"/>
        <v>18</v>
      </c>
      <c r="N352" s="18">
        <f t="shared" si="22"/>
        <v>0.35714285714285715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24</v>
      </c>
      <c r="M359" s="17">
        <f t="shared" si="21"/>
        <v>4</v>
      </c>
      <c r="N359" s="18">
        <f t="shared" si="22"/>
        <v>0.8571428571428571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23</v>
      </c>
      <c r="M360" s="17">
        <f t="shared" si="21"/>
        <v>5</v>
      </c>
      <c r="N360" s="18">
        <f t="shared" si="22"/>
        <v>0.8214285714285714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23</v>
      </c>
      <c r="M361" s="17">
        <f t="shared" si="21"/>
        <v>5</v>
      </c>
      <c r="N361" s="18">
        <f t="shared" si="22"/>
        <v>0.8214285714285714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23</v>
      </c>
      <c r="M362" s="17">
        <f t="shared" si="21"/>
        <v>5</v>
      </c>
      <c r="N362" s="18">
        <f t="shared" si="22"/>
        <v>0.8214285714285714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17" priority="117" operator="lessThan">
      <formula>0.8</formula>
    </cfRule>
    <cfRule type="cellIs" dxfId="116" priority="118" operator="greaterThan">
      <formula>0.8</formula>
    </cfRule>
  </conditionalFormatting>
  <conditionalFormatting sqref="AH94">
    <cfRule type="notContainsText" dxfId="115" priority="115" operator="notContains" text="Caida">
      <formula>ISERROR(SEARCH("Caida",AH94))</formula>
    </cfRule>
    <cfRule type="containsText" dxfId="114" priority="116" operator="containsText" text="Caida">
      <formula>NOT(ISERROR(SEARCH("Caida",AH94)))</formula>
    </cfRule>
  </conditionalFormatting>
  <conditionalFormatting sqref="AH96">
    <cfRule type="cellIs" dxfId="113" priority="113" operator="lessThan">
      <formula>0.8</formula>
    </cfRule>
    <cfRule type="cellIs" dxfId="112" priority="114" operator="greaterThan">
      <formula>0.8</formula>
    </cfRule>
  </conditionalFormatting>
  <conditionalFormatting sqref="AH96">
    <cfRule type="notContainsText" dxfId="111" priority="111" operator="notContains" text="Caida">
      <formula>ISERROR(SEARCH("Caida",AH96))</formula>
    </cfRule>
    <cfRule type="containsText" dxfId="110" priority="112" operator="containsText" text="Caida">
      <formula>NOT(ISERROR(SEARCH("Caida",AH96)))</formula>
    </cfRule>
  </conditionalFormatting>
  <conditionalFormatting sqref="AH99">
    <cfRule type="cellIs" dxfId="109" priority="109" operator="lessThan">
      <formula>0.8</formula>
    </cfRule>
    <cfRule type="cellIs" dxfId="108" priority="110" operator="greaterThan">
      <formula>0.8</formula>
    </cfRule>
  </conditionalFormatting>
  <conditionalFormatting sqref="AH99">
    <cfRule type="notContainsText" dxfId="107" priority="107" operator="notContains" text="Caida">
      <formula>ISERROR(SEARCH("Caida",AH99))</formula>
    </cfRule>
    <cfRule type="containsText" dxfId="106" priority="108" operator="containsText" text="Caida">
      <formula>NOT(ISERROR(SEARCH("Caida",AH99)))</formula>
    </cfRule>
  </conditionalFormatting>
  <conditionalFormatting sqref="AH115">
    <cfRule type="cellIs" dxfId="105" priority="105" operator="lessThan">
      <formula>0.8</formula>
    </cfRule>
    <cfRule type="cellIs" dxfId="104" priority="106" operator="greaterThan">
      <formula>0.8</formula>
    </cfRule>
  </conditionalFormatting>
  <conditionalFormatting sqref="AH115">
    <cfRule type="notContainsText" dxfId="103" priority="103" operator="notContains" text="Caida">
      <formula>ISERROR(SEARCH("Caida",AH115))</formula>
    </cfRule>
    <cfRule type="containsText" dxfId="102" priority="104" operator="containsText" text="Caida">
      <formula>NOT(ISERROR(SEARCH("Caida",AH115)))</formula>
    </cfRule>
  </conditionalFormatting>
  <conditionalFormatting sqref="AH116">
    <cfRule type="cellIs" dxfId="101" priority="101" operator="lessThan">
      <formula>0.8</formula>
    </cfRule>
    <cfRule type="cellIs" dxfId="100" priority="102" operator="greaterThan">
      <formula>0.8</formula>
    </cfRule>
  </conditionalFormatting>
  <conditionalFormatting sqref="AH116">
    <cfRule type="notContainsText" dxfId="99" priority="99" operator="notContains" text="Caida">
      <formula>ISERROR(SEARCH("Caida",AH116))</formula>
    </cfRule>
    <cfRule type="containsText" dxfId="98" priority="100" operator="containsText" text="Caida">
      <formula>NOT(ISERROR(SEARCH("Caida",AH116)))</formula>
    </cfRule>
  </conditionalFormatting>
  <conditionalFormatting sqref="AH120">
    <cfRule type="cellIs" dxfId="97" priority="97" operator="lessThan">
      <formula>0.8</formula>
    </cfRule>
    <cfRule type="cellIs" dxfId="96" priority="98" operator="greaterThan">
      <formula>0.8</formula>
    </cfRule>
  </conditionalFormatting>
  <conditionalFormatting sqref="AH120">
    <cfRule type="notContainsText" dxfId="95" priority="95" operator="notContains" text="Caida">
      <formula>ISERROR(SEARCH("Caida",AH120))</formula>
    </cfRule>
    <cfRule type="containsText" dxfId="94" priority="96" operator="containsText" text="Caida">
      <formula>NOT(ISERROR(SEARCH("Caida",AH120)))</formula>
    </cfRule>
  </conditionalFormatting>
  <conditionalFormatting sqref="AH121">
    <cfRule type="cellIs" dxfId="93" priority="93" operator="lessThan">
      <formula>0.8</formula>
    </cfRule>
    <cfRule type="cellIs" dxfId="92" priority="94" operator="greaterThan">
      <formula>0.8</formula>
    </cfRule>
  </conditionalFormatting>
  <conditionalFormatting sqref="AH121">
    <cfRule type="notContainsText" dxfId="91" priority="91" operator="notContains" text="Caida">
      <formula>ISERROR(SEARCH("Caida",AH121))</formula>
    </cfRule>
    <cfRule type="containsText" dxfId="90" priority="92" operator="containsText" text="Caida">
      <formula>NOT(ISERROR(SEARCH("Caida",AH121)))</formula>
    </cfRule>
  </conditionalFormatting>
  <conditionalFormatting sqref="AH133">
    <cfRule type="cellIs" dxfId="89" priority="89" operator="lessThan">
      <formula>0.8</formula>
    </cfRule>
    <cfRule type="cellIs" dxfId="88" priority="90" operator="greaterThan">
      <formula>0.8</formula>
    </cfRule>
  </conditionalFormatting>
  <conditionalFormatting sqref="AH133">
    <cfRule type="notContainsText" dxfId="87" priority="87" operator="notContains" text="Caida">
      <formula>ISERROR(SEARCH("Caida",AH133))</formula>
    </cfRule>
    <cfRule type="containsText" dxfId="86" priority="88" operator="containsText" text="Caida">
      <formula>NOT(ISERROR(SEARCH("Caida",AH133)))</formula>
    </cfRule>
  </conditionalFormatting>
  <conditionalFormatting sqref="AH135">
    <cfRule type="cellIs" dxfId="85" priority="85" operator="lessThan">
      <formula>0.8</formula>
    </cfRule>
    <cfRule type="cellIs" dxfId="84" priority="86" operator="greaterThan">
      <formula>0.8</formula>
    </cfRule>
  </conditionalFormatting>
  <conditionalFormatting sqref="AH135">
    <cfRule type="notContainsText" dxfId="83" priority="83" operator="notContains" text="Caida">
      <formula>ISERROR(SEARCH("Caida",AH135))</formula>
    </cfRule>
    <cfRule type="containsText" dxfId="82" priority="84" operator="containsText" text="Caida">
      <formula>NOT(ISERROR(SEARCH("Caida",AH135)))</formula>
    </cfRule>
  </conditionalFormatting>
  <conditionalFormatting sqref="AH142">
    <cfRule type="cellIs" dxfId="81" priority="81" operator="lessThan">
      <formula>0.8</formula>
    </cfRule>
    <cfRule type="cellIs" dxfId="80" priority="82" operator="greaterThan">
      <formula>0.8</formula>
    </cfRule>
  </conditionalFormatting>
  <conditionalFormatting sqref="AH142">
    <cfRule type="notContainsText" dxfId="79" priority="79" operator="notContains" text="Caida">
      <formula>ISERROR(SEARCH("Caida",AH142))</formula>
    </cfRule>
    <cfRule type="containsText" dxfId="78" priority="80" operator="containsText" text="Caida">
      <formula>NOT(ISERROR(SEARCH("Caida",AH142)))</formula>
    </cfRule>
  </conditionalFormatting>
  <conditionalFormatting sqref="AH143">
    <cfRule type="cellIs" dxfId="77" priority="77" operator="lessThan">
      <formula>0.8</formula>
    </cfRule>
    <cfRule type="cellIs" dxfId="76" priority="78" operator="greaterThan">
      <formula>0.8</formula>
    </cfRule>
  </conditionalFormatting>
  <conditionalFormatting sqref="AH143">
    <cfRule type="notContainsText" dxfId="75" priority="75" operator="notContains" text="Caida">
      <formula>ISERROR(SEARCH("Caida",AH143))</formula>
    </cfRule>
    <cfRule type="containsText" dxfId="74" priority="76" operator="containsText" text="Caida">
      <formula>NOT(ISERROR(SEARCH("Caida",AH143)))</formula>
    </cfRule>
  </conditionalFormatting>
  <conditionalFormatting sqref="AH144">
    <cfRule type="cellIs" dxfId="73" priority="73" operator="lessThan">
      <formula>0.8</formula>
    </cfRule>
    <cfRule type="cellIs" dxfId="72" priority="74" operator="greaterThan">
      <formula>0.8</formula>
    </cfRule>
  </conditionalFormatting>
  <conditionalFormatting sqref="AH144">
    <cfRule type="notContainsText" dxfId="71" priority="71" operator="notContains" text="Caida">
      <formula>ISERROR(SEARCH("Caida",AH144))</formula>
    </cfRule>
    <cfRule type="containsText" dxfId="70" priority="72" operator="containsText" text="Caida">
      <formula>NOT(ISERROR(SEARCH("Caida",AH144)))</formula>
    </cfRule>
  </conditionalFormatting>
  <conditionalFormatting sqref="AH163">
    <cfRule type="cellIs" dxfId="69" priority="69" operator="lessThan">
      <formula>0.8</formula>
    </cfRule>
    <cfRule type="cellIs" dxfId="68" priority="70" operator="greaterThan">
      <formula>0.8</formula>
    </cfRule>
  </conditionalFormatting>
  <conditionalFormatting sqref="AH163">
    <cfRule type="notContainsText" dxfId="67" priority="67" operator="notContains" text="Caida">
      <formula>ISERROR(SEARCH("Caida",AH163))</formula>
    </cfRule>
    <cfRule type="containsText" dxfId="66" priority="68" operator="containsText" text="Caida">
      <formula>NOT(ISERROR(SEARCH("Caida",AH163)))</formula>
    </cfRule>
  </conditionalFormatting>
  <conditionalFormatting sqref="AH164">
    <cfRule type="cellIs" dxfId="65" priority="65" operator="lessThan">
      <formula>0.8</formula>
    </cfRule>
    <cfRule type="cellIs" dxfId="64" priority="66" operator="greaterThan">
      <formula>0.8</formula>
    </cfRule>
  </conditionalFormatting>
  <conditionalFormatting sqref="AH164">
    <cfRule type="notContainsText" dxfId="63" priority="63" operator="notContains" text="Caida">
      <formula>ISERROR(SEARCH("Caida",AH164))</formula>
    </cfRule>
    <cfRule type="containsText" dxfId="62" priority="64" operator="containsText" text="Caida">
      <formula>NOT(ISERROR(SEARCH("Caida",AH164)))</formula>
    </cfRule>
  </conditionalFormatting>
  <conditionalFormatting sqref="AH166">
    <cfRule type="cellIs" dxfId="61" priority="61" operator="lessThan">
      <formula>0.8</formula>
    </cfRule>
    <cfRule type="cellIs" dxfId="60" priority="62" operator="greaterThan">
      <formula>0.8</formula>
    </cfRule>
  </conditionalFormatting>
  <conditionalFormatting sqref="AH166">
    <cfRule type="notContainsText" dxfId="59" priority="59" operator="notContains" text="Caida">
      <formula>ISERROR(SEARCH("Caida",AH166))</formula>
    </cfRule>
    <cfRule type="containsText" dxfId="58" priority="60" operator="containsText" text="Caida">
      <formula>NOT(ISERROR(SEARCH("Caida",AH166)))</formula>
    </cfRule>
  </conditionalFormatting>
  <conditionalFormatting sqref="AH177">
    <cfRule type="cellIs" dxfId="57" priority="57" operator="lessThan">
      <formula>0.8</formula>
    </cfRule>
    <cfRule type="cellIs" dxfId="56" priority="58" operator="greaterThan">
      <formula>0.8</formula>
    </cfRule>
  </conditionalFormatting>
  <conditionalFormatting sqref="AH177">
    <cfRule type="notContainsText" dxfId="55" priority="55" operator="notContains" text="Caida">
      <formula>ISERROR(SEARCH("Caida",AH177))</formula>
    </cfRule>
    <cfRule type="containsText" dxfId="54" priority="56" operator="containsText" text="Caida">
      <formula>NOT(ISERROR(SEARCH("Caida",AH177)))</formula>
    </cfRule>
  </conditionalFormatting>
  <conditionalFormatting sqref="AH191">
    <cfRule type="cellIs" dxfId="53" priority="53" operator="lessThan">
      <formula>0.8</formula>
    </cfRule>
    <cfRule type="cellIs" dxfId="52" priority="54" operator="greaterThan">
      <formula>0.8</formula>
    </cfRule>
  </conditionalFormatting>
  <conditionalFormatting sqref="AH191">
    <cfRule type="notContainsText" dxfId="51" priority="51" operator="notContains" text="Caida">
      <formula>ISERROR(SEARCH("Caida",AH191))</formula>
    </cfRule>
    <cfRule type="containsText" dxfId="50" priority="52" operator="containsText" text="Caida">
      <formula>NOT(ISERROR(SEARCH("Caida",AH191)))</formula>
    </cfRule>
  </conditionalFormatting>
  <conditionalFormatting sqref="AH192">
    <cfRule type="cellIs" dxfId="49" priority="49" operator="lessThan">
      <formula>0.8</formula>
    </cfRule>
    <cfRule type="cellIs" dxfId="48" priority="50" operator="greaterThan">
      <formula>0.8</formula>
    </cfRule>
  </conditionalFormatting>
  <conditionalFormatting sqref="AH192">
    <cfRule type="notContainsText" dxfId="47" priority="47" operator="notContains" text="Caida">
      <formula>ISERROR(SEARCH("Caida",AH192))</formula>
    </cfRule>
    <cfRule type="containsText" dxfId="46" priority="48" operator="containsText" text="Caida">
      <formula>NOT(ISERROR(SEARCH("Caida",AH192)))</formula>
    </cfRule>
  </conditionalFormatting>
  <conditionalFormatting sqref="AH198">
    <cfRule type="cellIs" dxfId="45" priority="45" operator="lessThan">
      <formula>0.8</formula>
    </cfRule>
    <cfRule type="cellIs" dxfId="44" priority="46" operator="greaterThan">
      <formula>0.8</formula>
    </cfRule>
  </conditionalFormatting>
  <conditionalFormatting sqref="AH198">
    <cfRule type="notContainsText" dxfId="43" priority="43" operator="notContains" text="Caida">
      <formula>ISERROR(SEARCH("Caida",AH198))</formula>
    </cfRule>
    <cfRule type="containsText" dxfId="42" priority="44" operator="containsText" text="Caida">
      <formula>NOT(ISERROR(SEARCH("Caida",AH198)))</formula>
    </cfRule>
  </conditionalFormatting>
  <conditionalFormatting sqref="AH206">
    <cfRule type="cellIs" dxfId="41" priority="41" operator="lessThan">
      <formula>0.8</formula>
    </cfRule>
    <cfRule type="cellIs" dxfId="40" priority="42" operator="greaterThan">
      <formula>0.8</formula>
    </cfRule>
  </conditionalFormatting>
  <conditionalFormatting sqref="AH206">
    <cfRule type="notContainsText" dxfId="39" priority="39" operator="notContains" text="Caida">
      <formula>ISERROR(SEARCH("Caida",AH206))</formula>
    </cfRule>
    <cfRule type="containsText" dxfId="38" priority="40" operator="containsText" text="Caida">
      <formula>NOT(ISERROR(SEARCH("Caida",AH206)))</formula>
    </cfRule>
  </conditionalFormatting>
  <conditionalFormatting sqref="AH211">
    <cfRule type="cellIs" dxfId="37" priority="37" operator="lessThan">
      <formula>0.8</formula>
    </cfRule>
    <cfRule type="cellIs" dxfId="36" priority="38" operator="greaterThan">
      <formula>0.8</formula>
    </cfRule>
  </conditionalFormatting>
  <conditionalFormatting sqref="AH211">
    <cfRule type="notContainsText" dxfId="35" priority="35" operator="notContains" text="Caida">
      <formula>ISERROR(SEARCH("Caida",AH211))</formula>
    </cfRule>
    <cfRule type="containsText" dxfId="34" priority="36" operator="containsText" text="Caida">
      <formula>NOT(ISERROR(SEARCH("Caida",AH211)))</formula>
    </cfRule>
  </conditionalFormatting>
  <conditionalFormatting sqref="AH212">
    <cfRule type="cellIs" dxfId="33" priority="33" operator="lessThan">
      <formula>0.8</formula>
    </cfRule>
    <cfRule type="cellIs" dxfId="32" priority="34" operator="greaterThan">
      <formula>0.8</formula>
    </cfRule>
  </conditionalFormatting>
  <conditionalFormatting sqref="AH212">
    <cfRule type="notContainsText" dxfId="31" priority="31" operator="notContains" text="Caida">
      <formula>ISERROR(SEARCH("Caida",AH212))</formula>
    </cfRule>
    <cfRule type="containsText" dxfId="30" priority="32" operator="containsText" text="Caida">
      <formula>NOT(ISERROR(SEARCH("Caida",AH212)))</formula>
    </cfRule>
  </conditionalFormatting>
  <conditionalFormatting sqref="AH359">
    <cfRule type="cellIs" dxfId="29" priority="30" operator="equal">
      <formula>"apagado"</formula>
    </cfRule>
  </conditionalFormatting>
  <conditionalFormatting sqref="AH360">
    <cfRule type="cellIs" dxfId="28" priority="29" operator="equal">
      <formula>"apagado"</formula>
    </cfRule>
  </conditionalFormatting>
  <conditionalFormatting sqref="AH361">
    <cfRule type="cellIs" dxfId="27" priority="28" operator="equal">
      <formula>"apagado"</formula>
    </cfRule>
  </conditionalFormatting>
  <conditionalFormatting sqref="AH362">
    <cfRule type="cellIs" dxfId="26" priority="27" operator="equal">
      <formula>"apagado"</formula>
    </cfRule>
  </conditionalFormatting>
  <conditionalFormatting sqref="AH206">
    <cfRule type="cellIs" dxfId="25" priority="26" operator="equal">
      <formula>"apagado"</formula>
    </cfRule>
  </conditionalFormatting>
  <conditionalFormatting sqref="AH211">
    <cfRule type="cellIs" dxfId="24" priority="25" operator="equal">
      <formula>"apagado"</formula>
    </cfRule>
  </conditionalFormatting>
  <conditionalFormatting sqref="AH212">
    <cfRule type="cellIs" dxfId="23" priority="24" operator="equal">
      <formula>"apagado"</formula>
    </cfRule>
  </conditionalFormatting>
  <conditionalFormatting sqref="AH198">
    <cfRule type="cellIs" dxfId="22" priority="23" operator="equal">
      <formula>"apagado"</formula>
    </cfRule>
  </conditionalFormatting>
  <conditionalFormatting sqref="AH192">
    <cfRule type="cellIs" dxfId="21" priority="22" operator="equal">
      <formula>"apagado"</formula>
    </cfRule>
  </conditionalFormatting>
  <conditionalFormatting sqref="AH191">
    <cfRule type="cellIs" dxfId="20" priority="21" operator="equal">
      <formula>"apagado"</formula>
    </cfRule>
  </conditionalFormatting>
  <conditionalFormatting sqref="AH177">
    <cfRule type="cellIs" dxfId="19" priority="20" operator="equal">
      <formula>"apagado"</formula>
    </cfRule>
  </conditionalFormatting>
  <conditionalFormatting sqref="AH166">
    <cfRule type="cellIs" dxfId="18" priority="19" operator="equal">
      <formula>"apagado"</formula>
    </cfRule>
  </conditionalFormatting>
  <conditionalFormatting sqref="AH163">
    <cfRule type="cellIs" dxfId="17" priority="18" operator="equal">
      <formula>"apagado"</formula>
    </cfRule>
  </conditionalFormatting>
  <conditionalFormatting sqref="AH164">
    <cfRule type="cellIs" dxfId="16" priority="17" operator="equal">
      <formula>"apagado"</formula>
    </cfRule>
  </conditionalFormatting>
  <conditionalFormatting sqref="AH142">
    <cfRule type="cellIs" dxfId="15" priority="16" operator="equal">
      <formula>"apagado"</formula>
    </cfRule>
  </conditionalFormatting>
  <conditionalFormatting sqref="AH143">
    <cfRule type="cellIs" dxfId="14" priority="15" operator="equal">
      <formula>"apagado"</formula>
    </cfRule>
  </conditionalFormatting>
  <conditionalFormatting sqref="AH144">
    <cfRule type="cellIs" dxfId="13" priority="14" operator="equal">
      <formula>"apagado"</formula>
    </cfRule>
  </conditionalFormatting>
  <conditionalFormatting sqref="AH133">
    <cfRule type="cellIs" dxfId="12" priority="13" operator="equal">
      <formula>"apagado"</formula>
    </cfRule>
  </conditionalFormatting>
  <conditionalFormatting sqref="AH135">
    <cfRule type="cellIs" dxfId="11" priority="12" operator="equal">
      <formula>"apagado"</formula>
    </cfRule>
  </conditionalFormatting>
  <conditionalFormatting sqref="AH115">
    <cfRule type="cellIs" dxfId="10" priority="11" operator="equal">
      <formula>"apagado"</formula>
    </cfRule>
  </conditionalFormatting>
  <conditionalFormatting sqref="AH116">
    <cfRule type="cellIs" dxfId="9" priority="10" operator="equal">
      <formula>"apagado"</formula>
    </cfRule>
  </conditionalFormatting>
  <conditionalFormatting sqref="AH120">
    <cfRule type="cellIs" dxfId="8" priority="9" operator="equal">
      <formula>"apagado"</formula>
    </cfRule>
  </conditionalFormatting>
  <conditionalFormatting sqref="AH121">
    <cfRule type="cellIs" dxfId="7" priority="8" operator="equal">
      <formula>"apagado"</formula>
    </cfRule>
  </conditionalFormatting>
  <conditionalFormatting sqref="AH99">
    <cfRule type="cellIs" dxfId="6" priority="7" operator="equal">
      <formula>"apagado"</formula>
    </cfRule>
  </conditionalFormatting>
  <conditionalFormatting sqref="AH94">
    <cfRule type="cellIs" dxfId="5" priority="5" operator="lessThan">
      <formula>0.8</formula>
    </cfRule>
    <cfRule type="cellIs" dxfId="4" priority="6" operator="greaterThan">
      <formula>0.8</formula>
    </cfRule>
  </conditionalFormatting>
  <conditionalFormatting sqref="AH94">
    <cfRule type="notContainsText" dxfId="3" priority="3" operator="notContains" text="Caida">
      <formula>ISERROR(SEARCH("Caida",AH94))</formula>
    </cfRule>
    <cfRule type="containsText" dxfId="2" priority="4" operator="containsText" text="Caida">
      <formula>NOT(ISERROR(SEARCH("Caida",AH94)))</formula>
    </cfRule>
  </conditionalFormatting>
  <conditionalFormatting sqref="AH94">
    <cfRule type="cellIs" dxfId="1" priority="2" operator="equal">
      <formula>"apagado"</formula>
    </cfRule>
  </conditionalFormatting>
  <conditionalFormatting sqref="AH96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58" priority="8" operator="containsText" text="Radio">
      <formula>NOT(ISERROR(SEARCH("Radio",C16)))</formula>
    </cfRule>
  </conditionalFormatting>
  <conditionalFormatting sqref="C16:C21">
    <cfRule type="containsText" dxfId="157" priority="6" operator="containsText" text="fija">
      <formula>NOT(ISERROR(SEARCH("fija",C16)))</formula>
    </cfRule>
    <cfRule type="containsText" dxfId="156" priority="7" operator="containsText" text="domo">
      <formula>NOT(ISERROR(SEARCH("domo",C16)))</formula>
    </cfRule>
  </conditionalFormatting>
  <conditionalFormatting sqref="D16:D21">
    <cfRule type="cellIs" dxfId="155" priority="5" operator="equal">
      <formula>"PTP A FO"</formula>
    </cfRule>
  </conditionalFormatting>
  <conditionalFormatting sqref="C22:C23">
    <cfRule type="containsText" dxfId="154" priority="2" operator="containsText" text="fija">
      <formula>NOT(ISERROR(SEARCH("fija",C22)))</formula>
    </cfRule>
    <cfRule type="containsText" dxfId="153" priority="3" operator="containsText" text="domo">
      <formula>NOT(ISERROR(SEARCH("domo",C22)))</formula>
    </cfRule>
  </conditionalFormatting>
  <conditionalFormatting sqref="D22:D23">
    <cfRule type="cellIs" dxfId="152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151" priority="1" operator="equal">
      <formula>0</formula>
    </cfRule>
    <cfRule type="cellIs" dxfId="15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149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148" priority="2" operator="containsText" text="APAGADO">
      <formula>NOT(ISERROR(SEARCH("APAGADO",AE3)))</formula>
    </cfRule>
  </conditionalFormatting>
  <conditionalFormatting sqref="F4:AG370 AH4:AJ369">
    <cfRule type="containsText" dxfId="1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146" priority="2" operator="containsText" text="APAGADO">
      <formula>NOT(ISERROR(SEARCH("APAGADO",AE3)))</formula>
    </cfRule>
  </conditionalFormatting>
  <conditionalFormatting sqref="F4:AG370 AH4:AJ369">
    <cfRule type="containsText" dxfId="14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abSelected="1" workbookViewId="0">
      <selection activeCell="G24" sqref="G24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3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3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3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3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3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3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3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3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3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3">
      <c r="A31" s="25">
        <f>'APAGADOS RADIO'!AI3</f>
        <v>44711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4.4" x14ac:dyDescent="0.3"/>
  <cols>
    <col min="1" max="1" width="20.33203125" bestFit="1" customWidth="1"/>
    <col min="2" max="2" width="11.5546875" style="82"/>
    <col min="3" max="3" width="11.5546875" style="11"/>
    <col min="4" max="4" width="11.5546875" style="75"/>
    <col min="7" max="7" width="30.6640625" bestFit="1" customWidth="1"/>
    <col min="8" max="8" width="33.77734375" bestFit="1" customWidth="1"/>
    <col min="11" max="11" width="13.6640625" bestFit="1" customWidth="1"/>
    <col min="12" max="12" width="13.77734375" bestFit="1" customWidth="1"/>
  </cols>
  <sheetData>
    <row r="1" spans="1:13" ht="15" thickBot="1" x14ac:dyDescent="0.35">
      <c r="B1" s="11" t="s">
        <v>1353</v>
      </c>
      <c r="D1" s="75" t="s">
        <v>1354</v>
      </c>
    </row>
    <row r="2" spans="1:13" ht="15.6" thickTop="1" thickBot="1" x14ac:dyDescent="0.35">
      <c r="A2" s="72" t="s">
        <v>1350</v>
      </c>
      <c r="B2" s="83">
        <v>373</v>
      </c>
      <c r="C2" s="79"/>
      <c r="D2" s="76"/>
      <c r="E2" s="86">
        <v>44694</v>
      </c>
    </row>
    <row r="3" spans="1:13" ht="15" customHeight="1" thickTop="1" x14ac:dyDescent="0.3">
      <c r="A3" s="73" t="s">
        <v>6</v>
      </c>
      <c r="B3" s="84">
        <v>28</v>
      </c>
      <c r="C3" s="80">
        <v>28</v>
      </c>
      <c r="D3" s="77">
        <f>C3/B2</f>
        <v>7.5067024128686322E-2</v>
      </c>
      <c r="E3" s="87"/>
      <c r="G3" s="92" t="s">
        <v>145</v>
      </c>
      <c r="H3" s="93" t="s">
        <v>146</v>
      </c>
      <c r="I3" s="93" t="s">
        <v>24</v>
      </c>
      <c r="J3" s="93" t="s">
        <v>36</v>
      </c>
      <c r="K3" s="94" t="s">
        <v>968</v>
      </c>
      <c r="L3" s="95" t="s">
        <v>1355</v>
      </c>
      <c r="M3" s="89">
        <v>44700</v>
      </c>
    </row>
    <row r="4" spans="1:13" x14ac:dyDescent="0.3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87"/>
      <c r="G4" s="96" t="s">
        <v>243</v>
      </c>
      <c r="H4" s="97" t="s">
        <v>244</v>
      </c>
      <c r="I4" s="97" t="s">
        <v>73</v>
      </c>
      <c r="J4" s="97" t="s">
        <v>36</v>
      </c>
      <c r="K4" s="98" t="s">
        <v>1342</v>
      </c>
      <c r="L4" s="99" t="s">
        <v>1355</v>
      </c>
      <c r="M4" s="90"/>
    </row>
    <row r="5" spans="1:13" x14ac:dyDescent="0.3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87"/>
      <c r="G5" s="96" t="s">
        <v>245</v>
      </c>
      <c r="H5" s="97" t="s">
        <v>244</v>
      </c>
      <c r="I5" s="97" t="s">
        <v>73</v>
      </c>
      <c r="J5" s="97" t="s">
        <v>36</v>
      </c>
      <c r="K5" s="98" t="s">
        <v>1023</v>
      </c>
      <c r="L5" s="99" t="s">
        <v>1355</v>
      </c>
      <c r="M5" s="90"/>
    </row>
    <row r="6" spans="1:13" ht="15" thickBot="1" x14ac:dyDescent="0.35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88"/>
      <c r="G6" s="96" t="s">
        <v>311</v>
      </c>
      <c r="H6" s="97" t="s">
        <v>312</v>
      </c>
      <c r="I6" s="97" t="s">
        <v>24</v>
      </c>
      <c r="J6" s="97" t="s">
        <v>943</v>
      </c>
      <c r="K6" s="98" t="s">
        <v>1050</v>
      </c>
      <c r="L6" s="99" t="s">
        <v>1355</v>
      </c>
      <c r="M6" s="90"/>
    </row>
    <row r="7" spans="1:13" ht="15" customHeight="1" thickTop="1" x14ac:dyDescent="0.3">
      <c r="A7" s="72" t="s">
        <v>1350</v>
      </c>
      <c r="B7" s="83">
        <v>373</v>
      </c>
      <c r="C7" s="79"/>
      <c r="D7" s="76"/>
      <c r="E7" s="86">
        <v>44697</v>
      </c>
      <c r="G7" s="96" t="s">
        <v>545</v>
      </c>
      <c r="H7" s="97" t="s">
        <v>546</v>
      </c>
      <c r="I7" s="97" t="s">
        <v>19</v>
      </c>
      <c r="J7" s="97" t="s">
        <v>943</v>
      </c>
      <c r="K7" s="98" t="s">
        <v>1147</v>
      </c>
      <c r="L7" s="99" t="s">
        <v>1355</v>
      </c>
      <c r="M7" s="90"/>
    </row>
    <row r="8" spans="1:13" x14ac:dyDescent="0.3">
      <c r="A8" s="73" t="s">
        <v>6</v>
      </c>
      <c r="B8" s="84">
        <v>56</v>
      </c>
      <c r="C8" s="80">
        <v>56</v>
      </c>
      <c r="D8" s="77">
        <f>C8/B7</f>
        <v>0.15013404825737264</v>
      </c>
      <c r="E8" s="87"/>
      <c r="G8" s="96" t="s">
        <v>554</v>
      </c>
      <c r="H8" s="97" t="s">
        <v>553</v>
      </c>
      <c r="I8" s="97" t="s">
        <v>113</v>
      </c>
      <c r="J8" s="97" t="s">
        <v>36</v>
      </c>
      <c r="K8" s="98" t="s">
        <v>1149</v>
      </c>
      <c r="L8" s="99" t="s">
        <v>1355</v>
      </c>
      <c r="M8" s="90"/>
    </row>
    <row r="9" spans="1:13" x14ac:dyDescent="0.3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87"/>
      <c r="G9" s="96" t="s">
        <v>519</v>
      </c>
      <c r="H9" s="97" t="s">
        <v>518</v>
      </c>
      <c r="I9" s="97" t="s">
        <v>113</v>
      </c>
      <c r="J9" s="97" t="s">
        <v>36</v>
      </c>
      <c r="K9" s="98" t="s">
        <v>1135</v>
      </c>
      <c r="L9" s="99" t="s">
        <v>1355</v>
      </c>
      <c r="M9" s="90"/>
    </row>
    <row r="10" spans="1:13" x14ac:dyDescent="0.3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87"/>
      <c r="G10" s="96" t="s">
        <v>662</v>
      </c>
      <c r="H10" s="97" t="s">
        <v>663</v>
      </c>
      <c r="I10" s="97" t="s">
        <v>19</v>
      </c>
      <c r="J10" s="97" t="s">
        <v>25</v>
      </c>
      <c r="K10" s="98" t="s">
        <v>1197</v>
      </c>
      <c r="L10" s="99" t="s">
        <v>1355</v>
      </c>
      <c r="M10" s="90"/>
    </row>
    <row r="11" spans="1:13" ht="15" thickBot="1" x14ac:dyDescent="0.35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88"/>
      <c r="G11" s="96" t="s">
        <v>802</v>
      </c>
      <c r="H11" s="97" t="s">
        <v>924</v>
      </c>
      <c r="I11" s="97" t="s">
        <v>19</v>
      </c>
      <c r="J11" s="97" t="s">
        <v>943</v>
      </c>
      <c r="K11" s="98" t="s">
        <v>1254</v>
      </c>
      <c r="L11" s="99" t="s">
        <v>1355</v>
      </c>
      <c r="M11" s="90"/>
    </row>
    <row r="12" spans="1:13" ht="15" thickTop="1" x14ac:dyDescent="0.3">
      <c r="A12" s="72" t="s">
        <v>1350</v>
      </c>
      <c r="B12" s="83">
        <v>373</v>
      </c>
      <c r="C12" s="79"/>
      <c r="D12" s="76"/>
      <c r="E12" s="86">
        <v>44698</v>
      </c>
      <c r="G12" s="96" t="s">
        <v>819</v>
      </c>
      <c r="H12" s="97" t="s">
        <v>818</v>
      </c>
      <c r="I12" s="97" t="s">
        <v>113</v>
      </c>
      <c r="J12" s="97" t="s">
        <v>36</v>
      </c>
      <c r="K12" s="98" t="s">
        <v>1269</v>
      </c>
      <c r="L12" s="99" t="s">
        <v>1355</v>
      </c>
      <c r="M12" s="90"/>
    </row>
    <row r="13" spans="1:13" ht="15" thickBot="1" x14ac:dyDescent="0.35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87"/>
      <c r="G13" s="100" t="s">
        <v>820</v>
      </c>
      <c r="H13" s="101" t="s">
        <v>821</v>
      </c>
      <c r="I13" s="101" t="s">
        <v>113</v>
      </c>
      <c r="J13" s="101" t="s">
        <v>36</v>
      </c>
      <c r="K13" s="102" t="s">
        <v>1024</v>
      </c>
      <c r="L13" s="103" t="s">
        <v>1355</v>
      </c>
      <c r="M13" s="91"/>
    </row>
    <row r="14" spans="1:13" x14ac:dyDescent="0.3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87"/>
    </row>
    <row r="15" spans="1:13" x14ac:dyDescent="0.3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87"/>
    </row>
    <row r="16" spans="1:13" ht="15" thickBot="1" x14ac:dyDescent="0.35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88"/>
    </row>
    <row r="17" spans="1:5" ht="15" thickTop="1" x14ac:dyDescent="0.3">
      <c r="A17" s="72" t="s">
        <v>1350</v>
      </c>
      <c r="B17" s="83">
        <v>373</v>
      </c>
      <c r="C17" s="79"/>
      <c r="D17" s="76"/>
      <c r="E17" s="86">
        <v>44700</v>
      </c>
    </row>
    <row r="18" spans="1:5" x14ac:dyDescent="0.3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87"/>
    </row>
    <row r="19" spans="1:5" x14ac:dyDescent="0.3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87"/>
    </row>
    <row r="20" spans="1:5" x14ac:dyDescent="0.3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87"/>
    </row>
    <row r="21" spans="1:5" ht="15" thickBot="1" x14ac:dyDescent="0.35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88"/>
    </row>
    <row r="22" spans="1:5" ht="15" thickTop="1" x14ac:dyDescent="0.3">
      <c r="A22" s="72" t="s">
        <v>1350</v>
      </c>
      <c r="B22" s="83"/>
      <c r="C22" s="79"/>
      <c r="D22" s="76"/>
      <c r="E22" s="86">
        <v>44701</v>
      </c>
    </row>
    <row r="23" spans="1:5" x14ac:dyDescent="0.3">
      <c r="A23" s="73" t="s">
        <v>6</v>
      </c>
      <c r="B23" s="84"/>
      <c r="C23" s="80"/>
      <c r="D23" s="77"/>
      <c r="E23" s="87"/>
    </row>
    <row r="24" spans="1:5" x14ac:dyDescent="0.3">
      <c r="A24" s="73" t="s">
        <v>1352</v>
      </c>
      <c r="B24" s="84"/>
      <c r="C24" s="80"/>
      <c r="D24" s="77"/>
      <c r="E24" s="87"/>
    </row>
    <row r="25" spans="1:5" x14ac:dyDescent="0.3">
      <c r="A25" s="73" t="s">
        <v>1351</v>
      </c>
      <c r="B25" s="84"/>
      <c r="C25" s="80"/>
      <c r="D25" s="77"/>
      <c r="E25" s="87"/>
    </row>
    <row r="26" spans="1:5" ht="15" thickBot="1" x14ac:dyDescent="0.35">
      <c r="A26" s="74" t="s">
        <v>20</v>
      </c>
      <c r="B26" s="85"/>
      <c r="C26" s="81"/>
      <c r="D26" s="78"/>
      <c r="E26" s="88"/>
    </row>
    <row r="27" spans="1:5" ht="15" thickTop="1" x14ac:dyDescent="0.3"/>
  </sheetData>
  <mergeCells count="6">
    <mergeCell ref="M3:M13"/>
    <mergeCell ref="E2:E6"/>
    <mergeCell ref="E7:E11"/>
    <mergeCell ref="E12:E16"/>
    <mergeCell ref="E17:E21"/>
    <mergeCell ref="E22:E26"/>
  </mergeCells>
  <conditionalFormatting sqref="I3:L6 L7 I8:L8 L9 I10:L13">
    <cfRule type="containsText" dxfId="144" priority="27" operator="containsText" text="Radio">
      <formula>NOT(ISERROR(SEARCH("Radio",I3)))</formula>
    </cfRule>
  </conditionalFormatting>
  <conditionalFormatting sqref="I6 I8">
    <cfRule type="containsText" dxfId="143" priority="25" operator="containsText" text="fija">
      <formula>NOT(ISERROR(SEARCH("fija",I6)))</formula>
    </cfRule>
    <cfRule type="containsText" dxfId="142" priority="26" operator="containsText" text="domo">
      <formula>NOT(ISERROR(SEARCH("domo",I6)))</formula>
    </cfRule>
  </conditionalFormatting>
  <conditionalFormatting sqref="J6 J8">
    <cfRule type="cellIs" dxfId="141" priority="24" operator="equal">
      <formula>"PTP A FO"</formula>
    </cfRule>
  </conditionalFormatting>
  <conditionalFormatting sqref="I3">
    <cfRule type="containsText" dxfId="140" priority="22" operator="containsText" text="fija">
      <formula>NOT(ISERROR(SEARCH("fija",I3)))</formula>
    </cfRule>
    <cfRule type="containsText" dxfId="139" priority="23" operator="containsText" text="domo">
      <formula>NOT(ISERROR(SEARCH("domo",I3)))</formula>
    </cfRule>
  </conditionalFormatting>
  <conditionalFormatting sqref="J3">
    <cfRule type="cellIs" dxfId="138" priority="21" operator="equal">
      <formula>"PTP A FO"</formula>
    </cfRule>
  </conditionalFormatting>
  <conditionalFormatting sqref="I4:I5">
    <cfRule type="containsText" dxfId="137" priority="19" operator="containsText" text="fija">
      <formula>NOT(ISERROR(SEARCH("fija",I4)))</formula>
    </cfRule>
    <cfRule type="containsText" dxfId="136" priority="20" operator="containsText" text="domo">
      <formula>NOT(ISERROR(SEARCH("domo",I4)))</formula>
    </cfRule>
  </conditionalFormatting>
  <conditionalFormatting sqref="J4:J5">
    <cfRule type="cellIs" dxfId="135" priority="18" operator="equal">
      <formula>"PTP A FO"</formula>
    </cfRule>
  </conditionalFormatting>
  <conditionalFormatting sqref="I7:K7">
    <cfRule type="containsText" dxfId="134" priority="17" operator="containsText" text="Radio">
      <formula>NOT(ISERROR(SEARCH("Radio",I7)))</formula>
    </cfRule>
  </conditionalFormatting>
  <conditionalFormatting sqref="I7">
    <cfRule type="containsText" dxfId="133" priority="15" operator="containsText" text="fija">
      <formula>NOT(ISERROR(SEARCH("fija",I7)))</formula>
    </cfRule>
    <cfRule type="containsText" dxfId="132" priority="16" operator="containsText" text="domo">
      <formula>NOT(ISERROR(SEARCH("domo",I7)))</formula>
    </cfRule>
  </conditionalFormatting>
  <conditionalFormatting sqref="J7">
    <cfRule type="cellIs" dxfId="131" priority="14" operator="equal">
      <formula>"PTP A FO"</formula>
    </cfRule>
  </conditionalFormatting>
  <conditionalFormatting sqref="I9:K9">
    <cfRule type="containsText" dxfId="130" priority="13" operator="containsText" text="Radio">
      <formula>NOT(ISERROR(SEARCH("Radio",I9)))</formula>
    </cfRule>
  </conditionalFormatting>
  <conditionalFormatting sqref="I9">
    <cfRule type="containsText" dxfId="129" priority="11" operator="containsText" text="fija">
      <formula>NOT(ISERROR(SEARCH("fija",I9)))</formula>
    </cfRule>
    <cfRule type="containsText" dxfId="128" priority="12" operator="containsText" text="domo">
      <formula>NOT(ISERROR(SEARCH("domo",I9)))</formula>
    </cfRule>
  </conditionalFormatting>
  <conditionalFormatting sqref="J9">
    <cfRule type="cellIs" dxfId="127" priority="10" operator="equal">
      <formula>"PTP A FO"</formula>
    </cfRule>
  </conditionalFormatting>
  <conditionalFormatting sqref="I10">
    <cfRule type="containsText" dxfId="126" priority="8" operator="containsText" text="fija">
      <formula>NOT(ISERROR(SEARCH("fija",I10)))</formula>
    </cfRule>
    <cfRule type="containsText" dxfId="125" priority="9" operator="containsText" text="domo">
      <formula>NOT(ISERROR(SEARCH("domo",I10)))</formula>
    </cfRule>
  </conditionalFormatting>
  <conditionalFormatting sqref="J10">
    <cfRule type="cellIs" dxfId="124" priority="7" operator="equal">
      <formula>"PTP A FO"</formula>
    </cfRule>
  </conditionalFormatting>
  <conditionalFormatting sqref="I11">
    <cfRule type="containsText" dxfId="123" priority="5" operator="containsText" text="fija">
      <formula>NOT(ISERROR(SEARCH("fija",I11)))</formula>
    </cfRule>
    <cfRule type="containsText" dxfId="122" priority="6" operator="containsText" text="domo">
      <formula>NOT(ISERROR(SEARCH("domo",I11)))</formula>
    </cfRule>
  </conditionalFormatting>
  <conditionalFormatting sqref="J11">
    <cfRule type="cellIs" dxfId="121" priority="4" operator="equal">
      <formula>"PTP A FO"</formula>
    </cfRule>
  </conditionalFormatting>
  <conditionalFormatting sqref="I12:I13">
    <cfRule type="containsText" dxfId="120" priority="2" operator="containsText" text="fija">
      <formula>NOT(ISERROR(SEARCH("fija",I12)))</formula>
    </cfRule>
    <cfRule type="containsText" dxfId="119" priority="3" operator="containsText" text="domo">
      <formula>NOT(ISERROR(SEARCH("domo",I12)))</formula>
    </cfRule>
  </conditionalFormatting>
  <conditionalFormatting sqref="J12:J13">
    <cfRule type="cellIs" dxfId="11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2022-05-20T12:22:44Z</dcterms:modified>
</cp:coreProperties>
</file>